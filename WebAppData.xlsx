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Rachel Goldstein\Desktop\EPS Models\SouthKorea EPS\"/>
    </mc:Choice>
  </mc:AlternateContent>
  <xr:revisionPtr revIDLastSave="0" documentId="13_ncr:1_{9CD47004-211E-469B-9E0D-27ACB054A532}" xr6:coauthVersionLast="47" xr6:coauthVersionMax="47" xr10:uidLastSave="{00000000-0000-0000-0000-000000000000}"/>
  <bookViews>
    <workbookView xWindow="1200" yWindow="84" windowWidth="19536" windowHeight="13104" activeTab="2" xr2:uid="{A5C482AE-4F5D-4F7B-9888-EEAD3CFB4D3F}"/>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PolicyLevers!$H$1:$H$1972</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89" i="1" l="1"/>
  <c r="J189" i="1" s="1"/>
  <c r="J188" i="1"/>
  <c r="K188" i="1"/>
  <c r="L188" i="1"/>
  <c r="M188" i="1"/>
  <c r="N188" i="1"/>
  <c r="O188" i="1"/>
  <c r="P188" i="1"/>
  <c r="Q188" i="1"/>
  <c r="R188" i="1"/>
  <c r="N189" i="1"/>
  <c r="P189" i="1"/>
  <c r="Q189" i="1"/>
  <c r="R189" i="1"/>
  <c r="A188" i="1"/>
  <c r="B188" i="1"/>
  <c r="F105" i="8"/>
  <c r="R835" i="1"/>
  <c r="Q835" i="1"/>
  <c r="P835" i="1"/>
  <c r="O835" i="1"/>
  <c r="N835" i="1"/>
  <c r="M835" i="1"/>
  <c r="L835" i="1"/>
  <c r="K835" i="1"/>
  <c r="J835" i="1"/>
  <c r="B189" i="1" l="1"/>
  <c r="M189" i="1"/>
  <c r="C190" i="1"/>
  <c r="A189" i="1"/>
  <c r="L189" i="1"/>
  <c r="O189" i="1"/>
  <c r="O190" i="1"/>
  <c r="N190" i="1"/>
  <c r="M190" i="1"/>
  <c r="L190" i="1"/>
  <c r="K190" i="1"/>
  <c r="J190" i="1"/>
  <c r="B190" i="1"/>
  <c r="A190" i="1"/>
  <c r="K189" i="1"/>
  <c r="B835" i="1"/>
  <c r="A835" i="1"/>
  <c r="C1084" i="1"/>
  <c r="C1083" i="1"/>
  <c r="C1082" i="1"/>
  <c r="C1081" i="1"/>
  <c r="B1081" i="1" s="1"/>
  <c r="C1080" i="1"/>
  <c r="A1080" i="1" s="1"/>
  <c r="C1079" i="1"/>
  <c r="B1079" i="1" s="1"/>
  <c r="C1078" i="1"/>
  <c r="B1078" i="1" s="1"/>
  <c r="C1077" i="1"/>
  <c r="B1077" i="1" s="1"/>
  <c r="C1076" i="1"/>
  <c r="C1075" i="1"/>
  <c r="C1074" i="1"/>
  <c r="C1073" i="1"/>
  <c r="B1073" i="1" s="1"/>
  <c r="C1072" i="1"/>
  <c r="A1072" i="1" s="1"/>
  <c r="C1071" i="1"/>
  <c r="B1071" i="1" s="1"/>
  <c r="C1070" i="1"/>
  <c r="B1070" i="1" s="1"/>
  <c r="C1069" i="1"/>
  <c r="B1069" i="1" s="1"/>
  <c r="C1068" i="1"/>
  <c r="C1067" i="1"/>
  <c r="C1066" i="1"/>
  <c r="C1065" i="1"/>
  <c r="A1065" i="1" s="1"/>
  <c r="C1064" i="1"/>
  <c r="A1064" i="1" s="1"/>
  <c r="C1063" i="1"/>
  <c r="B1063" i="1" s="1"/>
  <c r="C1062" i="1"/>
  <c r="B1062" i="1" s="1"/>
  <c r="C1061" i="1"/>
  <c r="B1061" i="1" s="1"/>
  <c r="C1060" i="1"/>
  <c r="C1059" i="1"/>
  <c r="C1058" i="1"/>
  <c r="C1057" i="1"/>
  <c r="B1057" i="1" s="1"/>
  <c r="C1056" i="1"/>
  <c r="A1056" i="1" s="1"/>
  <c r="C1055" i="1"/>
  <c r="B1055" i="1" s="1"/>
  <c r="C1054" i="1"/>
  <c r="B1054" i="1" s="1"/>
  <c r="C1053" i="1"/>
  <c r="B1053" i="1" s="1"/>
  <c r="C1052" i="1"/>
  <c r="C1051" i="1"/>
  <c r="C1050" i="1"/>
  <c r="C1049" i="1"/>
  <c r="A1049" i="1" s="1"/>
  <c r="C1048" i="1"/>
  <c r="A1048" i="1" s="1"/>
  <c r="C1047" i="1"/>
  <c r="B1047" i="1" s="1"/>
  <c r="C1046" i="1"/>
  <c r="B1046" i="1" s="1"/>
  <c r="C1045" i="1"/>
  <c r="B1045" i="1" s="1"/>
  <c r="C1044" i="1"/>
  <c r="C1043" i="1"/>
  <c r="C1042" i="1"/>
  <c r="C1041" i="1"/>
  <c r="B1041" i="1" s="1"/>
  <c r="C1040" i="1"/>
  <c r="A1040" i="1" s="1"/>
  <c r="C1039" i="1"/>
  <c r="B1039" i="1" s="1"/>
  <c r="C1038" i="1"/>
  <c r="B1038" i="1" s="1"/>
  <c r="C1037" i="1"/>
  <c r="B1037" i="1" s="1"/>
  <c r="C1036" i="1"/>
  <c r="C1035" i="1"/>
  <c r="C1034" i="1"/>
  <c r="C1033" i="1"/>
  <c r="B1033" i="1" s="1"/>
  <c r="C1032" i="1"/>
  <c r="A1032" i="1" s="1"/>
  <c r="C1031" i="1"/>
  <c r="B1031" i="1" s="1"/>
  <c r="C1030" i="1"/>
  <c r="B1030" i="1" s="1"/>
  <c r="C1029" i="1"/>
  <c r="B1029" i="1" s="1"/>
  <c r="C1028" i="1"/>
  <c r="C1027" i="1"/>
  <c r="C1026" i="1"/>
  <c r="C1025" i="1"/>
  <c r="B1025" i="1" s="1"/>
  <c r="C1024" i="1"/>
  <c r="A1024" i="1" s="1"/>
  <c r="C1023" i="1"/>
  <c r="B1023" i="1" s="1"/>
  <c r="C1022" i="1"/>
  <c r="B1022" i="1" s="1"/>
  <c r="C1021" i="1"/>
  <c r="B1021" i="1" s="1"/>
  <c r="C1020" i="1"/>
  <c r="C1019" i="1"/>
  <c r="C1018" i="1"/>
  <c r="C1017" i="1"/>
  <c r="B1017" i="1" s="1"/>
  <c r="C1016" i="1"/>
  <c r="A1016" i="1" s="1"/>
  <c r="C1015" i="1"/>
  <c r="B1015" i="1" s="1"/>
  <c r="C1014" i="1"/>
  <c r="B1014" i="1" s="1"/>
  <c r="C1013" i="1"/>
  <c r="B1013" i="1" s="1"/>
  <c r="C1012" i="1"/>
  <c r="C1011" i="1"/>
  <c r="C1010" i="1"/>
  <c r="C1009" i="1"/>
  <c r="A1009" i="1" s="1"/>
  <c r="C1008" i="1"/>
  <c r="A1008" i="1" s="1"/>
  <c r="C1007" i="1"/>
  <c r="B1007" i="1" s="1"/>
  <c r="C1006" i="1"/>
  <c r="B1006" i="1" s="1"/>
  <c r="C1005" i="1"/>
  <c r="B1005" i="1" s="1"/>
  <c r="C1004" i="1"/>
  <c r="C1003" i="1"/>
  <c r="C1002" i="1"/>
  <c r="C1001" i="1"/>
  <c r="B1001" i="1" s="1"/>
  <c r="C1000" i="1"/>
  <c r="A1000" i="1" s="1"/>
  <c r="C999" i="1"/>
  <c r="B999" i="1" s="1"/>
  <c r="C998" i="1"/>
  <c r="B998" i="1" s="1"/>
  <c r="C997" i="1"/>
  <c r="B997" i="1" s="1"/>
  <c r="C996" i="1"/>
  <c r="C995" i="1"/>
  <c r="C994" i="1"/>
  <c r="C993" i="1"/>
  <c r="C992" i="1"/>
  <c r="A992" i="1" s="1"/>
  <c r="C991" i="1"/>
  <c r="B991" i="1" s="1"/>
  <c r="C990" i="1"/>
  <c r="B990" i="1" s="1"/>
  <c r="C989" i="1"/>
  <c r="B989" i="1" s="1"/>
  <c r="C988" i="1"/>
  <c r="C987" i="1"/>
  <c r="C986" i="1"/>
  <c r="C985" i="1"/>
  <c r="B985" i="1" s="1"/>
  <c r="C984" i="1"/>
  <c r="A984" i="1" s="1"/>
  <c r="C983" i="1"/>
  <c r="B983" i="1" s="1"/>
  <c r="C982" i="1"/>
  <c r="B982" i="1" s="1"/>
  <c r="C981" i="1"/>
  <c r="B981" i="1" s="1"/>
  <c r="C980" i="1"/>
  <c r="C979" i="1"/>
  <c r="C978" i="1"/>
  <c r="C977" i="1"/>
  <c r="B977" i="1" s="1"/>
  <c r="C976" i="1"/>
  <c r="A976" i="1" s="1"/>
  <c r="C975" i="1"/>
  <c r="B975" i="1" s="1"/>
  <c r="C974" i="1"/>
  <c r="B974" i="1" s="1"/>
  <c r="C973" i="1"/>
  <c r="B973" i="1" s="1"/>
  <c r="C972" i="1"/>
  <c r="C971" i="1"/>
  <c r="C970" i="1"/>
  <c r="C969" i="1"/>
  <c r="A969" i="1" s="1"/>
  <c r="C968" i="1"/>
  <c r="A968" i="1" s="1"/>
  <c r="C967" i="1"/>
  <c r="B967" i="1" s="1"/>
  <c r="C966" i="1"/>
  <c r="B966" i="1" s="1"/>
  <c r="C965" i="1"/>
  <c r="B965" i="1" s="1"/>
  <c r="C964" i="1"/>
  <c r="C963" i="1"/>
  <c r="A963" i="1" s="1"/>
  <c r="C962" i="1"/>
  <c r="C961" i="1"/>
  <c r="B961" i="1" s="1"/>
  <c r="C960" i="1"/>
  <c r="A960" i="1" s="1"/>
  <c r="C959" i="1"/>
  <c r="B959" i="1" s="1"/>
  <c r="C958" i="1"/>
  <c r="B958" i="1" s="1"/>
  <c r="C957" i="1"/>
  <c r="B957" i="1" s="1"/>
  <c r="C956" i="1"/>
  <c r="C955" i="1"/>
  <c r="C954" i="1"/>
  <c r="C953" i="1"/>
  <c r="B953" i="1" s="1"/>
  <c r="C952" i="1"/>
  <c r="A952" i="1" s="1"/>
  <c r="C951" i="1"/>
  <c r="B951" i="1" s="1"/>
  <c r="C950" i="1"/>
  <c r="B950" i="1" s="1"/>
  <c r="C949" i="1"/>
  <c r="B949" i="1" s="1"/>
  <c r="C948" i="1"/>
  <c r="C947" i="1"/>
  <c r="C946" i="1"/>
  <c r="C945" i="1"/>
  <c r="C944" i="1"/>
  <c r="A944" i="1" s="1"/>
  <c r="C943" i="1"/>
  <c r="B943" i="1" s="1"/>
  <c r="C942" i="1"/>
  <c r="B942" i="1" s="1"/>
  <c r="C941" i="1"/>
  <c r="B941" i="1" s="1"/>
  <c r="C940" i="1"/>
  <c r="C939" i="1"/>
  <c r="C938" i="1"/>
  <c r="C937" i="1"/>
  <c r="A937" i="1" s="1"/>
  <c r="C936" i="1"/>
  <c r="A936" i="1" s="1"/>
  <c r="C935" i="1"/>
  <c r="B935" i="1" s="1"/>
  <c r="C934" i="1"/>
  <c r="B934" i="1" s="1"/>
  <c r="C933" i="1"/>
  <c r="B933" i="1" s="1"/>
  <c r="C932" i="1"/>
  <c r="C931" i="1"/>
  <c r="C930" i="1"/>
  <c r="C929" i="1"/>
  <c r="B929" i="1" s="1"/>
  <c r="C928" i="1"/>
  <c r="A928" i="1" s="1"/>
  <c r="C927" i="1"/>
  <c r="B927" i="1" s="1"/>
  <c r="C926" i="1"/>
  <c r="B926" i="1" s="1"/>
  <c r="C925" i="1"/>
  <c r="B925" i="1" s="1"/>
  <c r="C924" i="1"/>
  <c r="C923" i="1"/>
  <c r="C922" i="1"/>
  <c r="C921" i="1"/>
  <c r="B921" i="1" s="1"/>
  <c r="C920" i="1"/>
  <c r="A920" i="1" s="1"/>
  <c r="C919" i="1"/>
  <c r="B919" i="1" s="1"/>
  <c r="C918" i="1"/>
  <c r="B918" i="1" s="1"/>
  <c r="C917" i="1"/>
  <c r="B917" i="1" s="1"/>
  <c r="C916" i="1"/>
  <c r="C915" i="1"/>
  <c r="A915" i="1" s="1"/>
  <c r="C914" i="1"/>
  <c r="C913" i="1"/>
  <c r="C912" i="1"/>
  <c r="A912" i="1" s="1"/>
  <c r="C911" i="1"/>
  <c r="B911" i="1" s="1"/>
  <c r="C910" i="1"/>
  <c r="B910" i="1" s="1"/>
  <c r="C909" i="1"/>
  <c r="B909" i="1" s="1"/>
  <c r="C908" i="1"/>
  <c r="C907" i="1"/>
  <c r="C906" i="1"/>
  <c r="C905" i="1"/>
  <c r="A905" i="1" s="1"/>
  <c r="C904" i="1"/>
  <c r="A904" i="1" s="1"/>
  <c r="C903" i="1"/>
  <c r="B903" i="1" s="1"/>
  <c r="C902" i="1"/>
  <c r="B902" i="1" s="1"/>
  <c r="C901" i="1"/>
  <c r="B901" i="1" s="1"/>
  <c r="C900" i="1"/>
  <c r="C899" i="1"/>
  <c r="C898" i="1"/>
  <c r="C897" i="1"/>
  <c r="C896" i="1"/>
  <c r="A896" i="1" s="1"/>
  <c r="C895" i="1"/>
  <c r="B895" i="1" s="1"/>
  <c r="C894" i="1"/>
  <c r="B894" i="1" s="1"/>
  <c r="C893" i="1"/>
  <c r="B893" i="1" s="1"/>
  <c r="C892" i="1"/>
  <c r="C891" i="1"/>
  <c r="C890" i="1"/>
  <c r="A890" i="1" s="1"/>
  <c r="C889" i="1"/>
  <c r="B889" i="1" s="1"/>
  <c r="C888" i="1"/>
  <c r="A888" i="1" s="1"/>
  <c r="C887" i="1"/>
  <c r="B887" i="1" s="1"/>
  <c r="C886" i="1"/>
  <c r="B886" i="1" s="1"/>
  <c r="C885" i="1"/>
  <c r="B885" i="1" s="1"/>
  <c r="C884" i="1"/>
  <c r="C883" i="1"/>
  <c r="A883" i="1" s="1"/>
  <c r="C882" i="1"/>
  <c r="A882" i="1" s="1"/>
  <c r="C881" i="1"/>
  <c r="B881" i="1" s="1"/>
  <c r="C880" i="1"/>
  <c r="A880" i="1" s="1"/>
  <c r="C879" i="1"/>
  <c r="B879" i="1" s="1"/>
  <c r="C878" i="1"/>
  <c r="B878" i="1" s="1"/>
  <c r="C877" i="1"/>
  <c r="B877" i="1" s="1"/>
  <c r="C876" i="1"/>
  <c r="C875" i="1"/>
  <c r="C874" i="1"/>
  <c r="A874" i="1" s="1"/>
  <c r="C873" i="1"/>
  <c r="C872" i="1"/>
  <c r="A872" i="1" s="1"/>
  <c r="C871" i="1"/>
  <c r="B871" i="1" s="1"/>
  <c r="C870" i="1"/>
  <c r="B870" i="1" s="1"/>
  <c r="C869" i="1"/>
  <c r="B869" i="1" s="1"/>
  <c r="C868" i="1"/>
  <c r="C867" i="1"/>
  <c r="A867" i="1" s="1"/>
  <c r="C866" i="1"/>
  <c r="A866" i="1" s="1"/>
  <c r="C865" i="1"/>
  <c r="B865" i="1" s="1"/>
  <c r="C864" i="1"/>
  <c r="A864" i="1" s="1"/>
  <c r="C863" i="1"/>
  <c r="B863" i="1" s="1"/>
  <c r="C862" i="1"/>
  <c r="B862" i="1" s="1"/>
  <c r="C861" i="1"/>
  <c r="B861" i="1" s="1"/>
  <c r="C860" i="1"/>
  <c r="C859" i="1"/>
  <c r="C858" i="1"/>
  <c r="A858" i="1" s="1"/>
  <c r="C857" i="1"/>
  <c r="C856" i="1"/>
  <c r="A856" i="1" s="1"/>
  <c r="C855" i="1"/>
  <c r="B855" i="1" s="1"/>
  <c r="C854" i="1"/>
  <c r="B854" i="1" s="1"/>
  <c r="C853" i="1"/>
  <c r="B853" i="1" s="1"/>
  <c r="C852" i="1"/>
  <c r="C851" i="1"/>
  <c r="C850" i="1"/>
  <c r="A850" i="1" s="1"/>
  <c r="C849" i="1"/>
  <c r="B849" i="1" s="1"/>
  <c r="C848" i="1"/>
  <c r="A848" i="1" s="1"/>
  <c r="C847" i="1"/>
  <c r="B847" i="1" s="1"/>
  <c r="C846" i="1"/>
  <c r="B846" i="1" s="1"/>
  <c r="C845" i="1"/>
  <c r="B845" i="1" s="1"/>
  <c r="C844" i="1"/>
  <c r="C843" i="1"/>
  <c r="C842" i="1"/>
  <c r="A842" i="1" s="1"/>
  <c r="C841" i="1"/>
  <c r="B841" i="1" s="1"/>
  <c r="C840" i="1"/>
  <c r="A840" i="1" s="1"/>
  <c r="C839" i="1"/>
  <c r="B839" i="1" s="1"/>
  <c r="C838" i="1"/>
  <c r="B838" i="1" s="1"/>
  <c r="C837" i="1"/>
  <c r="B837" i="1" s="1"/>
  <c r="C836" i="1"/>
  <c r="R275" i="1"/>
  <c r="Q275" i="1"/>
  <c r="P275" i="1"/>
  <c r="O275" i="1"/>
  <c r="N275" i="1"/>
  <c r="M275" i="1"/>
  <c r="L275" i="1"/>
  <c r="K275" i="1"/>
  <c r="J275" i="1"/>
  <c r="B275" i="1"/>
  <c r="A275" i="1"/>
  <c r="C298" i="1"/>
  <c r="O298" i="1" s="1"/>
  <c r="C297" i="1"/>
  <c r="O297" i="1" s="1"/>
  <c r="C296" i="1"/>
  <c r="P296" i="1" s="1"/>
  <c r="C295" i="1"/>
  <c r="Q295" i="1" s="1"/>
  <c r="C294" i="1"/>
  <c r="R294" i="1" s="1"/>
  <c r="C293" i="1"/>
  <c r="K293" i="1" s="1"/>
  <c r="C292" i="1"/>
  <c r="L292" i="1" s="1"/>
  <c r="C291" i="1"/>
  <c r="M291" i="1" s="1"/>
  <c r="C290" i="1"/>
  <c r="N290" i="1" s="1"/>
  <c r="C289" i="1"/>
  <c r="O289" i="1" s="1"/>
  <c r="C288" i="1"/>
  <c r="P288" i="1" s="1"/>
  <c r="C287" i="1"/>
  <c r="Q287" i="1" s="1"/>
  <c r="C286" i="1"/>
  <c r="R286" i="1" s="1"/>
  <c r="C285" i="1"/>
  <c r="K285" i="1" s="1"/>
  <c r="C284" i="1"/>
  <c r="L284" i="1" s="1"/>
  <c r="C283" i="1"/>
  <c r="M283" i="1" s="1"/>
  <c r="C282" i="1"/>
  <c r="N282" i="1" s="1"/>
  <c r="C281" i="1"/>
  <c r="O281" i="1" s="1"/>
  <c r="C280" i="1"/>
  <c r="P280" i="1" s="1"/>
  <c r="C279" i="1"/>
  <c r="Q279" i="1" s="1"/>
  <c r="C278" i="1"/>
  <c r="R278" i="1" s="1"/>
  <c r="C277" i="1"/>
  <c r="K277" i="1" s="1"/>
  <c r="C276" i="1"/>
  <c r="L276" i="1" s="1"/>
  <c r="R238" i="1"/>
  <c r="Q238" i="1"/>
  <c r="P238" i="1"/>
  <c r="O238" i="1"/>
  <c r="N238" i="1"/>
  <c r="M238" i="1"/>
  <c r="L238" i="1"/>
  <c r="K238" i="1"/>
  <c r="J238" i="1"/>
  <c r="B238" i="1"/>
  <c r="A238" i="1"/>
  <c r="C240" i="1"/>
  <c r="O240" i="1" s="1"/>
  <c r="C239" i="1"/>
  <c r="P239" i="1" s="1"/>
  <c r="C1656" i="1"/>
  <c r="C1657" i="1"/>
  <c r="C1658" i="1"/>
  <c r="C1659" i="1"/>
  <c r="C1660" i="1"/>
  <c r="C1661" i="1"/>
  <c r="C1662" i="1"/>
  <c r="C1663" i="1"/>
  <c r="C1664" i="1"/>
  <c r="C1665" i="1"/>
  <c r="C1666" i="1"/>
  <c r="C1667" i="1"/>
  <c r="C1668" i="1"/>
  <c r="C1669" i="1"/>
  <c r="C1670" i="1"/>
  <c r="C1671" i="1"/>
  <c r="M1671" i="1" s="1"/>
  <c r="C1672" i="1"/>
  <c r="B1672" i="1" s="1"/>
  <c r="C1673" i="1"/>
  <c r="L1673" i="1" s="1"/>
  <c r="C1674" i="1"/>
  <c r="A1674" i="1" s="1"/>
  <c r="C1675" i="1"/>
  <c r="R1675" i="1" s="1"/>
  <c r="C1676" i="1"/>
  <c r="R1676" i="1" s="1"/>
  <c r="C1677" i="1"/>
  <c r="J1677" i="1" s="1"/>
  <c r="C1678" i="1"/>
  <c r="K1678" i="1" s="1"/>
  <c r="C1679" i="1"/>
  <c r="Q1679" i="1" s="1"/>
  <c r="C1680" i="1"/>
  <c r="A1680" i="1" s="1"/>
  <c r="C1681" i="1"/>
  <c r="R1681" i="1" s="1"/>
  <c r="C1682" i="1"/>
  <c r="J1682" i="1" s="1"/>
  <c r="C1683" i="1"/>
  <c r="B1683" i="1" s="1"/>
  <c r="C1684" i="1"/>
  <c r="R1684" i="1" s="1"/>
  <c r="C1685" i="1"/>
  <c r="B1685" i="1" s="1"/>
  <c r="C1686" i="1"/>
  <c r="A1686" i="1" s="1"/>
  <c r="C1687" i="1"/>
  <c r="J1687" i="1" s="1"/>
  <c r="C1688" i="1"/>
  <c r="O1688" i="1" s="1"/>
  <c r="C1689" i="1"/>
  <c r="R1689" i="1" s="1"/>
  <c r="C1690" i="1"/>
  <c r="B1690" i="1" s="1"/>
  <c r="C1691" i="1"/>
  <c r="B1691" i="1" s="1"/>
  <c r="C1692" i="1"/>
  <c r="C1693" i="1"/>
  <c r="N1693" i="1" s="1"/>
  <c r="C1694" i="1"/>
  <c r="R1694" i="1" s="1"/>
  <c r="C1695" i="1"/>
  <c r="A1695" i="1" s="1"/>
  <c r="C1696" i="1"/>
  <c r="Q1696" i="1" s="1"/>
  <c r="C1697" i="1"/>
  <c r="O1697" i="1" s="1"/>
  <c r="C1698" i="1"/>
  <c r="K1698" i="1" s="1"/>
  <c r="C1699" i="1"/>
  <c r="R1699" i="1" s="1"/>
  <c r="C1700" i="1"/>
  <c r="A1700" i="1" s="1"/>
  <c r="C1701" i="1"/>
  <c r="A1701" i="1" s="1"/>
  <c r="C1702" i="1"/>
  <c r="B1702" i="1" s="1"/>
  <c r="C1703" i="1"/>
  <c r="J1703" i="1" s="1"/>
  <c r="C1704" i="1"/>
  <c r="R1704" i="1" s="1"/>
  <c r="C1705" i="1"/>
  <c r="R1705" i="1" s="1"/>
  <c r="C1706" i="1"/>
  <c r="R1706" i="1" s="1"/>
  <c r="C1707" i="1"/>
  <c r="R1707" i="1" s="1"/>
  <c r="C1708" i="1"/>
  <c r="A1708" i="1" s="1"/>
  <c r="C1709" i="1"/>
  <c r="R1709" i="1" s="1"/>
  <c r="C1710" i="1"/>
  <c r="M1710" i="1" s="1"/>
  <c r="C1711" i="1"/>
  <c r="R1711" i="1" s="1"/>
  <c r="C1712" i="1"/>
  <c r="P1712" i="1" s="1"/>
  <c r="C1713" i="1"/>
  <c r="P1713" i="1" s="1"/>
  <c r="C1714" i="1"/>
  <c r="B1714" i="1" s="1"/>
  <c r="C1715" i="1"/>
  <c r="N1715" i="1" s="1"/>
  <c r="C1716" i="1"/>
  <c r="R1716" i="1" s="1"/>
  <c r="C1717" i="1"/>
  <c r="R1717" i="1" s="1"/>
  <c r="C1718" i="1"/>
  <c r="R1718" i="1" s="1"/>
  <c r="C1719" i="1"/>
  <c r="P1719" i="1" s="1"/>
  <c r="C1720" i="1"/>
  <c r="R1720" i="1" s="1"/>
  <c r="C1721" i="1"/>
  <c r="R1721" i="1" s="1"/>
  <c r="C1722" i="1"/>
  <c r="M1722" i="1" s="1"/>
  <c r="C1723" i="1"/>
  <c r="R1723" i="1" s="1"/>
  <c r="C1724" i="1"/>
  <c r="A1724" i="1" s="1"/>
  <c r="C1725" i="1"/>
  <c r="Q1725" i="1" s="1"/>
  <c r="C1726" i="1"/>
  <c r="R1726" i="1" s="1"/>
  <c r="C1727" i="1"/>
  <c r="K1727" i="1" s="1"/>
  <c r="C1728" i="1"/>
  <c r="R1728" i="1" s="1"/>
  <c r="C1729" i="1"/>
  <c r="C1730" i="1"/>
  <c r="O1730" i="1" s="1"/>
  <c r="C1731" i="1"/>
  <c r="A1731" i="1" s="1"/>
  <c r="C1732" i="1"/>
  <c r="J1732" i="1" s="1"/>
  <c r="C1733" i="1"/>
  <c r="R1733" i="1" s="1"/>
  <c r="C1734" i="1"/>
  <c r="C1735" i="1"/>
  <c r="Q1735" i="1" s="1"/>
  <c r="C1736" i="1"/>
  <c r="P1736" i="1" s="1"/>
  <c r="C1737" i="1"/>
  <c r="Q1737" i="1" s="1"/>
  <c r="C1738" i="1"/>
  <c r="B1738" i="1" s="1"/>
  <c r="C1739" i="1"/>
  <c r="O1739" i="1" s="1"/>
  <c r="C1740" i="1"/>
  <c r="R1740" i="1" s="1"/>
  <c r="C1741" i="1"/>
  <c r="P1741" i="1" s="1"/>
  <c r="C1742" i="1"/>
  <c r="P1742" i="1" s="1"/>
  <c r="C1743" i="1"/>
  <c r="C1744" i="1"/>
  <c r="O1744" i="1" s="1"/>
  <c r="C1745" i="1"/>
  <c r="R1745" i="1" s="1"/>
  <c r="C1746" i="1"/>
  <c r="Q1746" i="1" s="1"/>
  <c r="C1747" i="1"/>
  <c r="O1747" i="1" s="1"/>
  <c r="C1748" i="1"/>
  <c r="Q1748" i="1" s="1"/>
  <c r="C1749" i="1"/>
  <c r="Q1749" i="1" s="1"/>
  <c r="C1750" i="1"/>
  <c r="C1751" i="1"/>
  <c r="Q1751" i="1" s="1"/>
  <c r="C1752" i="1"/>
  <c r="A1752" i="1" s="1"/>
  <c r="C1753" i="1"/>
  <c r="Q1753" i="1" s="1"/>
  <c r="C1754" i="1"/>
  <c r="Q1754" i="1" s="1"/>
  <c r="C1755" i="1"/>
  <c r="C1756" i="1"/>
  <c r="B1756" i="1" s="1"/>
  <c r="C1757" i="1"/>
  <c r="B1757" i="1" s="1"/>
  <c r="C1758" i="1"/>
  <c r="O1758" i="1" s="1"/>
  <c r="C1759" i="1"/>
  <c r="Q1759" i="1" s="1"/>
  <c r="C1760" i="1"/>
  <c r="A1760" i="1" s="1"/>
  <c r="C1761" i="1"/>
  <c r="L1761" i="1" s="1"/>
  <c r="C1762" i="1"/>
  <c r="R1762" i="1" s="1"/>
  <c r="C1763" i="1"/>
  <c r="B1763" i="1" s="1"/>
  <c r="C1764" i="1"/>
  <c r="N1764" i="1" s="1"/>
  <c r="C1765" i="1"/>
  <c r="A1765" i="1" s="1"/>
  <c r="C1766" i="1"/>
  <c r="M1766" i="1" s="1"/>
  <c r="C1767" i="1"/>
  <c r="R1767" i="1" s="1"/>
  <c r="C1768" i="1"/>
  <c r="B1768" i="1" s="1"/>
  <c r="C1769" i="1"/>
  <c r="N1769" i="1" s="1"/>
  <c r="C1770" i="1"/>
  <c r="C1771" i="1"/>
  <c r="K1771" i="1" s="1"/>
  <c r="C1772" i="1"/>
  <c r="C1773" i="1"/>
  <c r="R1773" i="1" s="1"/>
  <c r="C1774" i="1"/>
  <c r="B1774" i="1" s="1"/>
  <c r="C1775" i="1"/>
  <c r="R1775" i="1" s="1"/>
  <c r="C1776" i="1"/>
  <c r="B1776" i="1" s="1"/>
  <c r="C1777" i="1"/>
  <c r="R1777" i="1" s="1"/>
  <c r="C1778" i="1"/>
  <c r="R1778" i="1" s="1"/>
  <c r="C1779" i="1"/>
  <c r="A1779" i="1" s="1"/>
  <c r="C1780" i="1"/>
  <c r="R1780" i="1" s="1"/>
  <c r="C1781" i="1"/>
  <c r="O1781" i="1" s="1"/>
  <c r="C1782" i="1"/>
  <c r="R1782" i="1" s="1"/>
  <c r="C1783" i="1"/>
  <c r="P1783" i="1" s="1"/>
  <c r="C1784" i="1"/>
  <c r="R1784" i="1" s="1"/>
  <c r="C1785" i="1"/>
  <c r="R1785" i="1" s="1"/>
  <c r="C1786" i="1"/>
  <c r="R1786" i="1" s="1"/>
  <c r="C1787" i="1"/>
  <c r="A1787" i="1" s="1"/>
  <c r="C1788" i="1"/>
  <c r="Q1788" i="1" s="1"/>
  <c r="C1789" i="1"/>
  <c r="R1789" i="1" s="1"/>
  <c r="K1778" i="1"/>
  <c r="A1763" i="1"/>
  <c r="Q1756" i="1"/>
  <c r="L1756" i="1"/>
  <c r="K1756" i="1"/>
  <c r="A1723" i="1"/>
  <c r="Q1698" i="1"/>
  <c r="Q1684" i="1"/>
  <c r="A1683" i="1"/>
  <c r="J1857" i="1"/>
  <c r="K1857" i="1"/>
  <c r="L1857" i="1"/>
  <c r="M1857" i="1"/>
  <c r="N1857" i="1"/>
  <c r="O1857" i="1"/>
  <c r="P1857" i="1"/>
  <c r="Q1857" i="1"/>
  <c r="R1857" i="1"/>
  <c r="B1857" i="1"/>
  <c r="A1857" i="1"/>
  <c r="B700" i="15"/>
  <c r="C427" i="1"/>
  <c r="A427" i="1" s="1"/>
  <c r="C428" i="1"/>
  <c r="L428" i="1" s="1"/>
  <c r="C429" i="1"/>
  <c r="O429" i="1" s="1"/>
  <c r="C430" i="1"/>
  <c r="R430" i="1" s="1"/>
  <c r="C431" i="1"/>
  <c r="L431" i="1" s="1"/>
  <c r="C432" i="1"/>
  <c r="J432" i="1" s="1"/>
  <c r="C433" i="1"/>
  <c r="P433" i="1" s="1"/>
  <c r="C434" i="1"/>
  <c r="R434" i="1" s="1"/>
  <c r="C435" i="1"/>
  <c r="R435" i="1" s="1"/>
  <c r="C436" i="1"/>
  <c r="R436" i="1" s="1"/>
  <c r="C437" i="1"/>
  <c r="M437" i="1" s="1"/>
  <c r="C438" i="1"/>
  <c r="K438" i="1" s="1"/>
  <c r="C439" i="1"/>
  <c r="P439" i="1" s="1"/>
  <c r="C440" i="1"/>
  <c r="R440" i="1" s="1"/>
  <c r="C441" i="1"/>
  <c r="N441" i="1" s="1"/>
  <c r="C442" i="1"/>
  <c r="R442" i="1" s="1"/>
  <c r="C443" i="1"/>
  <c r="P443" i="1" s="1"/>
  <c r="C444" i="1"/>
  <c r="P444" i="1" s="1"/>
  <c r="C445" i="1"/>
  <c r="B445" i="1" s="1"/>
  <c r="C446" i="1"/>
  <c r="P446" i="1" s="1"/>
  <c r="C447" i="1"/>
  <c r="L447" i="1" s="1"/>
  <c r="C448" i="1"/>
  <c r="K448" i="1" s="1"/>
  <c r="C426" i="1"/>
  <c r="K426" i="1" s="1"/>
  <c r="R425" i="1"/>
  <c r="Q425" i="1"/>
  <c r="P425" i="1"/>
  <c r="O425" i="1"/>
  <c r="N425" i="1"/>
  <c r="M425" i="1"/>
  <c r="L425" i="1"/>
  <c r="K425" i="1"/>
  <c r="J425" i="1"/>
  <c r="B425" i="1"/>
  <c r="A425" i="1"/>
  <c r="J1790" i="1"/>
  <c r="K1790" i="1"/>
  <c r="L1790" i="1"/>
  <c r="M1790" i="1"/>
  <c r="N1790" i="1"/>
  <c r="O1790" i="1"/>
  <c r="P1790" i="1"/>
  <c r="Q1790" i="1"/>
  <c r="R1790" i="1"/>
  <c r="J1791" i="1"/>
  <c r="K1791" i="1"/>
  <c r="L1791" i="1"/>
  <c r="M1791" i="1"/>
  <c r="N1791" i="1"/>
  <c r="O1791" i="1"/>
  <c r="P1791" i="1"/>
  <c r="Q1791" i="1"/>
  <c r="R1791" i="1"/>
  <c r="J1792" i="1"/>
  <c r="K1792" i="1"/>
  <c r="L1792" i="1"/>
  <c r="M1792" i="1"/>
  <c r="N1792" i="1"/>
  <c r="O1792" i="1"/>
  <c r="P1792" i="1"/>
  <c r="Q1792" i="1"/>
  <c r="R1792" i="1"/>
  <c r="A1790" i="1"/>
  <c r="B1790" i="1"/>
  <c r="A1791" i="1"/>
  <c r="B1791" i="1"/>
  <c r="A1792" i="1"/>
  <c r="B1792" i="1"/>
  <c r="J301" i="1"/>
  <c r="K301" i="1"/>
  <c r="L301" i="1"/>
  <c r="M301" i="1"/>
  <c r="N301" i="1"/>
  <c r="P301" i="1"/>
  <c r="Q301" i="1"/>
  <c r="R301" i="1"/>
  <c r="A301" i="1"/>
  <c r="B301" i="1"/>
  <c r="B43" i="18"/>
  <c r="O301" i="1" s="1"/>
  <c r="M292" i="1" l="1"/>
  <c r="A926" i="1"/>
  <c r="A1684" i="1"/>
  <c r="C191" i="1"/>
  <c r="P190" i="1"/>
  <c r="Q190" i="1"/>
  <c r="R190" i="1"/>
  <c r="N1698" i="1"/>
  <c r="N1684" i="1"/>
  <c r="O1684" i="1"/>
  <c r="Q1708" i="1"/>
  <c r="P1708" i="1"/>
  <c r="R1708" i="1"/>
  <c r="A893" i="1"/>
  <c r="A933" i="1"/>
  <c r="A1046" i="1"/>
  <c r="A894" i="1"/>
  <c r="O1676" i="1"/>
  <c r="A925" i="1"/>
  <c r="B1740" i="1"/>
  <c r="A934" i="1"/>
  <c r="A861" i="1"/>
  <c r="M1676" i="1"/>
  <c r="K1722" i="1"/>
  <c r="N1676" i="1"/>
  <c r="P1722" i="1"/>
  <c r="P1676" i="1"/>
  <c r="A1740" i="1"/>
  <c r="B1684" i="1"/>
  <c r="J1756" i="1"/>
  <c r="A949" i="1"/>
  <c r="A950" i="1"/>
  <c r="A966" i="1"/>
  <c r="A973" i="1"/>
  <c r="A974" i="1"/>
  <c r="A1005" i="1"/>
  <c r="M1756" i="1"/>
  <c r="N1756" i="1"/>
  <c r="O1756" i="1"/>
  <c r="P1756" i="1"/>
  <c r="A1006" i="1"/>
  <c r="A1013" i="1"/>
  <c r="A1014" i="1"/>
  <c r="A1029" i="1"/>
  <c r="A1676" i="1"/>
  <c r="A1030" i="1"/>
  <c r="K1676" i="1"/>
  <c r="B1716" i="1"/>
  <c r="O1788" i="1"/>
  <c r="A1053" i="1"/>
  <c r="R1756" i="1"/>
  <c r="A862" i="1"/>
  <c r="B1676" i="1"/>
  <c r="A869" i="1"/>
  <c r="J1676" i="1"/>
  <c r="A1716" i="1"/>
  <c r="N1788" i="1"/>
  <c r="A870" i="1"/>
  <c r="L1676" i="1"/>
  <c r="R1788" i="1"/>
  <c r="A1054" i="1"/>
  <c r="A1021" i="1"/>
  <c r="A957" i="1"/>
  <c r="A1037" i="1"/>
  <c r="A885" i="1"/>
  <c r="A958" i="1"/>
  <c r="A1038" i="1"/>
  <c r="A837" i="1"/>
  <c r="A886" i="1"/>
  <c r="A965" i="1"/>
  <c r="A1045" i="1"/>
  <c r="A942" i="1"/>
  <c r="A845" i="1"/>
  <c r="A901" i="1"/>
  <c r="A981" i="1"/>
  <c r="A1061" i="1"/>
  <c r="A846" i="1"/>
  <c r="A902" i="1"/>
  <c r="A982" i="1"/>
  <c r="A1062" i="1"/>
  <c r="A877" i="1"/>
  <c r="A909" i="1"/>
  <c r="A989" i="1"/>
  <c r="A1069" i="1"/>
  <c r="A941" i="1"/>
  <c r="A853" i="1"/>
  <c r="A910" i="1"/>
  <c r="A990" i="1"/>
  <c r="A1070" i="1"/>
  <c r="A1022" i="1"/>
  <c r="A854" i="1"/>
  <c r="A917" i="1"/>
  <c r="A997" i="1"/>
  <c r="A1077" i="1"/>
  <c r="A878" i="1"/>
  <c r="A838" i="1"/>
  <c r="A918" i="1"/>
  <c r="A998" i="1"/>
  <c r="A1078" i="1"/>
  <c r="Q857" i="1"/>
  <c r="P857" i="1"/>
  <c r="O857" i="1"/>
  <c r="N857" i="1"/>
  <c r="M857" i="1"/>
  <c r="L857" i="1"/>
  <c r="K857" i="1"/>
  <c r="R857" i="1"/>
  <c r="J857" i="1"/>
  <c r="Q873" i="1"/>
  <c r="P873" i="1"/>
  <c r="O873" i="1"/>
  <c r="N873" i="1"/>
  <c r="M873" i="1"/>
  <c r="L873" i="1"/>
  <c r="K873" i="1"/>
  <c r="R873" i="1"/>
  <c r="J873" i="1"/>
  <c r="Q897" i="1"/>
  <c r="P897" i="1"/>
  <c r="O897" i="1"/>
  <c r="M897" i="1"/>
  <c r="L897" i="1"/>
  <c r="R897" i="1"/>
  <c r="N897" i="1"/>
  <c r="K897" i="1"/>
  <c r="J897" i="1"/>
  <c r="Q913" i="1"/>
  <c r="P913" i="1"/>
  <c r="O913" i="1"/>
  <c r="M913" i="1"/>
  <c r="L913" i="1"/>
  <c r="J913" i="1"/>
  <c r="R913" i="1"/>
  <c r="N913" i="1"/>
  <c r="K913" i="1"/>
  <c r="Q945" i="1"/>
  <c r="P945" i="1"/>
  <c r="O945" i="1"/>
  <c r="M945" i="1"/>
  <c r="L945" i="1"/>
  <c r="R945" i="1"/>
  <c r="N945" i="1"/>
  <c r="K945" i="1"/>
  <c r="J945" i="1"/>
  <c r="M993" i="1"/>
  <c r="L993" i="1"/>
  <c r="K993" i="1"/>
  <c r="R993" i="1"/>
  <c r="J993" i="1"/>
  <c r="Q993" i="1"/>
  <c r="P993" i="1"/>
  <c r="O993" i="1"/>
  <c r="N993" i="1"/>
  <c r="A857" i="1"/>
  <c r="A889" i="1"/>
  <c r="A921" i="1"/>
  <c r="A953" i="1"/>
  <c r="A1057" i="1"/>
  <c r="A1073" i="1"/>
  <c r="P842" i="1"/>
  <c r="N842" i="1"/>
  <c r="M842" i="1"/>
  <c r="L842" i="1"/>
  <c r="K842" i="1"/>
  <c r="R842" i="1"/>
  <c r="Q842" i="1"/>
  <c r="O842" i="1"/>
  <c r="J842" i="1"/>
  <c r="P850" i="1"/>
  <c r="O850" i="1"/>
  <c r="N850" i="1"/>
  <c r="M850" i="1"/>
  <c r="L850" i="1"/>
  <c r="K850" i="1"/>
  <c r="R850" i="1"/>
  <c r="J850" i="1"/>
  <c r="Q850" i="1"/>
  <c r="P858" i="1"/>
  <c r="O858" i="1"/>
  <c r="N858" i="1"/>
  <c r="M858" i="1"/>
  <c r="L858" i="1"/>
  <c r="K858" i="1"/>
  <c r="R858" i="1"/>
  <c r="J858" i="1"/>
  <c r="Q858" i="1"/>
  <c r="P866" i="1"/>
  <c r="O866" i="1"/>
  <c r="N866" i="1"/>
  <c r="M866" i="1"/>
  <c r="L866" i="1"/>
  <c r="K866" i="1"/>
  <c r="R866" i="1"/>
  <c r="J866" i="1"/>
  <c r="Q866" i="1"/>
  <c r="P874" i="1"/>
  <c r="O874" i="1"/>
  <c r="N874" i="1"/>
  <c r="M874" i="1"/>
  <c r="L874" i="1"/>
  <c r="K874" i="1"/>
  <c r="R874" i="1"/>
  <c r="J874" i="1"/>
  <c r="Q874" i="1"/>
  <c r="P882" i="1"/>
  <c r="O882" i="1"/>
  <c r="N882" i="1"/>
  <c r="M882" i="1"/>
  <c r="L882" i="1"/>
  <c r="K882" i="1"/>
  <c r="R882" i="1"/>
  <c r="J882" i="1"/>
  <c r="Q882" i="1"/>
  <c r="P890" i="1"/>
  <c r="O890" i="1"/>
  <c r="N890" i="1"/>
  <c r="L890" i="1"/>
  <c r="R890" i="1"/>
  <c r="Q890" i="1"/>
  <c r="M890" i="1"/>
  <c r="K890" i="1"/>
  <c r="J890" i="1"/>
  <c r="P898" i="1"/>
  <c r="O898" i="1"/>
  <c r="N898" i="1"/>
  <c r="L898" i="1"/>
  <c r="K898" i="1"/>
  <c r="Q898" i="1"/>
  <c r="M898" i="1"/>
  <c r="J898" i="1"/>
  <c r="R898" i="1"/>
  <c r="P906" i="1"/>
  <c r="O906" i="1"/>
  <c r="N906" i="1"/>
  <c r="L906" i="1"/>
  <c r="K906" i="1"/>
  <c r="R906" i="1"/>
  <c r="Q906" i="1"/>
  <c r="M906" i="1"/>
  <c r="J906" i="1"/>
  <c r="P914" i="1"/>
  <c r="O914" i="1"/>
  <c r="N914" i="1"/>
  <c r="L914" i="1"/>
  <c r="K914" i="1"/>
  <c r="R914" i="1"/>
  <c r="Q914" i="1"/>
  <c r="M914" i="1"/>
  <c r="J914" i="1"/>
  <c r="P922" i="1"/>
  <c r="O922" i="1"/>
  <c r="N922" i="1"/>
  <c r="L922" i="1"/>
  <c r="K922" i="1"/>
  <c r="M922" i="1"/>
  <c r="J922" i="1"/>
  <c r="R922" i="1"/>
  <c r="Q922" i="1"/>
  <c r="P930" i="1"/>
  <c r="O930" i="1"/>
  <c r="N930" i="1"/>
  <c r="L930" i="1"/>
  <c r="K930" i="1"/>
  <c r="R930" i="1"/>
  <c r="Q930" i="1"/>
  <c r="M930" i="1"/>
  <c r="J930" i="1"/>
  <c r="P938" i="1"/>
  <c r="O938" i="1"/>
  <c r="N938" i="1"/>
  <c r="L938" i="1"/>
  <c r="K938" i="1"/>
  <c r="R938" i="1"/>
  <c r="Q938" i="1"/>
  <c r="M938" i="1"/>
  <c r="J938" i="1"/>
  <c r="P946" i="1"/>
  <c r="O946" i="1"/>
  <c r="N946" i="1"/>
  <c r="L946" i="1"/>
  <c r="K946" i="1"/>
  <c r="J946" i="1"/>
  <c r="R946" i="1"/>
  <c r="Q946" i="1"/>
  <c r="M946" i="1"/>
  <c r="L954" i="1"/>
  <c r="K954" i="1"/>
  <c r="R954" i="1"/>
  <c r="J954" i="1"/>
  <c r="Q954" i="1"/>
  <c r="P954" i="1"/>
  <c r="N954" i="1"/>
  <c r="M954" i="1"/>
  <c r="O954" i="1"/>
  <c r="L962" i="1"/>
  <c r="K962" i="1"/>
  <c r="R962" i="1"/>
  <c r="J962" i="1"/>
  <c r="Q962" i="1"/>
  <c r="P962" i="1"/>
  <c r="O962" i="1"/>
  <c r="N962" i="1"/>
  <c r="M962" i="1"/>
  <c r="L970" i="1"/>
  <c r="K970" i="1"/>
  <c r="R970" i="1"/>
  <c r="J970" i="1"/>
  <c r="Q970" i="1"/>
  <c r="P970" i="1"/>
  <c r="O970" i="1"/>
  <c r="N970" i="1"/>
  <c r="M970" i="1"/>
  <c r="L978" i="1"/>
  <c r="K978" i="1"/>
  <c r="R978" i="1"/>
  <c r="J978" i="1"/>
  <c r="Q978" i="1"/>
  <c r="P978" i="1"/>
  <c r="O978" i="1"/>
  <c r="N978" i="1"/>
  <c r="M978" i="1"/>
  <c r="L986" i="1"/>
  <c r="K986" i="1"/>
  <c r="R986" i="1"/>
  <c r="J986" i="1"/>
  <c r="Q986" i="1"/>
  <c r="P986" i="1"/>
  <c r="O986" i="1"/>
  <c r="N986" i="1"/>
  <c r="M986" i="1"/>
  <c r="L994" i="1"/>
  <c r="K994" i="1"/>
  <c r="R994" i="1"/>
  <c r="J994" i="1"/>
  <c r="Q994" i="1"/>
  <c r="P994" i="1"/>
  <c r="O994" i="1"/>
  <c r="N994" i="1"/>
  <c r="M994" i="1"/>
  <c r="L1002" i="1"/>
  <c r="K1002" i="1"/>
  <c r="R1002" i="1"/>
  <c r="J1002" i="1"/>
  <c r="Q1002" i="1"/>
  <c r="P1002" i="1"/>
  <c r="O1002" i="1"/>
  <c r="N1002" i="1"/>
  <c r="M1002" i="1"/>
  <c r="K1010" i="1"/>
  <c r="R1010" i="1"/>
  <c r="Q1010" i="1"/>
  <c r="P1010" i="1"/>
  <c r="M1010" i="1"/>
  <c r="L1010" i="1"/>
  <c r="J1010" i="1"/>
  <c r="O1010" i="1"/>
  <c r="N1010" i="1"/>
  <c r="L1018" i="1"/>
  <c r="K1018" i="1"/>
  <c r="R1018" i="1"/>
  <c r="J1018" i="1"/>
  <c r="Q1018" i="1"/>
  <c r="P1018" i="1"/>
  <c r="O1018" i="1"/>
  <c r="N1018" i="1"/>
  <c r="M1018" i="1"/>
  <c r="L1026" i="1"/>
  <c r="K1026" i="1"/>
  <c r="R1026" i="1"/>
  <c r="J1026" i="1"/>
  <c r="Q1026" i="1"/>
  <c r="P1026" i="1"/>
  <c r="O1026" i="1"/>
  <c r="N1026" i="1"/>
  <c r="M1026" i="1"/>
  <c r="L1034" i="1"/>
  <c r="K1034" i="1"/>
  <c r="R1034" i="1"/>
  <c r="J1034" i="1"/>
  <c r="Q1034" i="1"/>
  <c r="P1034" i="1"/>
  <c r="O1034" i="1"/>
  <c r="N1034" i="1"/>
  <c r="M1034" i="1"/>
  <c r="L1042" i="1"/>
  <c r="K1042" i="1"/>
  <c r="R1042" i="1"/>
  <c r="J1042" i="1"/>
  <c r="Q1042" i="1"/>
  <c r="P1042" i="1"/>
  <c r="O1042" i="1"/>
  <c r="M1042" i="1"/>
  <c r="N1042" i="1"/>
  <c r="L1050" i="1"/>
  <c r="K1050" i="1"/>
  <c r="R1050" i="1"/>
  <c r="J1050" i="1"/>
  <c r="Q1050" i="1"/>
  <c r="P1050" i="1"/>
  <c r="O1050" i="1"/>
  <c r="N1050" i="1"/>
  <c r="M1050" i="1"/>
  <c r="L1058" i="1"/>
  <c r="K1058" i="1"/>
  <c r="R1058" i="1"/>
  <c r="J1058" i="1"/>
  <c r="Q1058" i="1"/>
  <c r="P1058" i="1"/>
  <c r="O1058" i="1"/>
  <c r="N1058" i="1"/>
  <c r="M1058" i="1"/>
  <c r="L1066" i="1"/>
  <c r="K1066" i="1"/>
  <c r="R1066" i="1"/>
  <c r="J1066" i="1"/>
  <c r="Q1066" i="1"/>
  <c r="P1066" i="1"/>
  <c r="O1066" i="1"/>
  <c r="N1066" i="1"/>
  <c r="M1066" i="1"/>
  <c r="L1074" i="1"/>
  <c r="K1074" i="1"/>
  <c r="R1074" i="1"/>
  <c r="J1074" i="1"/>
  <c r="Q1074" i="1"/>
  <c r="P1074" i="1"/>
  <c r="O1074" i="1"/>
  <c r="N1074" i="1"/>
  <c r="M1074" i="1"/>
  <c r="L1082" i="1"/>
  <c r="K1082" i="1"/>
  <c r="R1082" i="1"/>
  <c r="J1082" i="1"/>
  <c r="Q1082" i="1"/>
  <c r="P1082" i="1"/>
  <c r="O1082" i="1"/>
  <c r="N1082" i="1"/>
  <c r="M1082" i="1"/>
  <c r="B857" i="1"/>
  <c r="B873" i="1"/>
  <c r="B897" i="1"/>
  <c r="B905" i="1"/>
  <c r="B913" i="1"/>
  <c r="B937" i="1"/>
  <c r="B945" i="1"/>
  <c r="B969" i="1"/>
  <c r="B993" i="1"/>
  <c r="B1009" i="1"/>
  <c r="B1049" i="1"/>
  <c r="B1065" i="1"/>
  <c r="O859" i="1"/>
  <c r="N859" i="1"/>
  <c r="M859" i="1"/>
  <c r="L859" i="1"/>
  <c r="K859" i="1"/>
  <c r="R859" i="1"/>
  <c r="J859" i="1"/>
  <c r="Q859" i="1"/>
  <c r="P859" i="1"/>
  <c r="O891" i="1"/>
  <c r="N891" i="1"/>
  <c r="M891" i="1"/>
  <c r="K891" i="1"/>
  <c r="J891" i="1"/>
  <c r="R891" i="1"/>
  <c r="Q891" i="1"/>
  <c r="P891" i="1"/>
  <c r="L891" i="1"/>
  <c r="O907" i="1"/>
  <c r="N907" i="1"/>
  <c r="M907" i="1"/>
  <c r="K907" i="1"/>
  <c r="R907" i="1"/>
  <c r="J907" i="1"/>
  <c r="Q907" i="1"/>
  <c r="P907" i="1"/>
  <c r="L907" i="1"/>
  <c r="O931" i="1"/>
  <c r="N931" i="1"/>
  <c r="M931" i="1"/>
  <c r="K931" i="1"/>
  <c r="R931" i="1"/>
  <c r="J931" i="1"/>
  <c r="Q931" i="1"/>
  <c r="P931" i="1"/>
  <c r="L931" i="1"/>
  <c r="O939" i="1"/>
  <c r="N939" i="1"/>
  <c r="M939" i="1"/>
  <c r="K939" i="1"/>
  <c r="R939" i="1"/>
  <c r="J939" i="1"/>
  <c r="Q939" i="1"/>
  <c r="P939" i="1"/>
  <c r="L939" i="1"/>
  <c r="K955" i="1"/>
  <c r="R955" i="1"/>
  <c r="J955" i="1"/>
  <c r="Q955" i="1"/>
  <c r="P955" i="1"/>
  <c r="O955" i="1"/>
  <c r="N955" i="1"/>
  <c r="M955" i="1"/>
  <c r="L955" i="1"/>
  <c r="K971" i="1"/>
  <c r="R971" i="1"/>
  <c r="J971" i="1"/>
  <c r="Q971" i="1"/>
  <c r="P971" i="1"/>
  <c r="O971" i="1"/>
  <c r="N971" i="1"/>
  <c r="M971" i="1"/>
  <c r="L971" i="1"/>
  <c r="K979" i="1"/>
  <c r="R979" i="1"/>
  <c r="J979" i="1"/>
  <c r="Q979" i="1"/>
  <c r="P979" i="1"/>
  <c r="O979" i="1"/>
  <c r="N979" i="1"/>
  <c r="M979" i="1"/>
  <c r="L979" i="1"/>
  <c r="K987" i="1"/>
  <c r="R987" i="1"/>
  <c r="J987" i="1"/>
  <c r="Q987" i="1"/>
  <c r="P987" i="1"/>
  <c r="O987" i="1"/>
  <c r="N987" i="1"/>
  <c r="M987" i="1"/>
  <c r="L987" i="1"/>
  <c r="K995" i="1"/>
  <c r="R995" i="1"/>
  <c r="J995" i="1"/>
  <c r="Q995" i="1"/>
  <c r="P995" i="1"/>
  <c r="O995" i="1"/>
  <c r="N995" i="1"/>
  <c r="M995" i="1"/>
  <c r="L995" i="1"/>
  <c r="K1003" i="1"/>
  <c r="R1003" i="1"/>
  <c r="J1003" i="1"/>
  <c r="Q1003" i="1"/>
  <c r="P1003" i="1"/>
  <c r="O1003" i="1"/>
  <c r="N1003" i="1"/>
  <c r="M1003" i="1"/>
  <c r="L1003" i="1"/>
  <c r="K1011" i="1"/>
  <c r="R1011" i="1"/>
  <c r="J1011" i="1"/>
  <c r="Q1011" i="1"/>
  <c r="P1011" i="1"/>
  <c r="O1011" i="1"/>
  <c r="N1011" i="1"/>
  <c r="M1011" i="1"/>
  <c r="L1011" i="1"/>
  <c r="K1019" i="1"/>
  <c r="R1019" i="1"/>
  <c r="J1019" i="1"/>
  <c r="Q1019" i="1"/>
  <c r="P1019" i="1"/>
  <c r="O1019" i="1"/>
  <c r="N1019" i="1"/>
  <c r="M1019" i="1"/>
  <c r="L1019" i="1"/>
  <c r="K1027" i="1"/>
  <c r="R1027" i="1"/>
  <c r="J1027" i="1"/>
  <c r="Q1027" i="1"/>
  <c r="P1027" i="1"/>
  <c r="O1027" i="1"/>
  <c r="N1027" i="1"/>
  <c r="M1027" i="1"/>
  <c r="L1027" i="1"/>
  <c r="K1035" i="1"/>
  <c r="R1035" i="1"/>
  <c r="J1035" i="1"/>
  <c r="Q1035" i="1"/>
  <c r="P1035" i="1"/>
  <c r="O1035" i="1"/>
  <c r="N1035" i="1"/>
  <c r="M1035" i="1"/>
  <c r="L1035" i="1"/>
  <c r="K1043" i="1"/>
  <c r="R1043" i="1"/>
  <c r="J1043" i="1"/>
  <c r="Q1043" i="1"/>
  <c r="P1043" i="1"/>
  <c r="O1043" i="1"/>
  <c r="N1043" i="1"/>
  <c r="M1043" i="1"/>
  <c r="L1043" i="1"/>
  <c r="K1051" i="1"/>
  <c r="R1051" i="1"/>
  <c r="J1051" i="1"/>
  <c r="Q1051" i="1"/>
  <c r="P1051" i="1"/>
  <c r="O1051" i="1"/>
  <c r="N1051" i="1"/>
  <c r="M1051" i="1"/>
  <c r="L1051" i="1"/>
  <c r="K1059" i="1"/>
  <c r="R1059" i="1"/>
  <c r="J1059" i="1"/>
  <c r="Q1059" i="1"/>
  <c r="P1059" i="1"/>
  <c r="O1059" i="1"/>
  <c r="N1059" i="1"/>
  <c r="M1059" i="1"/>
  <c r="L1059" i="1"/>
  <c r="K1067" i="1"/>
  <c r="R1067" i="1"/>
  <c r="J1067" i="1"/>
  <c r="Q1067" i="1"/>
  <c r="P1067" i="1"/>
  <c r="O1067" i="1"/>
  <c r="N1067" i="1"/>
  <c r="M1067" i="1"/>
  <c r="L1067" i="1"/>
  <c r="K1075" i="1"/>
  <c r="R1075" i="1"/>
  <c r="J1075" i="1"/>
  <c r="Q1075" i="1"/>
  <c r="P1075" i="1"/>
  <c r="O1075" i="1"/>
  <c r="N1075" i="1"/>
  <c r="M1075" i="1"/>
  <c r="L1075" i="1"/>
  <c r="K1083" i="1"/>
  <c r="R1083" i="1"/>
  <c r="J1083" i="1"/>
  <c r="Q1083" i="1"/>
  <c r="P1083" i="1"/>
  <c r="O1083" i="1"/>
  <c r="N1083" i="1"/>
  <c r="M1083" i="1"/>
  <c r="L1083"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Q849" i="1"/>
  <c r="P849" i="1"/>
  <c r="O849" i="1"/>
  <c r="N849" i="1"/>
  <c r="M849" i="1"/>
  <c r="L849" i="1"/>
  <c r="K849" i="1"/>
  <c r="R849" i="1"/>
  <c r="J849" i="1"/>
  <c r="O851" i="1"/>
  <c r="N851" i="1"/>
  <c r="M851" i="1"/>
  <c r="L851" i="1"/>
  <c r="K851" i="1"/>
  <c r="R851" i="1"/>
  <c r="J851" i="1"/>
  <c r="Q851" i="1"/>
  <c r="P851" i="1"/>
  <c r="O923" i="1"/>
  <c r="N923" i="1"/>
  <c r="M923" i="1"/>
  <c r="K923" i="1"/>
  <c r="R923" i="1"/>
  <c r="J923" i="1"/>
  <c r="Q923" i="1"/>
  <c r="P923" i="1"/>
  <c r="L923" i="1"/>
  <c r="A1696" i="1"/>
  <c r="N836" i="1"/>
  <c r="L836" i="1"/>
  <c r="K836" i="1"/>
  <c r="R836" i="1"/>
  <c r="J836" i="1"/>
  <c r="Q836" i="1"/>
  <c r="M836" i="1"/>
  <c r="P836" i="1"/>
  <c r="O836" i="1"/>
  <c r="N844" i="1"/>
  <c r="M844" i="1"/>
  <c r="L844" i="1"/>
  <c r="K844" i="1"/>
  <c r="R844" i="1"/>
  <c r="J844" i="1"/>
  <c r="Q844" i="1"/>
  <c r="P844" i="1"/>
  <c r="O844" i="1"/>
  <c r="N852" i="1"/>
  <c r="M852" i="1"/>
  <c r="L852" i="1"/>
  <c r="K852" i="1"/>
  <c r="R852" i="1"/>
  <c r="J852" i="1"/>
  <c r="Q852" i="1"/>
  <c r="P852" i="1"/>
  <c r="O852" i="1"/>
  <c r="N860" i="1"/>
  <c r="M860" i="1"/>
  <c r="L860" i="1"/>
  <c r="K860" i="1"/>
  <c r="R860" i="1"/>
  <c r="J860" i="1"/>
  <c r="Q860" i="1"/>
  <c r="P860" i="1"/>
  <c r="O860" i="1"/>
  <c r="N868" i="1"/>
  <c r="M868" i="1"/>
  <c r="L868" i="1"/>
  <c r="K868" i="1"/>
  <c r="R868" i="1"/>
  <c r="J868" i="1"/>
  <c r="Q868" i="1"/>
  <c r="P868" i="1"/>
  <c r="O868" i="1"/>
  <c r="N876" i="1"/>
  <c r="M876" i="1"/>
  <c r="L876" i="1"/>
  <c r="K876" i="1"/>
  <c r="R876" i="1"/>
  <c r="J876" i="1"/>
  <c r="Q876" i="1"/>
  <c r="P876" i="1"/>
  <c r="O876" i="1"/>
  <c r="N884" i="1"/>
  <c r="M884" i="1"/>
  <c r="L884" i="1"/>
  <c r="K884" i="1"/>
  <c r="R884" i="1"/>
  <c r="J884" i="1"/>
  <c r="Q884" i="1"/>
  <c r="P884" i="1"/>
  <c r="O884" i="1"/>
  <c r="N892" i="1"/>
  <c r="M892" i="1"/>
  <c r="L892" i="1"/>
  <c r="R892" i="1"/>
  <c r="J892" i="1"/>
  <c r="Q892" i="1"/>
  <c r="P892" i="1"/>
  <c r="O892" i="1"/>
  <c r="K892" i="1"/>
  <c r="N900" i="1"/>
  <c r="M900" i="1"/>
  <c r="L900" i="1"/>
  <c r="R900" i="1"/>
  <c r="J900" i="1"/>
  <c r="Q900" i="1"/>
  <c r="P900" i="1"/>
  <c r="O900" i="1"/>
  <c r="K900" i="1"/>
  <c r="N908" i="1"/>
  <c r="M908" i="1"/>
  <c r="L908" i="1"/>
  <c r="R908" i="1"/>
  <c r="J908" i="1"/>
  <c r="Q908" i="1"/>
  <c r="K908" i="1"/>
  <c r="P908" i="1"/>
  <c r="O908" i="1"/>
  <c r="N916" i="1"/>
  <c r="M916" i="1"/>
  <c r="L916" i="1"/>
  <c r="R916" i="1"/>
  <c r="J916" i="1"/>
  <c r="Q916" i="1"/>
  <c r="P916" i="1"/>
  <c r="O916" i="1"/>
  <c r="K916" i="1"/>
  <c r="N924" i="1"/>
  <c r="M924" i="1"/>
  <c r="L924" i="1"/>
  <c r="R924" i="1"/>
  <c r="J924" i="1"/>
  <c r="Q924" i="1"/>
  <c r="P924" i="1"/>
  <c r="O924" i="1"/>
  <c r="K924" i="1"/>
  <c r="N932" i="1"/>
  <c r="M932" i="1"/>
  <c r="L932" i="1"/>
  <c r="R932" i="1"/>
  <c r="J932" i="1"/>
  <c r="Q932" i="1"/>
  <c r="P932" i="1"/>
  <c r="O932" i="1"/>
  <c r="K932" i="1"/>
  <c r="N940" i="1"/>
  <c r="M940" i="1"/>
  <c r="L940" i="1"/>
  <c r="R940" i="1"/>
  <c r="J940" i="1"/>
  <c r="Q940" i="1"/>
  <c r="P940" i="1"/>
  <c r="O940" i="1"/>
  <c r="K940" i="1"/>
  <c r="N948" i="1"/>
  <c r="M948" i="1"/>
  <c r="L948" i="1"/>
  <c r="R948" i="1"/>
  <c r="J948" i="1"/>
  <c r="Q948" i="1"/>
  <c r="O948" i="1"/>
  <c r="K948" i="1"/>
  <c r="P948" i="1"/>
  <c r="R956" i="1"/>
  <c r="J956" i="1"/>
  <c r="Q956" i="1"/>
  <c r="P956" i="1"/>
  <c r="O956" i="1"/>
  <c r="N956" i="1"/>
  <c r="M956" i="1"/>
  <c r="L956" i="1"/>
  <c r="K956" i="1"/>
  <c r="R964" i="1"/>
  <c r="J964" i="1"/>
  <c r="Q964" i="1"/>
  <c r="P964" i="1"/>
  <c r="O964" i="1"/>
  <c r="N964" i="1"/>
  <c r="M964" i="1"/>
  <c r="L964" i="1"/>
  <c r="K964" i="1"/>
  <c r="R972" i="1"/>
  <c r="J972" i="1"/>
  <c r="Q972" i="1"/>
  <c r="P972" i="1"/>
  <c r="O972" i="1"/>
  <c r="N972" i="1"/>
  <c r="M972" i="1"/>
  <c r="L972" i="1"/>
  <c r="K972" i="1"/>
  <c r="R980" i="1"/>
  <c r="J980" i="1"/>
  <c r="Q980" i="1"/>
  <c r="P980" i="1"/>
  <c r="O980" i="1"/>
  <c r="N980" i="1"/>
  <c r="M980" i="1"/>
  <c r="L980" i="1"/>
  <c r="K980" i="1"/>
  <c r="R988" i="1"/>
  <c r="J988" i="1"/>
  <c r="Q988" i="1"/>
  <c r="P988" i="1"/>
  <c r="O988" i="1"/>
  <c r="N988" i="1"/>
  <c r="M988" i="1"/>
  <c r="L988" i="1"/>
  <c r="K988" i="1"/>
  <c r="R996" i="1"/>
  <c r="J996" i="1"/>
  <c r="Q996" i="1"/>
  <c r="P996" i="1"/>
  <c r="O996" i="1"/>
  <c r="N996" i="1"/>
  <c r="M996" i="1"/>
  <c r="L996" i="1"/>
  <c r="K996" i="1"/>
  <c r="R1004" i="1"/>
  <c r="J1004" i="1"/>
  <c r="Q1004" i="1"/>
  <c r="P1004" i="1"/>
  <c r="O1004" i="1"/>
  <c r="N1004" i="1"/>
  <c r="M1004" i="1"/>
  <c r="L1004" i="1"/>
  <c r="K1004" i="1"/>
  <c r="R1012" i="1"/>
  <c r="J1012" i="1"/>
  <c r="Q1012" i="1"/>
  <c r="P1012" i="1"/>
  <c r="O1012" i="1"/>
  <c r="N1012" i="1"/>
  <c r="M1012" i="1"/>
  <c r="L1012" i="1"/>
  <c r="K1012" i="1"/>
  <c r="R1020" i="1"/>
  <c r="J1020" i="1"/>
  <c r="Q1020" i="1"/>
  <c r="P1020" i="1"/>
  <c r="O1020" i="1"/>
  <c r="N1020" i="1"/>
  <c r="M1020" i="1"/>
  <c r="L1020" i="1"/>
  <c r="K1020" i="1"/>
  <c r="R1028" i="1"/>
  <c r="J1028" i="1"/>
  <c r="Q1028" i="1"/>
  <c r="P1028" i="1"/>
  <c r="O1028" i="1"/>
  <c r="N1028" i="1"/>
  <c r="M1028" i="1"/>
  <c r="L1028" i="1"/>
  <c r="K1028" i="1"/>
  <c r="R1036" i="1"/>
  <c r="J1036" i="1"/>
  <c r="Q1036" i="1"/>
  <c r="P1036" i="1"/>
  <c r="O1036" i="1"/>
  <c r="N1036" i="1"/>
  <c r="M1036" i="1"/>
  <c r="L1036" i="1"/>
  <c r="K1036" i="1"/>
  <c r="R1044" i="1"/>
  <c r="J1044" i="1"/>
  <c r="Q1044" i="1"/>
  <c r="P1044" i="1"/>
  <c r="O1044" i="1"/>
  <c r="N1044" i="1"/>
  <c r="M1044" i="1"/>
  <c r="L1044" i="1"/>
  <c r="K1044" i="1"/>
  <c r="R1052" i="1"/>
  <c r="J1052" i="1"/>
  <c r="Q1052" i="1"/>
  <c r="P1052" i="1"/>
  <c r="O1052" i="1"/>
  <c r="N1052" i="1"/>
  <c r="M1052" i="1"/>
  <c r="L1052" i="1"/>
  <c r="K1052" i="1"/>
  <c r="R1060" i="1"/>
  <c r="J1060" i="1"/>
  <c r="Q1060" i="1"/>
  <c r="P1060" i="1"/>
  <c r="O1060" i="1"/>
  <c r="N1060" i="1"/>
  <c r="M1060" i="1"/>
  <c r="L1060" i="1"/>
  <c r="K1060" i="1"/>
  <c r="R1068" i="1"/>
  <c r="J1068" i="1"/>
  <c r="Q1068" i="1"/>
  <c r="P1068" i="1"/>
  <c r="O1068" i="1"/>
  <c r="N1068" i="1"/>
  <c r="M1068" i="1"/>
  <c r="L1068" i="1"/>
  <c r="K1068" i="1"/>
  <c r="R1076" i="1"/>
  <c r="J1076" i="1"/>
  <c r="Q1076" i="1"/>
  <c r="P1076" i="1"/>
  <c r="O1076" i="1"/>
  <c r="N1076" i="1"/>
  <c r="M1076" i="1"/>
  <c r="L1076" i="1"/>
  <c r="K1076" i="1"/>
  <c r="R1084" i="1"/>
  <c r="J1084" i="1"/>
  <c r="Q1084" i="1"/>
  <c r="P1084" i="1"/>
  <c r="O1084" i="1"/>
  <c r="N1084" i="1"/>
  <c r="M1084" i="1"/>
  <c r="L1084" i="1"/>
  <c r="K1084" i="1"/>
  <c r="B842" i="1"/>
  <c r="B850" i="1"/>
  <c r="B858" i="1"/>
  <c r="B866" i="1"/>
  <c r="B874" i="1"/>
  <c r="B882" i="1"/>
  <c r="B890" i="1"/>
  <c r="B898" i="1"/>
  <c r="B906" i="1"/>
  <c r="B914" i="1"/>
  <c r="B922" i="1"/>
  <c r="B930" i="1"/>
  <c r="B938" i="1"/>
  <c r="B946" i="1"/>
  <c r="B954" i="1"/>
  <c r="B962" i="1"/>
  <c r="B970" i="1"/>
  <c r="B978" i="1"/>
  <c r="B986" i="1"/>
  <c r="B994" i="1"/>
  <c r="B1002" i="1"/>
  <c r="B1010" i="1"/>
  <c r="B1018" i="1"/>
  <c r="B1026" i="1"/>
  <c r="B1034" i="1"/>
  <c r="B1042" i="1"/>
  <c r="B1050" i="1"/>
  <c r="B1058" i="1"/>
  <c r="B1066" i="1"/>
  <c r="B1074" i="1"/>
  <c r="B1082" i="1"/>
  <c r="O843" i="1"/>
  <c r="M843" i="1"/>
  <c r="L843" i="1"/>
  <c r="K843" i="1"/>
  <c r="R843" i="1"/>
  <c r="J843" i="1"/>
  <c r="N843" i="1"/>
  <c r="Q843" i="1"/>
  <c r="P843" i="1"/>
  <c r="O875" i="1"/>
  <c r="N875" i="1"/>
  <c r="M875" i="1"/>
  <c r="L875" i="1"/>
  <c r="K875" i="1"/>
  <c r="R875" i="1"/>
  <c r="J875" i="1"/>
  <c r="Q875" i="1"/>
  <c r="P875" i="1"/>
  <c r="O899" i="1"/>
  <c r="N899" i="1"/>
  <c r="M899" i="1"/>
  <c r="K899" i="1"/>
  <c r="R899" i="1"/>
  <c r="J899" i="1"/>
  <c r="Q899" i="1"/>
  <c r="P899" i="1"/>
  <c r="L899" i="1"/>
  <c r="O947" i="1"/>
  <c r="N947" i="1"/>
  <c r="M947" i="1"/>
  <c r="K947" i="1"/>
  <c r="R947" i="1"/>
  <c r="J947" i="1"/>
  <c r="Q947" i="1"/>
  <c r="P947" i="1"/>
  <c r="L947" i="1"/>
  <c r="Q1744" i="1"/>
  <c r="M837" i="1"/>
  <c r="K837" i="1"/>
  <c r="R837" i="1"/>
  <c r="J837" i="1"/>
  <c r="Q837" i="1"/>
  <c r="P837" i="1"/>
  <c r="O837" i="1"/>
  <c r="N837" i="1"/>
  <c r="L837" i="1"/>
  <c r="M845" i="1"/>
  <c r="L845" i="1"/>
  <c r="K845" i="1"/>
  <c r="R845" i="1"/>
  <c r="J845" i="1"/>
  <c r="Q845" i="1"/>
  <c r="P845" i="1"/>
  <c r="O845" i="1"/>
  <c r="N845" i="1"/>
  <c r="M853" i="1"/>
  <c r="L853" i="1"/>
  <c r="K853" i="1"/>
  <c r="R853" i="1"/>
  <c r="J853" i="1"/>
  <c r="Q853" i="1"/>
  <c r="P853" i="1"/>
  <c r="O853" i="1"/>
  <c r="N853" i="1"/>
  <c r="M861" i="1"/>
  <c r="L861" i="1"/>
  <c r="K861" i="1"/>
  <c r="R861" i="1"/>
  <c r="J861" i="1"/>
  <c r="Q861" i="1"/>
  <c r="P861" i="1"/>
  <c r="O861" i="1"/>
  <c r="N861" i="1"/>
  <c r="M869" i="1"/>
  <c r="L869" i="1"/>
  <c r="K869" i="1"/>
  <c r="R869" i="1"/>
  <c r="J869" i="1"/>
  <c r="Q869" i="1"/>
  <c r="P869" i="1"/>
  <c r="O869" i="1"/>
  <c r="N869" i="1"/>
  <c r="M877" i="1"/>
  <c r="L877" i="1"/>
  <c r="K877" i="1"/>
  <c r="R877" i="1"/>
  <c r="J877" i="1"/>
  <c r="Q877" i="1"/>
  <c r="P877" i="1"/>
  <c r="O877" i="1"/>
  <c r="N877" i="1"/>
  <c r="M885" i="1"/>
  <c r="K885" i="1"/>
  <c r="O885" i="1"/>
  <c r="N885" i="1"/>
  <c r="L885" i="1"/>
  <c r="J885" i="1"/>
  <c r="R885" i="1"/>
  <c r="Q885" i="1"/>
  <c r="P885" i="1"/>
  <c r="M893" i="1"/>
  <c r="L893" i="1"/>
  <c r="K893" i="1"/>
  <c r="Q893" i="1"/>
  <c r="R893" i="1"/>
  <c r="P893" i="1"/>
  <c r="O893" i="1"/>
  <c r="N893" i="1"/>
  <c r="J893" i="1"/>
  <c r="M901" i="1"/>
  <c r="L901" i="1"/>
  <c r="K901" i="1"/>
  <c r="Q901" i="1"/>
  <c r="P901" i="1"/>
  <c r="J901" i="1"/>
  <c r="R901" i="1"/>
  <c r="O901" i="1"/>
  <c r="N901" i="1"/>
  <c r="M909" i="1"/>
  <c r="L909" i="1"/>
  <c r="K909" i="1"/>
  <c r="Q909" i="1"/>
  <c r="P909" i="1"/>
  <c r="R909" i="1"/>
  <c r="O909" i="1"/>
  <c r="N909" i="1"/>
  <c r="J909" i="1"/>
  <c r="M917" i="1"/>
  <c r="L917" i="1"/>
  <c r="K917" i="1"/>
  <c r="Q917" i="1"/>
  <c r="P917" i="1"/>
  <c r="O917" i="1"/>
  <c r="N917" i="1"/>
  <c r="J917" i="1"/>
  <c r="R917" i="1"/>
  <c r="M925" i="1"/>
  <c r="L925" i="1"/>
  <c r="K925" i="1"/>
  <c r="Q925" i="1"/>
  <c r="P925" i="1"/>
  <c r="R925" i="1"/>
  <c r="O925" i="1"/>
  <c r="N925" i="1"/>
  <c r="J925" i="1"/>
  <c r="M933" i="1"/>
  <c r="L933" i="1"/>
  <c r="K933" i="1"/>
  <c r="Q933" i="1"/>
  <c r="P933" i="1"/>
  <c r="R933" i="1"/>
  <c r="O933" i="1"/>
  <c r="N933" i="1"/>
  <c r="J933" i="1"/>
  <c r="M941" i="1"/>
  <c r="L941" i="1"/>
  <c r="K941" i="1"/>
  <c r="Q941" i="1"/>
  <c r="P941" i="1"/>
  <c r="N941" i="1"/>
  <c r="J941" i="1"/>
  <c r="R941" i="1"/>
  <c r="O941" i="1"/>
  <c r="M949" i="1"/>
  <c r="L949" i="1"/>
  <c r="K949" i="1"/>
  <c r="Q949" i="1"/>
  <c r="P949" i="1"/>
  <c r="R949" i="1"/>
  <c r="O949" i="1"/>
  <c r="N949" i="1"/>
  <c r="J949" i="1"/>
  <c r="Q957" i="1"/>
  <c r="P957" i="1"/>
  <c r="O957" i="1"/>
  <c r="N957" i="1"/>
  <c r="M957" i="1"/>
  <c r="L957" i="1"/>
  <c r="K957" i="1"/>
  <c r="J957" i="1"/>
  <c r="R957" i="1"/>
  <c r="Q965" i="1"/>
  <c r="P965" i="1"/>
  <c r="O965" i="1"/>
  <c r="N965" i="1"/>
  <c r="M965" i="1"/>
  <c r="L965" i="1"/>
  <c r="R965" i="1"/>
  <c r="K965" i="1"/>
  <c r="J965" i="1"/>
  <c r="Q973" i="1"/>
  <c r="P973" i="1"/>
  <c r="O973" i="1"/>
  <c r="N973" i="1"/>
  <c r="M973" i="1"/>
  <c r="L973" i="1"/>
  <c r="K973" i="1"/>
  <c r="J973" i="1"/>
  <c r="R973" i="1"/>
  <c r="Q981" i="1"/>
  <c r="P981" i="1"/>
  <c r="O981" i="1"/>
  <c r="N981" i="1"/>
  <c r="M981" i="1"/>
  <c r="L981" i="1"/>
  <c r="R981" i="1"/>
  <c r="K981" i="1"/>
  <c r="J981" i="1"/>
  <c r="Q989" i="1"/>
  <c r="P989" i="1"/>
  <c r="O989" i="1"/>
  <c r="N989" i="1"/>
  <c r="M989" i="1"/>
  <c r="L989" i="1"/>
  <c r="K989" i="1"/>
  <c r="J989" i="1"/>
  <c r="R989" i="1"/>
  <c r="Q997" i="1"/>
  <c r="P997" i="1"/>
  <c r="O997" i="1"/>
  <c r="N997" i="1"/>
  <c r="M997" i="1"/>
  <c r="L997" i="1"/>
  <c r="R997" i="1"/>
  <c r="K997" i="1"/>
  <c r="J997" i="1"/>
  <c r="Q1005" i="1"/>
  <c r="P1005" i="1"/>
  <c r="O1005" i="1"/>
  <c r="N1005" i="1"/>
  <c r="M1005" i="1"/>
  <c r="L1005" i="1"/>
  <c r="K1005" i="1"/>
  <c r="J1005" i="1"/>
  <c r="R1005" i="1"/>
  <c r="Q1013" i="1"/>
  <c r="P1013" i="1"/>
  <c r="O1013" i="1"/>
  <c r="N1013" i="1"/>
  <c r="M1013" i="1"/>
  <c r="L1013" i="1"/>
  <c r="K1013" i="1"/>
  <c r="J1013" i="1"/>
  <c r="R1013" i="1"/>
  <c r="Q1021" i="1"/>
  <c r="P1021" i="1"/>
  <c r="O1021" i="1"/>
  <c r="N1021" i="1"/>
  <c r="M1021" i="1"/>
  <c r="L1021" i="1"/>
  <c r="R1021" i="1"/>
  <c r="K1021" i="1"/>
  <c r="J1021" i="1"/>
  <c r="Q1029" i="1"/>
  <c r="P1029" i="1"/>
  <c r="O1029" i="1"/>
  <c r="N1029" i="1"/>
  <c r="M1029" i="1"/>
  <c r="L1029" i="1"/>
  <c r="R1029" i="1"/>
  <c r="K1029" i="1"/>
  <c r="J1029" i="1"/>
  <c r="Q1037" i="1"/>
  <c r="P1037" i="1"/>
  <c r="O1037" i="1"/>
  <c r="N1037" i="1"/>
  <c r="M1037" i="1"/>
  <c r="L1037" i="1"/>
  <c r="R1037" i="1"/>
  <c r="K1037" i="1"/>
  <c r="J1037" i="1"/>
  <c r="Q1045" i="1"/>
  <c r="P1045" i="1"/>
  <c r="O1045" i="1"/>
  <c r="N1045" i="1"/>
  <c r="M1045" i="1"/>
  <c r="L1045" i="1"/>
  <c r="K1045" i="1"/>
  <c r="J1045" i="1"/>
  <c r="R1045" i="1"/>
  <c r="Q1053" i="1"/>
  <c r="P1053" i="1"/>
  <c r="O1053" i="1"/>
  <c r="N1053" i="1"/>
  <c r="M1053" i="1"/>
  <c r="L1053" i="1"/>
  <c r="R1053" i="1"/>
  <c r="K1053" i="1"/>
  <c r="J1053" i="1"/>
  <c r="Q1061" i="1"/>
  <c r="P1061" i="1"/>
  <c r="O1061" i="1"/>
  <c r="N1061" i="1"/>
  <c r="M1061" i="1"/>
  <c r="L1061" i="1"/>
  <c r="R1061" i="1"/>
  <c r="K1061" i="1"/>
  <c r="J1061" i="1"/>
  <c r="Q1069" i="1"/>
  <c r="P1069" i="1"/>
  <c r="O1069" i="1"/>
  <c r="N1069" i="1"/>
  <c r="M1069" i="1"/>
  <c r="L1069" i="1"/>
  <c r="R1069" i="1"/>
  <c r="K1069" i="1"/>
  <c r="J1069" i="1"/>
  <c r="Q1077" i="1"/>
  <c r="P1077" i="1"/>
  <c r="O1077" i="1"/>
  <c r="N1077" i="1"/>
  <c r="M1077" i="1"/>
  <c r="L1077" i="1"/>
  <c r="K1077" i="1"/>
  <c r="J1077" i="1"/>
  <c r="R1077" i="1"/>
  <c r="A839" i="1"/>
  <c r="A843" i="1"/>
  <c r="A847" i="1"/>
  <c r="A851" i="1"/>
  <c r="A855" i="1"/>
  <c r="A859" i="1"/>
  <c r="A863" i="1"/>
  <c r="A871" i="1"/>
  <c r="A875" i="1"/>
  <c r="A879" i="1"/>
  <c r="A887" i="1"/>
  <c r="A891" i="1"/>
  <c r="A895" i="1"/>
  <c r="A899" i="1"/>
  <c r="A903" i="1"/>
  <c r="A907" i="1"/>
  <c r="A911" i="1"/>
  <c r="A919" i="1"/>
  <c r="A923" i="1"/>
  <c r="A927" i="1"/>
  <c r="A931" i="1"/>
  <c r="A935" i="1"/>
  <c r="A939" i="1"/>
  <c r="A943" i="1"/>
  <c r="A947" i="1"/>
  <c r="A951" i="1"/>
  <c r="A955" i="1"/>
  <c r="A959" i="1"/>
  <c r="A967" i="1"/>
  <c r="A971" i="1"/>
  <c r="A975" i="1"/>
  <c r="A979" i="1"/>
  <c r="A983" i="1"/>
  <c r="A987" i="1"/>
  <c r="A991" i="1"/>
  <c r="A995" i="1"/>
  <c r="A999" i="1"/>
  <c r="A1003" i="1"/>
  <c r="A1007" i="1"/>
  <c r="A1011" i="1"/>
  <c r="A1015" i="1"/>
  <c r="A1019" i="1"/>
  <c r="A1023" i="1"/>
  <c r="A1027" i="1"/>
  <c r="A1031" i="1"/>
  <c r="A1035" i="1"/>
  <c r="A1039" i="1"/>
  <c r="A1043" i="1"/>
  <c r="A1047" i="1"/>
  <c r="A1051" i="1"/>
  <c r="A1055" i="1"/>
  <c r="A1059" i="1"/>
  <c r="A1063" i="1"/>
  <c r="A1067" i="1"/>
  <c r="A1071" i="1"/>
  <c r="A1075" i="1"/>
  <c r="A1079" i="1"/>
  <c r="A1083" i="1"/>
  <c r="A293" i="1"/>
  <c r="Q841" i="1"/>
  <c r="O841" i="1"/>
  <c r="N841" i="1"/>
  <c r="M841" i="1"/>
  <c r="L841" i="1"/>
  <c r="P841" i="1"/>
  <c r="J841" i="1"/>
  <c r="R841" i="1"/>
  <c r="K841" i="1"/>
  <c r="Q865" i="1"/>
  <c r="P865" i="1"/>
  <c r="O865" i="1"/>
  <c r="N865" i="1"/>
  <c r="M865" i="1"/>
  <c r="L865" i="1"/>
  <c r="K865" i="1"/>
  <c r="R865" i="1"/>
  <c r="J865" i="1"/>
  <c r="Q889" i="1"/>
  <c r="P889" i="1"/>
  <c r="O889" i="1"/>
  <c r="M889" i="1"/>
  <c r="L889" i="1"/>
  <c r="K889" i="1"/>
  <c r="J889" i="1"/>
  <c r="R889" i="1"/>
  <c r="N889" i="1"/>
  <c r="Q905" i="1"/>
  <c r="P905" i="1"/>
  <c r="O905" i="1"/>
  <c r="M905" i="1"/>
  <c r="L905" i="1"/>
  <c r="R905" i="1"/>
  <c r="N905" i="1"/>
  <c r="K905" i="1"/>
  <c r="J905" i="1"/>
  <c r="Q921" i="1"/>
  <c r="P921" i="1"/>
  <c r="O921" i="1"/>
  <c r="M921" i="1"/>
  <c r="L921" i="1"/>
  <c r="R921" i="1"/>
  <c r="N921" i="1"/>
  <c r="K921" i="1"/>
  <c r="J921" i="1"/>
  <c r="Q929" i="1"/>
  <c r="P929" i="1"/>
  <c r="O929" i="1"/>
  <c r="M929" i="1"/>
  <c r="L929" i="1"/>
  <c r="N929" i="1"/>
  <c r="K929" i="1"/>
  <c r="J929" i="1"/>
  <c r="R929" i="1"/>
  <c r="Q937" i="1"/>
  <c r="P937" i="1"/>
  <c r="O937" i="1"/>
  <c r="M937" i="1"/>
  <c r="L937" i="1"/>
  <c r="R937" i="1"/>
  <c r="N937" i="1"/>
  <c r="K937" i="1"/>
  <c r="J937" i="1"/>
  <c r="L953" i="1"/>
  <c r="R953" i="1"/>
  <c r="Q953" i="1"/>
  <c r="P953" i="1"/>
  <c r="N953" i="1"/>
  <c r="M953" i="1"/>
  <c r="K953" i="1"/>
  <c r="J953" i="1"/>
  <c r="O953" i="1"/>
  <c r="M961" i="1"/>
  <c r="L961" i="1"/>
  <c r="K961" i="1"/>
  <c r="R961" i="1"/>
  <c r="J961" i="1"/>
  <c r="Q961" i="1"/>
  <c r="P961" i="1"/>
  <c r="N961" i="1"/>
  <c r="O961" i="1"/>
  <c r="M969" i="1"/>
  <c r="L969" i="1"/>
  <c r="K969" i="1"/>
  <c r="R969" i="1"/>
  <c r="J969" i="1"/>
  <c r="Q969" i="1"/>
  <c r="P969" i="1"/>
  <c r="O969" i="1"/>
  <c r="N969" i="1"/>
  <c r="M977" i="1"/>
  <c r="L977" i="1"/>
  <c r="K977" i="1"/>
  <c r="R977" i="1"/>
  <c r="J977" i="1"/>
  <c r="Q977" i="1"/>
  <c r="P977" i="1"/>
  <c r="O977" i="1"/>
  <c r="N977" i="1"/>
  <c r="M985" i="1"/>
  <c r="L985" i="1"/>
  <c r="K985" i="1"/>
  <c r="R985" i="1"/>
  <c r="J985" i="1"/>
  <c r="Q985" i="1"/>
  <c r="P985" i="1"/>
  <c r="O985" i="1"/>
  <c r="N985" i="1"/>
  <c r="M1001" i="1"/>
  <c r="L1001" i="1"/>
  <c r="K1001" i="1"/>
  <c r="R1001" i="1"/>
  <c r="J1001" i="1"/>
  <c r="Q1001" i="1"/>
  <c r="P1001" i="1"/>
  <c r="O1001" i="1"/>
  <c r="N1001" i="1"/>
  <c r="M1009" i="1"/>
  <c r="L1009" i="1"/>
  <c r="K1009" i="1"/>
  <c r="R1009" i="1"/>
  <c r="J1009" i="1"/>
  <c r="Q1009" i="1"/>
  <c r="P1009" i="1"/>
  <c r="O1009" i="1"/>
  <c r="N1009" i="1"/>
  <c r="M1017" i="1"/>
  <c r="L1017" i="1"/>
  <c r="K1017" i="1"/>
  <c r="R1017" i="1"/>
  <c r="J1017" i="1"/>
  <c r="Q1017" i="1"/>
  <c r="P1017" i="1"/>
  <c r="O1017" i="1"/>
  <c r="N1017" i="1"/>
  <c r="M1025" i="1"/>
  <c r="L1025" i="1"/>
  <c r="K1025" i="1"/>
  <c r="R1025" i="1"/>
  <c r="J1025" i="1"/>
  <c r="Q1025" i="1"/>
  <c r="P1025" i="1"/>
  <c r="O1025" i="1"/>
  <c r="N1025" i="1"/>
  <c r="M1033" i="1"/>
  <c r="L1033" i="1"/>
  <c r="K1033" i="1"/>
  <c r="R1033" i="1"/>
  <c r="J1033" i="1"/>
  <c r="Q1033" i="1"/>
  <c r="P1033" i="1"/>
  <c r="O1033" i="1"/>
  <c r="N1033" i="1"/>
  <c r="M1041" i="1"/>
  <c r="L1041" i="1"/>
  <c r="K1041" i="1"/>
  <c r="R1041" i="1"/>
  <c r="J1041" i="1"/>
  <c r="Q1041" i="1"/>
  <c r="P1041" i="1"/>
  <c r="O1041" i="1"/>
  <c r="N1041" i="1"/>
  <c r="M1049" i="1"/>
  <c r="L1049" i="1"/>
  <c r="K1049" i="1"/>
  <c r="R1049" i="1"/>
  <c r="J1049" i="1"/>
  <c r="Q1049" i="1"/>
  <c r="P1049" i="1"/>
  <c r="O1049" i="1"/>
  <c r="N1049" i="1"/>
  <c r="M1057" i="1"/>
  <c r="L1057" i="1"/>
  <c r="K1057" i="1"/>
  <c r="R1057" i="1"/>
  <c r="J1057" i="1"/>
  <c r="Q1057" i="1"/>
  <c r="P1057" i="1"/>
  <c r="O1057" i="1"/>
  <c r="N1057" i="1"/>
  <c r="M1065" i="1"/>
  <c r="L1065" i="1"/>
  <c r="K1065" i="1"/>
  <c r="R1065" i="1"/>
  <c r="J1065" i="1"/>
  <c r="Q1065" i="1"/>
  <c r="P1065" i="1"/>
  <c r="O1065" i="1"/>
  <c r="N1065" i="1"/>
  <c r="M1073" i="1"/>
  <c r="L1073" i="1"/>
  <c r="K1073" i="1"/>
  <c r="R1073" i="1"/>
  <c r="J1073" i="1"/>
  <c r="Q1073" i="1"/>
  <c r="P1073" i="1"/>
  <c r="O1073" i="1"/>
  <c r="N1073" i="1"/>
  <c r="M1081" i="1"/>
  <c r="L1081" i="1"/>
  <c r="K1081" i="1"/>
  <c r="R1081" i="1"/>
  <c r="J1081" i="1"/>
  <c r="Q1081" i="1"/>
  <c r="P1081" i="1"/>
  <c r="O1081" i="1"/>
  <c r="N1081" i="1"/>
  <c r="A841" i="1"/>
  <c r="A865" i="1"/>
  <c r="A873" i="1"/>
  <c r="A897" i="1"/>
  <c r="A929" i="1"/>
  <c r="A961" i="1"/>
  <c r="A1017" i="1"/>
  <c r="A1025" i="1"/>
  <c r="O867" i="1"/>
  <c r="N867" i="1"/>
  <c r="M867" i="1"/>
  <c r="L867" i="1"/>
  <c r="K867" i="1"/>
  <c r="R867" i="1"/>
  <c r="J867" i="1"/>
  <c r="Q867" i="1"/>
  <c r="P867" i="1"/>
  <c r="O883" i="1"/>
  <c r="N883" i="1"/>
  <c r="M883" i="1"/>
  <c r="L883" i="1"/>
  <c r="K883" i="1"/>
  <c r="R883" i="1"/>
  <c r="J883" i="1"/>
  <c r="Q883" i="1"/>
  <c r="P883" i="1"/>
  <c r="O915" i="1"/>
  <c r="N915" i="1"/>
  <c r="M915" i="1"/>
  <c r="K915" i="1"/>
  <c r="R915" i="1"/>
  <c r="J915" i="1"/>
  <c r="L915" i="1"/>
  <c r="Q915" i="1"/>
  <c r="P915" i="1"/>
  <c r="K963" i="1"/>
  <c r="R963" i="1"/>
  <c r="J963" i="1"/>
  <c r="Q963" i="1"/>
  <c r="P963" i="1"/>
  <c r="O963" i="1"/>
  <c r="N963" i="1"/>
  <c r="M963" i="1"/>
  <c r="L963" i="1"/>
  <c r="L838" i="1"/>
  <c r="R838" i="1"/>
  <c r="J838" i="1"/>
  <c r="Q838" i="1"/>
  <c r="P838" i="1"/>
  <c r="O838" i="1"/>
  <c r="M838" i="1"/>
  <c r="K838" i="1"/>
  <c r="N838" i="1"/>
  <c r="L846" i="1"/>
  <c r="K846" i="1"/>
  <c r="R846" i="1"/>
  <c r="J846" i="1"/>
  <c r="Q846" i="1"/>
  <c r="P846" i="1"/>
  <c r="O846" i="1"/>
  <c r="N846" i="1"/>
  <c r="M846" i="1"/>
  <c r="L854" i="1"/>
  <c r="K854" i="1"/>
  <c r="R854" i="1"/>
  <c r="J854" i="1"/>
  <c r="Q854" i="1"/>
  <c r="P854" i="1"/>
  <c r="O854" i="1"/>
  <c r="N854" i="1"/>
  <c r="M854" i="1"/>
  <c r="L862" i="1"/>
  <c r="K862" i="1"/>
  <c r="R862" i="1"/>
  <c r="J862" i="1"/>
  <c r="Q862" i="1"/>
  <c r="P862" i="1"/>
  <c r="O862" i="1"/>
  <c r="N862" i="1"/>
  <c r="M862" i="1"/>
  <c r="L870" i="1"/>
  <c r="K870" i="1"/>
  <c r="R870" i="1"/>
  <c r="J870" i="1"/>
  <c r="Q870" i="1"/>
  <c r="P870" i="1"/>
  <c r="O870" i="1"/>
  <c r="N870" i="1"/>
  <c r="M870" i="1"/>
  <c r="L878" i="1"/>
  <c r="K878" i="1"/>
  <c r="R878" i="1"/>
  <c r="J878" i="1"/>
  <c r="Q878" i="1"/>
  <c r="P878" i="1"/>
  <c r="O878" i="1"/>
  <c r="N878" i="1"/>
  <c r="M878" i="1"/>
  <c r="L886" i="1"/>
  <c r="R886" i="1"/>
  <c r="J886" i="1"/>
  <c r="P886" i="1"/>
  <c r="O886" i="1"/>
  <c r="N886" i="1"/>
  <c r="M886" i="1"/>
  <c r="K886" i="1"/>
  <c r="Q886" i="1"/>
  <c r="L894" i="1"/>
  <c r="K894" i="1"/>
  <c r="R894" i="1"/>
  <c r="J894" i="1"/>
  <c r="P894" i="1"/>
  <c r="O894" i="1"/>
  <c r="N894" i="1"/>
  <c r="M894" i="1"/>
  <c r="Q894" i="1"/>
  <c r="L902" i="1"/>
  <c r="K902" i="1"/>
  <c r="R902" i="1"/>
  <c r="J902" i="1"/>
  <c r="P902" i="1"/>
  <c r="O902" i="1"/>
  <c r="Q902" i="1"/>
  <c r="N902" i="1"/>
  <c r="M902" i="1"/>
  <c r="L910" i="1"/>
  <c r="K910" i="1"/>
  <c r="R910" i="1"/>
  <c r="J910" i="1"/>
  <c r="P910" i="1"/>
  <c r="O910" i="1"/>
  <c r="N910" i="1"/>
  <c r="M910" i="1"/>
  <c r="Q910" i="1"/>
  <c r="L918" i="1"/>
  <c r="K918" i="1"/>
  <c r="R918" i="1"/>
  <c r="J918" i="1"/>
  <c r="P918" i="1"/>
  <c r="O918" i="1"/>
  <c r="Q918" i="1"/>
  <c r="N918" i="1"/>
  <c r="M918" i="1"/>
  <c r="L926" i="1"/>
  <c r="K926" i="1"/>
  <c r="R926" i="1"/>
  <c r="J926" i="1"/>
  <c r="P926" i="1"/>
  <c r="O926" i="1"/>
  <c r="Q926" i="1"/>
  <c r="N926" i="1"/>
  <c r="M926" i="1"/>
  <c r="L934" i="1"/>
  <c r="K934" i="1"/>
  <c r="R934" i="1"/>
  <c r="J934" i="1"/>
  <c r="P934" i="1"/>
  <c r="O934" i="1"/>
  <c r="M934" i="1"/>
  <c r="Q934" i="1"/>
  <c r="N934" i="1"/>
  <c r="L942" i="1"/>
  <c r="K942" i="1"/>
  <c r="R942" i="1"/>
  <c r="J942" i="1"/>
  <c r="P942" i="1"/>
  <c r="O942" i="1"/>
  <c r="Q942" i="1"/>
  <c r="N942" i="1"/>
  <c r="M942" i="1"/>
  <c r="L950" i="1"/>
  <c r="K950" i="1"/>
  <c r="R950" i="1"/>
  <c r="J950" i="1"/>
  <c r="P950" i="1"/>
  <c r="O950" i="1"/>
  <c r="Q950" i="1"/>
  <c r="N950" i="1"/>
  <c r="M950" i="1"/>
  <c r="P958" i="1"/>
  <c r="O958" i="1"/>
  <c r="N958" i="1"/>
  <c r="M958" i="1"/>
  <c r="L958" i="1"/>
  <c r="K958" i="1"/>
  <c r="R958" i="1"/>
  <c r="Q958" i="1"/>
  <c r="J958" i="1"/>
  <c r="P966" i="1"/>
  <c r="O966" i="1"/>
  <c r="N966" i="1"/>
  <c r="M966" i="1"/>
  <c r="L966" i="1"/>
  <c r="K966" i="1"/>
  <c r="R966" i="1"/>
  <c r="J966" i="1"/>
  <c r="Q966" i="1"/>
  <c r="P974" i="1"/>
  <c r="O974" i="1"/>
  <c r="N974" i="1"/>
  <c r="M974" i="1"/>
  <c r="L974" i="1"/>
  <c r="K974" i="1"/>
  <c r="R974" i="1"/>
  <c r="Q974" i="1"/>
  <c r="J974" i="1"/>
  <c r="P982" i="1"/>
  <c r="O982" i="1"/>
  <c r="N982" i="1"/>
  <c r="M982" i="1"/>
  <c r="L982" i="1"/>
  <c r="K982" i="1"/>
  <c r="J982" i="1"/>
  <c r="R982" i="1"/>
  <c r="Q982" i="1"/>
  <c r="P990" i="1"/>
  <c r="O990" i="1"/>
  <c r="N990" i="1"/>
  <c r="M990" i="1"/>
  <c r="L990" i="1"/>
  <c r="K990" i="1"/>
  <c r="R990" i="1"/>
  <c r="Q990" i="1"/>
  <c r="J990" i="1"/>
  <c r="P998" i="1"/>
  <c r="O998" i="1"/>
  <c r="N998" i="1"/>
  <c r="M998" i="1"/>
  <c r="L998" i="1"/>
  <c r="K998" i="1"/>
  <c r="R998" i="1"/>
  <c r="J998" i="1"/>
  <c r="Q998" i="1"/>
  <c r="P1006" i="1"/>
  <c r="O1006" i="1"/>
  <c r="N1006" i="1"/>
  <c r="M1006" i="1"/>
  <c r="L1006" i="1"/>
  <c r="K1006" i="1"/>
  <c r="R1006" i="1"/>
  <c r="Q1006" i="1"/>
  <c r="J1006" i="1"/>
  <c r="P1014" i="1"/>
  <c r="O1014" i="1"/>
  <c r="N1014" i="1"/>
  <c r="M1014" i="1"/>
  <c r="L1014" i="1"/>
  <c r="K1014" i="1"/>
  <c r="R1014" i="1"/>
  <c r="Q1014" i="1"/>
  <c r="J1014" i="1"/>
  <c r="P1022" i="1"/>
  <c r="O1022" i="1"/>
  <c r="N1022" i="1"/>
  <c r="M1022" i="1"/>
  <c r="L1022" i="1"/>
  <c r="K1022" i="1"/>
  <c r="R1022" i="1"/>
  <c r="Q1022" i="1"/>
  <c r="J1022" i="1"/>
  <c r="P1030" i="1"/>
  <c r="O1030" i="1"/>
  <c r="N1030" i="1"/>
  <c r="M1030" i="1"/>
  <c r="L1030" i="1"/>
  <c r="K1030" i="1"/>
  <c r="R1030" i="1"/>
  <c r="Q1030" i="1"/>
  <c r="J1030" i="1"/>
  <c r="P1038" i="1"/>
  <c r="O1038" i="1"/>
  <c r="N1038" i="1"/>
  <c r="M1038" i="1"/>
  <c r="L1038" i="1"/>
  <c r="K1038" i="1"/>
  <c r="J1038" i="1"/>
  <c r="R1038" i="1"/>
  <c r="Q1038" i="1"/>
  <c r="P1046" i="1"/>
  <c r="O1046" i="1"/>
  <c r="N1046" i="1"/>
  <c r="M1046" i="1"/>
  <c r="L1046" i="1"/>
  <c r="K1046" i="1"/>
  <c r="R1046" i="1"/>
  <c r="Q1046" i="1"/>
  <c r="J1046" i="1"/>
  <c r="P1054" i="1"/>
  <c r="O1054" i="1"/>
  <c r="N1054" i="1"/>
  <c r="M1054" i="1"/>
  <c r="L1054" i="1"/>
  <c r="K1054" i="1"/>
  <c r="R1054" i="1"/>
  <c r="Q1054" i="1"/>
  <c r="J1054" i="1"/>
  <c r="P1062" i="1"/>
  <c r="O1062" i="1"/>
  <c r="N1062" i="1"/>
  <c r="M1062" i="1"/>
  <c r="L1062" i="1"/>
  <c r="K1062" i="1"/>
  <c r="R1062" i="1"/>
  <c r="Q1062" i="1"/>
  <c r="J1062" i="1"/>
  <c r="P1070" i="1"/>
  <c r="O1070" i="1"/>
  <c r="N1070" i="1"/>
  <c r="M1070" i="1"/>
  <c r="L1070" i="1"/>
  <c r="K1070" i="1"/>
  <c r="J1070" i="1"/>
  <c r="R1070" i="1"/>
  <c r="Q1070" i="1"/>
  <c r="P1078" i="1"/>
  <c r="O1078" i="1"/>
  <c r="N1078" i="1"/>
  <c r="M1078" i="1"/>
  <c r="L1078" i="1"/>
  <c r="K1078" i="1"/>
  <c r="R1078" i="1"/>
  <c r="Q1078" i="1"/>
  <c r="J1078" i="1"/>
  <c r="B843" i="1"/>
  <c r="B851" i="1"/>
  <c r="B859" i="1"/>
  <c r="B867" i="1"/>
  <c r="B875" i="1"/>
  <c r="B883" i="1"/>
  <c r="B891" i="1"/>
  <c r="B899" i="1"/>
  <c r="B907" i="1"/>
  <c r="B915" i="1"/>
  <c r="B923" i="1"/>
  <c r="B931" i="1"/>
  <c r="B939" i="1"/>
  <c r="B947" i="1"/>
  <c r="B955" i="1"/>
  <c r="B963" i="1"/>
  <c r="B971" i="1"/>
  <c r="B979" i="1"/>
  <c r="B987" i="1"/>
  <c r="B995" i="1"/>
  <c r="B1003" i="1"/>
  <c r="B1011" i="1"/>
  <c r="B1019" i="1"/>
  <c r="B1027" i="1"/>
  <c r="B1035" i="1"/>
  <c r="B1043" i="1"/>
  <c r="B1051" i="1"/>
  <c r="B1059" i="1"/>
  <c r="B1067" i="1"/>
  <c r="B1075" i="1"/>
  <c r="B1083" i="1"/>
  <c r="Q881" i="1"/>
  <c r="P881" i="1"/>
  <c r="O881" i="1"/>
  <c r="N881" i="1"/>
  <c r="M881" i="1"/>
  <c r="L881" i="1"/>
  <c r="K881" i="1"/>
  <c r="R881" i="1"/>
  <c r="J881" i="1"/>
  <c r="A849" i="1"/>
  <c r="A881" i="1"/>
  <c r="A913" i="1"/>
  <c r="A945" i="1"/>
  <c r="A977" i="1"/>
  <c r="A985" i="1"/>
  <c r="A993" i="1"/>
  <c r="A1033" i="1"/>
  <c r="A1081" i="1"/>
  <c r="K839" i="1"/>
  <c r="Q839" i="1"/>
  <c r="P839" i="1"/>
  <c r="O839" i="1"/>
  <c r="N839" i="1"/>
  <c r="L839" i="1"/>
  <c r="R839" i="1"/>
  <c r="M839" i="1"/>
  <c r="J839" i="1"/>
  <c r="K847" i="1"/>
  <c r="R847" i="1"/>
  <c r="J847" i="1"/>
  <c r="Q847" i="1"/>
  <c r="P847" i="1"/>
  <c r="O847" i="1"/>
  <c r="N847" i="1"/>
  <c r="M847" i="1"/>
  <c r="L847" i="1"/>
  <c r="K855" i="1"/>
  <c r="R855" i="1"/>
  <c r="J855" i="1"/>
  <c r="Q855" i="1"/>
  <c r="P855" i="1"/>
  <c r="O855" i="1"/>
  <c r="N855" i="1"/>
  <c r="M855" i="1"/>
  <c r="L855" i="1"/>
  <c r="K863" i="1"/>
  <c r="R863" i="1"/>
  <c r="J863" i="1"/>
  <c r="Q863" i="1"/>
  <c r="P863" i="1"/>
  <c r="O863" i="1"/>
  <c r="N863" i="1"/>
  <c r="M863" i="1"/>
  <c r="L863" i="1"/>
  <c r="K871" i="1"/>
  <c r="R871" i="1"/>
  <c r="J871" i="1"/>
  <c r="Q871" i="1"/>
  <c r="P871" i="1"/>
  <c r="O871" i="1"/>
  <c r="N871" i="1"/>
  <c r="M871" i="1"/>
  <c r="L871" i="1"/>
  <c r="K879" i="1"/>
  <c r="R879" i="1"/>
  <c r="J879" i="1"/>
  <c r="Q879" i="1"/>
  <c r="P879" i="1"/>
  <c r="O879" i="1"/>
  <c r="N879" i="1"/>
  <c r="M879" i="1"/>
  <c r="L879" i="1"/>
  <c r="K887" i="1"/>
  <c r="Q887" i="1"/>
  <c r="R887" i="1"/>
  <c r="P887" i="1"/>
  <c r="O887" i="1"/>
  <c r="N887" i="1"/>
  <c r="M887" i="1"/>
  <c r="L887" i="1"/>
  <c r="J887" i="1"/>
  <c r="K895" i="1"/>
  <c r="R895" i="1"/>
  <c r="J895" i="1"/>
  <c r="Q895" i="1"/>
  <c r="O895" i="1"/>
  <c r="P895" i="1"/>
  <c r="N895" i="1"/>
  <c r="M895" i="1"/>
  <c r="L895" i="1"/>
  <c r="K903" i="1"/>
  <c r="R903" i="1"/>
  <c r="J903" i="1"/>
  <c r="Q903" i="1"/>
  <c r="O903" i="1"/>
  <c r="N903" i="1"/>
  <c r="M903" i="1"/>
  <c r="L903" i="1"/>
  <c r="P903" i="1"/>
  <c r="K911" i="1"/>
  <c r="R911" i="1"/>
  <c r="J911" i="1"/>
  <c r="Q911" i="1"/>
  <c r="O911" i="1"/>
  <c r="N911" i="1"/>
  <c r="P911" i="1"/>
  <c r="M911" i="1"/>
  <c r="L911" i="1"/>
  <c r="K919" i="1"/>
  <c r="R919" i="1"/>
  <c r="J919" i="1"/>
  <c r="Q919" i="1"/>
  <c r="O919" i="1"/>
  <c r="N919" i="1"/>
  <c r="P919" i="1"/>
  <c r="M919" i="1"/>
  <c r="L919" i="1"/>
  <c r="K927" i="1"/>
  <c r="R927" i="1"/>
  <c r="J927" i="1"/>
  <c r="Q927" i="1"/>
  <c r="O927" i="1"/>
  <c r="N927" i="1"/>
  <c r="L927" i="1"/>
  <c r="P927" i="1"/>
  <c r="M927" i="1"/>
  <c r="K935" i="1"/>
  <c r="R935" i="1"/>
  <c r="J935" i="1"/>
  <c r="Q935" i="1"/>
  <c r="O935" i="1"/>
  <c r="N935" i="1"/>
  <c r="P935" i="1"/>
  <c r="M935" i="1"/>
  <c r="L935" i="1"/>
  <c r="K943" i="1"/>
  <c r="R943" i="1"/>
  <c r="J943" i="1"/>
  <c r="Q943" i="1"/>
  <c r="O943" i="1"/>
  <c r="N943" i="1"/>
  <c r="P943" i="1"/>
  <c r="M943" i="1"/>
  <c r="L943" i="1"/>
  <c r="K951" i="1"/>
  <c r="R951" i="1"/>
  <c r="J951" i="1"/>
  <c r="Q951" i="1"/>
  <c r="O951" i="1"/>
  <c r="N951" i="1"/>
  <c r="P951" i="1"/>
  <c r="M951" i="1"/>
  <c r="L951" i="1"/>
  <c r="O959" i="1"/>
  <c r="N959" i="1"/>
  <c r="M959" i="1"/>
  <c r="L959" i="1"/>
  <c r="K959" i="1"/>
  <c r="R959" i="1"/>
  <c r="J959" i="1"/>
  <c r="Q959" i="1"/>
  <c r="P959" i="1"/>
  <c r="O967" i="1"/>
  <c r="N967" i="1"/>
  <c r="M967" i="1"/>
  <c r="L967" i="1"/>
  <c r="K967" i="1"/>
  <c r="R967" i="1"/>
  <c r="J967" i="1"/>
  <c r="Q967" i="1"/>
  <c r="P967" i="1"/>
  <c r="O975" i="1"/>
  <c r="N975" i="1"/>
  <c r="M975" i="1"/>
  <c r="L975" i="1"/>
  <c r="K975" i="1"/>
  <c r="R975" i="1"/>
  <c r="J975" i="1"/>
  <c r="Q975" i="1"/>
  <c r="P975" i="1"/>
  <c r="O983" i="1"/>
  <c r="N983" i="1"/>
  <c r="M983" i="1"/>
  <c r="L983" i="1"/>
  <c r="K983" i="1"/>
  <c r="R983" i="1"/>
  <c r="J983" i="1"/>
  <c r="Q983" i="1"/>
  <c r="P983" i="1"/>
  <c r="O991" i="1"/>
  <c r="N991" i="1"/>
  <c r="M991" i="1"/>
  <c r="L991" i="1"/>
  <c r="K991" i="1"/>
  <c r="R991" i="1"/>
  <c r="J991" i="1"/>
  <c r="Q991" i="1"/>
  <c r="P991" i="1"/>
  <c r="O999" i="1"/>
  <c r="N999" i="1"/>
  <c r="M999" i="1"/>
  <c r="L999" i="1"/>
  <c r="K999" i="1"/>
  <c r="R999" i="1"/>
  <c r="J999" i="1"/>
  <c r="Q999" i="1"/>
  <c r="P999" i="1"/>
  <c r="O1007" i="1"/>
  <c r="N1007" i="1"/>
  <c r="M1007" i="1"/>
  <c r="L1007" i="1"/>
  <c r="K1007" i="1"/>
  <c r="R1007" i="1"/>
  <c r="J1007" i="1"/>
  <c r="Q1007" i="1"/>
  <c r="P1007" i="1"/>
  <c r="O1015" i="1"/>
  <c r="N1015" i="1"/>
  <c r="M1015" i="1"/>
  <c r="L1015" i="1"/>
  <c r="K1015" i="1"/>
  <c r="R1015" i="1"/>
  <c r="J1015" i="1"/>
  <c r="Q1015" i="1"/>
  <c r="P1015" i="1"/>
  <c r="O1023" i="1"/>
  <c r="N1023" i="1"/>
  <c r="M1023" i="1"/>
  <c r="L1023" i="1"/>
  <c r="K1023" i="1"/>
  <c r="R1023" i="1"/>
  <c r="J1023" i="1"/>
  <c r="Q1023" i="1"/>
  <c r="P1023" i="1"/>
  <c r="O1031" i="1"/>
  <c r="N1031" i="1"/>
  <c r="M1031" i="1"/>
  <c r="L1031" i="1"/>
  <c r="K1031" i="1"/>
  <c r="R1031" i="1"/>
  <c r="J1031" i="1"/>
  <c r="Q1031" i="1"/>
  <c r="P1031" i="1"/>
  <c r="O1039" i="1"/>
  <c r="N1039" i="1"/>
  <c r="M1039" i="1"/>
  <c r="L1039" i="1"/>
  <c r="K1039" i="1"/>
  <c r="R1039" i="1"/>
  <c r="J1039" i="1"/>
  <c r="Q1039" i="1"/>
  <c r="P1039" i="1"/>
  <c r="O1047" i="1"/>
  <c r="N1047" i="1"/>
  <c r="M1047" i="1"/>
  <c r="L1047" i="1"/>
  <c r="K1047" i="1"/>
  <c r="R1047" i="1"/>
  <c r="J1047" i="1"/>
  <c r="Q1047" i="1"/>
  <c r="P1047" i="1"/>
  <c r="O1055" i="1"/>
  <c r="N1055" i="1"/>
  <c r="M1055" i="1"/>
  <c r="L1055" i="1"/>
  <c r="K1055" i="1"/>
  <c r="R1055" i="1"/>
  <c r="J1055" i="1"/>
  <c r="Q1055" i="1"/>
  <c r="P1055" i="1"/>
  <c r="O1063" i="1"/>
  <c r="N1063" i="1"/>
  <c r="M1063" i="1"/>
  <c r="L1063" i="1"/>
  <c r="K1063" i="1"/>
  <c r="R1063" i="1"/>
  <c r="J1063" i="1"/>
  <c r="Q1063" i="1"/>
  <c r="P1063" i="1"/>
  <c r="O1071" i="1"/>
  <c r="N1071" i="1"/>
  <c r="M1071" i="1"/>
  <c r="L1071" i="1"/>
  <c r="K1071" i="1"/>
  <c r="R1071" i="1"/>
  <c r="J1071" i="1"/>
  <c r="Q1071" i="1"/>
  <c r="P1071" i="1"/>
  <c r="O1079" i="1"/>
  <c r="N1079" i="1"/>
  <c r="M1079" i="1"/>
  <c r="L1079" i="1"/>
  <c r="K1079" i="1"/>
  <c r="R1079" i="1"/>
  <c r="J1079" i="1"/>
  <c r="Q1079" i="1"/>
  <c r="P1079" i="1"/>
  <c r="A836" i="1"/>
  <c r="A844" i="1"/>
  <c r="A852" i="1"/>
  <c r="A860" i="1"/>
  <c r="A868" i="1"/>
  <c r="A876" i="1"/>
  <c r="A884" i="1"/>
  <c r="A892" i="1"/>
  <c r="A900" i="1"/>
  <c r="A908" i="1"/>
  <c r="A916" i="1"/>
  <c r="A924" i="1"/>
  <c r="A932" i="1"/>
  <c r="A940" i="1"/>
  <c r="A948" i="1"/>
  <c r="A956" i="1"/>
  <c r="A964" i="1"/>
  <c r="A972" i="1"/>
  <c r="A980" i="1"/>
  <c r="A988" i="1"/>
  <c r="A996" i="1"/>
  <c r="A1004" i="1"/>
  <c r="A1012" i="1"/>
  <c r="A1020" i="1"/>
  <c r="A1028" i="1"/>
  <c r="A1036" i="1"/>
  <c r="A1044" i="1"/>
  <c r="A1052" i="1"/>
  <c r="A1060" i="1"/>
  <c r="A1068" i="1"/>
  <c r="A1076" i="1"/>
  <c r="A1084" i="1"/>
  <c r="A1001" i="1"/>
  <c r="A1041" i="1"/>
  <c r="Q1776" i="1"/>
  <c r="R840" i="1"/>
  <c r="J840" i="1"/>
  <c r="P840" i="1"/>
  <c r="O840" i="1"/>
  <c r="N840" i="1"/>
  <c r="M840" i="1"/>
  <c r="Q840" i="1"/>
  <c r="L840" i="1"/>
  <c r="K840" i="1"/>
  <c r="R848" i="1"/>
  <c r="J848" i="1"/>
  <c r="Q848" i="1"/>
  <c r="P848" i="1"/>
  <c r="O848" i="1"/>
  <c r="N848" i="1"/>
  <c r="M848" i="1"/>
  <c r="L848" i="1"/>
  <c r="K848" i="1"/>
  <c r="R856" i="1"/>
  <c r="J856" i="1"/>
  <c r="Q856" i="1"/>
  <c r="P856" i="1"/>
  <c r="O856" i="1"/>
  <c r="N856" i="1"/>
  <c r="M856" i="1"/>
  <c r="L856" i="1"/>
  <c r="K856" i="1"/>
  <c r="R864" i="1"/>
  <c r="J864" i="1"/>
  <c r="Q864" i="1"/>
  <c r="P864" i="1"/>
  <c r="O864" i="1"/>
  <c r="N864" i="1"/>
  <c r="M864" i="1"/>
  <c r="L864" i="1"/>
  <c r="K864" i="1"/>
  <c r="R872" i="1"/>
  <c r="J872" i="1"/>
  <c r="Q872" i="1"/>
  <c r="P872" i="1"/>
  <c r="O872" i="1"/>
  <c r="N872" i="1"/>
  <c r="M872" i="1"/>
  <c r="L872" i="1"/>
  <c r="K872" i="1"/>
  <c r="R880" i="1"/>
  <c r="J880" i="1"/>
  <c r="Q880" i="1"/>
  <c r="P880" i="1"/>
  <c r="O880" i="1"/>
  <c r="N880" i="1"/>
  <c r="M880" i="1"/>
  <c r="L880" i="1"/>
  <c r="K880" i="1"/>
  <c r="R888" i="1"/>
  <c r="J888" i="1"/>
  <c r="Q888" i="1"/>
  <c r="P888" i="1"/>
  <c r="O888" i="1"/>
  <c r="N888" i="1"/>
  <c r="M888" i="1"/>
  <c r="L888" i="1"/>
  <c r="K888" i="1"/>
  <c r="R896" i="1"/>
  <c r="J896" i="1"/>
  <c r="Q896" i="1"/>
  <c r="P896" i="1"/>
  <c r="N896" i="1"/>
  <c r="M896" i="1"/>
  <c r="L896" i="1"/>
  <c r="K896" i="1"/>
  <c r="O896" i="1"/>
  <c r="R904" i="1"/>
  <c r="J904" i="1"/>
  <c r="Q904" i="1"/>
  <c r="P904" i="1"/>
  <c r="N904" i="1"/>
  <c r="M904" i="1"/>
  <c r="O904" i="1"/>
  <c r="L904" i="1"/>
  <c r="K904" i="1"/>
  <c r="R912" i="1"/>
  <c r="J912" i="1"/>
  <c r="Q912" i="1"/>
  <c r="P912" i="1"/>
  <c r="N912" i="1"/>
  <c r="M912" i="1"/>
  <c r="O912" i="1"/>
  <c r="L912" i="1"/>
  <c r="K912" i="1"/>
  <c r="R920" i="1"/>
  <c r="J920" i="1"/>
  <c r="Q920" i="1"/>
  <c r="P920" i="1"/>
  <c r="N920" i="1"/>
  <c r="M920" i="1"/>
  <c r="K920" i="1"/>
  <c r="O920" i="1"/>
  <c r="L920" i="1"/>
  <c r="R928" i="1"/>
  <c r="J928" i="1"/>
  <c r="Q928" i="1"/>
  <c r="P928" i="1"/>
  <c r="N928" i="1"/>
  <c r="M928" i="1"/>
  <c r="O928" i="1"/>
  <c r="L928" i="1"/>
  <c r="K928" i="1"/>
  <c r="R936" i="1"/>
  <c r="J936" i="1"/>
  <c r="Q936" i="1"/>
  <c r="P936" i="1"/>
  <c r="N936" i="1"/>
  <c r="M936" i="1"/>
  <c r="O936" i="1"/>
  <c r="L936" i="1"/>
  <c r="K936" i="1"/>
  <c r="R944" i="1"/>
  <c r="J944" i="1"/>
  <c r="Q944" i="1"/>
  <c r="P944" i="1"/>
  <c r="N944" i="1"/>
  <c r="M944" i="1"/>
  <c r="O944" i="1"/>
  <c r="L944" i="1"/>
  <c r="K944" i="1"/>
  <c r="R952" i="1"/>
  <c r="J952" i="1"/>
  <c r="Q952" i="1"/>
  <c r="P952" i="1"/>
  <c r="N952" i="1"/>
  <c r="M952" i="1"/>
  <c r="O952" i="1"/>
  <c r="L952" i="1"/>
  <c r="K952" i="1"/>
  <c r="N960" i="1"/>
  <c r="M960" i="1"/>
  <c r="L960" i="1"/>
  <c r="K960" i="1"/>
  <c r="R960" i="1"/>
  <c r="J960" i="1"/>
  <c r="Q960" i="1"/>
  <c r="P960" i="1"/>
  <c r="O960" i="1"/>
  <c r="N968" i="1"/>
  <c r="M968" i="1"/>
  <c r="L968" i="1"/>
  <c r="K968" i="1"/>
  <c r="R968" i="1"/>
  <c r="J968" i="1"/>
  <c r="Q968" i="1"/>
  <c r="P968" i="1"/>
  <c r="O968" i="1"/>
  <c r="N976" i="1"/>
  <c r="M976" i="1"/>
  <c r="L976" i="1"/>
  <c r="K976" i="1"/>
  <c r="R976" i="1"/>
  <c r="J976" i="1"/>
  <c r="Q976" i="1"/>
  <c r="P976" i="1"/>
  <c r="O976" i="1"/>
  <c r="N984" i="1"/>
  <c r="M984" i="1"/>
  <c r="L984" i="1"/>
  <c r="K984" i="1"/>
  <c r="R984" i="1"/>
  <c r="J984" i="1"/>
  <c r="Q984" i="1"/>
  <c r="P984" i="1"/>
  <c r="O984" i="1"/>
  <c r="N992" i="1"/>
  <c r="M992" i="1"/>
  <c r="L992" i="1"/>
  <c r="K992" i="1"/>
  <c r="R992" i="1"/>
  <c r="J992" i="1"/>
  <c r="Q992" i="1"/>
  <c r="P992" i="1"/>
  <c r="O992" i="1"/>
  <c r="N1000" i="1"/>
  <c r="M1000" i="1"/>
  <c r="L1000" i="1"/>
  <c r="K1000" i="1"/>
  <c r="R1000" i="1"/>
  <c r="J1000" i="1"/>
  <c r="Q1000" i="1"/>
  <c r="P1000" i="1"/>
  <c r="O1000" i="1"/>
  <c r="N1008" i="1"/>
  <c r="M1008" i="1"/>
  <c r="L1008" i="1"/>
  <c r="K1008" i="1"/>
  <c r="R1008" i="1"/>
  <c r="J1008" i="1"/>
  <c r="Q1008" i="1"/>
  <c r="P1008" i="1"/>
  <c r="O1008" i="1"/>
  <c r="N1016" i="1"/>
  <c r="M1016" i="1"/>
  <c r="L1016" i="1"/>
  <c r="K1016" i="1"/>
  <c r="R1016" i="1"/>
  <c r="J1016" i="1"/>
  <c r="Q1016" i="1"/>
  <c r="P1016" i="1"/>
  <c r="O1016" i="1"/>
  <c r="N1024" i="1"/>
  <c r="M1024" i="1"/>
  <c r="L1024" i="1"/>
  <c r="K1024" i="1"/>
  <c r="R1024" i="1"/>
  <c r="J1024" i="1"/>
  <c r="Q1024" i="1"/>
  <c r="P1024" i="1"/>
  <c r="O1024" i="1"/>
  <c r="N1032" i="1"/>
  <c r="M1032" i="1"/>
  <c r="L1032" i="1"/>
  <c r="K1032" i="1"/>
  <c r="R1032" i="1"/>
  <c r="J1032" i="1"/>
  <c r="Q1032" i="1"/>
  <c r="P1032" i="1"/>
  <c r="O1032" i="1"/>
  <c r="N1040" i="1"/>
  <c r="M1040" i="1"/>
  <c r="L1040" i="1"/>
  <c r="K1040" i="1"/>
  <c r="R1040" i="1"/>
  <c r="J1040" i="1"/>
  <c r="Q1040" i="1"/>
  <c r="P1040" i="1"/>
  <c r="O1040" i="1"/>
  <c r="N1048" i="1"/>
  <c r="M1048" i="1"/>
  <c r="L1048" i="1"/>
  <c r="K1048" i="1"/>
  <c r="R1048" i="1"/>
  <c r="J1048" i="1"/>
  <c r="Q1048" i="1"/>
  <c r="P1048" i="1"/>
  <c r="O1048" i="1"/>
  <c r="N1056" i="1"/>
  <c r="M1056" i="1"/>
  <c r="L1056" i="1"/>
  <c r="K1056" i="1"/>
  <c r="R1056" i="1"/>
  <c r="J1056" i="1"/>
  <c r="Q1056" i="1"/>
  <c r="P1056" i="1"/>
  <c r="O1056" i="1"/>
  <c r="N1064" i="1"/>
  <c r="M1064" i="1"/>
  <c r="L1064" i="1"/>
  <c r="K1064" i="1"/>
  <c r="R1064" i="1"/>
  <c r="J1064" i="1"/>
  <c r="Q1064" i="1"/>
  <c r="P1064" i="1"/>
  <c r="O1064" i="1"/>
  <c r="N1072" i="1"/>
  <c r="M1072" i="1"/>
  <c r="L1072" i="1"/>
  <c r="K1072" i="1"/>
  <c r="R1072" i="1"/>
  <c r="J1072" i="1"/>
  <c r="Q1072" i="1"/>
  <c r="P1072" i="1"/>
  <c r="O1072" i="1"/>
  <c r="N1080" i="1"/>
  <c r="M1080" i="1"/>
  <c r="L1080" i="1"/>
  <c r="K1080" i="1"/>
  <c r="R1080" i="1"/>
  <c r="J1080" i="1"/>
  <c r="Q1080" i="1"/>
  <c r="P1080" i="1"/>
  <c r="O1080" i="1"/>
  <c r="B836" i="1"/>
  <c r="B840" i="1"/>
  <c r="B844" i="1"/>
  <c r="B848" i="1"/>
  <c r="B852" i="1"/>
  <c r="B856" i="1"/>
  <c r="B860" i="1"/>
  <c r="B864" i="1"/>
  <c r="B868" i="1"/>
  <c r="B872" i="1"/>
  <c r="B876" i="1"/>
  <c r="B880" i="1"/>
  <c r="B884" i="1"/>
  <c r="B888" i="1"/>
  <c r="B892" i="1"/>
  <c r="B896" i="1"/>
  <c r="B900" i="1"/>
  <c r="B904" i="1"/>
  <c r="B908" i="1"/>
  <c r="B912" i="1"/>
  <c r="B916" i="1"/>
  <c r="B920" i="1"/>
  <c r="B924" i="1"/>
  <c r="B928" i="1"/>
  <c r="B932" i="1"/>
  <c r="B936" i="1"/>
  <c r="B940" i="1"/>
  <c r="B944" i="1"/>
  <c r="B948" i="1"/>
  <c r="B952" i="1"/>
  <c r="B956" i="1"/>
  <c r="B960" i="1"/>
  <c r="B964" i="1"/>
  <c r="B968" i="1"/>
  <c r="B972" i="1"/>
  <c r="B976" i="1"/>
  <c r="B980" i="1"/>
  <c r="B984" i="1"/>
  <c r="B988" i="1"/>
  <c r="B992" i="1"/>
  <c r="B996" i="1"/>
  <c r="B1000" i="1"/>
  <c r="B1004" i="1"/>
  <c r="B1008" i="1"/>
  <c r="B1012" i="1"/>
  <c r="B1016" i="1"/>
  <c r="B1020" i="1"/>
  <c r="B1024" i="1"/>
  <c r="B1028" i="1"/>
  <c r="B1032" i="1"/>
  <c r="B1036" i="1"/>
  <c r="B1040" i="1"/>
  <c r="B1044" i="1"/>
  <c r="B1048" i="1"/>
  <c r="B1052" i="1"/>
  <c r="B1056" i="1"/>
  <c r="B1060" i="1"/>
  <c r="B1064" i="1"/>
  <c r="B1068" i="1"/>
  <c r="B1072" i="1"/>
  <c r="B1076" i="1"/>
  <c r="B1080" i="1"/>
  <c r="B1084" i="1"/>
  <c r="J239" i="1"/>
  <c r="L277" i="1"/>
  <c r="K278" i="1"/>
  <c r="A285" i="1"/>
  <c r="P283" i="1"/>
  <c r="A286" i="1"/>
  <c r="M286" i="1"/>
  <c r="Q288" i="1"/>
  <c r="B296" i="1"/>
  <c r="A297" i="1"/>
  <c r="L293" i="1"/>
  <c r="A282" i="1"/>
  <c r="Q282" i="1"/>
  <c r="J1737" i="1"/>
  <c r="N239" i="1"/>
  <c r="B284" i="1"/>
  <c r="A294" i="1"/>
  <c r="N277" i="1"/>
  <c r="N283" i="1"/>
  <c r="K288" i="1"/>
  <c r="O292" i="1"/>
  <c r="L1705" i="1"/>
  <c r="N1737" i="1"/>
  <c r="B1745" i="1"/>
  <c r="B276" i="1"/>
  <c r="M278" i="1"/>
  <c r="M284" i="1"/>
  <c r="P289" i="1"/>
  <c r="N293" i="1"/>
  <c r="O1679" i="1"/>
  <c r="M1705" i="1"/>
  <c r="O1737" i="1"/>
  <c r="A277" i="1"/>
  <c r="B288" i="1"/>
  <c r="A298" i="1"/>
  <c r="K280" i="1"/>
  <c r="O284" i="1"/>
  <c r="O290" i="1"/>
  <c r="K294" i="1"/>
  <c r="L1681" i="1"/>
  <c r="N1705" i="1"/>
  <c r="P1737" i="1"/>
  <c r="A278" i="1"/>
  <c r="A289" i="1"/>
  <c r="Q280" i="1"/>
  <c r="L285" i="1"/>
  <c r="Q290" i="1"/>
  <c r="M294" i="1"/>
  <c r="L1737" i="1"/>
  <c r="A1745" i="1"/>
  <c r="P1681" i="1"/>
  <c r="O1705" i="1"/>
  <c r="A239" i="1"/>
  <c r="B280" i="1"/>
  <c r="A290" i="1"/>
  <c r="M276" i="1"/>
  <c r="P281" i="1"/>
  <c r="N285" i="1"/>
  <c r="N291" i="1"/>
  <c r="K296" i="1"/>
  <c r="Q1681" i="1"/>
  <c r="A1777" i="1"/>
  <c r="A281" i="1"/>
  <c r="B292" i="1"/>
  <c r="O276" i="1"/>
  <c r="O282" i="1"/>
  <c r="K286" i="1"/>
  <c r="P291" i="1"/>
  <c r="Q296" i="1"/>
  <c r="J279" i="1"/>
  <c r="R279" i="1"/>
  <c r="J287" i="1"/>
  <c r="R287" i="1"/>
  <c r="J295" i="1"/>
  <c r="R295" i="1"/>
  <c r="P297" i="1"/>
  <c r="B1696" i="1"/>
  <c r="R1744" i="1"/>
  <c r="R1776" i="1"/>
  <c r="K239" i="1"/>
  <c r="B277" i="1"/>
  <c r="B281" i="1"/>
  <c r="B285" i="1"/>
  <c r="B289" i="1"/>
  <c r="B293" i="1"/>
  <c r="B297" i="1"/>
  <c r="N276" i="1"/>
  <c r="M277" i="1"/>
  <c r="L278" i="1"/>
  <c r="K279" i="1"/>
  <c r="J280" i="1"/>
  <c r="R280" i="1"/>
  <c r="Q281" i="1"/>
  <c r="P282" i="1"/>
  <c r="O283" i="1"/>
  <c r="N284" i="1"/>
  <c r="M285" i="1"/>
  <c r="L286" i="1"/>
  <c r="K287" i="1"/>
  <c r="J288" i="1"/>
  <c r="R288" i="1"/>
  <c r="Q289" i="1"/>
  <c r="P290" i="1"/>
  <c r="O291" i="1"/>
  <c r="N292" i="1"/>
  <c r="M293" i="1"/>
  <c r="L294" i="1"/>
  <c r="K295" i="1"/>
  <c r="J296" i="1"/>
  <c r="R296" i="1"/>
  <c r="Q297" i="1"/>
  <c r="P298" i="1"/>
  <c r="Q298" i="1"/>
  <c r="L279" i="1"/>
  <c r="B1680" i="1"/>
  <c r="O1696" i="1"/>
  <c r="A1720" i="1"/>
  <c r="A1736" i="1"/>
  <c r="R239" i="1"/>
  <c r="B278" i="1"/>
  <c r="B282" i="1"/>
  <c r="B286" i="1"/>
  <c r="B290" i="1"/>
  <c r="B294" i="1"/>
  <c r="B298" i="1"/>
  <c r="P276" i="1"/>
  <c r="O277" i="1"/>
  <c r="N278" i="1"/>
  <c r="M279" i="1"/>
  <c r="L280" i="1"/>
  <c r="K281" i="1"/>
  <c r="J282" i="1"/>
  <c r="R282" i="1"/>
  <c r="Q283" i="1"/>
  <c r="P284" i="1"/>
  <c r="O285" i="1"/>
  <c r="N286" i="1"/>
  <c r="M287" i="1"/>
  <c r="L288" i="1"/>
  <c r="K289" i="1"/>
  <c r="J290" i="1"/>
  <c r="R290" i="1"/>
  <c r="Q291" i="1"/>
  <c r="P292" i="1"/>
  <c r="O293" i="1"/>
  <c r="N294" i="1"/>
  <c r="M295" i="1"/>
  <c r="L296" i="1"/>
  <c r="K297" i="1"/>
  <c r="J298" i="1"/>
  <c r="R298" i="1"/>
  <c r="L295" i="1"/>
  <c r="R297" i="1"/>
  <c r="R1680" i="1"/>
  <c r="N1720" i="1"/>
  <c r="B1736" i="1"/>
  <c r="N1778" i="1"/>
  <c r="J240" i="1"/>
  <c r="A279" i="1"/>
  <c r="A283" i="1"/>
  <c r="A287" i="1"/>
  <c r="A291" i="1"/>
  <c r="A295" i="1"/>
  <c r="Q276" i="1"/>
  <c r="P277" i="1"/>
  <c r="O278" i="1"/>
  <c r="N279" i="1"/>
  <c r="M280" i="1"/>
  <c r="L281" i="1"/>
  <c r="K282" i="1"/>
  <c r="J283" i="1"/>
  <c r="R283" i="1"/>
  <c r="Q284" i="1"/>
  <c r="P285" i="1"/>
  <c r="O286" i="1"/>
  <c r="N287" i="1"/>
  <c r="M288" i="1"/>
  <c r="L289" i="1"/>
  <c r="K290" i="1"/>
  <c r="J291" i="1"/>
  <c r="R291" i="1"/>
  <c r="Q292" i="1"/>
  <c r="P293" i="1"/>
  <c r="O294" i="1"/>
  <c r="N295" i="1"/>
  <c r="M296" i="1"/>
  <c r="L297" i="1"/>
  <c r="K298" i="1"/>
  <c r="L287" i="1"/>
  <c r="J289" i="1"/>
  <c r="R289" i="1"/>
  <c r="O1720" i="1"/>
  <c r="B1760" i="1"/>
  <c r="A1784" i="1"/>
  <c r="B279" i="1"/>
  <c r="B283" i="1"/>
  <c r="B287" i="1"/>
  <c r="B291" i="1"/>
  <c r="B295" i="1"/>
  <c r="J276" i="1"/>
  <c r="R276" i="1"/>
  <c r="Q277" i="1"/>
  <c r="P278" i="1"/>
  <c r="O279" i="1"/>
  <c r="N280" i="1"/>
  <c r="M281" i="1"/>
  <c r="L282" i="1"/>
  <c r="K283" i="1"/>
  <c r="J284" i="1"/>
  <c r="R284" i="1"/>
  <c r="Q285" i="1"/>
  <c r="P286" i="1"/>
  <c r="O287" i="1"/>
  <c r="N288" i="1"/>
  <c r="M289" i="1"/>
  <c r="L290" i="1"/>
  <c r="K291" i="1"/>
  <c r="J292" i="1"/>
  <c r="R292" i="1"/>
  <c r="Q293" i="1"/>
  <c r="P294" i="1"/>
  <c r="O295" i="1"/>
  <c r="N296" i="1"/>
  <c r="M297" i="1"/>
  <c r="L298" i="1"/>
  <c r="J281" i="1"/>
  <c r="R281" i="1"/>
  <c r="J297" i="1"/>
  <c r="R1688" i="1"/>
  <c r="P1720" i="1"/>
  <c r="A1742" i="1"/>
  <c r="B1784" i="1"/>
  <c r="B239" i="1"/>
  <c r="A276" i="1"/>
  <c r="A280" i="1"/>
  <c r="A284" i="1"/>
  <c r="A288" i="1"/>
  <c r="A292" i="1"/>
  <c r="A296" i="1"/>
  <c r="K276" i="1"/>
  <c r="J277" i="1"/>
  <c r="R277" i="1"/>
  <c r="Q278" i="1"/>
  <c r="P279" i="1"/>
  <c r="O280" i="1"/>
  <c r="N281" i="1"/>
  <c r="M282" i="1"/>
  <c r="L283" i="1"/>
  <c r="K284" i="1"/>
  <c r="J285" i="1"/>
  <c r="R285" i="1"/>
  <c r="Q286" i="1"/>
  <c r="P287" i="1"/>
  <c r="O288" i="1"/>
  <c r="N289" i="1"/>
  <c r="M290" i="1"/>
  <c r="L291" i="1"/>
  <c r="K292" i="1"/>
  <c r="J293" i="1"/>
  <c r="R293" i="1"/>
  <c r="Q294" i="1"/>
  <c r="P295" i="1"/>
  <c r="O296" i="1"/>
  <c r="N297" i="1"/>
  <c r="M298" i="1"/>
  <c r="N1696" i="1"/>
  <c r="Q1720" i="1"/>
  <c r="P1744" i="1"/>
  <c r="B1766" i="1"/>
  <c r="J278" i="1"/>
  <c r="J286" i="1"/>
  <c r="J294" i="1"/>
  <c r="N298" i="1"/>
  <c r="R1685" i="1"/>
  <c r="L1698" i="1"/>
  <c r="B1701" i="1"/>
  <c r="N1722" i="1"/>
  <c r="A1738" i="1"/>
  <c r="B1778" i="1"/>
  <c r="Q1781" i="1"/>
  <c r="Q239" i="1"/>
  <c r="P240" i="1"/>
  <c r="M1698" i="1"/>
  <c r="N1701" i="1"/>
  <c r="O1722" i="1"/>
  <c r="B1765" i="1"/>
  <c r="J1778" i="1"/>
  <c r="Q240" i="1"/>
  <c r="R240" i="1"/>
  <c r="O1698" i="1"/>
  <c r="A1746" i="1"/>
  <c r="J1766" i="1"/>
  <c r="L1778" i="1"/>
  <c r="L239" i="1"/>
  <c r="K240" i="1"/>
  <c r="P1698" i="1"/>
  <c r="N1725" i="1"/>
  <c r="M1778" i="1"/>
  <c r="M239" i="1"/>
  <c r="L240" i="1"/>
  <c r="M240" i="1"/>
  <c r="O1725" i="1"/>
  <c r="A1685" i="1"/>
  <c r="R1698" i="1"/>
  <c r="A1717" i="1"/>
  <c r="L1722" i="1"/>
  <c r="P1725" i="1"/>
  <c r="R1759" i="1"/>
  <c r="O1778" i="1"/>
  <c r="P1788" i="1"/>
  <c r="A240" i="1"/>
  <c r="O239" i="1"/>
  <c r="N240" i="1"/>
  <c r="R1757" i="1"/>
  <c r="J1698" i="1"/>
  <c r="B1717" i="1"/>
  <c r="R1725" i="1"/>
  <c r="A1778" i="1"/>
  <c r="P1781" i="1"/>
  <c r="B240" i="1"/>
  <c r="N1703" i="1"/>
  <c r="R1679" i="1"/>
  <c r="R1686" i="1"/>
  <c r="R1703" i="1"/>
  <c r="B1742" i="1"/>
  <c r="K1761" i="1"/>
  <c r="K1766" i="1"/>
  <c r="A1785" i="1"/>
  <c r="A1687" i="1"/>
  <c r="R1737" i="1"/>
  <c r="Q1742" i="1"/>
  <c r="L1766" i="1"/>
  <c r="M1783" i="1"/>
  <c r="B1785" i="1"/>
  <c r="R433" i="1"/>
  <c r="N1766" i="1"/>
  <c r="N1783" i="1"/>
  <c r="P1679" i="1"/>
  <c r="B1687" i="1"/>
  <c r="R1742" i="1"/>
  <c r="R441" i="1"/>
  <c r="R1687" i="1"/>
  <c r="K1737" i="1"/>
  <c r="O1766" i="1"/>
  <c r="O1783" i="1"/>
  <c r="L445" i="1"/>
  <c r="B1679" i="1"/>
  <c r="A1758" i="1"/>
  <c r="M445" i="1"/>
  <c r="N1679" i="1"/>
  <c r="M1737" i="1"/>
  <c r="B1758" i="1"/>
  <c r="A1766" i="1"/>
  <c r="A1718" i="1"/>
  <c r="R1738" i="1"/>
  <c r="L1758" i="1"/>
  <c r="B1718" i="1"/>
  <c r="A1726" i="1"/>
  <c r="A1739" i="1"/>
  <c r="B1746" i="1"/>
  <c r="A1759" i="1"/>
  <c r="P1766" i="1"/>
  <c r="A1677" i="1"/>
  <c r="A1697" i="1"/>
  <c r="A1705" i="1"/>
  <c r="N1718" i="1"/>
  <c r="B1726" i="1"/>
  <c r="L1739" i="1"/>
  <c r="B1759" i="1"/>
  <c r="Q1766" i="1"/>
  <c r="B1677" i="1"/>
  <c r="P1684" i="1"/>
  <c r="B1697" i="1"/>
  <c r="B1705" i="1"/>
  <c r="O1718" i="1"/>
  <c r="P1739" i="1"/>
  <c r="J1754" i="1"/>
  <c r="N1759" i="1"/>
  <c r="A1776" i="1"/>
  <c r="K1758" i="1"/>
  <c r="Q1676" i="1"/>
  <c r="R1696" i="1"/>
  <c r="B1678" i="1"/>
  <c r="J1705" i="1"/>
  <c r="A1727" i="1"/>
  <c r="Q1739" i="1"/>
  <c r="K1754" i="1"/>
  <c r="O1759" i="1"/>
  <c r="N1776" i="1"/>
  <c r="P1696" i="1"/>
  <c r="A1698" i="1"/>
  <c r="K1705" i="1"/>
  <c r="B1720" i="1"/>
  <c r="B1727" i="1"/>
  <c r="R1739" i="1"/>
  <c r="A1756" i="1"/>
  <c r="P1759" i="1"/>
  <c r="O1776" i="1"/>
  <c r="P1778" i="1"/>
  <c r="A1679" i="1"/>
  <c r="B1698" i="1"/>
  <c r="B1732" i="1"/>
  <c r="P1776" i="1"/>
  <c r="R428" i="1"/>
  <c r="J435" i="1"/>
  <c r="B1777" i="1"/>
  <c r="R1690" i="1"/>
  <c r="A1691" i="1"/>
  <c r="B1686" i="1"/>
  <c r="A1673" i="1"/>
  <c r="B1673" i="1"/>
  <c r="A1747" i="1"/>
  <c r="R1693" i="1"/>
  <c r="L1727" i="1"/>
  <c r="P1747" i="1"/>
  <c r="Q1747" i="1"/>
  <c r="O1701" i="1"/>
  <c r="B1706" i="1"/>
  <c r="K1744" i="1"/>
  <c r="M1749" i="1"/>
  <c r="O1764" i="1"/>
  <c r="A1682" i="1"/>
  <c r="N1686" i="1"/>
  <c r="B1724" i="1"/>
  <c r="R1727" i="1"/>
  <c r="P1764" i="1"/>
  <c r="O1769" i="1"/>
  <c r="L427" i="1"/>
  <c r="A1702" i="1"/>
  <c r="A1707" i="1"/>
  <c r="A1719" i="1"/>
  <c r="Q1724" i="1"/>
  <c r="B1731" i="1"/>
  <c r="B1739" i="1"/>
  <c r="M1744" i="1"/>
  <c r="O1749" i="1"/>
  <c r="Q1764" i="1"/>
  <c r="B1773" i="1"/>
  <c r="B1779" i="1"/>
  <c r="Q1786" i="1"/>
  <c r="N427" i="1"/>
  <c r="R1682" i="1"/>
  <c r="P1686" i="1"/>
  <c r="Q1702" i="1"/>
  <c r="N1708" i="1"/>
  <c r="B1719" i="1"/>
  <c r="A1725" i="1"/>
  <c r="R1731" i="1"/>
  <c r="J1739" i="1"/>
  <c r="N1744" i="1"/>
  <c r="P1749" i="1"/>
  <c r="M1758" i="1"/>
  <c r="R1764" i="1"/>
  <c r="J1773" i="1"/>
  <c r="R1779" i="1"/>
  <c r="B1787" i="1"/>
  <c r="R1735" i="1"/>
  <c r="O435" i="1"/>
  <c r="P435" i="1"/>
  <c r="N1713" i="1"/>
  <c r="O1713" i="1"/>
  <c r="J1673" i="1"/>
  <c r="A1690" i="1"/>
  <c r="J1727" i="1"/>
  <c r="R1766" i="1"/>
  <c r="P1705" i="1"/>
  <c r="M1727" i="1"/>
  <c r="A1767" i="1"/>
  <c r="J1686" i="1"/>
  <c r="Q1705" i="1"/>
  <c r="N1727" i="1"/>
  <c r="A1744" i="1"/>
  <c r="R1747" i="1"/>
  <c r="A1764" i="1"/>
  <c r="B1767" i="1"/>
  <c r="A1786" i="1"/>
  <c r="K1686" i="1"/>
  <c r="B1723" i="1"/>
  <c r="O1727" i="1"/>
  <c r="B1744" i="1"/>
  <c r="K1749" i="1"/>
  <c r="B1764" i="1"/>
  <c r="B1786" i="1"/>
  <c r="L1686" i="1"/>
  <c r="A1706" i="1"/>
  <c r="P1727" i="1"/>
  <c r="J1744" i="1"/>
  <c r="L1749" i="1"/>
  <c r="A1768" i="1"/>
  <c r="N1786" i="1"/>
  <c r="M1686" i="1"/>
  <c r="Q1727" i="1"/>
  <c r="O1786" i="1"/>
  <c r="B427" i="1"/>
  <c r="P1701" i="1"/>
  <c r="L1744" i="1"/>
  <c r="N1749" i="1"/>
  <c r="P1786" i="1"/>
  <c r="B1682" i="1"/>
  <c r="O1686" i="1"/>
  <c r="O427" i="1"/>
  <c r="Q1686" i="1"/>
  <c r="M1703" i="1"/>
  <c r="O1708" i="1"/>
  <c r="B1725" i="1"/>
  <c r="A1732" i="1"/>
  <c r="K1739" i="1"/>
  <c r="N1758" i="1"/>
  <c r="O1773" i="1"/>
  <c r="Q1787" i="1"/>
  <c r="O1754" i="1"/>
  <c r="B1713" i="1"/>
  <c r="A1713" i="1"/>
  <c r="P1754" i="1"/>
  <c r="R1692" i="1"/>
  <c r="B1692" i="1"/>
  <c r="A1714" i="1"/>
  <c r="B1674" i="1"/>
  <c r="N1691" i="1"/>
  <c r="R1769" i="1"/>
  <c r="B1769" i="1"/>
  <c r="A1769" i="1"/>
  <c r="M1788" i="1"/>
  <c r="L1788" i="1"/>
  <c r="K1788" i="1"/>
  <c r="J1788" i="1"/>
  <c r="P1691" i="1"/>
  <c r="Q1732" i="1"/>
  <c r="A1751" i="1"/>
  <c r="Q1769" i="1"/>
  <c r="R1774" i="1"/>
  <c r="A1671" i="1"/>
  <c r="A1675" i="1"/>
  <c r="Q1691" i="1"/>
  <c r="K1710" i="1"/>
  <c r="L1715" i="1"/>
  <c r="R1732" i="1"/>
  <c r="N1742" i="1"/>
  <c r="B1751" i="1"/>
  <c r="B1771" i="1"/>
  <c r="A1775" i="1"/>
  <c r="B1671" i="1"/>
  <c r="B1675" i="1"/>
  <c r="R1691" i="1"/>
  <c r="Q1701" i="1"/>
  <c r="L1710" i="1"/>
  <c r="M1715" i="1"/>
  <c r="J1720" i="1"/>
  <c r="A1733" i="1"/>
  <c r="O1742" i="1"/>
  <c r="J1771" i="1"/>
  <c r="B1775" i="1"/>
  <c r="A1780" i="1"/>
  <c r="A1692" i="1"/>
  <c r="R1701" i="1"/>
  <c r="M1720" i="1"/>
  <c r="A1728" i="1"/>
  <c r="B1733" i="1"/>
  <c r="B1780" i="1"/>
  <c r="K1732" i="1"/>
  <c r="B1772" i="1"/>
  <c r="A1772" i="1"/>
  <c r="B1770" i="1"/>
  <c r="A1770" i="1"/>
  <c r="R1715" i="1"/>
  <c r="K1715" i="1"/>
  <c r="J1715" i="1"/>
  <c r="B1715" i="1"/>
  <c r="A1771" i="1"/>
  <c r="R1771" i="1"/>
  <c r="R1754" i="1"/>
  <c r="R1710" i="1"/>
  <c r="Q1710" i="1"/>
  <c r="P1710" i="1"/>
  <c r="R1755" i="1"/>
  <c r="B1755" i="1"/>
  <c r="A1755" i="1"/>
  <c r="P1674" i="1"/>
  <c r="O1674" i="1"/>
  <c r="N1674" i="1"/>
  <c r="N1773" i="1"/>
  <c r="M1773" i="1"/>
  <c r="L1773" i="1"/>
  <c r="K1773" i="1"/>
  <c r="K1673" i="1"/>
  <c r="B1695" i="1"/>
  <c r="R1713" i="1"/>
  <c r="R1750" i="1"/>
  <c r="B1750" i="1"/>
  <c r="A1750" i="1"/>
  <c r="L1732" i="1"/>
  <c r="Q1674" i="1"/>
  <c r="B1710" i="1"/>
  <c r="B1693" i="1"/>
  <c r="N1710" i="1"/>
  <c r="N1754" i="1"/>
  <c r="M1754" i="1"/>
  <c r="L1754" i="1"/>
  <c r="P1752" i="1"/>
  <c r="O1752" i="1"/>
  <c r="B1752" i="1"/>
  <c r="Q1695" i="1"/>
  <c r="Q1773" i="1"/>
  <c r="L1671" i="1"/>
  <c r="K1671" i="1"/>
  <c r="J1671" i="1"/>
  <c r="A1710" i="1"/>
  <c r="A1774" i="1"/>
  <c r="B1709" i="1"/>
  <c r="A1709" i="1"/>
  <c r="O1691" i="1"/>
  <c r="R1714" i="1"/>
  <c r="N1671" i="1"/>
  <c r="N1752" i="1"/>
  <c r="L1771" i="1"/>
  <c r="R1783" i="1"/>
  <c r="Q1783" i="1"/>
  <c r="L1783" i="1"/>
  <c r="K1783" i="1"/>
  <c r="J1783" i="1"/>
  <c r="B1783" i="1"/>
  <c r="P1743" i="1"/>
  <c r="B1743" i="1"/>
  <c r="O1671" i="1"/>
  <c r="A1688" i="1"/>
  <c r="J1693" i="1"/>
  <c r="R1722" i="1"/>
  <c r="Q1722" i="1"/>
  <c r="J1722" i="1"/>
  <c r="B1722" i="1"/>
  <c r="A1722" i="1"/>
  <c r="B1688" i="1"/>
  <c r="K1693" i="1"/>
  <c r="A1711" i="1"/>
  <c r="Q1715" i="1"/>
  <c r="A1730" i="1"/>
  <c r="A1735" i="1"/>
  <c r="R1752" i="1"/>
  <c r="N1771" i="1"/>
  <c r="N1781" i="1"/>
  <c r="B1781" i="1"/>
  <c r="A1781" i="1"/>
  <c r="R1761" i="1"/>
  <c r="Q1761" i="1"/>
  <c r="P1761" i="1"/>
  <c r="O1761" i="1"/>
  <c r="J1761" i="1"/>
  <c r="B1761" i="1"/>
  <c r="A1761" i="1"/>
  <c r="B1741" i="1"/>
  <c r="A1741" i="1"/>
  <c r="O1681" i="1"/>
  <c r="N1681" i="1"/>
  <c r="M1681" i="1"/>
  <c r="J1688" i="1"/>
  <c r="L1693" i="1"/>
  <c r="B1711" i="1"/>
  <c r="A1753" i="1"/>
  <c r="M1761" i="1"/>
  <c r="O1771" i="1"/>
  <c r="R1700" i="1"/>
  <c r="B1700" i="1"/>
  <c r="R1671" i="1"/>
  <c r="A1681" i="1"/>
  <c r="N1688" i="1"/>
  <c r="M1693" i="1"/>
  <c r="B1703" i="1"/>
  <c r="N1730" i="1"/>
  <c r="N1735" i="1"/>
  <c r="A1748" i="1"/>
  <c r="B1753" i="1"/>
  <c r="N1761" i="1"/>
  <c r="P1771" i="1"/>
  <c r="A1782" i="1"/>
  <c r="A1672" i="1"/>
  <c r="B1681" i="1"/>
  <c r="A1712" i="1"/>
  <c r="A1721" i="1"/>
  <c r="O1735" i="1"/>
  <c r="B1748" i="1"/>
  <c r="A1762" i="1"/>
  <c r="Q1771" i="1"/>
  <c r="B1782" i="1"/>
  <c r="Q1713" i="1"/>
  <c r="B1749" i="1"/>
  <c r="A1749" i="1"/>
  <c r="R1749" i="1"/>
  <c r="P1769" i="1"/>
  <c r="M1688" i="1"/>
  <c r="L1688" i="1"/>
  <c r="K1688" i="1"/>
  <c r="J1710" i="1"/>
  <c r="A1715" i="1"/>
  <c r="B1728" i="1"/>
  <c r="O1710" i="1"/>
  <c r="P1715" i="1"/>
  <c r="M1771" i="1"/>
  <c r="Q1734" i="1"/>
  <c r="B1734" i="1"/>
  <c r="P1693" i="1"/>
  <c r="A1693" i="1"/>
  <c r="P1773" i="1"/>
  <c r="P1732" i="1"/>
  <c r="O1732" i="1"/>
  <c r="N1732" i="1"/>
  <c r="R1730" i="1"/>
  <c r="Q1730" i="1"/>
  <c r="B1729" i="1"/>
  <c r="A1729" i="1"/>
  <c r="M1732" i="1"/>
  <c r="R1674" i="1"/>
  <c r="O1715" i="1"/>
  <c r="Q1703" i="1"/>
  <c r="P1703" i="1"/>
  <c r="O1703" i="1"/>
  <c r="M1729" i="1"/>
  <c r="A1734" i="1"/>
  <c r="Q1752" i="1"/>
  <c r="P1671" i="1"/>
  <c r="M1702" i="1"/>
  <c r="A1743" i="1"/>
  <c r="Q1671" i="1"/>
  <c r="A1703" i="1"/>
  <c r="B1730" i="1"/>
  <c r="B1735" i="1"/>
  <c r="R1781" i="1"/>
  <c r="L1720" i="1"/>
  <c r="K1720" i="1"/>
  <c r="R1672" i="1"/>
  <c r="J1681" i="1"/>
  <c r="P1688" i="1"/>
  <c r="O1693" i="1"/>
  <c r="K1703" i="1"/>
  <c r="B1712" i="1"/>
  <c r="B1721" i="1"/>
  <c r="P1730" i="1"/>
  <c r="P1735" i="1"/>
  <c r="A1754" i="1"/>
  <c r="B1762" i="1"/>
  <c r="R1772" i="1"/>
  <c r="A1788" i="1"/>
  <c r="J1672" i="1"/>
  <c r="K1681" i="1"/>
  <c r="Q1688" i="1"/>
  <c r="Q1693" i="1"/>
  <c r="L1703" i="1"/>
  <c r="B1708" i="1"/>
  <c r="J1749" i="1"/>
  <c r="B1754" i="1"/>
  <c r="A1773" i="1"/>
  <c r="A1783" i="1"/>
  <c r="B1788" i="1"/>
  <c r="B1707" i="1"/>
  <c r="P1718" i="1"/>
  <c r="M1739" i="1"/>
  <c r="B1747" i="1"/>
  <c r="Q1778" i="1"/>
  <c r="R1677" i="1"/>
  <c r="Q1718" i="1"/>
  <c r="A1737" i="1"/>
  <c r="N1739" i="1"/>
  <c r="N1747" i="1"/>
  <c r="A1757" i="1"/>
  <c r="B1737" i="1"/>
  <c r="J1775" i="1"/>
  <c r="J1780" i="1"/>
  <c r="J1785" i="1"/>
  <c r="L1775" i="1"/>
  <c r="L1780" i="1"/>
  <c r="M1775" i="1"/>
  <c r="M1785" i="1"/>
  <c r="N1775" i="1"/>
  <c r="J1777" i="1"/>
  <c r="N1780" i="1"/>
  <c r="J1782" i="1"/>
  <c r="N1785" i="1"/>
  <c r="J1787" i="1"/>
  <c r="K1777" i="1"/>
  <c r="J1779" i="1"/>
  <c r="N1787" i="1"/>
  <c r="O1777" i="1"/>
  <c r="K1779" i="1"/>
  <c r="O1787" i="1"/>
  <c r="K1789" i="1"/>
  <c r="L1774" i="1"/>
  <c r="P1777" i="1"/>
  <c r="L1779" i="1"/>
  <c r="L1789" i="1"/>
  <c r="M1774" i="1"/>
  <c r="Q1777" i="1"/>
  <c r="M1779" i="1"/>
  <c r="Q1782" i="1"/>
  <c r="M1789" i="1"/>
  <c r="J1776" i="1"/>
  <c r="J1781" i="1"/>
  <c r="R1787" i="1"/>
  <c r="O1779" i="1"/>
  <c r="K1781" i="1"/>
  <c r="O1784" i="1"/>
  <c r="K1786" i="1"/>
  <c r="O1789" i="1"/>
  <c r="P1774" i="1"/>
  <c r="L1776" i="1"/>
  <c r="P1779" i="1"/>
  <c r="L1781" i="1"/>
  <c r="P1784" i="1"/>
  <c r="L1786" i="1"/>
  <c r="P1789" i="1"/>
  <c r="Q1774" i="1"/>
  <c r="M1776" i="1"/>
  <c r="Q1779" i="1"/>
  <c r="M1781" i="1"/>
  <c r="Q1784" i="1"/>
  <c r="M1786" i="1"/>
  <c r="Q1789" i="1"/>
  <c r="K1775" i="1"/>
  <c r="K1780" i="1"/>
  <c r="K1785" i="1"/>
  <c r="L1785" i="1"/>
  <c r="M1780" i="1"/>
  <c r="O1775" i="1"/>
  <c r="O1780" i="1"/>
  <c r="K1782" i="1"/>
  <c r="O1785" i="1"/>
  <c r="K1787" i="1"/>
  <c r="A1789" i="1"/>
  <c r="P1775" i="1"/>
  <c r="L1777" i="1"/>
  <c r="P1780" i="1"/>
  <c r="L1782" i="1"/>
  <c r="P1785" i="1"/>
  <c r="L1787" i="1"/>
  <c r="B1789" i="1"/>
  <c r="Q1775" i="1"/>
  <c r="M1777" i="1"/>
  <c r="Q1780" i="1"/>
  <c r="M1782" i="1"/>
  <c r="Q1785" i="1"/>
  <c r="M1787" i="1"/>
  <c r="J1774" i="1"/>
  <c r="N1777" i="1"/>
  <c r="N1782" i="1"/>
  <c r="J1784" i="1"/>
  <c r="J1789" i="1"/>
  <c r="K1774" i="1"/>
  <c r="O1782" i="1"/>
  <c r="K1784" i="1"/>
  <c r="P1782" i="1"/>
  <c r="L1784" i="1"/>
  <c r="P1787" i="1"/>
  <c r="M1784" i="1"/>
  <c r="N1774" i="1"/>
  <c r="N1779" i="1"/>
  <c r="N1784" i="1"/>
  <c r="J1786" i="1"/>
  <c r="N1789" i="1"/>
  <c r="O1774" i="1"/>
  <c r="K1776" i="1"/>
  <c r="R1770" i="1"/>
  <c r="Q1770" i="1"/>
  <c r="P1770" i="1"/>
  <c r="O1770" i="1"/>
  <c r="N1770" i="1"/>
  <c r="M1770" i="1"/>
  <c r="L1770" i="1"/>
  <c r="K1770" i="1"/>
  <c r="J1770" i="1"/>
  <c r="R1768" i="1"/>
  <c r="Q1768" i="1"/>
  <c r="P1768" i="1"/>
  <c r="R1765" i="1"/>
  <c r="Q1765" i="1"/>
  <c r="P1765" i="1"/>
  <c r="O1765" i="1"/>
  <c r="N1765" i="1"/>
  <c r="M1765" i="1"/>
  <c r="L1765" i="1"/>
  <c r="J1765" i="1"/>
  <c r="K1768" i="1"/>
  <c r="K1765" i="1"/>
  <c r="L1768" i="1"/>
  <c r="M1768" i="1"/>
  <c r="N1768" i="1"/>
  <c r="O1768" i="1"/>
  <c r="J1768" i="1"/>
  <c r="R1763" i="1"/>
  <c r="Q1763" i="1"/>
  <c r="P1763" i="1"/>
  <c r="R1760" i="1"/>
  <c r="Q1760" i="1"/>
  <c r="P1760" i="1"/>
  <c r="O1760" i="1"/>
  <c r="N1760" i="1"/>
  <c r="M1760" i="1"/>
  <c r="L1760" i="1"/>
  <c r="J1763" i="1"/>
  <c r="J1760" i="1"/>
  <c r="K1763" i="1"/>
  <c r="K1760" i="1"/>
  <c r="L1763" i="1"/>
  <c r="M1763" i="1"/>
  <c r="R1758" i="1"/>
  <c r="Q1758" i="1"/>
  <c r="P1758" i="1"/>
  <c r="N1763" i="1"/>
  <c r="J1758" i="1"/>
  <c r="O1763" i="1"/>
  <c r="J1757" i="1"/>
  <c r="J1762" i="1"/>
  <c r="J1767" i="1"/>
  <c r="J1772" i="1"/>
  <c r="K1757" i="1"/>
  <c r="K1762" i="1"/>
  <c r="K1767" i="1"/>
  <c r="K1772" i="1"/>
  <c r="L1757" i="1"/>
  <c r="L1762" i="1"/>
  <c r="L1767" i="1"/>
  <c r="L1772" i="1"/>
  <c r="M1757" i="1"/>
  <c r="M1762" i="1"/>
  <c r="M1767" i="1"/>
  <c r="M1772" i="1"/>
  <c r="N1757" i="1"/>
  <c r="J1759" i="1"/>
  <c r="N1762" i="1"/>
  <c r="J1764" i="1"/>
  <c r="N1767" i="1"/>
  <c r="J1769" i="1"/>
  <c r="N1772" i="1"/>
  <c r="O1757" i="1"/>
  <c r="K1759" i="1"/>
  <c r="O1762" i="1"/>
  <c r="K1764" i="1"/>
  <c r="O1767" i="1"/>
  <c r="K1769" i="1"/>
  <c r="O1772" i="1"/>
  <c r="P1757" i="1"/>
  <c r="L1759" i="1"/>
  <c r="P1762" i="1"/>
  <c r="L1764" i="1"/>
  <c r="P1767" i="1"/>
  <c r="L1769" i="1"/>
  <c r="P1772" i="1"/>
  <c r="Q1757" i="1"/>
  <c r="M1759" i="1"/>
  <c r="Q1762" i="1"/>
  <c r="M1764" i="1"/>
  <c r="Q1767" i="1"/>
  <c r="M1769" i="1"/>
  <c r="Q1772" i="1"/>
  <c r="J1741" i="1"/>
  <c r="J1746" i="1"/>
  <c r="J1751" i="1"/>
  <c r="K1746" i="1"/>
  <c r="K1751" i="1"/>
  <c r="M1751" i="1"/>
  <c r="N1741" i="1"/>
  <c r="J1743" i="1"/>
  <c r="J1748" i="1"/>
  <c r="O1746" i="1"/>
  <c r="K1748" i="1"/>
  <c r="P1746" i="1"/>
  <c r="L1748" i="1"/>
  <c r="P1751" i="1"/>
  <c r="L1753" i="1"/>
  <c r="Q1741" i="1"/>
  <c r="M1748" i="1"/>
  <c r="J1740" i="1"/>
  <c r="R1741" i="1"/>
  <c r="N1743" i="1"/>
  <c r="J1745" i="1"/>
  <c r="R1746" i="1"/>
  <c r="N1748" i="1"/>
  <c r="J1750" i="1"/>
  <c r="R1751" i="1"/>
  <c r="J1755" i="1"/>
  <c r="K1740" i="1"/>
  <c r="O1748" i="1"/>
  <c r="K1750" i="1"/>
  <c r="L1745" i="1"/>
  <c r="L1755" i="1"/>
  <c r="M1740" i="1"/>
  <c r="Q1743" i="1"/>
  <c r="M1745" i="1"/>
  <c r="M1750" i="1"/>
  <c r="M1755" i="1"/>
  <c r="N1740" i="1"/>
  <c r="J1742" i="1"/>
  <c r="R1743" i="1"/>
  <c r="N1745" i="1"/>
  <c r="J1747" i="1"/>
  <c r="R1748" i="1"/>
  <c r="J1752" i="1"/>
  <c r="R1753" i="1"/>
  <c r="N1755" i="1"/>
  <c r="O1740" i="1"/>
  <c r="K1742" i="1"/>
  <c r="M1742" i="1"/>
  <c r="Q1745" i="1"/>
  <c r="M1747" i="1"/>
  <c r="Q1750" i="1"/>
  <c r="M1752" i="1"/>
  <c r="Q1755" i="1"/>
  <c r="K1741" i="1"/>
  <c r="L1741" i="1"/>
  <c r="L1746" i="1"/>
  <c r="L1751" i="1"/>
  <c r="M1741" i="1"/>
  <c r="M1746" i="1"/>
  <c r="N1746" i="1"/>
  <c r="N1751" i="1"/>
  <c r="J1753" i="1"/>
  <c r="O1741" i="1"/>
  <c r="K1743" i="1"/>
  <c r="O1751" i="1"/>
  <c r="K1753" i="1"/>
  <c r="L1743" i="1"/>
  <c r="M1743" i="1"/>
  <c r="M1753" i="1"/>
  <c r="N1753" i="1"/>
  <c r="O1743" i="1"/>
  <c r="K1745" i="1"/>
  <c r="O1753" i="1"/>
  <c r="K1755" i="1"/>
  <c r="L1740" i="1"/>
  <c r="P1748" i="1"/>
  <c r="L1750" i="1"/>
  <c r="P1753" i="1"/>
  <c r="N1750" i="1"/>
  <c r="O1745" i="1"/>
  <c r="K1747" i="1"/>
  <c r="O1750" i="1"/>
  <c r="K1752" i="1"/>
  <c r="O1755" i="1"/>
  <c r="P1740" i="1"/>
  <c r="L1742" i="1"/>
  <c r="P1745" i="1"/>
  <c r="L1747" i="1"/>
  <c r="P1750" i="1"/>
  <c r="L1752" i="1"/>
  <c r="P1755" i="1"/>
  <c r="Q1740" i="1"/>
  <c r="K1734" i="1"/>
  <c r="L1734" i="1"/>
  <c r="M1724" i="1"/>
  <c r="M1734" i="1"/>
  <c r="N1729" i="1"/>
  <c r="J1731" i="1"/>
  <c r="O1729" i="1"/>
  <c r="K1731" i="1"/>
  <c r="P1724" i="1"/>
  <c r="L1726" i="1"/>
  <c r="P1729" i="1"/>
  <c r="L1731" i="1"/>
  <c r="M1726" i="1"/>
  <c r="Q1729" i="1"/>
  <c r="M1736" i="1"/>
  <c r="J1723" i="1"/>
  <c r="R1724" i="1"/>
  <c r="J1728" i="1"/>
  <c r="R1729" i="1"/>
  <c r="N1731" i="1"/>
  <c r="J1733" i="1"/>
  <c r="R1734" i="1"/>
  <c r="J1738" i="1"/>
  <c r="O1726" i="1"/>
  <c r="K1728" i="1"/>
  <c r="O1736" i="1"/>
  <c r="K1738" i="1"/>
  <c r="L1723" i="1"/>
  <c r="P1726" i="1"/>
  <c r="L1728" i="1"/>
  <c r="L1738" i="1"/>
  <c r="M1723" i="1"/>
  <c r="Q1726" i="1"/>
  <c r="M1728" i="1"/>
  <c r="Q1731" i="1"/>
  <c r="Q1736" i="1"/>
  <c r="N1723" i="1"/>
  <c r="N1728" i="1"/>
  <c r="R1736" i="1"/>
  <c r="K1730" i="1"/>
  <c r="L1725" i="1"/>
  <c r="P1728" i="1"/>
  <c r="L1730" i="1"/>
  <c r="P1733" i="1"/>
  <c r="L1735" i="1"/>
  <c r="P1738" i="1"/>
  <c r="Q1723" i="1"/>
  <c r="M1725" i="1"/>
  <c r="Q1728" i="1"/>
  <c r="M1730" i="1"/>
  <c r="Q1733" i="1"/>
  <c r="M1735" i="1"/>
  <c r="Q1738" i="1"/>
  <c r="J1724" i="1"/>
  <c r="J1729" i="1"/>
  <c r="J1734" i="1"/>
  <c r="K1724" i="1"/>
  <c r="K1729" i="1"/>
  <c r="L1724" i="1"/>
  <c r="L1729" i="1"/>
  <c r="N1724" i="1"/>
  <c r="J1726" i="1"/>
  <c r="N1734" i="1"/>
  <c r="J1736" i="1"/>
  <c r="O1724" i="1"/>
  <c r="K1726" i="1"/>
  <c r="O1734" i="1"/>
  <c r="K1736" i="1"/>
  <c r="P1734" i="1"/>
  <c r="L1736" i="1"/>
  <c r="M1731" i="1"/>
  <c r="N1726" i="1"/>
  <c r="N1736" i="1"/>
  <c r="K1723" i="1"/>
  <c r="O1731" i="1"/>
  <c r="K1733" i="1"/>
  <c r="P1731" i="1"/>
  <c r="L1733" i="1"/>
  <c r="M1733" i="1"/>
  <c r="M1738" i="1"/>
  <c r="J1725" i="1"/>
  <c r="J1730" i="1"/>
  <c r="N1733" i="1"/>
  <c r="J1735" i="1"/>
  <c r="N1738" i="1"/>
  <c r="O1723" i="1"/>
  <c r="K1725" i="1"/>
  <c r="O1728" i="1"/>
  <c r="O1733" i="1"/>
  <c r="K1735" i="1"/>
  <c r="O1738" i="1"/>
  <c r="P1723" i="1"/>
  <c r="J1707" i="1"/>
  <c r="J1717" i="1"/>
  <c r="L1707" i="1"/>
  <c r="L1712" i="1"/>
  <c r="L1717" i="1"/>
  <c r="M1712" i="1"/>
  <c r="J1714" i="1"/>
  <c r="O1712" i="1"/>
  <c r="O1717" i="1"/>
  <c r="K1719" i="1"/>
  <c r="P1717" i="1"/>
  <c r="L1719" i="1"/>
  <c r="M1709" i="1"/>
  <c r="Q1712" i="1"/>
  <c r="M1719" i="1"/>
  <c r="R1712" i="1"/>
  <c r="O1709" i="1"/>
  <c r="K1711" i="1"/>
  <c r="O1719" i="1"/>
  <c r="K1721" i="1"/>
  <c r="L1706" i="1"/>
  <c r="P1714" i="1"/>
  <c r="L1716" i="1"/>
  <c r="L1721" i="1"/>
  <c r="M1706" i="1"/>
  <c r="Q1709" i="1"/>
  <c r="M1711" i="1"/>
  <c r="Q1714" i="1"/>
  <c r="Q1719" i="1"/>
  <c r="N1711" i="1"/>
  <c r="R1719" i="1"/>
  <c r="K1708" i="1"/>
  <c r="P1706" i="1"/>
  <c r="L1708" i="1"/>
  <c r="P1711" i="1"/>
  <c r="L1713" i="1"/>
  <c r="P1716" i="1"/>
  <c r="L1718" i="1"/>
  <c r="P1721" i="1"/>
  <c r="Q1706" i="1"/>
  <c r="M1708" i="1"/>
  <c r="Q1711" i="1"/>
  <c r="M1713" i="1"/>
  <c r="Q1716" i="1"/>
  <c r="M1718" i="1"/>
  <c r="Q1721" i="1"/>
  <c r="J1712" i="1"/>
  <c r="K1707" i="1"/>
  <c r="K1712" i="1"/>
  <c r="K1717" i="1"/>
  <c r="M1707" i="1"/>
  <c r="M1717" i="1"/>
  <c r="N1707" i="1"/>
  <c r="J1709" i="1"/>
  <c r="N1712" i="1"/>
  <c r="N1717" i="1"/>
  <c r="J1719" i="1"/>
  <c r="O1707" i="1"/>
  <c r="K1709" i="1"/>
  <c r="K1714" i="1"/>
  <c r="P1707" i="1"/>
  <c r="L1709" i="1"/>
  <c r="L1714" i="1"/>
  <c r="Q1707" i="1"/>
  <c r="M1714" i="1"/>
  <c r="Q1717" i="1"/>
  <c r="J1706" i="1"/>
  <c r="N1709" i="1"/>
  <c r="J1711" i="1"/>
  <c r="N1714" i="1"/>
  <c r="J1716" i="1"/>
  <c r="N1719" i="1"/>
  <c r="J1721" i="1"/>
  <c r="K1706" i="1"/>
  <c r="O1714" i="1"/>
  <c r="K1716" i="1"/>
  <c r="P1709" i="1"/>
  <c r="L1711" i="1"/>
  <c r="M1716" i="1"/>
  <c r="M1721" i="1"/>
  <c r="N1706" i="1"/>
  <c r="J1708" i="1"/>
  <c r="J1713" i="1"/>
  <c r="N1716" i="1"/>
  <c r="J1718" i="1"/>
  <c r="N1721" i="1"/>
  <c r="O1706" i="1"/>
  <c r="O1711" i="1"/>
  <c r="K1713" i="1"/>
  <c r="O1716" i="1"/>
  <c r="K1718" i="1"/>
  <c r="O1721" i="1"/>
  <c r="K1690" i="1"/>
  <c r="L1700" i="1"/>
  <c r="M1695" i="1"/>
  <c r="M1700" i="1"/>
  <c r="N1690" i="1"/>
  <c r="J1692" i="1"/>
  <c r="N1695" i="1"/>
  <c r="J1697" i="1"/>
  <c r="N1700" i="1"/>
  <c r="J1702" i="1"/>
  <c r="A1689" i="1"/>
  <c r="O1690" i="1"/>
  <c r="K1692" i="1"/>
  <c r="A1694" i="1"/>
  <c r="O1695" i="1"/>
  <c r="K1697" i="1"/>
  <c r="A1699" i="1"/>
  <c r="O1700" i="1"/>
  <c r="K1702" i="1"/>
  <c r="A1704" i="1"/>
  <c r="B1689" i="1"/>
  <c r="P1690" i="1"/>
  <c r="L1692" i="1"/>
  <c r="B1694" i="1"/>
  <c r="P1695" i="1"/>
  <c r="L1697" i="1"/>
  <c r="B1699" i="1"/>
  <c r="P1700" i="1"/>
  <c r="L1702" i="1"/>
  <c r="B1704" i="1"/>
  <c r="J1690" i="1"/>
  <c r="R1695" i="1"/>
  <c r="O1692" i="1"/>
  <c r="K1694" i="1"/>
  <c r="O1702" i="1"/>
  <c r="K1704" i="1"/>
  <c r="L1689" i="1"/>
  <c r="P1697" i="1"/>
  <c r="L1699" i="1"/>
  <c r="L1704" i="1"/>
  <c r="M1689" i="1"/>
  <c r="Q1692" i="1"/>
  <c r="Q1697" i="1"/>
  <c r="M1699" i="1"/>
  <c r="M1704" i="1"/>
  <c r="N1689" i="1"/>
  <c r="J1691" i="1"/>
  <c r="N1694" i="1"/>
  <c r="J1696" i="1"/>
  <c r="R1697" i="1"/>
  <c r="N1699" i="1"/>
  <c r="J1701" i="1"/>
  <c r="R1702" i="1"/>
  <c r="N1704" i="1"/>
  <c r="O1689" i="1"/>
  <c r="K1691" i="1"/>
  <c r="O1694" i="1"/>
  <c r="O1699" i="1"/>
  <c r="K1701" i="1"/>
  <c r="O1704" i="1"/>
  <c r="P1694" i="1"/>
  <c r="L1696" i="1"/>
  <c r="P1699" i="1"/>
  <c r="L1701" i="1"/>
  <c r="P1704" i="1"/>
  <c r="Q1689" i="1"/>
  <c r="M1691" i="1"/>
  <c r="Q1694" i="1"/>
  <c r="M1696" i="1"/>
  <c r="Q1699" i="1"/>
  <c r="M1701" i="1"/>
  <c r="Q1704" i="1"/>
  <c r="J1695" i="1"/>
  <c r="J1700" i="1"/>
  <c r="K1695" i="1"/>
  <c r="K1700" i="1"/>
  <c r="L1690" i="1"/>
  <c r="L1695" i="1"/>
  <c r="M1690" i="1"/>
  <c r="Q1690" i="1"/>
  <c r="M1692" i="1"/>
  <c r="M1697" i="1"/>
  <c r="Q1700" i="1"/>
  <c r="J1689" i="1"/>
  <c r="N1692" i="1"/>
  <c r="J1694" i="1"/>
  <c r="N1697" i="1"/>
  <c r="J1699" i="1"/>
  <c r="N1702" i="1"/>
  <c r="J1704" i="1"/>
  <c r="K1689" i="1"/>
  <c r="K1699" i="1"/>
  <c r="P1692" i="1"/>
  <c r="L1694" i="1"/>
  <c r="P1702" i="1"/>
  <c r="M1694" i="1"/>
  <c r="K1696" i="1"/>
  <c r="P1689" i="1"/>
  <c r="L1691" i="1"/>
  <c r="R1673" i="1"/>
  <c r="P1673" i="1"/>
  <c r="O1673" i="1"/>
  <c r="N1673" i="1"/>
  <c r="M1673" i="1"/>
  <c r="Q1673" i="1"/>
  <c r="R1678" i="1"/>
  <c r="P1678" i="1"/>
  <c r="Q1678" i="1"/>
  <c r="O1678" i="1"/>
  <c r="N1678" i="1"/>
  <c r="M1678" i="1"/>
  <c r="J1678" i="1"/>
  <c r="L1678" i="1"/>
  <c r="R1683" i="1"/>
  <c r="P1683" i="1"/>
  <c r="O1683" i="1"/>
  <c r="N1683" i="1"/>
  <c r="M1683" i="1"/>
  <c r="L1683" i="1"/>
  <c r="Q1683" i="1"/>
  <c r="J1683" i="1"/>
  <c r="K1683" i="1"/>
  <c r="A1678" i="1"/>
  <c r="J1680" i="1"/>
  <c r="K1680" i="1"/>
  <c r="M1675" i="1"/>
  <c r="M1680" i="1"/>
  <c r="M1685" i="1"/>
  <c r="J1675" i="1"/>
  <c r="J1685" i="1"/>
  <c r="K1675" i="1"/>
  <c r="K1685" i="1"/>
  <c r="L1675" i="1"/>
  <c r="L1680" i="1"/>
  <c r="L1685" i="1"/>
  <c r="N1675" i="1"/>
  <c r="N1680" i="1"/>
  <c r="N1685" i="1"/>
  <c r="K1672" i="1"/>
  <c r="O1675" i="1"/>
  <c r="K1677" i="1"/>
  <c r="O1680" i="1"/>
  <c r="K1682" i="1"/>
  <c r="O1685" i="1"/>
  <c r="K1687" i="1"/>
  <c r="L1672" i="1"/>
  <c r="P1675" i="1"/>
  <c r="L1677" i="1"/>
  <c r="P1680" i="1"/>
  <c r="L1682" i="1"/>
  <c r="P1685" i="1"/>
  <c r="L1687" i="1"/>
  <c r="M1672" i="1"/>
  <c r="Q1675" i="1"/>
  <c r="M1677" i="1"/>
  <c r="Q1680" i="1"/>
  <c r="M1682" i="1"/>
  <c r="Q1685" i="1"/>
  <c r="M1687" i="1"/>
  <c r="N1672" i="1"/>
  <c r="J1674" i="1"/>
  <c r="N1677" i="1"/>
  <c r="J1679" i="1"/>
  <c r="N1682" i="1"/>
  <c r="J1684" i="1"/>
  <c r="N1687" i="1"/>
  <c r="O1672" i="1"/>
  <c r="K1674" i="1"/>
  <c r="O1677" i="1"/>
  <c r="K1679" i="1"/>
  <c r="O1682" i="1"/>
  <c r="K1684" i="1"/>
  <c r="O1687" i="1"/>
  <c r="P1672" i="1"/>
  <c r="L1674" i="1"/>
  <c r="P1677" i="1"/>
  <c r="L1679" i="1"/>
  <c r="P1682" i="1"/>
  <c r="L1684" i="1"/>
  <c r="P1687" i="1"/>
  <c r="Q1672" i="1"/>
  <c r="M1674" i="1"/>
  <c r="Q1677" i="1"/>
  <c r="M1679" i="1"/>
  <c r="Q1682" i="1"/>
  <c r="M1684" i="1"/>
  <c r="Q1687" i="1"/>
  <c r="A429" i="1"/>
  <c r="P430" i="1"/>
  <c r="J430" i="1"/>
  <c r="K430" i="1"/>
  <c r="L430" i="1"/>
  <c r="L435" i="1"/>
  <c r="P438" i="1"/>
  <c r="J438" i="1"/>
  <c r="R437" i="1"/>
  <c r="O441" i="1"/>
  <c r="R432" i="1"/>
  <c r="J427" i="1"/>
  <c r="A435" i="1"/>
  <c r="O437" i="1"/>
  <c r="J446" i="1"/>
  <c r="M427" i="1"/>
  <c r="B435" i="1"/>
  <c r="P427" i="1"/>
  <c r="M435" i="1"/>
  <c r="R427" i="1"/>
  <c r="K432" i="1"/>
  <c r="N435" i="1"/>
  <c r="B429" i="1"/>
  <c r="R445" i="1"/>
  <c r="P429" i="1"/>
  <c r="P428" i="1"/>
  <c r="R429" i="1"/>
  <c r="J428" i="1"/>
  <c r="N437" i="1"/>
  <c r="J444" i="1"/>
  <c r="K444" i="1"/>
  <c r="K428" i="1"/>
  <c r="P437" i="1"/>
  <c r="L444" i="1"/>
  <c r="K446" i="1"/>
  <c r="L446" i="1"/>
  <c r="N444" i="1"/>
  <c r="R444" i="1"/>
  <c r="N431" i="1"/>
  <c r="N445" i="1"/>
  <c r="N446" i="1"/>
  <c r="O431" i="1"/>
  <c r="O445" i="1"/>
  <c r="R446" i="1"/>
  <c r="P445" i="1"/>
  <c r="O447" i="1"/>
  <c r="P441" i="1"/>
  <c r="A445" i="1"/>
  <c r="J445" i="1"/>
  <c r="J431" i="1"/>
  <c r="L438" i="1"/>
  <c r="M443" i="1"/>
  <c r="O443" i="1"/>
  <c r="J439" i="1"/>
  <c r="R443" i="1"/>
  <c r="K436" i="1"/>
  <c r="L433" i="1"/>
  <c r="A441" i="1"/>
  <c r="M433" i="1"/>
  <c r="L437" i="1"/>
  <c r="B443" i="1"/>
  <c r="L443" i="1"/>
  <c r="R438" i="1"/>
  <c r="A439" i="1"/>
  <c r="B433" i="1"/>
  <c r="L436" i="1"/>
  <c r="J440" i="1"/>
  <c r="J433" i="1"/>
  <c r="N433" i="1"/>
  <c r="P426" i="1"/>
  <c r="N429" i="1"/>
  <c r="O433" i="1"/>
  <c r="J437" i="1"/>
  <c r="M441" i="1"/>
  <c r="A443" i="1"/>
  <c r="J443" i="1"/>
  <c r="N443" i="1"/>
  <c r="P436" i="1"/>
  <c r="L439" i="1"/>
  <c r="J436" i="1"/>
  <c r="A433" i="1"/>
  <c r="R439" i="1"/>
  <c r="L429" i="1"/>
  <c r="A437" i="1"/>
  <c r="B441" i="1"/>
  <c r="J429" i="1"/>
  <c r="B437" i="1"/>
  <c r="L441" i="1"/>
  <c r="M429" i="1"/>
  <c r="J441" i="1"/>
  <c r="J447" i="1"/>
  <c r="N447" i="1"/>
  <c r="L448" i="1"/>
  <c r="M431" i="1"/>
  <c r="L432" i="1"/>
  <c r="B439" i="1"/>
  <c r="P440" i="1"/>
  <c r="M447" i="1"/>
  <c r="K440" i="1"/>
  <c r="P431" i="1"/>
  <c r="M439" i="1"/>
  <c r="L440" i="1"/>
  <c r="P447" i="1"/>
  <c r="A431" i="1"/>
  <c r="R431" i="1"/>
  <c r="N439" i="1"/>
  <c r="A447" i="1"/>
  <c r="R447" i="1"/>
  <c r="B431" i="1"/>
  <c r="P432" i="1"/>
  <c r="O439" i="1"/>
  <c r="B447" i="1"/>
  <c r="P448" i="1"/>
  <c r="P434" i="1"/>
  <c r="P442" i="1"/>
  <c r="J434" i="1"/>
  <c r="J442" i="1"/>
  <c r="K434" i="1"/>
  <c r="K442" i="1"/>
  <c r="L434" i="1"/>
  <c r="L442" i="1"/>
  <c r="N442" i="1"/>
  <c r="L426" i="1"/>
  <c r="R426" i="1"/>
  <c r="J426" i="1"/>
  <c r="Q426" i="1"/>
  <c r="Q428" i="1"/>
  <c r="Q430" i="1"/>
  <c r="Q432" i="1"/>
  <c r="Q434" i="1"/>
  <c r="Q436" i="1"/>
  <c r="Q438" i="1"/>
  <c r="Q440" i="1"/>
  <c r="Q442" i="1"/>
  <c r="Q444" i="1"/>
  <c r="Q446" i="1"/>
  <c r="J448" i="1"/>
  <c r="M426" i="1"/>
  <c r="Q427" i="1"/>
  <c r="M428" i="1"/>
  <c r="Q429" i="1"/>
  <c r="M430" i="1"/>
  <c r="Q431" i="1"/>
  <c r="M432" i="1"/>
  <c r="Q433" i="1"/>
  <c r="M434" i="1"/>
  <c r="Q435" i="1"/>
  <c r="M436" i="1"/>
  <c r="Q437" i="1"/>
  <c r="M438" i="1"/>
  <c r="Q439" i="1"/>
  <c r="M440" i="1"/>
  <c r="Q441" i="1"/>
  <c r="M442" i="1"/>
  <c r="Q443" i="1"/>
  <c r="M444" i="1"/>
  <c r="Q445" i="1"/>
  <c r="M446" i="1"/>
  <c r="Q447" i="1"/>
  <c r="M448" i="1"/>
  <c r="N430" i="1"/>
  <c r="N448" i="1"/>
  <c r="N434" i="1"/>
  <c r="N436" i="1"/>
  <c r="N438" i="1"/>
  <c r="N440" i="1"/>
  <c r="A426" i="1"/>
  <c r="O426" i="1"/>
  <c r="K427" i="1"/>
  <c r="A428" i="1"/>
  <c r="O428" i="1"/>
  <c r="K429" i="1"/>
  <c r="A430" i="1"/>
  <c r="O430" i="1"/>
  <c r="K431" i="1"/>
  <c r="A432" i="1"/>
  <c r="O432" i="1"/>
  <c r="K433" i="1"/>
  <c r="A434" i="1"/>
  <c r="O434" i="1"/>
  <c r="K435" i="1"/>
  <c r="A436" i="1"/>
  <c r="O436" i="1"/>
  <c r="K437" i="1"/>
  <c r="A438" i="1"/>
  <c r="O438" i="1"/>
  <c r="K439" i="1"/>
  <c r="A440" i="1"/>
  <c r="O440" i="1"/>
  <c r="K441" i="1"/>
  <c r="A442" i="1"/>
  <c r="O442" i="1"/>
  <c r="K443" i="1"/>
  <c r="A444" i="1"/>
  <c r="O444" i="1"/>
  <c r="K445" i="1"/>
  <c r="A446" i="1"/>
  <c r="O446" i="1"/>
  <c r="K447" i="1"/>
  <c r="A448" i="1"/>
  <c r="O448" i="1"/>
  <c r="N426" i="1"/>
  <c r="N428" i="1"/>
  <c r="N432" i="1"/>
  <c r="B426" i="1"/>
  <c r="B428" i="1"/>
  <c r="B430" i="1"/>
  <c r="B432" i="1"/>
  <c r="B434" i="1"/>
  <c r="B436" i="1"/>
  <c r="B438" i="1"/>
  <c r="B440" i="1"/>
  <c r="B442" i="1"/>
  <c r="B444" i="1"/>
  <c r="B446" i="1"/>
  <c r="B448" i="1"/>
  <c r="B706" i="15"/>
  <c r="P191" i="1" l="1"/>
  <c r="Q191" i="1"/>
  <c r="J191" i="1"/>
  <c r="K191" i="1"/>
  <c r="L191" i="1"/>
  <c r="M191" i="1"/>
  <c r="N191" i="1"/>
  <c r="O191" i="1"/>
  <c r="A191" i="1"/>
  <c r="R191" i="1"/>
  <c r="B191" i="1"/>
  <c r="C192" i="1"/>
  <c r="R161" i="1"/>
  <c r="Q161" i="1"/>
  <c r="P161" i="1"/>
  <c r="O161" i="1"/>
  <c r="N161" i="1"/>
  <c r="M161" i="1"/>
  <c r="L161" i="1"/>
  <c r="K161" i="1"/>
  <c r="J161" i="1"/>
  <c r="B161" i="1"/>
  <c r="A161" i="1"/>
  <c r="B192" i="1" l="1"/>
  <c r="L192" i="1"/>
  <c r="M192" i="1"/>
  <c r="N192" i="1"/>
  <c r="O192" i="1"/>
  <c r="Q192" i="1"/>
  <c r="K192" i="1"/>
  <c r="R192" i="1"/>
  <c r="P192" i="1"/>
  <c r="C193" i="1"/>
  <c r="J192" i="1"/>
  <c r="A192" i="1"/>
  <c r="B699" i="15"/>
  <c r="B704" i="15"/>
  <c r="H688" i="15"/>
  <c r="H689" i="15"/>
  <c r="H59" i="15"/>
  <c r="H665" i="15" s="1"/>
  <c r="G59" i="15"/>
  <c r="G665" i="15" s="1"/>
  <c r="F59" i="15"/>
  <c r="F665" i="15" s="1"/>
  <c r="E59" i="15"/>
  <c r="E665" i="15" s="1"/>
  <c r="D59" i="15"/>
  <c r="D665" i="15" s="1"/>
  <c r="C59" i="15"/>
  <c r="C665" i="15" s="1"/>
  <c r="B59" i="15"/>
  <c r="B665" i="15" s="1"/>
  <c r="C530" i="1"/>
  <c r="K530" i="1" s="1"/>
  <c r="C531" i="1"/>
  <c r="L531" i="1" s="1"/>
  <c r="C532" i="1"/>
  <c r="M532" i="1" s="1"/>
  <c r="C533" i="1"/>
  <c r="N533" i="1" s="1"/>
  <c r="C534" i="1"/>
  <c r="O534" i="1" s="1"/>
  <c r="C535" i="1"/>
  <c r="P535" i="1" s="1"/>
  <c r="C536" i="1"/>
  <c r="B536" i="1" s="1"/>
  <c r="C537" i="1"/>
  <c r="J537" i="1" s="1"/>
  <c r="C538" i="1"/>
  <c r="K538" i="1" s="1"/>
  <c r="C539" i="1"/>
  <c r="L539" i="1" s="1"/>
  <c r="C540" i="1"/>
  <c r="M540" i="1" s="1"/>
  <c r="C541" i="1"/>
  <c r="N541" i="1" s="1"/>
  <c r="C542" i="1"/>
  <c r="O542" i="1" s="1"/>
  <c r="C543" i="1"/>
  <c r="P543" i="1" s="1"/>
  <c r="C544" i="1"/>
  <c r="B544" i="1" s="1"/>
  <c r="C545" i="1"/>
  <c r="J545" i="1" s="1"/>
  <c r="C546" i="1"/>
  <c r="K546" i="1" s="1"/>
  <c r="C547" i="1"/>
  <c r="L547" i="1" s="1"/>
  <c r="C548" i="1"/>
  <c r="M548" i="1" s="1"/>
  <c r="C549" i="1"/>
  <c r="N549" i="1" s="1"/>
  <c r="C550" i="1"/>
  <c r="O550" i="1" s="1"/>
  <c r="C551" i="1"/>
  <c r="P551" i="1" s="1"/>
  <c r="C529" i="1"/>
  <c r="J529" i="1" s="1"/>
  <c r="J528" i="1"/>
  <c r="K528" i="1"/>
  <c r="L528" i="1"/>
  <c r="M528" i="1"/>
  <c r="N528" i="1"/>
  <c r="O528" i="1"/>
  <c r="P528" i="1"/>
  <c r="A528" i="1"/>
  <c r="B528" i="1"/>
  <c r="P193" i="1" l="1"/>
  <c r="N193" i="1"/>
  <c r="B193" i="1"/>
  <c r="O193" i="1"/>
  <c r="C194" i="1"/>
  <c r="A193" i="1"/>
  <c r="J193" i="1"/>
  <c r="Q193" i="1"/>
  <c r="R193" i="1"/>
  <c r="K193" i="1"/>
  <c r="L193" i="1"/>
  <c r="M193" i="1"/>
  <c r="P531" i="1"/>
  <c r="N547" i="1"/>
  <c r="O544" i="1"/>
  <c r="A547" i="1"/>
  <c r="A538" i="1"/>
  <c r="M550" i="1"/>
  <c r="O539" i="1"/>
  <c r="L538" i="1"/>
  <c r="B550" i="1"/>
  <c r="A539" i="1"/>
  <c r="A530" i="1"/>
  <c r="P547" i="1"/>
  <c r="M546" i="1"/>
  <c r="K540" i="1"/>
  <c r="N538" i="1"/>
  <c r="O532" i="1"/>
  <c r="B547" i="1"/>
  <c r="B538" i="1"/>
  <c r="N551" i="1"/>
  <c r="O547" i="1"/>
  <c r="L546" i="1"/>
  <c r="P539" i="1"/>
  <c r="M538" i="1"/>
  <c r="K532" i="1"/>
  <c r="B546" i="1"/>
  <c r="B535" i="1"/>
  <c r="L549" i="1"/>
  <c r="M547" i="1"/>
  <c r="N543" i="1"/>
  <c r="N539" i="1"/>
  <c r="O536" i="1"/>
  <c r="O531" i="1"/>
  <c r="A546" i="1"/>
  <c r="A535" i="1"/>
  <c r="J549" i="1"/>
  <c r="K547" i="1"/>
  <c r="M542" i="1"/>
  <c r="M539" i="1"/>
  <c r="N535" i="1"/>
  <c r="N531" i="1"/>
  <c r="B543" i="1"/>
  <c r="B531" i="1"/>
  <c r="P548" i="1"/>
  <c r="J547" i="1"/>
  <c r="L541" i="1"/>
  <c r="K539" i="1"/>
  <c r="M534" i="1"/>
  <c r="M531" i="1"/>
  <c r="B551" i="1"/>
  <c r="A543" i="1"/>
  <c r="A531" i="1"/>
  <c r="O548" i="1"/>
  <c r="O546" i="1"/>
  <c r="P540" i="1"/>
  <c r="J539" i="1"/>
  <c r="L533" i="1"/>
  <c r="K531" i="1"/>
  <c r="A551" i="1"/>
  <c r="B539" i="1"/>
  <c r="B530" i="1"/>
  <c r="K548" i="1"/>
  <c r="N546" i="1"/>
  <c r="O540" i="1"/>
  <c r="O538" i="1"/>
  <c r="P532" i="1"/>
  <c r="J531" i="1"/>
  <c r="P545" i="1"/>
  <c r="A550" i="1"/>
  <c r="A534" i="1"/>
  <c r="M545" i="1"/>
  <c r="L544" i="1"/>
  <c r="K543" i="1"/>
  <c r="J542" i="1"/>
  <c r="B549" i="1"/>
  <c r="B545" i="1"/>
  <c r="B541" i="1"/>
  <c r="B537" i="1"/>
  <c r="B533" i="1"/>
  <c r="B529" i="1"/>
  <c r="J551" i="1"/>
  <c r="P549" i="1"/>
  <c r="L545" i="1"/>
  <c r="K544" i="1"/>
  <c r="J543" i="1"/>
  <c r="P541" i="1"/>
  <c r="L537" i="1"/>
  <c r="K536" i="1"/>
  <c r="J535" i="1"/>
  <c r="P533" i="1"/>
  <c r="A549" i="1"/>
  <c r="A541" i="1"/>
  <c r="A537" i="1"/>
  <c r="A529" i="1"/>
  <c r="O549" i="1"/>
  <c r="A548" i="1"/>
  <c r="A544" i="1"/>
  <c r="A540" i="1"/>
  <c r="A536" i="1"/>
  <c r="A532" i="1"/>
  <c r="O551" i="1"/>
  <c r="N550" i="1"/>
  <c r="M549" i="1"/>
  <c r="L548" i="1"/>
  <c r="J546" i="1"/>
  <c r="P544" i="1"/>
  <c r="O543" i="1"/>
  <c r="N542" i="1"/>
  <c r="M541" i="1"/>
  <c r="L540" i="1"/>
  <c r="J538" i="1"/>
  <c r="P536" i="1"/>
  <c r="O535" i="1"/>
  <c r="N534" i="1"/>
  <c r="M533" i="1"/>
  <c r="L532" i="1"/>
  <c r="J530" i="1"/>
  <c r="P529" i="1"/>
  <c r="M551" i="1"/>
  <c r="L550" i="1"/>
  <c r="K549" i="1"/>
  <c r="J548" i="1"/>
  <c r="P546" i="1"/>
  <c r="O545" i="1"/>
  <c r="N544" i="1"/>
  <c r="M543" i="1"/>
  <c r="L542" i="1"/>
  <c r="K541" i="1"/>
  <c r="J540" i="1"/>
  <c r="P538" i="1"/>
  <c r="O537" i="1"/>
  <c r="N536" i="1"/>
  <c r="M535" i="1"/>
  <c r="L534" i="1"/>
  <c r="K533" i="1"/>
  <c r="J532" i="1"/>
  <c r="P530" i="1"/>
  <c r="O529" i="1"/>
  <c r="B542" i="1"/>
  <c r="B534" i="1"/>
  <c r="L551" i="1"/>
  <c r="K550" i="1"/>
  <c r="N545" i="1"/>
  <c r="M544" i="1"/>
  <c r="L543" i="1"/>
  <c r="K542" i="1"/>
  <c r="J541" i="1"/>
  <c r="N537" i="1"/>
  <c r="M536" i="1"/>
  <c r="L535" i="1"/>
  <c r="K534" i="1"/>
  <c r="J533" i="1"/>
  <c r="O530" i="1"/>
  <c r="N529" i="1"/>
  <c r="N530" i="1"/>
  <c r="M529" i="1"/>
  <c r="M530" i="1"/>
  <c r="L529" i="1"/>
  <c r="L530" i="1"/>
  <c r="K529" i="1"/>
  <c r="P537" i="1"/>
  <c r="A542" i="1"/>
  <c r="K551" i="1"/>
  <c r="J550" i="1"/>
  <c r="M537" i="1"/>
  <c r="L536" i="1"/>
  <c r="K535" i="1"/>
  <c r="J534" i="1"/>
  <c r="A545" i="1"/>
  <c r="A533" i="1"/>
  <c r="P550" i="1"/>
  <c r="N548" i="1"/>
  <c r="K545" i="1"/>
  <c r="J544" i="1"/>
  <c r="P542" i="1"/>
  <c r="O541" i="1"/>
  <c r="N540" i="1"/>
  <c r="K537" i="1"/>
  <c r="J536" i="1"/>
  <c r="P534" i="1"/>
  <c r="O533" i="1"/>
  <c r="N532" i="1"/>
  <c r="B548" i="1"/>
  <c r="B540" i="1"/>
  <c r="B532" i="1"/>
  <c r="J526" i="1"/>
  <c r="K526" i="1"/>
  <c r="L526" i="1"/>
  <c r="M526" i="1"/>
  <c r="N526" i="1"/>
  <c r="O526" i="1"/>
  <c r="P526" i="1"/>
  <c r="Q526" i="1"/>
  <c r="J527" i="1"/>
  <c r="K527" i="1"/>
  <c r="L527" i="1"/>
  <c r="M527" i="1"/>
  <c r="N527" i="1"/>
  <c r="O527" i="1"/>
  <c r="P527" i="1"/>
  <c r="Q527" i="1"/>
  <c r="A526" i="1"/>
  <c r="B526" i="1"/>
  <c r="A527" i="1"/>
  <c r="B527" i="1"/>
  <c r="J194" i="1" l="1"/>
  <c r="M194" i="1"/>
  <c r="O194" i="1"/>
  <c r="K194" i="1"/>
  <c r="C195" i="1"/>
  <c r="L194" i="1"/>
  <c r="N194" i="1"/>
  <c r="A194" i="1"/>
  <c r="P194" i="1"/>
  <c r="Q194" i="1"/>
  <c r="B194" i="1"/>
  <c r="R194" i="1"/>
  <c r="J187" i="1"/>
  <c r="K187" i="1"/>
  <c r="L187" i="1"/>
  <c r="M187" i="1"/>
  <c r="N187" i="1"/>
  <c r="O187" i="1"/>
  <c r="P187" i="1"/>
  <c r="Q187" i="1"/>
  <c r="R187" i="1"/>
  <c r="A187" i="1"/>
  <c r="B187" i="1"/>
  <c r="C1958" i="1"/>
  <c r="L1958" i="1" s="1"/>
  <c r="C1959" i="1"/>
  <c r="O1959" i="1" s="1"/>
  <c r="C1960" i="1"/>
  <c r="L1960" i="1" s="1"/>
  <c r="C1957" i="1"/>
  <c r="J1957" i="1" s="1"/>
  <c r="I1960" i="1"/>
  <c r="I1959" i="1"/>
  <c r="I1958" i="1"/>
  <c r="I1957" i="1"/>
  <c r="R1956" i="1"/>
  <c r="O1956" i="1"/>
  <c r="N1956" i="1"/>
  <c r="M1956" i="1"/>
  <c r="L1956" i="1"/>
  <c r="K1956" i="1"/>
  <c r="J1956" i="1"/>
  <c r="B1956" i="1"/>
  <c r="A1956" i="1"/>
  <c r="J114" i="19"/>
  <c r="K114" i="19"/>
  <c r="Q1956" i="1" s="1"/>
  <c r="J109" i="19"/>
  <c r="K109" i="19"/>
  <c r="R195" i="1" l="1"/>
  <c r="Q195" i="1"/>
  <c r="C196" i="1"/>
  <c r="J195" i="1"/>
  <c r="B195" i="1"/>
  <c r="K195" i="1"/>
  <c r="L195" i="1"/>
  <c r="N195" i="1"/>
  <c r="O195" i="1"/>
  <c r="P195" i="1"/>
  <c r="M195" i="1"/>
  <c r="A195" i="1"/>
  <c r="P1957" i="1"/>
  <c r="R1957" i="1"/>
  <c r="M1958" i="1"/>
  <c r="N1958" i="1"/>
  <c r="J1960" i="1"/>
  <c r="K1960" i="1"/>
  <c r="P1956" i="1"/>
  <c r="Q1957" i="1"/>
  <c r="Q1960" i="1"/>
  <c r="N1960" i="1"/>
  <c r="R1960" i="1"/>
  <c r="A1960" i="1"/>
  <c r="A1958" i="1"/>
  <c r="K1957" i="1"/>
  <c r="M1957" i="1"/>
  <c r="L1957" i="1"/>
  <c r="B1958" i="1"/>
  <c r="O1958" i="1"/>
  <c r="J1959" i="1"/>
  <c r="R1959" i="1"/>
  <c r="M1960" i="1"/>
  <c r="P1958" i="1"/>
  <c r="K1959" i="1"/>
  <c r="A1957" i="1"/>
  <c r="N1957" i="1"/>
  <c r="Q1958" i="1"/>
  <c r="L1959" i="1"/>
  <c r="B1960" i="1"/>
  <c r="O1960" i="1"/>
  <c r="Q1959" i="1"/>
  <c r="B1957" i="1"/>
  <c r="O1957" i="1"/>
  <c r="J1958" i="1"/>
  <c r="R1958" i="1"/>
  <c r="M1959" i="1"/>
  <c r="P1960" i="1"/>
  <c r="K1958" i="1"/>
  <c r="A1959" i="1"/>
  <c r="N1959" i="1"/>
  <c r="P1959" i="1"/>
  <c r="B1959" i="1"/>
  <c r="J196" i="1" l="1"/>
  <c r="M196" i="1"/>
  <c r="O196" i="1"/>
  <c r="C197" i="1"/>
  <c r="Q196" i="1"/>
  <c r="N196" i="1"/>
  <c r="K196" i="1"/>
  <c r="L196" i="1"/>
  <c r="P196" i="1"/>
  <c r="R196" i="1"/>
  <c r="A196" i="1"/>
  <c r="B196" i="1"/>
  <c r="H112" i="8"/>
  <c r="H118" i="8" s="1"/>
  <c r="I112" i="8"/>
  <c r="I118" i="8" s="1"/>
  <c r="H113" i="8"/>
  <c r="H119" i="8" s="1"/>
  <c r="I113" i="8"/>
  <c r="I119" i="8" s="1"/>
  <c r="H114" i="8"/>
  <c r="H120" i="8" s="1"/>
  <c r="I114" i="8"/>
  <c r="I120" i="8" s="1"/>
  <c r="H115" i="8"/>
  <c r="H121" i="8" s="1"/>
  <c r="I115" i="8"/>
  <c r="I121" i="8" s="1"/>
  <c r="I111" i="8"/>
  <c r="I117" i="8" s="1"/>
  <c r="H111" i="8"/>
  <c r="H117" i="8" s="1"/>
  <c r="C1888" i="1"/>
  <c r="C1823" i="1"/>
  <c r="C524" i="1"/>
  <c r="A524" i="1" s="1"/>
  <c r="C500" i="1"/>
  <c r="B500" i="1" s="1"/>
  <c r="C472" i="1"/>
  <c r="M472" i="1" s="1"/>
  <c r="C424" i="1"/>
  <c r="A424" i="1" s="1"/>
  <c r="C400" i="1"/>
  <c r="A400" i="1" s="1"/>
  <c r="C376" i="1"/>
  <c r="A376" i="1" s="1"/>
  <c r="C351" i="1"/>
  <c r="J351" i="1" s="1"/>
  <c r="C326" i="1"/>
  <c r="A326" i="1" s="1"/>
  <c r="C274" i="1"/>
  <c r="A274" i="1" s="1"/>
  <c r="J525" i="1"/>
  <c r="K525" i="1"/>
  <c r="L525" i="1"/>
  <c r="M525" i="1"/>
  <c r="N525" i="1"/>
  <c r="O525" i="1"/>
  <c r="P525" i="1"/>
  <c r="Q525" i="1"/>
  <c r="R525" i="1"/>
  <c r="A525" i="1"/>
  <c r="B525" i="1"/>
  <c r="G117" i="8"/>
  <c r="G118" i="8"/>
  <c r="G119" i="8"/>
  <c r="G120" i="8"/>
  <c r="G121" i="8"/>
  <c r="H116" i="8"/>
  <c r="I116" i="8"/>
  <c r="G116" i="8"/>
  <c r="F116" i="8"/>
  <c r="F114" i="8"/>
  <c r="B17" i="18"/>
  <c r="F121" i="8" s="1"/>
  <c r="J300" i="1"/>
  <c r="K300" i="1"/>
  <c r="L300" i="1"/>
  <c r="M300" i="1"/>
  <c r="N300" i="1"/>
  <c r="O300" i="1"/>
  <c r="P300" i="1"/>
  <c r="Q300" i="1"/>
  <c r="R300" i="1"/>
  <c r="A300" i="1"/>
  <c r="B300" i="1"/>
  <c r="C1087" i="1"/>
  <c r="N1087" i="1" s="1"/>
  <c r="C1088" i="1"/>
  <c r="N1088" i="1" s="1"/>
  <c r="C1089" i="1"/>
  <c r="O1089" i="1" s="1"/>
  <c r="C1090" i="1"/>
  <c r="L1090" i="1" s="1"/>
  <c r="C1091" i="1"/>
  <c r="O1091" i="1" s="1"/>
  <c r="C1092" i="1"/>
  <c r="J1092" i="1" s="1"/>
  <c r="C1093" i="1"/>
  <c r="Q1093" i="1" s="1"/>
  <c r="C1094" i="1"/>
  <c r="P1094" i="1" s="1"/>
  <c r="C1095" i="1"/>
  <c r="N1095" i="1" s="1"/>
  <c r="C1096" i="1"/>
  <c r="K1096" i="1" s="1"/>
  <c r="C1097" i="1"/>
  <c r="O1097" i="1" s="1"/>
  <c r="C1098" i="1"/>
  <c r="O1098" i="1" s="1"/>
  <c r="C1099" i="1"/>
  <c r="L1099" i="1" s="1"/>
  <c r="C1100" i="1"/>
  <c r="M1100" i="1" s="1"/>
  <c r="C1101" i="1"/>
  <c r="R1101" i="1" s="1"/>
  <c r="C1102" i="1"/>
  <c r="A1102" i="1" s="1"/>
  <c r="C1103" i="1"/>
  <c r="Q1103" i="1" s="1"/>
  <c r="C1104" i="1"/>
  <c r="K1104" i="1" s="1"/>
  <c r="C1105" i="1"/>
  <c r="K1105" i="1" s="1"/>
  <c r="C1106" i="1"/>
  <c r="N1106" i="1" s="1"/>
  <c r="C1107" i="1"/>
  <c r="N1107" i="1" s="1"/>
  <c r="C1108" i="1"/>
  <c r="O1108" i="1" s="1"/>
  <c r="C1109" i="1"/>
  <c r="A1109" i="1" s="1"/>
  <c r="C1110" i="1"/>
  <c r="B1110" i="1" s="1"/>
  <c r="C1111" i="1"/>
  <c r="Q1111" i="1" s="1"/>
  <c r="C1112" i="1"/>
  <c r="K1112" i="1" s="1"/>
  <c r="C1113" i="1"/>
  <c r="K1113" i="1" s="1"/>
  <c r="C1114" i="1"/>
  <c r="L1114" i="1" s="1"/>
  <c r="C1115" i="1"/>
  <c r="L1115" i="1" s="1"/>
  <c r="C1116" i="1"/>
  <c r="Q1116" i="1" s="1"/>
  <c r="C1117" i="1"/>
  <c r="A1117" i="1" s="1"/>
  <c r="C1118" i="1"/>
  <c r="O1118" i="1" s="1"/>
  <c r="C1119" i="1"/>
  <c r="Q1119" i="1" s="1"/>
  <c r="C1120" i="1"/>
  <c r="M1120" i="1" s="1"/>
  <c r="C1121" i="1"/>
  <c r="N1121" i="1" s="1"/>
  <c r="C1122" i="1"/>
  <c r="Q1122" i="1" s="1"/>
  <c r="C1123" i="1"/>
  <c r="Q1123" i="1" s="1"/>
  <c r="C1124" i="1"/>
  <c r="M1124" i="1" s="1"/>
  <c r="C1125" i="1"/>
  <c r="A1125" i="1" s="1"/>
  <c r="C1126" i="1"/>
  <c r="O1126" i="1" s="1"/>
  <c r="C1127" i="1"/>
  <c r="N1127" i="1" s="1"/>
  <c r="C1128" i="1"/>
  <c r="O1128" i="1" s="1"/>
  <c r="C1129" i="1"/>
  <c r="Q1129" i="1" s="1"/>
  <c r="C1130" i="1"/>
  <c r="N1130" i="1" s="1"/>
  <c r="C1131" i="1"/>
  <c r="A1131" i="1" s="1"/>
  <c r="C1132" i="1"/>
  <c r="Q1132" i="1" s="1"/>
  <c r="C1133" i="1"/>
  <c r="J1133" i="1" s="1"/>
  <c r="C1134" i="1"/>
  <c r="P1134" i="1" s="1"/>
  <c r="C1135" i="1"/>
  <c r="N1135" i="1" s="1"/>
  <c r="C1136" i="1"/>
  <c r="Q1136" i="1" s="1"/>
  <c r="C1137" i="1"/>
  <c r="L1137" i="1" s="1"/>
  <c r="C1138" i="1"/>
  <c r="L1138" i="1" s="1"/>
  <c r="C1139" i="1"/>
  <c r="R1139" i="1" s="1"/>
  <c r="C1140" i="1"/>
  <c r="M1140" i="1" s="1"/>
  <c r="C1141" i="1"/>
  <c r="P1141" i="1" s="1"/>
  <c r="C1142" i="1"/>
  <c r="O1142" i="1" s="1"/>
  <c r="C1143" i="1"/>
  <c r="Q1143" i="1" s="1"/>
  <c r="C1144" i="1"/>
  <c r="K1144" i="1" s="1"/>
  <c r="C1145" i="1"/>
  <c r="O1145" i="1" s="1"/>
  <c r="C1146" i="1"/>
  <c r="P1146" i="1" s="1"/>
  <c r="C1147" i="1"/>
  <c r="J1147" i="1" s="1"/>
  <c r="C1148" i="1"/>
  <c r="Q1148" i="1" s="1"/>
  <c r="C1149" i="1"/>
  <c r="Q1149" i="1" s="1"/>
  <c r="C1150" i="1"/>
  <c r="P1150" i="1" s="1"/>
  <c r="C1151" i="1"/>
  <c r="Q1151" i="1" s="1"/>
  <c r="C1152" i="1"/>
  <c r="J1152" i="1" s="1"/>
  <c r="C1153" i="1"/>
  <c r="J1153" i="1" s="1"/>
  <c r="C1154" i="1"/>
  <c r="M1154" i="1" s="1"/>
  <c r="C1155" i="1"/>
  <c r="A1155" i="1" s="1"/>
  <c r="C1156" i="1"/>
  <c r="M1156" i="1" s="1"/>
  <c r="C1157" i="1"/>
  <c r="R1157" i="1" s="1"/>
  <c r="C1158" i="1"/>
  <c r="A1158" i="1" s="1"/>
  <c r="C1159" i="1"/>
  <c r="Q1159" i="1" s="1"/>
  <c r="C1160" i="1"/>
  <c r="M1160" i="1" s="1"/>
  <c r="C1161" i="1"/>
  <c r="L1161" i="1" s="1"/>
  <c r="C1162" i="1"/>
  <c r="K1162" i="1" s="1"/>
  <c r="C1163" i="1"/>
  <c r="L1163" i="1" s="1"/>
  <c r="C1164" i="1"/>
  <c r="P1164" i="1" s="1"/>
  <c r="C1165" i="1"/>
  <c r="A1165" i="1" s="1"/>
  <c r="C1166" i="1"/>
  <c r="Q1166" i="1" s="1"/>
  <c r="C1167" i="1"/>
  <c r="Q1167" i="1" s="1"/>
  <c r="C1168" i="1"/>
  <c r="P1168" i="1" s="1"/>
  <c r="C1169" i="1"/>
  <c r="O1169" i="1" s="1"/>
  <c r="C1170" i="1"/>
  <c r="P1170" i="1" s="1"/>
  <c r="C1171" i="1"/>
  <c r="J1171" i="1" s="1"/>
  <c r="C1172" i="1"/>
  <c r="K1172" i="1" s="1"/>
  <c r="C1173" i="1"/>
  <c r="A1173" i="1" s="1"/>
  <c r="C1174" i="1"/>
  <c r="O1174" i="1" s="1"/>
  <c r="C1175" i="1"/>
  <c r="Q1175" i="1" s="1"/>
  <c r="C1176" i="1"/>
  <c r="K1176" i="1" s="1"/>
  <c r="C1177" i="1"/>
  <c r="J1177" i="1" s="1"/>
  <c r="C1178" i="1"/>
  <c r="K1178" i="1" s="1"/>
  <c r="C1179" i="1"/>
  <c r="L1179" i="1" s="1"/>
  <c r="C1180" i="1"/>
  <c r="N1180" i="1" s="1"/>
  <c r="C1181" i="1"/>
  <c r="A1181" i="1" s="1"/>
  <c r="C1182" i="1"/>
  <c r="O1182" i="1" s="1"/>
  <c r="C1183" i="1"/>
  <c r="Q1183" i="1" s="1"/>
  <c r="C1184" i="1"/>
  <c r="O1184" i="1" s="1"/>
  <c r="C1185" i="1"/>
  <c r="M1185" i="1" s="1"/>
  <c r="C1186" i="1"/>
  <c r="P1186" i="1" s="1"/>
  <c r="C1187" i="1"/>
  <c r="B1187" i="1" s="1"/>
  <c r="C1188" i="1"/>
  <c r="J1188" i="1" s="1"/>
  <c r="C1189" i="1"/>
  <c r="A1189" i="1" s="1"/>
  <c r="C1190" i="1"/>
  <c r="P1190" i="1" s="1"/>
  <c r="C1191" i="1"/>
  <c r="Q1191" i="1" s="1"/>
  <c r="C1192" i="1"/>
  <c r="K1192" i="1" s="1"/>
  <c r="C1193" i="1"/>
  <c r="P1193" i="1" s="1"/>
  <c r="C1194" i="1"/>
  <c r="O1194" i="1" s="1"/>
  <c r="C1195" i="1"/>
  <c r="N1195" i="1" s="1"/>
  <c r="C1196" i="1"/>
  <c r="N1196" i="1" s="1"/>
  <c r="C1197" i="1"/>
  <c r="J1197" i="1" s="1"/>
  <c r="C1198" i="1"/>
  <c r="A1198" i="1" s="1"/>
  <c r="C1199" i="1"/>
  <c r="Q1199" i="1" s="1"/>
  <c r="C1200" i="1"/>
  <c r="P1200" i="1" s="1"/>
  <c r="C1201" i="1"/>
  <c r="J1201" i="1" s="1"/>
  <c r="C1202" i="1"/>
  <c r="Q1202" i="1" s="1"/>
  <c r="C1203" i="1"/>
  <c r="O1203" i="1" s="1"/>
  <c r="C1204" i="1"/>
  <c r="Q1204" i="1" s="1"/>
  <c r="C1205" i="1"/>
  <c r="P1205" i="1" s="1"/>
  <c r="C1206" i="1"/>
  <c r="P1206" i="1" s="1"/>
  <c r="C1207" i="1"/>
  <c r="Q1207" i="1" s="1"/>
  <c r="C1208" i="1"/>
  <c r="K1208" i="1" s="1"/>
  <c r="C1209" i="1"/>
  <c r="L1209" i="1" s="1"/>
  <c r="C1210" i="1"/>
  <c r="K1210" i="1" s="1"/>
  <c r="C1211" i="1"/>
  <c r="P1211" i="1" s="1"/>
  <c r="C1212" i="1"/>
  <c r="L1212" i="1" s="1"/>
  <c r="C1213" i="1"/>
  <c r="A1213" i="1" s="1"/>
  <c r="C1214" i="1"/>
  <c r="A1214" i="1" s="1"/>
  <c r="C1215" i="1"/>
  <c r="Q1215" i="1" s="1"/>
  <c r="C1216" i="1"/>
  <c r="N1216" i="1" s="1"/>
  <c r="C1217" i="1"/>
  <c r="N1217" i="1" s="1"/>
  <c r="C1218" i="1"/>
  <c r="M1218" i="1" s="1"/>
  <c r="C1219" i="1"/>
  <c r="J1219" i="1" s="1"/>
  <c r="C1220" i="1"/>
  <c r="P1220" i="1" s="1"/>
  <c r="C1221" i="1"/>
  <c r="P1221" i="1" s="1"/>
  <c r="C1222" i="1"/>
  <c r="O1222" i="1" s="1"/>
  <c r="C1223" i="1"/>
  <c r="Q1223" i="1" s="1"/>
  <c r="C1224" i="1"/>
  <c r="J1224" i="1" s="1"/>
  <c r="C1225" i="1"/>
  <c r="Q1225" i="1" s="1"/>
  <c r="C1226" i="1"/>
  <c r="P1226" i="1" s="1"/>
  <c r="C1227" i="1"/>
  <c r="Q1227" i="1" s="1"/>
  <c r="C1228" i="1"/>
  <c r="L1228" i="1" s="1"/>
  <c r="C1229" i="1"/>
  <c r="J1229" i="1" s="1"/>
  <c r="C1230" i="1"/>
  <c r="O1230" i="1" s="1"/>
  <c r="C1231" i="1"/>
  <c r="Q1231" i="1" s="1"/>
  <c r="C1232" i="1"/>
  <c r="N1232" i="1" s="1"/>
  <c r="C1233" i="1"/>
  <c r="K1233" i="1" s="1"/>
  <c r="C1234" i="1"/>
  <c r="J1234" i="1" s="1"/>
  <c r="C1235" i="1"/>
  <c r="N1235" i="1" s="1"/>
  <c r="C1236" i="1"/>
  <c r="P1236" i="1" s="1"/>
  <c r="C1237" i="1"/>
  <c r="O1237" i="1" s="1"/>
  <c r="C1238" i="1"/>
  <c r="M1238" i="1" s="1"/>
  <c r="C1239" i="1"/>
  <c r="O1239" i="1" s="1"/>
  <c r="C1240" i="1"/>
  <c r="Q1240" i="1" s="1"/>
  <c r="C1241" i="1"/>
  <c r="M1241" i="1" s="1"/>
  <c r="C1242" i="1"/>
  <c r="L1242" i="1" s="1"/>
  <c r="C1243" i="1"/>
  <c r="O1243" i="1" s="1"/>
  <c r="C1244" i="1"/>
  <c r="L1244" i="1" s="1"/>
  <c r="C1245" i="1"/>
  <c r="L1245" i="1" s="1"/>
  <c r="C1246" i="1"/>
  <c r="O1246" i="1" s="1"/>
  <c r="C1247" i="1"/>
  <c r="P1247" i="1" s="1"/>
  <c r="C1248" i="1"/>
  <c r="M1248" i="1" s="1"/>
  <c r="C1249" i="1"/>
  <c r="O1249" i="1" s="1"/>
  <c r="C1250" i="1"/>
  <c r="N1250" i="1" s="1"/>
  <c r="C1251" i="1"/>
  <c r="A1251" i="1" s="1"/>
  <c r="C1252" i="1"/>
  <c r="P1252" i="1" s="1"/>
  <c r="C1253" i="1"/>
  <c r="Q1253" i="1" s="1"/>
  <c r="C1254" i="1"/>
  <c r="Q1254" i="1" s="1"/>
  <c r="C1255" i="1"/>
  <c r="Q1255" i="1" s="1"/>
  <c r="C1256" i="1"/>
  <c r="O1256" i="1" s="1"/>
  <c r="C1257" i="1"/>
  <c r="Q1257" i="1" s="1"/>
  <c r="C1258" i="1"/>
  <c r="P1258" i="1" s="1"/>
  <c r="C1259" i="1"/>
  <c r="A1259" i="1" s="1"/>
  <c r="C1260" i="1"/>
  <c r="K1260" i="1" s="1"/>
  <c r="C1261" i="1"/>
  <c r="L1261" i="1" s="1"/>
  <c r="C1262" i="1"/>
  <c r="J1262" i="1" s="1"/>
  <c r="C1263" i="1"/>
  <c r="J1263" i="1" s="1"/>
  <c r="C1264" i="1"/>
  <c r="Q1264" i="1" s="1"/>
  <c r="C1265" i="1"/>
  <c r="J1265" i="1" s="1"/>
  <c r="C1266" i="1"/>
  <c r="Q1266" i="1" s="1"/>
  <c r="C1267" i="1"/>
  <c r="J1267" i="1" s="1"/>
  <c r="C1268" i="1"/>
  <c r="O1268" i="1" s="1"/>
  <c r="C1269" i="1"/>
  <c r="L1269" i="1" s="1"/>
  <c r="C1270" i="1"/>
  <c r="J1270" i="1" s="1"/>
  <c r="C1271" i="1"/>
  <c r="K1271" i="1" s="1"/>
  <c r="C1272" i="1"/>
  <c r="L1272" i="1" s="1"/>
  <c r="C1273" i="1"/>
  <c r="K1273" i="1" s="1"/>
  <c r="C1274" i="1"/>
  <c r="J1274" i="1" s="1"/>
  <c r="C1275" i="1"/>
  <c r="A1275" i="1" s="1"/>
  <c r="C1276" i="1"/>
  <c r="K1276" i="1" s="1"/>
  <c r="C1277" i="1"/>
  <c r="L1277" i="1" s="1"/>
  <c r="C1278" i="1"/>
  <c r="J1278" i="1" s="1"/>
  <c r="C1279" i="1"/>
  <c r="L1279" i="1" s="1"/>
  <c r="C1280" i="1"/>
  <c r="P1280" i="1" s="1"/>
  <c r="C1281" i="1"/>
  <c r="M1281" i="1" s="1"/>
  <c r="C1282" i="1"/>
  <c r="L1282" i="1" s="1"/>
  <c r="C1283" i="1"/>
  <c r="P1283" i="1" s="1"/>
  <c r="C1284" i="1"/>
  <c r="O1284" i="1" s="1"/>
  <c r="C1086" i="1"/>
  <c r="P1086" i="1" s="1"/>
  <c r="J1085" i="1"/>
  <c r="K1085" i="1"/>
  <c r="L1085" i="1"/>
  <c r="M1085" i="1"/>
  <c r="N1085" i="1"/>
  <c r="O1085" i="1"/>
  <c r="P1085" i="1"/>
  <c r="Q1085" i="1"/>
  <c r="R1085" i="1"/>
  <c r="N1115" i="1"/>
  <c r="Q1115" i="1"/>
  <c r="O1123" i="1"/>
  <c r="L1155" i="1"/>
  <c r="O1155" i="1"/>
  <c r="L1195" i="1"/>
  <c r="M1195" i="1"/>
  <c r="R1195" i="1"/>
  <c r="Q1203" i="1"/>
  <c r="O1275" i="1"/>
  <c r="A1085" i="1"/>
  <c r="B1085" i="1"/>
  <c r="B1155" i="1"/>
  <c r="B1195" i="1"/>
  <c r="A1196" i="1"/>
  <c r="B1115" i="1" l="1"/>
  <c r="N1163" i="1"/>
  <c r="P1235" i="1"/>
  <c r="P197" i="1"/>
  <c r="C198" i="1"/>
  <c r="N197" i="1"/>
  <c r="R197" i="1"/>
  <c r="J197" i="1"/>
  <c r="L197" i="1"/>
  <c r="K197" i="1"/>
  <c r="A197" i="1"/>
  <c r="O197" i="1"/>
  <c r="M197" i="1"/>
  <c r="B197" i="1"/>
  <c r="Q197" i="1"/>
  <c r="O1164" i="1"/>
  <c r="K1163" i="1"/>
  <c r="J1163" i="1"/>
  <c r="O1220" i="1"/>
  <c r="A1163" i="1"/>
  <c r="R1163" i="1"/>
  <c r="B1236" i="1"/>
  <c r="M1219" i="1"/>
  <c r="A1220" i="1"/>
  <c r="K1123" i="1"/>
  <c r="N1243" i="1"/>
  <c r="M1243" i="1"/>
  <c r="Q1243" i="1"/>
  <c r="A1100" i="1"/>
  <c r="Q1187" i="1"/>
  <c r="P1275" i="1"/>
  <c r="O1267" i="1"/>
  <c r="L1267" i="1"/>
  <c r="Q1260" i="1"/>
  <c r="A1236" i="1"/>
  <c r="B1235" i="1"/>
  <c r="K1235" i="1"/>
  <c r="B1220" i="1"/>
  <c r="J1235" i="1"/>
  <c r="O1147" i="1"/>
  <c r="M1131" i="1"/>
  <c r="P1123" i="1"/>
  <c r="M1284" i="1"/>
  <c r="M1107" i="1"/>
  <c r="R1283" i="1"/>
  <c r="A1283" i="1"/>
  <c r="Q1091" i="1"/>
  <c r="A1211" i="1"/>
  <c r="A1107" i="1"/>
  <c r="M1227" i="1"/>
  <c r="M1203" i="1"/>
  <c r="A1267" i="1"/>
  <c r="N1283" i="1"/>
  <c r="N1203" i="1"/>
  <c r="J1107" i="1"/>
  <c r="O1283" i="1"/>
  <c r="B1243" i="1"/>
  <c r="J1283" i="1"/>
  <c r="A1243" i="1"/>
  <c r="B1203" i="1"/>
  <c r="A1147" i="1"/>
  <c r="M1283" i="1"/>
  <c r="N1275" i="1"/>
  <c r="R1259" i="1"/>
  <c r="L1243" i="1"/>
  <c r="P1227" i="1"/>
  <c r="O1211" i="1"/>
  <c r="L1203" i="1"/>
  <c r="K1195" i="1"/>
  <c r="Q1163" i="1"/>
  <c r="R1155" i="1"/>
  <c r="N1147" i="1"/>
  <c r="N1123" i="1"/>
  <c r="K1115" i="1"/>
  <c r="A1203" i="1"/>
  <c r="B1123" i="1"/>
  <c r="L1283" i="1"/>
  <c r="M1275" i="1"/>
  <c r="O1251" i="1"/>
  <c r="K1243" i="1"/>
  <c r="O1227" i="1"/>
  <c r="N1211" i="1"/>
  <c r="K1203" i="1"/>
  <c r="J1195" i="1"/>
  <c r="P1163" i="1"/>
  <c r="Q1155" i="1"/>
  <c r="M1147" i="1"/>
  <c r="M1123" i="1"/>
  <c r="J1115" i="1"/>
  <c r="B1283" i="1"/>
  <c r="A1123" i="1"/>
  <c r="K1283" i="1"/>
  <c r="L1275" i="1"/>
  <c r="R1243" i="1"/>
  <c r="J1243" i="1"/>
  <c r="N1227" i="1"/>
  <c r="R1203" i="1"/>
  <c r="J1203" i="1"/>
  <c r="R1187" i="1"/>
  <c r="O1163" i="1"/>
  <c r="P1155" i="1"/>
  <c r="Q1139" i="1"/>
  <c r="L1123" i="1"/>
  <c r="R1107" i="1"/>
  <c r="B1275" i="1"/>
  <c r="A1235" i="1"/>
  <c r="A1187" i="1"/>
  <c r="A1115" i="1"/>
  <c r="Q1283" i="1"/>
  <c r="R1275" i="1"/>
  <c r="N1267" i="1"/>
  <c r="P1243" i="1"/>
  <c r="M1235" i="1"/>
  <c r="L1227" i="1"/>
  <c r="P1203" i="1"/>
  <c r="Q1195" i="1"/>
  <c r="R1179" i="1"/>
  <c r="M1163" i="1"/>
  <c r="N1155" i="1"/>
  <c r="R1123" i="1"/>
  <c r="J1123" i="1"/>
  <c r="L1107" i="1"/>
  <c r="B1267" i="1"/>
  <c r="B1163" i="1"/>
  <c r="B1107" i="1"/>
  <c r="Q1275" i="1"/>
  <c r="M1267" i="1"/>
  <c r="L1235" i="1"/>
  <c r="K1227" i="1"/>
  <c r="P1195" i="1"/>
  <c r="K1179" i="1"/>
  <c r="M1155" i="1"/>
  <c r="R1115" i="1"/>
  <c r="K1107" i="1"/>
  <c r="B1179" i="1"/>
  <c r="Q1259" i="1"/>
  <c r="J1179" i="1"/>
  <c r="A1179" i="1"/>
  <c r="M1211" i="1"/>
  <c r="B1172" i="1"/>
  <c r="L1211" i="1"/>
  <c r="N1139" i="1"/>
  <c r="A1172" i="1"/>
  <c r="N1259" i="1"/>
  <c r="K1211" i="1"/>
  <c r="M1139" i="1"/>
  <c r="B1171" i="1"/>
  <c r="B1099" i="1"/>
  <c r="M1259" i="1"/>
  <c r="O1171" i="1"/>
  <c r="L1139" i="1"/>
  <c r="B1227" i="1"/>
  <c r="A1171" i="1"/>
  <c r="A1099" i="1"/>
  <c r="J1227" i="1"/>
  <c r="K1139" i="1"/>
  <c r="A1227" i="1"/>
  <c r="B1091" i="1"/>
  <c r="K1259" i="1"/>
  <c r="O1187" i="1"/>
  <c r="M1171" i="1"/>
  <c r="J1139" i="1"/>
  <c r="N1099" i="1"/>
  <c r="A1091" i="1"/>
  <c r="K1275" i="1"/>
  <c r="J1259" i="1"/>
  <c r="R1235" i="1"/>
  <c r="R1219" i="1"/>
  <c r="N1187" i="1"/>
  <c r="L1171" i="1"/>
  <c r="K1155" i="1"/>
  <c r="R1131" i="1"/>
  <c r="P1115" i="1"/>
  <c r="M1099" i="1"/>
  <c r="A1276" i="1"/>
  <c r="B1156" i="1"/>
  <c r="J1275" i="1"/>
  <c r="O1252" i="1"/>
  <c r="Q1235" i="1"/>
  <c r="Q1219" i="1"/>
  <c r="M1187" i="1"/>
  <c r="K1171" i="1"/>
  <c r="J1155" i="1"/>
  <c r="Q1131" i="1"/>
  <c r="O1115" i="1"/>
  <c r="K1099" i="1"/>
  <c r="P1139" i="1"/>
  <c r="P1259" i="1"/>
  <c r="R1171" i="1"/>
  <c r="O1139" i="1"/>
  <c r="O1259" i="1"/>
  <c r="Q1171" i="1"/>
  <c r="P1171" i="1"/>
  <c r="R1099" i="1"/>
  <c r="J1211" i="1"/>
  <c r="Q1099" i="1"/>
  <c r="L1259" i="1"/>
  <c r="P1187" i="1"/>
  <c r="N1171" i="1"/>
  <c r="O1099" i="1"/>
  <c r="B1219" i="1"/>
  <c r="R1267" i="1"/>
  <c r="R1251" i="1"/>
  <c r="P1219" i="1"/>
  <c r="L1187" i="1"/>
  <c r="R1147" i="1"/>
  <c r="P1131" i="1"/>
  <c r="J1099" i="1"/>
  <c r="A1219" i="1"/>
  <c r="Q1267" i="1"/>
  <c r="Q1251" i="1"/>
  <c r="O1235" i="1"/>
  <c r="O1219" i="1"/>
  <c r="K1187" i="1"/>
  <c r="Q1147" i="1"/>
  <c r="O1131" i="1"/>
  <c r="M1115" i="1"/>
  <c r="M1092" i="1"/>
  <c r="B1268" i="1"/>
  <c r="B1211" i="1"/>
  <c r="B1147" i="1"/>
  <c r="P1267" i="1"/>
  <c r="P1251" i="1"/>
  <c r="N1219" i="1"/>
  <c r="J1187" i="1"/>
  <c r="P1147" i="1"/>
  <c r="N1131" i="1"/>
  <c r="R1091" i="1"/>
  <c r="B1139" i="1"/>
  <c r="N1251" i="1"/>
  <c r="L1219" i="1"/>
  <c r="Q1179" i="1"/>
  <c r="L1131" i="1"/>
  <c r="N1091" i="1"/>
  <c r="B1259" i="1"/>
  <c r="A1139" i="1"/>
  <c r="M1251" i="1"/>
  <c r="K1219" i="1"/>
  <c r="P1179" i="1"/>
  <c r="K1131" i="1"/>
  <c r="M1091" i="1"/>
  <c r="B1131" i="1"/>
  <c r="L1251" i="1"/>
  <c r="O1179" i="1"/>
  <c r="L1147" i="1"/>
  <c r="J1131" i="1"/>
  <c r="Q1107" i="1"/>
  <c r="L1091" i="1"/>
  <c r="A1252" i="1"/>
  <c r="K1267" i="1"/>
  <c r="K1251" i="1"/>
  <c r="Q1228" i="1"/>
  <c r="R1211" i="1"/>
  <c r="N1179" i="1"/>
  <c r="K1147" i="1"/>
  <c r="P1107" i="1"/>
  <c r="J1091" i="1"/>
  <c r="B1251" i="1"/>
  <c r="A1195" i="1"/>
  <c r="J1251" i="1"/>
  <c r="R1227" i="1"/>
  <c r="Q1211" i="1"/>
  <c r="O1195" i="1"/>
  <c r="M1179" i="1"/>
  <c r="O1107" i="1"/>
  <c r="F115" i="8"/>
  <c r="F117" i="8"/>
  <c r="F110" i="8"/>
  <c r="F118" i="8"/>
  <c r="F111" i="8"/>
  <c r="F119" i="8"/>
  <c r="F112" i="8"/>
  <c r="F120" i="8"/>
  <c r="F113" i="8"/>
  <c r="M1130" i="1"/>
  <c r="A1260" i="1"/>
  <c r="J1089" i="1"/>
  <c r="M1106" i="1"/>
  <c r="J1192" i="1"/>
  <c r="O1186" i="1"/>
  <c r="A1268" i="1"/>
  <c r="B1212" i="1"/>
  <c r="B1188" i="1"/>
  <c r="B1148" i="1"/>
  <c r="N1252" i="1"/>
  <c r="R1124" i="1"/>
  <c r="B1228" i="1"/>
  <c r="A1188" i="1"/>
  <c r="A1148" i="1"/>
  <c r="J1276" i="1"/>
  <c r="M1180" i="1"/>
  <c r="P1148" i="1"/>
  <c r="B1244" i="1"/>
  <c r="B1164" i="1"/>
  <c r="A1116" i="1"/>
  <c r="B1092" i="1"/>
  <c r="K1244" i="1"/>
  <c r="P1204" i="1"/>
  <c r="N1116" i="1"/>
  <c r="B1284" i="1"/>
  <c r="B1260" i="1"/>
  <c r="P1172" i="1"/>
  <c r="R1140" i="1"/>
  <c r="R1260" i="1"/>
  <c r="K1196" i="1"/>
  <c r="J1172" i="1"/>
  <c r="J1140" i="1"/>
  <c r="Q1224" i="1"/>
  <c r="R1104" i="1"/>
  <c r="M1088" i="1"/>
  <c r="A1144" i="1"/>
  <c r="J1208" i="1"/>
  <c r="B1136" i="1"/>
  <c r="J1176" i="1"/>
  <c r="O1170" i="1"/>
  <c r="N1098" i="1"/>
  <c r="K1090" i="1"/>
  <c r="B1106" i="1"/>
  <c r="O1146" i="1"/>
  <c r="A1186" i="1"/>
  <c r="M1202" i="1"/>
  <c r="R1178" i="1"/>
  <c r="P1122" i="1"/>
  <c r="A1122" i="1"/>
  <c r="J1178" i="1"/>
  <c r="R1162" i="1"/>
  <c r="P1282" i="1"/>
  <c r="J1162" i="1"/>
  <c r="B1282" i="1"/>
  <c r="K1138" i="1"/>
  <c r="K1114" i="1"/>
  <c r="A1218" i="1"/>
  <c r="L1154" i="1"/>
  <c r="K1888" i="1"/>
  <c r="B1194" i="1"/>
  <c r="B1170" i="1"/>
  <c r="B1146" i="1"/>
  <c r="A1106" i="1"/>
  <c r="L1258" i="1"/>
  <c r="P1242" i="1"/>
  <c r="N1186" i="1"/>
  <c r="Q1178" i="1"/>
  <c r="N1170" i="1"/>
  <c r="Q1162" i="1"/>
  <c r="K1154" i="1"/>
  <c r="N1146" i="1"/>
  <c r="R1138" i="1"/>
  <c r="J1138" i="1"/>
  <c r="L1130" i="1"/>
  <c r="O1122" i="1"/>
  <c r="R1114" i="1"/>
  <c r="J1114" i="1"/>
  <c r="L1106" i="1"/>
  <c r="M1098" i="1"/>
  <c r="A1170" i="1"/>
  <c r="A1146" i="1"/>
  <c r="B1090" i="1"/>
  <c r="Q1218" i="1"/>
  <c r="M1186" i="1"/>
  <c r="P1178" i="1"/>
  <c r="M1170" i="1"/>
  <c r="P1162" i="1"/>
  <c r="R1154" i="1"/>
  <c r="J1154" i="1"/>
  <c r="M1146" i="1"/>
  <c r="Q1138" i="1"/>
  <c r="K1130" i="1"/>
  <c r="N1122" i="1"/>
  <c r="Q1114" i="1"/>
  <c r="K1106" i="1"/>
  <c r="L1098" i="1"/>
  <c r="A1194" i="1"/>
  <c r="B1178" i="1"/>
  <c r="B1154" i="1"/>
  <c r="B1130" i="1"/>
  <c r="A1090" i="1"/>
  <c r="N1274" i="1"/>
  <c r="N1234" i="1"/>
  <c r="L1186" i="1"/>
  <c r="O1178" i="1"/>
  <c r="L1170" i="1"/>
  <c r="O1162" i="1"/>
  <c r="Q1154" i="1"/>
  <c r="L1146" i="1"/>
  <c r="P1138" i="1"/>
  <c r="R1130" i="1"/>
  <c r="J1130" i="1"/>
  <c r="M1122" i="1"/>
  <c r="P1114" i="1"/>
  <c r="R1106" i="1"/>
  <c r="J1106" i="1"/>
  <c r="K1098" i="1"/>
  <c r="L472" i="1"/>
  <c r="A1178" i="1"/>
  <c r="A1154" i="1"/>
  <c r="A1130" i="1"/>
  <c r="B1114" i="1"/>
  <c r="O1210" i="1"/>
  <c r="K1186" i="1"/>
  <c r="N1178" i="1"/>
  <c r="K1170" i="1"/>
  <c r="N1162" i="1"/>
  <c r="P1154" i="1"/>
  <c r="K1146" i="1"/>
  <c r="O1138" i="1"/>
  <c r="Q1130" i="1"/>
  <c r="L1122" i="1"/>
  <c r="O1114" i="1"/>
  <c r="Q1106" i="1"/>
  <c r="R1098" i="1"/>
  <c r="J1098" i="1"/>
  <c r="Q1090" i="1"/>
  <c r="N1090" i="1"/>
  <c r="A1242" i="1"/>
  <c r="A1114" i="1"/>
  <c r="B1098" i="1"/>
  <c r="M1266" i="1"/>
  <c r="R1250" i="1"/>
  <c r="R1186" i="1"/>
  <c r="J1186" i="1"/>
  <c r="M1178" i="1"/>
  <c r="R1170" i="1"/>
  <c r="J1170" i="1"/>
  <c r="M1162" i="1"/>
  <c r="O1154" i="1"/>
  <c r="R1146" i="1"/>
  <c r="J1146" i="1"/>
  <c r="N1138" i="1"/>
  <c r="P1130" i="1"/>
  <c r="K1122" i="1"/>
  <c r="N1114" i="1"/>
  <c r="P1106" i="1"/>
  <c r="Q1098" i="1"/>
  <c r="P1090" i="1"/>
  <c r="B1162" i="1"/>
  <c r="B1138" i="1"/>
  <c r="A1098" i="1"/>
  <c r="L1226" i="1"/>
  <c r="Q1186" i="1"/>
  <c r="L1178" i="1"/>
  <c r="Q1170" i="1"/>
  <c r="L1162" i="1"/>
  <c r="N1154" i="1"/>
  <c r="Q1146" i="1"/>
  <c r="M1138" i="1"/>
  <c r="O1130" i="1"/>
  <c r="R1122" i="1"/>
  <c r="J1122" i="1"/>
  <c r="M1114" i="1"/>
  <c r="O1106" i="1"/>
  <c r="P1098" i="1"/>
  <c r="M1090" i="1"/>
  <c r="B1258" i="1"/>
  <c r="J1250" i="1"/>
  <c r="B1218" i="1"/>
  <c r="B1186" i="1"/>
  <c r="A1162" i="1"/>
  <c r="A1138" i="1"/>
  <c r="B1122" i="1"/>
  <c r="K1823" i="1"/>
  <c r="O1280" i="1"/>
  <c r="R1208" i="1"/>
  <c r="R1192" i="1"/>
  <c r="R1176" i="1"/>
  <c r="M1144" i="1"/>
  <c r="N1128" i="1"/>
  <c r="Q472" i="1"/>
  <c r="A1197" i="1"/>
  <c r="A1152" i="1"/>
  <c r="N1184" i="1"/>
  <c r="Q1152" i="1"/>
  <c r="Q524" i="1"/>
  <c r="A1277" i="1"/>
  <c r="M1232" i="1"/>
  <c r="M1216" i="1"/>
  <c r="O1200" i="1"/>
  <c r="M1136" i="1"/>
  <c r="N524" i="1"/>
  <c r="P1264" i="1"/>
  <c r="O1168" i="1"/>
  <c r="M524" i="1"/>
  <c r="L524" i="1"/>
  <c r="K524" i="1"/>
  <c r="J524" i="1"/>
  <c r="P524" i="1"/>
  <c r="B524" i="1"/>
  <c r="O1161" i="1"/>
  <c r="L1248" i="1"/>
  <c r="N1201" i="1"/>
  <c r="A1129" i="1"/>
  <c r="R1169" i="1"/>
  <c r="Q1121" i="1"/>
  <c r="K472" i="1"/>
  <c r="J472" i="1"/>
  <c r="K1272" i="1"/>
  <c r="N1256" i="1"/>
  <c r="B1272" i="1"/>
  <c r="N1105" i="1"/>
  <c r="B1161" i="1"/>
  <c r="B1241" i="1"/>
  <c r="P1240" i="1"/>
  <c r="A500" i="1"/>
  <c r="N500" i="1"/>
  <c r="O500" i="1"/>
  <c r="M500" i="1"/>
  <c r="L500" i="1"/>
  <c r="K500" i="1"/>
  <c r="J500" i="1"/>
  <c r="Q500" i="1"/>
  <c r="P500" i="1"/>
  <c r="B1276" i="1"/>
  <c r="A1237" i="1"/>
  <c r="A1221" i="1"/>
  <c r="A1212" i="1"/>
  <c r="B1196" i="1"/>
  <c r="A1164" i="1"/>
  <c r="A1156" i="1"/>
  <c r="B1124" i="1"/>
  <c r="K1284" i="1"/>
  <c r="P1255" i="1"/>
  <c r="Q1244" i="1"/>
  <c r="M1220" i="1"/>
  <c r="M1196" i="1"/>
  <c r="R1172" i="1"/>
  <c r="M1164" i="1"/>
  <c r="L1140" i="1"/>
  <c r="P1116" i="1"/>
  <c r="P472" i="1"/>
  <c r="A1284" i="1"/>
  <c r="A1244" i="1"/>
  <c r="B1204" i="1"/>
  <c r="B1108" i="1"/>
  <c r="A1086" i="1"/>
  <c r="N1268" i="1"/>
  <c r="O1260" i="1"/>
  <c r="L1252" i="1"/>
  <c r="K1228" i="1"/>
  <c r="N1204" i="1"/>
  <c r="K1180" i="1"/>
  <c r="N1148" i="1"/>
  <c r="L1124" i="1"/>
  <c r="A1204" i="1"/>
  <c r="B1180" i="1"/>
  <c r="A1108" i="1"/>
  <c r="R1276" i="1"/>
  <c r="M1268" i="1"/>
  <c r="J1260" i="1"/>
  <c r="Q1212" i="1"/>
  <c r="R1156" i="1"/>
  <c r="J1124" i="1"/>
  <c r="Q1108" i="1"/>
  <c r="A1140" i="1"/>
  <c r="B1116" i="1"/>
  <c r="Q1276" i="1"/>
  <c r="K1268" i="1"/>
  <c r="O1236" i="1"/>
  <c r="K1212" i="1"/>
  <c r="Q1188" i="1"/>
  <c r="L1156" i="1"/>
  <c r="P1132" i="1"/>
  <c r="B472" i="1"/>
  <c r="A1253" i="1"/>
  <c r="A1157" i="1"/>
  <c r="N1284" i="1"/>
  <c r="O1276" i="1"/>
  <c r="M1236" i="1"/>
  <c r="O1188" i="1"/>
  <c r="J1156" i="1"/>
  <c r="N1132" i="1"/>
  <c r="A472" i="1"/>
  <c r="O472" i="1"/>
  <c r="N472" i="1"/>
  <c r="N400" i="1"/>
  <c r="B351" i="1"/>
  <c r="A351" i="1"/>
  <c r="N424" i="1"/>
  <c r="L424" i="1"/>
  <c r="L1160" i="1"/>
  <c r="M424" i="1"/>
  <c r="K424" i="1"/>
  <c r="J424" i="1"/>
  <c r="P424" i="1"/>
  <c r="B424" i="1"/>
  <c r="O424" i="1"/>
  <c r="L400" i="1"/>
  <c r="M400" i="1"/>
  <c r="K400" i="1"/>
  <c r="J400" i="1"/>
  <c r="P400" i="1"/>
  <c r="B400" i="1"/>
  <c r="O400" i="1"/>
  <c r="L1284" i="1"/>
  <c r="P1276" i="1"/>
  <c r="L1268" i="1"/>
  <c r="P1260" i="1"/>
  <c r="M1252" i="1"/>
  <c r="R1244" i="1"/>
  <c r="J1244" i="1"/>
  <c r="N1236" i="1"/>
  <c r="R1228" i="1"/>
  <c r="J1228" i="1"/>
  <c r="N1220" i="1"/>
  <c r="R1212" i="1"/>
  <c r="J1212" i="1"/>
  <c r="O1204" i="1"/>
  <c r="L1196" i="1"/>
  <c r="P1188" i="1"/>
  <c r="L1180" i="1"/>
  <c r="Q1172" i="1"/>
  <c r="N1164" i="1"/>
  <c r="K1156" i="1"/>
  <c r="O1148" i="1"/>
  <c r="K1140" i="1"/>
  <c r="O1132" i="1"/>
  <c r="K1124" i="1"/>
  <c r="O1116" i="1"/>
  <c r="R1108" i="1"/>
  <c r="L1092" i="1"/>
  <c r="B1252" i="1"/>
  <c r="A1228" i="1"/>
  <c r="A1180" i="1"/>
  <c r="B1132" i="1"/>
  <c r="A1124" i="1"/>
  <c r="A1092" i="1"/>
  <c r="R1284" i="1"/>
  <c r="J1284" i="1"/>
  <c r="N1276" i="1"/>
  <c r="R1268" i="1"/>
  <c r="J1268" i="1"/>
  <c r="N1260" i="1"/>
  <c r="K1252" i="1"/>
  <c r="P1244" i="1"/>
  <c r="L1236" i="1"/>
  <c r="P1228" i="1"/>
  <c r="L1220" i="1"/>
  <c r="P1212" i="1"/>
  <c r="M1204" i="1"/>
  <c r="R1196" i="1"/>
  <c r="J1196" i="1"/>
  <c r="N1188" i="1"/>
  <c r="R1180" i="1"/>
  <c r="J1180" i="1"/>
  <c r="O1172" i="1"/>
  <c r="L1164" i="1"/>
  <c r="Q1156" i="1"/>
  <c r="M1148" i="1"/>
  <c r="Q1140" i="1"/>
  <c r="M1132" i="1"/>
  <c r="Q1124" i="1"/>
  <c r="M1116" i="1"/>
  <c r="N1108" i="1"/>
  <c r="R1100" i="1"/>
  <c r="B1140" i="1"/>
  <c r="A1132" i="1"/>
  <c r="B1100" i="1"/>
  <c r="Q1284" i="1"/>
  <c r="M1276" i="1"/>
  <c r="Q1268" i="1"/>
  <c r="M1260" i="1"/>
  <c r="R1252" i="1"/>
  <c r="J1252" i="1"/>
  <c r="O1244" i="1"/>
  <c r="K1236" i="1"/>
  <c r="O1228" i="1"/>
  <c r="K1220" i="1"/>
  <c r="O1212" i="1"/>
  <c r="L1204" i="1"/>
  <c r="Q1196" i="1"/>
  <c r="M1188" i="1"/>
  <c r="Q1180" i="1"/>
  <c r="N1172" i="1"/>
  <c r="K1164" i="1"/>
  <c r="P1156" i="1"/>
  <c r="L1148" i="1"/>
  <c r="P1140" i="1"/>
  <c r="L1132" i="1"/>
  <c r="P1124" i="1"/>
  <c r="L1116" i="1"/>
  <c r="M1108" i="1"/>
  <c r="L1100" i="1"/>
  <c r="Q376" i="1"/>
  <c r="P1284" i="1"/>
  <c r="L1276" i="1"/>
  <c r="P1268" i="1"/>
  <c r="L1260" i="1"/>
  <c r="Q1252" i="1"/>
  <c r="N1244" i="1"/>
  <c r="R1236" i="1"/>
  <c r="J1236" i="1"/>
  <c r="N1228" i="1"/>
  <c r="R1220" i="1"/>
  <c r="J1220" i="1"/>
  <c r="N1212" i="1"/>
  <c r="K1204" i="1"/>
  <c r="P1196" i="1"/>
  <c r="L1188" i="1"/>
  <c r="P1180" i="1"/>
  <c r="M1172" i="1"/>
  <c r="R1164" i="1"/>
  <c r="J1164" i="1"/>
  <c r="O1156" i="1"/>
  <c r="K1148" i="1"/>
  <c r="O1140" i="1"/>
  <c r="K1132" i="1"/>
  <c r="O1124" i="1"/>
  <c r="K1116" i="1"/>
  <c r="L1108" i="1"/>
  <c r="K1100" i="1"/>
  <c r="N376" i="1"/>
  <c r="M1244" i="1"/>
  <c r="Q1236" i="1"/>
  <c r="M1228" i="1"/>
  <c r="Q1220" i="1"/>
  <c r="M1212" i="1"/>
  <c r="R1204" i="1"/>
  <c r="J1204" i="1"/>
  <c r="O1196" i="1"/>
  <c r="K1188" i="1"/>
  <c r="O1180" i="1"/>
  <c r="L1172" i="1"/>
  <c r="Q1164" i="1"/>
  <c r="N1156" i="1"/>
  <c r="R1148" i="1"/>
  <c r="J1148" i="1"/>
  <c r="N1140" i="1"/>
  <c r="R1132" i="1"/>
  <c r="J1132" i="1"/>
  <c r="N1124" i="1"/>
  <c r="R1116" i="1"/>
  <c r="J1116" i="1"/>
  <c r="J1108" i="1"/>
  <c r="J1100" i="1"/>
  <c r="L376" i="1"/>
  <c r="R1188" i="1"/>
  <c r="N1092" i="1"/>
  <c r="M376" i="1"/>
  <c r="K376" i="1"/>
  <c r="R376" i="1"/>
  <c r="J376" i="1"/>
  <c r="P376" i="1"/>
  <c r="B376" i="1"/>
  <c r="O376" i="1"/>
  <c r="A1141" i="1"/>
  <c r="B1135" i="1"/>
  <c r="B1087" i="1"/>
  <c r="K1261" i="1"/>
  <c r="Q1263" i="1"/>
  <c r="N1239" i="1"/>
  <c r="A1261" i="1"/>
  <c r="A1175" i="1"/>
  <c r="A1101" i="1"/>
  <c r="P1100" i="1"/>
  <c r="P351" i="1"/>
  <c r="J1271" i="1"/>
  <c r="O351" i="1"/>
  <c r="N351" i="1"/>
  <c r="B1247" i="1"/>
  <c r="B1223" i="1"/>
  <c r="A1199" i="1"/>
  <c r="P1213" i="1"/>
  <c r="M351" i="1"/>
  <c r="L351" i="1"/>
  <c r="K351" i="1"/>
  <c r="B1200" i="1"/>
  <c r="A1136" i="1"/>
  <c r="N1280" i="1"/>
  <c r="R1272" i="1"/>
  <c r="J1272" i="1"/>
  <c r="O1264" i="1"/>
  <c r="M1256" i="1"/>
  <c r="K1248" i="1"/>
  <c r="O1240" i="1"/>
  <c r="L1232" i="1"/>
  <c r="P1224" i="1"/>
  <c r="L1216" i="1"/>
  <c r="Q1208" i="1"/>
  <c r="N1200" i="1"/>
  <c r="Q1192" i="1"/>
  <c r="M1184" i="1"/>
  <c r="Q1176" i="1"/>
  <c r="N1168" i="1"/>
  <c r="K1160" i="1"/>
  <c r="P1152" i="1"/>
  <c r="J1144" i="1"/>
  <c r="L1136" i="1"/>
  <c r="M1128" i="1"/>
  <c r="R1120" i="1"/>
  <c r="Q1104" i="1"/>
  <c r="A1272" i="1"/>
  <c r="A1280" i="1"/>
  <c r="B1128" i="1"/>
  <c r="B1120" i="1"/>
  <c r="M1280" i="1"/>
  <c r="Q1272" i="1"/>
  <c r="N1264" i="1"/>
  <c r="L1256" i="1"/>
  <c r="R1248" i="1"/>
  <c r="J1248" i="1"/>
  <c r="N1240" i="1"/>
  <c r="K1232" i="1"/>
  <c r="O1224" i="1"/>
  <c r="K1216" i="1"/>
  <c r="P1208" i="1"/>
  <c r="M1200" i="1"/>
  <c r="P1192" i="1"/>
  <c r="L1184" i="1"/>
  <c r="P1176" i="1"/>
  <c r="M1168" i="1"/>
  <c r="R1160" i="1"/>
  <c r="J1160" i="1"/>
  <c r="O1152" i="1"/>
  <c r="K1136" i="1"/>
  <c r="L1128" i="1"/>
  <c r="Q1120" i="1"/>
  <c r="R1112" i="1"/>
  <c r="P1104" i="1"/>
  <c r="K1184" i="1"/>
  <c r="O1176" i="1"/>
  <c r="L1168" i="1"/>
  <c r="Q1160" i="1"/>
  <c r="N1152" i="1"/>
  <c r="R1144" i="1"/>
  <c r="K1128" i="1"/>
  <c r="P1120" i="1"/>
  <c r="Q1112" i="1"/>
  <c r="N1104" i="1"/>
  <c r="B1224" i="1"/>
  <c r="A1128" i="1"/>
  <c r="A1120" i="1"/>
  <c r="B1112" i="1"/>
  <c r="B1104" i="1"/>
  <c r="Q1248" i="1"/>
  <c r="M1240" i="1"/>
  <c r="R1232" i="1"/>
  <c r="J1232" i="1"/>
  <c r="N1224" i="1"/>
  <c r="R1216" i="1"/>
  <c r="J1216" i="1"/>
  <c r="O1208" i="1"/>
  <c r="A1224" i="1"/>
  <c r="A1208" i="1"/>
  <c r="A1192" i="1"/>
  <c r="A1184" i="1"/>
  <c r="B1176" i="1"/>
  <c r="A1112" i="1"/>
  <c r="A1104" i="1"/>
  <c r="B1096" i="1"/>
  <c r="B1088" i="1"/>
  <c r="K1280" i="1"/>
  <c r="O1272" i="1"/>
  <c r="L1264" i="1"/>
  <c r="R1256" i="1"/>
  <c r="J1256" i="1"/>
  <c r="P1248" i="1"/>
  <c r="L1240" i="1"/>
  <c r="Q1232" i="1"/>
  <c r="M1224" i="1"/>
  <c r="Q1216" i="1"/>
  <c r="N1208" i="1"/>
  <c r="K1200" i="1"/>
  <c r="N1192" i="1"/>
  <c r="R1184" i="1"/>
  <c r="J1184" i="1"/>
  <c r="N1176" i="1"/>
  <c r="K1168" i="1"/>
  <c r="P1160" i="1"/>
  <c r="M1152" i="1"/>
  <c r="Q1144" i="1"/>
  <c r="J1128" i="1"/>
  <c r="L1120" i="1"/>
  <c r="P1112" i="1"/>
  <c r="Q326" i="1"/>
  <c r="B1184" i="1"/>
  <c r="L1200" i="1"/>
  <c r="O1192" i="1"/>
  <c r="B1248" i="1"/>
  <c r="B1232" i="1"/>
  <c r="B1216" i="1"/>
  <c r="A1176" i="1"/>
  <c r="B1168" i="1"/>
  <c r="A1096" i="1"/>
  <c r="A1088" i="1"/>
  <c r="R1280" i="1"/>
  <c r="J1280" i="1"/>
  <c r="N1272" i="1"/>
  <c r="K1264" i="1"/>
  <c r="Q1256" i="1"/>
  <c r="O1248" i="1"/>
  <c r="K1240" i="1"/>
  <c r="P1232" i="1"/>
  <c r="L1224" i="1"/>
  <c r="P1216" i="1"/>
  <c r="M1208" i="1"/>
  <c r="R1200" i="1"/>
  <c r="J1200" i="1"/>
  <c r="M1192" i="1"/>
  <c r="Q1184" i="1"/>
  <c r="M1176" i="1"/>
  <c r="R1168" i="1"/>
  <c r="J1168" i="1"/>
  <c r="O1160" i="1"/>
  <c r="L1152" i="1"/>
  <c r="P1144" i="1"/>
  <c r="P1136" i="1"/>
  <c r="K1120" i="1"/>
  <c r="N1112" i="1"/>
  <c r="N326" i="1"/>
  <c r="B1280" i="1"/>
  <c r="A1200" i="1"/>
  <c r="B1208" i="1"/>
  <c r="B1192" i="1"/>
  <c r="L1280" i="1"/>
  <c r="P1272" i="1"/>
  <c r="M1264" i="1"/>
  <c r="K1256" i="1"/>
  <c r="B1264" i="1"/>
  <c r="B1256" i="1"/>
  <c r="A1248" i="1"/>
  <c r="B1240" i="1"/>
  <c r="A1232" i="1"/>
  <c r="A1216" i="1"/>
  <c r="A1168" i="1"/>
  <c r="B1160" i="1"/>
  <c r="Q1280" i="1"/>
  <c r="M1272" i="1"/>
  <c r="R1264" i="1"/>
  <c r="J1264" i="1"/>
  <c r="P1256" i="1"/>
  <c r="N1248" i="1"/>
  <c r="R1240" i="1"/>
  <c r="J1240" i="1"/>
  <c r="O1232" i="1"/>
  <c r="K1224" i="1"/>
  <c r="O1216" i="1"/>
  <c r="L1208" i="1"/>
  <c r="Q1200" i="1"/>
  <c r="L1192" i="1"/>
  <c r="P1184" i="1"/>
  <c r="L1176" i="1"/>
  <c r="Q1168" i="1"/>
  <c r="N1160" i="1"/>
  <c r="K1152" i="1"/>
  <c r="O1144" i="1"/>
  <c r="O1136" i="1"/>
  <c r="R1128" i="1"/>
  <c r="J1120" i="1"/>
  <c r="M1112" i="1"/>
  <c r="L326" i="1"/>
  <c r="A1264" i="1"/>
  <c r="A1256" i="1"/>
  <c r="A1240" i="1"/>
  <c r="A1160" i="1"/>
  <c r="B1152" i="1"/>
  <c r="B1144" i="1"/>
  <c r="R1224" i="1"/>
  <c r="R1152" i="1"/>
  <c r="N1144" i="1"/>
  <c r="N1136" i="1"/>
  <c r="Q1128" i="1"/>
  <c r="M326" i="1"/>
  <c r="K326" i="1"/>
  <c r="R326" i="1"/>
  <c r="J326" i="1"/>
  <c r="P326" i="1"/>
  <c r="B326" i="1"/>
  <c r="O326" i="1"/>
  <c r="A1241" i="1"/>
  <c r="B1233" i="1"/>
  <c r="B1209" i="1"/>
  <c r="B1121" i="1"/>
  <c r="O1247" i="1"/>
  <c r="R1217" i="1"/>
  <c r="P1209" i="1"/>
  <c r="M1201" i="1"/>
  <c r="K1169" i="1"/>
  <c r="M1129" i="1"/>
  <c r="J1121" i="1"/>
  <c r="A1087" i="1"/>
  <c r="Q1281" i="1"/>
  <c r="P1273" i="1"/>
  <c r="M1225" i="1"/>
  <c r="J1217" i="1"/>
  <c r="P1199" i="1"/>
  <c r="M1177" i="1"/>
  <c r="P1137" i="1"/>
  <c r="A1153" i="1"/>
  <c r="A1121" i="1"/>
  <c r="O1209" i="1"/>
  <c r="N1177" i="1"/>
  <c r="B1185" i="1"/>
  <c r="A1145" i="1"/>
  <c r="O1273" i="1"/>
  <c r="O1233" i="1"/>
  <c r="L1225" i="1"/>
  <c r="N1207" i="1"/>
  <c r="Q1185" i="1"/>
  <c r="R1145" i="1"/>
  <c r="O1137" i="1"/>
  <c r="R1097" i="1"/>
  <c r="Q274" i="1"/>
  <c r="B1193" i="1"/>
  <c r="J1169" i="1"/>
  <c r="L1129" i="1"/>
  <c r="P1281" i="1"/>
  <c r="O1265" i="1"/>
  <c r="B1265" i="1"/>
  <c r="A1177" i="1"/>
  <c r="A1105" i="1"/>
  <c r="J1281" i="1"/>
  <c r="N1273" i="1"/>
  <c r="N1265" i="1"/>
  <c r="M1257" i="1"/>
  <c r="R1249" i="1"/>
  <c r="Q1241" i="1"/>
  <c r="N1233" i="1"/>
  <c r="P1185" i="1"/>
  <c r="K1145" i="1"/>
  <c r="L1144" i="1"/>
  <c r="R1136" i="1"/>
  <c r="J1136" i="1"/>
  <c r="P1128" i="1"/>
  <c r="O1120" i="1"/>
  <c r="J1112" i="1"/>
  <c r="J1104" i="1"/>
  <c r="K1097" i="1"/>
  <c r="N274" i="1"/>
  <c r="Q1217" i="1"/>
  <c r="B1145" i="1"/>
  <c r="A1281" i="1"/>
  <c r="B1273" i="1"/>
  <c r="A1265" i="1"/>
  <c r="B1137" i="1"/>
  <c r="A1111" i="1"/>
  <c r="M1265" i="1"/>
  <c r="L1257" i="1"/>
  <c r="K1249" i="1"/>
  <c r="P1241" i="1"/>
  <c r="L1193" i="1"/>
  <c r="N1153" i="1"/>
  <c r="J1145" i="1"/>
  <c r="N1120" i="1"/>
  <c r="O1113" i="1"/>
  <c r="O1111" i="1"/>
  <c r="P1103" i="1"/>
  <c r="J1097" i="1"/>
  <c r="R1089" i="1"/>
  <c r="L274" i="1"/>
  <c r="B1217" i="1"/>
  <c r="R1281" i="1"/>
  <c r="A1257" i="1"/>
  <c r="B1249" i="1"/>
  <c r="B1169" i="1"/>
  <c r="B1097" i="1"/>
  <c r="K1279" i="1"/>
  <c r="R1271" i="1"/>
  <c r="J1249" i="1"/>
  <c r="L1231" i="1"/>
  <c r="K1193" i="1"/>
  <c r="P1161" i="1"/>
  <c r="M1153" i="1"/>
  <c r="R1121" i="1"/>
  <c r="N1113" i="1"/>
  <c r="O1105" i="1"/>
  <c r="R1096" i="1"/>
  <c r="K1089" i="1"/>
  <c r="M274" i="1"/>
  <c r="K274" i="1"/>
  <c r="R274" i="1"/>
  <c r="J274" i="1"/>
  <c r="P274" i="1"/>
  <c r="B274" i="1"/>
  <c r="O274" i="1"/>
  <c r="K1258" i="1"/>
  <c r="B1226" i="1"/>
  <c r="B1266" i="1"/>
  <c r="B1225" i="1"/>
  <c r="B1201" i="1"/>
  <c r="K1282" i="1"/>
  <c r="L1281" i="1"/>
  <c r="Q1274" i="1"/>
  <c r="R1273" i="1"/>
  <c r="J1273" i="1"/>
  <c r="P1266" i="1"/>
  <c r="Q1265" i="1"/>
  <c r="O1258" i="1"/>
  <c r="P1257" i="1"/>
  <c r="M1250" i="1"/>
  <c r="N1249" i="1"/>
  <c r="K1242" i="1"/>
  <c r="L1241" i="1"/>
  <c r="Q1234" i="1"/>
  <c r="R1233" i="1"/>
  <c r="J1233" i="1"/>
  <c r="O1226" i="1"/>
  <c r="P1225" i="1"/>
  <c r="L1218" i="1"/>
  <c r="M1217" i="1"/>
  <c r="R1210" i="1"/>
  <c r="J1210" i="1"/>
  <c r="K1209" i="1"/>
  <c r="P1202" i="1"/>
  <c r="Q1201" i="1"/>
  <c r="N1194" i="1"/>
  <c r="O1193" i="1"/>
  <c r="L1185" i="1"/>
  <c r="Q1177" i="1"/>
  <c r="N1169" i="1"/>
  <c r="K1161" i="1"/>
  <c r="Q1153" i="1"/>
  <c r="N1145" i="1"/>
  <c r="K1137" i="1"/>
  <c r="P1129" i="1"/>
  <c r="M1121" i="1"/>
  <c r="R1113" i="1"/>
  <c r="J1113" i="1"/>
  <c r="R1105" i="1"/>
  <c r="J1105" i="1"/>
  <c r="N1097" i="1"/>
  <c r="N1089" i="1"/>
  <c r="A1258" i="1"/>
  <c r="O1282" i="1"/>
  <c r="Q1250" i="1"/>
  <c r="R1194" i="1"/>
  <c r="B1202" i="1"/>
  <c r="A1273" i="1"/>
  <c r="A1266" i="1"/>
  <c r="A1249" i="1"/>
  <c r="B1242" i="1"/>
  <c r="A1225" i="1"/>
  <c r="A1201" i="1"/>
  <c r="B1177" i="1"/>
  <c r="B1153" i="1"/>
  <c r="B1129" i="1"/>
  <c r="B1105" i="1"/>
  <c r="R1282" i="1"/>
  <c r="J1282" i="1"/>
  <c r="K1281" i="1"/>
  <c r="P1274" i="1"/>
  <c r="Q1273" i="1"/>
  <c r="O1266" i="1"/>
  <c r="P1265" i="1"/>
  <c r="N1258" i="1"/>
  <c r="O1257" i="1"/>
  <c r="L1250" i="1"/>
  <c r="M1249" i="1"/>
  <c r="R1242" i="1"/>
  <c r="J1242" i="1"/>
  <c r="K1241" i="1"/>
  <c r="P1234" i="1"/>
  <c r="Q1233" i="1"/>
  <c r="N1226" i="1"/>
  <c r="O1225" i="1"/>
  <c r="K1218" i="1"/>
  <c r="L1217" i="1"/>
  <c r="Q1210" i="1"/>
  <c r="R1209" i="1"/>
  <c r="J1209" i="1"/>
  <c r="O1202" i="1"/>
  <c r="P1201" i="1"/>
  <c r="M1194" i="1"/>
  <c r="N1193" i="1"/>
  <c r="K1185" i="1"/>
  <c r="P1177" i="1"/>
  <c r="M1169" i="1"/>
  <c r="R1161" i="1"/>
  <c r="J1161" i="1"/>
  <c r="P1153" i="1"/>
  <c r="M1145" i="1"/>
  <c r="R1137" i="1"/>
  <c r="J1137" i="1"/>
  <c r="O1129" i="1"/>
  <c r="L1121" i="1"/>
  <c r="Q1113" i="1"/>
  <c r="Q1105" i="1"/>
  <c r="M1097" i="1"/>
  <c r="M1089" i="1"/>
  <c r="Q1282" i="1"/>
  <c r="O1274" i="1"/>
  <c r="N1266" i="1"/>
  <c r="M1258" i="1"/>
  <c r="N1257" i="1"/>
  <c r="K1250" i="1"/>
  <c r="L1249" i="1"/>
  <c r="Q1242" i="1"/>
  <c r="R1241" i="1"/>
  <c r="J1241" i="1"/>
  <c r="O1234" i="1"/>
  <c r="P1233" i="1"/>
  <c r="M1226" i="1"/>
  <c r="N1225" i="1"/>
  <c r="R1218" i="1"/>
  <c r="J1218" i="1"/>
  <c r="K1217" i="1"/>
  <c r="P1210" i="1"/>
  <c r="Q1209" i="1"/>
  <c r="N1202" i="1"/>
  <c r="O1201" i="1"/>
  <c r="L1194" i="1"/>
  <c r="M1193" i="1"/>
  <c r="R1185" i="1"/>
  <c r="J1185" i="1"/>
  <c r="O1177" i="1"/>
  <c r="L1169" i="1"/>
  <c r="Q1161" i="1"/>
  <c r="O1153" i="1"/>
  <c r="L1145" i="1"/>
  <c r="Q1137" i="1"/>
  <c r="N1129" i="1"/>
  <c r="K1121" i="1"/>
  <c r="P1113" i="1"/>
  <c r="P1105" i="1"/>
  <c r="L1097" i="1"/>
  <c r="L1089" i="1"/>
  <c r="A1282" i="1"/>
  <c r="B1234" i="1"/>
  <c r="O1242" i="1"/>
  <c r="P1218" i="1"/>
  <c r="L1202" i="1"/>
  <c r="B1281" i="1"/>
  <c r="B1257" i="1"/>
  <c r="A1234" i="1"/>
  <c r="A1217" i="1"/>
  <c r="A1210" i="1"/>
  <c r="A1193" i="1"/>
  <c r="A1169" i="1"/>
  <c r="A1097" i="1"/>
  <c r="N1282" i="1"/>
  <c r="O1281" i="1"/>
  <c r="L1274" i="1"/>
  <c r="M1273" i="1"/>
  <c r="K1266" i="1"/>
  <c r="L1265" i="1"/>
  <c r="R1258" i="1"/>
  <c r="J1258" i="1"/>
  <c r="K1257" i="1"/>
  <c r="P1250" i="1"/>
  <c r="Q1249" i="1"/>
  <c r="N1242" i="1"/>
  <c r="O1241" i="1"/>
  <c r="L1234" i="1"/>
  <c r="M1233" i="1"/>
  <c r="R1226" i="1"/>
  <c r="J1226" i="1"/>
  <c r="K1225" i="1"/>
  <c r="O1218" i="1"/>
  <c r="P1217" i="1"/>
  <c r="M1210" i="1"/>
  <c r="N1209" i="1"/>
  <c r="K1202" i="1"/>
  <c r="L1201" i="1"/>
  <c r="Q1194" i="1"/>
  <c r="R1193" i="1"/>
  <c r="J1193" i="1"/>
  <c r="O1185" i="1"/>
  <c r="L1177" i="1"/>
  <c r="Q1169" i="1"/>
  <c r="N1161" i="1"/>
  <c r="L1153" i="1"/>
  <c r="Q1145" i="1"/>
  <c r="N1137" i="1"/>
  <c r="K1129" i="1"/>
  <c r="P1121" i="1"/>
  <c r="M1113" i="1"/>
  <c r="M1105" i="1"/>
  <c r="Q1097" i="1"/>
  <c r="Q1089" i="1"/>
  <c r="L1266" i="1"/>
  <c r="N1210" i="1"/>
  <c r="J1194" i="1"/>
  <c r="B1274" i="1"/>
  <c r="B1113" i="1"/>
  <c r="B1089" i="1"/>
  <c r="M1282" i="1"/>
  <c r="N1281" i="1"/>
  <c r="K1274" i="1"/>
  <c r="L1273" i="1"/>
  <c r="R1266" i="1"/>
  <c r="J1266" i="1"/>
  <c r="K1265" i="1"/>
  <c r="Q1258" i="1"/>
  <c r="R1257" i="1"/>
  <c r="J1257" i="1"/>
  <c r="O1250" i="1"/>
  <c r="P1249" i="1"/>
  <c r="M1242" i="1"/>
  <c r="N1241" i="1"/>
  <c r="K1234" i="1"/>
  <c r="L1233" i="1"/>
  <c r="Q1226" i="1"/>
  <c r="R1225" i="1"/>
  <c r="J1225" i="1"/>
  <c r="N1218" i="1"/>
  <c r="O1217" i="1"/>
  <c r="L1210" i="1"/>
  <c r="M1209" i="1"/>
  <c r="R1202" i="1"/>
  <c r="J1202" i="1"/>
  <c r="K1201" i="1"/>
  <c r="P1194" i="1"/>
  <c r="Q1193" i="1"/>
  <c r="N1185" i="1"/>
  <c r="K1177" i="1"/>
  <c r="P1169" i="1"/>
  <c r="M1161" i="1"/>
  <c r="K1153" i="1"/>
  <c r="P1145" i="1"/>
  <c r="M1137" i="1"/>
  <c r="R1129" i="1"/>
  <c r="J1129" i="1"/>
  <c r="O1121" i="1"/>
  <c r="L1113" i="1"/>
  <c r="L1105" i="1"/>
  <c r="P1097" i="1"/>
  <c r="P1089" i="1"/>
  <c r="K1194" i="1"/>
  <c r="B1210" i="1"/>
  <c r="M1274" i="1"/>
  <c r="M1234" i="1"/>
  <c r="K1226" i="1"/>
  <c r="B1250" i="1"/>
  <c r="A1274" i="1"/>
  <c r="A1250" i="1"/>
  <c r="A1233" i="1"/>
  <c r="A1226" i="1"/>
  <c r="A1209" i="1"/>
  <c r="A1202" i="1"/>
  <c r="A1185" i="1"/>
  <c r="A1161" i="1"/>
  <c r="A1137" i="1"/>
  <c r="A1113" i="1"/>
  <c r="A1089" i="1"/>
  <c r="R1274" i="1"/>
  <c r="R1265" i="1"/>
  <c r="R1234" i="1"/>
  <c r="R1201" i="1"/>
  <c r="R1177" i="1"/>
  <c r="R1153" i="1"/>
  <c r="K1277" i="1"/>
  <c r="K1269" i="1"/>
  <c r="A1133" i="1"/>
  <c r="A1093" i="1"/>
  <c r="A1269" i="1"/>
  <c r="J1109" i="1"/>
  <c r="A1229" i="1"/>
  <c r="A1149" i="1"/>
  <c r="A1245" i="1"/>
  <c r="A1205" i="1"/>
  <c r="K1253" i="1"/>
  <c r="B1086" i="1"/>
  <c r="Q1087" i="1"/>
  <c r="N1096" i="1"/>
  <c r="M1096" i="1"/>
  <c r="Q1088" i="1"/>
  <c r="P1088" i="1"/>
  <c r="A1223" i="1"/>
  <c r="B1183" i="1"/>
  <c r="P1183" i="1"/>
  <c r="A1271" i="1"/>
  <c r="B1231" i="1"/>
  <c r="B1207" i="1"/>
  <c r="A1183" i="1"/>
  <c r="A1159" i="1"/>
  <c r="B1119" i="1"/>
  <c r="A1095" i="1"/>
  <c r="Q1279" i="1"/>
  <c r="P1271" i="1"/>
  <c r="O1263" i="1"/>
  <c r="N1255" i="1"/>
  <c r="M1247" i="1"/>
  <c r="L1239" i="1"/>
  <c r="J1231" i="1"/>
  <c r="O1223" i="1"/>
  <c r="N1199" i="1"/>
  <c r="O1191" i="1"/>
  <c r="O1183" i="1"/>
  <c r="O1175" i="1"/>
  <c r="O1167" i="1"/>
  <c r="O1159" i="1"/>
  <c r="P1151" i="1"/>
  <c r="L1096" i="1"/>
  <c r="A1247" i="1"/>
  <c r="A1135" i="1"/>
  <c r="P1263" i="1"/>
  <c r="O1199" i="1"/>
  <c r="P1167" i="1"/>
  <c r="B1255" i="1"/>
  <c r="A1231" i="1"/>
  <c r="B1182" i="1"/>
  <c r="B1143" i="1"/>
  <c r="A1119" i="1"/>
  <c r="P1279" i="1"/>
  <c r="O1271" i="1"/>
  <c r="N1263" i="1"/>
  <c r="M1255" i="1"/>
  <c r="L1247" i="1"/>
  <c r="K1239" i="1"/>
  <c r="R1231" i="1"/>
  <c r="N1223" i="1"/>
  <c r="N1191" i="1"/>
  <c r="N1183" i="1"/>
  <c r="N1175" i="1"/>
  <c r="N1167" i="1"/>
  <c r="N1159" i="1"/>
  <c r="O1151" i="1"/>
  <c r="P1143" i="1"/>
  <c r="B1159" i="1"/>
  <c r="N1247" i="1"/>
  <c r="M1239" i="1"/>
  <c r="K1231" i="1"/>
  <c r="P1175" i="1"/>
  <c r="A1207" i="1"/>
  <c r="B1279" i="1"/>
  <c r="A1255" i="1"/>
  <c r="A1230" i="1"/>
  <c r="B1191" i="1"/>
  <c r="B1167" i="1"/>
  <c r="A1143" i="1"/>
  <c r="B1103" i="1"/>
  <c r="O1279" i="1"/>
  <c r="N1271" i="1"/>
  <c r="M1263" i="1"/>
  <c r="L1255" i="1"/>
  <c r="K1247" i="1"/>
  <c r="R1239" i="1"/>
  <c r="J1239" i="1"/>
  <c r="P1231" i="1"/>
  <c r="M1223" i="1"/>
  <c r="P1215" i="1"/>
  <c r="N1151" i="1"/>
  <c r="O1143" i="1"/>
  <c r="P1135" i="1"/>
  <c r="P1119" i="1"/>
  <c r="O1255" i="1"/>
  <c r="P1159" i="1"/>
  <c r="A1279" i="1"/>
  <c r="B1239" i="1"/>
  <c r="B1215" i="1"/>
  <c r="A1191" i="1"/>
  <c r="A1167" i="1"/>
  <c r="B1127" i="1"/>
  <c r="A1103" i="1"/>
  <c r="N1279" i="1"/>
  <c r="M1271" i="1"/>
  <c r="L1263" i="1"/>
  <c r="K1255" i="1"/>
  <c r="R1247" i="1"/>
  <c r="J1247" i="1"/>
  <c r="Q1239" i="1"/>
  <c r="O1231" i="1"/>
  <c r="L1223" i="1"/>
  <c r="O1215" i="1"/>
  <c r="N1143" i="1"/>
  <c r="O1135" i="1"/>
  <c r="P1127" i="1"/>
  <c r="O1119" i="1"/>
  <c r="Q1135" i="1"/>
  <c r="B1271" i="1"/>
  <c r="R1279" i="1"/>
  <c r="J1279" i="1"/>
  <c r="P1191" i="1"/>
  <c r="N1111" i="1"/>
  <c r="B1263" i="1"/>
  <c r="A1239" i="1"/>
  <c r="A1215" i="1"/>
  <c r="B1151" i="1"/>
  <c r="A1127" i="1"/>
  <c r="M1279" i="1"/>
  <c r="L1271" i="1"/>
  <c r="K1263" i="1"/>
  <c r="R1255" i="1"/>
  <c r="J1255" i="1"/>
  <c r="Q1247" i="1"/>
  <c r="P1239" i="1"/>
  <c r="N1231" i="1"/>
  <c r="N1215" i="1"/>
  <c r="P1207" i="1"/>
  <c r="O1127" i="1"/>
  <c r="K1088" i="1"/>
  <c r="B1095" i="1"/>
  <c r="Q1271" i="1"/>
  <c r="P1223" i="1"/>
  <c r="L1207" i="1"/>
  <c r="A1263" i="1"/>
  <c r="B1199" i="1"/>
  <c r="B1175" i="1"/>
  <c r="A1151" i="1"/>
  <c r="B1111" i="1"/>
  <c r="R1263" i="1"/>
  <c r="M1231" i="1"/>
  <c r="L1215" i="1"/>
  <c r="O1207" i="1"/>
  <c r="B1238" i="1"/>
  <c r="A1110" i="1"/>
  <c r="M1230" i="1"/>
  <c r="O1206" i="1"/>
  <c r="O1112" i="1"/>
  <c r="Q1110" i="1"/>
  <c r="K1108" i="1"/>
  <c r="O1104" i="1"/>
  <c r="Q1100" i="1"/>
  <c r="J1096" i="1"/>
  <c r="K1092" i="1"/>
  <c r="L1088" i="1"/>
  <c r="Q1127" i="1"/>
  <c r="O1134" i="1"/>
  <c r="B1118" i="1"/>
  <c r="Q1278" i="1"/>
  <c r="Q1270" i="1"/>
  <c r="Q1262" i="1"/>
  <c r="P1254" i="1"/>
  <c r="N1246" i="1"/>
  <c r="M1104" i="1"/>
  <c r="O1100" i="1"/>
  <c r="Q1096" i="1"/>
  <c r="Q1092" i="1"/>
  <c r="A1238" i="1"/>
  <c r="A1166" i="1"/>
  <c r="O1190" i="1"/>
  <c r="L1112" i="1"/>
  <c r="P1108" i="1"/>
  <c r="L1104" i="1"/>
  <c r="N1100" i="1"/>
  <c r="P1096" i="1"/>
  <c r="P1092" i="1"/>
  <c r="B1246" i="1"/>
  <c r="B1174" i="1"/>
  <c r="P1166" i="1"/>
  <c r="O1096" i="1"/>
  <c r="O1092" i="1"/>
  <c r="A1174" i="1"/>
  <c r="O1150" i="1"/>
  <c r="B1254" i="1"/>
  <c r="A1246" i="1"/>
  <c r="B1190" i="1"/>
  <c r="A1182" i="1"/>
  <c r="B1126" i="1"/>
  <c r="A1118" i="1"/>
  <c r="P1278" i="1"/>
  <c r="P1270" i="1"/>
  <c r="P1262" i="1"/>
  <c r="O1254" i="1"/>
  <c r="M1246" i="1"/>
  <c r="Q1214" i="1"/>
  <c r="Q1182" i="1"/>
  <c r="O1166" i="1"/>
  <c r="P1110" i="1"/>
  <c r="O1103" i="1"/>
  <c r="P1099" i="1"/>
  <c r="R1092" i="1"/>
  <c r="K1091" i="1"/>
  <c r="R1088" i="1"/>
  <c r="J1088" i="1"/>
  <c r="Q1095" i="1"/>
  <c r="B1262" i="1"/>
  <c r="A1254" i="1"/>
  <c r="B1198" i="1"/>
  <c r="A1190" i="1"/>
  <c r="B1134" i="1"/>
  <c r="A1126" i="1"/>
  <c r="O1278" i="1"/>
  <c r="O1270" i="1"/>
  <c r="O1262" i="1"/>
  <c r="N1254" i="1"/>
  <c r="K1246" i="1"/>
  <c r="Q1238" i="1"/>
  <c r="P1214" i="1"/>
  <c r="Q1198" i="1"/>
  <c r="P1182" i="1"/>
  <c r="Q1158" i="1"/>
  <c r="Q1142" i="1"/>
  <c r="Q1126" i="1"/>
  <c r="O1110" i="1"/>
  <c r="N1103" i="1"/>
  <c r="P1087" i="1"/>
  <c r="A1262" i="1"/>
  <c r="N1278" i="1"/>
  <c r="N1270" i="1"/>
  <c r="N1262" i="1"/>
  <c r="M1254" i="1"/>
  <c r="P1238" i="1"/>
  <c r="O1214" i="1"/>
  <c r="P1198" i="1"/>
  <c r="P1158" i="1"/>
  <c r="P1142" i="1"/>
  <c r="P1126" i="1"/>
  <c r="Q1102" i="1"/>
  <c r="P1095" i="1"/>
  <c r="O1087" i="1"/>
  <c r="B1142" i="1"/>
  <c r="A1134" i="1"/>
  <c r="B1278" i="1"/>
  <c r="A1270" i="1"/>
  <c r="B1214" i="1"/>
  <c r="A1206" i="1"/>
  <c r="B1150" i="1"/>
  <c r="A1142" i="1"/>
  <c r="M1278" i="1"/>
  <c r="M1270" i="1"/>
  <c r="M1262" i="1"/>
  <c r="L1254" i="1"/>
  <c r="O1238" i="1"/>
  <c r="Q1222" i="1"/>
  <c r="O1198" i="1"/>
  <c r="Q1174" i="1"/>
  <c r="O1158" i="1"/>
  <c r="N1119" i="1"/>
  <c r="P1102" i="1"/>
  <c r="O1095" i="1"/>
  <c r="P1091" i="1"/>
  <c r="O1088" i="1"/>
  <c r="B1270" i="1"/>
  <c r="B1206" i="1"/>
  <c r="A1278" i="1"/>
  <c r="B1222" i="1"/>
  <c r="B1158" i="1"/>
  <c r="A1150" i="1"/>
  <c r="B1094" i="1"/>
  <c r="L1278" i="1"/>
  <c r="L1270" i="1"/>
  <c r="L1262" i="1"/>
  <c r="K1254" i="1"/>
  <c r="Q1246" i="1"/>
  <c r="N1238" i="1"/>
  <c r="Q1230" i="1"/>
  <c r="P1222" i="1"/>
  <c r="P1174" i="1"/>
  <c r="Q1118" i="1"/>
  <c r="P1111" i="1"/>
  <c r="O1102" i="1"/>
  <c r="B1230" i="1"/>
  <c r="A1222" i="1"/>
  <c r="B1166" i="1"/>
  <c r="B1102" i="1"/>
  <c r="A1094" i="1"/>
  <c r="K1278" i="1"/>
  <c r="K1270" i="1"/>
  <c r="K1262" i="1"/>
  <c r="P1246" i="1"/>
  <c r="P1230" i="1"/>
  <c r="Q1206" i="1"/>
  <c r="Q1190" i="1"/>
  <c r="Q1150" i="1"/>
  <c r="Q1134" i="1"/>
  <c r="P1118" i="1"/>
  <c r="Q1094" i="1"/>
  <c r="R1278" i="1"/>
  <c r="R1270" i="1"/>
  <c r="R1262" i="1"/>
  <c r="K1093" i="1"/>
  <c r="L1093" i="1"/>
  <c r="M1093" i="1"/>
  <c r="N1093" i="1"/>
  <c r="O1093" i="1"/>
  <c r="P1093" i="1"/>
  <c r="K1117" i="1"/>
  <c r="L1117" i="1"/>
  <c r="M1117" i="1"/>
  <c r="N1117" i="1"/>
  <c r="O1117" i="1"/>
  <c r="K1125" i="1"/>
  <c r="L1125" i="1"/>
  <c r="M1125" i="1"/>
  <c r="N1125" i="1"/>
  <c r="O1125" i="1"/>
  <c r="K1141" i="1"/>
  <c r="L1141" i="1"/>
  <c r="M1141" i="1"/>
  <c r="N1141" i="1"/>
  <c r="O1141" i="1"/>
  <c r="K1149" i="1"/>
  <c r="L1149" i="1"/>
  <c r="M1149" i="1"/>
  <c r="N1149" i="1"/>
  <c r="O1149" i="1"/>
  <c r="K1157" i="1"/>
  <c r="L1157" i="1"/>
  <c r="M1157" i="1"/>
  <c r="N1157" i="1"/>
  <c r="O1157" i="1"/>
  <c r="K1165" i="1"/>
  <c r="L1165" i="1"/>
  <c r="M1165" i="1"/>
  <c r="N1165" i="1"/>
  <c r="O1165" i="1"/>
  <c r="K1173" i="1"/>
  <c r="L1173" i="1"/>
  <c r="M1173" i="1"/>
  <c r="N1173" i="1"/>
  <c r="O1173" i="1"/>
  <c r="K1181" i="1"/>
  <c r="L1181" i="1"/>
  <c r="M1181" i="1"/>
  <c r="N1181" i="1"/>
  <c r="O1181" i="1"/>
  <c r="K1189" i="1"/>
  <c r="L1189" i="1"/>
  <c r="M1189" i="1"/>
  <c r="N1189" i="1"/>
  <c r="O1189" i="1"/>
  <c r="K1197" i="1"/>
  <c r="L1197" i="1"/>
  <c r="M1197" i="1"/>
  <c r="N1197" i="1"/>
  <c r="O1197" i="1"/>
  <c r="K1205" i="1"/>
  <c r="L1205" i="1"/>
  <c r="M1205" i="1"/>
  <c r="N1205" i="1"/>
  <c r="O1205" i="1"/>
  <c r="K1213" i="1"/>
  <c r="L1213" i="1"/>
  <c r="M1213" i="1"/>
  <c r="N1213" i="1"/>
  <c r="O1213" i="1"/>
  <c r="K1221" i="1"/>
  <c r="L1221" i="1"/>
  <c r="M1221" i="1"/>
  <c r="N1221" i="1"/>
  <c r="O1221" i="1"/>
  <c r="K1229" i="1"/>
  <c r="L1229" i="1"/>
  <c r="M1229" i="1"/>
  <c r="O1229" i="1"/>
  <c r="K1237" i="1"/>
  <c r="L1237" i="1"/>
  <c r="M1237" i="1"/>
  <c r="K1245" i="1"/>
  <c r="M1245" i="1"/>
  <c r="R1277" i="1"/>
  <c r="J1277" i="1"/>
  <c r="R1269" i="1"/>
  <c r="J1269" i="1"/>
  <c r="R1261" i="1"/>
  <c r="J1261" i="1"/>
  <c r="P1253" i="1"/>
  <c r="J1245" i="1"/>
  <c r="N1237" i="1"/>
  <c r="J1221" i="1"/>
  <c r="J1213" i="1"/>
  <c r="J1205" i="1"/>
  <c r="R1165" i="1"/>
  <c r="Q1157" i="1"/>
  <c r="P1149" i="1"/>
  <c r="J1141" i="1"/>
  <c r="J1093" i="1"/>
  <c r="J1086" i="1"/>
  <c r="R1086" i="1"/>
  <c r="K1086" i="1"/>
  <c r="L1086" i="1"/>
  <c r="M1086" i="1"/>
  <c r="N1086" i="1"/>
  <c r="O1086" i="1"/>
  <c r="J1094" i="1"/>
  <c r="R1094" i="1"/>
  <c r="K1094" i="1"/>
  <c r="L1094" i="1"/>
  <c r="M1094" i="1"/>
  <c r="N1094" i="1"/>
  <c r="O1094" i="1"/>
  <c r="J1102" i="1"/>
  <c r="R1102" i="1"/>
  <c r="K1102" i="1"/>
  <c r="L1102" i="1"/>
  <c r="M1102" i="1"/>
  <c r="N1102" i="1"/>
  <c r="J1110" i="1"/>
  <c r="R1110" i="1"/>
  <c r="K1110" i="1"/>
  <c r="L1110" i="1"/>
  <c r="M1110" i="1"/>
  <c r="N1110" i="1"/>
  <c r="J1118" i="1"/>
  <c r="R1118" i="1"/>
  <c r="K1118" i="1"/>
  <c r="L1118" i="1"/>
  <c r="M1118" i="1"/>
  <c r="N1118" i="1"/>
  <c r="J1126" i="1"/>
  <c r="R1126" i="1"/>
  <c r="K1126" i="1"/>
  <c r="L1126" i="1"/>
  <c r="M1126" i="1"/>
  <c r="N1126" i="1"/>
  <c r="J1134" i="1"/>
  <c r="R1134" i="1"/>
  <c r="K1134" i="1"/>
  <c r="L1134" i="1"/>
  <c r="M1134" i="1"/>
  <c r="N1134" i="1"/>
  <c r="J1142" i="1"/>
  <c r="R1142" i="1"/>
  <c r="K1142" i="1"/>
  <c r="L1142" i="1"/>
  <c r="M1142" i="1"/>
  <c r="N1142" i="1"/>
  <c r="J1150" i="1"/>
  <c r="R1150" i="1"/>
  <c r="K1150" i="1"/>
  <c r="L1150" i="1"/>
  <c r="M1150" i="1"/>
  <c r="N1150" i="1"/>
  <c r="J1158" i="1"/>
  <c r="R1158" i="1"/>
  <c r="K1158" i="1"/>
  <c r="L1158" i="1"/>
  <c r="M1158" i="1"/>
  <c r="N1158" i="1"/>
  <c r="J1166" i="1"/>
  <c r="R1166" i="1"/>
  <c r="K1166" i="1"/>
  <c r="L1166" i="1"/>
  <c r="M1166" i="1"/>
  <c r="N1166" i="1"/>
  <c r="J1174" i="1"/>
  <c r="R1174" i="1"/>
  <c r="K1174" i="1"/>
  <c r="L1174" i="1"/>
  <c r="M1174" i="1"/>
  <c r="N1174" i="1"/>
  <c r="J1182" i="1"/>
  <c r="R1182" i="1"/>
  <c r="K1182" i="1"/>
  <c r="L1182" i="1"/>
  <c r="M1182" i="1"/>
  <c r="N1182" i="1"/>
  <c r="J1190" i="1"/>
  <c r="R1190" i="1"/>
  <c r="K1190" i="1"/>
  <c r="L1190" i="1"/>
  <c r="M1190" i="1"/>
  <c r="N1190" i="1"/>
  <c r="J1198" i="1"/>
  <c r="R1198" i="1"/>
  <c r="K1198" i="1"/>
  <c r="L1198" i="1"/>
  <c r="M1198" i="1"/>
  <c r="N1198" i="1"/>
  <c r="J1206" i="1"/>
  <c r="R1206" i="1"/>
  <c r="K1206" i="1"/>
  <c r="L1206" i="1"/>
  <c r="M1206" i="1"/>
  <c r="N1206" i="1"/>
  <c r="J1214" i="1"/>
  <c r="R1214" i="1"/>
  <c r="K1214" i="1"/>
  <c r="L1214" i="1"/>
  <c r="M1214" i="1"/>
  <c r="N1214" i="1"/>
  <c r="J1222" i="1"/>
  <c r="R1222" i="1"/>
  <c r="K1222" i="1"/>
  <c r="L1222" i="1"/>
  <c r="M1222" i="1"/>
  <c r="N1222" i="1"/>
  <c r="J1230" i="1"/>
  <c r="R1230" i="1"/>
  <c r="K1230" i="1"/>
  <c r="L1230" i="1"/>
  <c r="N1230" i="1"/>
  <c r="J1238" i="1"/>
  <c r="R1238" i="1"/>
  <c r="K1238" i="1"/>
  <c r="L1238" i="1"/>
  <c r="J1246" i="1"/>
  <c r="R1246" i="1"/>
  <c r="L1246" i="1"/>
  <c r="J1254" i="1"/>
  <c r="R1254" i="1"/>
  <c r="K1101" i="1"/>
  <c r="L1101" i="1"/>
  <c r="M1101" i="1"/>
  <c r="N1101" i="1"/>
  <c r="O1101" i="1"/>
  <c r="J1237" i="1"/>
  <c r="P1277" i="1"/>
  <c r="P1269" i="1"/>
  <c r="P1261" i="1"/>
  <c r="N1253" i="1"/>
  <c r="R1245" i="1"/>
  <c r="R1181" i="1"/>
  <c r="Q1173" i="1"/>
  <c r="P1165" i="1"/>
  <c r="J1157" i="1"/>
  <c r="R1117" i="1"/>
  <c r="Q1109" i="1"/>
  <c r="P1101" i="1"/>
  <c r="K1133" i="1"/>
  <c r="L1133" i="1"/>
  <c r="M1133" i="1"/>
  <c r="N1133" i="1"/>
  <c r="O1133" i="1"/>
  <c r="Q1165" i="1"/>
  <c r="P1157" i="1"/>
  <c r="Q1101" i="1"/>
  <c r="O1277" i="1"/>
  <c r="O1269" i="1"/>
  <c r="O1261" i="1"/>
  <c r="M1253" i="1"/>
  <c r="Q1245" i="1"/>
  <c r="R1229" i="1"/>
  <c r="R1189" i="1"/>
  <c r="Q1181" i="1"/>
  <c r="P1173" i="1"/>
  <c r="J1165" i="1"/>
  <c r="R1125" i="1"/>
  <c r="Q1117" i="1"/>
  <c r="P1109" i="1"/>
  <c r="J1101" i="1"/>
  <c r="N1277" i="1"/>
  <c r="N1269" i="1"/>
  <c r="N1261" i="1"/>
  <c r="L1253" i="1"/>
  <c r="P1245" i="1"/>
  <c r="R1237" i="1"/>
  <c r="Q1229" i="1"/>
  <c r="R1197" i="1"/>
  <c r="Q1189" i="1"/>
  <c r="P1181" i="1"/>
  <c r="J1173" i="1"/>
  <c r="R1133" i="1"/>
  <c r="Q1125" i="1"/>
  <c r="P1117" i="1"/>
  <c r="K1109" i="1"/>
  <c r="L1109" i="1"/>
  <c r="M1109" i="1"/>
  <c r="N1109" i="1"/>
  <c r="O1109" i="1"/>
  <c r="Q1277" i="1"/>
  <c r="Q1261" i="1"/>
  <c r="R1173" i="1"/>
  <c r="M1277" i="1"/>
  <c r="M1269" i="1"/>
  <c r="M1261" i="1"/>
  <c r="J1253" i="1"/>
  <c r="O1245" i="1"/>
  <c r="Q1237" i="1"/>
  <c r="P1229" i="1"/>
  <c r="R1221" i="1"/>
  <c r="R1213" i="1"/>
  <c r="R1205" i="1"/>
  <c r="Q1197" i="1"/>
  <c r="P1189" i="1"/>
  <c r="J1181" i="1"/>
  <c r="R1141" i="1"/>
  <c r="Q1133" i="1"/>
  <c r="P1125" i="1"/>
  <c r="J1117" i="1"/>
  <c r="Q1086" i="1"/>
  <c r="Q1269" i="1"/>
  <c r="O1253" i="1"/>
  <c r="J1149" i="1"/>
  <c r="R1109" i="1"/>
  <c r="B1277" i="1"/>
  <c r="B1269" i="1"/>
  <c r="B1261" i="1"/>
  <c r="B1253" i="1"/>
  <c r="B1245" i="1"/>
  <c r="B1237" i="1"/>
  <c r="B1229" i="1"/>
  <c r="B1221" i="1"/>
  <c r="B1213" i="1"/>
  <c r="B1205" i="1"/>
  <c r="B1197" i="1"/>
  <c r="B1189" i="1"/>
  <c r="B1181" i="1"/>
  <c r="B1173" i="1"/>
  <c r="B1165" i="1"/>
  <c r="B1157" i="1"/>
  <c r="B1149" i="1"/>
  <c r="B1141" i="1"/>
  <c r="B1133" i="1"/>
  <c r="B1125" i="1"/>
  <c r="B1117" i="1"/>
  <c r="B1109" i="1"/>
  <c r="B1101" i="1"/>
  <c r="B1093" i="1"/>
  <c r="R1253" i="1"/>
  <c r="N1245" i="1"/>
  <c r="P1237" i="1"/>
  <c r="N1229" i="1"/>
  <c r="Q1221" i="1"/>
  <c r="Q1213" i="1"/>
  <c r="Q1205" i="1"/>
  <c r="P1197" i="1"/>
  <c r="J1189" i="1"/>
  <c r="R1149" i="1"/>
  <c r="Q1141" i="1"/>
  <c r="P1133" i="1"/>
  <c r="J1125" i="1"/>
  <c r="R1093" i="1"/>
  <c r="M1215" i="1"/>
  <c r="M1207" i="1"/>
  <c r="M1199" i="1"/>
  <c r="M1191" i="1"/>
  <c r="M1183" i="1"/>
  <c r="M1175" i="1"/>
  <c r="M1167" i="1"/>
  <c r="M1159" i="1"/>
  <c r="M1151" i="1"/>
  <c r="M1143" i="1"/>
  <c r="M1135" i="1"/>
  <c r="M1127" i="1"/>
  <c r="M1119" i="1"/>
  <c r="M1111" i="1"/>
  <c r="M1103" i="1"/>
  <c r="M1095" i="1"/>
  <c r="R1090" i="1"/>
  <c r="J1090" i="1"/>
  <c r="M1087" i="1"/>
  <c r="L1199" i="1"/>
  <c r="L1191" i="1"/>
  <c r="L1183" i="1"/>
  <c r="L1175" i="1"/>
  <c r="L1167" i="1"/>
  <c r="L1159" i="1"/>
  <c r="L1151" i="1"/>
  <c r="L1143" i="1"/>
  <c r="L1135" i="1"/>
  <c r="L1127" i="1"/>
  <c r="L1119" i="1"/>
  <c r="L1111" i="1"/>
  <c r="L1103" i="1"/>
  <c r="L1095" i="1"/>
  <c r="L1087" i="1"/>
  <c r="K1223" i="1"/>
  <c r="K1215" i="1"/>
  <c r="K1207" i="1"/>
  <c r="K1199" i="1"/>
  <c r="K1191" i="1"/>
  <c r="K1183" i="1"/>
  <c r="K1175" i="1"/>
  <c r="K1167" i="1"/>
  <c r="K1159" i="1"/>
  <c r="K1151" i="1"/>
  <c r="K1143" i="1"/>
  <c r="K1135" i="1"/>
  <c r="K1127" i="1"/>
  <c r="K1119" i="1"/>
  <c r="K1111" i="1"/>
  <c r="K1103" i="1"/>
  <c r="K1095" i="1"/>
  <c r="K1087" i="1"/>
  <c r="R1223" i="1"/>
  <c r="J1223" i="1"/>
  <c r="R1215" i="1"/>
  <c r="J1215" i="1"/>
  <c r="R1207" i="1"/>
  <c r="J1207" i="1"/>
  <c r="R1199" i="1"/>
  <c r="J1199" i="1"/>
  <c r="R1191" i="1"/>
  <c r="J1191" i="1"/>
  <c r="R1183" i="1"/>
  <c r="J1183" i="1"/>
  <c r="R1175" i="1"/>
  <c r="J1175" i="1"/>
  <c r="R1167" i="1"/>
  <c r="J1167" i="1"/>
  <c r="R1159" i="1"/>
  <c r="J1159" i="1"/>
  <c r="R1151" i="1"/>
  <c r="J1151" i="1"/>
  <c r="R1143" i="1"/>
  <c r="J1143" i="1"/>
  <c r="R1135" i="1"/>
  <c r="J1135" i="1"/>
  <c r="R1127" i="1"/>
  <c r="J1127" i="1"/>
  <c r="R1119" i="1"/>
  <c r="J1119" i="1"/>
  <c r="R1111" i="1"/>
  <c r="J1111" i="1"/>
  <c r="R1103" i="1"/>
  <c r="J1103" i="1"/>
  <c r="R1095" i="1"/>
  <c r="J1095" i="1"/>
  <c r="O1090" i="1"/>
  <c r="R1087" i="1"/>
  <c r="J1087" i="1"/>
  <c r="C1876" i="1"/>
  <c r="K1876" i="1" s="1"/>
  <c r="C1877" i="1"/>
  <c r="K1877" i="1" s="1"/>
  <c r="C1878" i="1"/>
  <c r="K1878" i="1" s="1"/>
  <c r="C1879" i="1"/>
  <c r="K1879" i="1" s="1"/>
  <c r="C1880" i="1"/>
  <c r="K1880" i="1" s="1"/>
  <c r="C1881" i="1"/>
  <c r="K1881" i="1" s="1"/>
  <c r="C1882" i="1"/>
  <c r="K1882" i="1" s="1"/>
  <c r="C1883" i="1"/>
  <c r="K1883" i="1" s="1"/>
  <c r="C1884" i="1"/>
  <c r="K1884" i="1" s="1"/>
  <c r="C1885" i="1"/>
  <c r="K1885" i="1" s="1"/>
  <c r="C1886" i="1"/>
  <c r="K1886" i="1" s="1"/>
  <c r="C1887" i="1"/>
  <c r="K1887" i="1" s="1"/>
  <c r="C1802" i="1"/>
  <c r="C1803" i="1"/>
  <c r="C1804" i="1"/>
  <c r="C1805" i="1"/>
  <c r="C1806" i="1"/>
  <c r="C1807" i="1"/>
  <c r="C1808" i="1"/>
  <c r="C1809" i="1"/>
  <c r="K1809" i="1" s="1"/>
  <c r="C1810" i="1"/>
  <c r="C1811" i="1"/>
  <c r="C1812" i="1"/>
  <c r="C1813" i="1"/>
  <c r="C1814" i="1"/>
  <c r="C1815" i="1"/>
  <c r="K1815" i="1" s="1"/>
  <c r="C1816" i="1"/>
  <c r="C1817" i="1"/>
  <c r="C1818" i="1"/>
  <c r="C1819" i="1"/>
  <c r="K1819" i="1" s="1"/>
  <c r="C1820" i="1"/>
  <c r="C1821" i="1"/>
  <c r="C1822" i="1"/>
  <c r="C330" i="1"/>
  <c r="A330" i="1" s="1"/>
  <c r="C331" i="1"/>
  <c r="A331" i="1" s="1"/>
  <c r="C332" i="1"/>
  <c r="A332" i="1" s="1"/>
  <c r="C333" i="1"/>
  <c r="A333" i="1" s="1"/>
  <c r="C334" i="1"/>
  <c r="A334" i="1" s="1"/>
  <c r="C335" i="1"/>
  <c r="M335" i="1" s="1"/>
  <c r="C336" i="1"/>
  <c r="L336" i="1" s="1"/>
  <c r="C337" i="1"/>
  <c r="B337" i="1" s="1"/>
  <c r="C338" i="1"/>
  <c r="A338" i="1" s="1"/>
  <c r="C339" i="1"/>
  <c r="A339" i="1" s="1"/>
  <c r="C340" i="1"/>
  <c r="A340" i="1" s="1"/>
  <c r="C341" i="1"/>
  <c r="A341" i="1" s="1"/>
  <c r="C342" i="1"/>
  <c r="A342" i="1" s="1"/>
  <c r="C343" i="1"/>
  <c r="M343" i="1" s="1"/>
  <c r="C344" i="1"/>
  <c r="L344" i="1" s="1"/>
  <c r="C345" i="1"/>
  <c r="B345" i="1" s="1"/>
  <c r="C346" i="1"/>
  <c r="B346" i="1" s="1"/>
  <c r="C347" i="1"/>
  <c r="A347" i="1" s="1"/>
  <c r="C348" i="1"/>
  <c r="A348" i="1" s="1"/>
  <c r="C349" i="1"/>
  <c r="A349" i="1" s="1"/>
  <c r="C350" i="1"/>
  <c r="A350" i="1" s="1"/>
  <c r="C503" i="1"/>
  <c r="A503" i="1" s="1"/>
  <c r="C504" i="1"/>
  <c r="A504" i="1" s="1"/>
  <c r="C505" i="1"/>
  <c r="P505" i="1" s="1"/>
  <c r="C506" i="1"/>
  <c r="A506" i="1" s="1"/>
  <c r="C507" i="1"/>
  <c r="A507" i="1" s="1"/>
  <c r="C508" i="1"/>
  <c r="M508" i="1" s="1"/>
  <c r="C509" i="1"/>
  <c r="B509" i="1" s="1"/>
  <c r="C510" i="1"/>
  <c r="B510" i="1" s="1"/>
  <c r="C511" i="1"/>
  <c r="A511" i="1" s="1"/>
  <c r="C512" i="1"/>
  <c r="A512" i="1" s="1"/>
  <c r="C513" i="1"/>
  <c r="B513" i="1" s="1"/>
  <c r="C514" i="1"/>
  <c r="A514" i="1" s="1"/>
  <c r="C515" i="1"/>
  <c r="A515" i="1" s="1"/>
  <c r="C516" i="1"/>
  <c r="M516" i="1" s="1"/>
  <c r="C517" i="1"/>
  <c r="B517" i="1" s="1"/>
  <c r="C518" i="1"/>
  <c r="B518" i="1" s="1"/>
  <c r="C519" i="1"/>
  <c r="B519" i="1" s="1"/>
  <c r="C520" i="1"/>
  <c r="A520" i="1" s="1"/>
  <c r="C521" i="1"/>
  <c r="A521" i="1" s="1"/>
  <c r="C522" i="1"/>
  <c r="A522" i="1" s="1"/>
  <c r="C523" i="1"/>
  <c r="A523" i="1" s="1"/>
  <c r="C502" i="1"/>
  <c r="C479" i="1"/>
  <c r="A479" i="1" s="1"/>
  <c r="C480" i="1"/>
  <c r="A480" i="1" s="1"/>
  <c r="C481" i="1"/>
  <c r="A481" i="1" s="1"/>
  <c r="C482" i="1"/>
  <c r="A482" i="1" s="1"/>
  <c r="C483" i="1"/>
  <c r="A483" i="1" s="1"/>
  <c r="C484" i="1"/>
  <c r="A484" i="1" s="1"/>
  <c r="C485" i="1"/>
  <c r="B485" i="1" s="1"/>
  <c r="C486" i="1"/>
  <c r="A486" i="1" s="1"/>
  <c r="C487" i="1"/>
  <c r="B487" i="1" s="1"/>
  <c r="C488" i="1"/>
  <c r="B488" i="1" s="1"/>
  <c r="C489" i="1"/>
  <c r="B489" i="1" s="1"/>
  <c r="C490" i="1"/>
  <c r="A490" i="1" s="1"/>
  <c r="C491" i="1"/>
  <c r="A491" i="1" s="1"/>
  <c r="C492" i="1"/>
  <c r="A492" i="1" s="1"/>
  <c r="C493" i="1"/>
  <c r="B493" i="1" s="1"/>
  <c r="C494" i="1"/>
  <c r="A494" i="1" s="1"/>
  <c r="C495" i="1"/>
  <c r="B495" i="1" s="1"/>
  <c r="C496" i="1"/>
  <c r="B496" i="1" s="1"/>
  <c r="C497" i="1"/>
  <c r="A497" i="1" s="1"/>
  <c r="C498" i="1"/>
  <c r="A498" i="1" s="1"/>
  <c r="C499" i="1"/>
  <c r="A499" i="1" s="1"/>
  <c r="C471" i="1"/>
  <c r="A471" i="1" s="1"/>
  <c r="R473" i="1"/>
  <c r="Q473" i="1"/>
  <c r="P473" i="1"/>
  <c r="O473" i="1"/>
  <c r="N473" i="1"/>
  <c r="M473" i="1"/>
  <c r="L473" i="1"/>
  <c r="K473" i="1"/>
  <c r="J473" i="1"/>
  <c r="B473" i="1"/>
  <c r="A473" i="1"/>
  <c r="K198" i="1" l="1"/>
  <c r="J198" i="1"/>
  <c r="A198" i="1"/>
  <c r="Q198" i="1"/>
  <c r="B198" i="1"/>
  <c r="R198" i="1"/>
  <c r="L198" i="1"/>
  <c r="M198" i="1"/>
  <c r="N198" i="1"/>
  <c r="O198" i="1"/>
  <c r="P198" i="1"/>
  <c r="C199" i="1"/>
  <c r="K1817" i="1"/>
  <c r="K1808" i="1"/>
  <c r="K1816" i="1"/>
  <c r="K1822" i="1"/>
  <c r="K1814" i="1"/>
  <c r="K1806" i="1"/>
  <c r="K1821" i="1"/>
  <c r="K1813" i="1"/>
  <c r="K1805" i="1"/>
  <c r="K1807" i="1"/>
  <c r="K1820" i="1"/>
  <c r="K1812" i="1"/>
  <c r="K1804" i="1"/>
  <c r="K1811" i="1"/>
  <c r="K1803" i="1"/>
  <c r="K1818" i="1"/>
  <c r="K1810" i="1"/>
  <c r="K1802" i="1"/>
  <c r="B350" i="1"/>
  <c r="A505" i="1"/>
  <c r="R509" i="1"/>
  <c r="L507" i="1"/>
  <c r="L349" i="1"/>
  <c r="N505" i="1"/>
  <c r="P337" i="1"/>
  <c r="Q336" i="1"/>
  <c r="N331" i="1"/>
  <c r="A344" i="1"/>
  <c r="R343" i="1"/>
  <c r="R335" i="1"/>
  <c r="M522" i="1"/>
  <c r="J343" i="1"/>
  <c r="J335" i="1"/>
  <c r="P345" i="1"/>
  <c r="K517" i="1"/>
  <c r="B343" i="1"/>
  <c r="A336" i="1"/>
  <c r="K350" i="1"/>
  <c r="K342" i="1"/>
  <c r="K334" i="1"/>
  <c r="Q344" i="1"/>
  <c r="M515" i="1"/>
  <c r="L341" i="1"/>
  <c r="L333" i="1"/>
  <c r="P511" i="1"/>
  <c r="B335" i="1"/>
  <c r="N347" i="1"/>
  <c r="M340" i="1"/>
  <c r="M332" i="1"/>
  <c r="O346" i="1"/>
  <c r="O338" i="1"/>
  <c r="M350" i="1"/>
  <c r="N349" i="1"/>
  <c r="O348" i="1"/>
  <c r="P347" i="1"/>
  <c r="Q346" i="1"/>
  <c r="R345" i="1"/>
  <c r="J345" i="1"/>
  <c r="K344" i="1"/>
  <c r="L343" i="1"/>
  <c r="M342" i="1"/>
  <c r="N341" i="1"/>
  <c r="O340" i="1"/>
  <c r="P339" i="1"/>
  <c r="Q338" i="1"/>
  <c r="R337" i="1"/>
  <c r="J337" i="1"/>
  <c r="K336" i="1"/>
  <c r="L335" i="1"/>
  <c r="M334" i="1"/>
  <c r="N333" i="1"/>
  <c r="O332" i="1"/>
  <c r="P331" i="1"/>
  <c r="Q330" i="1"/>
  <c r="N522" i="1"/>
  <c r="R510" i="1"/>
  <c r="B344" i="1"/>
  <c r="L350" i="1"/>
  <c r="M349" i="1"/>
  <c r="N348" i="1"/>
  <c r="O347" i="1"/>
  <c r="P346" i="1"/>
  <c r="Q345" i="1"/>
  <c r="R344" i="1"/>
  <c r="J344" i="1"/>
  <c r="K343" i="1"/>
  <c r="L342" i="1"/>
  <c r="M341" i="1"/>
  <c r="N340" i="1"/>
  <c r="O339" i="1"/>
  <c r="P338" i="1"/>
  <c r="Q337" i="1"/>
  <c r="R336" i="1"/>
  <c r="J336" i="1"/>
  <c r="K335" i="1"/>
  <c r="L334" i="1"/>
  <c r="M333" i="1"/>
  <c r="N332" i="1"/>
  <c r="O331" i="1"/>
  <c r="P330" i="1"/>
  <c r="O330" i="1"/>
  <c r="R517" i="1"/>
  <c r="K509" i="1"/>
  <c r="A335" i="1"/>
  <c r="R350" i="1"/>
  <c r="J350" i="1"/>
  <c r="K349" i="1"/>
  <c r="L348" i="1"/>
  <c r="M347" i="1"/>
  <c r="N346" i="1"/>
  <c r="O345" i="1"/>
  <c r="P344" i="1"/>
  <c r="Q343" i="1"/>
  <c r="R342" i="1"/>
  <c r="J342" i="1"/>
  <c r="K341" i="1"/>
  <c r="L340" i="1"/>
  <c r="M339" i="1"/>
  <c r="N338" i="1"/>
  <c r="O337" i="1"/>
  <c r="P336" i="1"/>
  <c r="Q335" i="1"/>
  <c r="R334" i="1"/>
  <c r="J334" i="1"/>
  <c r="K333" i="1"/>
  <c r="L332" i="1"/>
  <c r="M331" i="1"/>
  <c r="N330" i="1"/>
  <c r="N339" i="1"/>
  <c r="Q350" i="1"/>
  <c r="R349" i="1"/>
  <c r="J349" i="1"/>
  <c r="K348" i="1"/>
  <c r="L347" i="1"/>
  <c r="M346" i="1"/>
  <c r="N345" i="1"/>
  <c r="O344" i="1"/>
  <c r="P343" i="1"/>
  <c r="Q342" i="1"/>
  <c r="R341" i="1"/>
  <c r="J341" i="1"/>
  <c r="K340" i="1"/>
  <c r="L339" i="1"/>
  <c r="M338" i="1"/>
  <c r="N337" i="1"/>
  <c r="O336" i="1"/>
  <c r="P335" i="1"/>
  <c r="Q334" i="1"/>
  <c r="R333" i="1"/>
  <c r="J333" i="1"/>
  <c r="K332" i="1"/>
  <c r="L331" i="1"/>
  <c r="M330" i="1"/>
  <c r="M348" i="1"/>
  <c r="K516" i="1"/>
  <c r="N506" i="1"/>
  <c r="A346" i="1"/>
  <c r="A343" i="1"/>
  <c r="A337" i="1"/>
  <c r="B334" i="1"/>
  <c r="P350" i="1"/>
  <c r="Q349" i="1"/>
  <c r="R348" i="1"/>
  <c r="J348" i="1"/>
  <c r="K347" i="1"/>
  <c r="L346" i="1"/>
  <c r="M345" i="1"/>
  <c r="N344" i="1"/>
  <c r="O343" i="1"/>
  <c r="P342" i="1"/>
  <c r="Q341" i="1"/>
  <c r="R340" i="1"/>
  <c r="J340" i="1"/>
  <c r="K339" i="1"/>
  <c r="L338" i="1"/>
  <c r="M337" i="1"/>
  <c r="N336" i="1"/>
  <c r="O335" i="1"/>
  <c r="P334" i="1"/>
  <c r="Q333" i="1"/>
  <c r="R332" i="1"/>
  <c r="J332" i="1"/>
  <c r="K331" i="1"/>
  <c r="L330" i="1"/>
  <c r="O350" i="1"/>
  <c r="P349" i="1"/>
  <c r="Q348" i="1"/>
  <c r="R347" i="1"/>
  <c r="J347" i="1"/>
  <c r="K346" i="1"/>
  <c r="L345" i="1"/>
  <c r="M344" i="1"/>
  <c r="N343" i="1"/>
  <c r="O342" i="1"/>
  <c r="P341" i="1"/>
  <c r="Q340" i="1"/>
  <c r="R339" i="1"/>
  <c r="J339" i="1"/>
  <c r="K338" i="1"/>
  <c r="L337" i="1"/>
  <c r="M336" i="1"/>
  <c r="N335" i="1"/>
  <c r="O334" i="1"/>
  <c r="P333" i="1"/>
  <c r="Q332" i="1"/>
  <c r="R331" i="1"/>
  <c r="J331" i="1"/>
  <c r="K330" i="1"/>
  <c r="N513" i="1"/>
  <c r="A345" i="1"/>
  <c r="B342" i="1"/>
  <c r="B336" i="1"/>
  <c r="B333" i="1"/>
  <c r="N350" i="1"/>
  <c r="O349" i="1"/>
  <c r="P348" i="1"/>
  <c r="Q347" i="1"/>
  <c r="R346" i="1"/>
  <c r="J346" i="1"/>
  <c r="K345" i="1"/>
  <c r="N342" i="1"/>
  <c r="O341" i="1"/>
  <c r="P340" i="1"/>
  <c r="Q339" i="1"/>
  <c r="R338" i="1"/>
  <c r="J338" i="1"/>
  <c r="K337" i="1"/>
  <c r="N334" i="1"/>
  <c r="O333" i="1"/>
  <c r="P332" i="1"/>
  <c r="Q331" i="1"/>
  <c r="R330" i="1"/>
  <c r="J330" i="1"/>
  <c r="B332" i="1"/>
  <c r="B348" i="1"/>
  <c r="B340" i="1"/>
  <c r="B347" i="1"/>
  <c r="B339" i="1"/>
  <c r="B331" i="1"/>
  <c r="B349" i="1"/>
  <c r="B341" i="1"/>
  <c r="B338" i="1"/>
  <c r="B330" i="1"/>
  <c r="R518" i="1"/>
  <c r="L515" i="1"/>
  <c r="Q510" i="1"/>
  <c r="M506" i="1"/>
  <c r="P520" i="1"/>
  <c r="P494" i="1"/>
  <c r="M523" i="1"/>
  <c r="J518" i="1"/>
  <c r="J510" i="1"/>
  <c r="P512" i="1"/>
  <c r="P504" i="1"/>
  <c r="J517" i="1"/>
  <c r="J509" i="1"/>
  <c r="Q503" i="1"/>
  <c r="N521" i="1"/>
  <c r="L516" i="1"/>
  <c r="Q511" i="1"/>
  <c r="M507" i="1"/>
  <c r="P503" i="1"/>
  <c r="L523" i="1"/>
  <c r="A508" i="1"/>
  <c r="K523" i="1"/>
  <c r="L522" i="1"/>
  <c r="M521" i="1"/>
  <c r="N520" i="1"/>
  <c r="P518" i="1"/>
  <c r="Q517" i="1"/>
  <c r="R516" i="1"/>
  <c r="J516" i="1"/>
  <c r="K515" i="1"/>
  <c r="L514" i="1"/>
  <c r="M513" i="1"/>
  <c r="N512" i="1"/>
  <c r="P510" i="1"/>
  <c r="Q509" i="1"/>
  <c r="R508" i="1"/>
  <c r="J508" i="1"/>
  <c r="K507" i="1"/>
  <c r="L506" i="1"/>
  <c r="M505" i="1"/>
  <c r="N504" i="1"/>
  <c r="A517" i="1"/>
  <c r="R523" i="1"/>
  <c r="J523" i="1"/>
  <c r="K522" i="1"/>
  <c r="L521" i="1"/>
  <c r="M520" i="1"/>
  <c r="N519" i="1"/>
  <c r="P517" i="1"/>
  <c r="Q516" i="1"/>
  <c r="R515" i="1"/>
  <c r="J515" i="1"/>
  <c r="K514" i="1"/>
  <c r="L513" i="1"/>
  <c r="M512" i="1"/>
  <c r="N511" i="1"/>
  <c r="P509" i="1"/>
  <c r="Q508" i="1"/>
  <c r="R507" i="1"/>
  <c r="J507" i="1"/>
  <c r="K506" i="1"/>
  <c r="L505" i="1"/>
  <c r="M504" i="1"/>
  <c r="N503" i="1"/>
  <c r="N514" i="1"/>
  <c r="L508" i="1"/>
  <c r="Q523" i="1"/>
  <c r="R522" i="1"/>
  <c r="J522" i="1"/>
  <c r="K521" i="1"/>
  <c r="L520" i="1"/>
  <c r="M519" i="1"/>
  <c r="N518" i="1"/>
  <c r="P516" i="1"/>
  <c r="Q515" i="1"/>
  <c r="R514" i="1"/>
  <c r="J514" i="1"/>
  <c r="K513" i="1"/>
  <c r="L512" i="1"/>
  <c r="M511" i="1"/>
  <c r="N510" i="1"/>
  <c r="P508" i="1"/>
  <c r="Q507" i="1"/>
  <c r="R506" i="1"/>
  <c r="J506" i="1"/>
  <c r="K505" i="1"/>
  <c r="L504" i="1"/>
  <c r="M503" i="1"/>
  <c r="P519" i="1"/>
  <c r="Q518" i="1"/>
  <c r="M514" i="1"/>
  <c r="A496" i="1"/>
  <c r="B481" i="1"/>
  <c r="B522" i="1"/>
  <c r="B516" i="1"/>
  <c r="B506" i="1"/>
  <c r="P523" i="1"/>
  <c r="Q522" i="1"/>
  <c r="R521" i="1"/>
  <c r="J521" i="1"/>
  <c r="K520" i="1"/>
  <c r="L519" i="1"/>
  <c r="M518" i="1"/>
  <c r="N517" i="1"/>
  <c r="P515" i="1"/>
  <c r="Q514" i="1"/>
  <c r="R513" i="1"/>
  <c r="J513" i="1"/>
  <c r="K512" i="1"/>
  <c r="L511" i="1"/>
  <c r="M510" i="1"/>
  <c r="N509" i="1"/>
  <c r="P507" i="1"/>
  <c r="Q506" i="1"/>
  <c r="R505" i="1"/>
  <c r="J505" i="1"/>
  <c r="K504" i="1"/>
  <c r="L503" i="1"/>
  <c r="Q519" i="1"/>
  <c r="A516" i="1"/>
  <c r="P522" i="1"/>
  <c r="Q521" i="1"/>
  <c r="R520" i="1"/>
  <c r="J520" i="1"/>
  <c r="K519" i="1"/>
  <c r="L518" i="1"/>
  <c r="M517" i="1"/>
  <c r="N516" i="1"/>
  <c r="P514" i="1"/>
  <c r="Q513" i="1"/>
  <c r="R512" i="1"/>
  <c r="J512" i="1"/>
  <c r="K511" i="1"/>
  <c r="L510" i="1"/>
  <c r="M509" i="1"/>
  <c r="N508" i="1"/>
  <c r="P506" i="1"/>
  <c r="Q505" i="1"/>
  <c r="R504" i="1"/>
  <c r="J504" i="1"/>
  <c r="K503" i="1"/>
  <c r="B514" i="1"/>
  <c r="B508" i="1"/>
  <c r="K508" i="1"/>
  <c r="A509" i="1"/>
  <c r="B505" i="1"/>
  <c r="N523" i="1"/>
  <c r="P521" i="1"/>
  <c r="Q520" i="1"/>
  <c r="R519" i="1"/>
  <c r="J519" i="1"/>
  <c r="K518" i="1"/>
  <c r="L517" i="1"/>
  <c r="N515" i="1"/>
  <c r="P513" i="1"/>
  <c r="Q512" i="1"/>
  <c r="R511" i="1"/>
  <c r="J511" i="1"/>
  <c r="K510" i="1"/>
  <c r="L509" i="1"/>
  <c r="N507" i="1"/>
  <c r="Q504" i="1"/>
  <c r="R503" i="1"/>
  <c r="J503" i="1"/>
  <c r="A519" i="1"/>
  <c r="B523" i="1"/>
  <c r="A518" i="1"/>
  <c r="B515" i="1"/>
  <c r="A510" i="1"/>
  <c r="B507" i="1"/>
  <c r="A513" i="1"/>
  <c r="B520" i="1"/>
  <c r="B512" i="1"/>
  <c r="B504" i="1"/>
  <c r="B521" i="1"/>
  <c r="B511" i="1"/>
  <c r="B503" i="1"/>
  <c r="N471" i="1"/>
  <c r="M471" i="1"/>
  <c r="L471" i="1"/>
  <c r="A485" i="1"/>
  <c r="J471" i="1"/>
  <c r="R471" i="1"/>
  <c r="A493" i="1"/>
  <c r="A488" i="1"/>
  <c r="B484" i="1"/>
  <c r="K499" i="1"/>
  <c r="Q471" i="1"/>
  <c r="L498" i="1"/>
  <c r="P471" i="1"/>
  <c r="B492" i="1"/>
  <c r="A487" i="1"/>
  <c r="N496" i="1"/>
  <c r="O471" i="1"/>
  <c r="O495" i="1"/>
  <c r="Q479" i="1"/>
  <c r="R499" i="1"/>
  <c r="J499" i="1"/>
  <c r="K498" i="1"/>
  <c r="L497" i="1"/>
  <c r="M496" i="1"/>
  <c r="N495" i="1"/>
  <c r="O494" i="1"/>
  <c r="P479" i="1"/>
  <c r="M497" i="1"/>
  <c r="Q499" i="1"/>
  <c r="R498" i="1"/>
  <c r="J498" i="1"/>
  <c r="K497" i="1"/>
  <c r="L496" i="1"/>
  <c r="M495" i="1"/>
  <c r="N494" i="1"/>
  <c r="O479" i="1"/>
  <c r="P499" i="1"/>
  <c r="Q498" i="1"/>
  <c r="R497" i="1"/>
  <c r="J497" i="1"/>
  <c r="K496" i="1"/>
  <c r="L495" i="1"/>
  <c r="M494" i="1"/>
  <c r="N479" i="1"/>
  <c r="K471" i="1"/>
  <c r="A495" i="1"/>
  <c r="O499" i="1"/>
  <c r="P498" i="1"/>
  <c r="Q497" i="1"/>
  <c r="R496" i="1"/>
  <c r="J496" i="1"/>
  <c r="K495" i="1"/>
  <c r="L494" i="1"/>
  <c r="M479" i="1"/>
  <c r="N499" i="1"/>
  <c r="O498" i="1"/>
  <c r="P497" i="1"/>
  <c r="Q496" i="1"/>
  <c r="R495" i="1"/>
  <c r="J495" i="1"/>
  <c r="K494" i="1"/>
  <c r="L479" i="1"/>
  <c r="M499" i="1"/>
  <c r="N498" i="1"/>
  <c r="O497" i="1"/>
  <c r="P496" i="1"/>
  <c r="Q495" i="1"/>
  <c r="R494" i="1"/>
  <c r="J494" i="1"/>
  <c r="K479" i="1"/>
  <c r="L499" i="1"/>
  <c r="M498" i="1"/>
  <c r="N497" i="1"/>
  <c r="O496" i="1"/>
  <c r="P495" i="1"/>
  <c r="Q494" i="1"/>
  <c r="R479" i="1"/>
  <c r="J479" i="1"/>
  <c r="B497" i="1"/>
  <c r="B494" i="1"/>
  <c r="A489" i="1"/>
  <c r="B486" i="1"/>
  <c r="B499" i="1"/>
  <c r="B483" i="1"/>
  <c r="B491" i="1"/>
  <c r="B480" i="1"/>
  <c r="B498" i="1"/>
  <c r="B482" i="1"/>
  <c r="B490" i="1"/>
  <c r="B479" i="1"/>
  <c r="B471" i="1"/>
  <c r="N199" i="1" l="1"/>
  <c r="B199" i="1"/>
  <c r="M199" i="1"/>
  <c r="K199" i="1"/>
  <c r="J199" i="1"/>
  <c r="O199" i="1"/>
  <c r="P199" i="1"/>
  <c r="Q199" i="1"/>
  <c r="R199" i="1"/>
  <c r="A199" i="1"/>
  <c r="L199" i="1"/>
  <c r="C451" i="1"/>
  <c r="J451" i="1" s="1"/>
  <c r="C452" i="1"/>
  <c r="Q452" i="1" s="1"/>
  <c r="C453" i="1"/>
  <c r="P453" i="1" s="1"/>
  <c r="C454" i="1"/>
  <c r="O454" i="1" s="1"/>
  <c r="C455" i="1"/>
  <c r="N455" i="1" s="1"/>
  <c r="C456" i="1"/>
  <c r="M456" i="1" s="1"/>
  <c r="C457" i="1"/>
  <c r="L457" i="1" s="1"/>
  <c r="C458" i="1"/>
  <c r="K458" i="1" s="1"/>
  <c r="C459" i="1"/>
  <c r="J459" i="1" s="1"/>
  <c r="C460" i="1"/>
  <c r="Q460" i="1" s="1"/>
  <c r="C461" i="1"/>
  <c r="P461" i="1" s="1"/>
  <c r="C462" i="1"/>
  <c r="O462" i="1" s="1"/>
  <c r="C463" i="1"/>
  <c r="N463" i="1" s="1"/>
  <c r="C464" i="1"/>
  <c r="M464" i="1" s="1"/>
  <c r="C465" i="1"/>
  <c r="L465" i="1" s="1"/>
  <c r="C466" i="1"/>
  <c r="K466" i="1" s="1"/>
  <c r="C467" i="1"/>
  <c r="J467" i="1" s="1"/>
  <c r="C468" i="1"/>
  <c r="Q468" i="1" s="1"/>
  <c r="C469" i="1"/>
  <c r="P469" i="1" s="1"/>
  <c r="C470" i="1"/>
  <c r="O470" i="1" s="1"/>
  <c r="C450" i="1"/>
  <c r="K449" i="1"/>
  <c r="M481" i="1"/>
  <c r="Q486" i="1"/>
  <c r="N490" i="1"/>
  <c r="M491" i="1"/>
  <c r="K481" i="1"/>
  <c r="P481" i="1"/>
  <c r="Q481" i="1"/>
  <c r="M487" i="1"/>
  <c r="N487" i="1"/>
  <c r="O487" i="1"/>
  <c r="P487" i="1"/>
  <c r="M489" i="1"/>
  <c r="C403" i="1"/>
  <c r="A403" i="1" s="1"/>
  <c r="C404" i="1"/>
  <c r="A404" i="1" s="1"/>
  <c r="C405" i="1"/>
  <c r="P405" i="1" s="1"/>
  <c r="C406" i="1"/>
  <c r="A406" i="1" s="1"/>
  <c r="C407" i="1"/>
  <c r="A407" i="1" s="1"/>
  <c r="C408" i="1"/>
  <c r="M408" i="1" s="1"/>
  <c r="C409" i="1"/>
  <c r="L409" i="1" s="1"/>
  <c r="C410" i="1"/>
  <c r="A410" i="1" s="1"/>
  <c r="C411" i="1"/>
  <c r="A411" i="1" s="1"/>
  <c r="C412" i="1"/>
  <c r="B412" i="1" s="1"/>
  <c r="C413" i="1"/>
  <c r="A413" i="1" s="1"/>
  <c r="C414" i="1"/>
  <c r="A414" i="1" s="1"/>
  <c r="C415" i="1"/>
  <c r="A415" i="1" s="1"/>
  <c r="C416" i="1"/>
  <c r="M416" i="1" s="1"/>
  <c r="C417" i="1"/>
  <c r="L417" i="1" s="1"/>
  <c r="C418" i="1"/>
  <c r="A418" i="1" s="1"/>
  <c r="C419" i="1"/>
  <c r="B419" i="1" s="1"/>
  <c r="C420" i="1"/>
  <c r="B420" i="1" s="1"/>
  <c r="C421" i="1"/>
  <c r="A421" i="1" s="1"/>
  <c r="C422" i="1"/>
  <c r="A422" i="1" s="1"/>
  <c r="C423" i="1"/>
  <c r="A423" i="1" s="1"/>
  <c r="C379" i="1"/>
  <c r="B379" i="1" s="1"/>
  <c r="C394" i="1"/>
  <c r="A394" i="1" s="1"/>
  <c r="C395" i="1"/>
  <c r="A395" i="1" s="1"/>
  <c r="C396" i="1"/>
  <c r="A396" i="1" s="1"/>
  <c r="C397" i="1"/>
  <c r="P397" i="1" s="1"/>
  <c r="C398" i="1"/>
  <c r="O398" i="1" s="1"/>
  <c r="C399" i="1"/>
  <c r="A399" i="1" s="1"/>
  <c r="J354" i="1"/>
  <c r="K354" i="1"/>
  <c r="L354" i="1"/>
  <c r="M354" i="1"/>
  <c r="N354" i="1"/>
  <c r="O354" i="1"/>
  <c r="P354" i="1"/>
  <c r="Q354" i="1"/>
  <c r="R354" i="1"/>
  <c r="C370" i="1"/>
  <c r="B370" i="1" s="1"/>
  <c r="C371" i="1"/>
  <c r="A371" i="1" s="1"/>
  <c r="C372" i="1"/>
  <c r="B372" i="1" s="1"/>
  <c r="C373" i="1"/>
  <c r="A373" i="1" s="1"/>
  <c r="C374" i="1"/>
  <c r="B374" i="1" s="1"/>
  <c r="C375" i="1"/>
  <c r="L375" i="1" s="1"/>
  <c r="A354" i="1"/>
  <c r="B354" i="1"/>
  <c r="J327" i="1"/>
  <c r="K327" i="1"/>
  <c r="L327" i="1"/>
  <c r="M327" i="1"/>
  <c r="N327" i="1"/>
  <c r="O327" i="1"/>
  <c r="P327" i="1"/>
  <c r="Q327" i="1"/>
  <c r="R327" i="1"/>
  <c r="C320" i="1"/>
  <c r="K320" i="1" s="1"/>
  <c r="C321" i="1"/>
  <c r="A321" i="1" s="1"/>
  <c r="C322" i="1"/>
  <c r="B322" i="1" s="1"/>
  <c r="C323" i="1"/>
  <c r="P323" i="1" s="1"/>
  <c r="C324" i="1"/>
  <c r="A324" i="1" s="1"/>
  <c r="C325" i="1"/>
  <c r="B325" i="1" s="1"/>
  <c r="C305" i="1"/>
  <c r="B305" i="1" s="1"/>
  <c r="C253" i="1"/>
  <c r="C268" i="1"/>
  <c r="B268" i="1" s="1"/>
  <c r="C269" i="1"/>
  <c r="B269" i="1" s="1"/>
  <c r="C270" i="1"/>
  <c r="A270" i="1" s="1"/>
  <c r="C271" i="1"/>
  <c r="A271" i="1" s="1"/>
  <c r="C272" i="1"/>
  <c r="A272" i="1" s="1"/>
  <c r="C273" i="1"/>
  <c r="A273" i="1" s="1"/>
  <c r="A253" i="1" l="1"/>
  <c r="L253" i="1"/>
  <c r="M253" i="1"/>
  <c r="N253" i="1"/>
  <c r="O253" i="1"/>
  <c r="P253" i="1"/>
  <c r="Q253" i="1"/>
  <c r="J253" i="1"/>
  <c r="R253" i="1"/>
  <c r="K253" i="1"/>
  <c r="A468" i="1"/>
  <c r="O459" i="1"/>
  <c r="A460" i="1"/>
  <c r="L455" i="1"/>
  <c r="B456" i="1"/>
  <c r="O453" i="1"/>
  <c r="O469" i="1"/>
  <c r="O468" i="1"/>
  <c r="P466" i="1"/>
  <c r="K464" i="1"/>
  <c r="M463" i="1"/>
  <c r="Q459" i="1"/>
  <c r="Q457" i="1"/>
  <c r="B468" i="1"/>
  <c r="B459" i="1"/>
  <c r="P468" i="1"/>
  <c r="J466" i="1"/>
  <c r="J464" i="1"/>
  <c r="P459" i="1"/>
  <c r="K457" i="1"/>
  <c r="K455" i="1"/>
  <c r="B467" i="1"/>
  <c r="A456" i="1"/>
  <c r="Q467" i="1"/>
  <c r="Q465" i="1"/>
  <c r="L463" i="1"/>
  <c r="R458" i="1"/>
  <c r="R456" i="1"/>
  <c r="P452" i="1"/>
  <c r="R465" i="1"/>
  <c r="J457" i="1"/>
  <c r="B464" i="1"/>
  <c r="B455" i="1"/>
  <c r="P467" i="1"/>
  <c r="K465" i="1"/>
  <c r="K463" i="1"/>
  <c r="Q458" i="1"/>
  <c r="L456" i="1"/>
  <c r="O452" i="1"/>
  <c r="A464" i="1"/>
  <c r="B452" i="1"/>
  <c r="O467" i="1"/>
  <c r="J465" i="1"/>
  <c r="O461" i="1"/>
  <c r="P458" i="1"/>
  <c r="K456" i="1"/>
  <c r="Q451" i="1"/>
  <c r="B463" i="1"/>
  <c r="A452" i="1"/>
  <c r="R466" i="1"/>
  <c r="R464" i="1"/>
  <c r="P460" i="1"/>
  <c r="J458" i="1"/>
  <c r="J456" i="1"/>
  <c r="P451" i="1"/>
  <c r="B460" i="1"/>
  <c r="B451" i="1"/>
  <c r="Q466" i="1"/>
  <c r="L464" i="1"/>
  <c r="O460" i="1"/>
  <c r="R457" i="1"/>
  <c r="M455" i="1"/>
  <c r="O451" i="1"/>
  <c r="N470" i="1"/>
  <c r="N469" i="1"/>
  <c r="N462" i="1"/>
  <c r="N453" i="1"/>
  <c r="L470" i="1"/>
  <c r="M469" i="1"/>
  <c r="N468" i="1"/>
  <c r="L462" i="1"/>
  <c r="N460" i="1"/>
  <c r="L454" i="1"/>
  <c r="P492" i="1"/>
  <c r="K484" i="1"/>
  <c r="A467" i="1"/>
  <c r="A463" i="1"/>
  <c r="A459" i="1"/>
  <c r="A455" i="1"/>
  <c r="A451" i="1"/>
  <c r="K470" i="1"/>
  <c r="L469" i="1"/>
  <c r="M468" i="1"/>
  <c r="N467" i="1"/>
  <c r="O466" i="1"/>
  <c r="P465" i="1"/>
  <c r="Q464" i="1"/>
  <c r="R463" i="1"/>
  <c r="J463" i="1"/>
  <c r="K462" i="1"/>
  <c r="L461" i="1"/>
  <c r="M460" i="1"/>
  <c r="N459" i="1"/>
  <c r="O458" i="1"/>
  <c r="P457" i="1"/>
  <c r="Q456" i="1"/>
  <c r="R455" i="1"/>
  <c r="J455" i="1"/>
  <c r="K454" i="1"/>
  <c r="L453" i="1"/>
  <c r="M452" i="1"/>
  <c r="N451" i="1"/>
  <c r="M454" i="1"/>
  <c r="K492" i="1"/>
  <c r="J484" i="1"/>
  <c r="B470" i="1"/>
  <c r="B466" i="1"/>
  <c r="B462" i="1"/>
  <c r="B458" i="1"/>
  <c r="B454" i="1"/>
  <c r="R470" i="1"/>
  <c r="J470" i="1"/>
  <c r="K469" i="1"/>
  <c r="L468" i="1"/>
  <c r="M467" i="1"/>
  <c r="N466" i="1"/>
  <c r="O465" i="1"/>
  <c r="P464" i="1"/>
  <c r="Q463" i="1"/>
  <c r="R462" i="1"/>
  <c r="J462" i="1"/>
  <c r="K461" i="1"/>
  <c r="L460" i="1"/>
  <c r="M459" i="1"/>
  <c r="N458" i="1"/>
  <c r="O457" i="1"/>
  <c r="P456" i="1"/>
  <c r="Q455" i="1"/>
  <c r="R454" i="1"/>
  <c r="J454" i="1"/>
  <c r="K453" i="1"/>
  <c r="L452" i="1"/>
  <c r="M451" i="1"/>
  <c r="N454" i="1"/>
  <c r="M453" i="1"/>
  <c r="N452" i="1"/>
  <c r="A470" i="1"/>
  <c r="A466" i="1"/>
  <c r="A462" i="1"/>
  <c r="A458" i="1"/>
  <c r="A454" i="1"/>
  <c r="Q470" i="1"/>
  <c r="R469" i="1"/>
  <c r="J469" i="1"/>
  <c r="K468" i="1"/>
  <c r="L467" i="1"/>
  <c r="M466" i="1"/>
  <c r="N465" i="1"/>
  <c r="O464" i="1"/>
  <c r="P463" i="1"/>
  <c r="Q462" i="1"/>
  <c r="R461" i="1"/>
  <c r="J461" i="1"/>
  <c r="K460" i="1"/>
  <c r="L459" i="1"/>
  <c r="M458" i="1"/>
  <c r="N457" i="1"/>
  <c r="O456" i="1"/>
  <c r="P455" i="1"/>
  <c r="Q454" i="1"/>
  <c r="R453" i="1"/>
  <c r="J453" i="1"/>
  <c r="K452" i="1"/>
  <c r="L451" i="1"/>
  <c r="M462" i="1"/>
  <c r="N461" i="1"/>
  <c r="N484" i="1"/>
  <c r="M461" i="1"/>
  <c r="B469" i="1"/>
  <c r="B465" i="1"/>
  <c r="B461" i="1"/>
  <c r="B457" i="1"/>
  <c r="B453" i="1"/>
  <c r="P470" i="1"/>
  <c r="Q469" i="1"/>
  <c r="R468" i="1"/>
  <c r="J468" i="1"/>
  <c r="K467" i="1"/>
  <c r="L466" i="1"/>
  <c r="M465" i="1"/>
  <c r="N464" i="1"/>
  <c r="O463" i="1"/>
  <c r="P462" i="1"/>
  <c r="Q461" i="1"/>
  <c r="R460" i="1"/>
  <c r="J460" i="1"/>
  <c r="K459" i="1"/>
  <c r="L458" i="1"/>
  <c r="M457" i="1"/>
  <c r="N456" i="1"/>
  <c r="O455" i="1"/>
  <c r="P454" i="1"/>
  <c r="Q453" i="1"/>
  <c r="R452" i="1"/>
  <c r="J452" i="1"/>
  <c r="K451" i="1"/>
  <c r="M470" i="1"/>
  <c r="A469" i="1"/>
  <c r="A465" i="1"/>
  <c r="A461" i="1"/>
  <c r="A457" i="1"/>
  <c r="A453" i="1"/>
  <c r="R467" i="1"/>
  <c r="R459" i="1"/>
  <c r="R451" i="1"/>
  <c r="M490" i="1"/>
  <c r="P489" i="1"/>
  <c r="O481" i="1"/>
  <c r="N489" i="1"/>
  <c r="N481" i="1"/>
  <c r="L489" i="1"/>
  <c r="K489" i="1"/>
  <c r="P482" i="1"/>
  <c r="O482" i="1"/>
  <c r="L488" i="1"/>
  <c r="R483" i="1"/>
  <c r="Q491" i="1"/>
  <c r="L483" i="1"/>
  <c r="J483" i="1"/>
  <c r="Q480" i="1"/>
  <c r="Q449" i="1"/>
  <c r="N488" i="1"/>
  <c r="P484" i="1"/>
  <c r="R480" i="1"/>
  <c r="R449" i="1"/>
  <c r="J449" i="1"/>
  <c r="R492" i="1"/>
  <c r="K488" i="1"/>
  <c r="M484" i="1"/>
  <c r="O480" i="1"/>
  <c r="P449" i="1"/>
  <c r="B449" i="1"/>
  <c r="Q492" i="1"/>
  <c r="L484" i="1"/>
  <c r="J480" i="1"/>
  <c r="O449" i="1"/>
  <c r="A449" i="1"/>
  <c r="N449" i="1"/>
  <c r="M449" i="1"/>
  <c r="J492" i="1"/>
  <c r="Q488" i="1"/>
  <c r="L449" i="1"/>
  <c r="O488" i="1"/>
  <c r="R484" i="1"/>
  <c r="R493" i="1"/>
  <c r="R491" i="1"/>
  <c r="M488" i="1"/>
  <c r="P486" i="1"/>
  <c r="Q482" i="1"/>
  <c r="R485" i="1"/>
  <c r="J493" i="1"/>
  <c r="L491" i="1"/>
  <c r="Q483" i="1"/>
  <c r="K491" i="1"/>
  <c r="R488" i="1"/>
  <c r="J488" i="1"/>
  <c r="P483" i="1"/>
  <c r="M482" i="1"/>
  <c r="P480" i="1"/>
  <c r="Q493" i="1"/>
  <c r="J491" i="1"/>
  <c r="O483" i="1"/>
  <c r="P488" i="1"/>
  <c r="N483" i="1"/>
  <c r="L480" i="1"/>
  <c r="P493" i="1"/>
  <c r="O486" i="1"/>
  <c r="N486" i="1"/>
  <c r="N493" i="1"/>
  <c r="O492" i="1"/>
  <c r="P491" i="1"/>
  <c r="R489" i="1"/>
  <c r="J489" i="1"/>
  <c r="L487" i="1"/>
  <c r="M486" i="1"/>
  <c r="K482" i="1"/>
  <c r="M493" i="1"/>
  <c r="N492" i="1"/>
  <c r="O491" i="1"/>
  <c r="Q489" i="1"/>
  <c r="K487" i="1"/>
  <c r="L486" i="1"/>
  <c r="J482" i="1"/>
  <c r="O493" i="1"/>
  <c r="L493" i="1"/>
  <c r="M492" i="1"/>
  <c r="N491" i="1"/>
  <c r="R487" i="1"/>
  <c r="K486" i="1"/>
  <c r="J487" i="1"/>
  <c r="K493" i="1"/>
  <c r="L492" i="1"/>
  <c r="O489" i="1"/>
  <c r="Q487" i="1"/>
  <c r="R486" i="1"/>
  <c r="J486" i="1"/>
  <c r="R482" i="1"/>
  <c r="M483" i="1"/>
  <c r="N482" i="1"/>
  <c r="K483" i="1"/>
  <c r="L482" i="1"/>
  <c r="L490" i="1"/>
  <c r="Q485" i="1"/>
  <c r="K490" i="1"/>
  <c r="P485" i="1"/>
  <c r="R490" i="1"/>
  <c r="J490" i="1"/>
  <c r="O485" i="1"/>
  <c r="Q490" i="1"/>
  <c r="M485" i="1"/>
  <c r="P490" i="1"/>
  <c r="L485" i="1"/>
  <c r="O490" i="1"/>
  <c r="K485" i="1"/>
  <c r="J485" i="1"/>
  <c r="Q484" i="1"/>
  <c r="L481" i="1"/>
  <c r="M480" i="1"/>
  <c r="N485" i="1"/>
  <c r="O484" i="1"/>
  <c r="R481" i="1"/>
  <c r="J481" i="1"/>
  <c r="K480" i="1"/>
  <c r="N480" i="1"/>
  <c r="Q419" i="1"/>
  <c r="A370" i="1"/>
  <c r="B409" i="1"/>
  <c r="M423" i="1"/>
  <c r="P419" i="1"/>
  <c r="L416" i="1"/>
  <c r="P411" i="1"/>
  <c r="M407" i="1"/>
  <c r="L407" i="1"/>
  <c r="B421" i="1"/>
  <c r="B408" i="1"/>
  <c r="M415" i="1"/>
  <c r="R410" i="1"/>
  <c r="A408" i="1"/>
  <c r="L423" i="1"/>
  <c r="R418" i="1"/>
  <c r="L415" i="1"/>
  <c r="Q410" i="1"/>
  <c r="N422" i="1"/>
  <c r="Q418" i="1"/>
  <c r="N414" i="1"/>
  <c r="J410" i="1"/>
  <c r="N406" i="1"/>
  <c r="M422" i="1"/>
  <c r="J418" i="1"/>
  <c r="M414" i="1"/>
  <c r="R409" i="1"/>
  <c r="M406" i="1"/>
  <c r="O421" i="1"/>
  <c r="R417" i="1"/>
  <c r="O413" i="1"/>
  <c r="K409" i="1"/>
  <c r="O405" i="1"/>
  <c r="K408" i="1"/>
  <c r="A417" i="1"/>
  <c r="N421" i="1"/>
  <c r="K417" i="1"/>
  <c r="N413" i="1"/>
  <c r="J409" i="1"/>
  <c r="N405" i="1"/>
  <c r="P420" i="1"/>
  <c r="J417" i="1"/>
  <c r="Q411" i="1"/>
  <c r="L408" i="1"/>
  <c r="Q403" i="1"/>
  <c r="K416" i="1"/>
  <c r="P403" i="1"/>
  <c r="A420" i="1"/>
  <c r="B416" i="1"/>
  <c r="K423" i="1"/>
  <c r="L422" i="1"/>
  <c r="M421" i="1"/>
  <c r="N420" i="1"/>
  <c r="O419" i="1"/>
  <c r="P418" i="1"/>
  <c r="Q417" i="1"/>
  <c r="R416" i="1"/>
  <c r="J416" i="1"/>
  <c r="K415" i="1"/>
  <c r="L414" i="1"/>
  <c r="M413" i="1"/>
  <c r="N412" i="1"/>
  <c r="O411" i="1"/>
  <c r="P410" i="1"/>
  <c r="Q409" i="1"/>
  <c r="R408" i="1"/>
  <c r="J408" i="1"/>
  <c r="K407" i="1"/>
  <c r="L406" i="1"/>
  <c r="M405" i="1"/>
  <c r="N404" i="1"/>
  <c r="O403" i="1"/>
  <c r="P404" i="1"/>
  <c r="O412" i="1"/>
  <c r="O404" i="1"/>
  <c r="A416" i="1"/>
  <c r="R423" i="1"/>
  <c r="J423" i="1"/>
  <c r="K422" i="1"/>
  <c r="L421" i="1"/>
  <c r="M420" i="1"/>
  <c r="N419" i="1"/>
  <c r="O418" i="1"/>
  <c r="P417" i="1"/>
  <c r="Q416" i="1"/>
  <c r="R415" i="1"/>
  <c r="J415" i="1"/>
  <c r="K414" i="1"/>
  <c r="L413" i="1"/>
  <c r="M412" i="1"/>
  <c r="N411" i="1"/>
  <c r="O410" i="1"/>
  <c r="P409" i="1"/>
  <c r="Q408" i="1"/>
  <c r="R407" i="1"/>
  <c r="J407" i="1"/>
  <c r="K406" i="1"/>
  <c r="L405" i="1"/>
  <c r="M404" i="1"/>
  <c r="N403" i="1"/>
  <c r="A419" i="1"/>
  <c r="B406" i="1"/>
  <c r="Q423" i="1"/>
  <c r="R422" i="1"/>
  <c r="J422" i="1"/>
  <c r="K421" i="1"/>
  <c r="L420" i="1"/>
  <c r="M419" i="1"/>
  <c r="N418" i="1"/>
  <c r="O417" i="1"/>
  <c r="P416" i="1"/>
  <c r="Q415" i="1"/>
  <c r="R414" i="1"/>
  <c r="J414" i="1"/>
  <c r="K413" i="1"/>
  <c r="L412" i="1"/>
  <c r="M411" i="1"/>
  <c r="N410" i="1"/>
  <c r="O409" i="1"/>
  <c r="P408" i="1"/>
  <c r="Q407" i="1"/>
  <c r="R406" i="1"/>
  <c r="J406" i="1"/>
  <c r="K405" i="1"/>
  <c r="L404" i="1"/>
  <c r="M403" i="1"/>
  <c r="A412" i="1"/>
  <c r="P423" i="1"/>
  <c r="Q422" i="1"/>
  <c r="R421" i="1"/>
  <c r="J421" i="1"/>
  <c r="K420" i="1"/>
  <c r="L419" i="1"/>
  <c r="M418" i="1"/>
  <c r="N417" i="1"/>
  <c r="O416" i="1"/>
  <c r="P415" i="1"/>
  <c r="Q414" i="1"/>
  <c r="R413" i="1"/>
  <c r="J413" i="1"/>
  <c r="K412" i="1"/>
  <c r="L411" i="1"/>
  <c r="M410" i="1"/>
  <c r="N409" i="1"/>
  <c r="O408" i="1"/>
  <c r="P407" i="1"/>
  <c r="Q406" i="1"/>
  <c r="R405" i="1"/>
  <c r="J405" i="1"/>
  <c r="K404" i="1"/>
  <c r="L403" i="1"/>
  <c r="O420" i="1"/>
  <c r="A409" i="1"/>
  <c r="B405" i="1"/>
  <c r="O423" i="1"/>
  <c r="P422" i="1"/>
  <c r="Q421" i="1"/>
  <c r="R420" i="1"/>
  <c r="J420" i="1"/>
  <c r="K419" i="1"/>
  <c r="L418" i="1"/>
  <c r="M417" i="1"/>
  <c r="N416" i="1"/>
  <c r="O415" i="1"/>
  <c r="P414" i="1"/>
  <c r="Q413" i="1"/>
  <c r="R412" i="1"/>
  <c r="J412" i="1"/>
  <c r="K411" i="1"/>
  <c r="L410" i="1"/>
  <c r="M409" i="1"/>
  <c r="N408" i="1"/>
  <c r="O407" i="1"/>
  <c r="P406" i="1"/>
  <c r="Q405" i="1"/>
  <c r="R404" i="1"/>
  <c r="J404" i="1"/>
  <c r="K403" i="1"/>
  <c r="P412" i="1"/>
  <c r="A398" i="1"/>
  <c r="B417" i="1"/>
  <c r="B413" i="1"/>
  <c r="A405" i="1"/>
  <c r="N423" i="1"/>
  <c r="O422" i="1"/>
  <c r="P421" i="1"/>
  <c r="Q420" i="1"/>
  <c r="R419" i="1"/>
  <c r="J419" i="1"/>
  <c r="K418" i="1"/>
  <c r="N415" i="1"/>
  <c r="O414" i="1"/>
  <c r="P413" i="1"/>
  <c r="Q412" i="1"/>
  <c r="R411" i="1"/>
  <c r="J411" i="1"/>
  <c r="K410" i="1"/>
  <c r="N407" i="1"/>
  <c r="O406" i="1"/>
  <c r="Q404" i="1"/>
  <c r="R403" i="1"/>
  <c r="J403" i="1"/>
  <c r="B418" i="1"/>
  <c r="B410" i="1"/>
  <c r="B423" i="1"/>
  <c r="B415" i="1"/>
  <c r="B407" i="1"/>
  <c r="B404" i="1"/>
  <c r="B422" i="1"/>
  <c r="B414" i="1"/>
  <c r="B411" i="1"/>
  <c r="B403" i="1"/>
  <c r="B398" i="1"/>
  <c r="B395" i="1"/>
  <c r="M399" i="1"/>
  <c r="N398" i="1"/>
  <c r="O397" i="1"/>
  <c r="P396" i="1"/>
  <c r="Q395" i="1"/>
  <c r="R394" i="1"/>
  <c r="J394" i="1"/>
  <c r="Q379" i="1"/>
  <c r="L399" i="1"/>
  <c r="M398" i="1"/>
  <c r="N397" i="1"/>
  <c r="O396" i="1"/>
  <c r="P395" i="1"/>
  <c r="Q394" i="1"/>
  <c r="P379" i="1"/>
  <c r="K399" i="1"/>
  <c r="L398" i="1"/>
  <c r="M397" i="1"/>
  <c r="N396" i="1"/>
  <c r="O395" i="1"/>
  <c r="P394" i="1"/>
  <c r="O379" i="1"/>
  <c r="O372" i="1"/>
  <c r="R399" i="1"/>
  <c r="J399" i="1"/>
  <c r="K398" i="1"/>
  <c r="L397" i="1"/>
  <c r="M396" i="1"/>
  <c r="N395" i="1"/>
  <c r="O394" i="1"/>
  <c r="N379" i="1"/>
  <c r="N372" i="1"/>
  <c r="B397" i="1"/>
  <c r="Q399" i="1"/>
  <c r="R398" i="1"/>
  <c r="J398" i="1"/>
  <c r="K397" i="1"/>
  <c r="L396" i="1"/>
  <c r="M395" i="1"/>
  <c r="N394" i="1"/>
  <c r="M379" i="1"/>
  <c r="L372" i="1"/>
  <c r="A397" i="1"/>
  <c r="P399" i="1"/>
  <c r="Q398" i="1"/>
  <c r="R397" i="1"/>
  <c r="J397" i="1"/>
  <c r="K396" i="1"/>
  <c r="L395" i="1"/>
  <c r="M394" i="1"/>
  <c r="L379" i="1"/>
  <c r="O399" i="1"/>
  <c r="P398" i="1"/>
  <c r="Q397" i="1"/>
  <c r="R396" i="1"/>
  <c r="J396" i="1"/>
  <c r="K395" i="1"/>
  <c r="L394" i="1"/>
  <c r="K379" i="1"/>
  <c r="N399" i="1"/>
  <c r="Q396" i="1"/>
  <c r="R395" i="1"/>
  <c r="J395" i="1"/>
  <c r="K394" i="1"/>
  <c r="R379" i="1"/>
  <c r="J379" i="1"/>
  <c r="A379" i="1"/>
  <c r="B394" i="1"/>
  <c r="B399" i="1"/>
  <c r="B396" i="1"/>
  <c r="B375" i="1"/>
  <c r="K375" i="1"/>
  <c r="P371" i="1"/>
  <c r="L374" i="1"/>
  <c r="O371" i="1"/>
  <c r="N373" i="1"/>
  <c r="M371" i="1"/>
  <c r="Q375" i="1"/>
  <c r="M373" i="1"/>
  <c r="P370" i="1"/>
  <c r="K373" i="1"/>
  <c r="N370" i="1"/>
  <c r="A320" i="1"/>
  <c r="A375" i="1"/>
  <c r="R375" i="1"/>
  <c r="J375" i="1"/>
  <c r="K374" i="1"/>
  <c r="L373" i="1"/>
  <c r="M372" i="1"/>
  <c r="N371" i="1"/>
  <c r="O370" i="1"/>
  <c r="N323" i="1"/>
  <c r="P375" i="1"/>
  <c r="Q374" i="1"/>
  <c r="R373" i="1"/>
  <c r="J373" i="1"/>
  <c r="K372" i="1"/>
  <c r="L371" i="1"/>
  <c r="M370" i="1"/>
  <c r="J374" i="1"/>
  <c r="R320" i="1"/>
  <c r="B373" i="1"/>
  <c r="O375" i="1"/>
  <c r="P374" i="1"/>
  <c r="Q373" i="1"/>
  <c r="R372" i="1"/>
  <c r="J372" i="1"/>
  <c r="K371" i="1"/>
  <c r="L370" i="1"/>
  <c r="N375" i="1"/>
  <c r="O374" i="1"/>
  <c r="P373" i="1"/>
  <c r="Q372" i="1"/>
  <c r="R371" i="1"/>
  <c r="J371" i="1"/>
  <c r="K370" i="1"/>
  <c r="R374" i="1"/>
  <c r="M375" i="1"/>
  <c r="N374" i="1"/>
  <c r="O373" i="1"/>
  <c r="P372" i="1"/>
  <c r="Q371" i="1"/>
  <c r="R370" i="1"/>
  <c r="J370" i="1"/>
  <c r="M374" i="1"/>
  <c r="Q370" i="1"/>
  <c r="A372" i="1"/>
  <c r="A374" i="1"/>
  <c r="B371" i="1"/>
  <c r="K323" i="1"/>
  <c r="Q320" i="1"/>
  <c r="P322" i="1"/>
  <c r="N320" i="1"/>
  <c r="B320" i="1"/>
  <c r="O322" i="1"/>
  <c r="J320" i="1"/>
  <c r="L322" i="1"/>
  <c r="R305" i="1"/>
  <c r="Q321" i="1"/>
  <c r="O305" i="1"/>
  <c r="N324" i="1"/>
  <c r="P321" i="1"/>
  <c r="K305" i="1"/>
  <c r="A323" i="1"/>
  <c r="O323" i="1"/>
  <c r="M321" i="1"/>
  <c r="J305" i="1"/>
  <c r="L325" i="1"/>
  <c r="K325" i="1"/>
  <c r="L324" i="1"/>
  <c r="M323" i="1"/>
  <c r="N322" i="1"/>
  <c r="O321" i="1"/>
  <c r="P320" i="1"/>
  <c r="Q305" i="1"/>
  <c r="M324" i="1"/>
  <c r="B323" i="1"/>
  <c r="R325" i="1"/>
  <c r="J325" i="1"/>
  <c r="K324" i="1"/>
  <c r="L323" i="1"/>
  <c r="M322" i="1"/>
  <c r="N321" i="1"/>
  <c r="O320" i="1"/>
  <c r="P305" i="1"/>
  <c r="R324" i="1"/>
  <c r="P325" i="1"/>
  <c r="Q324" i="1"/>
  <c r="R323" i="1"/>
  <c r="J323" i="1"/>
  <c r="K322" i="1"/>
  <c r="L321" i="1"/>
  <c r="M320" i="1"/>
  <c r="N305" i="1"/>
  <c r="O325" i="1"/>
  <c r="P324" i="1"/>
  <c r="Q323" i="1"/>
  <c r="R322" i="1"/>
  <c r="J322" i="1"/>
  <c r="K321" i="1"/>
  <c r="L320" i="1"/>
  <c r="M305" i="1"/>
  <c r="M325" i="1"/>
  <c r="Q325" i="1"/>
  <c r="J324" i="1"/>
  <c r="N325" i="1"/>
  <c r="O324" i="1"/>
  <c r="Q322" i="1"/>
  <c r="R321" i="1"/>
  <c r="J321" i="1"/>
  <c r="L305" i="1"/>
  <c r="A322" i="1"/>
  <c r="A325" i="1"/>
  <c r="B324" i="1"/>
  <c r="B321" i="1"/>
  <c r="A305" i="1"/>
  <c r="L273" i="1"/>
  <c r="N271" i="1"/>
  <c r="P269" i="1"/>
  <c r="O269" i="1"/>
  <c r="M272" i="1"/>
  <c r="L272" i="1"/>
  <c r="K273" i="1"/>
  <c r="M271" i="1"/>
  <c r="O270" i="1"/>
  <c r="N270" i="1"/>
  <c r="P268" i="1"/>
  <c r="R273" i="1"/>
  <c r="J273" i="1"/>
  <c r="K272" i="1"/>
  <c r="L271" i="1"/>
  <c r="M270" i="1"/>
  <c r="N269" i="1"/>
  <c r="O268" i="1"/>
  <c r="Q273" i="1"/>
  <c r="R272" i="1"/>
  <c r="J272" i="1"/>
  <c r="K271" i="1"/>
  <c r="L270" i="1"/>
  <c r="M269" i="1"/>
  <c r="N268" i="1"/>
  <c r="P273" i="1"/>
  <c r="Q272" i="1"/>
  <c r="R271" i="1"/>
  <c r="J271" i="1"/>
  <c r="K270" i="1"/>
  <c r="L269" i="1"/>
  <c r="M268" i="1"/>
  <c r="O273" i="1"/>
  <c r="P272" i="1"/>
  <c r="Q271" i="1"/>
  <c r="R270" i="1"/>
  <c r="J270" i="1"/>
  <c r="K269" i="1"/>
  <c r="L268" i="1"/>
  <c r="N273" i="1"/>
  <c r="O272" i="1"/>
  <c r="P271" i="1"/>
  <c r="Q270" i="1"/>
  <c r="R269" i="1"/>
  <c r="J269" i="1"/>
  <c r="K268" i="1"/>
  <c r="Q268" i="1"/>
  <c r="M273" i="1"/>
  <c r="N272" i="1"/>
  <c r="O271" i="1"/>
  <c r="P270" i="1"/>
  <c r="Q269" i="1"/>
  <c r="R268" i="1"/>
  <c r="J268" i="1"/>
  <c r="B253" i="1"/>
  <c r="B273" i="1"/>
  <c r="A268" i="1"/>
  <c r="B270" i="1"/>
  <c r="A269" i="1"/>
  <c r="B272" i="1"/>
  <c r="B271" i="1"/>
  <c r="J328" i="1" l="1"/>
  <c r="K328" i="1"/>
  <c r="L328" i="1"/>
  <c r="M328" i="1"/>
  <c r="N328" i="1"/>
  <c r="O328" i="1"/>
  <c r="P328" i="1"/>
  <c r="Q328" i="1"/>
  <c r="R328" i="1"/>
  <c r="A328" i="1"/>
  <c r="B328" i="1"/>
  <c r="C329" i="1"/>
  <c r="A329" i="1" s="1"/>
  <c r="B4" i="18"/>
  <c r="F5" i="8" s="1"/>
  <c r="C237" i="1"/>
  <c r="P237" i="1" s="1"/>
  <c r="C236" i="1"/>
  <c r="R236" i="1" s="1"/>
  <c r="B235" i="1"/>
  <c r="F4" i="8" l="1"/>
  <c r="O329" i="1"/>
  <c r="N329" i="1"/>
  <c r="P329" i="1"/>
  <c r="M329" i="1"/>
  <c r="L329" i="1"/>
  <c r="K329" i="1"/>
  <c r="R329" i="1"/>
  <c r="J329" i="1"/>
  <c r="Q329" i="1"/>
  <c r="B329" i="1"/>
  <c r="M237" i="1"/>
  <c r="A237" i="1"/>
  <c r="L237" i="1"/>
  <c r="L236" i="1"/>
  <c r="O236" i="1"/>
  <c r="N236" i="1"/>
  <c r="M236" i="1"/>
  <c r="B236" i="1"/>
  <c r="K237" i="1"/>
  <c r="K236" i="1"/>
  <c r="Q237" i="1"/>
  <c r="Q236" i="1"/>
  <c r="R237" i="1"/>
  <c r="O237" i="1"/>
  <c r="N237" i="1"/>
  <c r="B237" i="1"/>
  <c r="A236" i="1"/>
  <c r="J237" i="1"/>
  <c r="J236" i="1"/>
  <c r="P236"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B18" i="10" a="1"/>
  <c r="B18" i="10"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562" i="1"/>
  <c r="K1562" i="1"/>
  <c r="L1562" i="1"/>
  <c r="M1562" i="1"/>
  <c r="N1562" i="1"/>
  <c r="O1562" i="1"/>
  <c r="P1562" i="1"/>
  <c r="Q1562" i="1"/>
  <c r="R1562" i="1"/>
  <c r="A1562" i="1"/>
  <c r="B1562" i="1"/>
  <c r="A834" i="1" l="1"/>
  <c r="B834" i="1"/>
  <c r="J834" i="1"/>
  <c r="K834" i="1"/>
  <c r="L834" i="1"/>
  <c r="M834" i="1"/>
  <c r="N834" i="1"/>
  <c r="O834" i="1"/>
  <c r="P834" i="1"/>
  <c r="Q834" i="1"/>
  <c r="R834" i="1"/>
  <c r="C1600" i="1"/>
  <c r="Q1600" i="1" s="1"/>
  <c r="C1601" i="1"/>
  <c r="P1601" i="1" s="1"/>
  <c r="C1602" i="1"/>
  <c r="O1602" i="1" s="1"/>
  <c r="C1603" i="1"/>
  <c r="N1603" i="1" s="1"/>
  <c r="C1604" i="1"/>
  <c r="M1604" i="1" s="1"/>
  <c r="C1605" i="1"/>
  <c r="L1605" i="1" s="1"/>
  <c r="C1606" i="1"/>
  <c r="R1606" i="1" s="1"/>
  <c r="C1607" i="1"/>
  <c r="P1607" i="1" s="1"/>
  <c r="C1608" i="1"/>
  <c r="Q1608" i="1" s="1"/>
  <c r="C1609" i="1"/>
  <c r="P1609" i="1" s="1"/>
  <c r="C1610" i="1"/>
  <c r="O1610" i="1" s="1"/>
  <c r="C1611" i="1"/>
  <c r="N1611" i="1" s="1"/>
  <c r="C1612" i="1"/>
  <c r="M1612" i="1" s="1"/>
  <c r="C1613" i="1"/>
  <c r="L1613" i="1" s="1"/>
  <c r="C1614" i="1"/>
  <c r="J1614" i="1" s="1"/>
  <c r="C1615" i="1"/>
  <c r="P1615" i="1" s="1"/>
  <c r="C1616" i="1"/>
  <c r="Q1616" i="1" s="1"/>
  <c r="C1617" i="1"/>
  <c r="P1617" i="1" s="1"/>
  <c r="C1618" i="1"/>
  <c r="O1618" i="1" s="1"/>
  <c r="C1619" i="1"/>
  <c r="N1619" i="1" s="1"/>
  <c r="C1620" i="1"/>
  <c r="M1620" i="1" s="1"/>
  <c r="C1621" i="1"/>
  <c r="L1621" i="1" s="1"/>
  <c r="C1622" i="1"/>
  <c r="J1622" i="1" s="1"/>
  <c r="C1599" i="1"/>
  <c r="B20" i="18"/>
  <c r="F103" i="8" s="1"/>
  <c r="B19" i="18"/>
  <c r="F102" i="8" s="1"/>
  <c r="B18" i="18"/>
  <c r="F101" i="8" s="1"/>
  <c r="J1623" i="1"/>
  <c r="K1623" i="1"/>
  <c r="L1623" i="1"/>
  <c r="M1623" i="1"/>
  <c r="N1623" i="1"/>
  <c r="O1623" i="1"/>
  <c r="P1623" i="1"/>
  <c r="Q1623" i="1"/>
  <c r="R1623" i="1"/>
  <c r="A1623" i="1"/>
  <c r="B1623" i="1"/>
  <c r="B1598" i="1"/>
  <c r="A830" i="1"/>
  <c r="B830" i="1"/>
  <c r="A831" i="1"/>
  <c r="B831" i="1"/>
  <c r="A832" i="1"/>
  <c r="B832" i="1"/>
  <c r="A833" i="1"/>
  <c r="B833" i="1"/>
  <c r="A1285" i="1"/>
  <c r="B1285" i="1"/>
  <c r="A1286" i="1"/>
  <c r="B1286" i="1"/>
  <c r="C1287" i="1"/>
  <c r="P1287" i="1" s="1"/>
  <c r="C1288" i="1"/>
  <c r="B1288" i="1" s="1"/>
  <c r="C1289" i="1"/>
  <c r="A1289" i="1" s="1"/>
  <c r="C1290" i="1"/>
  <c r="A1290" i="1" s="1"/>
  <c r="C1291" i="1"/>
  <c r="M1291" i="1" s="1"/>
  <c r="C1292" i="1"/>
  <c r="B1292" i="1" s="1"/>
  <c r="C1293" i="1"/>
  <c r="N1293" i="1" s="1"/>
  <c r="C1294" i="1"/>
  <c r="Q1294" i="1" s="1"/>
  <c r="C1295" i="1"/>
  <c r="Q1295" i="1" s="1"/>
  <c r="C1296" i="1"/>
  <c r="B1296" i="1" s="1"/>
  <c r="C1297" i="1"/>
  <c r="A1297" i="1" s="1"/>
  <c r="C1298" i="1"/>
  <c r="A1298" i="1" s="1"/>
  <c r="C1299" i="1"/>
  <c r="P1299" i="1" s="1"/>
  <c r="C1300" i="1"/>
  <c r="B1300" i="1" s="1"/>
  <c r="C1301" i="1"/>
  <c r="C1302" i="1"/>
  <c r="A1302" i="1" s="1"/>
  <c r="C1303" i="1"/>
  <c r="R1303" i="1" s="1"/>
  <c r="C1304" i="1"/>
  <c r="B1304" i="1" s="1"/>
  <c r="C1305" i="1"/>
  <c r="A1305" i="1" s="1"/>
  <c r="C1306" i="1"/>
  <c r="A1306" i="1" s="1"/>
  <c r="C1307" i="1"/>
  <c r="K1307" i="1" s="1"/>
  <c r="C1308" i="1"/>
  <c r="B1308" i="1" s="1"/>
  <c r="C1309" i="1"/>
  <c r="P1309" i="1" s="1"/>
  <c r="C1310" i="1"/>
  <c r="A1310" i="1" s="1"/>
  <c r="C1311" i="1"/>
  <c r="K1311" i="1" s="1"/>
  <c r="C1312" i="1"/>
  <c r="B1312" i="1" s="1"/>
  <c r="C1313" i="1"/>
  <c r="A1313" i="1" s="1"/>
  <c r="C1314" i="1"/>
  <c r="A1314" i="1" s="1"/>
  <c r="C1315" i="1"/>
  <c r="P1315" i="1" s="1"/>
  <c r="C1316" i="1"/>
  <c r="B1316" i="1" s="1"/>
  <c r="C1317" i="1"/>
  <c r="K1317" i="1" s="1"/>
  <c r="C1318" i="1"/>
  <c r="A1318" i="1" s="1"/>
  <c r="C1319" i="1"/>
  <c r="L1319" i="1" s="1"/>
  <c r="C1320" i="1"/>
  <c r="B1320" i="1" s="1"/>
  <c r="C1321" i="1"/>
  <c r="A1321" i="1" s="1"/>
  <c r="C1322" i="1"/>
  <c r="A1322" i="1" s="1"/>
  <c r="C1323" i="1"/>
  <c r="R1323" i="1" s="1"/>
  <c r="C1324" i="1"/>
  <c r="B1324" i="1" s="1"/>
  <c r="C1325" i="1"/>
  <c r="R1325" i="1" s="1"/>
  <c r="C1326" i="1"/>
  <c r="A1326" i="1" s="1"/>
  <c r="C1327" i="1"/>
  <c r="M1327" i="1" s="1"/>
  <c r="C1328" i="1"/>
  <c r="B1328" i="1" s="1"/>
  <c r="C1329" i="1"/>
  <c r="A1329" i="1" s="1"/>
  <c r="C1330" i="1"/>
  <c r="A1330" i="1" s="1"/>
  <c r="C1331" i="1"/>
  <c r="L1331" i="1" s="1"/>
  <c r="C1332" i="1"/>
  <c r="B1332" i="1" s="1"/>
  <c r="C1333" i="1"/>
  <c r="C1334" i="1"/>
  <c r="A1334" i="1" s="1"/>
  <c r="C1335" i="1"/>
  <c r="P1335" i="1" s="1"/>
  <c r="C1336" i="1"/>
  <c r="B1336" i="1" s="1"/>
  <c r="C1337" i="1"/>
  <c r="A1337" i="1" s="1"/>
  <c r="C1338" i="1"/>
  <c r="A1338" i="1" s="1"/>
  <c r="C1339" i="1"/>
  <c r="N1339" i="1" s="1"/>
  <c r="C1340" i="1"/>
  <c r="B1340" i="1" s="1"/>
  <c r="C1341" i="1"/>
  <c r="C1342" i="1"/>
  <c r="A1342" i="1" s="1"/>
  <c r="C1343" i="1"/>
  <c r="P1343" i="1" s="1"/>
  <c r="C1344" i="1"/>
  <c r="B1344" i="1" s="1"/>
  <c r="C1345" i="1"/>
  <c r="A1345" i="1" s="1"/>
  <c r="C1346" i="1"/>
  <c r="A1346" i="1" s="1"/>
  <c r="C1347" i="1"/>
  <c r="Q1347" i="1" s="1"/>
  <c r="C1348" i="1"/>
  <c r="O1348" i="1" s="1"/>
  <c r="C1349" i="1"/>
  <c r="A1349" i="1" s="1"/>
  <c r="C1350" i="1"/>
  <c r="A1350" i="1" s="1"/>
  <c r="C1351" i="1"/>
  <c r="Q1351" i="1" s="1"/>
  <c r="C1352" i="1"/>
  <c r="A1352" i="1" s="1"/>
  <c r="C1353" i="1"/>
  <c r="A1353" i="1" s="1"/>
  <c r="C1354" i="1"/>
  <c r="A1354" i="1" s="1"/>
  <c r="C1355" i="1"/>
  <c r="K1355" i="1" s="1"/>
  <c r="C1356" i="1"/>
  <c r="B1356" i="1" s="1"/>
  <c r="C1357" i="1"/>
  <c r="A1357" i="1" s="1"/>
  <c r="C1358" i="1"/>
  <c r="A1358" i="1" s="1"/>
  <c r="C1359" i="1"/>
  <c r="J1359" i="1" s="1"/>
  <c r="C1360" i="1"/>
  <c r="A1360" i="1" s="1"/>
  <c r="C1361" i="1"/>
  <c r="A1361" i="1" s="1"/>
  <c r="C1362" i="1"/>
  <c r="A1362" i="1" s="1"/>
  <c r="C1363" i="1"/>
  <c r="Q1363" i="1" s="1"/>
  <c r="C1364" i="1"/>
  <c r="B1364" i="1" s="1"/>
  <c r="C1365" i="1"/>
  <c r="A1365" i="1" s="1"/>
  <c r="C1366" i="1"/>
  <c r="A1366" i="1" s="1"/>
  <c r="C1367" i="1"/>
  <c r="J1367" i="1" s="1"/>
  <c r="C1368" i="1"/>
  <c r="A1368" i="1" s="1"/>
  <c r="C1369" i="1"/>
  <c r="A1369" i="1" s="1"/>
  <c r="C1370" i="1"/>
  <c r="A1370" i="1" s="1"/>
  <c r="C1371" i="1"/>
  <c r="N1371" i="1" s="1"/>
  <c r="C1372" i="1"/>
  <c r="B1372" i="1" s="1"/>
  <c r="C1373" i="1"/>
  <c r="B1373" i="1" s="1"/>
  <c r="C1374" i="1"/>
  <c r="A1374" i="1" s="1"/>
  <c r="C1375" i="1"/>
  <c r="R1375" i="1" s="1"/>
  <c r="C1376" i="1"/>
  <c r="A1376" i="1" s="1"/>
  <c r="C1377" i="1"/>
  <c r="A1377" i="1" s="1"/>
  <c r="C1378" i="1"/>
  <c r="A1378" i="1" s="1"/>
  <c r="C1379" i="1"/>
  <c r="P1379" i="1" s="1"/>
  <c r="C1380" i="1"/>
  <c r="B1380" i="1" s="1"/>
  <c r="C1381" i="1"/>
  <c r="A1381" i="1" s="1"/>
  <c r="C1382" i="1"/>
  <c r="A1382" i="1" s="1"/>
  <c r="C1383" i="1"/>
  <c r="R1383" i="1" s="1"/>
  <c r="C1384" i="1"/>
  <c r="A1384" i="1" s="1"/>
  <c r="C1385" i="1"/>
  <c r="A1385" i="1" s="1"/>
  <c r="C1386" i="1"/>
  <c r="A1386" i="1" s="1"/>
  <c r="C1387" i="1"/>
  <c r="R1387" i="1" s="1"/>
  <c r="C1388" i="1"/>
  <c r="B1388" i="1" s="1"/>
  <c r="C1389" i="1"/>
  <c r="B1389" i="1" s="1"/>
  <c r="C1390" i="1"/>
  <c r="A1390" i="1" s="1"/>
  <c r="C1391" i="1"/>
  <c r="L1391" i="1" s="1"/>
  <c r="C1392" i="1"/>
  <c r="A1392" i="1" s="1"/>
  <c r="C1393" i="1"/>
  <c r="A1393" i="1" s="1"/>
  <c r="C1394" i="1"/>
  <c r="A1394" i="1" s="1"/>
  <c r="C1395" i="1"/>
  <c r="L1395" i="1" s="1"/>
  <c r="C1396" i="1"/>
  <c r="B1396" i="1" s="1"/>
  <c r="C1397" i="1"/>
  <c r="B1397" i="1" s="1"/>
  <c r="C1398" i="1"/>
  <c r="A1398" i="1" s="1"/>
  <c r="I1922" i="1"/>
  <c r="I1923" i="1"/>
  <c r="I1924" i="1"/>
  <c r="I1925" i="1"/>
  <c r="I1927" i="1"/>
  <c r="I1928" i="1"/>
  <c r="I1929" i="1"/>
  <c r="I1930" i="1"/>
  <c r="I1932" i="1"/>
  <c r="I1933" i="1"/>
  <c r="I1934" i="1"/>
  <c r="I1935" i="1"/>
  <c r="I1937" i="1"/>
  <c r="I1938" i="1"/>
  <c r="I1939" i="1"/>
  <c r="I1940" i="1"/>
  <c r="I1942" i="1"/>
  <c r="I1943" i="1"/>
  <c r="I1944" i="1"/>
  <c r="I1945" i="1"/>
  <c r="I1947" i="1"/>
  <c r="I1948" i="1"/>
  <c r="I1949" i="1"/>
  <c r="I1950" i="1"/>
  <c r="I1952" i="1"/>
  <c r="I1953" i="1"/>
  <c r="I1954" i="1"/>
  <c r="I1955" i="1"/>
  <c r="I1962" i="1"/>
  <c r="I1963" i="1"/>
  <c r="I1964" i="1"/>
  <c r="I1965" i="1"/>
  <c r="I1967" i="1"/>
  <c r="I1968" i="1"/>
  <c r="I1969" i="1"/>
  <c r="I1970" i="1"/>
  <c r="A1972" i="1"/>
  <c r="B1972" i="1"/>
  <c r="J1972" i="1"/>
  <c r="K1972" i="1"/>
  <c r="L1972" i="1"/>
  <c r="M1972" i="1"/>
  <c r="N1972" i="1"/>
  <c r="O1972" i="1"/>
  <c r="P1972" i="1"/>
  <c r="Q1972" i="1"/>
  <c r="R1972" i="1"/>
  <c r="I691" i="15"/>
  <c r="B630" i="15"/>
  <c r="B676" i="15" s="1"/>
  <c r="B696" i="15" s="1"/>
  <c r="B598" i="15"/>
  <c r="B675" i="15" s="1"/>
  <c r="B511" i="15"/>
  <c r="B465" i="15"/>
  <c r="B60" i="15"/>
  <c r="B666" i="15" s="1"/>
  <c r="B62" i="15"/>
  <c r="B668" i="15" s="1"/>
  <c r="B691" i="15" s="1"/>
  <c r="J1547" i="1"/>
  <c r="K1547" i="1"/>
  <c r="L1547" i="1"/>
  <c r="M1547" i="1"/>
  <c r="N1547" i="1"/>
  <c r="O1547" i="1"/>
  <c r="P1547" i="1"/>
  <c r="Q1547" i="1"/>
  <c r="R1547" i="1"/>
  <c r="A1547" i="1"/>
  <c r="B1547" i="1"/>
  <c r="A62" i="1"/>
  <c r="B62" i="1"/>
  <c r="A63" i="1"/>
  <c r="B63" i="1"/>
  <c r="A147" i="1"/>
  <c r="B147" i="1"/>
  <c r="A148" i="1"/>
  <c r="B148" i="1"/>
  <c r="A160" i="1"/>
  <c r="B160" i="1"/>
  <c r="A162" i="1"/>
  <c r="B162" i="1"/>
  <c r="A200" i="1"/>
  <c r="B200" i="1"/>
  <c r="A215" i="1"/>
  <c r="B215" i="1"/>
  <c r="A233" i="1"/>
  <c r="B233" i="1"/>
  <c r="A234" i="1"/>
  <c r="B234" i="1"/>
  <c r="A235" i="1"/>
  <c r="A241" i="1"/>
  <c r="B241" i="1"/>
  <c r="A242" i="1"/>
  <c r="B242" i="1"/>
  <c r="A245" i="1"/>
  <c r="B245" i="1"/>
  <c r="A251" i="1"/>
  <c r="B251" i="1"/>
  <c r="A299" i="1"/>
  <c r="B299" i="1"/>
  <c r="A302" i="1"/>
  <c r="B302" i="1"/>
  <c r="A303" i="1"/>
  <c r="B303" i="1"/>
  <c r="A327" i="1"/>
  <c r="B327" i="1"/>
  <c r="A352" i="1"/>
  <c r="B352" i="1"/>
  <c r="A353" i="1"/>
  <c r="B353" i="1"/>
  <c r="A377" i="1"/>
  <c r="B377" i="1"/>
  <c r="A401" i="1"/>
  <c r="B401" i="1"/>
  <c r="A476" i="1"/>
  <c r="B476" i="1"/>
  <c r="A477" i="1"/>
  <c r="B477" i="1"/>
  <c r="A552" i="1"/>
  <c r="B552" i="1"/>
  <c r="A577" i="1"/>
  <c r="B577" i="1"/>
  <c r="A627" i="1"/>
  <c r="B627" i="1"/>
  <c r="A628" i="1"/>
  <c r="B628" i="1"/>
  <c r="A629" i="1"/>
  <c r="B629" i="1"/>
  <c r="A630" i="1"/>
  <c r="B630" i="1"/>
  <c r="A1536" i="1"/>
  <c r="B1536" i="1"/>
  <c r="A1539" i="1"/>
  <c r="B1539" i="1"/>
  <c r="A1543" i="1"/>
  <c r="B1543" i="1"/>
  <c r="A1548" i="1"/>
  <c r="B1548" i="1"/>
  <c r="A1557" i="1"/>
  <c r="B1557" i="1"/>
  <c r="A1558" i="1"/>
  <c r="B1558" i="1"/>
  <c r="A1559" i="1"/>
  <c r="B1559" i="1"/>
  <c r="A1560" i="1"/>
  <c r="B1560" i="1"/>
  <c r="A1561" i="1"/>
  <c r="B1561" i="1"/>
  <c r="A1563" i="1"/>
  <c r="B1563" i="1"/>
  <c r="A1564" i="1"/>
  <c r="B1564" i="1"/>
  <c r="A1565" i="1"/>
  <c r="B1565" i="1"/>
  <c r="A1566" i="1"/>
  <c r="B1566" i="1"/>
  <c r="A1567" i="1"/>
  <c r="B1567" i="1"/>
  <c r="A1568" i="1"/>
  <c r="B1568" i="1"/>
  <c r="A1569" i="1"/>
  <c r="B1569" i="1"/>
  <c r="A1570" i="1"/>
  <c r="B1570" i="1"/>
  <c r="A1576" i="1"/>
  <c r="B1576" i="1"/>
  <c r="A1597" i="1"/>
  <c r="B1597" i="1"/>
  <c r="A1598" i="1"/>
  <c r="A1624" i="1"/>
  <c r="B1624" i="1"/>
  <c r="A1627" i="1"/>
  <c r="B1627" i="1"/>
  <c r="A1639" i="1"/>
  <c r="B1639" i="1"/>
  <c r="A1654" i="1"/>
  <c r="B1654" i="1"/>
  <c r="A1793" i="1"/>
  <c r="B1793" i="1"/>
  <c r="A1856" i="1"/>
  <c r="B1856" i="1"/>
  <c r="A1858" i="1"/>
  <c r="B1858" i="1"/>
  <c r="A1971" i="1"/>
  <c r="B1971" i="1"/>
  <c r="A1921" i="1"/>
  <c r="B1921" i="1"/>
  <c r="A1926" i="1"/>
  <c r="B1926" i="1"/>
  <c r="A1931" i="1"/>
  <c r="B1931" i="1"/>
  <c r="A1936" i="1"/>
  <c r="B1936" i="1"/>
  <c r="A1941" i="1"/>
  <c r="B1941" i="1"/>
  <c r="A1946" i="1"/>
  <c r="B1946" i="1"/>
  <c r="A1951" i="1"/>
  <c r="B1951" i="1"/>
  <c r="A1961" i="1"/>
  <c r="B1961" i="1"/>
  <c r="A1966" i="1"/>
  <c r="B1966"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0" i="1"/>
  <c r="K200" i="1"/>
  <c r="L200" i="1"/>
  <c r="M200" i="1"/>
  <c r="N200" i="1"/>
  <c r="O200" i="1"/>
  <c r="P200" i="1"/>
  <c r="Q200" i="1"/>
  <c r="R200" i="1"/>
  <c r="J215" i="1"/>
  <c r="K215" i="1"/>
  <c r="L215" i="1"/>
  <c r="M215" i="1"/>
  <c r="N215" i="1"/>
  <c r="O215" i="1"/>
  <c r="P215" i="1"/>
  <c r="Q215" i="1"/>
  <c r="R215" i="1"/>
  <c r="J233" i="1"/>
  <c r="K233" i="1"/>
  <c r="L233" i="1"/>
  <c r="M233" i="1"/>
  <c r="N233" i="1"/>
  <c r="O233" i="1"/>
  <c r="P233" i="1"/>
  <c r="Q233" i="1"/>
  <c r="R233" i="1"/>
  <c r="J234" i="1"/>
  <c r="K234" i="1"/>
  <c r="L234" i="1"/>
  <c r="N234" i="1"/>
  <c r="O234" i="1"/>
  <c r="P234" i="1"/>
  <c r="Q234" i="1"/>
  <c r="R234" i="1"/>
  <c r="J235" i="1"/>
  <c r="K235" i="1"/>
  <c r="L235" i="1"/>
  <c r="M235" i="1"/>
  <c r="N235" i="1"/>
  <c r="O235" i="1"/>
  <c r="P235" i="1"/>
  <c r="Q235" i="1"/>
  <c r="R235" i="1"/>
  <c r="J241" i="1"/>
  <c r="K241" i="1"/>
  <c r="L241" i="1"/>
  <c r="M241" i="1"/>
  <c r="N241" i="1"/>
  <c r="O241" i="1"/>
  <c r="P241" i="1"/>
  <c r="Q241" i="1"/>
  <c r="R241" i="1"/>
  <c r="J242" i="1"/>
  <c r="K242" i="1"/>
  <c r="L242" i="1"/>
  <c r="M242" i="1"/>
  <c r="N242" i="1"/>
  <c r="O242" i="1"/>
  <c r="P242" i="1"/>
  <c r="Q242" i="1"/>
  <c r="R242" i="1"/>
  <c r="J245" i="1"/>
  <c r="K245" i="1"/>
  <c r="L245" i="1"/>
  <c r="M245" i="1"/>
  <c r="N245" i="1"/>
  <c r="O245" i="1"/>
  <c r="P245" i="1"/>
  <c r="Q245" i="1"/>
  <c r="R245" i="1"/>
  <c r="J251" i="1"/>
  <c r="K251" i="1"/>
  <c r="L251" i="1"/>
  <c r="M251" i="1"/>
  <c r="N251" i="1"/>
  <c r="O251" i="1"/>
  <c r="P251" i="1"/>
  <c r="Q251" i="1"/>
  <c r="R251" i="1"/>
  <c r="J299" i="1"/>
  <c r="K299" i="1"/>
  <c r="L299" i="1"/>
  <c r="M299" i="1"/>
  <c r="N299" i="1"/>
  <c r="O299" i="1"/>
  <c r="P299" i="1"/>
  <c r="Q299" i="1"/>
  <c r="R299" i="1"/>
  <c r="J302" i="1"/>
  <c r="K302" i="1"/>
  <c r="L302" i="1"/>
  <c r="M302" i="1"/>
  <c r="N302" i="1"/>
  <c r="O302" i="1"/>
  <c r="P302" i="1"/>
  <c r="Q302" i="1"/>
  <c r="R302" i="1"/>
  <c r="J303" i="1"/>
  <c r="K303" i="1"/>
  <c r="L303" i="1"/>
  <c r="M303" i="1"/>
  <c r="N303" i="1"/>
  <c r="O303" i="1"/>
  <c r="P303" i="1"/>
  <c r="Q303" i="1"/>
  <c r="R303" i="1"/>
  <c r="J352" i="1"/>
  <c r="K352" i="1"/>
  <c r="L352" i="1"/>
  <c r="M352" i="1"/>
  <c r="N352" i="1"/>
  <c r="O352" i="1"/>
  <c r="P352" i="1"/>
  <c r="Q352" i="1"/>
  <c r="R352" i="1"/>
  <c r="J353" i="1"/>
  <c r="K353" i="1"/>
  <c r="L353" i="1"/>
  <c r="M353" i="1"/>
  <c r="N353" i="1"/>
  <c r="O353" i="1"/>
  <c r="P353" i="1"/>
  <c r="Q353" i="1"/>
  <c r="R353" i="1"/>
  <c r="J377" i="1"/>
  <c r="K377" i="1"/>
  <c r="L377" i="1"/>
  <c r="M377" i="1"/>
  <c r="N377" i="1"/>
  <c r="O377" i="1"/>
  <c r="P377" i="1"/>
  <c r="Q377" i="1"/>
  <c r="R377" i="1"/>
  <c r="J401" i="1"/>
  <c r="K401" i="1"/>
  <c r="L401" i="1"/>
  <c r="M401" i="1"/>
  <c r="N401" i="1"/>
  <c r="O401" i="1"/>
  <c r="P401" i="1"/>
  <c r="Q401" i="1"/>
  <c r="R401" i="1"/>
  <c r="J476" i="1"/>
  <c r="K476" i="1"/>
  <c r="L476" i="1"/>
  <c r="M476" i="1"/>
  <c r="N476" i="1"/>
  <c r="O476" i="1"/>
  <c r="P476" i="1"/>
  <c r="Q476" i="1"/>
  <c r="R476" i="1"/>
  <c r="J477" i="1"/>
  <c r="K477" i="1"/>
  <c r="L477" i="1"/>
  <c r="M477" i="1"/>
  <c r="N477" i="1"/>
  <c r="O477" i="1"/>
  <c r="P477" i="1"/>
  <c r="Q477" i="1"/>
  <c r="R477" i="1"/>
  <c r="J552" i="1"/>
  <c r="K552" i="1"/>
  <c r="L552" i="1"/>
  <c r="M552" i="1"/>
  <c r="N552" i="1"/>
  <c r="O552" i="1"/>
  <c r="P552" i="1"/>
  <c r="Q552" i="1"/>
  <c r="R552" i="1"/>
  <c r="J577" i="1"/>
  <c r="K577" i="1"/>
  <c r="L577" i="1"/>
  <c r="M577" i="1"/>
  <c r="N577" i="1"/>
  <c r="O577" i="1"/>
  <c r="P577" i="1"/>
  <c r="Q577" i="1"/>
  <c r="R577" i="1"/>
  <c r="J627" i="1"/>
  <c r="K627" i="1"/>
  <c r="L627" i="1"/>
  <c r="M627" i="1"/>
  <c r="N627" i="1"/>
  <c r="O627" i="1"/>
  <c r="P627" i="1"/>
  <c r="Q627" i="1"/>
  <c r="R627" i="1"/>
  <c r="J628" i="1"/>
  <c r="K628" i="1"/>
  <c r="L628" i="1"/>
  <c r="M628" i="1"/>
  <c r="N628" i="1"/>
  <c r="O628" i="1"/>
  <c r="P628" i="1"/>
  <c r="Q628" i="1"/>
  <c r="R628" i="1"/>
  <c r="J629" i="1"/>
  <c r="K629" i="1"/>
  <c r="L629" i="1"/>
  <c r="M629" i="1"/>
  <c r="N629" i="1"/>
  <c r="O629" i="1"/>
  <c r="P629" i="1"/>
  <c r="Q629" i="1"/>
  <c r="R629" i="1"/>
  <c r="J1286" i="1"/>
  <c r="K1286" i="1"/>
  <c r="L1286" i="1"/>
  <c r="M1286" i="1"/>
  <c r="N1286" i="1"/>
  <c r="O1286" i="1"/>
  <c r="P1286" i="1"/>
  <c r="Q1286" i="1"/>
  <c r="R1286" i="1"/>
  <c r="J1285" i="1"/>
  <c r="K1285" i="1"/>
  <c r="L1285" i="1"/>
  <c r="M1285" i="1"/>
  <c r="N1285" i="1"/>
  <c r="O1285" i="1"/>
  <c r="P1285" i="1"/>
  <c r="Q1285" i="1"/>
  <c r="R1285" i="1"/>
  <c r="J630" i="1"/>
  <c r="K630" i="1"/>
  <c r="L630" i="1"/>
  <c r="M630" i="1"/>
  <c r="N630" i="1"/>
  <c r="O630" i="1"/>
  <c r="P630" i="1"/>
  <c r="Q630" i="1"/>
  <c r="R630" i="1"/>
  <c r="J830" i="1"/>
  <c r="K830" i="1"/>
  <c r="L830" i="1"/>
  <c r="M830" i="1"/>
  <c r="N830" i="1"/>
  <c r="O830" i="1"/>
  <c r="P830" i="1"/>
  <c r="Q830" i="1"/>
  <c r="R830" i="1"/>
  <c r="J831" i="1"/>
  <c r="K831" i="1"/>
  <c r="L831" i="1"/>
  <c r="M831" i="1"/>
  <c r="N831" i="1"/>
  <c r="O831" i="1"/>
  <c r="P831" i="1"/>
  <c r="Q831" i="1"/>
  <c r="R831" i="1"/>
  <c r="J832" i="1"/>
  <c r="K832" i="1"/>
  <c r="L832" i="1"/>
  <c r="M832" i="1"/>
  <c r="N832" i="1"/>
  <c r="O832" i="1"/>
  <c r="P832" i="1"/>
  <c r="Q832" i="1"/>
  <c r="R832" i="1"/>
  <c r="J833" i="1"/>
  <c r="K833" i="1"/>
  <c r="L833" i="1"/>
  <c r="M833" i="1"/>
  <c r="N833" i="1"/>
  <c r="O833" i="1"/>
  <c r="P833" i="1"/>
  <c r="Q833" i="1"/>
  <c r="R833" i="1"/>
  <c r="J1536" i="1"/>
  <c r="K1536" i="1"/>
  <c r="L1536" i="1"/>
  <c r="M1536" i="1"/>
  <c r="N1536" i="1"/>
  <c r="O1536" i="1"/>
  <c r="P1536" i="1"/>
  <c r="Q1536" i="1"/>
  <c r="R1536" i="1"/>
  <c r="J1539" i="1"/>
  <c r="K1539" i="1"/>
  <c r="L1539" i="1"/>
  <c r="M1539" i="1"/>
  <c r="N1539" i="1"/>
  <c r="O1539" i="1"/>
  <c r="P1539" i="1"/>
  <c r="Q1539" i="1"/>
  <c r="R1539" i="1"/>
  <c r="J1543" i="1"/>
  <c r="K1543" i="1"/>
  <c r="L1543" i="1"/>
  <c r="M1543" i="1"/>
  <c r="N1543" i="1"/>
  <c r="O1543" i="1"/>
  <c r="P1543" i="1"/>
  <c r="Q1543" i="1"/>
  <c r="R1543" i="1"/>
  <c r="J1548" i="1"/>
  <c r="K1548" i="1"/>
  <c r="L1548" i="1"/>
  <c r="M1548" i="1"/>
  <c r="N1548" i="1"/>
  <c r="O1548" i="1"/>
  <c r="P1548" i="1"/>
  <c r="Q1548" i="1"/>
  <c r="R1548" i="1"/>
  <c r="J1557" i="1"/>
  <c r="K1557" i="1"/>
  <c r="L1557" i="1"/>
  <c r="M1557" i="1"/>
  <c r="N1557" i="1"/>
  <c r="O1557" i="1"/>
  <c r="P1557" i="1"/>
  <c r="Q1557" i="1"/>
  <c r="R1557" i="1"/>
  <c r="J1558" i="1"/>
  <c r="K1558" i="1"/>
  <c r="L1558" i="1"/>
  <c r="M1558" i="1"/>
  <c r="N1558" i="1"/>
  <c r="O1558" i="1"/>
  <c r="P1558" i="1"/>
  <c r="Q1558" i="1"/>
  <c r="R1558" i="1"/>
  <c r="J1559" i="1"/>
  <c r="K1559" i="1"/>
  <c r="L1559" i="1"/>
  <c r="M1559" i="1"/>
  <c r="N1559" i="1"/>
  <c r="O1559" i="1"/>
  <c r="P1559" i="1"/>
  <c r="Q1559" i="1"/>
  <c r="R1559" i="1"/>
  <c r="J1560" i="1"/>
  <c r="K1560" i="1"/>
  <c r="L1560" i="1"/>
  <c r="M1560" i="1"/>
  <c r="N1560" i="1"/>
  <c r="O1560" i="1"/>
  <c r="P1560" i="1"/>
  <c r="Q1560" i="1"/>
  <c r="R1560" i="1"/>
  <c r="J1561" i="1"/>
  <c r="K1561" i="1"/>
  <c r="L1561" i="1"/>
  <c r="M1561" i="1"/>
  <c r="N1561" i="1"/>
  <c r="O1561" i="1"/>
  <c r="P1561" i="1"/>
  <c r="Q1561" i="1"/>
  <c r="R1561" i="1"/>
  <c r="J1563" i="1"/>
  <c r="K1563" i="1"/>
  <c r="L1563" i="1"/>
  <c r="M1563" i="1"/>
  <c r="N1563" i="1"/>
  <c r="O1563" i="1"/>
  <c r="P1563" i="1"/>
  <c r="Q1563" i="1"/>
  <c r="R1563" i="1"/>
  <c r="J1564" i="1"/>
  <c r="K1564" i="1"/>
  <c r="L1564" i="1"/>
  <c r="M1564" i="1"/>
  <c r="N1564" i="1"/>
  <c r="O1564" i="1"/>
  <c r="P1564" i="1"/>
  <c r="Q1564" i="1"/>
  <c r="R1564" i="1"/>
  <c r="J1565" i="1"/>
  <c r="K1565" i="1"/>
  <c r="L1565" i="1"/>
  <c r="M1565" i="1"/>
  <c r="N1565" i="1"/>
  <c r="O1565" i="1"/>
  <c r="P1565" i="1"/>
  <c r="Q1565" i="1"/>
  <c r="R1565" i="1"/>
  <c r="J1566" i="1"/>
  <c r="K1566" i="1"/>
  <c r="L1566" i="1"/>
  <c r="M1566" i="1"/>
  <c r="N1566" i="1"/>
  <c r="O1566" i="1"/>
  <c r="P1566" i="1"/>
  <c r="Q1566" i="1"/>
  <c r="R1566" i="1"/>
  <c r="J1567" i="1"/>
  <c r="K1567" i="1"/>
  <c r="L1567" i="1"/>
  <c r="M1567" i="1"/>
  <c r="N1567" i="1"/>
  <c r="O1567" i="1"/>
  <c r="P1567" i="1"/>
  <c r="Q1567" i="1"/>
  <c r="R1567" i="1"/>
  <c r="J1568" i="1"/>
  <c r="K1568" i="1"/>
  <c r="L1568" i="1"/>
  <c r="M1568" i="1"/>
  <c r="N1568" i="1"/>
  <c r="O1568" i="1"/>
  <c r="P1568" i="1"/>
  <c r="Q1568" i="1"/>
  <c r="R1568" i="1"/>
  <c r="J1569" i="1"/>
  <c r="K1569" i="1"/>
  <c r="L1569" i="1"/>
  <c r="M1569" i="1"/>
  <c r="N1569" i="1"/>
  <c r="O1569" i="1"/>
  <c r="P1569" i="1"/>
  <c r="Q1569" i="1"/>
  <c r="R1569" i="1"/>
  <c r="J1570" i="1"/>
  <c r="K1570" i="1"/>
  <c r="L1570" i="1"/>
  <c r="M1570" i="1"/>
  <c r="N1570" i="1"/>
  <c r="P1570" i="1"/>
  <c r="Q1570" i="1"/>
  <c r="R1570" i="1"/>
  <c r="J1576" i="1"/>
  <c r="K1576" i="1"/>
  <c r="L1576" i="1"/>
  <c r="M1576" i="1"/>
  <c r="N1576" i="1"/>
  <c r="O1576" i="1"/>
  <c r="P1576" i="1"/>
  <c r="Q1576" i="1"/>
  <c r="R1576" i="1"/>
  <c r="J1597" i="1"/>
  <c r="K1597" i="1"/>
  <c r="L1597" i="1"/>
  <c r="M1597" i="1"/>
  <c r="N1597" i="1"/>
  <c r="O1597" i="1"/>
  <c r="P1597" i="1"/>
  <c r="Q1597" i="1"/>
  <c r="R1597" i="1"/>
  <c r="J1598" i="1"/>
  <c r="K1598" i="1"/>
  <c r="L1598" i="1"/>
  <c r="M1598" i="1"/>
  <c r="N1598" i="1"/>
  <c r="O1598" i="1"/>
  <c r="P1598" i="1"/>
  <c r="Q1598" i="1"/>
  <c r="R1598" i="1"/>
  <c r="J1624" i="1"/>
  <c r="K1624" i="1"/>
  <c r="L1624" i="1"/>
  <c r="M1624" i="1"/>
  <c r="N1624" i="1"/>
  <c r="O1624" i="1"/>
  <c r="P1624" i="1"/>
  <c r="Q1624" i="1"/>
  <c r="R1624" i="1"/>
  <c r="J1627" i="1"/>
  <c r="K1627" i="1"/>
  <c r="L1627" i="1"/>
  <c r="M1627" i="1"/>
  <c r="N1627" i="1"/>
  <c r="O1627" i="1"/>
  <c r="P1627" i="1"/>
  <c r="Q1627" i="1"/>
  <c r="R1627" i="1"/>
  <c r="J1639" i="1"/>
  <c r="K1639" i="1"/>
  <c r="L1639" i="1"/>
  <c r="M1639" i="1"/>
  <c r="N1639" i="1"/>
  <c r="O1639" i="1"/>
  <c r="P1639" i="1"/>
  <c r="Q1639" i="1"/>
  <c r="R1639" i="1"/>
  <c r="J1654" i="1"/>
  <c r="K1654" i="1"/>
  <c r="L1654" i="1"/>
  <c r="M1654" i="1"/>
  <c r="N1654" i="1"/>
  <c r="O1654" i="1"/>
  <c r="P1654" i="1"/>
  <c r="Q1654" i="1"/>
  <c r="R1654" i="1"/>
  <c r="J1793" i="1"/>
  <c r="K1793" i="1"/>
  <c r="L1793" i="1"/>
  <c r="M1793" i="1"/>
  <c r="N1793" i="1"/>
  <c r="O1793" i="1"/>
  <c r="P1793" i="1"/>
  <c r="Q1793" i="1"/>
  <c r="R1793" i="1"/>
  <c r="K1799" i="1"/>
  <c r="K1800" i="1"/>
  <c r="K1824" i="1"/>
  <c r="K1849" i="1"/>
  <c r="J1856" i="1"/>
  <c r="K1856" i="1"/>
  <c r="L1856" i="1"/>
  <c r="M1856" i="1"/>
  <c r="N1856" i="1"/>
  <c r="O1856" i="1"/>
  <c r="P1856" i="1"/>
  <c r="Q1856" i="1"/>
  <c r="R1856" i="1"/>
  <c r="J1858" i="1"/>
  <c r="K1858" i="1"/>
  <c r="L1858" i="1"/>
  <c r="M1858" i="1"/>
  <c r="N1858" i="1"/>
  <c r="O1858" i="1"/>
  <c r="P1858" i="1"/>
  <c r="Q1858" i="1"/>
  <c r="R1858" i="1"/>
  <c r="K1864" i="1"/>
  <c r="K1865" i="1"/>
  <c r="K1889" i="1"/>
  <c r="K1914" i="1"/>
  <c r="J1971" i="1"/>
  <c r="K1971" i="1"/>
  <c r="L1971" i="1"/>
  <c r="M1971" i="1"/>
  <c r="N1971" i="1"/>
  <c r="O1971" i="1"/>
  <c r="P1971" i="1"/>
  <c r="Q1971" i="1"/>
  <c r="R1971" i="1"/>
  <c r="J1921" i="1"/>
  <c r="K1921" i="1"/>
  <c r="L1921" i="1"/>
  <c r="M1921" i="1"/>
  <c r="N1921" i="1"/>
  <c r="O1921" i="1"/>
  <c r="P1921" i="1"/>
  <c r="Q1921" i="1"/>
  <c r="R1921" i="1"/>
  <c r="J1926" i="1"/>
  <c r="K1926" i="1"/>
  <c r="L1926" i="1"/>
  <c r="M1926" i="1"/>
  <c r="N1926" i="1"/>
  <c r="O1926" i="1"/>
  <c r="R1926" i="1"/>
  <c r="J1931" i="1"/>
  <c r="K1931" i="1"/>
  <c r="L1931" i="1"/>
  <c r="M1931" i="1"/>
  <c r="N1931" i="1"/>
  <c r="O1931" i="1"/>
  <c r="R1931" i="1"/>
  <c r="J1936" i="1"/>
  <c r="K1936" i="1"/>
  <c r="L1936" i="1"/>
  <c r="M1936" i="1"/>
  <c r="N1936" i="1"/>
  <c r="O1936" i="1"/>
  <c r="R1936" i="1"/>
  <c r="J1941" i="1"/>
  <c r="K1941" i="1"/>
  <c r="L1941" i="1"/>
  <c r="M1941" i="1"/>
  <c r="N1941" i="1"/>
  <c r="O1941" i="1"/>
  <c r="R1941" i="1"/>
  <c r="J1946" i="1"/>
  <c r="K1946" i="1"/>
  <c r="L1946" i="1"/>
  <c r="M1946" i="1"/>
  <c r="N1946" i="1"/>
  <c r="O1946" i="1"/>
  <c r="R1946" i="1"/>
  <c r="J1951" i="1"/>
  <c r="K1951" i="1"/>
  <c r="L1951" i="1"/>
  <c r="M1951" i="1"/>
  <c r="N1951" i="1"/>
  <c r="O1951" i="1"/>
  <c r="R1951" i="1"/>
  <c r="J1961" i="1"/>
  <c r="K1961" i="1"/>
  <c r="L1961" i="1"/>
  <c r="M1961" i="1"/>
  <c r="N1961" i="1"/>
  <c r="O1961" i="1"/>
  <c r="R1961" i="1"/>
  <c r="J1966" i="1"/>
  <c r="K1966" i="1"/>
  <c r="L1966" i="1"/>
  <c r="M1966" i="1"/>
  <c r="N1966" i="1"/>
  <c r="O1966" i="1"/>
  <c r="R1966" i="1"/>
  <c r="K116" i="19"/>
  <c r="Q1966" i="1" s="1"/>
  <c r="K115" i="19"/>
  <c r="Q1961" i="1" s="1"/>
  <c r="K113" i="19"/>
  <c r="Q1951" i="1" s="1"/>
  <c r="K112" i="19"/>
  <c r="Q1946" i="1" s="1"/>
  <c r="K111" i="19"/>
  <c r="Q1941" i="1" s="1"/>
  <c r="K110" i="19"/>
  <c r="Q1936" i="1" s="1"/>
  <c r="K108" i="19"/>
  <c r="Q1931" i="1" s="1"/>
  <c r="K107" i="19"/>
  <c r="Q1926" i="1" s="1"/>
  <c r="J116" i="19"/>
  <c r="P1966" i="1" s="1"/>
  <c r="J115" i="19"/>
  <c r="P1961" i="1" s="1"/>
  <c r="J113" i="19"/>
  <c r="P1951" i="1" s="1"/>
  <c r="J112" i="19"/>
  <c r="P1946" i="1" s="1"/>
  <c r="J111" i="19"/>
  <c r="P1941" i="1" s="1"/>
  <c r="J110" i="19"/>
  <c r="P1936" i="1" s="1"/>
  <c r="J108" i="19"/>
  <c r="P1931" i="1" s="1"/>
  <c r="J107" i="19"/>
  <c r="P1926" i="1" s="1"/>
  <c r="L105" i="19"/>
  <c r="R1914" i="1" s="1"/>
  <c r="K105" i="19"/>
  <c r="Q1914" i="1" s="1"/>
  <c r="J105" i="19"/>
  <c r="P1914" i="1" s="1"/>
  <c r="I105" i="19"/>
  <c r="H105" i="19"/>
  <c r="N1914" i="1" s="1"/>
  <c r="G105" i="19"/>
  <c r="M1914" i="1" s="1"/>
  <c r="F105" i="19"/>
  <c r="L1914" i="1" s="1"/>
  <c r="D105" i="19"/>
  <c r="J1914" i="1" s="1"/>
  <c r="L104" i="19"/>
  <c r="R1889" i="1" s="1"/>
  <c r="K104" i="19"/>
  <c r="Q1889" i="1" s="1"/>
  <c r="J104" i="19"/>
  <c r="P1889" i="1" s="1"/>
  <c r="I104" i="19"/>
  <c r="O1889" i="1" s="1"/>
  <c r="H104" i="19"/>
  <c r="N1889" i="1" s="1"/>
  <c r="G104" i="19"/>
  <c r="M1889" i="1" s="1"/>
  <c r="F104" i="19"/>
  <c r="L1889" i="1" s="1"/>
  <c r="D104" i="19"/>
  <c r="J1889" i="1" s="1"/>
  <c r="L103" i="19"/>
  <c r="R1888" i="1" s="1"/>
  <c r="K103" i="19"/>
  <c r="Q1888" i="1" s="1"/>
  <c r="J103" i="19"/>
  <c r="P1888" i="1" s="1"/>
  <c r="I103" i="19"/>
  <c r="O1888" i="1" s="1"/>
  <c r="H103" i="19"/>
  <c r="N1888" i="1" s="1"/>
  <c r="G103" i="19"/>
  <c r="M1888" i="1" s="1"/>
  <c r="F103" i="19"/>
  <c r="L1888" i="1" s="1"/>
  <c r="D103" i="19"/>
  <c r="J1888" i="1" s="1"/>
  <c r="L102" i="19"/>
  <c r="R1864" i="1" s="1"/>
  <c r="K102" i="19"/>
  <c r="Q1864" i="1" s="1"/>
  <c r="J102" i="19"/>
  <c r="P1864" i="1" s="1"/>
  <c r="I102" i="19"/>
  <c r="O1864" i="1" s="1"/>
  <c r="H102" i="19"/>
  <c r="N1864" i="1" s="1"/>
  <c r="G102" i="19"/>
  <c r="M1864" i="1" s="1"/>
  <c r="F102" i="19"/>
  <c r="L1864" i="1" s="1"/>
  <c r="D102" i="19"/>
  <c r="J1864" i="1" s="1"/>
  <c r="B102" i="19"/>
  <c r="B1864" i="1" s="1"/>
  <c r="B103" i="19"/>
  <c r="B1888" i="1" s="1"/>
  <c r="B104" i="19"/>
  <c r="B1889" i="1" s="1"/>
  <c r="B105" i="19"/>
  <c r="B1914" i="1" s="1"/>
  <c r="A103" i="19"/>
  <c r="A1888" i="1" s="1"/>
  <c r="A104" i="19"/>
  <c r="A1889" i="1" s="1"/>
  <c r="A105" i="19"/>
  <c r="A1914" i="1" s="1"/>
  <c r="A102" i="19"/>
  <c r="A1864" i="1" s="1"/>
  <c r="L98" i="19"/>
  <c r="R1849" i="1" s="1"/>
  <c r="K98" i="19"/>
  <c r="Q1849" i="1" s="1"/>
  <c r="J98" i="19"/>
  <c r="P1849" i="1" s="1"/>
  <c r="I98" i="19"/>
  <c r="O1849" i="1" s="1"/>
  <c r="H98" i="19"/>
  <c r="N1849" i="1" s="1"/>
  <c r="G98" i="19"/>
  <c r="M1849" i="1" s="1"/>
  <c r="F98" i="19"/>
  <c r="L1849" i="1" s="1"/>
  <c r="D98" i="19"/>
  <c r="J1849" i="1" s="1"/>
  <c r="L97" i="19"/>
  <c r="K97" i="19"/>
  <c r="J97" i="19"/>
  <c r="P1824" i="1" s="1"/>
  <c r="I97" i="19"/>
  <c r="O1824" i="1" s="1"/>
  <c r="H97" i="19"/>
  <c r="N1824" i="1" s="1"/>
  <c r="G97" i="19"/>
  <c r="M1824" i="1" s="1"/>
  <c r="F97" i="19"/>
  <c r="L1824" i="1" s="1"/>
  <c r="D97" i="19"/>
  <c r="J1824" i="1" s="1"/>
  <c r="L96" i="19"/>
  <c r="R1823" i="1" s="1"/>
  <c r="K96" i="19"/>
  <c r="Q1823" i="1" s="1"/>
  <c r="J96" i="19"/>
  <c r="P1823" i="1" s="1"/>
  <c r="I96" i="19"/>
  <c r="O1823" i="1" s="1"/>
  <c r="H96" i="19"/>
  <c r="N1823" i="1" s="1"/>
  <c r="G96" i="19"/>
  <c r="M1823" i="1" s="1"/>
  <c r="F96" i="19"/>
  <c r="L1823" i="1" s="1"/>
  <c r="D96" i="19"/>
  <c r="J1823" i="1" s="1"/>
  <c r="L95" i="19"/>
  <c r="R1799" i="1" s="1"/>
  <c r="K95" i="19"/>
  <c r="Q1799" i="1" s="1"/>
  <c r="J95" i="19"/>
  <c r="P1799" i="1" s="1"/>
  <c r="I95" i="19"/>
  <c r="O1799" i="1" s="1"/>
  <c r="H95" i="19"/>
  <c r="N1799" i="1" s="1"/>
  <c r="G95" i="19"/>
  <c r="M1799" i="1" s="1"/>
  <c r="F95" i="19"/>
  <c r="L1799" i="1" s="1"/>
  <c r="D95" i="19"/>
  <c r="J1799" i="1" s="1"/>
  <c r="B98" i="19"/>
  <c r="B1849" i="1" s="1"/>
  <c r="A98" i="19"/>
  <c r="A1849" i="1" s="1"/>
  <c r="B97" i="19"/>
  <c r="B1824" i="1" s="1"/>
  <c r="A97" i="19"/>
  <c r="A1824" i="1" s="1"/>
  <c r="B96" i="19"/>
  <c r="B1823" i="1" s="1"/>
  <c r="A96" i="19"/>
  <c r="A1823" i="1" s="1"/>
  <c r="B95" i="19"/>
  <c r="B1799" i="1" s="1"/>
  <c r="A95" i="19"/>
  <c r="A1799" i="1" s="1"/>
  <c r="G21" i="19"/>
  <c r="M234" i="1" s="1"/>
  <c r="G13" i="19"/>
  <c r="M162" i="1" s="1"/>
  <c r="G10" i="19"/>
  <c r="M148" i="1" s="1"/>
  <c r="C554" i="1"/>
  <c r="B554" i="1" s="1"/>
  <c r="C555" i="1"/>
  <c r="C556" i="1"/>
  <c r="P556" i="1" s="1"/>
  <c r="C557" i="1"/>
  <c r="C558" i="1"/>
  <c r="C559" i="1"/>
  <c r="O559" i="1" s="1"/>
  <c r="C560" i="1"/>
  <c r="C561" i="1"/>
  <c r="C562" i="1"/>
  <c r="A562" i="1" s="1"/>
  <c r="C563" i="1"/>
  <c r="C564" i="1"/>
  <c r="M564" i="1" s="1"/>
  <c r="C565" i="1"/>
  <c r="C566" i="1"/>
  <c r="C567" i="1"/>
  <c r="Q567" i="1" s="1"/>
  <c r="C568" i="1"/>
  <c r="K568" i="1" s="1"/>
  <c r="C569" i="1"/>
  <c r="C570" i="1"/>
  <c r="Q570" i="1" s="1"/>
  <c r="C571" i="1"/>
  <c r="C572" i="1"/>
  <c r="B572" i="1" s="1"/>
  <c r="C573" i="1"/>
  <c r="C574" i="1"/>
  <c r="M574" i="1" s="1"/>
  <c r="C575" i="1"/>
  <c r="B575" i="1" s="1"/>
  <c r="C576" i="1"/>
  <c r="C553"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897" i="1"/>
  <c r="C1898" i="1"/>
  <c r="K1898" i="1" s="1"/>
  <c r="C1899" i="1"/>
  <c r="C1900" i="1"/>
  <c r="C1901" i="1"/>
  <c r="C1902" i="1"/>
  <c r="C1903" i="1"/>
  <c r="C1904" i="1"/>
  <c r="K1904" i="1" s="1"/>
  <c r="C1905" i="1"/>
  <c r="C1906" i="1"/>
  <c r="C1907" i="1"/>
  <c r="C1908" i="1"/>
  <c r="C1909" i="1"/>
  <c r="C1910" i="1"/>
  <c r="C1911" i="1"/>
  <c r="C1912" i="1"/>
  <c r="C1913" i="1"/>
  <c r="C1832" i="1"/>
  <c r="C1833" i="1"/>
  <c r="C1834" i="1"/>
  <c r="C1835" i="1"/>
  <c r="C1836" i="1"/>
  <c r="C1837" i="1"/>
  <c r="C1838" i="1"/>
  <c r="C1839" i="1"/>
  <c r="C1840" i="1"/>
  <c r="C1841" i="1"/>
  <c r="C1842" i="1"/>
  <c r="C1843" i="1"/>
  <c r="C1844" i="1"/>
  <c r="C1845" i="1"/>
  <c r="C1846" i="1"/>
  <c r="C1847" i="1"/>
  <c r="C1848" i="1"/>
  <c r="C1544" i="1"/>
  <c r="Q1544" i="1" s="1"/>
  <c r="C1540" i="1"/>
  <c r="C694" i="1"/>
  <c r="C695" i="1"/>
  <c r="R695" i="1" s="1"/>
  <c r="C696" i="1"/>
  <c r="C697" i="1"/>
  <c r="A697" i="1" s="1"/>
  <c r="C698" i="1"/>
  <c r="J698" i="1" s="1"/>
  <c r="C699" i="1"/>
  <c r="C700" i="1"/>
  <c r="M700" i="1" s="1"/>
  <c r="C701" i="1"/>
  <c r="P701" i="1" s="1"/>
  <c r="C702" i="1"/>
  <c r="K702" i="1" s="1"/>
  <c r="C703" i="1"/>
  <c r="C704" i="1"/>
  <c r="Q704" i="1" s="1"/>
  <c r="C705" i="1"/>
  <c r="C706" i="1"/>
  <c r="B706" i="1" s="1"/>
  <c r="C707" i="1"/>
  <c r="P707" i="1" s="1"/>
  <c r="C708" i="1"/>
  <c r="C709" i="1"/>
  <c r="C710" i="1"/>
  <c r="C711" i="1"/>
  <c r="L711" i="1" s="1"/>
  <c r="C712" i="1"/>
  <c r="K712" i="1" s="1"/>
  <c r="C713" i="1"/>
  <c r="P713" i="1" s="1"/>
  <c r="C714" i="1"/>
  <c r="C715" i="1"/>
  <c r="M715" i="1" s="1"/>
  <c r="C716" i="1"/>
  <c r="C717" i="1"/>
  <c r="M717" i="1" s="1"/>
  <c r="C718" i="1"/>
  <c r="P718" i="1" s="1"/>
  <c r="C719" i="1"/>
  <c r="J719" i="1" s="1"/>
  <c r="C720" i="1"/>
  <c r="C721" i="1"/>
  <c r="N721" i="1" s="1"/>
  <c r="C722" i="1"/>
  <c r="C723" i="1"/>
  <c r="M723" i="1" s="1"/>
  <c r="C724" i="1"/>
  <c r="M724" i="1" s="1"/>
  <c r="C725" i="1"/>
  <c r="C726" i="1"/>
  <c r="C727" i="1"/>
  <c r="C728" i="1"/>
  <c r="L728" i="1" s="1"/>
  <c r="C729" i="1"/>
  <c r="K729" i="1" s="1"/>
  <c r="C730" i="1"/>
  <c r="J730" i="1" s="1"/>
  <c r="C731" i="1"/>
  <c r="M731" i="1" s="1"/>
  <c r="C732" i="1"/>
  <c r="C733" i="1"/>
  <c r="J733" i="1" s="1"/>
  <c r="C734" i="1"/>
  <c r="A734" i="1" s="1"/>
  <c r="C735" i="1"/>
  <c r="P735" i="1" s="1"/>
  <c r="C736" i="1"/>
  <c r="Q736" i="1" s="1"/>
  <c r="C737" i="1"/>
  <c r="A737" i="1" s="1"/>
  <c r="C738" i="1"/>
  <c r="N738" i="1" s="1"/>
  <c r="C739" i="1"/>
  <c r="R739" i="1" s="1"/>
  <c r="C740" i="1"/>
  <c r="O740" i="1" s="1"/>
  <c r="C741" i="1"/>
  <c r="C742" i="1"/>
  <c r="N742" i="1" s="1"/>
  <c r="C743" i="1"/>
  <c r="R743" i="1" s="1"/>
  <c r="C744" i="1"/>
  <c r="O744" i="1" s="1"/>
  <c r="C745" i="1"/>
  <c r="R745" i="1" s="1"/>
  <c r="C746" i="1"/>
  <c r="C747" i="1"/>
  <c r="R747" i="1" s="1"/>
  <c r="C748" i="1"/>
  <c r="Q748" i="1" s="1"/>
  <c r="C749" i="1"/>
  <c r="P749" i="1" s="1"/>
  <c r="C750" i="1"/>
  <c r="O750" i="1" s="1"/>
  <c r="C751" i="1"/>
  <c r="J751" i="1" s="1"/>
  <c r="C752" i="1"/>
  <c r="C753" i="1"/>
  <c r="A753" i="1" s="1"/>
  <c r="C754" i="1"/>
  <c r="C755" i="1"/>
  <c r="L755" i="1" s="1"/>
  <c r="C756" i="1"/>
  <c r="K756" i="1" s="1"/>
  <c r="C757" i="1"/>
  <c r="B757" i="1" s="1"/>
  <c r="C758" i="1"/>
  <c r="C759" i="1"/>
  <c r="C760" i="1"/>
  <c r="C761" i="1"/>
  <c r="B761" i="1" s="1"/>
  <c r="C762" i="1"/>
  <c r="K762" i="1" s="1"/>
  <c r="C763" i="1"/>
  <c r="J763" i="1" s="1"/>
  <c r="C764" i="1"/>
  <c r="P764" i="1" s="1"/>
  <c r="C765" i="1"/>
  <c r="A765" i="1" s="1"/>
  <c r="C766" i="1"/>
  <c r="B766" i="1" s="1"/>
  <c r="C767" i="1"/>
  <c r="B767" i="1" s="1"/>
  <c r="C768" i="1"/>
  <c r="N768" i="1" s="1"/>
  <c r="C769" i="1"/>
  <c r="L769" i="1" s="1"/>
  <c r="C770" i="1"/>
  <c r="C771" i="1"/>
  <c r="C772" i="1"/>
  <c r="C773" i="1"/>
  <c r="C774" i="1"/>
  <c r="J774" i="1" s="1"/>
  <c r="C775" i="1"/>
  <c r="B775" i="1" s="1"/>
  <c r="C776" i="1"/>
  <c r="N776" i="1" s="1"/>
  <c r="C777" i="1"/>
  <c r="M777" i="1" s="1"/>
  <c r="C778" i="1"/>
  <c r="C779" i="1"/>
  <c r="A779" i="1" s="1"/>
  <c r="C780" i="1"/>
  <c r="A780" i="1" s="1"/>
  <c r="C781" i="1"/>
  <c r="P781" i="1" s="1"/>
  <c r="C782" i="1"/>
  <c r="Q782" i="1" s="1"/>
  <c r="C783" i="1"/>
  <c r="R783" i="1" s="1"/>
  <c r="C784" i="1"/>
  <c r="C785" i="1"/>
  <c r="C786" i="1"/>
  <c r="C787" i="1"/>
  <c r="P787" i="1" s="1"/>
  <c r="C788" i="1"/>
  <c r="A788" i="1" s="1"/>
  <c r="C789" i="1"/>
  <c r="P789" i="1" s="1"/>
  <c r="C790" i="1"/>
  <c r="C791" i="1"/>
  <c r="B791" i="1" s="1"/>
  <c r="C792" i="1"/>
  <c r="R792" i="1" s="1"/>
  <c r="C793" i="1"/>
  <c r="P793" i="1" s="1"/>
  <c r="C794" i="1"/>
  <c r="R794" i="1" s="1"/>
  <c r="C795" i="1"/>
  <c r="Q795" i="1" s="1"/>
  <c r="C796" i="1"/>
  <c r="A796" i="1" s="1"/>
  <c r="C797" i="1"/>
  <c r="P797" i="1" s="1"/>
  <c r="C798" i="1"/>
  <c r="C799" i="1"/>
  <c r="C800" i="1"/>
  <c r="M800" i="1" s="1"/>
  <c r="C801" i="1"/>
  <c r="Q801" i="1" s="1"/>
  <c r="C802" i="1"/>
  <c r="J802" i="1" s="1"/>
  <c r="C803" i="1"/>
  <c r="N803" i="1" s="1"/>
  <c r="C804" i="1"/>
  <c r="C805" i="1"/>
  <c r="C806" i="1"/>
  <c r="O806" i="1" s="1"/>
  <c r="C807" i="1"/>
  <c r="Q807" i="1" s="1"/>
  <c r="C808" i="1"/>
  <c r="M808" i="1" s="1"/>
  <c r="C809" i="1"/>
  <c r="A809" i="1" s="1"/>
  <c r="C810" i="1"/>
  <c r="C811" i="1"/>
  <c r="C812" i="1"/>
  <c r="O812" i="1" s="1"/>
  <c r="C813" i="1"/>
  <c r="C814" i="1"/>
  <c r="B814" i="1" s="1"/>
  <c r="C815" i="1"/>
  <c r="C816" i="1"/>
  <c r="O816" i="1" s="1"/>
  <c r="C817" i="1"/>
  <c r="K817" i="1" s="1"/>
  <c r="C818" i="1"/>
  <c r="M818" i="1" s="1"/>
  <c r="C819" i="1"/>
  <c r="M819" i="1" s="1"/>
  <c r="C820" i="1"/>
  <c r="C821" i="1"/>
  <c r="J821" i="1" s="1"/>
  <c r="C822" i="1"/>
  <c r="C823" i="1"/>
  <c r="C824" i="1"/>
  <c r="C825" i="1"/>
  <c r="C826" i="1"/>
  <c r="J826" i="1" s="1"/>
  <c r="C827" i="1"/>
  <c r="J827" i="1" s="1"/>
  <c r="C828" i="1"/>
  <c r="O828" i="1" s="1"/>
  <c r="C829" i="1"/>
  <c r="R829" i="1" s="1"/>
  <c r="C1399" i="1"/>
  <c r="J1399" i="1" s="1"/>
  <c r="C1400" i="1"/>
  <c r="C1401" i="1"/>
  <c r="C1402" i="1"/>
  <c r="K1402" i="1" s="1"/>
  <c r="C1403" i="1"/>
  <c r="J1403" i="1" s="1"/>
  <c r="C1404" i="1"/>
  <c r="A1404" i="1" s="1"/>
  <c r="C1405" i="1"/>
  <c r="K1405" i="1" s="1"/>
  <c r="C1406" i="1"/>
  <c r="O1406" i="1" s="1"/>
  <c r="C1407" i="1"/>
  <c r="K1407" i="1" s="1"/>
  <c r="C1408" i="1"/>
  <c r="M1408" i="1" s="1"/>
  <c r="C1409" i="1"/>
  <c r="L1409" i="1" s="1"/>
  <c r="C1410" i="1"/>
  <c r="J1410" i="1" s="1"/>
  <c r="C1411" i="1"/>
  <c r="C1412" i="1"/>
  <c r="L1412" i="1" s="1"/>
  <c r="C1413" i="1"/>
  <c r="Q1413" i="1" s="1"/>
  <c r="C1414" i="1"/>
  <c r="A1414" i="1" s="1"/>
  <c r="C1415" i="1"/>
  <c r="P1415" i="1" s="1"/>
  <c r="C1416" i="1"/>
  <c r="N1416" i="1" s="1"/>
  <c r="C1417" i="1"/>
  <c r="B1417" i="1" s="1"/>
  <c r="C1418" i="1"/>
  <c r="J1418" i="1" s="1"/>
  <c r="C1419" i="1"/>
  <c r="Q1419" i="1" s="1"/>
  <c r="C1420" i="1"/>
  <c r="A1420" i="1" s="1"/>
  <c r="C1421" i="1"/>
  <c r="L1421" i="1" s="1"/>
  <c r="C1422" i="1"/>
  <c r="R1422" i="1" s="1"/>
  <c r="C1423" i="1"/>
  <c r="C1424" i="1"/>
  <c r="C1425" i="1"/>
  <c r="C1426" i="1"/>
  <c r="B1426" i="1" s="1"/>
  <c r="C1427" i="1"/>
  <c r="N1427" i="1" s="1"/>
  <c r="C1428" i="1"/>
  <c r="C1429" i="1"/>
  <c r="C1430" i="1"/>
  <c r="C1431" i="1"/>
  <c r="R1431" i="1" s="1"/>
  <c r="C1432" i="1"/>
  <c r="N1432" i="1" s="1"/>
  <c r="C1433" i="1"/>
  <c r="P1433" i="1" s="1"/>
  <c r="C1434" i="1"/>
  <c r="M1434" i="1" s="1"/>
  <c r="C1435" i="1"/>
  <c r="Q1435" i="1" s="1"/>
  <c r="C1436" i="1"/>
  <c r="L1436" i="1" s="1"/>
  <c r="C1437" i="1"/>
  <c r="Q1437" i="1" s="1"/>
  <c r="C1438" i="1"/>
  <c r="M1438" i="1" s="1"/>
  <c r="C1439" i="1"/>
  <c r="C1440" i="1"/>
  <c r="C1441" i="1"/>
  <c r="C1442" i="1"/>
  <c r="K1442" i="1" s="1"/>
  <c r="C1443" i="1"/>
  <c r="R1443" i="1" s="1"/>
  <c r="C1444" i="1"/>
  <c r="B1444" i="1" s="1"/>
  <c r="C1445" i="1"/>
  <c r="N1445" i="1" s="1"/>
  <c r="C1446" i="1"/>
  <c r="L1446" i="1" s="1"/>
  <c r="C1447" i="1"/>
  <c r="M1447" i="1" s="1"/>
  <c r="C1448" i="1"/>
  <c r="C1449" i="1"/>
  <c r="M1449" i="1" s="1"/>
  <c r="C1450" i="1"/>
  <c r="L1450" i="1" s="1"/>
  <c r="C1451" i="1"/>
  <c r="L1451" i="1" s="1"/>
  <c r="C1452" i="1"/>
  <c r="P1452" i="1" s="1"/>
  <c r="C1453" i="1"/>
  <c r="C1454" i="1"/>
  <c r="L1454" i="1" s="1"/>
  <c r="C1455" i="1"/>
  <c r="C1456" i="1"/>
  <c r="C1457" i="1"/>
  <c r="K1457" i="1" s="1"/>
  <c r="C1458" i="1"/>
  <c r="O1458" i="1" s="1"/>
  <c r="C1459" i="1"/>
  <c r="N1459" i="1" s="1"/>
  <c r="C1460" i="1"/>
  <c r="J1460" i="1" s="1"/>
  <c r="C1461" i="1"/>
  <c r="C1462" i="1"/>
  <c r="O1462" i="1" s="1"/>
  <c r="C1463" i="1"/>
  <c r="B1463" i="1" s="1"/>
  <c r="C1464" i="1"/>
  <c r="C1465" i="1"/>
  <c r="C1466" i="1"/>
  <c r="O1466" i="1" s="1"/>
  <c r="C1467" i="1"/>
  <c r="O1467" i="1" s="1"/>
  <c r="C1468" i="1"/>
  <c r="C1469" i="1"/>
  <c r="J1469" i="1" s="1"/>
  <c r="C1470" i="1"/>
  <c r="B1470" i="1" s="1"/>
  <c r="C1471" i="1"/>
  <c r="O1471" i="1" s="1"/>
  <c r="C1472" i="1"/>
  <c r="J1472" i="1" s="1"/>
  <c r="C1473" i="1"/>
  <c r="M1473" i="1" s="1"/>
  <c r="C1474" i="1"/>
  <c r="K1474" i="1" s="1"/>
  <c r="C1475" i="1"/>
  <c r="P1475" i="1" s="1"/>
  <c r="C1476" i="1"/>
  <c r="J1476" i="1" s="1"/>
  <c r="C1477" i="1"/>
  <c r="L1477" i="1" s="1"/>
  <c r="C1478" i="1"/>
  <c r="L1478" i="1" s="1"/>
  <c r="C1479" i="1"/>
  <c r="J1479" i="1" s="1"/>
  <c r="C1480" i="1"/>
  <c r="N1480" i="1" s="1"/>
  <c r="C1481" i="1"/>
  <c r="C1482" i="1"/>
  <c r="B1482" i="1" s="1"/>
  <c r="C1483" i="1"/>
  <c r="C1484" i="1"/>
  <c r="R1484" i="1" s="1"/>
  <c r="C1485" i="1"/>
  <c r="C1486" i="1"/>
  <c r="Q1486" i="1" s="1"/>
  <c r="C1487" i="1"/>
  <c r="O1487" i="1" s="1"/>
  <c r="C1488" i="1"/>
  <c r="Q1488" i="1" s="1"/>
  <c r="C1489" i="1"/>
  <c r="M1489" i="1" s="1"/>
  <c r="C1490" i="1"/>
  <c r="J1490" i="1" s="1"/>
  <c r="C1491" i="1"/>
  <c r="K1491" i="1" s="1"/>
  <c r="C1492" i="1"/>
  <c r="B1492" i="1" s="1"/>
  <c r="C1493" i="1"/>
  <c r="C1494" i="1"/>
  <c r="A1494" i="1" s="1"/>
  <c r="C1495" i="1"/>
  <c r="R1495" i="1" s="1"/>
  <c r="C1496" i="1"/>
  <c r="C1497" i="1"/>
  <c r="P1497" i="1" s="1"/>
  <c r="C1498" i="1"/>
  <c r="L1498" i="1" s="1"/>
  <c r="C1499" i="1"/>
  <c r="B1499" i="1" s="1"/>
  <c r="C1500" i="1"/>
  <c r="B1500" i="1" s="1"/>
  <c r="C1501" i="1"/>
  <c r="N1501" i="1" s="1"/>
  <c r="C1502" i="1"/>
  <c r="C1503" i="1"/>
  <c r="C1504" i="1"/>
  <c r="C1505" i="1"/>
  <c r="C1506" i="1"/>
  <c r="N1506" i="1" s="1"/>
  <c r="C1507" i="1"/>
  <c r="C1508" i="1"/>
  <c r="C1509" i="1"/>
  <c r="C1510" i="1"/>
  <c r="J1510" i="1" s="1"/>
  <c r="C1511" i="1"/>
  <c r="C1512" i="1"/>
  <c r="C1513" i="1"/>
  <c r="C1514" i="1"/>
  <c r="R1514" i="1" s="1"/>
  <c r="C1515" i="1"/>
  <c r="J1515" i="1" s="1"/>
  <c r="C1516" i="1"/>
  <c r="R1516" i="1" s="1"/>
  <c r="C1517" i="1"/>
  <c r="J1517" i="1" s="1"/>
  <c r="C1518" i="1"/>
  <c r="A1518" i="1" s="1"/>
  <c r="C1519" i="1"/>
  <c r="Q1519" i="1" s="1"/>
  <c r="C1520" i="1"/>
  <c r="B1520" i="1" s="1"/>
  <c r="C1521" i="1"/>
  <c r="C1522" i="1"/>
  <c r="L1522" i="1" s="1"/>
  <c r="C1523" i="1"/>
  <c r="C1524" i="1"/>
  <c r="O1524" i="1" s="1"/>
  <c r="C1525" i="1"/>
  <c r="M1525" i="1" s="1"/>
  <c r="C1526" i="1"/>
  <c r="N1526" i="1" s="1"/>
  <c r="C1527" i="1"/>
  <c r="B1527" i="1" s="1"/>
  <c r="C1528" i="1"/>
  <c r="C1529" i="1"/>
  <c r="R1529" i="1" s="1"/>
  <c r="C1530" i="1"/>
  <c r="C1531" i="1"/>
  <c r="L1531" i="1" s="1"/>
  <c r="C1532" i="1"/>
  <c r="K1532" i="1" s="1"/>
  <c r="C1533" i="1"/>
  <c r="P1533" i="1" s="1"/>
  <c r="C1534" i="1"/>
  <c r="C1535" i="1"/>
  <c r="L1393" i="1"/>
  <c r="Q1385" i="1"/>
  <c r="L1385" i="1"/>
  <c r="M1385" i="1"/>
  <c r="C593" i="1"/>
  <c r="N593" i="1" s="1"/>
  <c r="C594" i="1"/>
  <c r="C595" i="1"/>
  <c r="O595" i="1" s="1"/>
  <c r="C596" i="1"/>
  <c r="B596" i="1" s="1"/>
  <c r="C597" i="1"/>
  <c r="M597" i="1" s="1"/>
  <c r="C598" i="1"/>
  <c r="B598" i="1" s="1"/>
  <c r="C599" i="1"/>
  <c r="L599" i="1" s="1"/>
  <c r="C600" i="1"/>
  <c r="N600" i="1" s="1"/>
  <c r="C601" i="1"/>
  <c r="R601" i="1" s="1"/>
  <c r="C602" i="1"/>
  <c r="C603" i="1"/>
  <c r="C604" i="1"/>
  <c r="C605" i="1"/>
  <c r="C606" i="1"/>
  <c r="C607" i="1"/>
  <c r="L607" i="1" s="1"/>
  <c r="C608" i="1"/>
  <c r="C609" i="1"/>
  <c r="J609" i="1" s="1"/>
  <c r="C610" i="1"/>
  <c r="C611" i="1"/>
  <c r="A611" i="1" s="1"/>
  <c r="C612" i="1"/>
  <c r="K612" i="1" s="1"/>
  <c r="C613" i="1"/>
  <c r="C614" i="1"/>
  <c r="P614" i="1" s="1"/>
  <c r="C615" i="1"/>
  <c r="C616" i="1"/>
  <c r="K616" i="1" s="1"/>
  <c r="C617" i="1"/>
  <c r="L617" i="1" s="1"/>
  <c r="C618" i="1"/>
  <c r="C619" i="1"/>
  <c r="C620" i="1"/>
  <c r="M620" i="1" s="1"/>
  <c r="C621" i="1"/>
  <c r="N621" i="1" s="1"/>
  <c r="C622" i="1"/>
  <c r="P622" i="1" s="1"/>
  <c r="C623" i="1"/>
  <c r="N623" i="1" s="1"/>
  <c r="C624" i="1"/>
  <c r="C625" i="1"/>
  <c r="L625" i="1" s="1"/>
  <c r="C626" i="1"/>
  <c r="G152" i="13"/>
  <c r="G139" i="13"/>
  <c r="C579" i="1"/>
  <c r="C580" i="1"/>
  <c r="A580" i="1" s="1"/>
  <c r="C581" i="1"/>
  <c r="N581" i="1" s="1"/>
  <c r="C582" i="1"/>
  <c r="A582" i="1" s="1"/>
  <c r="C583" i="1"/>
  <c r="B583" i="1" s="1"/>
  <c r="C584" i="1"/>
  <c r="C585" i="1"/>
  <c r="L585" i="1" s="1"/>
  <c r="C586" i="1"/>
  <c r="C587" i="1"/>
  <c r="C588" i="1"/>
  <c r="L588" i="1" s="1"/>
  <c r="C589" i="1"/>
  <c r="C590" i="1"/>
  <c r="C591" i="1"/>
  <c r="K591" i="1" s="1"/>
  <c r="C592" i="1"/>
  <c r="C578" i="1"/>
  <c r="P578" i="1" s="1"/>
  <c r="C380" i="1"/>
  <c r="C381" i="1"/>
  <c r="C382" i="1"/>
  <c r="C383" i="1"/>
  <c r="C384" i="1"/>
  <c r="C385" i="1"/>
  <c r="C386" i="1"/>
  <c r="C387" i="1"/>
  <c r="C388" i="1"/>
  <c r="C389" i="1"/>
  <c r="C390" i="1"/>
  <c r="C391" i="1"/>
  <c r="C392" i="1"/>
  <c r="C393" i="1"/>
  <c r="C378" i="1"/>
  <c r="R378"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29" i="1"/>
  <c r="A1629" i="1" s="1"/>
  <c r="C1630" i="1"/>
  <c r="P1630" i="1" s="1"/>
  <c r="C1631" i="1"/>
  <c r="M1631" i="1" s="1"/>
  <c r="C1632" i="1"/>
  <c r="R1632" i="1" s="1"/>
  <c r="C1633" i="1"/>
  <c r="O1633" i="1" s="1"/>
  <c r="C1634" i="1"/>
  <c r="A1634" i="1" s="1"/>
  <c r="C1635" i="1"/>
  <c r="L1635" i="1" s="1"/>
  <c r="C1636" i="1"/>
  <c r="C1637" i="1"/>
  <c r="P1637" i="1" s="1"/>
  <c r="C1638" i="1"/>
  <c r="K1638" i="1" s="1"/>
  <c r="C1628" i="1"/>
  <c r="O1628" i="1" s="1"/>
  <c r="P1345" i="1"/>
  <c r="Q1345" i="1"/>
  <c r="J1345" i="1"/>
  <c r="R1345" i="1"/>
  <c r="M1345" i="1"/>
  <c r="P1329" i="1"/>
  <c r="K1313" i="1"/>
  <c r="M1313" i="1"/>
  <c r="R1305" i="1"/>
  <c r="L1305" i="1"/>
  <c r="O1305" i="1"/>
  <c r="K1305" i="1"/>
  <c r="L1365" i="1"/>
  <c r="N1365" i="1"/>
  <c r="R1365"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28" i="1"/>
  <c r="B1928" i="1" s="1"/>
  <c r="C1929" i="1"/>
  <c r="C1930" i="1"/>
  <c r="M1930" i="1" s="1"/>
  <c r="C1927" i="1"/>
  <c r="B1927" i="1" s="1"/>
  <c r="C1933" i="1"/>
  <c r="N1933" i="1" s="1"/>
  <c r="C1934" i="1"/>
  <c r="L1934" i="1" s="1"/>
  <c r="C1935" i="1"/>
  <c r="C1932" i="1"/>
  <c r="C1938" i="1"/>
  <c r="M1938" i="1" s="1"/>
  <c r="C1939" i="1"/>
  <c r="M1939" i="1" s="1"/>
  <c r="C1940" i="1"/>
  <c r="L1940" i="1" s="1"/>
  <c r="C1937" i="1"/>
  <c r="A1937" i="1" s="1"/>
  <c r="C1943" i="1"/>
  <c r="C1944" i="1"/>
  <c r="N1944" i="1" s="1"/>
  <c r="C1945" i="1"/>
  <c r="J1945" i="1" s="1"/>
  <c r="C1942" i="1"/>
  <c r="B1942" i="1" s="1"/>
  <c r="C1948" i="1"/>
  <c r="O1948" i="1" s="1"/>
  <c r="C1949" i="1"/>
  <c r="C1950" i="1"/>
  <c r="B1950" i="1" s="1"/>
  <c r="C1947" i="1"/>
  <c r="O1947" i="1" s="1"/>
  <c r="C1953" i="1"/>
  <c r="R1953" i="1" s="1"/>
  <c r="C1954" i="1"/>
  <c r="O1954" i="1" s="1"/>
  <c r="C1955" i="1"/>
  <c r="B1955" i="1" s="1"/>
  <c r="C1952" i="1"/>
  <c r="C1963" i="1"/>
  <c r="J1963" i="1" s="1"/>
  <c r="C1964" i="1"/>
  <c r="C1965" i="1"/>
  <c r="O1965" i="1" s="1"/>
  <c r="C1962" i="1"/>
  <c r="B1962" i="1" s="1"/>
  <c r="C1967" i="1"/>
  <c r="C1968" i="1"/>
  <c r="A1968" i="1" s="1"/>
  <c r="C1969" i="1"/>
  <c r="K1969" i="1" s="1"/>
  <c r="C1970" i="1"/>
  <c r="C1922" i="1"/>
  <c r="J1922" i="1" s="1"/>
  <c r="C1923" i="1"/>
  <c r="K1923" i="1" s="1"/>
  <c r="C1924" i="1"/>
  <c r="C1925" i="1"/>
  <c r="P1925" i="1" s="1"/>
  <c r="B10" i="18"/>
  <c r="F47" i="8" s="1"/>
  <c r="B12" i="18"/>
  <c r="F81" i="8" s="1"/>
  <c r="B13" i="18"/>
  <c r="F80" i="8" s="1"/>
  <c r="B14" i="18"/>
  <c r="F67" i="8" s="1"/>
  <c r="B11" i="18"/>
  <c r="F53" i="8" s="1"/>
  <c r="B31" i="18"/>
  <c r="F167" i="8" s="1"/>
  <c r="B7" i="18"/>
  <c r="F34" i="8" s="1"/>
  <c r="B5" i="18"/>
  <c r="F9" i="8" s="1"/>
  <c r="B51" i="18"/>
  <c r="I46" i="19" s="1"/>
  <c r="O524" i="1" s="1"/>
  <c r="B50" i="18"/>
  <c r="I83"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F104" i="8" s="1"/>
  <c r="B21" i="18"/>
  <c r="F99" i="8" s="1"/>
  <c r="B16" i="18"/>
  <c r="F106" i="8" s="1"/>
  <c r="B15" i="18"/>
  <c r="B9" i="18"/>
  <c r="F76" i="8" s="1"/>
  <c r="B8" i="18"/>
  <c r="F43" i="8" s="1"/>
  <c r="B6" i="18"/>
  <c r="F24" i="8" s="1"/>
  <c r="B3" i="18"/>
  <c r="F155" i="8" s="1"/>
  <c r="C260" i="1"/>
  <c r="B260" i="1" s="1"/>
  <c r="C319" i="1"/>
  <c r="O319" i="1" s="1"/>
  <c r="C318" i="1"/>
  <c r="N318" i="1" s="1"/>
  <c r="C317" i="1"/>
  <c r="R317" i="1" s="1"/>
  <c r="C316" i="1"/>
  <c r="L316" i="1" s="1"/>
  <c r="C315" i="1"/>
  <c r="O315" i="1" s="1"/>
  <c r="C314" i="1"/>
  <c r="C313" i="1"/>
  <c r="P313" i="1" s="1"/>
  <c r="C312" i="1"/>
  <c r="R312" i="1" s="1"/>
  <c r="C311" i="1"/>
  <c r="B311" i="1" s="1"/>
  <c r="C310" i="1"/>
  <c r="M310" i="1" s="1"/>
  <c r="C309" i="1"/>
  <c r="P309" i="1" s="1"/>
  <c r="C308" i="1"/>
  <c r="C307" i="1"/>
  <c r="Q307" i="1" s="1"/>
  <c r="C306" i="1"/>
  <c r="C304" i="1"/>
  <c r="J304" i="1" s="1"/>
  <c r="C1920" i="1"/>
  <c r="C1855" i="1"/>
  <c r="C478" i="1"/>
  <c r="Q478" i="1" s="1"/>
  <c r="C1546" i="1"/>
  <c r="K1546" i="1" s="1"/>
  <c r="C1545" i="1"/>
  <c r="J1545" i="1" s="1"/>
  <c r="C1541" i="1"/>
  <c r="O1541" i="1" s="1"/>
  <c r="C1542" i="1"/>
  <c r="J1542" i="1" s="1"/>
  <c r="C1653" i="1"/>
  <c r="O1653" i="1" s="1"/>
  <c r="C1652" i="1"/>
  <c r="P1652" i="1" s="1"/>
  <c r="C1651" i="1"/>
  <c r="C1650" i="1"/>
  <c r="Q1650" i="1" s="1"/>
  <c r="C1649" i="1"/>
  <c r="C1648" i="1"/>
  <c r="C1647" i="1"/>
  <c r="J1647" i="1" s="1"/>
  <c r="C1646" i="1"/>
  <c r="L1646" i="1" s="1"/>
  <c r="C1645" i="1"/>
  <c r="N1645" i="1" s="1"/>
  <c r="C1644" i="1"/>
  <c r="R1644" i="1" s="1"/>
  <c r="C1643" i="1"/>
  <c r="C1642" i="1"/>
  <c r="O1642" i="1" s="1"/>
  <c r="C1641" i="1"/>
  <c r="C1640" i="1"/>
  <c r="C369" i="1"/>
  <c r="Q369" i="1" s="1"/>
  <c r="C368" i="1"/>
  <c r="N368" i="1" s="1"/>
  <c r="C367" i="1"/>
  <c r="N367" i="1" s="1"/>
  <c r="C267" i="1"/>
  <c r="K267" i="1" s="1"/>
  <c r="C266" i="1"/>
  <c r="R266" i="1" s="1"/>
  <c r="C265" i="1"/>
  <c r="C1626" i="1"/>
  <c r="K1626" i="1" s="1"/>
  <c r="C1625" i="1"/>
  <c r="C638" i="1"/>
  <c r="C639" i="1"/>
  <c r="C640" i="1"/>
  <c r="A640" i="1" s="1"/>
  <c r="C641" i="1"/>
  <c r="L641" i="1" s="1"/>
  <c r="C642" i="1"/>
  <c r="O642" i="1" s="1"/>
  <c r="C643" i="1"/>
  <c r="C644" i="1"/>
  <c r="Q644" i="1" s="1"/>
  <c r="C645" i="1"/>
  <c r="A645" i="1" s="1"/>
  <c r="C646" i="1"/>
  <c r="R646" i="1" s="1"/>
  <c r="C647" i="1"/>
  <c r="Q647" i="1" s="1"/>
  <c r="C648" i="1"/>
  <c r="A648" i="1" s="1"/>
  <c r="C649" i="1"/>
  <c r="R649" i="1" s="1"/>
  <c r="C650" i="1"/>
  <c r="O650" i="1" s="1"/>
  <c r="C651" i="1"/>
  <c r="B651" i="1" s="1"/>
  <c r="C652" i="1"/>
  <c r="R652" i="1" s="1"/>
  <c r="C653" i="1"/>
  <c r="K653" i="1" s="1"/>
  <c r="C654" i="1"/>
  <c r="M654" i="1" s="1"/>
  <c r="C655" i="1"/>
  <c r="J655" i="1" s="1"/>
  <c r="C656" i="1"/>
  <c r="L656" i="1" s="1"/>
  <c r="C657" i="1"/>
  <c r="C658" i="1"/>
  <c r="B658" i="1" s="1"/>
  <c r="C659" i="1"/>
  <c r="J659" i="1" s="1"/>
  <c r="C660" i="1"/>
  <c r="B660" i="1" s="1"/>
  <c r="C661" i="1"/>
  <c r="C662" i="1"/>
  <c r="C663" i="1"/>
  <c r="C664" i="1"/>
  <c r="Q664" i="1" s="1"/>
  <c r="C665" i="1"/>
  <c r="C666" i="1"/>
  <c r="M666" i="1" s="1"/>
  <c r="C667" i="1"/>
  <c r="C668" i="1"/>
  <c r="B668" i="1" s="1"/>
  <c r="C669" i="1"/>
  <c r="Q669" i="1" s="1"/>
  <c r="C670" i="1"/>
  <c r="J670" i="1" s="1"/>
  <c r="C671" i="1"/>
  <c r="C672" i="1"/>
  <c r="J672" i="1" s="1"/>
  <c r="C673" i="1"/>
  <c r="O673" i="1" s="1"/>
  <c r="C674" i="1"/>
  <c r="K674" i="1" s="1"/>
  <c r="C675" i="1"/>
  <c r="C676" i="1"/>
  <c r="J676" i="1" s="1"/>
  <c r="C677" i="1"/>
  <c r="C678" i="1"/>
  <c r="K678" i="1" s="1"/>
  <c r="C679" i="1"/>
  <c r="M679" i="1" s="1"/>
  <c r="C680" i="1"/>
  <c r="K680" i="1" s="1"/>
  <c r="C681" i="1"/>
  <c r="O681" i="1" s="1"/>
  <c r="C682" i="1"/>
  <c r="R682" i="1" s="1"/>
  <c r="C683" i="1"/>
  <c r="C684" i="1"/>
  <c r="C685" i="1"/>
  <c r="Q685" i="1" s="1"/>
  <c r="C686" i="1"/>
  <c r="P686" i="1" s="1"/>
  <c r="C687" i="1"/>
  <c r="L687" i="1" s="1"/>
  <c r="C688" i="1"/>
  <c r="A688" i="1" s="1"/>
  <c r="C689" i="1"/>
  <c r="C690" i="1"/>
  <c r="A690" i="1" s="1"/>
  <c r="C691" i="1"/>
  <c r="A691" i="1" s="1"/>
  <c r="C692" i="1"/>
  <c r="A692" i="1" s="1"/>
  <c r="C693" i="1"/>
  <c r="J693" i="1" s="1"/>
  <c r="C637" i="1"/>
  <c r="C636" i="1"/>
  <c r="R636" i="1" s="1"/>
  <c r="C1556" i="1"/>
  <c r="J1556" i="1" s="1"/>
  <c r="C1555" i="1"/>
  <c r="J1555" i="1" s="1"/>
  <c r="C1554" i="1"/>
  <c r="C1553" i="1"/>
  <c r="C1552" i="1"/>
  <c r="R1552" i="1" s="1"/>
  <c r="C1551" i="1"/>
  <c r="B1551" i="1" s="1"/>
  <c r="C1550" i="1"/>
  <c r="C1549" i="1"/>
  <c r="L1549" i="1" s="1"/>
  <c r="C1592" i="1"/>
  <c r="C1593" i="1"/>
  <c r="L1593" i="1" s="1"/>
  <c r="C1594" i="1"/>
  <c r="C1595" i="1"/>
  <c r="R1595" i="1" s="1"/>
  <c r="C1596" i="1"/>
  <c r="P1596" i="1" s="1"/>
  <c r="Q1666" i="1"/>
  <c r="B1668" i="1"/>
  <c r="Q1670" i="1"/>
  <c r="C204" i="1"/>
  <c r="C209" i="1"/>
  <c r="B209" i="1" s="1"/>
  <c r="C214" i="1"/>
  <c r="J214" i="1" s="1"/>
  <c r="C202" i="1"/>
  <c r="K202" i="1" s="1"/>
  <c r="C203" i="1"/>
  <c r="J203" i="1" s="1"/>
  <c r="C205" i="1"/>
  <c r="Q205" i="1" s="1"/>
  <c r="C206" i="1"/>
  <c r="M206" i="1" s="1"/>
  <c r="C207" i="1"/>
  <c r="O207" i="1" s="1"/>
  <c r="C208" i="1"/>
  <c r="C210" i="1"/>
  <c r="Q210" i="1" s="1"/>
  <c r="C211" i="1"/>
  <c r="Q211" i="1" s="1"/>
  <c r="C212" i="1"/>
  <c r="P212" i="1" s="1"/>
  <c r="C213" i="1"/>
  <c r="P213" i="1" s="1"/>
  <c r="B17" i="10"/>
  <c r="C1538" i="1"/>
  <c r="K1538" i="1" s="1"/>
  <c r="C1537"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2" i="1"/>
  <c r="N402" i="1" s="1"/>
  <c r="C362" i="1"/>
  <c r="J362" i="1" s="1"/>
  <c r="C635" i="1"/>
  <c r="C634" i="1"/>
  <c r="B634" i="1" s="1"/>
  <c r="C633" i="1"/>
  <c r="C632" i="1"/>
  <c r="P632" i="1" s="1"/>
  <c r="C631" i="1"/>
  <c r="A631" i="1" s="1"/>
  <c r="C475" i="1"/>
  <c r="C474" i="1"/>
  <c r="C1873"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875" i="1"/>
  <c r="C264" i="1"/>
  <c r="K264" i="1" s="1"/>
  <c r="C366" i="1"/>
  <c r="Q366" i="1" s="1"/>
  <c r="C1874" i="1"/>
  <c r="C263" i="1"/>
  <c r="R263" i="1" s="1"/>
  <c r="C365" i="1"/>
  <c r="C1591" i="1"/>
  <c r="A1591" i="1" s="1"/>
  <c r="L1665" i="1"/>
  <c r="C163" i="1"/>
  <c r="C1590" i="1"/>
  <c r="K1590"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571" i="1"/>
  <c r="A1571" i="1" s="1"/>
  <c r="C1572" i="1"/>
  <c r="C1573" i="1"/>
  <c r="N1573" i="1" s="1"/>
  <c r="C1574" i="1"/>
  <c r="C1575" i="1"/>
  <c r="A1575" i="1" s="1"/>
  <c r="C254" i="1"/>
  <c r="B254" i="1" s="1"/>
  <c r="C255" i="1"/>
  <c r="C256" i="1"/>
  <c r="P256" i="1" s="1"/>
  <c r="C257" i="1"/>
  <c r="J257" i="1" s="1"/>
  <c r="C258" i="1"/>
  <c r="N258" i="1" s="1"/>
  <c r="C259" i="1"/>
  <c r="J259" i="1" s="1"/>
  <c r="C261" i="1"/>
  <c r="C262" i="1"/>
  <c r="R262" i="1" s="1"/>
  <c r="C252" i="1"/>
  <c r="J252" i="1" s="1"/>
  <c r="C363" i="1"/>
  <c r="Q363" i="1" s="1"/>
  <c r="C364" i="1"/>
  <c r="C201" i="1"/>
  <c r="M201" i="1" s="1"/>
  <c r="C221" i="1"/>
  <c r="A221" i="1" s="1"/>
  <c r="C222" i="1"/>
  <c r="O222" i="1" s="1"/>
  <c r="C223" i="1"/>
  <c r="C224" i="1"/>
  <c r="R224" i="1" s="1"/>
  <c r="C225" i="1"/>
  <c r="B225" i="1" s="1"/>
  <c r="C226" i="1"/>
  <c r="C227" i="1"/>
  <c r="C228" i="1"/>
  <c r="A228" i="1" s="1"/>
  <c r="C229" i="1"/>
  <c r="K229" i="1" s="1"/>
  <c r="C230" i="1"/>
  <c r="B230" i="1" s="1"/>
  <c r="C231" i="1"/>
  <c r="C232" i="1"/>
  <c r="O232" i="1" s="1"/>
  <c r="B194" i="13"/>
  <c r="B196" i="13"/>
  <c r="B197" i="13"/>
  <c r="C1919" i="1"/>
  <c r="C1918" i="1"/>
  <c r="C1917" i="1"/>
  <c r="C1916" i="1"/>
  <c r="C1915" i="1"/>
  <c r="C1896" i="1"/>
  <c r="C1895" i="1"/>
  <c r="C1894" i="1"/>
  <c r="C1893" i="1"/>
  <c r="C1892" i="1"/>
  <c r="C1891" i="1"/>
  <c r="C1890" i="1"/>
  <c r="C1872" i="1"/>
  <c r="K1872" i="1" s="1"/>
  <c r="C1871" i="1"/>
  <c r="C1870" i="1"/>
  <c r="C1869" i="1"/>
  <c r="C1868" i="1"/>
  <c r="C1867" i="1"/>
  <c r="C1866" i="1"/>
  <c r="C1854" i="1"/>
  <c r="C1853" i="1"/>
  <c r="K1853" i="1" s="1"/>
  <c r="C1852" i="1"/>
  <c r="C1851" i="1"/>
  <c r="C1850" i="1"/>
  <c r="C1863" i="1"/>
  <c r="C1862" i="1"/>
  <c r="N1862" i="1" s="1"/>
  <c r="C1861" i="1"/>
  <c r="N1861" i="1" s="1"/>
  <c r="C1860" i="1"/>
  <c r="B1860" i="1" s="1"/>
  <c r="C1859" i="1"/>
  <c r="N1859" i="1" s="1"/>
  <c r="C1831" i="1"/>
  <c r="C1830" i="1"/>
  <c r="C1829" i="1"/>
  <c r="C1828" i="1"/>
  <c r="C1827" i="1"/>
  <c r="C1826" i="1"/>
  <c r="K1826" i="1" s="1"/>
  <c r="C1825" i="1"/>
  <c r="C1801" i="1"/>
  <c r="C1795" i="1"/>
  <c r="C1796" i="1"/>
  <c r="A1796" i="1" s="1"/>
  <c r="C1797" i="1"/>
  <c r="C1798" i="1"/>
  <c r="C1794" i="1"/>
  <c r="C1589" i="1"/>
  <c r="C1578" i="1"/>
  <c r="C1579" i="1"/>
  <c r="P1579" i="1" s="1"/>
  <c r="C1580" i="1"/>
  <c r="B1580" i="1" s="1"/>
  <c r="C1581" i="1"/>
  <c r="J1581" i="1" s="1"/>
  <c r="C1582" i="1"/>
  <c r="A1582" i="1" s="1"/>
  <c r="C1583" i="1"/>
  <c r="Q1583" i="1" s="1"/>
  <c r="C1584" i="1"/>
  <c r="C1585" i="1"/>
  <c r="K1585" i="1" s="1"/>
  <c r="C1586" i="1"/>
  <c r="L1586" i="1" s="1"/>
  <c r="C1587" i="1"/>
  <c r="B1587" i="1" s="1"/>
  <c r="C1588" i="1"/>
  <c r="C1577" i="1"/>
  <c r="K1577" i="1" s="1"/>
  <c r="C356" i="1"/>
  <c r="B356" i="1" s="1"/>
  <c r="C357" i="1"/>
  <c r="C358" i="1"/>
  <c r="R358" i="1" s="1"/>
  <c r="C359" i="1"/>
  <c r="C360" i="1"/>
  <c r="L360" i="1" s="1"/>
  <c r="C361" i="1"/>
  <c r="R361" i="1" s="1"/>
  <c r="C355" i="1"/>
  <c r="N355" i="1" s="1"/>
  <c r="C247" i="1"/>
  <c r="P247" i="1" s="1"/>
  <c r="C248" i="1"/>
  <c r="C249" i="1"/>
  <c r="A249" i="1" s="1"/>
  <c r="C250" i="1"/>
  <c r="C246" i="1"/>
  <c r="A246" i="1" s="1"/>
  <c r="C244" i="1"/>
  <c r="C243" i="1"/>
  <c r="P243" i="1" s="1"/>
  <c r="C217" i="1"/>
  <c r="L217" i="1" s="1"/>
  <c r="C218" i="1"/>
  <c r="C219" i="1"/>
  <c r="K219" i="1" s="1"/>
  <c r="C220" i="1"/>
  <c r="C216" i="1"/>
  <c r="C150" i="1"/>
  <c r="L150" i="1" s="1"/>
  <c r="A1662" i="1"/>
  <c r="O1661" i="1"/>
  <c r="B1660" i="1"/>
  <c r="L1659" i="1"/>
  <c r="N1656" i="1"/>
  <c r="C1655" i="1"/>
  <c r="R502" i="1"/>
  <c r="F92" i="8"/>
  <c r="F73" i="8"/>
  <c r="B159" i="13"/>
  <c r="F72" i="8"/>
  <c r="F96" i="8"/>
  <c r="F135" i="8"/>
  <c r="F189" i="8"/>
  <c r="F136" i="8"/>
  <c r="F124" i="8"/>
  <c r="B188" i="13"/>
  <c r="B189" i="13"/>
  <c r="F213" i="8"/>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N1313" i="1" l="1"/>
  <c r="L1313" i="1"/>
  <c r="N1337" i="1"/>
  <c r="O1337" i="1"/>
  <c r="N1393" i="1"/>
  <c r="K1297" i="1"/>
  <c r="O1289" i="1"/>
  <c r="J1297" i="1"/>
  <c r="R1389" i="1"/>
  <c r="Q1337" i="1"/>
  <c r="M1393" i="1"/>
  <c r="P1393" i="1"/>
  <c r="M1373" i="1"/>
  <c r="J1337" i="1"/>
  <c r="P1337" i="1"/>
  <c r="L1297" i="1"/>
  <c r="P1293" i="1"/>
  <c r="Q1369" i="1"/>
  <c r="R1297" i="1"/>
  <c r="R1369" i="1"/>
  <c r="M1369" i="1"/>
  <c r="L1369" i="1"/>
  <c r="M1329" i="1"/>
  <c r="O1329" i="1"/>
  <c r="O1389" i="1"/>
  <c r="L1289" i="1"/>
  <c r="K1289" i="1"/>
  <c r="N1329" i="1"/>
  <c r="J1289" i="1"/>
  <c r="Q1329" i="1"/>
  <c r="M1397" i="1"/>
  <c r="R1373" i="1"/>
  <c r="R1353" i="1"/>
  <c r="B702" i="1"/>
  <c r="Q1357" i="1"/>
  <c r="O1321" i="1"/>
  <c r="J1353" i="1"/>
  <c r="N1381" i="1"/>
  <c r="L1381" i="1"/>
  <c r="P1397" i="1"/>
  <c r="K1353" i="1"/>
  <c r="J1357" i="1"/>
  <c r="N1321" i="1"/>
  <c r="Q1353" i="1"/>
  <c r="A1488" i="1"/>
  <c r="L1321" i="1"/>
  <c r="K1321" i="1"/>
  <c r="L1357" i="1"/>
  <c r="P1321" i="1"/>
  <c r="N1361" i="1"/>
  <c r="K1377" i="1"/>
  <c r="L1361" i="1"/>
  <c r="N1377" i="1"/>
  <c r="M1381" i="1"/>
  <c r="R1361" i="1"/>
  <c r="L1377" i="1"/>
  <c r="J1361" i="1"/>
  <c r="P1935" i="1"/>
  <c r="N1870" i="1"/>
  <c r="N1874" i="1"/>
  <c r="F199" i="8"/>
  <c r="M1287" i="1"/>
  <c r="F149" i="8"/>
  <c r="F39" i="8"/>
  <c r="F8" i="8"/>
  <c r="F134" i="8"/>
  <c r="F15" i="8"/>
  <c r="F27" i="8"/>
  <c r="F153" i="8"/>
  <c r="F11" i="8"/>
  <c r="F22" i="8"/>
  <c r="F169" i="8"/>
  <c r="F20" i="8"/>
  <c r="F2" i="8"/>
  <c r="F17" i="8"/>
  <c r="F13" i="8"/>
  <c r="F14" i="8"/>
  <c r="F148" i="8"/>
  <c r="F30" i="8"/>
  <c r="F21" i="8"/>
  <c r="F6" i="8"/>
  <c r="F16" i="8"/>
  <c r="F107" i="8"/>
  <c r="F10" i="8"/>
  <c r="F37" i="8"/>
  <c r="F150" i="8"/>
  <c r="F19" i="8"/>
  <c r="F183" i="8"/>
  <c r="F31" i="8"/>
  <c r="F32" i="8"/>
  <c r="F152" i="8"/>
  <c r="F3" i="8"/>
  <c r="F40" i="8"/>
  <c r="F182" i="8"/>
  <c r="F7" i="8"/>
  <c r="F12" i="8"/>
  <c r="F36" i="8"/>
  <c r="F35" i="8"/>
  <c r="F158" i="8"/>
  <c r="F166" i="8"/>
  <c r="F165" i="8"/>
  <c r="F207" i="8"/>
  <c r="F203" i="8"/>
  <c r="F696" i="15"/>
  <c r="C695" i="15"/>
  <c r="B679" i="15"/>
  <c r="B678" i="15" s="1"/>
  <c r="B688" i="15" s="1"/>
  <c r="C694" i="15"/>
  <c r="E693" i="15"/>
  <c r="B689" i="15"/>
  <c r="C693" i="15"/>
  <c r="O1865" i="1"/>
  <c r="Q1375" i="1"/>
  <c r="Q1367" i="1"/>
  <c r="J1375" i="1"/>
  <c r="P1383" i="1"/>
  <c r="R1311" i="1"/>
  <c r="K1319" i="1"/>
  <c r="L1312" i="1"/>
  <c r="L1327" i="1"/>
  <c r="N1352" i="1"/>
  <c r="J1383" i="1"/>
  <c r="O1335" i="1"/>
  <c r="R1391" i="1"/>
  <c r="K1328" i="1"/>
  <c r="N1343" i="1"/>
  <c r="N1368" i="1"/>
  <c r="M1288" i="1"/>
  <c r="P1295" i="1"/>
  <c r="P1351" i="1"/>
  <c r="J1384" i="1"/>
  <c r="P1303" i="1"/>
  <c r="O1359" i="1"/>
  <c r="J1303" i="1"/>
  <c r="P1296" i="1"/>
  <c r="L1288" i="1"/>
  <c r="O1296" i="1"/>
  <c r="R1312" i="1"/>
  <c r="Q1328" i="1"/>
  <c r="L1352" i="1"/>
  <c r="M1368" i="1"/>
  <c r="K1384" i="1"/>
  <c r="R1288" i="1"/>
  <c r="L1296" i="1"/>
  <c r="J1312" i="1"/>
  <c r="M1336" i="1"/>
  <c r="K1352" i="1"/>
  <c r="J1368" i="1"/>
  <c r="Q1384" i="1"/>
  <c r="Q1296" i="1"/>
  <c r="O1320" i="1"/>
  <c r="L1336" i="1"/>
  <c r="O1360" i="1"/>
  <c r="O1376" i="1"/>
  <c r="L1392" i="1"/>
  <c r="P1304" i="1"/>
  <c r="K1320" i="1"/>
  <c r="J1336" i="1"/>
  <c r="P1360" i="1"/>
  <c r="L1376" i="1"/>
  <c r="O1392" i="1"/>
  <c r="L1304" i="1"/>
  <c r="R1320" i="1"/>
  <c r="O1344" i="1"/>
  <c r="L1360" i="1"/>
  <c r="N1376" i="1"/>
  <c r="K1392" i="1"/>
  <c r="J1304" i="1"/>
  <c r="M1328" i="1"/>
  <c r="N1344" i="1"/>
  <c r="Q1360" i="1"/>
  <c r="Q1376" i="1"/>
  <c r="Q1304" i="1"/>
  <c r="N1328" i="1"/>
  <c r="R1344" i="1"/>
  <c r="R1384" i="1"/>
  <c r="F163" i="8"/>
  <c r="F176" i="8"/>
  <c r="F164" i="8"/>
  <c r="F157" i="8"/>
  <c r="F205" i="8"/>
  <c r="F170" i="8"/>
  <c r="F143" i="8"/>
  <c r="F140" i="8"/>
  <c r="F141" i="8"/>
  <c r="F200" i="8"/>
  <c r="F212" i="8"/>
  <c r="F160" i="8"/>
  <c r="F146" i="8"/>
  <c r="F168" i="8"/>
  <c r="F147" i="8"/>
  <c r="F188" i="8"/>
  <c r="F128" i="8"/>
  <c r="F159" i="8"/>
  <c r="F179" i="8"/>
  <c r="F100" i="8"/>
  <c r="F185" i="8"/>
  <c r="F144" i="8"/>
  <c r="F178" i="8"/>
  <c r="F42" i="8"/>
  <c r="L1287" i="1"/>
  <c r="O1295" i="1"/>
  <c r="O1303" i="1"/>
  <c r="Q1311" i="1"/>
  <c r="J1311" i="1"/>
  <c r="R1319" i="1"/>
  <c r="K1327" i="1"/>
  <c r="L1335" i="1"/>
  <c r="M1343" i="1"/>
  <c r="O1351" i="1"/>
  <c r="M1359" i="1"/>
  <c r="O1375" i="1"/>
  <c r="O1367" i="1"/>
  <c r="M1383" i="1"/>
  <c r="O1391" i="1"/>
  <c r="J1391" i="1"/>
  <c r="M1295" i="1"/>
  <c r="M1303" i="1"/>
  <c r="P1311" i="1"/>
  <c r="P1319" i="1"/>
  <c r="J1319" i="1"/>
  <c r="R1327" i="1"/>
  <c r="K1335" i="1"/>
  <c r="L1343" i="1"/>
  <c r="M1351" i="1"/>
  <c r="N1359" i="1"/>
  <c r="N1375" i="1"/>
  <c r="M1367" i="1"/>
  <c r="Q1383" i="1"/>
  <c r="M1391" i="1"/>
  <c r="L1295" i="1"/>
  <c r="Q1303" i="1"/>
  <c r="O1311" i="1"/>
  <c r="N1319" i="1"/>
  <c r="Q1327" i="1"/>
  <c r="J1327" i="1"/>
  <c r="R1335" i="1"/>
  <c r="K1343" i="1"/>
  <c r="L1351" i="1"/>
  <c r="P1359" i="1"/>
  <c r="P1375" i="1"/>
  <c r="N1367" i="1"/>
  <c r="O1383" i="1"/>
  <c r="K1391" i="1"/>
  <c r="J1287" i="1"/>
  <c r="R1287" i="1"/>
  <c r="K1295" i="1"/>
  <c r="N1303" i="1"/>
  <c r="M1311" i="1"/>
  <c r="O1319" i="1"/>
  <c r="P1327" i="1"/>
  <c r="N1335" i="1"/>
  <c r="J1335" i="1"/>
  <c r="R1343" i="1"/>
  <c r="K1351" i="1"/>
  <c r="L1359" i="1"/>
  <c r="M1375" i="1"/>
  <c r="P1367" i="1"/>
  <c r="N1383" i="1"/>
  <c r="Q1391" i="1"/>
  <c r="O1287" i="1"/>
  <c r="J1295" i="1"/>
  <c r="L1303" i="1"/>
  <c r="N1311" i="1"/>
  <c r="M1319" i="1"/>
  <c r="O1327" i="1"/>
  <c r="M1335" i="1"/>
  <c r="Q1343" i="1"/>
  <c r="J1343" i="1"/>
  <c r="R1351" i="1"/>
  <c r="K1359" i="1"/>
  <c r="K1375" i="1"/>
  <c r="L1367" i="1"/>
  <c r="K1383" i="1"/>
  <c r="P1391" i="1"/>
  <c r="Q1287" i="1"/>
  <c r="R1295" i="1"/>
  <c r="K1303" i="1"/>
  <c r="L1311" i="1"/>
  <c r="Q1319" i="1"/>
  <c r="N1327" i="1"/>
  <c r="Q1335" i="1"/>
  <c r="O1343" i="1"/>
  <c r="N1351" i="1"/>
  <c r="J1351" i="1"/>
  <c r="R1359" i="1"/>
  <c r="L1375" i="1"/>
  <c r="R1367" i="1"/>
  <c r="L1383" i="1"/>
  <c r="N1391" i="1"/>
  <c r="K1287" i="1"/>
  <c r="N1287" i="1"/>
  <c r="N1295" i="1"/>
  <c r="Q1359" i="1"/>
  <c r="K1367" i="1"/>
  <c r="Q662" i="1"/>
  <c r="K662" i="1"/>
  <c r="L662" i="1"/>
  <c r="M662" i="1"/>
  <c r="N662" i="1"/>
  <c r="O662" i="1"/>
  <c r="P662" i="1"/>
  <c r="J662" i="1"/>
  <c r="O1377" i="1"/>
  <c r="K1385" i="1"/>
  <c r="O1393" i="1"/>
  <c r="Q1297" i="1"/>
  <c r="J1305" i="1"/>
  <c r="R1313" i="1"/>
  <c r="M1321" i="1"/>
  <c r="L1329" i="1"/>
  <c r="M1337" i="1"/>
  <c r="K1345" i="1"/>
  <c r="N1353" i="1"/>
  <c r="P1353" i="1"/>
  <c r="Q1361" i="1"/>
  <c r="J1369" i="1"/>
  <c r="R1377" i="1"/>
  <c r="N1385" i="1"/>
  <c r="K1393" i="1"/>
  <c r="O1297" i="1"/>
  <c r="P1297" i="1"/>
  <c r="Q1305" i="1"/>
  <c r="J1313" i="1"/>
  <c r="R1321" i="1"/>
  <c r="K1329" i="1"/>
  <c r="L1337" i="1"/>
  <c r="O1345" i="1"/>
  <c r="O1353" i="1"/>
  <c r="M1361" i="1"/>
  <c r="P1361" i="1"/>
  <c r="N1369" i="1"/>
  <c r="P1369" i="1"/>
  <c r="J1377" i="1"/>
  <c r="R1385" i="1"/>
  <c r="Q1393" i="1"/>
  <c r="P1289" i="1"/>
  <c r="N1297" i="1"/>
  <c r="N1305" i="1"/>
  <c r="P1305" i="1"/>
  <c r="Q1313" i="1"/>
  <c r="J1321" i="1"/>
  <c r="R1329" i="1"/>
  <c r="K1337" i="1"/>
  <c r="L1345" i="1"/>
  <c r="M1353" i="1"/>
  <c r="K1361" i="1"/>
  <c r="K1369" i="1"/>
  <c r="Q1377" i="1"/>
  <c r="P1377" i="1"/>
  <c r="J1385" i="1"/>
  <c r="R1393" i="1"/>
  <c r="R1289" i="1"/>
  <c r="N1289" i="1"/>
  <c r="Q1289" i="1"/>
  <c r="M1289" i="1"/>
  <c r="M1297" i="1"/>
  <c r="M1305" i="1"/>
  <c r="O1313" i="1"/>
  <c r="P1313" i="1"/>
  <c r="Q1321" i="1"/>
  <c r="J1329" i="1"/>
  <c r="R1337" i="1"/>
  <c r="N1345" i="1"/>
  <c r="L1353" i="1"/>
  <c r="O1361" i="1"/>
  <c r="O1369" i="1"/>
  <c r="M1377" i="1"/>
  <c r="O1385" i="1"/>
  <c r="P1385" i="1"/>
  <c r="J1393" i="1"/>
  <c r="B1917" i="1"/>
  <c r="P1800" i="1"/>
  <c r="P1818" i="1"/>
  <c r="P1802" i="1"/>
  <c r="P1815" i="1"/>
  <c r="P1820" i="1"/>
  <c r="P1804" i="1"/>
  <c r="P1817" i="1"/>
  <c r="P1807" i="1"/>
  <c r="P1822" i="1"/>
  <c r="P1821" i="1"/>
  <c r="P1813" i="1"/>
  <c r="P1810" i="1"/>
  <c r="P1809" i="1"/>
  <c r="P1805" i="1"/>
  <c r="P1812" i="1"/>
  <c r="P1811" i="1"/>
  <c r="P1816" i="1"/>
  <c r="P1803" i="1"/>
  <c r="P1808" i="1"/>
  <c r="P1814" i="1"/>
  <c r="P1806" i="1"/>
  <c r="P1819" i="1"/>
  <c r="O1877" i="1"/>
  <c r="O1885" i="1"/>
  <c r="O1880" i="1"/>
  <c r="O1878" i="1"/>
  <c r="O1886" i="1"/>
  <c r="O1879" i="1"/>
  <c r="O1881" i="1"/>
  <c r="O1882" i="1"/>
  <c r="O1883" i="1"/>
  <c r="O1876" i="1"/>
  <c r="O1884" i="1"/>
  <c r="O1887" i="1"/>
  <c r="Q1800" i="1"/>
  <c r="Q1817" i="1"/>
  <c r="Q1810" i="1"/>
  <c r="Q1805" i="1"/>
  <c r="Q1804" i="1"/>
  <c r="Q1822" i="1"/>
  <c r="Q1809" i="1"/>
  <c r="Q1813" i="1"/>
  <c r="Q1814" i="1"/>
  <c r="Q1816" i="1"/>
  <c r="Q1806" i="1"/>
  <c r="Q1821" i="1"/>
  <c r="Q1820" i="1"/>
  <c r="Q1812" i="1"/>
  <c r="Q1819" i="1"/>
  <c r="Q1808" i="1"/>
  <c r="Q1811" i="1"/>
  <c r="Q1803" i="1"/>
  <c r="Q1815" i="1"/>
  <c r="Q1818" i="1"/>
  <c r="Q1802" i="1"/>
  <c r="Q1807" i="1"/>
  <c r="B1865" i="1"/>
  <c r="B1879" i="1"/>
  <c r="B1878" i="1"/>
  <c r="B1881" i="1"/>
  <c r="B1887" i="1"/>
  <c r="B1880" i="1"/>
  <c r="B1886" i="1"/>
  <c r="B1885" i="1"/>
  <c r="B1882" i="1"/>
  <c r="B1877" i="1"/>
  <c r="B1884" i="1"/>
  <c r="B1883" i="1"/>
  <c r="B1876" i="1"/>
  <c r="P1865" i="1"/>
  <c r="P1876" i="1"/>
  <c r="P1884" i="1"/>
  <c r="P1886" i="1"/>
  <c r="P1877" i="1"/>
  <c r="P1885" i="1"/>
  <c r="P1879" i="1"/>
  <c r="P1880" i="1"/>
  <c r="P1881" i="1"/>
  <c r="P1882" i="1"/>
  <c r="P1878" i="1"/>
  <c r="P1887" i="1"/>
  <c r="P1883" i="1"/>
  <c r="R1800" i="1"/>
  <c r="R1810" i="1"/>
  <c r="R1821" i="1"/>
  <c r="R1804" i="1"/>
  <c r="R1813" i="1"/>
  <c r="R1817" i="1"/>
  <c r="R1808" i="1"/>
  <c r="R1815" i="1"/>
  <c r="R1805" i="1"/>
  <c r="R1820" i="1"/>
  <c r="R1819" i="1"/>
  <c r="R1811" i="1"/>
  <c r="R1803" i="1"/>
  <c r="R1807" i="1"/>
  <c r="R1818" i="1"/>
  <c r="R1816" i="1"/>
  <c r="R1802" i="1"/>
  <c r="R1809" i="1"/>
  <c r="R1822" i="1"/>
  <c r="R1806" i="1"/>
  <c r="R1814" i="1"/>
  <c r="R1812" i="1"/>
  <c r="Q1865" i="1"/>
  <c r="Q1883" i="1"/>
  <c r="Q1877" i="1"/>
  <c r="Q1876" i="1"/>
  <c r="Q1884" i="1"/>
  <c r="Q1886" i="1"/>
  <c r="Q1879" i="1"/>
  <c r="Q1887" i="1"/>
  <c r="Q1880" i="1"/>
  <c r="Q1881" i="1"/>
  <c r="Q1885" i="1"/>
  <c r="Q1882" i="1"/>
  <c r="Q1878" i="1"/>
  <c r="J1800" i="1"/>
  <c r="J1804" i="1"/>
  <c r="J1809" i="1"/>
  <c r="J1817" i="1"/>
  <c r="J1816" i="1"/>
  <c r="J1806" i="1"/>
  <c r="J1821" i="1"/>
  <c r="J1810" i="1"/>
  <c r="J1813" i="1"/>
  <c r="J1814" i="1"/>
  <c r="J1812" i="1"/>
  <c r="J1808" i="1"/>
  <c r="J1818" i="1"/>
  <c r="J1815" i="1"/>
  <c r="J1805" i="1"/>
  <c r="J1819" i="1"/>
  <c r="J1811" i="1"/>
  <c r="J1803" i="1"/>
  <c r="J1802" i="1"/>
  <c r="J1807" i="1"/>
  <c r="J1822" i="1"/>
  <c r="J1820" i="1"/>
  <c r="J1865" i="1"/>
  <c r="J1882" i="1"/>
  <c r="J1884" i="1"/>
  <c r="J1883" i="1"/>
  <c r="J1876" i="1"/>
  <c r="J1877" i="1"/>
  <c r="J1878" i="1"/>
  <c r="J1886" i="1"/>
  <c r="J1879" i="1"/>
  <c r="J1887" i="1"/>
  <c r="J1880" i="1"/>
  <c r="J1885" i="1"/>
  <c r="J1881" i="1"/>
  <c r="R1865" i="1"/>
  <c r="R1882" i="1"/>
  <c r="R1883" i="1"/>
  <c r="R1878" i="1"/>
  <c r="R1886" i="1"/>
  <c r="R1879" i="1"/>
  <c r="R1887" i="1"/>
  <c r="R1880" i="1"/>
  <c r="R1877" i="1"/>
  <c r="R1881" i="1"/>
  <c r="R1876" i="1"/>
  <c r="R1884" i="1"/>
  <c r="R1885" i="1"/>
  <c r="O1800" i="1"/>
  <c r="O1819" i="1"/>
  <c r="O1818" i="1"/>
  <c r="O1808" i="1"/>
  <c r="O1822" i="1"/>
  <c r="O1814" i="1"/>
  <c r="O1820" i="1"/>
  <c r="O1812" i="1"/>
  <c r="O1810" i="1"/>
  <c r="O1806" i="1"/>
  <c r="O1813" i="1"/>
  <c r="O1811" i="1"/>
  <c r="O1802" i="1"/>
  <c r="O1807" i="1"/>
  <c r="O1816" i="1"/>
  <c r="O1815" i="1"/>
  <c r="O1817" i="1"/>
  <c r="O1805" i="1"/>
  <c r="O1804" i="1"/>
  <c r="O1803" i="1"/>
  <c r="O1809" i="1"/>
  <c r="O1821" i="1"/>
  <c r="O511" i="1"/>
  <c r="O515" i="1"/>
  <c r="O519" i="1"/>
  <c r="O520" i="1"/>
  <c r="O512" i="1"/>
  <c r="O503" i="1"/>
  <c r="O518" i="1"/>
  <c r="O507" i="1"/>
  <c r="O523" i="1"/>
  <c r="O513" i="1"/>
  <c r="O510" i="1"/>
  <c r="O504" i="1"/>
  <c r="O521" i="1"/>
  <c r="O505" i="1"/>
  <c r="O517" i="1"/>
  <c r="O509" i="1"/>
  <c r="O516" i="1"/>
  <c r="O514" i="1"/>
  <c r="O508" i="1"/>
  <c r="O522" i="1"/>
  <c r="O506" i="1"/>
  <c r="L1800" i="1"/>
  <c r="L1806" i="1"/>
  <c r="L1815" i="1"/>
  <c r="L1820" i="1"/>
  <c r="L1814" i="1"/>
  <c r="L1812" i="1"/>
  <c r="L1805" i="1"/>
  <c r="L1816" i="1"/>
  <c r="L1810" i="1"/>
  <c r="L1818" i="1"/>
  <c r="L1802" i="1"/>
  <c r="L1804" i="1"/>
  <c r="L1822" i="1"/>
  <c r="L1808" i="1"/>
  <c r="L1819" i="1"/>
  <c r="L1821" i="1"/>
  <c r="L1811" i="1"/>
  <c r="L1807" i="1"/>
  <c r="L1813" i="1"/>
  <c r="L1803" i="1"/>
  <c r="L1817" i="1"/>
  <c r="L1809" i="1"/>
  <c r="L1865" i="1"/>
  <c r="L1880" i="1"/>
  <c r="L1881" i="1"/>
  <c r="L1883" i="1"/>
  <c r="L1876" i="1"/>
  <c r="L1884" i="1"/>
  <c r="L1877" i="1"/>
  <c r="L1885" i="1"/>
  <c r="L1878" i="1"/>
  <c r="L1886" i="1"/>
  <c r="L1882" i="1"/>
  <c r="L1879" i="1"/>
  <c r="L1887" i="1"/>
  <c r="B1831" i="1"/>
  <c r="B1839" i="1"/>
  <c r="A1800" i="1"/>
  <c r="A1804" i="1"/>
  <c r="A1815" i="1"/>
  <c r="A1810" i="1"/>
  <c r="A1813" i="1"/>
  <c r="A1802" i="1"/>
  <c r="A1814" i="1"/>
  <c r="A1821" i="1"/>
  <c r="A1812" i="1"/>
  <c r="A1806" i="1"/>
  <c r="A1818" i="1"/>
  <c r="A1805" i="1"/>
  <c r="A1808" i="1"/>
  <c r="A1803" i="1"/>
  <c r="A1822" i="1"/>
  <c r="A1819" i="1"/>
  <c r="A1807" i="1"/>
  <c r="A1820" i="1"/>
  <c r="A1817" i="1"/>
  <c r="A1811" i="1"/>
  <c r="A1809" i="1"/>
  <c r="A1816" i="1"/>
  <c r="M1800" i="1"/>
  <c r="M1817" i="1"/>
  <c r="M1804" i="1"/>
  <c r="M1808" i="1"/>
  <c r="M1807" i="1"/>
  <c r="M1819" i="1"/>
  <c r="M1802" i="1"/>
  <c r="M1809" i="1"/>
  <c r="M1811" i="1"/>
  <c r="M1816" i="1"/>
  <c r="M1806" i="1"/>
  <c r="M1803" i="1"/>
  <c r="M1821" i="1"/>
  <c r="M1805" i="1"/>
  <c r="M1815" i="1"/>
  <c r="M1818" i="1"/>
  <c r="M1814" i="1"/>
  <c r="M1822" i="1"/>
  <c r="M1813" i="1"/>
  <c r="M1820" i="1"/>
  <c r="M1810" i="1"/>
  <c r="M1812" i="1"/>
  <c r="M1865" i="1"/>
  <c r="M1879" i="1"/>
  <c r="M1887" i="1"/>
  <c r="M1880" i="1"/>
  <c r="M1883" i="1"/>
  <c r="M1876" i="1"/>
  <c r="M1884" i="1"/>
  <c r="M1877" i="1"/>
  <c r="M1885" i="1"/>
  <c r="M1878" i="1"/>
  <c r="M1886" i="1"/>
  <c r="M1881" i="1"/>
  <c r="M1882" i="1"/>
  <c r="O1801" i="1"/>
  <c r="O1915" i="1"/>
  <c r="B1800" i="1"/>
  <c r="B1805" i="1"/>
  <c r="B1807" i="1"/>
  <c r="B1809" i="1"/>
  <c r="B1822" i="1"/>
  <c r="B1811" i="1"/>
  <c r="B1817" i="1"/>
  <c r="B1814" i="1"/>
  <c r="B1806" i="1"/>
  <c r="B1802" i="1"/>
  <c r="B1815" i="1"/>
  <c r="B1803" i="1"/>
  <c r="B1819" i="1"/>
  <c r="B1810" i="1"/>
  <c r="B1804" i="1"/>
  <c r="B1812" i="1"/>
  <c r="B1821" i="1"/>
  <c r="B1808" i="1"/>
  <c r="B1818" i="1"/>
  <c r="B1816" i="1"/>
  <c r="B1820" i="1"/>
  <c r="B1813" i="1"/>
  <c r="N1804" i="1"/>
  <c r="N1806" i="1"/>
  <c r="N1811" i="1"/>
  <c r="N1807" i="1"/>
  <c r="N1812" i="1"/>
  <c r="N1803" i="1"/>
  <c r="N1808" i="1"/>
  <c r="N1814" i="1"/>
  <c r="N1818" i="1"/>
  <c r="N1810" i="1"/>
  <c r="N1805" i="1"/>
  <c r="N1813" i="1"/>
  <c r="N1802" i="1"/>
  <c r="N1816" i="1"/>
  <c r="N1821" i="1"/>
  <c r="N1820" i="1"/>
  <c r="N1819" i="1"/>
  <c r="N1815" i="1"/>
  <c r="N1817" i="1"/>
  <c r="N1822" i="1"/>
  <c r="N1809" i="1"/>
  <c r="A1865" i="1"/>
  <c r="A1878" i="1"/>
  <c r="A1882" i="1"/>
  <c r="A1881" i="1"/>
  <c r="A1886" i="1"/>
  <c r="A1876" i="1"/>
  <c r="A1884" i="1"/>
  <c r="A1883" i="1"/>
  <c r="A1879" i="1"/>
  <c r="A1877" i="1"/>
  <c r="A1885" i="1"/>
  <c r="A1880" i="1"/>
  <c r="A1887" i="1"/>
  <c r="N1865" i="1"/>
  <c r="N1878" i="1"/>
  <c r="N1886" i="1"/>
  <c r="N1880" i="1"/>
  <c r="N1879" i="1"/>
  <c r="N1887" i="1"/>
  <c r="N1882" i="1"/>
  <c r="N1883" i="1"/>
  <c r="N1876" i="1"/>
  <c r="N1884" i="1"/>
  <c r="N1881" i="1"/>
  <c r="N1877" i="1"/>
  <c r="N1885" i="1"/>
  <c r="K1346" i="1"/>
  <c r="O1314" i="1"/>
  <c r="M1394" i="1"/>
  <c r="J646" i="1"/>
  <c r="P1644" i="1"/>
  <c r="L1930" i="1"/>
  <c r="K1940" i="1"/>
  <c r="O318" i="1"/>
  <c r="J1645" i="1"/>
  <c r="M668" i="1"/>
  <c r="M317" i="1"/>
  <c r="L680" i="1"/>
  <c r="O654" i="1"/>
  <c r="N642" i="1"/>
  <c r="K1314" i="1"/>
  <c r="M1338" i="1"/>
  <c r="O1306" i="1"/>
  <c r="Q388" i="1"/>
  <c r="J388" i="1"/>
  <c r="R388" i="1"/>
  <c r="K388" i="1"/>
  <c r="L388" i="1"/>
  <c r="M388" i="1"/>
  <c r="N388" i="1"/>
  <c r="O388" i="1"/>
  <c r="P388" i="1"/>
  <c r="Q380" i="1"/>
  <c r="J380" i="1"/>
  <c r="R380" i="1"/>
  <c r="K380" i="1"/>
  <c r="L380" i="1"/>
  <c r="M380" i="1"/>
  <c r="N380" i="1"/>
  <c r="O380" i="1"/>
  <c r="P380" i="1"/>
  <c r="Q1314" i="1"/>
  <c r="N1346" i="1"/>
  <c r="P1362" i="1"/>
  <c r="J387" i="1"/>
  <c r="R387" i="1"/>
  <c r="K387" i="1"/>
  <c r="L387" i="1"/>
  <c r="M387" i="1"/>
  <c r="N387" i="1"/>
  <c r="O387" i="1"/>
  <c r="P387" i="1"/>
  <c r="Q387" i="1"/>
  <c r="L1386" i="1"/>
  <c r="L1944" i="1"/>
  <c r="P1290" i="1"/>
  <c r="R1322" i="1"/>
  <c r="J1354" i="1"/>
  <c r="L393" i="1"/>
  <c r="M393" i="1"/>
  <c r="N393" i="1"/>
  <c r="O393" i="1"/>
  <c r="P393" i="1"/>
  <c r="Q393" i="1"/>
  <c r="J393" i="1"/>
  <c r="R393" i="1"/>
  <c r="K393" i="1"/>
  <c r="L385" i="1"/>
  <c r="M385" i="1"/>
  <c r="N385" i="1"/>
  <c r="O385" i="1"/>
  <c r="P385" i="1"/>
  <c r="Q385" i="1"/>
  <c r="J385" i="1"/>
  <c r="R385" i="1"/>
  <c r="K385" i="1"/>
  <c r="Q257" i="1"/>
  <c r="P1944" i="1"/>
  <c r="L1290" i="1"/>
  <c r="P1322" i="1"/>
  <c r="N1354" i="1"/>
  <c r="M1298" i="1"/>
  <c r="M392" i="1"/>
  <c r="N392" i="1"/>
  <c r="O392" i="1"/>
  <c r="P392" i="1"/>
  <c r="Q392" i="1"/>
  <c r="J392" i="1"/>
  <c r="R392" i="1"/>
  <c r="K392" i="1"/>
  <c r="L392" i="1"/>
  <c r="M384" i="1"/>
  <c r="N384" i="1"/>
  <c r="O384" i="1"/>
  <c r="P384" i="1"/>
  <c r="Q384" i="1"/>
  <c r="J384" i="1"/>
  <c r="R384" i="1"/>
  <c r="K384" i="1"/>
  <c r="L384" i="1"/>
  <c r="K386" i="1"/>
  <c r="L386" i="1"/>
  <c r="M386" i="1"/>
  <c r="N386" i="1"/>
  <c r="O386" i="1"/>
  <c r="P386" i="1"/>
  <c r="Q386" i="1"/>
  <c r="J386" i="1"/>
  <c r="R386" i="1"/>
  <c r="M1968" i="1"/>
  <c r="K1330" i="1"/>
  <c r="K1298" i="1"/>
  <c r="N391" i="1"/>
  <c r="O391" i="1"/>
  <c r="P391" i="1"/>
  <c r="Q391" i="1"/>
  <c r="J391" i="1"/>
  <c r="R391" i="1"/>
  <c r="K391" i="1"/>
  <c r="L391" i="1"/>
  <c r="M391" i="1"/>
  <c r="N383" i="1"/>
  <c r="O383" i="1"/>
  <c r="P383" i="1"/>
  <c r="Q383" i="1"/>
  <c r="J383" i="1"/>
  <c r="R383" i="1"/>
  <c r="K383" i="1"/>
  <c r="L383" i="1"/>
  <c r="M383" i="1"/>
  <c r="K1968" i="1"/>
  <c r="Q1330" i="1"/>
  <c r="R1306" i="1"/>
  <c r="O390" i="1"/>
  <c r="P390" i="1"/>
  <c r="Q390" i="1"/>
  <c r="J390" i="1"/>
  <c r="R390" i="1"/>
  <c r="K390" i="1"/>
  <c r="L390" i="1"/>
  <c r="M390" i="1"/>
  <c r="N390" i="1"/>
  <c r="O382" i="1"/>
  <c r="P382" i="1"/>
  <c r="Q382" i="1"/>
  <c r="J382" i="1"/>
  <c r="R382" i="1"/>
  <c r="K382" i="1"/>
  <c r="L382" i="1"/>
  <c r="M382" i="1"/>
  <c r="N382" i="1"/>
  <c r="R1338" i="1"/>
  <c r="M1306" i="1"/>
  <c r="P389" i="1"/>
  <c r="Q389" i="1"/>
  <c r="J389" i="1"/>
  <c r="R389" i="1"/>
  <c r="K389" i="1"/>
  <c r="L389" i="1"/>
  <c r="M389" i="1"/>
  <c r="N389" i="1"/>
  <c r="O389" i="1"/>
  <c r="A381" i="1"/>
  <c r="P381" i="1"/>
  <c r="Q381" i="1"/>
  <c r="J381" i="1"/>
  <c r="R381" i="1"/>
  <c r="K381" i="1"/>
  <c r="L381" i="1"/>
  <c r="M381" i="1"/>
  <c r="N381" i="1"/>
  <c r="O381" i="1"/>
  <c r="O1290" i="1"/>
  <c r="P1314" i="1"/>
  <c r="Q1322" i="1"/>
  <c r="J1330" i="1"/>
  <c r="N1338" i="1"/>
  <c r="L1346" i="1"/>
  <c r="R1354" i="1"/>
  <c r="L1298" i="1"/>
  <c r="N1306" i="1"/>
  <c r="R1362" i="1"/>
  <c r="N1394" i="1"/>
  <c r="J1314" i="1"/>
  <c r="N1322" i="1"/>
  <c r="O1322" i="1"/>
  <c r="P1330" i="1"/>
  <c r="Q1338" i="1"/>
  <c r="J1346" i="1"/>
  <c r="M1354" i="1"/>
  <c r="R1298" i="1"/>
  <c r="L1306" i="1"/>
  <c r="O1362" i="1"/>
  <c r="N1370" i="1"/>
  <c r="J1290" i="1"/>
  <c r="R1314" i="1"/>
  <c r="L1322" i="1"/>
  <c r="R1330" i="1"/>
  <c r="O1330" i="1"/>
  <c r="P1338" i="1"/>
  <c r="Q1346" i="1"/>
  <c r="K1354" i="1"/>
  <c r="J1298" i="1"/>
  <c r="J1306" i="1"/>
  <c r="M1370" i="1"/>
  <c r="N1290" i="1"/>
  <c r="N1314" i="1"/>
  <c r="M1322" i="1"/>
  <c r="N1330" i="1"/>
  <c r="L1338" i="1"/>
  <c r="O1338" i="1"/>
  <c r="P1346" i="1"/>
  <c r="Q1354" i="1"/>
  <c r="Q1298" i="1"/>
  <c r="K1306" i="1"/>
  <c r="K1378" i="1"/>
  <c r="R1290" i="1"/>
  <c r="M1290" i="1"/>
  <c r="M1314" i="1"/>
  <c r="K1322" i="1"/>
  <c r="M1330" i="1"/>
  <c r="J1338" i="1"/>
  <c r="R1346" i="1"/>
  <c r="O1346" i="1"/>
  <c r="P1354" i="1"/>
  <c r="P1298" i="1"/>
  <c r="Q1306" i="1"/>
  <c r="R1378" i="1"/>
  <c r="K1290" i="1"/>
  <c r="Q1290" i="1"/>
  <c r="L1314" i="1"/>
  <c r="J1322" i="1"/>
  <c r="L1330" i="1"/>
  <c r="K1338" i="1"/>
  <c r="M1346" i="1"/>
  <c r="L1354" i="1"/>
  <c r="O1354" i="1"/>
  <c r="N1298" i="1"/>
  <c r="O1298" i="1"/>
  <c r="P1306" i="1"/>
  <c r="N1386" i="1"/>
  <c r="Q17" i="1"/>
  <c r="P67" i="1"/>
  <c r="P257" i="1"/>
  <c r="R210" i="1"/>
  <c r="N152" i="1"/>
  <c r="O67" i="1"/>
  <c r="J1571" i="1"/>
  <c r="K257" i="1"/>
  <c r="R228" i="1"/>
  <c r="Q1896" i="1"/>
  <c r="Q1866" i="1"/>
  <c r="Q1891" i="1"/>
  <c r="P1965" i="1"/>
  <c r="P1964" i="1"/>
  <c r="L1838" i="1"/>
  <c r="L1842" i="1"/>
  <c r="M318" i="1"/>
  <c r="M1645" i="1"/>
  <c r="B257" i="1"/>
  <c r="N1947" i="1"/>
  <c r="A318" i="1"/>
  <c r="J647" i="1"/>
  <c r="M1947" i="1"/>
  <c r="L1925" i="1"/>
  <c r="P1645" i="1"/>
  <c r="K201" i="1"/>
  <c r="A310" i="1"/>
  <c r="P647" i="1"/>
  <c r="R201" i="1"/>
  <c r="N1962" i="1"/>
  <c r="O647" i="1"/>
  <c r="J1925" i="1"/>
  <c r="M1962" i="1"/>
  <c r="N1937" i="1"/>
  <c r="Q1571" i="1"/>
  <c r="J228" i="1"/>
  <c r="A1962" i="1"/>
  <c r="Q693" i="1"/>
  <c r="Q149" i="1"/>
  <c r="J149" i="1"/>
  <c r="N1922" i="1"/>
  <c r="R650" i="1"/>
  <c r="N1300" i="1"/>
  <c r="L152" i="1"/>
  <c r="M1292" i="1"/>
  <c r="K1292" i="1"/>
  <c r="L1340" i="1"/>
  <c r="Q213" i="1"/>
  <c r="J1380" i="1"/>
  <c r="P152" i="1"/>
  <c r="K17" i="1"/>
  <c r="M1300" i="1"/>
  <c r="K1340" i="1"/>
  <c r="P1388" i="1"/>
  <c r="M1950" i="1"/>
  <c r="J666" i="1"/>
  <c r="N149" i="1"/>
  <c r="N67" i="1"/>
  <c r="P1571" i="1"/>
  <c r="O257" i="1"/>
  <c r="A257" i="1"/>
  <c r="J201" i="1"/>
  <c r="Q228" i="1"/>
  <c r="K1288" i="1"/>
  <c r="R1292" i="1"/>
  <c r="O1944" i="1"/>
  <c r="A1955" i="1"/>
  <c r="P478" i="1"/>
  <c r="Q656" i="1"/>
  <c r="K28" i="1"/>
  <c r="N1296" i="1"/>
  <c r="O1304" i="1"/>
  <c r="O1312" i="1"/>
  <c r="Q1312" i="1"/>
  <c r="J1320" i="1"/>
  <c r="R1328" i="1"/>
  <c r="K1336" i="1"/>
  <c r="L1344" i="1"/>
  <c r="M1352" i="1"/>
  <c r="N1360" i="1"/>
  <c r="O1308" i="1"/>
  <c r="O1368" i="1"/>
  <c r="P1376" i="1"/>
  <c r="N1384" i="1"/>
  <c r="P1392" i="1"/>
  <c r="Q1392" i="1"/>
  <c r="Q1388" i="1"/>
  <c r="A1950" i="1"/>
  <c r="M678" i="1"/>
  <c r="A149" i="1"/>
  <c r="M67" i="1"/>
  <c r="N1571" i="1"/>
  <c r="N257" i="1"/>
  <c r="Q201" i="1"/>
  <c r="B201" i="1"/>
  <c r="P228" i="1"/>
  <c r="J1288" i="1"/>
  <c r="Q1292" i="1"/>
  <c r="O655" i="1"/>
  <c r="R1954" i="1"/>
  <c r="R315" i="1"/>
  <c r="L1650" i="1"/>
  <c r="M1296" i="1"/>
  <c r="N1304" i="1"/>
  <c r="N1312" i="1"/>
  <c r="P1320" i="1"/>
  <c r="Q1320" i="1"/>
  <c r="J1328" i="1"/>
  <c r="R1336" i="1"/>
  <c r="K1344" i="1"/>
  <c r="O1352" i="1"/>
  <c r="M1360" i="1"/>
  <c r="N1308" i="1"/>
  <c r="P1356" i="1"/>
  <c r="L1368" i="1"/>
  <c r="R1376" i="1"/>
  <c r="L1384" i="1"/>
  <c r="N1392" i="1"/>
  <c r="L1396" i="1"/>
  <c r="R656" i="1"/>
  <c r="J315" i="1"/>
  <c r="J478" i="1"/>
  <c r="M257" i="1"/>
  <c r="P201" i="1"/>
  <c r="O228" i="1"/>
  <c r="J1316" i="1"/>
  <c r="J1396" i="1"/>
  <c r="R67" i="1"/>
  <c r="L257" i="1"/>
  <c r="O201" i="1"/>
  <c r="N228" i="1"/>
  <c r="P1288" i="1"/>
  <c r="O1292" i="1"/>
  <c r="R1934" i="1"/>
  <c r="N1954" i="1"/>
  <c r="L307" i="1"/>
  <c r="M1642" i="1"/>
  <c r="A1626" i="1"/>
  <c r="R676" i="1"/>
  <c r="P1324" i="1"/>
  <c r="K1296" i="1"/>
  <c r="M1304" i="1"/>
  <c r="P1312" i="1"/>
  <c r="N1320" i="1"/>
  <c r="L1328" i="1"/>
  <c r="P1336" i="1"/>
  <c r="Q1336" i="1"/>
  <c r="J1344" i="1"/>
  <c r="R1352" i="1"/>
  <c r="K1360" i="1"/>
  <c r="O1316" i="1"/>
  <c r="R1364" i="1"/>
  <c r="R1368" i="1"/>
  <c r="M1376" i="1"/>
  <c r="P1384" i="1"/>
  <c r="J1392" i="1"/>
  <c r="Q1372" i="1"/>
  <c r="P1412" i="1"/>
  <c r="L67" i="1"/>
  <c r="M1571" i="1"/>
  <c r="A201" i="1"/>
  <c r="O1934" i="1"/>
  <c r="K1650" i="1"/>
  <c r="M676" i="1"/>
  <c r="L1571" i="1"/>
  <c r="B228" i="1"/>
  <c r="J67" i="1"/>
  <c r="N1292" i="1"/>
  <c r="L1324" i="1"/>
  <c r="R1296" i="1"/>
  <c r="K1304" i="1"/>
  <c r="M1312" i="1"/>
  <c r="M1320" i="1"/>
  <c r="P1328" i="1"/>
  <c r="N1336" i="1"/>
  <c r="M1344" i="1"/>
  <c r="Q1344" i="1"/>
  <c r="J1352" i="1"/>
  <c r="R1360" i="1"/>
  <c r="R1332" i="1"/>
  <c r="Q1364" i="1"/>
  <c r="K1368" i="1"/>
  <c r="J1376" i="1"/>
  <c r="O1384" i="1"/>
  <c r="M1392" i="1"/>
  <c r="N1372" i="1"/>
  <c r="J1452" i="1"/>
  <c r="J1292" i="1"/>
  <c r="K67" i="1"/>
  <c r="P1292" i="1"/>
  <c r="J1954" i="1"/>
  <c r="K1356" i="1"/>
  <c r="P311" i="1"/>
  <c r="B67" i="1"/>
  <c r="A67" i="1"/>
  <c r="K1571" i="1"/>
  <c r="B1571" i="1"/>
  <c r="R257" i="1"/>
  <c r="N201" i="1"/>
  <c r="L228" i="1"/>
  <c r="Q1288" i="1"/>
  <c r="O1288" i="1"/>
  <c r="P1934" i="1"/>
  <c r="B1954" i="1"/>
  <c r="K307" i="1"/>
  <c r="L1642" i="1"/>
  <c r="P644" i="1"/>
  <c r="A682" i="1"/>
  <c r="K1930" i="1"/>
  <c r="M1646" i="1"/>
  <c r="A152" i="1"/>
  <c r="R1571" i="1"/>
  <c r="L201" i="1"/>
  <c r="K228" i="1"/>
  <c r="N1288" i="1"/>
  <c r="L1292" i="1"/>
  <c r="B1934" i="1"/>
  <c r="R1968" i="1"/>
  <c r="Q650" i="1"/>
  <c r="M688" i="1"/>
  <c r="O1324" i="1"/>
  <c r="J1296" i="1"/>
  <c r="R1304" i="1"/>
  <c r="K1312" i="1"/>
  <c r="L1320" i="1"/>
  <c r="O1328" i="1"/>
  <c r="O1336" i="1"/>
  <c r="P1344" i="1"/>
  <c r="P1352" i="1"/>
  <c r="Q1352" i="1"/>
  <c r="J1360" i="1"/>
  <c r="K1300" i="1"/>
  <c r="Q1332" i="1"/>
  <c r="P1368" i="1"/>
  <c r="Q1368" i="1"/>
  <c r="K1376" i="1"/>
  <c r="M1384" i="1"/>
  <c r="R1392" i="1"/>
  <c r="N1380" i="1"/>
  <c r="K152" i="1"/>
  <c r="P149" i="1"/>
  <c r="P355" i="1"/>
  <c r="K213" i="1"/>
  <c r="L17" i="1"/>
  <c r="A317" i="1"/>
  <c r="A1644" i="1"/>
  <c r="M642" i="1"/>
  <c r="P654" i="1"/>
  <c r="L668" i="1"/>
  <c r="Q680" i="1"/>
  <c r="R152" i="1"/>
  <c r="B152" i="1"/>
  <c r="O149" i="1"/>
  <c r="P1662" i="1"/>
  <c r="R213" i="1"/>
  <c r="N17" i="1"/>
  <c r="L309" i="1"/>
  <c r="K1652" i="1"/>
  <c r="P266" i="1"/>
  <c r="P642" i="1"/>
  <c r="B654" i="1"/>
  <c r="A668" i="1"/>
  <c r="N686" i="1"/>
  <c r="B1662" i="1"/>
  <c r="J213" i="1"/>
  <c r="M17" i="1"/>
  <c r="K309" i="1"/>
  <c r="O1652" i="1"/>
  <c r="L266" i="1"/>
  <c r="K648" i="1"/>
  <c r="A654" i="1"/>
  <c r="R674" i="1"/>
  <c r="M686" i="1"/>
  <c r="L686" i="1"/>
  <c r="J152" i="1"/>
  <c r="K149" i="1"/>
  <c r="B149" i="1"/>
  <c r="O213" i="1"/>
  <c r="B17" i="1"/>
  <c r="K317" i="1"/>
  <c r="N309" i="1"/>
  <c r="M1652" i="1"/>
  <c r="A266" i="1"/>
  <c r="R648" i="1"/>
  <c r="Q674" i="1"/>
  <c r="N1514" i="1"/>
  <c r="B1420" i="1"/>
  <c r="L317" i="1"/>
  <c r="O309" i="1"/>
  <c r="N1652" i="1"/>
  <c r="J266" i="1"/>
  <c r="J648" i="1"/>
  <c r="O674" i="1"/>
  <c r="Q152" i="1"/>
  <c r="L149" i="1"/>
  <c r="J317" i="1"/>
  <c r="M309" i="1"/>
  <c r="J1644" i="1"/>
  <c r="B266" i="1"/>
  <c r="Q654" i="1"/>
  <c r="B674" i="1"/>
  <c r="N658" i="1"/>
  <c r="N213" i="1"/>
  <c r="A213" i="1"/>
  <c r="Q317" i="1"/>
  <c r="Q1644" i="1"/>
  <c r="K642" i="1"/>
  <c r="R654" i="1"/>
  <c r="N668" i="1"/>
  <c r="A674" i="1"/>
  <c r="R662" i="1"/>
  <c r="M205" i="1"/>
  <c r="O1436" i="1"/>
  <c r="L1315" i="1"/>
  <c r="J1307" i="1"/>
  <c r="P1291" i="1"/>
  <c r="J56" i="1"/>
  <c r="N1939" i="1"/>
  <c r="K775" i="1"/>
  <c r="K1299" i="1"/>
  <c r="J1331" i="1"/>
  <c r="L1347" i="1"/>
  <c r="J1323" i="1"/>
  <c r="J1339" i="1"/>
  <c r="M149" i="1"/>
  <c r="M152" i="1"/>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L1947" i="1"/>
  <c r="L1962" i="1"/>
  <c r="K16" i="1"/>
  <c r="Q315" i="1"/>
  <c r="R307" i="1"/>
  <c r="O478" i="1"/>
  <c r="R1650" i="1"/>
  <c r="R1642" i="1"/>
  <c r="M1626" i="1"/>
  <c r="M644" i="1"/>
  <c r="P650" i="1"/>
  <c r="P656" i="1"/>
  <c r="Q676" i="1"/>
  <c r="N688" i="1"/>
  <c r="Q1925" i="1"/>
  <c r="R1357" i="1"/>
  <c r="O1365" i="1"/>
  <c r="R1302" i="1"/>
  <c r="Q1381" i="1"/>
  <c r="R1492" i="1"/>
  <c r="N1397" i="1"/>
  <c r="P1373" i="1"/>
  <c r="M1389" i="1"/>
  <c r="K1947" i="1"/>
  <c r="K1962" i="1"/>
  <c r="A1573" i="1"/>
  <c r="P315" i="1"/>
  <c r="P307" i="1"/>
  <c r="N478" i="1"/>
  <c r="J1650" i="1"/>
  <c r="J1642" i="1"/>
  <c r="R1626" i="1"/>
  <c r="L644" i="1"/>
  <c r="M650" i="1"/>
  <c r="K656" i="1"/>
  <c r="O676" i="1"/>
  <c r="L688" i="1"/>
  <c r="B1925" i="1"/>
  <c r="P1357" i="1"/>
  <c r="K1365" i="1"/>
  <c r="O1381" i="1"/>
  <c r="A1498" i="1"/>
  <c r="R1397" i="1"/>
  <c r="L1397" i="1"/>
  <c r="N1373" i="1"/>
  <c r="J1389" i="1"/>
  <c r="R1947" i="1"/>
  <c r="B1947" i="1"/>
  <c r="R1962" i="1"/>
  <c r="M1796" i="1"/>
  <c r="B315" i="1"/>
  <c r="O307" i="1"/>
  <c r="M478" i="1"/>
  <c r="P1650" i="1"/>
  <c r="Q1642" i="1"/>
  <c r="J1626" i="1"/>
  <c r="J644" i="1"/>
  <c r="J650" i="1"/>
  <c r="N656" i="1"/>
  <c r="A676" i="1"/>
  <c r="Q688" i="1"/>
  <c r="O1357" i="1"/>
  <c r="J1365" i="1"/>
  <c r="P1381" i="1"/>
  <c r="O1397" i="1"/>
  <c r="Q1373" i="1"/>
  <c r="L1373" i="1"/>
  <c r="N1389" i="1"/>
  <c r="J766" i="1"/>
  <c r="J1947" i="1"/>
  <c r="A1947" i="1"/>
  <c r="J1962" i="1"/>
  <c r="M315" i="1"/>
  <c r="A315" i="1"/>
  <c r="B307" i="1"/>
  <c r="L478" i="1"/>
  <c r="O1650" i="1"/>
  <c r="P1642" i="1"/>
  <c r="Q1626" i="1"/>
  <c r="K644" i="1"/>
  <c r="N650" i="1"/>
  <c r="A656" i="1"/>
  <c r="P682" i="1"/>
  <c r="K1357" i="1"/>
  <c r="Q1365" i="1"/>
  <c r="K1381" i="1"/>
  <c r="K1397" i="1"/>
  <c r="O1373" i="1"/>
  <c r="Q1389" i="1"/>
  <c r="L1389" i="1"/>
  <c r="O766" i="1"/>
  <c r="P1917" i="1"/>
  <c r="L315" i="1"/>
  <c r="N1650" i="1"/>
  <c r="N644" i="1"/>
  <c r="Q1349" i="1"/>
  <c r="N1357" i="1"/>
  <c r="P1365" i="1"/>
  <c r="Q1497" i="1"/>
  <c r="J1381" i="1"/>
  <c r="J1397" i="1"/>
  <c r="K1373" i="1"/>
  <c r="P1389" i="1"/>
  <c r="B792" i="1"/>
  <c r="Q1947" i="1"/>
  <c r="P1962" i="1"/>
  <c r="Q1962" i="1"/>
  <c r="N307" i="1"/>
  <c r="A307" i="1"/>
  <c r="A478" i="1"/>
  <c r="N1642" i="1"/>
  <c r="O1626" i="1"/>
  <c r="B650" i="1"/>
  <c r="K682" i="1"/>
  <c r="A1587" i="1"/>
  <c r="O1962" i="1"/>
  <c r="B1549" i="1"/>
  <c r="K315" i="1"/>
  <c r="M307" i="1"/>
  <c r="B478" i="1"/>
  <c r="A1650" i="1"/>
  <c r="B1642" i="1"/>
  <c r="N1626" i="1"/>
  <c r="A644" i="1"/>
  <c r="A650" i="1"/>
  <c r="J682" i="1"/>
  <c r="O1925" i="1"/>
  <c r="R1937" i="1"/>
  <c r="N1349" i="1"/>
  <c r="M1357" i="1"/>
  <c r="M1365" i="1"/>
  <c r="A1529" i="1"/>
  <c r="R1381" i="1"/>
  <c r="Q1397" i="1"/>
  <c r="J1373" i="1"/>
  <c r="K1389" i="1"/>
  <c r="N1398" i="1"/>
  <c r="R1549" i="1"/>
  <c r="N1668" i="1"/>
  <c r="N205" i="1"/>
  <c r="R32" i="1"/>
  <c r="O1945" i="1"/>
  <c r="J1291" i="1"/>
  <c r="L1291" i="1"/>
  <c r="Q1307" i="1"/>
  <c r="O1299" i="1"/>
  <c r="P1331" i="1"/>
  <c r="M1323" i="1"/>
  <c r="L1339" i="1"/>
  <c r="O1315" i="1"/>
  <c r="J1549" i="1"/>
  <c r="M1668" i="1"/>
  <c r="B205" i="1"/>
  <c r="N24" i="1"/>
  <c r="L1853" i="1"/>
  <c r="N1955" i="1"/>
  <c r="R1291" i="1"/>
  <c r="M1307" i="1"/>
  <c r="M1299" i="1"/>
  <c r="N1299" i="1"/>
  <c r="O1331" i="1"/>
  <c r="L1323" i="1"/>
  <c r="M1339" i="1"/>
  <c r="M1315" i="1"/>
  <c r="N1315" i="1"/>
  <c r="N1549" i="1"/>
  <c r="A1668" i="1"/>
  <c r="A205" i="1"/>
  <c r="M16" i="1"/>
  <c r="A1853" i="1"/>
  <c r="M1955" i="1"/>
  <c r="Q1291" i="1"/>
  <c r="R1307" i="1"/>
  <c r="L1299" i="1"/>
  <c r="K1331" i="1"/>
  <c r="N1331" i="1"/>
  <c r="K1323" i="1"/>
  <c r="K1339" i="1"/>
  <c r="K1315" i="1"/>
  <c r="M1405" i="1"/>
  <c r="A1661" i="1"/>
  <c r="R1668" i="1"/>
  <c r="L205" i="1"/>
  <c r="R56" i="1"/>
  <c r="L1581" i="1"/>
  <c r="N1935" i="1"/>
  <c r="L1969" i="1"/>
  <c r="O1291" i="1"/>
  <c r="P1307" i="1"/>
  <c r="R1299" i="1"/>
  <c r="R1331" i="1"/>
  <c r="J1347" i="1"/>
  <c r="P1323" i="1"/>
  <c r="R1339" i="1"/>
  <c r="J1315" i="1"/>
  <c r="Q1549" i="1"/>
  <c r="J1668" i="1"/>
  <c r="K205" i="1"/>
  <c r="K48" i="1"/>
  <c r="L1945" i="1"/>
  <c r="B1969" i="1"/>
  <c r="N1291" i="1"/>
  <c r="O1307" i="1"/>
  <c r="J1299" i="1"/>
  <c r="Q1331" i="1"/>
  <c r="O1323" i="1"/>
  <c r="P1339" i="1"/>
  <c r="R1315" i="1"/>
  <c r="R1371" i="1"/>
  <c r="M1549" i="1"/>
  <c r="Q1668" i="1"/>
  <c r="J205" i="1"/>
  <c r="L48" i="1"/>
  <c r="K1945" i="1"/>
  <c r="K1291" i="1"/>
  <c r="L1307" i="1"/>
  <c r="N1307" i="1"/>
  <c r="Q1299" i="1"/>
  <c r="M1331" i="1"/>
  <c r="Q1323" i="1"/>
  <c r="N1323" i="1"/>
  <c r="O1339" i="1"/>
  <c r="Q1315" i="1"/>
  <c r="K1549" i="1"/>
  <c r="P1668" i="1"/>
  <c r="P205" i="1"/>
  <c r="B40" i="1"/>
  <c r="Q1339" i="1"/>
  <c r="O1891" i="1"/>
  <c r="M222" i="1"/>
  <c r="K1302" i="1"/>
  <c r="P1866" i="1"/>
  <c r="M1310" i="1"/>
  <c r="L1318" i="1"/>
  <c r="Q1861" i="1"/>
  <c r="J232" i="1"/>
  <c r="P1342" i="1"/>
  <c r="M1326" i="1"/>
  <c r="O818" i="1"/>
  <c r="P1666" i="1"/>
  <c r="R1826" i="1"/>
  <c r="J264" i="1"/>
  <c r="J1334" i="1"/>
  <c r="Q1366" i="1"/>
  <c r="N58" i="1"/>
  <c r="L1801" i="1"/>
  <c r="L263" i="1"/>
  <c r="N1350" i="1"/>
  <c r="P1531" i="1"/>
  <c r="O1374" i="1"/>
  <c r="O34" i="1"/>
  <c r="O1579" i="1"/>
  <c r="Q1358" i="1"/>
  <c r="A1460" i="1"/>
  <c r="J1382" i="1"/>
  <c r="Q728" i="1"/>
  <c r="P734" i="1"/>
  <c r="N18" i="1"/>
  <c r="J1587" i="1"/>
  <c r="N1294" i="1"/>
  <c r="L1403" i="1"/>
  <c r="J1390" i="1"/>
  <c r="P202" i="1"/>
  <c r="K58" i="1"/>
  <c r="K34" i="1"/>
  <c r="B18" i="1"/>
  <c r="L1917" i="1"/>
  <c r="M1891" i="1"/>
  <c r="O1866" i="1"/>
  <c r="O1861" i="1"/>
  <c r="Q1826" i="1"/>
  <c r="K1801" i="1"/>
  <c r="N1579" i="1"/>
  <c r="Q1587" i="1"/>
  <c r="P264" i="1"/>
  <c r="B263" i="1"/>
  <c r="O259" i="1"/>
  <c r="L230" i="1"/>
  <c r="M361" i="1"/>
  <c r="L1310" i="1"/>
  <c r="M1342" i="1"/>
  <c r="M1294" i="1"/>
  <c r="Q1302" i="1"/>
  <c r="N1318" i="1"/>
  <c r="K1318" i="1"/>
  <c r="L1326" i="1"/>
  <c r="M1334" i="1"/>
  <c r="J1350" i="1"/>
  <c r="P1358" i="1"/>
  <c r="O1366" i="1"/>
  <c r="J1374" i="1"/>
  <c r="Q1382" i="1"/>
  <c r="R1390" i="1"/>
  <c r="J1398" i="1"/>
  <c r="K1917" i="1"/>
  <c r="L1891" i="1"/>
  <c r="N1866" i="1"/>
  <c r="M1861" i="1"/>
  <c r="N1826" i="1"/>
  <c r="J1801" i="1"/>
  <c r="M1579" i="1"/>
  <c r="P1587" i="1"/>
  <c r="Q264" i="1"/>
  <c r="L259" i="1"/>
  <c r="K230" i="1"/>
  <c r="Q1310" i="1"/>
  <c r="K1310" i="1"/>
  <c r="L1342" i="1"/>
  <c r="L1294" i="1"/>
  <c r="P1302" i="1"/>
  <c r="J1318" i="1"/>
  <c r="Q1326" i="1"/>
  <c r="K1326" i="1"/>
  <c r="L1334" i="1"/>
  <c r="M1350" i="1"/>
  <c r="N1358" i="1"/>
  <c r="M1366" i="1"/>
  <c r="Q1374" i="1"/>
  <c r="N1382" i="1"/>
  <c r="P1390" i="1"/>
  <c r="L1398" i="1"/>
  <c r="R1917" i="1"/>
  <c r="A1891" i="1"/>
  <c r="K1861" i="1"/>
  <c r="L1861" i="1"/>
  <c r="M1826" i="1"/>
  <c r="K1579" i="1"/>
  <c r="L1579" i="1"/>
  <c r="O1587" i="1"/>
  <c r="B264" i="1"/>
  <c r="P259" i="1"/>
  <c r="R230" i="1"/>
  <c r="P1310" i="1"/>
  <c r="O1342" i="1"/>
  <c r="K1342" i="1"/>
  <c r="K1294" i="1"/>
  <c r="N1302" i="1"/>
  <c r="R1318" i="1"/>
  <c r="O1326" i="1"/>
  <c r="R1334" i="1"/>
  <c r="K1334" i="1"/>
  <c r="L1350" i="1"/>
  <c r="M1358" i="1"/>
  <c r="P1366" i="1"/>
  <c r="K1366" i="1"/>
  <c r="M1374" i="1"/>
  <c r="L1382" i="1"/>
  <c r="O1390" i="1"/>
  <c r="R1398" i="1"/>
  <c r="B58" i="1"/>
  <c r="R34" i="1"/>
  <c r="M1551" i="1"/>
  <c r="B34" i="1"/>
  <c r="O1551" i="1"/>
  <c r="B202" i="1"/>
  <c r="A50" i="1"/>
  <c r="R26" i="1"/>
  <c r="K1866" i="1"/>
  <c r="J1861" i="1"/>
  <c r="B1861" i="1"/>
  <c r="B1826" i="1"/>
  <c r="R1579" i="1"/>
  <c r="B1579" i="1"/>
  <c r="N1587" i="1"/>
  <c r="A264" i="1"/>
  <c r="Q1573" i="1"/>
  <c r="N259" i="1"/>
  <c r="P230" i="1"/>
  <c r="N1310" i="1"/>
  <c r="J1342" i="1"/>
  <c r="P1294" i="1"/>
  <c r="J1302" i="1"/>
  <c r="Q1318" i="1"/>
  <c r="P1326" i="1"/>
  <c r="Q1334" i="1"/>
  <c r="R1350" i="1"/>
  <c r="K1350" i="1"/>
  <c r="L1358" i="1"/>
  <c r="J1426" i="1"/>
  <c r="N1366" i="1"/>
  <c r="L1374" i="1"/>
  <c r="K1374" i="1"/>
  <c r="M1382" i="1"/>
  <c r="L1390" i="1"/>
  <c r="Q1398" i="1"/>
  <c r="O1917" i="1"/>
  <c r="R202" i="1"/>
  <c r="J202" i="1"/>
  <c r="Q50" i="1"/>
  <c r="A1551" i="1"/>
  <c r="L212" i="1"/>
  <c r="O42" i="1"/>
  <c r="K26" i="1"/>
  <c r="K1891" i="1"/>
  <c r="J1866" i="1"/>
  <c r="R1861" i="1"/>
  <c r="A1861" i="1"/>
  <c r="A1826" i="1"/>
  <c r="J1579" i="1"/>
  <c r="A1579" i="1"/>
  <c r="M1587" i="1"/>
  <c r="M263" i="1"/>
  <c r="P1573" i="1"/>
  <c r="B259" i="1"/>
  <c r="A230" i="1"/>
  <c r="J1310" i="1"/>
  <c r="N1342" i="1"/>
  <c r="R1294" i="1"/>
  <c r="O1302" i="1"/>
  <c r="P1318" i="1"/>
  <c r="N1326" i="1"/>
  <c r="P1334" i="1"/>
  <c r="P1350" i="1"/>
  <c r="O1358" i="1"/>
  <c r="K1358" i="1"/>
  <c r="Q1466" i="1"/>
  <c r="Q1402" i="1"/>
  <c r="J1366" i="1"/>
  <c r="R1374" i="1"/>
  <c r="R1382" i="1"/>
  <c r="K1382" i="1"/>
  <c r="M1390" i="1"/>
  <c r="O1398" i="1"/>
  <c r="O212" i="1"/>
  <c r="N42" i="1"/>
  <c r="K18" i="1"/>
  <c r="R1891" i="1"/>
  <c r="L1826" i="1"/>
  <c r="N264" i="1"/>
  <c r="P263" i="1"/>
  <c r="M1573" i="1"/>
  <c r="Q222" i="1"/>
  <c r="R1310" i="1"/>
  <c r="R1342" i="1"/>
  <c r="J1294" i="1"/>
  <c r="M1302" i="1"/>
  <c r="O1318" i="1"/>
  <c r="J1326" i="1"/>
  <c r="O1334" i="1"/>
  <c r="Q1350" i="1"/>
  <c r="J1358" i="1"/>
  <c r="J1482" i="1"/>
  <c r="N1434" i="1"/>
  <c r="L1366" i="1"/>
  <c r="P1374" i="1"/>
  <c r="P1382" i="1"/>
  <c r="Q1390" i="1"/>
  <c r="K1390" i="1"/>
  <c r="M1398" i="1"/>
  <c r="M1666" i="1"/>
  <c r="R1866" i="1"/>
  <c r="P1861" i="1"/>
  <c r="P1801" i="1"/>
  <c r="Q1579" i="1"/>
  <c r="K1587" i="1"/>
  <c r="L1587" i="1"/>
  <c r="K1666" i="1"/>
  <c r="O58" i="1"/>
  <c r="L42" i="1"/>
  <c r="J18" i="1"/>
  <c r="Q632" i="1"/>
  <c r="R1587" i="1"/>
  <c r="L264" i="1"/>
  <c r="N263" i="1"/>
  <c r="B1573" i="1"/>
  <c r="P222" i="1"/>
  <c r="O1310" i="1"/>
  <c r="Q1342" i="1"/>
  <c r="O1294" i="1"/>
  <c r="L1302" i="1"/>
  <c r="M1318" i="1"/>
  <c r="R1326" i="1"/>
  <c r="N1334" i="1"/>
  <c r="O1350" i="1"/>
  <c r="R1358" i="1"/>
  <c r="B1506" i="1"/>
  <c r="M1458" i="1"/>
  <c r="R1366" i="1"/>
  <c r="N1374" i="1"/>
  <c r="O1382" i="1"/>
  <c r="N1390" i="1"/>
  <c r="P1398" i="1"/>
  <c r="K1398" i="1"/>
  <c r="P73" i="1"/>
  <c r="J65" i="1"/>
  <c r="L73" i="1"/>
  <c r="P65" i="1"/>
  <c r="Q65" i="1"/>
  <c r="K73" i="1"/>
  <c r="L65" i="1"/>
  <c r="R73" i="1"/>
  <c r="M65" i="1"/>
  <c r="J73" i="1"/>
  <c r="B65" i="1"/>
  <c r="B73" i="1"/>
  <c r="N73" i="1"/>
  <c r="N66" i="1"/>
  <c r="R65" i="1"/>
  <c r="P1855" i="1"/>
  <c r="B1891" i="1"/>
  <c r="Q1801" i="1"/>
  <c r="R1854" i="1"/>
  <c r="O1914" i="1"/>
  <c r="O1918" i="1"/>
  <c r="N1834" i="1"/>
  <c r="B1900" i="1"/>
  <c r="P1947" i="1"/>
  <c r="A1801" i="1"/>
  <c r="N1848" i="1"/>
  <c r="J1840" i="1"/>
  <c r="R311" i="1"/>
  <c r="A1855" i="1"/>
  <c r="A1542" i="1"/>
  <c r="O640" i="1"/>
  <c r="P660" i="1"/>
  <c r="R678" i="1"/>
  <c r="Q311" i="1"/>
  <c r="P1646" i="1"/>
  <c r="B640" i="1"/>
  <c r="K660" i="1"/>
  <c r="P678" i="1"/>
  <c r="B317" i="1"/>
  <c r="B309" i="1"/>
  <c r="B1644" i="1"/>
  <c r="O266" i="1"/>
  <c r="L648" i="1"/>
  <c r="P668" i="1"/>
  <c r="A224" i="1"/>
  <c r="M1426" i="1"/>
  <c r="A1466" i="1"/>
  <c r="M1402" i="1"/>
  <c r="J1442" i="1"/>
  <c r="L666" i="1"/>
  <c r="P1522" i="1"/>
  <c r="N1410" i="1"/>
  <c r="N1458" i="1"/>
  <c r="B1354" i="1"/>
  <c r="J319" i="1"/>
  <c r="B1646" i="1"/>
  <c r="J367" i="1"/>
  <c r="N1450" i="1"/>
  <c r="O1490" i="1"/>
  <c r="N1522" i="1"/>
  <c r="K1410" i="1"/>
  <c r="L1458" i="1"/>
  <c r="P319" i="1"/>
  <c r="K311" i="1"/>
  <c r="O367" i="1"/>
  <c r="K666" i="1"/>
  <c r="N319" i="1"/>
  <c r="A311" i="1"/>
  <c r="N1542" i="1"/>
  <c r="B367" i="1"/>
  <c r="A666" i="1"/>
  <c r="M680" i="1"/>
  <c r="J1450" i="1"/>
  <c r="N1490" i="1"/>
  <c r="L1418" i="1"/>
  <c r="N311" i="1"/>
  <c r="B646" i="1"/>
  <c r="M1942" i="1"/>
  <c r="K1450" i="1"/>
  <c r="M1490" i="1"/>
  <c r="O1418" i="1"/>
  <c r="P1498" i="1"/>
  <c r="M319" i="1"/>
  <c r="N1855" i="1"/>
  <c r="R1542" i="1"/>
  <c r="M640" i="1"/>
  <c r="R672" i="1"/>
  <c r="K319" i="1"/>
  <c r="K1855" i="1"/>
  <c r="B1542" i="1"/>
  <c r="L640" i="1"/>
  <c r="J660" i="1"/>
  <c r="M672" i="1"/>
  <c r="N692" i="1"/>
  <c r="M1466" i="1"/>
  <c r="M1506" i="1"/>
  <c r="B1418" i="1"/>
  <c r="O1498" i="1"/>
  <c r="P30" i="1"/>
  <c r="L732" i="1"/>
  <c r="Q732" i="1"/>
  <c r="N699" i="1"/>
  <c r="J699" i="1"/>
  <c r="J725" i="1"/>
  <c r="B725" i="1"/>
  <c r="J310" i="1"/>
  <c r="O1645" i="1"/>
  <c r="R693" i="1"/>
  <c r="R1922" i="1"/>
  <c r="B712" i="1"/>
  <c r="K1511" i="1"/>
  <c r="O1511" i="1"/>
  <c r="J248" i="1"/>
  <c r="R248" i="1"/>
  <c r="N1797" i="1"/>
  <c r="R1797" i="1"/>
  <c r="N1593" i="1"/>
  <c r="K686" i="1"/>
  <c r="O686" i="1"/>
  <c r="A686" i="1"/>
  <c r="R686" i="1"/>
  <c r="B686" i="1"/>
  <c r="J686" i="1"/>
  <c r="Q686" i="1"/>
  <c r="N680" i="1"/>
  <c r="P680" i="1"/>
  <c r="R680" i="1"/>
  <c r="B680" i="1"/>
  <c r="O680" i="1"/>
  <c r="M674" i="1"/>
  <c r="L674" i="1"/>
  <c r="N674" i="1"/>
  <c r="P674" i="1"/>
  <c r="J674" i="1"/>
  <c r="Q668" i="1"/>
  <c r="O668" i="1"/>
  <c r="J668" i="1"/>
  <c r="R668" i="1"/>
  <c r="K668" i="1"/>
  <c r="J654" i="1"/>
  <c r="K654" i="1"/>
  <c r="L654" i="1"/>
  <c r="N654" i="1"/>
  <c r="B648" i="1"/>
  <c r="O648" i="1"/>
  <c r="P648" i="1"/>
  <c r="N648" i="1"/>
  <c r="M648" i="1"/>
  <c r="Q648" i="1"/>
  <c r="Q642" i="1"/>
  <c r="R642" i="1"/>
  <c r="A642" i="1"/>
  <c r="J642" i="1"/>
  <c r="B642" i="1"/>
  <c r="L642" i="1"/>
  <c r="Q266" i="1"/>
  <c r="K266" i="1"/>
  <c r="M266" i="1"/>
  <c r="N266" i="1"/>
  <c r="L1644" i="1"/>
  <c r="K1644" i="1"/>
  <c r="M1644" i="1"/>
  <c r="N1644" i="1"/>
  <c r="O1644" i="1"/>
  <c r="Q1652" i="1"/>
  <c r="A1652" i="1"/>
  <c r="J1652" i="1"/>
  <c r="B1652" i="1"/>
  <c r="R1652" i="1"/>
  <c r="L1652" i="1"/>
  <c r="Q309" i="1"/>
  <c r="J309" i="1"/>
  <c r="A309" i="1"/>
  <c r="R309" i="1"/>
  <c r="N317" i="1"/>
  <c r="O317" i="1"/>
  <c r="P317" i="1"/>
  <c r="M1923" i="1"/>
  <c r="N1923" i="1"/>
  <c r="O1923" i="1"/>
  <c r="R1923" i="1"/>
  <c r="O1929" i="1"/>
  <c r="B1929" i="1"/>
  <c r="N1873" i="1"/>
  <c r="Q1873" i="1"/>
  <c r="J1873" i="1"/>
  <c r="P14" i="1"/>
  <c r="M14" i="1"/>
  <c r="M38" i="1"/>
  <c r="O38" i="1"/>
  <c r="J54" i="1"/>
  <c r="P54" i="1"/>
  <c r="L1537" i="1"/>
  <c r="A1537" i="1"/>
  <c r="B1537" i="1"/>
  <c r="K1670" i="1"/>
  <c r="R1670" i="1"/>
  <c r="B693" i="1"/>
  <c r="L693" i="1"/>
  <c r="M693" i="1"/>
  <c r="O693" i="1"/>
  <c r="R647" i="1"/>
  <c r="K647" i="1"/>
  <c r="M647" i="1"/>
  <c r="L1645" i="1"/>
  <c r="K1645" i="1"/>
  <c r="O310" i="1"/>
  <c r="N310" i="1"/>
  <c r="P310" i="1"/>
  <c r="Q310" i="1"/>
  <c r="L318" i="1"/>
  <c r="P318" i="1"/>
  <c r="J318" i="1"/>
  <c r="O1922" i="1"/>
  <c r="B1922" i="1"/>
  <c r="A1922" i="1"/>
  <c r="M1922" i="1"/>
  <c r="M1349" i="1"/>
  <c r="J1356" i="1"/>
  <c r="P1364" i="1"/>
  <c r="O1372" i="1"/>
  <c r="Q1380" i="1"/>
  <c r="L1388" i="1"/>
  <c r="P1396" i="1"/>
  <c r="K1349" i="1"/>
  <c r="L1349" i="1"/>
  <c r="R1356" i="1"/>
  <c r="L1364" i="1"/>
  <c r="P1372" i="1"/>
  <c r="M1372" i="1"/>
  <c r="O1380" i="1"/>
  <c r="K1388" i="1"/>
  <c r="N1396" i="1"/>
  <c r="P646" i="1"/>
  <c r="N660" i="1"/>
  <c r="L678" i="1"/>
  <c r="L692" i="1"/>
  <c r="M228" i="1"/>
  <c r="P24" i="1"/>
  <c r="K1573" i="1"/>
  <c r="L222" i="1"/>
  <c r="M230" i="1"/>
  <c r="P1626" i="1"/>
  <c r="R644" i="1"/>
  <c r="L650" i="1"/>
  <c r="O656" i="1"/>
  <c r="B662" i="1"/>
  <c r="N676" i="1"/>
  <c r="Q682" i="1"/>
  <c r="Q157" i="1"/>
  <c r="R1349" i="1"/>
  <c r="O1356" i="1"/>
  <c r="J1364" i="1"/>
  <c r="L1449" i="1"/>
  <c r="L1372" i="1"/>
  <c r="R1380" i="1"/>
  <c r="M1380" i="1"/>
  <c r="O1388" i="1"/>
  <c r="K1396" i="1"/>
  <c r="L1575" i="1"/>
  <c r="O157" i="1"/>
  <c r="P1349" i="1"/>
  <c r="N1356" i="1"/>
  <c r="O1364" i="1"/>
  <c r="J1372" i="1"/>
  <c r="P1380" i="1"/>
  <c r="N1388" i="1"/>
  <c r="M1388" i="1"/>
  <c r="O1396" i="1"/>
  <c r="B768" i="1"/>
  <c r="O1349" i="1"/>
  <c r="Q1356" i="1"/>
  <c r="M1356" i="1"/>
  <c r="N1364" i="1"/>
  <c r="P1473" i="1"/>
  <c r="K1372" i="1"/>
  <c r="L1380" i="1"/>
  <c r="J1388" i="1"/>
  <c r="R1396" i="1"/>
  <c r="M1396" i="1"/>
  <c r="Q806" i="1"/>
  <c r="J1349" i="1"/>
  <c r="L1356" i="1"/>
  <c r="K1364" i="1"/>
  <c r="M1364" i="1"/>
  <c r="R1372" i="1"/>
  <c r="K1380" i="1"/>
  <c r="R1388" i="1"/>
  <c r="Q1396" i="1"/>
  <c r="B1395" i="1"/>
  <c r="M1395" i="1"/>
  <c r="R1395" i="1"/>
  <c r="Q1395" i="1"/>
  <c r="K1395" i="1"/>
  <c r="N1395" i="1"/>
  <c r="O1395" i="1"/>
  <c r="P1395" i="1"/>
  <c r="J1395" i="1"/>
  <c r="B1387" i="1"/>
  <c r="J1387" i="1"/>
  <c r="K1387" i="1"/>
  <c r="O1387" i="1"/>
  <c r="L1387" i="1"/>
  <c r="M1387" i="1"/>
  <c r="N1387" i="1"/>
  <c r="Q1387" i="1"/>
  <c r="P1387" i="1"/>
  <c r="B1379" i="1"/>
  <c r="O1379" i="1"/>
  <c r="R1379" i="1"/>
  <c r="L1379" i="1"/>
  <c r="K1379" i="1"/>
  <c r="M1379" i="1"/>
  <c r="Q1379" i="1"/>
  <c r="N1379" i="1"/>
  <c r="J1379" i="1"/>
  <c r="B1371" i="1"/>
  <c r="P1371" i="1"/>
  <c r="L1371" i="1"/>
  <c r="O1371" i="1"/>
  <c r="Q1371" i="1"/>
  <c r="J1371" i="1"/>
  <c r="K1371" i="1"/>
  <c r="M1371" i="1"/>
  <c r="B1363" i="1"/>
  <c r="M1363" i="1"/>
  <c r="N1363" i="1"/>
  <c r="R1363" i="1"/>
  <c r="O1363" i="1"/>
  <c r="P1363" i="1"/>
  <c r="J1363" i="1"/>
  <c r="K1363" i="1"/>
  <c r="L1363" i="1"/>
  <c r="B1355" i="1"/>
  <c r="J1355" i="1"/>
  <c r="L1355" i="1"/>
  <c r="N1355" i="1"/>
  <c r="Q1355" i="1"/>
  <c r="O1355" i="1"/>
  <c r="P1355" i="1"/>
  <c r="M1355" i="1"/>
  <c r="R1355" i="1"/>
  <c r="B1348" i="1"/>
  <c r="L1348" i="1"/>
  <c r="Q1348" i="1"/>
  <c r="R1348" i="1"/>
  <c r="J1348" i="1"/>
  <c r="K1348" i="1"/>
  <c r="M1348" i="1"/>
  <c r="P1348" i="1"/>
  <c r="N1348" i="1"/>
  <c r="P248" i="1"/>
  <c r="O475" i="1"/>
  <c r="K475" i="1"/>
  <c r="B318" i="1"/>
  <c r="B310" i="1"/>
  <c r="B1645" i="1"/>
  <c r="B647" i="1"/>
  <c r="A693" i="1"/>
  <c r="R1661" i="1"/>
  <c r="Q1797" i="1"/>
  <c r="Q1922" i="1"/>
  <c r="M56" i="1"/>
  <c r="M24" i="1"/>
  <c r="R16" i="1"/>
  <c r="L475" i="1"/>
  <c r="M1915" i="1"/>
  <c r="L1859" i="1"/>
  <c r="R1796" i="1"/>
  <c r="M1577" i="1"/>
  <c r="K1660" i="1"/>
  <c r="Q1555" i="1"/>
  <c r="B1670" i="1"/>
  <c r="N54" i="1"/>
  <c r="M30" i="1"/>
  <c r="Q71" i="1"/>
  <c r="Q1575" i="1"/>
  <c r="N232" i="1"/>
  <c r="K1293" i="1"/>
  <c r="A157" i="1"/>
  <c r="J32" i="1"/>
  <c r="A32" i="1"/>
  <c r="M48" i="1"/>
  <c r="N48" i="1"/>
  <c r="R318" i="1"/>
  <c r="R310" i="1"/>
  <c r="R1645" i="1"/>
  <c r="L647" i="1"/>
  <c r="A647" i="1"/>
  <c r="J1661" i="1"/>
  <c r="M1896" i="1"/>
  <c r="P1797" i="1"/>
  <c r="P1922" i="1"/>
  <c r="L56" i="1"/>
  <c r="O40" i="1"/>
  <c r="K32" i="1"/>
  <c r="L24" i="1"/>
  <c r="J16" i="1"/>
  <c r="R475" i="1"/>
  <c r="B1915" i="1"/>
  <c r="P1859" i="1"/>
  <c r="P1796" i="1"/>
  <c r="L1577" i="1"/>
  <c r="P1555" i="1"/>
  <c r="R207" i="1"/>
  <c r="A54" i="1"/>
  <c r="K30" i="1"/>
  <c r="N71" i="1"/>
  <c r="M1591" i="1"/>
  <c r="L232" i="1"/>
  <c r="R1293" i="1"/>
  <c r="M825" i="1"/>
  <c r="A825" i="1"/>
  <c r="P825" i="1"/>
  <c r="N819" i="1"/>
  <c r="Q819" i="1"/>
  <c r="A819" i="1"/>
  <c r="K819" i="1"/>
  <c r="L819" i="1"/>
  <c r="J813" i="1"/>
  <c r="P813" i="1"/>
  <c r="P799" i="1"/>
  <c r="B799" i="1"/>
  <c r="J799" i="1"/>
  <c r="R799" i="1"/>
  <c r="L799" i="1"/>
  <c r="M799" i="1"/>
  <c r="A793" i="1"/>
  <c r="J793" i="1"/>
  <c r="R793" i="1"/>
  <c r="K793" i="1"/>
  <c r="L793" i="1"/>
  <c r="O793" i="1"/>
  <c r="A787" i="1"/>
  <c r="B787" i="1"/>
  <c r="J787" i="1"/>
  <c r="R787" i="1"/>
  <c r="K787" i="1"/>
  <c r="O787" i="1"/>
  <c r="Q787" i="1"/>
  <c r="A781" i="1"/>
  <c r="B781" i="1"/>
  <c r="J781" i="1"/>
  <c r="L781" i="1"/>
  <c r="N781" i="1"/>
  <c r="O781" i="1"/>
  <c r="Q781" i="1"/>
  <c r="J767" i="1"/>
  <c r="R767" i="1"/>
  <c r="M767" i="1"/>
  <c r="N767" i="1"/>
  <c r="O767" i="1"/>
  <c r="P767" i="1"/>
  <c r="R761" i="1"/>
  <c r="L761" i="1"/>
  <c r="M761" i="1"/>
  <c r="O761" i="1"/>
  <c r="Q761" i="1"/>
  <c r="A761" i="1"/>
  <c r="O755" i="1"/>
  <c r="K755" i="1"/>
  <c r="P755" i="1"/>
  <c r="R755" i="1"/>
  <c r="Q755" i="1"/>
  <c r="A755" i="1"/>
  <c r="B755" i="1"/>
  <c r="Q749" i="1"/>
  <c r="R749" i="1"/>
  <c r="J749" i="1"/>
  <c r="M749" i="1"/>
  <c r="K749" i="1"/>
  <c r="A749" i="1"/>
  <c r="B749" i="1"/>
  <c r="R735" i="1"/>
  <c r="J735" i="1"/>
  <c r="M735" i="1"/>
  <c r="B735" i="1"/>
  <c r="N735" i="1"/>
  <c r="O735" i="1"/>
  <c r="M729" i="1"/>
  <c r="Q729" i="1"/>
  <c r="R729" i="1"/>
  <c r="A729" i="1"/>
  <c r="L729" i="1"/>
  <c r="O729" i="1"/>
  <c r="P729" i="1"/>
  <c r="R723" i="1"/>
  <c r="J723" i="1"/>
  <c r="L723" i="1"/>
  <c r="N723" i="1"/>
  <c r="O723" i="1"/>
  <c r="K723" i="1"/>
  <c r="R717" i="1"/>
  <c r="B717" i="1"/>
  <c r="L717" i="1"/>
  <c r="O717" i="1"/>
  <c r="K717" i="1"/>
  <c r="J717" i="1"/>
  <c r="B703" i="1"/>
  <c r="L703" i="1"/>
  <c r="N703" i="1"/>
  <c r="O703" i="1"/>
  <c r="P703" i="1"/>
  <c r="Q703" i="1"/>
  <c r="R703" i="1"/>
  <c r="B697" i="1"/>
  <c r="L697" i="1"/>
  <c r="N697" i="1"/>
  <c r="P697" i="1"/>
  <c r="Q697" i="1"/>
  <c r="J697" i="1"/>
  <c r="R697" i="1"/>
  <c r="A1341" i="1"/>
  <c r="L1341" i="1"/>
  <c r="J1341" i="1"/>
  <c r="M1341" i="1"/>
  <c r="N1341" i="1"/>
  <c r="K1341" i="1"/>
  <c r="O1341" i="1"/>
  <c r="P1341" i="1"/>
  <c r="Q1341" i="1"/>
  <c r="A1301" i="1"/>
  <c r="P1301" i="1"/>
  <c r="J1301" i="1"/>
  <c r="K1301" i="1"/>
  <c r="O1301" i="1"/>
  <c r="Q1301" i="1"/>
  <c r="L1301" i="1"/>
  <c r="R1301" i="1"/>
  <c r="M1301" i="1"/>
  <c r="Q1661" i="1"/>
  <c r="L1896" i="1"/>
  <c r="M1797" i="1"/>
  <c r="P40" i="1"/>
  <c r="P32" i="1"/>
  <c r="J24" i="1"/>
  <c r="B16" i="1"/>
  <c r="Q475" i="1"/>
  <c r="O1872" i="1"/>
  <c r="K1859" i="1"/>
  <c r="O1796" i="1"/>
  <c r="B1555" i="1"/>
  <c r="N207" i="1"/>
  <c r="M46" i="1"/>
  <c r="P22" i="1"/>
  <c r="R362" i="1"/>
  <c r="K1591" i="1"/>
  <c r="P262" i="1"/>
  <c r="B232" i="1"/>
  <c r="J1293" i="1"/>
  <c r="O246" i="1"/>
  <c r="K688" i="1"/>
  <c r="R688" i="1"/>
  <c r="O799" i="1"/>
  <c r="A1333" i="1"/>
  <c r="P1333" i="1"/>
  <c r="L1333" i="1"/>
  <c r="R1333" i="1"/>
  <c r="M1333" i="1"/>
  <c r="N1333" i="1"/>
  <c r="J1333" i="1"/>
  <c r="K1333" i="1"/>
  <c r="O1333" i="1"/>
  <c r="A1309" i="1"/>
  <c r="K1309" i="1"/>
  <c r="O1309" i="1"/>
  <c r="Q1309" i="1"/>
  <c r="R1309" i="1"/>
  <c r="L1309" i="1"/>
  <c r="J1309" i="1"/>
  <c r="M1309" i="1"/>
  <c r="N1309" i="1"/>
  <c r="J1577" i="1"/>
  <c r="N1577" i="1"/>
  <c r="R1581" i="1"/>
  <c r="N1581" i="1"/>
  <c r="N1832" i="1"/>
  <c r="K1832" i="1"/>
  <c r="Q1906" i="1"/>
  <c r="K1906" i="1"/>
  <c r="N1661" i="1"/>
  <c r="K1896" i="1"/>
  <c r="A1797" i="1"/>
  <c r="Q48" i="1"/>
  <c r="M32" i="1"/>
  <c r="P475" i="1"/>
  <c r="N1872" i="1"/>
  <c r="Q1859" i="1"/>
  <c r="N1796" i="1"/>
  <c r="Q1577" i="1"/>
  <c r="M1593" i="1"/>
  <c r="A207" i="1"/>
  <c r="Q262" i="1"/>
  <c r="Q1333" i="1"/>
  <c r="J1535" i="1"/>
  <c r="M1535" i="1"/>
  <c r="J1503" i="1"/>
  <c r="A1503" i="1"/>
  <c r="J1455" i="1"/>
  <c r="P1455" i="1"/>
  <c r="Q1455" i="1"/>
  <c r="K1423" i="1"/>
  <c r="Q1423" i="1"/>
  <c r="L1415" i="1"/>
  <c r="R1415" i="1"/>
  <c r="A1325" i="1"/>
  <c r="K1325" i="1"/>
  <c r="J1325" i="1"/>
  <c r="L1325" i="1"/>
  <c r="O1325" i="1"/>
  <c r="M1325" i="1"/>
  <c r="N1325" i="1"/>
  <c r="P1325" i="1"/>
  <c r="Q1325" i="1"/>
  <c r="A1317" i="1"/>
  <c r="O1317" i="1"/>
  <c r="P1317" i="1"/>
  <c r="Q1317" i="1"/>
  <c r="L1317" i="1"/>
  <c r="R1317" i="1"/>
  <c r="M1317" i="1"/>
  <c r="N1317" i="1"/>
  <c r="J1317" i="1"/>
  <c r="A1293" i="1"/>
  <c r="M1293" i="1"/>
  <c r="J1797" i="1"/>
  <c r="O1293" i="1"/>
  <c r="O71" i="1"/>
  <c r="J71" i="1"/>
  <c r="K24" i="1"/>
  <c r="A24" i="1"/>
  <c r="R40" i="1"/>
  <c r="L40" i="1"/>
  <c r="Q56" i="1"/>
  <c r="K56" i="1"/>
  <c r="N1301" i="1"/>
  <c r="K1661" i="1"/>
  <c r="R1896" i="1"/>
  <c r="P48" i="1"/>
  <c r="K40" i="1"/>
  <c r="L32" i="1"/>
  <c r="O16" i="1"/>
  <c r="B475" i="1"/>
  <c r="R1853" i="1"/>
  <c r="B1859" i="1"/>
  <c r="Q1581" i="1"/>
  <c r="B1577" i="1"/>
  <c r="R1831" i="1"/>
  <c r="J38" i="1"/>
  <c r="O14" i="1"/>
  <c r="L1873" i="1"/>
  <c r="K262" i="1"/>
  <c r="L1293" i="1"/>
  <c r="A680" i="1"/>
  <c r="J680" i="1"/>
  <c r="R1341" i="1"/>
  <c r="B1661" i="1"/>
  <c r="B1896" i="1"/>
  <c r="L1797" i="1"/>
  <c r="P56" i="1"/>
  <c r="J48" i="1"/>
  <c r="N40" i="1"/>
  <c r="Q24" i="1"/>
  <c r="P16" i="1"/>
  <c r="A475" i="1"/>
  <c r="O1853" i="1"/>
  <c r="M1581" i="1"/>
  <c r="A1577" i="1"/>
  <c r="M224" i="1"/>
  <c r="Q1293" i="1"/>
  <c r="O362" i="1"/>
  <c r="M362" i="1"/>
  <c r="R22" i="1"/>
  <c r="K22" i="1"/>
  <c r="L46" i="1"/>
  <c r="B46" i="1"/>
  <c r="Q1537" i="1"/>
  <c r="P1537" i="1"/>
  <c r="O1593" i="1"/>
  <c r="A1593" i="1"/>
  <c r="Q744" i="1"/>
  <c r="A814" i="1"/>
  <c r="N315" i="1"/>
  <c r="J307" i="1"/>
  <c r="M1650" i="1"/>
  <c r="B1650" i="1"/>
  <c r="O644" i="1"/>
  <c r="B644" i="1"/>
  <c r="K650" i="1"/>
  <c r="P676" i="1"/>
  <c r="L682" i="1"/>
  <c r="N1929" i="1"/>
  <c r="A1344" i="1"/>
  <c r="M9" i="1"/>
  <c r="N9" i="1"/>
  <c r="A9" i="1"/>
  <c r="O9" i="1"/>
  <c r="B9" i="1"/>
  <c r="P9" i="1"/>
  <c r="L9" i="1"/>
  <c r="Q9" i="1"/>
  <c r="J9" i="1"/>
  <c r="R9" i="1"/>
  <c r="K9" i="1"/>
  <c r="N637" i="1"/>
  <c r="R637" i="1"/>
  <c r="L1640" i="1"/>
  <c r="B1640" i="1"/>
  <c r="J1648" i="1"/>
  <c r="K1648" i="1"/>
  <c r="M217" i="1"/>
  <c r="J17" i="1"/>
  <c r="P1549" i="1"/>
  <c r="O1668" i="1"/>
  <c r="R205" i="1"/>
  <c r="N56" i="1"/>
  <c r="R48" i="1"/>
  <c r="B48" i="1"/>
  <c r="M40" i="1"/>
  <c r="N32" i="1"/>
  <c r="O24" i="1"/>
  <c r="Q16" i="1"/>
  <c r="A16" i="1"/>
  <c r="J475" i="1"/>
  <c r="Q259" i="1"/>
  <c r="J222" i="1"/>
  <c r="J230" i="1"/>
  <c r="P356" i="1"/>
  <c r="J1944" i="1"/>
  <c r="A1954" i="1"/>
  <c r="R1955" i="1"/>
  <c r="O1555" i="1"/>
  <c r="K1593" i="1"/>
  <c r="N1670" i="1"/>
  <c r="J207" i="1"/>
  <c r="M1537" i="1"/>
  <c r="Q54" i="1"/>
  <c r="K46" i="1"/>
  <c r="A46" i="1"/>
  <c r="B38" i="1"/>
  <c r="A30" i="1"/>
  <c r="B22" i="1"/>
  <c r="L14" i="1"/>
  <c r="Q362" i="1"/>
  <c r="N1555" i="1"/>
  <c r="J1593" i="1"/>
  <c r="M1670" i="1"/>
  <c r="Q207" i="1"/>
  <c r="K1537" i="1"/>
  <c r="L54" i="1"/>
  <c r="J46" i="1"/>
  <c r="Q38" i="1"/>
  <c r="Q30" i="1"/>
  <c r="Q22" i="1"/>
  <c r="A22" i="1"/>
  <c r="B14" i="1"/>
  <c r="P362" i="1"/>
  <c r="Q313" i="1"/>
  <c r="K3" i="1"/>
  <c r="L3" i="1"/>
  <c r="M3" i="1"/>
  <c r="R3" i="1"/>
  <c r="N3" i="1"/>
  <c r="O3" i="1"/>
  <c r="B3" i="1"/>
  <c r="J3" i="1"/>
  <c r="P3" i="1"/>
  <c r="A3" i="1"/>
  <c r="Q3" i="1"/>
  <c r="K11" i="1"/>
  <c r="L11" i="1"/>
  <c r="J11" i="1"/>
  <c r="M11" i="1"/>
  <c r="R11" i="1"/>
  <c r="N11" i="1"/>
  <c r="O11" i="1"/>
  <c r="P11" i="1"/>
  <c r="Q11" i="1"/>
  <c r="K1596" i="1"/>
  <c r="R1596" i="1"/>
  <c r="J688" i="1"/>
  <c r="B688" i="1"/>
  <c r="P688" i="1"/>
  <c r="B682" i="1"/>
  <c r="M682" i="1"/>
  <c r="N682" i="1"/>
  <c r="K676" i="1"/>
  <c r="L676" i="1"/>
  <c r="A662" i="1"/>
  <c r="M656" i="1"/>
  <c r="B656" i="1"/>
  <c r="J656" i="1"/>
  <c r="B1626" i="1"/>
  <c r="L1626" i="1"/>
  <c r="A1642" i="1"/>
  <c r="K1642" i="1"/>
  <c r="K478" i="1"/>
  <c r="R478" i="1"/>
  <c r="K1925" i="1"/>
  <c r="M1925" i="1"/>
  <c r="J1937" i="1"/>
  <c r="O1937" i="1"/>
  <c r="K1555" i="1"/>
  <c r="P1593" i="1"/>
  <c r="L1670" i="1"/>
  <c r="P207" i="1"/>
  <c r="R1537" i="1"/>
  <c r="K54" i="1"/>
  <c r="R46" i="1"/>
  <c r="L38" i="1"/>
  <c r="O30" i="1"/>
  <c r="N22" i="1"/>
  <c r="K14" i="1"/>
  <c r="A362" i="1"/>
  <c r="A4" i="1"/>
  <c r="J4" i="1"/>
  <c r="R4" i="1"/>
  <c r="B4" i="1"/>
  <c r="K4" i="1"/>
  <c r="L4" i="1"/>
  <c r="M4" i="1"/>
  <c r="N4" i="1"/>
  <c r="Q4" i="1"/>
  <c r="O4" i="1"/>
  <c r="P4" i="1"/>
  <c r="B12" i="1"/>
  <c r="J12" i="1"/>
  <c r="R12" i="1"/>
  <c r="K12" i="1"/>
  <c r="L12" i="1"/>
  <c r="M12" i="1"/>
  <c r="N12" i="1"/>
  <c r="Q12" i="1"/>
  <c r="O12" i="1"/>
  <c r="P12" i="1"/>
  <c r="K693" i="1"/>
  <c r="M213" i="1"/>
  <c r="P17" i="1"/>
  <c r="A17" i="1"/>
  <c r="O1549" i="1"/>
  <c r="A1549" i="1"/>
  <c r="O205" i="1"/>
  <c r="O48" i="1"/>
  <c r="Q40" i="1"/>
  <c r="A40" i="1"/>
  <c r="R24" i="1"/>
  <c r="L16" i="1"/>
  <c r="O219" i="1"/>
  <c r="N1934" i="1"/>
  <c r="B1944" i="1"/>
  <c r="L1968" i="1"/>
  <c r="J1935" i="1"/>
  <c r="K1955" i="1"/>
  <c r="B676" i="1"/>
  <c r="O682" i="1"/>
  <c r="O688" i="1"/>
  <c r="O1873" i="1"/>
  <c r="R1925" i="1"/>
  <c r="R157" i="1"/>
  <c r="P155" i="1"/>
  <c r="B155" i="1"/>
  <c r="K362" i="1"/>
  <c r="B362" i="1"/>
  <c r="N362" i="1"/>
  <c r="P6" i="1"/>
  <c r="Q6" i="1"/>
  <c r="J6" i="1"/>
  <c r="R6" i="1"/>
  <c r="K6" i="1"/>
  <c r="A6" i="1"/>
  <c r="L6" i="1"/>
  <c r="O6" i="1"/>
  <c r="B6" i="1"/>
  <c r="M6" i="1"/>
  <c r="N6" i="1"/>
  <c r="A14" i="1"/>
  <c r="Q14" i="1"/>
  <c r="J14" i="1"/>
  <c r="M22" i="1"/>
  <c r="J22" i="1"/>
  <c r="L30" i="1"/>
  <c r="R30" i="1"/>
  <c r="B30" i="1"/>
  <c r="K38" i="1"/>
  <c r="A38" i="1"/>
  <c r="R38" i="1"/>
  <c r="P46" i="1"/>
  <c r="Q46" i="1"/>
  <c r="B54" i="1"/>
  <c r="R54" i="1"/>
  <c r="M54" i="1"/>
  <c r="J1537" i="1"/>
  <c r="O1537" i="1"/>
  <c r="M207" i="1"/>
  <c r="B207" i="1"/>
  <c r="K207" i="1"/>
  <c r="A1670" i="1"/>
  <c r="O1670" i="1"/>
  <c r="P1670" i="1"/>
  <c r="Q1593" i="1"/>
  <c r="R1593" i="1"/>
  <c r="L1555" i="1"/>
  <c r="R1555" i="1"/>
  <c r="M1555" i="1"/>
  <c r="A1555" i="1"/>
  <c r="B1593" i="1"/>
  <c r="J1670" i="1"/>
  <c r="L207" i="1"/>
  <c r="N1537" i="1"/>
  <c r="O54" i="1"/>
  <c r="O46" i="1"/>
  <c r="P38" i="1"/>
  <c r="N30" i="1"/>
  <c r="O22" i="1"/>
  <c r="N14" i="1"/>
  <c r="L362" i="1"/>
  <c r="K1873" i="1"/>
  <c r="K1655" i="1"/>
  <c r="P1655" i="1"/>
  <c r="O7" i="1"/>
  <c r="B7" i="1"/>
  <c r="P7" i="1"/>
  <c r="Q7" i="1"/>
  <c r="J7" i="1"/>
  <c r="R7" i="1"/>
  <c r="K7" i="1"/>
  <c r="N7" i="1"/>
  <c r="L7" i="1"/>
  <c r="A7" i="1"/>
  <c r="M7" i="1"/>
  <c r="A8" i="1"/>
  <c r="N8" i="1"/>
  <c r="B8" i="1"/>
  <c r="O8" i="1"/>
  <c r="P8" i="1"/>
  <c r="Q8" i="1"/>
  <c r="J8" i="1"/>
  <c r="R8" i="1"/>
  <c r="M8" i="1"/>
  <c r="K8" i="1"/>
  <c r="L8" i="1"/>
  <c r="P665" i="1"/>
  <c r="O665" i="1"/>
  <c r="K1508" i="1"/>
  <c r="M1508" i="1"/>
  <c r="A1468" i="1"/>
  <c r="P1468" i="1"/>
  <c r="A1428" i="1"/>
  <c r="B1428" i="1"/>
  <c r="R1450" i="1"/>
  <c r="L1506" i="1"/>
  <c r="O1522" i="1"/>
  <c r="J1498" i="1"/>
  <c r="R1420" i="1"/>
  <c r="K1460" i="1"/>
  <c r="L1500" i="1"/>
  <c r="Q1937" i="1"/>
  <c r="L1508" i="1"/>
  <c r="O1530" i="1"/>
  <c r="K1530" i="1"/>
  <c r="K1514" i="1"/>
  <c r="P1514" i="1"/>
  <c r="P1490" i="1"/>
  <c r="L1490" i="1"/>
  <c r="O1482" i="1"/>
  <c r="N1482" i="1"/>
  <c r="J1474" i="1"/>
  <c r="O1474" i="1"/>
  <c r="L1466" i="1"/>
  <c r="R1466" i="1"/>
  <c r="O1442" i="1"/>
  <c r="R1442" i="1"/>
  <c r="N1426" i="1"/>
  <c r="A1426" i="1"/>
  <c r="P1418" i="1"/>
  <c r="Q1418" i="1"/>
  <c r="N1402" i="1"/>
  <c r="O1402" i="1"/>
  <c r="K770" i="1"/>
  <c r="Q770" i="1"/>
  <c r="P1428" i="1"/>
  <c r="O1468" i="1"/>
  <c r="N1516" i="1"/>
  <c r="R1505" i="1"/>
  <c r="B1505" i="1"/>
  <c r="A1417" i="1"/>
  <c r="L1417" i="1"/>
  <c r="B705" i="1"/>
  <c r="Q705" i="1"/>
  <c r="O1476" i="1"/>
  <c r="Q1516" i="1"/>
  <c r="A828" i="1"/>
  <c r="R1426" i="1"/>
  <c r="Q1450" i="1"/>
  <c r="R1482" i="1"/>
  <c r="B1490" i="1"/>
  <c r="M1514" i="1"/>
  <c r="P1410" i="1"/>
  <c r="J1434" i="1"/>
  <c r="K1458" i="1"/>
  <c r="R1530" i="1"/>
  <c r="B1436" i="1"/>
  <c r="B1476" i="1"/>
  <c r="M1524" i="1"/>
  <c r="J1471" i="1"/>
  <c r="A1471" i="1"/>
  <c r="R1399" i="1"/>
  <c r="M1399" i="1"/>
  <c r="K704" i="1"/>
  <c r="N764" i="1"/>
  <c r="J819" i="1"/>
  <c r="O819" i="1"/>
  <c r="K799" i="1"/>
  <c r="A799" i="1"/>
  <c r="Q799" i="1"/>
  <c r="B793" i="1"/>
  <c r="N793" i="1"/>
  <c r="M787" i="1"/>
  <c r="L787" i="1"/>
  <c r="R781" i="1"/>
  <c r="K781" i="1"/>
  <c r="L767" i="1"/>
  <c r="A767" i="1"/>
  <c r="Q767" i="1"/>
  <c r="J761" i="1"/>
  <c r="N761" i="1"/>
  <c r="M755" i="1"/>
  <c r="J755" i="1"/>
  <c r="O749" i="1"/>
  <c r="N749" i="1"/>
  <c r="K735" i="1"/>
  <c r="A735" i="1"/>
  <c r="Q735" i="1"/>
  <c r="N729" i="1"/>
  <c r="J729" i="1"/>
  <c r="A723" i="1"/>
  <c r="P723" i="1"/>
  <c r="P717" i="1"/>
  <c r="N717" i="1"/>
  <c r="K703" i="1"/>
  <c r="A703" i="1"/>
  <c r="M703" i="1"/>
  <c r="O697" i="1"/>
  <c r="K697" i="1"/>
  <c r="B1832" i="1"/>
  <c r="L1426" i="1"/>
  <c r="B1450" i="1"/>
  <c r="K1482" i="1"/>
  <c r="P1506" i="1"/>
  <c r="B1514" i="1"/>
  <c r="Q1410" i="1"/>
  <c r="A1434" i="1"/>
  <c r="A1458" i="1"/>
  <c r="J1530" i="1"/>
  <c r="J1404" i="1"/>
  <c r="P1444" i="1"/>
  <c r="J1484" i="1"/>
  <c r="J1524" i="1"/>
  <c r="A736" i="1"/>
  <c r="A706" i="1"/>
  <c r="A766" i="1"/>
  <c r="R766" i="1"/>
  <c r="L224" i="1"/>
  <c r="P224" i="1"/>
  <c r="R1575" i="1"/>
  <c r="N1575" i="1"/>
  <c r="J1591" i="1"/>
  <c r="Q1591" i="1"/>
  <c r="Q5" i="1"/>
  <c r="J5" i="1"/>
  <c r="R5" i="1"/>
  <c r="P5" i="1"/>
  <c r="A5" i="1"/>
  <c r="K5" i="1"/>
  <c r="B5" i="1"/>
  <c r="L5" i="1"/>
  <c r="M5" i="1"/>
  <c r="N5" i="1"/>
  <c r="O5" i="1"/>
  <c r="Q13" i="1"/>
  <c r="J13" i="1"/>
  <c r="R13" i="1"/>
  <c r="K13" i="1"/>
  <c r="P13" i="1"/>
  <c r="L13" i="1"/>
  <c r="M13" i="1"/>
  <c r="N13" i="1"/>
  <c r="O13" i="1"/>
  <c r="N1489" i="1"/>
  <c r="K1426" i="1"/>
  <c r="N1466" i="1"/>
  <c r="L1482" i="1"/>
  <c r="O1506" i="1"/>
  <c r="J1522" i="1"/>
  <c r="P1402" i="1"/>
  <c r="B1410" i="1"/>
  <c r="B1434" i="1"/>
  <c r="P1474" i="1"/>
  <c r="Q1415" i="1"/>
  <c r="B1535" i="1"/>
  <c r="K1412" i="1"/>
  <c r="L1452" i="1"/>
  <c r="K1492" i="1"/>
  <c r="R1532" i="1"/>
  <c r="M697" i="1"/>
  <c r="J703" i="1"/>
  <c r="Q717" i="1"/>
  <c r="A717" i="1"/>
  <c r="B723" i="1"/>
  <c r="B729" i="1"/>
  <c r="L735" i="1"/>
  <c r="L749" i="1"/>
  <c r="N755" i="1"/>
  <c r="K761" i="1"/>
  <c r="K767" i="1"/>
  <c r="M781" i="1"/>
  <c r="N787" i="1"/>
  <c r="M793" i="1"/>
  <c r="N799" i="1"/>
  <c r="L792" i="1"/>
  <c r="B819" i="1"/>
  <c r="R770" i="1"/>
  <c r="L10" i="1"/>
  <c r="M10" i="1"/>
  <c r="N10" i="1"/>
  <c r="O10" i="1"/>
  <c r="A10" i="1"/>
  <c r="P10" i="1"/>
  <c r="K10" i="1"/>
  <c r="B10" i="1"/>
  <c r="Q10" i="1"/>
  <c r="J10" i="1"/>
  <c r="R10" i="1"/>
  <c r="L1866" i="1"/>
  <c r="P1826" i="1"/>
  <c r="A1896" i="1"/>
  <c r="J1915" i="1"/>
  <c r="Q1853" i="1"/>
  <c r="N1840" i="1"/>
  <c r="N1915" i="1"/>
  <c r="N1917" i="1"/>
  <c r="N1891" i="1"/>
  <c r="A1866" i="1"/>
  <c r="N1801" i="1"/>
  <c r="M1917" i="1"/>
  <c r="M150" i="1"/>
  <c r="N1893" i="1"/>
  <c r="O1898" i="1"/>
  <c r="L1845" i="1"/>
  <c r="L1837" i="1"/>
  <c r="M1801" i="1"/>
  <c r="R1872" i="1"/>
  <c r="R1873" i="1"/>
  <c r="R1855" i="1"/>
  <c r="N1898" i="1"/>
  <c r="B1836" i="1"/>
  <c r="A1872" i="1"/>
  <c r="Q1954" i="1"/>
  <c r="A1895" i="1"/>
  <c r="Q1945" i="1"/>
  <c r="Q1917" i="1"/>
  <c r="J1917" i="1"/>
  <c r="P1873" i="1"/>
  <c r="A1873" i="1"/>
  <c r="P1853" i="1"/>
  <c r="Q1953" i="1"/>
  <c r="N1800" i="1"/>
  <c r="J1855" i="1"/>
  <c r="J1826" i="1"/>
  <c r="Q1847" i="1"/>
  <c r="A1913" i="1"/>
  <c r="N1905" i="1"/>
  <c r="N1897" i="1"/>
  <c r="J1891" i="1"/>
  <c r="M1866" i="1"/>
  <c r="R1801" i="1"/>
  <c r="P1896" i="1"/>
  <c r="A1920" i="1"/>
  <c r="M1872" i="1"/>
  <c r="B1873" i="1"/>
  <c r="B1852" i="1"/>
  <c r="P1891" i="1"/>
  <c r="Q1968" i="1"/>
  <c r="A1915" i="1"/>
  <c r="J1906" i="1"/>
  <c r="B1866" i="1"/>
  <c r="B1801" i="1"/>
  <c r="Q1934" i="1"/>
  <c r="M1873" i="1"/>
  <c r="Q1902" i="1"/>
  <c r="L1835" i="1"/>
  <c r="R1901" i="1"/>
  <c r="A1917" i="1"/>
  <c r="O1826" i="1"/>
  <c r="O1828" i="1"/>
  <c r="B1868" i="1"/>
  <c r="R1898" i="1"/>
  <c r="Q1900"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40" i="1"/>
  <c r="O646" i="1"/>
  <c r="Q660" i="1"/>
  <c r="N666" i="1"/>
  <c r="A672" i="1"/>
  <c r="B692" i="1"/>
  <c r="L1551" i="1"/>
  <c r="L202" i="1"/>
  <c r="L58" i="1"/>
  <c r="R50" i="1"/>
  <c r="N34" i="1"/>
  <c r="L18" i="1"/>
  <c r="M1661" i="1"/>
  <c r="N1896" i="1"/>
  <c r="O1896" i="1"/>
  <c r="K1797" i="1"/>
  <c r="B1797" i="1"/>
  <c r="Q1915" i="1"/>
  <c r="Q1872" i="1"/>
  <c r="J1872" i="1"/>
  <c r="N1853" i="1"/>
  <c r="J1859" i="1"/>
  <c r="A1859" i="1"/>
  <c r="J1796" i="1"/>
  <c r="P1581" i="1"/>
  <c r="B1581" i="1"/>
  <c r="P1577" i="1"/>
  <c r="N248" i="1"/>
  <c r="J1660" i="1"/>
  <c r="O1831" i="1"/>
  <c r="J1934" i="1"/>
  <c r="K1944" i="1"/>
  <c r="A1944" i="1"/>
  <c r="M1954" i="1"/>
  <c r="O1968" i="1"/>
  <c r="O1935" i="1"/>
  <c r="Q1955" i="1"/>
  <c r="R1969" i="1"/>
  <c r="M71" i="1"/>
  <c r="O1591" i="1"/>
  <c r="P1591" i="1"/>
  <c r="P1575" i="1"/>
  <c r="O262" i="1"/>
  <c r="O224" i="1"/>
  <c r="Q232" i="1"/>
  <c r="J157" i="1"/>
  <c r="R254" i="1"/>
  <c r="A260" i="1"/>
  <c r="N304" i="1"/>
  <c r="M369" i="1"/>
  <c r="L1661" i="1"/>
  <c r="P1915" i="1"/>
  <c r="P1872" i="1"/>
  <c r="B1872" i="1"/>
  <c r="M1853" i="1"/>
  <c r="R1859" i="1"/>
  <c r="Q1796" i="1"/>
  <c r="O1581" i="1"/>
  <c r="A1581" i="1"/>
  <c r="O1577" i="1"/>
  <c r="M248" i="1"/>
  <c r="O1660" i="1"/>
  <c r="M1831" i="1"/>
  <c r="K1934" i="1"/>
  <c r="R1944" i="1"/>
  <c r="K1954" i="1"/>
  <c r="L1954" i="1"/>
  <c r="N1968" i="1"/>
  <c r="K71" i="1"/>
  <c r="L71" i="1"/>
  <c r="N1591" i="1"/>
  <c r="B1591" i="1"/>
  <c r="B1575" i="1"/>
  <c r="M262" i="1"/>
  <c r="N224" i="1"/>
  <c r="P232" i="1"/>
  <c r="P157" i="1"/>
  <c r="K1920" i="1"/>
  <c r="A304" i="1"/>
  <c r="P1595" i="1"/>
  <c r="O612" i="1"/>
  <c r="B620" i="1"/>
  <c r="Q1521" i="1"/>
  <c r="J1521" i="1"/>
  <c r="N1513" i="1"/>
  <c r="O1513" i="1"/>
  <c r="A1481" i="1"/>
  <c r="O1481" i="1"/>
  <c r="J1465" i="1"/>
  <c r="R1465" i="1"/>
  <c r="N1465" i="1"/>
  <c r="B1441" i="1"/>
  <c r="J1441" i="1"/>
  <c r="O1441" i="1"/>
  <c r="R1425" i="1"/>
  <c r="L1425" i="1"/>
  <c r="O1401" i="1"/>
  <c r="P1401" i="1"/>
  <c r="J1401" i="1"/>
  <c r="R71" i="1"/>
  <c r="A71" i="1"/>
  <c r="L1591" i="1"/>
  <c r="M1575" i="1"/>
  <c r="L262" i="1"/>
  <c r="A262" i="1"/>
  <c r="K224" i="1"/>
  <c r="M232" i="1"/>
  <c r="N157" i="1"/>
  <c r="N1648" i="1"/>
  <c r="P28" i="1"/>
  <c r="N1875" i="1"/>
  <c r="L1875" i="1"/>
  <c r="R51" i="1"/>
  <c r="P51" i="1"/>
  <c r="Q621" i="1"/>
  <c r="A621" i="1"/>
  <c r="B613" i="1"/>
  <c r="P613" i="1"/>
  <c r="O605" i="1"/>
  <c r="B605" i="1"/>
  <c r="L605" i="1"/>
  <c r="O597" i="1"/>
  <c r="R597" i="1"/>
  <c r="J167" i="1"/>
  <c r="R167" i="1"/>
  <c r="M167" i="1"/>
  <c r="N167" i="1"/>
  <c r="B604" i="1"/>
  <c r="N604" i="1"/>
  <c r="R604" i="1"/>
  <c r="K596" i="1"/>
  <c r="R596" i="1"/>
  <c r="M596" i="1"/>
  <c r="J571" i="1"/>
  <c r="P571" i="1"/>
  <c r="P563" i="1"/>
  <c r="L563" i="1"/>
  <c r="K555" i="1"/>
  <c r="O555" i="1"/>
  <c r="O1542" i="1"/>
  <c r="K1646" i="1"/>
  <c r="M367" i="1"/>
  <c r="K646" i="1"/>
  <c r="A660" i="1"/>
  <c r="P672" i="1"/>
  <c r="B678" i="1"/>
  <c r="J692" i="1"/>
  <c r="J1551" i="1"/>
  <c r="N1666" i="1"/>
  <c r="R212" i="1"/>
  <c r="P50" i="1"/>
  <c r="J42" i="1"/>
  <c r="O26" i="1"/>
  <c r="N632" i="1"/>
  <c r="P1661" i="1"/>
  <c r="P1556" i="1"/>
  <c r="J1896" i="1"/>
  <c r="O1797" i="1"/>
  <c r="J154" i="1"/>
  <c r="K1915" i="1"/>
  <c r="L1915" i="1"/>
  <c r="L1872" i="1"/>
  <c r="J1853" i="1"/>
  <c r="B1853" i="1"/>
  <c r="O1859" i="1"/>
  <c r="L1796" i="1"/>
  <c r="B1796" i="1"/>
  <c r="K1581" i="1"/>
  <c r="R1577" i="1"/>
  <c r="L356" i="1"/>
  <c r="P219" i="1"/>
  <c r="M1934" i="1"/>
  <c r="A1934" i="1"/>
  <c r="Q1944" i="1"/>
  <c r="P1954" i="1"/>
  <c r="J1968" i="1"/>
  <c r="B1968" i="1"/>
  <c r="K1935" i="1"/>
  <c r="M1945" i="1"/>
  <c r="O1969" i="1"/>
  <c r="P71" i="1"/>
  <c r="R1591" i="1"/>
  <c r="K1575" i="1"/>
  <c r="J224" i="1"/>
  <c r="B224" i="1"/>
  <c r="K232" i="1"/>
  <c r="K221" i="1"/>
  <c r="M157" i="1"/>
  <c r="B157" i="1"/>
  <c r="L631" i="1"/>
  <c r="N1640" i="1"/>
  <c r="B664" i="1"/>
  <c r="K621" i="1"/>
  <c r="B262" i="1"/>
  <c r="N262" i="1"/>
  <c r="A638" i="1"/>
  <c r="J638" i="1"/>
  <c r="Q1855" i="1"/>
  <c r="K1542" i="1"/>
  <c r="R1646" i="1"/>
  <c r="L367" i="1"/>
  <c r="L646" i="1"/>
  <c r="Q666" i="1"/>
  <c r="O672" i="1"/>
  <c r="A678" i="1"/>
  <c r="P692" i="1"/>
  <c r="R1551" i="1"/>
  <c r="B1666" i="1"/>
  <c r="J212" i="1"/>
  <c r="B42" i="1"/>
  <c r="R1915" i="1"/>
  <c r="M1859" i="1"/>
  <c r="K1796" i="1"/>
  <c r="R356" i="1"/>
  <c r="B219" i="1"/>
  <c r="M1944" i="1"/>
  <c r="P1968" i="1"/>
  <c r="R1935" i="1"/>
  <c r="B1945" i="1"/>
  <c r="N1969" i="1"/>
  <c r="J1575" i="1"/>
  <c r="J262" i="1"/>
  <c r="Q224" i="1"/>
  <c r="R232" i="1"/>
  <c r="A232" i="1"/>
  <c r="K157" i="1"/>
  <c r="J1640" i="1"/>
  <c r="B670" i="1"/>
  <c r="A1925" i="1"/>
  <c r="N1925" i="1"/>
  <c r="P1937" i="1"/>
  <c r="M1937" i="1"/>
  <c r="B821" i="1"/>
  <c r="N1412" i="1"/>
  <c r="N1428" i="1"/>
  <c r="A1436" i="1"/>
  <c r="O1452" i="1"/>
  <c r="R1468" i="1"/>
  <c r="A1476" i="1"/>
  <c r="J1492" i="1"/>
  <c r="J1508" i="1"/>
  <c r="K1524" i="1"/>
  <c r="R756" i="1"/>
  <c r="M792" i="1"/>
  <c r="A705" i="1"/>
  <c r="N827" i="1"/>
  <c r="M1501" i="1"/>
  <c r="P1404" i="1"/>
  <c r="B1412" i="1"/>
  <c r="L1428" i="1"/>
  <c r="K1444" i="1"/>
  <c r="B1452" i="1"/>
  <c r="Q1468" i="1"/>
  <c r="N1484" i="1"/>
  <c r="M1500" i="1"/>
  <c r="Q1508" i="1"/>
  <c r="R1524" i="1"/>
  <c r="O725" i="1"/>
  <c r="J1613" i="1"/>
  <c r="P1426" i="1"/>
  <c r="O1450" i="1"/>
  <c r="K1466" i="1"/>
  <c r="Q1482" i="1"/>
  <c r="R1506" i="1"/>
  <c r="O1514" i="1"/>
  <c r="K1522" i="1"/>
  <c r="J1402" i="1"/>
  <c r="M1410" i="1"/>
  <c r="R1434" i="1"/>
  <c r="A1442" i="1"/>
  <c r="L1474" i="1"/>
  <c r="Q1530" i="1"/>
  <c r="P1471" i="1"/>
  <c r="R1404" i="1"/>
  <c r="O1420" i="1"/>
  <c r="Q1444" i="1"/>
  <c r="P1460" i="1"/>
  <c r="K1476" i="1"/>
  <c r="O1484" i="1"/>
  <c r="R1500" i="1"/>
  <c r="M1516" i="1"/>
  <c r="N1532" i="1"/>
  <c r="Q723" i="1"/>
  <c r="P761" i="1"/>
  <c r="Q793" i="1"/>
  <c r="O728" i="1"/>
  <c r="P818" i="1"/>
  <c r="R819" i="1"/>
  <c r="B731" i="1"/>
  <c r="N706" i="1"/>
  <c r="R744" i="1"/>
  <c r="L1832" i="1"/>
  <c r="Q1404" i="1"/>
  <c r="L1420" i="1"/>
  <c r="P1436" i="1"/>
  <c r="O1444" i="1"/>
  <c r="Q1460" i="1"/>
  <c r="L1476" i="1"/>
  <c r="B1484" i="1"/>
  <c r="J1500" i="1"/>
  <c r="K1516" i="1"/>
  <c r="M1532" i="1"/>
  <c r="N763" i="1"/>
  <c r="K1420" i="1"/>
  <c r="N1436" i="1"/>
  <c r="B1460" i="1"/>
  <c r="L1492" i="1"/>
  <c r="L1532" i="1"/>
  <c r="M763" i="1"/>
  <c r="O1669" i="1"/>
  <c r="A1669" i="1"/>
  <c r="M1669" i="1"/>
  <c r="M1643" i="1"/>
  <c r="J1643" i="1"/>
  <c r="R1930" i="1"/>
  <c r="A1930" i="1"/>
  <c r="M1940" i="1"/>
  <c r="L1950" i="1"/>
  <c r="M1965" i="1"/>
  <c r="N1965" i="1"/>
  <c r="M66" i="1"/>
  <c r="O1556" i="1"/>
  <c r="N23" i="1"/>
  <c r="Q501" i="1"/>
  <c r="K501" i="1"/>
  <c r="Q1657" i="1"/>
  <c r="A1657" i="1"/>
  <c r="R359" i="1"/>
  <c r="B359" i="1"/>
  <c r="M359" i="1"/>
  <c r="P359" i="1"/>
  <c r="N475" i="1"/>
  <c r="M475" i="1"/>
  <c r="B32" i="1"/>
  <c r="Q32" i="1"/>
  <c r="A56" i="1"/>
  <c r="O56" i="1"/>
  <c r="L1668" i="1"/>
  <c r="K1668" i="1"/>
  <c r="P1923" i="1"/>
  <c r="A1923" i="1"/>
  <c r="Q1923" i="1"/>
  <c r="B1923" i="1"/>
  <c r="J1923" i="1"/>
  <c r="L1923" i="1"/>
  <c r="A1964" i="1"/>
  <c r="M1964" i="1"/>
  <c r="M1949" i="1"/>
  <c r="J1949" i="1"/>
  <c r="K1949" i="1"/>
  <c r="L66" i="1"/>
  <c r="M1556" i="1"/>
  <c r="M1529" i="1"/>
  <c r="N1529" i="1"/>
  <c r="O1529" i="1"/>
  <c r="P1529" i="1"/>
  <c r="Q1529" i="1"/>
  <c r="J1529" i="1"/>
  <c r="L1529" i="1"/>
  <c r="A1521" i="1"/>
  <c r="L1521" i="1"/>
  <c r="K1521" i="1"/>
  <c r="M1521" i="1"/>
  <c r="N1521" i="1"/>
  <c r="O1521" i="1"/>
  <c r="P1521" i="1"/>
  <c r="B1521" i="1"/>
  <c r="R1521" i="1"/>
  <c r="Q1513" i="1"/>
  <c r="A1513" i="1"/>
  <c r="J1513" i="1"/>
  <c r="B1513" i="1"/>
  <c r="R1513" i="1"/>
  <c r="L1513" i="1"/>
  <c r="K1513" i="1"/>
  <c r="M1513" i="1"/>
  <c r="P1513" i="1"/>
  <c r="N1505" i="1"/>
  <c r="O1505" i="1"/>
  <c r="P1505" i="1"/>
  <c r="Q1505" i="1"/>
  <c r="A1505" i="1"/>
  <c r="J1505" i="1"/>
  <c r="M1505" i="1"/>
  <c r="B1497" i="1"/>
  <c r="R1497" i="1"/>
  <c r="L1497" i="1"/>
  <c r="K1497" i="1"/>
  <c r="M1497" i="1"/>
  <c r="N1497" i="1"/>
  <c r="O1497" i="1"/>
  <c r="A1497" i="1"/>
  <c r="J1497" i="1"/>
  <c r="P1489" i="1"/>
  <c r="Q1489" i="1"/>
  <c r="A1489" i="1"/>
  <c r="J1489" i="1"/>
  <c r="B1489" i="1"/>
  <c r="R1489" i="1"/>
  <c r="L1489" i="1"/>
  <c r="K1489" i="1"/>
  <c r="O1489" i="1"/>
  <c r="R1481" i="1"/>
  <c r="M1481" i="1"/>
  <c r="K1481" i="1"/>
  <c r="L1481" i="1"/>
  <c r="N1481" i="1"/>
  <c r="J1481" i="1"/>
  <c r="Q1481" i="1"/>
  <c r="A1473" i="1"/>
  <c r="N1473" i="1"/>
  <c r="B1473" i="1"/>
  <c r="O1473" i="1"/>
  <c r="J1473" i="1"/>
  <c r="Q1473" i="1"/>
  <c r="R1473" i="1"/>
  <c r="L1473" i="1"/>
  <c r="K1473" i="1"/>
  <c r="M1465" i="1"/>
  <c r="P1465" i="1"/>
  <c r="O1465" i="1"/>
  <c r="A1465" i="1"/>
  <c r="Q1465" i="1"/>
  <c r="B1465" i="1"/>
  <c r="K1465" i="1"/>
  <c r="L1465" i="1"/>
  <c r="J1457" i="1"/>
  <c r="Q1457" i="1"/>
  <c r="R1457" i="1"/>
  <c r="L1457" i="1"/>
  <c r="M1457" i="1"/>
  <c r="P1457" i="1"/>
  <c r="B1457" i="1"/>
  <c r="O1457" i="1"/>
  <c r="O1449" i="1"/>
  <c r="A1449" i="1"/>
  <c r="Q1449" i="1"/>
  <c r="B1449" i="1"/>
  <c r="K1449" i="1"/>
  <c r="J1449" i="1"/>
  <c r="N1449" i="1"/>
  <c r="R1449" i="1"/>
  <c r="P1449" i="1"/>
  <c r="L1441" i="1"/>
  <c r="M1441" i="1"/>
  <c r="P1441" i="1"/>
  <c r="K1441" i="1"/>
  <c r="A1441" i="1"/>
  <c r="N1441" i="1"/>
  <c r="R1441" i="1"/>
  <c r="B1433" i="1"/>
  <c r="K1433" i="1"/>
  <c r="J1433" i="1"/>
  <c r="N1433" i="1"/>
  <c r="R1433" i="1"/>
  <c r="L1433" i="1"/>
  <c r="M1433" i="1"/>
  <c r="A1433" i="1"/>
  <c r="Q1433" i="1"/>
  <c r="P1425" i="1"/>
  <c r="K1425" i="1"/>
  <c r="A1425" i="1"/>
  <c r="N1425" i="1"/>
  <c r="B1425" i="1"/>
  <c r="O1425" i="1"/>
  <c r="J1425" i="1"/>
  <c r="Q1425" i="1"/>
  <c r="M1425" i="1"/>
  <c r="M1417" i="1"/>
  <c r="O1417" i="1"/>
  <c r="Q1417" i="1"/>
  <c r="K1417" i="1"/>
  <c r="J1417" i="1"/>
  <c r="P1417" i="1"/>
  <c r="R1417" i="1"/>
  <c r="A1409" i="1"/>
  <c r="K1409" i="1"/>
  <c r="B1409" i="1"/>
  <c r="M1409" i="1"/>
  <c r="P1409" i="1"/>
  <c r="Q1409" i="1"/>
  <c r="J1409" i="1"/>
  <c r="R1409" i="1"/>
  <c r="O1409" i="1"/>
  <c r="L1401" i="1"/>
  <c r="M1401" i="1"/>
  <c r="Q1401" i="1"/>
  <c r="A1401" i="1"/>
  <c r="K1401" i="1"/>
  <c r="B1401" i="1"/>
  <c r="N1401" i="1"/>
  <c r="R1401" i="1"/>
  <c r="L643" i="1"/>
  <c r="N643" i="1"/>
  <c r="J265" i="1"/>
  <c r="B265" i="1"/>
  <c r="K265" i="1"/>
  <c r="M1651" i="1"/>
  <c r="A1651" i="1"/>
  <c r="J1651" i="1"/>
  <c r="B316" i="1"/>
  <c r="J316" i="1"/>
  <c r="P1924" i="1"/>
  <c r="L1924" i="1"/>
  <c r="Q1930" i="1"/>
  <c r="Q1940" i="1"/>
  <c r="J1940" i="1"/>
  <c r="R1950" i="1"/>
  <c r="K1965" i="1"/>
  <c r="A1965" i="1"/>
  <c r="B66" i="1"/>
  <c r="L1556" i="1"/>
  <c r="A1892" i="1"/>
  <c r="Q1892" i="1"/>
  <c r="R669" i="1"/>
  <c r="N669" i="1"/>
  <c r="P1930" i="1"/>
  <c r="P1940" i="1"/>
  <c r="B1940" i="1"/>
  <c r="J1950" i="1"/>
  <c r="R1965" i="1"/>
  <c r="R66" i="1"/>
  <c r="K1556" i="1"/>
  <c r="O643" i="1"/>
  <c r="M358" i="1"/>
  <c r="J150" i="1"/>
  <c r="N1409" i="1"/>
  <c r="O1433" i="1"/>
  <c r="N1457" i="1"/>
  <c r="P1481" i="1"/>
  <c r="K1505" i="1"/>
  <c r="K1529" i="1"/>
  <c r="J1592" i="1"/>
  <c r="A1592" i="1"/>
  <c r="J1930" i="1"/>
  <c r="B1930" i="1"/>
  <c r="R1940" i="1"/>
  <c r="K1950" i="1"/>
  <c r="L1965" i="1"/>
  <c r="B1965" i="1"/>
  <c r="O1930" i="1"/>
  <c r="O1940" i="1"/>
  <c r="A1940" i="1"/>
  <c r="Q1950" i="1"/>
  <c r="J1965" i="1"/>
  <c r="K66" i="1"/>
  <c r="R1556" i="1"/>
  <c r="Q649" i="1"/>
  <c r="Q1592" i="1"/>
  <c r="L1657" i="1"/>
  <c r="A308" i="1"/>
  <c r="J308" i="1"/>
  <c r="M308" i="1"/>
  <c r="M1908" i="1"/>
  <c r="Q1908" i="1"/>
  <c r="N1908" i="1"/>
  <c r="N1930" i="1"/>
  <c r="N1940" i="1"/>
  <c r="O1950" i="1"/>
  <c r="P1950" i="1"/>
  <c r="Q1965" i="1"/>
  <c r="Q66" i="1"/>
  <c r="B1556" i="1"/>
  <c r="O649" i="1"/>
  <c r="O55" i="1"/>
  <c r="L1929" i="1"/>
  <c r="N1417" i="1"/>
  <c r="Q1441" i="1"/>
  <c r="A1457" i="1"/>
  <c r="B1481" i="1"/>
  <c r="L1505" i="1"/>
  <c r="B1529" i="1"/>
  <c r="N1578" i="1"/>
  <c r="M1578" i="1"/>
  <c r="N1950" i="1"/>
  <c r="P66" i="1"/>
  <c r="A1556" i="1"/>
  <c r="M154" i="1"/>
  <c r="A1643" i="1"/>
  <c r="Q655" i="1"/>
  <c r="B55" i="1"/>
  <c r="Q1324" i="1"/>
  <c r="Q1362" i="1"/>
  <c r="M1347" i="1"/>
  <c r="O1300" i="1"/>
  <c r="Q1308" i="1"/>
  <c r="K1316" i="1"/>
  <c r="J1332" i="1"/>
  <c r="P1340" i="1"/>
  <c r="J1370" i="1"/>
  <c r="J1378" i="1"/>
  <c r="R1386" i="1"/>
  <c r="R1394" i="1"/>
  <c r="O1394" i="1"/>
  <c r="M699" i="1"/>
  <c r="A801" i="1"/>
  <c r="Q665" i="1"/>
  <c r="Q70" i="1"/>
  <c r="P225" i="1"/>
  <c r="M1541" i="1"/>
  <c r="K1324" i="1"/>
  <c r="M1362" i="1"/>
  <c r="P1347" i="1"/>
  <c r="J1300" i="1"/>
  <c r="R1308" i="1"/>
  <c r="M1308" i="1"/>
  <c r="N1316" i="1"/>
  <c r="O1332" i="1"/>
  <c r="J1340" i="1"/>
  <c r="B167" i="1"/>
  <c r="K1370" i="1"/>
  <c r="P1378" i="1"/>
  <c r="M1386" i="1"/>
  <c r="J1394" i="1"/>
  <c r="M705" i="1"/>
  <c r="R731" i="1"/>
  <c r="Q763" i="1"/>
  <c r="K1362" i="1"/>
  <c r="O1347" i="1"/>
  <c r="R1300" i="1"/>
  <c r="P1308" i="1"/>
  <c r="R1316" i="1"/>
  <c r="M1316" i="1"/>
  <c r="N1332" i="1"/>
  <c r="O1340" i="1"/>
  <c r="Q1370" i="1"/>
  <c r="M1378" i="1"/>
  <c r="J1386" i="1"/>
  <c r="P1394" i="1"/>
  <c r="O356" i="1"/>
  <c r="N219" i="1"/>
  <c r="N1660" i="1"/>
  <c r="J1831" i="1"/>
  <c r="R1875" i="1"/>
  <c r="N1324" i="1"/>
  <c r="L1362" i="1"/>
  <c r="R1347" i="1"/>
  <c r="N1347" i="1"/>
  <c r="P1300" i="1"/>
  <c r="L1308" i="1"/>
  <c r="P1316" i="1"/>
  <c r="P1332" i="1"/>
  <c r="M1332" i="1"/>
  <c r="N1340" i="1"/>
  <c r="N588" i="1"/>
  <c r="R1370" i="1"/>
  <c r="O1370" i="1"/>
  <c r="Q1378" i="1"/>
  <c r="P1386" i="1"/>
  <c r="L1394" i="1"/>
  <c r="R711" i="1"/>
  <c r="Q737" i="1"/>
  <c r="A775" i="1"/>
  <c r="Q1848" i="1"/>
  <c r="K562" i="1"/>
  <c r="A356" i="1"/>
  <c r="L219" i="1"/>
  <c r="L1660" i="1"/>
  <c r="P1831" i="1"/>
  <c r="K1665" i="1"/>
  <c r="R691" i="1"/>
  <c r="A44" i="1"/>
  <c r="J1324" i="1"/>
  <c r="M1324" i="1"/>
  <c r="J1362" i="1"/>
  <c r="K1347" i="1"/>
  <c r="L1300" i="1"/>
  <c r="K1308" i="1"/>
  <c r="Q1316" i="1"/>
  <c r="K1332" i="1"/>
  <c r="Q1340" i="1"/>
  <c r="M1340" i="1"/>
  <c r="K167" i="1"/>
  <c r="P1370" i="1"/>
  <c r="N1378" i="1"/>
  <c r="O1378" i="1"/>
  <c r="Q1386" i="1"/>
  <c r="K1394" i="1"/>
  <c r="A711" i="1"/>
  <c r="B743" i="1"/>
  <c r="J780" i="1"/>
  <c r="A1848" i="1"/>
  <c r="Q248" i="1"/>
  <c r="R219" i="1"/>
  <c r="A1660" i="1"/>
  <c r="A1831" i="1"/>
  <c r="O691" i="1"/>
  <c r="R1324" i="1"/>
  <c r="N1362" i="1"/>
  <c r="Q1300" i="1"/>
  <c r="J1308" i="1"/>
  <c r="L1316" i="1"/>
  <c r="L1332" i="1"/>
  <c r="R1340" i="1"/>
  <c r="Q167" i="1"/>
  <c r="L1370" i="1"/>
  <c r="L1378" i="1"/>
  <c r="K1386" i="1"/>
  <c r="O1386" i="1"/>
  <c r="Q1394" i="1"/>
  <c r="P699" i="1"/>
  <c r="P801" i="1"/>
  <c r="O66" i="1"/>
  <c r="N1556" i="1"/>
  <c r="P154" i="1"/>
  <c r="Q154" i="1"/>
  <c r="P316" i="1"/>
  <c r="P308" i="1"/>
  <c r="P1651" i="1"/>
  <c r="Q1643" i="1"/>
  <c r="O265" i="1"/>
  <c r="J643" i="1"/>
  <c r="M649" i="1"/>
  <c r="P655" i="1"/>
  <c r="M669" i="1"/>
  <c r="M1592" i="1"/>
  <c r="J1669" i="1"/>
  <c r="J55" i="1"/>
  <c r="P1892" i="1"/>
  <c r="R221" i="1"/>
  <c r="P23" i="1"/>
  <c r="N606" i="1"/>
  <c r="K606" i="1"/>
  <c r="N154" i="1"/>
  <c r="B154" i="1"/>
  <c r="O316" i="1"/>
  <c r="O308" i="1"/>
  <c r="O1651" i="1"/>
  <c r="P1643" i="1"/>
  <c r="N265" i="1"/>
  <c r="R643" i="1"/>
  <c r="K649" i="1"/>
  <c r="N655" i="1"/>
  <c r="L669" i="1"/>
  <c r="L1592" i="1"/>
  <c r="Q1669" i="1"/>
  <c r="R55" i="1"/>
  <c r="B23" i="1"/>
  <c r="L154" i="1"/>
  <c r="A154" i="1"/>
  <c r="A316" i="1"/>
  <c r="N308" i="1"/>
  <c r="N1651" i="1"/>
  <c r="N1643" i="1"/>
  <c r="R265" i="1"/>
  <c r="P643" i="1"/>
  <c r="J649" i="1"/>
  <c r="K655" i="1"/>
  <c r="K669" i="1"/>
  <c r="R1592" i="1"/>
  <c r="P1669" i="1"/>
  <c r="P55" i="1"/>
  <c r="L1578" i="1"/>
  <c r="M1636" i="1"/>
  <c r="R1636" i="1"/>
  <c r="L1636" i="1"/>
  <c r="O154" i="1"/>
  <c r="K244" i="1"/>
  <c r="R244" i="1"/>
  <c r="P1586" i="1"/>
  <c r="J1586" i="1"/>
  <c r="K1586" i="1"/>
  <c r="J1578" i="1"/>
  <c r="A1578" i="1"/>
  <c r="R1578" i="1"/>
  <c r="B1578" i="1"/>
  <c r="K1578" i="1"/>
  <c r="O1578" i="1"/>
  <c r="P1578" i="1"/>
  <c r="Q1578" i="1"/>
  <c r="A1827" i="1"/>
  <c r="P1827" i="1"/>
  <c r="R1827" i="1"/>
  <c r="K1827" i="1"/>
  <c r="B1867" i="1"/>
  <c r="O1867" i="1"/>
  <c r="P1867" i="1"/>
  <c r="M1892" i="1"/>
  <c r="N1892" i="1"/>
  <c r="O1892" i="1"/>
  <c r="B1892" i="1"/>
  <c r="J1892" i="1"/>
  <c r="K1892" i="1"/>
  <c r="R1892" i="1"/>
  <c r="L1892" i="1"/>
  <c r="O229" i="1"/>
  <c r="P229" i="1"/>
  <c r="P221" i="1"/>
  <c r="Q221" i="1"/>
  <c r="J221" i="1"/>
  <c r="B221" i="1"/>
  <c r="L221" i="1"/>
  <c r="N221" i="1"/>
  <c r="M221" i="1"/>
  <c r="O221" i="1"/>
  <c r="K74" i="1"/>
  <c r="Q74" i="1"/>
  <c r="J74" i="1"/>
  <c r="R74" i="1"/>
  <c r="N74" i="1"/>
  <c r="J474" i="1"/>
  <c r="K474" i="1"/>
  <c r="R402" i="1"/>
  <c r="B402" i="1"/>
  <c r="M402" i="1"/>
  <c r="O402" i="1"/>
  <c r="L402" i="1"/>
  <c r="M23" i="1"/>
  <c r="O23" i="1"/>
  <c r="R23" i="1"/>
  <c r="K23" i="1"/>
  <c r="Q23" i="1"/>
  <c r="J23" i="1"/>
  <c r="L23" i="1"/>
  <c r="M39" i="1"/>
  <c r="J39" i="1"/>
  <c r="N39" i="1"/>
  <c r="O39" i="1"/>
  <c r="P39" i="1"/>
  <c r="A39" i="1"/>
  <c r="Q39" i="1"/>
  <c r="B39" i="1"/>
  <c r="R39" i="1"/>
  <c r="L55" i="1"/>
  <c r="A55" i="1"/>
  <c r="Q55" i="1"/>
  <c r="L1538" i="1"/>
  <c r="Q1538" i="1"/>
  <c r="J1538" i="1"/>
  <c r="R1538" i="1"/>
  <c r="B1538" i="1"/>
  <c r="M1538" i="1"/>
  <c r="K1669" i="1"/>
  <c r="R1669" i="1"/>
  <c r="N1669" i="1"/>
  <c r="K1592" i="1"/>
  <c r="O1592" i="1"/>
  <c r="N1592" i="1"/>
  <c r="N675" i="1"/>
  <c r="Q675" i="1"/>
  <c r="R675" i="1"/>
  <c r="K675" i="1"/>
  <c r="L675" i="1"/>
  <c r="M675" i="1"/>
  <c r="B669" i="1"/>
  <c r="O669" i="1"/>
  <c r="J669" i="1"/>
  <c r="L655" i="1"/>
  <c r="M655" i="1"/>
  <c r="A649" i="1"/>
  <c r="N649" i="1"/>
  <c r="L649" i="1"/>
  <c r="Q643" i="1"/>
  <c r="A643" i="1"/>
  <c r="K643" i="1"/>
  <c r="P265" i="1"/>
  <c r="Q265" i="1"/>
  <c r="L265" i="1"/>
  <c r="B1643" i="1"/>
  <c r="K1643" i="1"/>
  <c r="O1643" i="1"/>
  <c r="Q1651" i="1"/>
  <c r="B1651" i="1"/>
  <c r="K1651" i="1"/>
  <c r="Q308" i="1"/>
  <c r="B308" i="1"/>
  <c r="K308" i="1"/>
  <c r="N316" i="1"/>
  <c r="M316" i="1"/>
  <c r="Q316" i="1"/>
  <c r="J1924" i="1"/>
  <c r="Q1924" i="1"/>
  <c r="R1924" i="1"/>
  <c r="M1924" i="1"/>
  <c r="N1924" i="1"/>
  <c r="A1924" i="1"/>
  <c r="O1924" i="1"/>
  <c r="A826" i="1"/>
  <c r="N826" i="1"/>
  <c r="B826" i="1"/>
  <c r="P826" i="1"/>
  <c r="Q826" i="1"/>
  <c r="O826" i="1"/>
  <c r="R826" i="1"/>
  <c r="K826" i="1"/>
  <c r="L826" i="1"/>
  <c r="M826" i="1"/>
  <c r="K820" i="1"/>
  <c r="L820" i="1"/>
  <c r="M820" i="1"/>
  <c r="B820" i="1"/>
  <c r="P820" i="1"/>
  <c r="Q820" i="1"/>
  <c r="O820" i="1"/>
  <c r="J820" i="1"/>
  <c r="R820" i="1"/>
  <c r="M806" i="1"/>
  <c r="A806" i="1"/>
  <c r="N806" i="1"/>
  <c r="B806" i="1"/>
  <c r="P806" i="1"/>
  <c r="J806" i="1"/>
  <c r="R806" i="1"/>
  <c r="K806" i="1"/>
  <c r="L806" i="1"/>
  <c r="R800" i="1"/>
  <c r="K800" i="1"/>
  <c r="L800" i="1"/>
  <c r="B800" i="1"/>
  <c r="N800" i="1"/>
  <c r="A800" i="1"/>
  <c r="P800" i="1"/>
  <c r="Q800" i="1"/>
  <c r="O800" i="1"/>
  <c r="J800" i="1"/>
  <c r="A794" i="1"/>
  <c r="P794" i="1"/>
  <c r="Q794" i="1"/>
  <c r="O794" i="1"/>
  <c r="J794" i="1"/>
  <c r="K794" i="1"/>
  <c r="L794" i="1"/>
  <c r="M794" i="1"/>
  <c r="B794" i="1"/>
  <c r="N794" i="1"/>
  <c r="L788" i="1"/>
  <c r="M788" i="1"/>
  <c r="B788" i="1"/>
  <c r="N788" i="1"/>
  <c r="Q788" i="1"/>
  <c r="O788" i="1"/>
  <c r="J788" i="1"/>
  <c r="R788" i="1"/>
  <c r="K788" i="1"/>
  <c r="B774" i="1"/>
  <c r="N774" i="1"/>
  <c r="A774" i="1"/>
  <c r="P774" i="1"/>
  <c r="Q774" i="1"/>
  <c r="O774" i="1"/>
  <c r="R774" i="1"/>
  <c r="K774" i="1"/>
  <c r="L774" i="1"/>
  <c r="M774" i="1"/>
  <c r="K768" i="1"/>
  <c r="L768" i="1"/>
  <c r="M768" i="1"/>
  <c r="A768" i="1"/>
  <c r="P768" i="1"/>
  <c r="Q768" i="1"/>
  <c r="O768" i="1"/>
  <c r="J768" i="1"/>
  <c r="R768" i="1"/>
  <c r="Q762" i="1"/>
  <c r="O762" i="1"/>
  <c r="J762" i="1"/>
  <c r="R762" i="1"/>
  <c r="L762" i="1"/>
  <c r="M762" i="1"/>
  <c r="B762" i="1"/>
  <c r="N762" i="1"/>
  <c r="A762" i="1"/>
  <c r="P762" i="1"/>
  <c r="O756" i="1"/>
  <c r="B756" i="1"/>
  <c r="P756" i="1"/>
  <c r="A756" i="1"/>
  <c r="Q756" i="1"/>
  <c r="M756" i="1"/>
  <c r="N756" i="1"/>
  <c r="J756" i="1"/>
  <c r="L756" i="1"/>
  <c r="A742" i="1"/>
  <c r="L742" i="1"/>
  <c r="K742" i="1"/>
  <c r="J742" i="1"/>
  <c r="M742" i="1"/>
  <c r="O742" i="1"/>
  <c r="P742" i="1"/>
  <c r="Q742" i="1"/>
  <c r="B742" i="1"/>
  <c r="R742" i="1"/>
  <c r="J736" i="1"/>
  <c r="L736" i="1"/>
  <c r="B736" i="1"/>
  <c r="P736" i="1"/>
  <c r="K736" i="1"/>
  <c r="R736" i="1"/>
  <c r="M736" i="1"/>
  <c r="N736" i="1"/>
  <c r="O736" i="1"/>
  <c r="M730" i="1"/>
  <c r="N730" i="1"/>
  <c r="O730" i="1"/>
  <c r="R730" i="1"/>
  <c r="A730" i="1"/>
  <c r="Q730" i="1"/>
  <c r="B730" i="1"/>
  <c r="P730" i="1"/>
  <c r="K730" i="1"/>
  <c r="L730" i="1"/>
  <c r="A724" i="1"/>
  <c r="L724" i="1"/>
  <c r="B724" i="1"/>
  <c r="P724" i="1"/>
  <c r="K724" i="1"/>
  <c r="Q724" i="1"/>
  <c r="N724" i="1"/>
  <c r="O724" i="1"/>
  <c r="J724" i="1"/>
  <c r="R724" i="1"/>
  <c r="K710" i="1"/>
  <c r="P710" i="1"/>
  <c r="M710" i="1"/>
  <c r="N710" i="1"/>
  <c r="J710" i="1"/>
  <c r="R710" i="1"/>
  <c r="A710" i="1"/>
  <c r="L710" i="1"/>
  <c r="B710" i="1"/>
  <c r="Q710" i="1"/>
  <c r="J704" i="1"/>
  <c r="A704" i="1"/>
  <c r="R704" i="1"/>
  <c r="B704" i="1"/>
  <c r="L704" i="1"/>
  <c r="M704" i="1"/>
  <c r="N704" i="1"/>
  <c r="O704" i="1"/>
  <c r="P704" i="1"/>
  <c r="N698" i="1"/>
  <c r="O698" i="1"/>
  <c r="P698" i="1"/>
  <c r="A698" i="1"/>
  <c r="R698" i="1"/>
  <c r="B698" i="1"/>
  <c r="Q698" i="1"/>
  <c r="K698" i="1"/>
  <c r="L698" i="1"/>
  <c r="M698" i="1"/>
  <c r="J66" i="1"/>
  <c r="Q1556" i="1"/>
  <c r="K154" i="1"/>
  <c r="K316" i="1"/>
  <c r="L308" i="1"/>
  <c r="L1651" i="1"/>
  <c r="L1643" i="1"/>
  <c r="A265" i="1"/>
  <c r="B643" i="1"/>
  <c r="B649" i="1"/>
  <c r="B655" i="1"/>
  <c r="P669" i="1"/>
  <c r="P1592" i="1"/>
  <c r="L1669" i="1"/>
  <c r="N55" i="1"/>
  <c r="K1924" i="1"/>
  <c r="K39" i="1"/>
  <c r="L74" i="1"/>
  <c r="L590" i="1"/>
  <c r="O590" i="1"/>
  <c r="A590" i="1"/>
  <c r="N820" i="1"/>
  <c r="R316" i="1"/>
  <c r="R308" i="1"/>
  <c r="R1651" i="1"/>
  <c r="R1643" i="1"/>
  <c r="M265" i="1"/>
  <c r="M643" i="1"/>
  <c r="P649" i="1"/>
  <c r="R655" i="1"/>
  <c r="A655" i="1"/>
  <c r="A669" i="1"/>
  <c r="B1592" i="1"/>
  <c r="B1669" i="1"/>
  <c r="M55" i="1"/>
  <c r="B1924" i="1"/>
  <c r="L39" i="1"/>
  <c r="O710" i="1"/>
  <c r="P788" i="1"/>
  <c r="A820" i="1"/>
  <c r="O167" i="1"/>
  <c r="P612" i="1"/>
  <c r="J613" i="1"/>
  <c r="L699" i="1"/>
  <c r="J711" i="1"/>
  <c r="A725" i="1"/>
  <c r="K743" i="1"/>
  <c r="O757" i="1"/>
  <c r="O775" i="1"/>
  <c r="A789" i="1"/>
  <c r="M828" i="1"/>
  <c r="N750" i="1"/>
  <c r="O796" i="1"/>
  <c r="K1848" i="1"/>
  <c r="B1614" i="1"/>
  <c r="N1609" i="1"/>
  <c r="Q613" i="1"/>
  <c r="L731" i="1"/>
  <c r="J743" i="1"/>
  <c r="A757" i="1"/>
  <c r="M775" i="1"/>
  <c r="M795" i="1"/>
  <c r="O821" i="1"/>
  <c r="R1848" i="1"/>
  <c r="P555" i="1"/>
  <c r="A1614" i="1"/>
  <c r="P1608" i="1"/>
  <c r="A12" i="1"/>
  <c r="M801" i="1"/>
  <c r="Q821" i="1"/>
  <c r="B1365" i="1"/>
  <c r="B1606" i="1"/>
  <c r="O1608" i="1"/>
  <c r="B1357" i="1"/>
  <c r="R1622" i="1"/>
  <c r="J1606" i="1"/>
  <c r="A1336" i="1"/>
  <c r="Q1622" i="1"/>
  <c r="K1604" i="1"/>
  <c r="P711" i="1"/>
  <c r="P725" i="1"/>
  <c r="N737" i="1"/>
  <c r="P763" i="1"/>
  <c r="N789" i="1"/>
  <c r="O807" i="1"/>
  <c r="Q827" i="1"/>
  <c r="B776" i="1"/>
  <c r="Q1832" i="1"/>
  <c r="A1906" i="1"/>
  <c r="R1621" i="1"/>
  <c r="K711" i="1"/>
  <c r="N725" i="1"/>
  <c r="L737" i="1"/>
  <c r="R769" i="1"/>
  <c r="M789" i="1"/>
  <c r="P807" i="1"/>
  <c r="Q808" i="1"/>
  <c r="M782" i="1"/>
  <c r="L1906" i="1"/>
  <c r="L1840" i="1"/>
  <c r="M1618" i="1"/>
  <c r="P378" i="1"/>
  <c r="O743" i="1"/>
  <c r="Q757" i="1"/>
  <c r="Q769" i="1"/>
  <c r="B789" i="1"/>
  <c r="B807" i="1"/>
  <c r="M796" i="1"/>
  <c r="M1653" i="1"/>
  <c r="N1655" i="1"/>
  <c r="A1655" i="1"/>
  <c r="J1655" i="1"/>
  <c r="R1655" i="1"/>
  <c r="L1655" i="1"/>
  <c r="M1655" i="1"/>
  <c r="L1663" i="1"/>
  <c r="A1663" i="1"/>
  <c r="J243" i="1"/>
  <c r="B243" i="1"/>
  <c r="M243" i="1"/>
  <c r="N243" i="1"/>
  <c r="O243" i="1"/>
  <c r="R243" i="1"/>
  <c r="L243" i="1"/>
  <c r="A361" i="1"/>
  <c r="N361" i="1"/>
  <c r="B361" i="1"/>
  <c r="O361" i="1"/>
  <c r="Q361" i="1"/>
  <c r="P361" i="1"/>
  <c r="J361" i="1"/>
  <c r="K361" i="1"/>
  <c r="L361" i="1"/>
  <c r="Q230" i="1"/>
  <c r="N230" i="1"/>
  <c r="O230" i="1"/>
  <c r="N222" i="1"/>
  <c r="A222" i="1"/>
  <c r="R222" i="1"/>
  <c r="B222" i="1"/>
  <c r="K222" i="1"/>
  <c r="A259" i="1"/>
  <c r="M259" i="1"/>
  <c r="R259" i="1"/>
  <c r="K259" i="1"/>
  <c r="L1573" i="1"/>
  <c r="J1573" i="1"/>
  <c r="R1573" i="1"/>
  <c r="J263" i="1"/>
  <c r="O263" i="1"/>
  <c r="Q263" i="1"/>
  <c r="A263" i="1"/>
  <c r="K263" i="1"/>
  <c r="R264" i="1"/>
  <c r="M264" i="1"/>
  <c r="O264" i="1"/>
  <c r="N65" i="1"/>
  <c r="A65" i="1"/>
  <c r="K65" i="1"/>
  <c r="A73" i="1"/>
  <c r="O73" i="1"/>
  <c r="M73" i="1"/>
  <c r="Q170" i="1"/>
  <c r="J170" i="1"/>
  <c r="Q318" i="1"/>
  <c r="K310" i="1"/>
  <c r="L310" i="1"/>
  <c r="Q1645" i="1"/>
  <c r="A1645" i="1"/>
  <c r="N647" i="1"/>
  <c r="N693" i="1"/>
  <c r="L213" i="1"/>
  <c r="B213" i="1"/>
  <c r="R17" i="1"/>
  <c r="K1922" i="1"/>
  <c r="L1922" i="1"/>
  <c r="K256" i="1"/>
  <c r="K170" i="1"/>
  <c r="J41" i="1"/>
  <c r="B1658" i="1"/>
  <c r="A1658" i="1"/>
  <c r="N1658" i="1"/>
  <c r="Q1658" i="1"/>
  <c r="K1658" i="1"/>
  <c r="O216" i="1"/>
  <c r="A216" i="1"/>
  <c r="K216" i="1"/>
  <c r="N216" i="1"/>
  <c r="P216" i="1"/>
  <c r="R216" i="1"/>
  <c r="P250" i="1"/>
  <c r="K250" i="1"/>
  <c r="L250" i="1"/>
  <c r="O250" i="1"/>
  <c r="N250" i="1"/>
  <c r="B358" i="1"/>
  <c r="A358" i="1"/>
  <c r="N358" i="1"/>
  <c r="Q358" i="1"/>
  <c r="A1584" i="1"/>
  <c r="R1584" i="1"/>
  <c r="Q1794" i="1"/>
  <c r="A1794" i="1"/>
  <c r="M1794" i="1"/>
  <c r="J1829" i="1"/>
  <c r="N1829" i="1"/>
  <c r="P1850" i="1"/>
  <c r="N1850" i="1"/>
  <c r="L1850" i="1"/>
  <c r="K1869" i="1"/>
  <c r="J1869" i="1"/>
  <c r="R1869" i="1"/>
  <c r="B1894" i="1"/>
  <c r="R1894" i="1"/>
  <c r="M1894" i="1"/>
  <c r="A227" i="1"/>
  <c r="K227" i="1"/>
  <c r="B68" i="1"/>
  <c r="M68" i="1"/>
  <c r="N68" i="1"/>
  <c r="Q68" i="1"/>
  <c r="L68" i="1"/>
  <c r="A68" i="1"/>
  <c r="K1550" i="1"/>
  <c r="A1550" i="1"/>
  <c r="M1550" i="1"/>
  <c r="K667" i="1"/>
  <c r="M667" i="1"/>
  <c r="A661" i="1"/>
  <c r="B661" i="1"/>
  <c r="K661" i="1"/>
  <c r="N661" i="1"/>
  <c r="J250" i="1"/>
  <c r="B1869" i="1"/>
  <c r="N1528" i="1"/>
  <c r="B1528" i="1"/>
  <c r="M1528" i="1"/>
  <c r="O1528" i="1"/>
  <c r="P1528" i="1"/>
  <c r="R1528" i="1"/>
  <c r="K1528" i="1"/>
  <c r="A1528" i="1"/>
  <c r="L1528" i="1"/>
  <c r="N1512" i="1"/>
  <c r="K1512" i="1"/>
  <c r="L1512" i="1"/>
  <c r="B1512" i="1"/>
  <c r="O1512" i="1"/>
  <c r="Q1512" i="1"/>
  <c r="J1512" i="1"/>
  <c r="A1504" i="1"/>
  <c r="B1504" i="1"/>
  <c r="B1496" i="1"/>
  <c r="M1496" i="1"/>
  <c r="N1496" i="1"/>
  <c r="P1496" i="1"/>
  <c r="Q1496" i="1"/>
  <c r="R1496" i="1"/>
  <c r="L1496" i="1"/>
  <c r="A1496" i="1"/>
  <c r="J1480" i="1"/>
  <c r="Q1480" i="1"/>
  <c r="A1480" i="1"/>
  <c r="R1480" i="1"/>
  <c r="L1480" i="1"/>
  <c r="O1480" i="1"/>
  <c r="P1472" i="1"/>
  <c r="B1472" i="1"/>
  <c r="A1464" i="1"/>
  <c r="O1464" i="1"/>
  <c r="B1464" i="1"/>
  <c r="P1464" i="1"/>
  <c r="K1464" i="1"/>
  <c r="R1464" i="1"/>
  <c r="M1464" i="1"/>
  <c r="Q1464" i="1"/>
  <c r="J1464" i="1"/>
  <c r="L1464" i="1"/>
  <c r="A1456" i="1"/>
  <c r="B1456" i="1"/>
  <c r="M1456" i="1"/>
  <c r="P1456" i="1"/>
  <c r="R1456" i="1"/>
  <c r="L1456" i="1"/>
  <c r="A1448" i="1"/>
  <c r="O1448" i="1"/>
  <c r="B1448" i="1"/>
  <c r="K1448" i="1"/>
  <c r="K1440" i="1"/>
  <c r="R1440" i="1"/>
  <c r="J1432" i="1"/>
  <c r="B1432" i="1"/>
  <c r="K1432" i="1"/>
  <c r="M1432" i="1"/>
  <c r="L1432" i="1"/>
  <c r="O1432" i="1"/>
  <c r="R1432" i="1"/>
  <c r="O1424" i="1"/>
  <c r="B1424" i="1"/>
  <c r="J1424" i="1"/>
  <c r="L1424" i="1"/>
  <c r="O1416" i="1"/>
  <c r="P1416" i="1"/>
  <c r="J1416" i="1"/>
  <c r="A1416" i="1"/>
  <c r="L1416" i="1"/>
  <c r="Q1416" i="1"/>
  <c r="R1416" i="1"/>
  <c r="K1416" i="1"/>
  <c r="M1416" i="1"/>
  <c r="R1408" i="1"/>
  <c r="A1408" i="1"/>
  <c r="B1408" i="1"/>
  <c r="K1408" i="1"/>
  <c r="J1408" i="1"/>
  <c r="N1408" i="1"/>
  <c r="L1408" i="1"/>
  <c r="O1408" i="1"/>
  <c r="B1400" i="1"/>
  <c r="O1400" i="1"/>
  <c r="N1400" i="1"/>
  <c r="J216" i="1"/>
  <c r="Q661" i="1"/>
  <c r="Q1829" i="1"/>
  <c r="B1416" i="1"/>
  <c r="N1456" i="1"/>
  <c r="K318" i="1"/>
  <c r="P693" i="1"/>
  <c r="M1658" i="1"/>
  <c r="R661" i="1"/>
  <c r="Q243" i="1"/>
  <c r="N1464" i="1"/>
  <c r="M1512" i="1"/>
  <c r="P1658" i="1"/>
  <c r="M1584" i="1"/>
  <c r="R1663" i="1"/>
  <c r="J1528" i="1"/>
  <c r="J1496" i="1"/>
  <c r="K1504" i="1"/>
  <c r="P582" i="1"/>
  <c r="R612" i="1"/>
  <c r="P605" i="1"/>
  <c r="L623" i="1"/>
  <c r="B1530" i="1"/>
  <c r="O1399" i="1"/>
  <c r="A1455" i="1"/>
  <c r="P819" i="1"/>
  <c r="O705" i="1"/>
  <c r="O731" i="1"/>
  <c r="P743" i="1"/>
  <c r="R757" i="1"/>
  <c r="A763" i="1"/>
  <c r="B795" i="1"/>
  <c r="P827" i="1"/>
  <c r="J706" i="1"/>
  <c r="K750" i="1"/>
  <c r="P1906" i="1"/>
  <c r="B1840" i="1"/>
  <c r="Q1837" i="1"/>
  <c r="M555" i="1"/>
  <c r="A563" i="1"/>
  <c r="B1622" i="1"/>
  <c r="B1602" i="1"/>
  <c r="K1620" i="1"/>
  <c r="O1616" i="1"/>
  <c r="L1611" i="1"/>
  <c r="R1605" i="1"/>
  <c r="M1602" i="1"/>
  <c r="P1665" i="1"/>
  <c r="P254" i="1"/>
  <c r="P659" i="1"/>
  <c r="A35" i="1"/>
  <c r="N690" i="1"/>
  <c r="L44" i="1"/>
  <c r="K769" i="1"/>
  <c r="A795" i="1"/>
  <c r="L555" i="1"/>
  <c r="B563" i="1"/>
  <c r="A1397" i="1"/>
  <c r="B1326" i="1"/>
  <c r="B1618" i="1"/>
  <c r="A1602" i="1"/>
  <c r="M1619" i="1"/>
  <c r="Q1615" i="1"/>
  <c r="N1610" i="1"/>
  <c r="K1605" i="1"/>
  <c r="O1601" i="1"/>
  <c r="N252" i="1"/>
  <c r="L659" i="1"/>
  <c r="R19" i="1"/>
  <c r="M690" i="1"/>
  <c r="R44" i="1"/>
  <c r="R165" i="1"/>
  <c r="J593" i="1"/>
  <c r="Q1904" i="1"/>
  <c r="J555" i="1"/>
  <c r="K571" i="1"/>
  <c r="B1381" i="1"/>
  <c r="A1618" i="1"/>
  <c r="L1619" i="1"/>
  <c r="R1613" i="1"/>
  <c r="M1610" i="1"/>
  <c r="J1605" i="1"/>
  <c r="N1601" i="1"/>
  <c r="N1618" i="1"/>
  <c r="K1613" i="1"/>
  <c r="O1609" i="1"/>
  <c r="L1604" i="1"/>
  <c r="P1600" i="1"/>
  <c r="O1600" i="1"/>
  <c r="R1834" i="1"/>
  <c r="B1610" i="1"/>
  <c r="K1621" i="1"/>
  <c r="O1617" i="1"/>
  <c r="L1612" i="1"/>
  <c r="M1603" i="1"/>
  <c r="M1874" i="1"/>
  <c r="P1845" i="1"/>
  <c r="K563" i="1"/>
  <c r="A1610" i="1"/>
  <c r="J1621" i="1"/>
  <c r="N1617" i="1"/>
  <c r="K1612" i="1"/>
  <c r="L1603" i="1"/>
  <c r="R1874" i="1"/>
  <c r="M368" i="1"/>
  <c r="A211" i="1"/>
  <c r="O670" i="1"/>
  <c r="R1913" i="1"/>
  <c r="Q563" i="1"/>
  <c r="L1620" i="1"/>
  <c r="P1616" i="1"/>
  <c r="M1611" i="1"/>
  <c r="N1602" i="1"/>
  <c r="P1898" i="1"/>
  <c r="R1840" i="1"/>
  <c r="R1833" i="1"/>
  <c r="P1900" i="1"/>
  <c r="Q1824" i="1"/>
  <c r="Q1844" i="1"/>
  <c r="R1824" i="1"/>
  <c r="P1905" i="1"/>
  <c r="K1795" i="1"/>
  <c r="L1795" i="1"/>
  <c r="O1795" i="1"/>
  <c r="P1795" i="1"/>
  <c r="Q1795" i="1"/>
  <c r="M1795" i="1"/>
  <c r="J1795" i="1"/>
  <c r="A1795" i="1"/>
  <c r="N1795" i="1"/>
  <c r="Q1825" i="1"/>
  <c r="K1825" i="1"/>
  <c r="R1860" i="1"/>
  <c r="A1860" i="1"/>
  <c r="L1860" i="1"/>
  <c r="N1860" i="1"/>
  <c r="P1860" i="1"/>
  <c r="O1890" i="1"/>
  <c r="J1890" i="1"/>
  <c r="B1890" i="1"/>
  <c r="Q1890" i="1"/>
  <c r="K1890" i="1"/>
  <c r="A1890" i="1"/>
  <c r="R1890" i="1"/>
  <c r="L1890" i="1"/>
  <c r="M1890" i="1"/>
  <c r="N1890" i="1"/>
  <c r="R261" i="1"/>
  <c r="M261" i="1"/>
  <c r="B261" i="1"/>
  <c r="L261" i="1"/>
  <c r="N261" i="1"/>
  <c r="P261" i="1"/>
  <c r="J261" i="1"/>
  <c r="K261" i="1"/>
  <c r="O261" i="1"/>
  <c r="N365" i="1"/>
  <c r="O365" i="1"/>
  <c r="Q72" i="1"/>
  <c r="B72" i="1"/>
  <c r="P72" i="1"/>
  <c r="M72" i="1"/>
  <c r="N72" i="1"/>
  <c r="M29" i="1"/>
  <c r="O29" i="1"/>
  <c r="A29" i="1"/>
  <c r="R29" i="1"/>
  <c r="K29" i="1"/>
  <c r="B29" i="1"/>
  <c r="L29" i="1"/>
  <c r="N29" i="1"/>
  <c r="P29" i="1"/>
  <c r="J29" i="1"/>
  <c r="B53" i="1"/>
  <c r="J53" i="1"/>
  <c r="Q53" i="1"/>
  <c r="M53" i="1"/>
  <c r="O53" i="1"/>
  <c r="P53" i="1"/>
  <c r="N53" i="1"/>
  <c r="R53" i="1"/>
  <c r="K53" i="1"/>
  <c r="L53" i="1"/>
  <c r="P1594" i="1"/>
  <c r="Q1594" i="1"/>
  <c r="R1594" i="1"/>
  <c r="J1594" i="1"/>
  <c r="K1594" i="1"/>
  <c r="L1594" i="1"/>
  <c r="A1594" i="1"/>
  <c r="B1594" i="1"/>
  <c r="M1594" i="1"/>
  <c r="N1594" i="1"/>
  <c r="M657" i="1"/>
  <c r="K657" i="1"/>
  <c r="A657" i="1"/>
  <c r="L657" i="1"/>
  <c r="J657" i="1"/>
  <c r="N657" i="1"/>
  <c r="O657" i="1"/>
  <c r="P657" i="1"/>
  <c r="Q657" i="1"/>
  <c r="R657" i="1"/>
  <c r="J1649" i="1"/>
  <c r="R1649" i="1"/>
  <c r="M1649" i="1"/>
  <c r="A1649" i="1"/>
  <c r="N1649" i="1"/>
  <c r="B1649" i="1"/>
  <c r="O1649" i="1"/>
  <c r="P1649" i="1"/>
  <c r="Q1649" i="1"/>
  <c r="K1649" i="1"/>
  <c r="J306" i="1"/>
  <c r="B306" i="1"/>
  <c r="N306" i="1"/>
  <c r="L306" i="1"/>
  <c r="M306" i="1"/>
  <c r="O306" i="1"/>
  <c r="A306" i="1"/>
  <c r="P306" i="1"/>
  <c r="Q306" i="1"/>
  <c r="R306" i="1"/>
  <c r="L1967" i="1"/>
  <c r="R1967" i="1"/>
  <c r="N1967" i="1"/>
  <c r="O1967" i="1"/>
  <c r="K1967" i="1"/>
  <c r="A1967" i="1"/>
  <c r="Q1967" i="1"/>
  <c r="B1933" i="1"/>
  <c r="O1933" i="1"/>
  <c r="L1933" i="1"/>
  <c r="J1933" i="1"/>
  <c r="K1933" i="1"/>
  <c r="M1933" i="1"/>
  <c r="O72" i="1"/>
  <c r="R1933" i="1"/>
  <c r="Q29" i="1"/>
  <c r="B1795" i="1"/>
  <c r="N502" i="1"/>
  <c r="B502" i="1"/>
  <c r="Q502" i="1"/>
  <c r="K502" i="1"/>
  <c r="L502" i="1"/>
  <c r="L1662" i="1"/>
  <c r="N1662" i="1"/>
  <c r="J1662" i="1"/>
  <c r="Q1662" i="1"/>
  <c r="R1662" i="1"/>
  <c r="J217" i="1"/>
  <c r="Q217" i="1"/>
  <c r="K217" i="1"/>
  <c r="N217" i="1"/>
  <c r="A217" i="1"/>
  <c r="O217" i="1"/>
  <c r="K355" i="1"/>
  <c r="B355" i="1"/>
  <c r="M355" i="1"/>
  <c r="Q355" i="1"/>
  <c r="J355" i="1"/>
  <c r="P1588" i="1"/>
  <c r="L1588" i="1"/>
  <c r="A1588" i="1"/>
  <c r="M1588" i="1"/>
  <c r="B1588" i="1"/>
  <c r="J1588" i="1"/>
  <c r="N1588" i="1"/>
  <c r="O1588" i="1"/>
  <c r="K635" i="1"/>
  <c r="O635" i="1"/>
  <c r="B635" i="1"/>
  <c r="R635" i="1"/>
  <c r="P635" i="1"/>
  <c r="A635" i="1"/>
  <c r="Q635" i="1"/>
  <c r="N635" i="1"/>
  <c r="J635" i="1"/>
  <c r="L635" i="1"/>
  <c r="A13" i="1"/>
  <c r="B13" i="1"/>
  <c r="L37" i="1"/>
  <c r="M37" i="1"/>
  <c r="B37" i="1"/>
  <c r="J37" i="1"/>
  <c r="A37" i="1"/>
  <c r="O37" i="1"/>
  <c r="P37" i="1"/>
  <c r="Q37" i="1"/>
  <c r="K37" i="1"/>
  <c r="N37" i="1"/>
  <c r="R37" i="1"/>
  <c r="L208" i="1"/>
  <c r="B208" i="1"/>
  <c r="J208" i="1"/>
  <c r="K208" i="1"/>
  <c r="N208" i="1"/>
  <c r="O208" i="1"/>
  <c r="P208" i="1"/>
  <c r="Q208" i="1"/>
  <c r="R208" i="1"/>
  <c r="A208" i="1"/>
  <c r="Q1554" i="1"/>
  <c r="R1554" i="1"/>
  <c r="L1554" i="1"/>
  <c r="N1554" i="1"/>
  <c r="O1554" i="1"/>
  <c r="P1554" i="1"/>
  <c r="A1554" i="1"/>
  <c r="B1554" i="1"/>
  <c r="M1554" i="1"/>
  <c r="J1554" i="1"/>
  <c r="B689" i="1"/>
  <c r="O689" i="1"/>
  <c r="A689" i="1"/>
  <c r="L689" i="1"/>
  <c r="J689" i="1"/>
  <c r="R689" i="1"/>
  <c r="K689" i="1"/>
  <c r="M689" i="1"/>
  <c r="N689" i="1"/>
  <c r="P689" i="1"/>
  <c r="N651" i="1"/>
  <c r="O651" i="1"/>
  <c r="M651" i="1"/>
  <c r="J651" i="1"/>
  <c r="R651" i="1"/>
  <c r="K651" i="1"/>
  <c r="L651" i="1"/>
  <c r="P651" i="1"/>
  <c r="A651" i="1"/>
  <c r="Q651" i="1"/>
  <c r="B1625" i="1"/>
  <c r="M1625" i="1"/>
  <c r="Q1625" i="1"/>
  <c r="A1625" i="1"/>
  <c r="O1625" i="1"/>
  <c r="P1625" i="1"/>
  <c r="J1625" i="1"/>
  <c r="R1625" i="1"/>
  <c r="K1625" i="1"/>
  <c r="L1625" i="1"/>
  <c r="A1641" i="1"/>
  <c r="L1641" i="1"/>
  <c r="K1641" i="1"/>
  <c r="N1641" i="1"/>
  <c r="B1641" i="1"/>
  <c r="O1641" i="1"/>
  <c r="P1641" i="1"/>
  <c r="Q1641" i="1"/>
  <c r="J1641" i="1"/>
  <c r="R1641" i="1"/>
  <c r="J1953" i="1"/>
  <c r="A1953" i="1"/>
  <c r="K1953" i="1"/>
  <c r="M1953" i="1"/>
  <c r="L1953" i="1"/>
  <c r="O1953" i="1"/>
  <c r="P1953" i="1"/>
  <c r="L355" i="1"/>
  <c r="R217" i="1"/>
  <c r="P502" i="1"/>
  <c r="L72" i="1"/>
  <c r="Q1933" i="1"/>
  <c r="N1953" i="1"/>
  <c r="L1649" i="1"/>
  <c r="B657" i="1"/>
  <c r="K1554" i="1"/>
  <c r="K1916" i="1"/>
  <c r="R1916" i="1"/>
  <c r="B1916" i="1"/>
  <c r="N223" i="1"/>
  <c r="J223" i="1"/>
  <c r="M223" i="1"/>
  <c r="Q223" i="1"/>
  <c r="A223" i="1"/>
  <c r="O223" i="1"/>
  <c r="R223" i="1"/>
  <c r="K223" i="1"/>
  <c r="B223" i="1"/>
  <c r="P223" i="1"/>
  <c r="L1574" i="1"/>
  <c r="A1574" i="1"/>
  <c r="N1574" i="1"/>
  <c r="B1574" i="1"/>
  <c r="P1574" i="1"/>
  <c r="Q1574" i="1"/>
  <c r="J1574" i="1"/>
  <c r="R1574" i="1"/>
  <c r="K450" i="1"/>
  <c r="B450"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4" i="1"/>
  <c r="L204" i="1"/>
  <c r="K204" i="1"/>
  <c r="A204" i="1"/>
  <c r="N204" i="1"/>
  <c r="J204" i="1"/>
  <c r="R204" i="1"/>
  <c r="M204" i="1"/>
  <c r="O204" i="1"/>
  <c r="P204" i="1"/>
  <c r="R683" i="1"/>
  <c r="M683" i="1"/>
  <c r="Q683" i="1"/>
  <c r="J683" i="1"/>
  <c r="K683" i="1"/>
  <c r="L683" i="1"/>
  <c r="A683" i="1"/>
  <c r="O683" i="1"/>
  <c r="B683" i="1"/>
  <c r="N683" i="1"/>
  <c r="P677" i="1"/>
  <c r="R677" i="1"/>
  <c r="Q677" i="1"/>
  <c r="J677" i="1"/>
  <c r="K677" i="1"/>
  <c r="M677" i="1"/>
  <c r="L677" i="1"/>
  <c r="A677" i="1"/>
  <c r="O677" i="1"/>
  <c r="B677" i="1"/>
  <c r="Q663" i="1"/>
  <c r="N663" i="1"/>
  <c r="O663" i="1"/>
  <c r="P663" i="1"/>
  <c r="J663" i="1"/>
  <c r="R663" i="1"/>
  <c r="K663" i="1"/>
  <c r="M663" i="1"/>
  <c r="A663" i="1"/>
  <c r="L663" i="1"/>
  <c r="R645" i="1"/>
  <c r="L645" i="1"/>
  <c r="B645" i="1"/>
  <c r="M645" i="1"/>
  <c r="J645" i="1"/>
  <c r="K645" i="1"/>
  <c r="N645" i="1"/>
  <c r="O645" i="1"/>
  <c r="Q645" i="1"/>
  <c r="P1546" i="1"/>
  <c r="O1546" i="1"/>
  <c r="J1546" i="1"/>
  <c r="M1546" i="1"/>
  <c r="N1546" i="1"/>
  <c r="A1546" i="1"/>
  <c r="B1546" i="1"/>
  <c r="Q1546" i="1"/>
  <c r="R1546" i="1"/>
  <c r="L1546" i="1"/>
  <c r="A314" i="1"/>
  <c r="N314" i="1"/>
  <c r="L314" i="1"/>
  <c r="K314" i="1"/>
  <c r="M314" i="1"/>
  <c r="O314" i="1"/>
  <c r="B314" i="1"/>
  <c r="P314" i="1"/>
  <c r="Q314" i="1"/>
  <c r="J314" i="1"/>
  <c r="R1943" i="1"/>
  <c r="Q1943" i="1"/>
  <c r="K1943" i="1"/>
  <c r="B1943" i="1"/>
  <c r="M1943" i="1"/>
  <c r="O1943" i="1"/>
  <c r="N1943" i="1"/>
  <c r="R355" i="1"/>
  <c r="B217" i="1"/>
  <c r="M502" i="1"/>
  <c r="Q1860" i="1"/>
  <c r="K72" i="1"/>
  <c r="A1933" i="1"/>
  <c r="B1953" i="1"/>
  <c r="O64" i="1"/>
  <c r="M1641" i="1"/>
  <c r="B663" i="1"/>
  <c r="O1594" i="1"/>
  <c r="O1860" i="1"/>
  <c r="A72" i="1"/>
  <c r="L1943" i="1"/>
  <c r="J1967" i="1"/>
  <c r="Q204" i="1"/>
  <c r="M635" i="1"/>
  <c r="L64" i="1"/>
  <c r="O355" i="1"/>
  <c r="O1662" i="1"/>
  <c r="J502" i="1"/>
  <c r="K1860" i="1"/>
  <c r="P1943" i="1"/>
  <c r="P1967" i="1"/>
  <c r="M1574" i="1"/>
  <c r="N677" i="1"/>
  <c r="M208" i="1"/>
  <c r="M1662" i="1"/>
  <c r="J1943" i="1"/>
  <c r="M1967" i="1"/>
  <c r="K1574" i="1"/>
  <c r="R314" i="1"/>
  <c r="P683" i="1"/>
  <c r="A355" i="1"/>
  <c r="A502" i="1"/>
  <c r="J1860" i="1"/>
  <c r="Q261" i="1"/>
  <c r="N1625" i="1"/>
  <c r="B61" i="1"/>
  <c r="P217" i="1"/>
  <c r="K1662" i="1"/>
  <c r="M1860" i="1"/>
  <c r="R72" i="1"/>
  <c r="P1933" i="1"/>
  <c r="A1943" i="1"/>
  <c r="B1967" i="1"/>
  <c r="A261" i="1"/>
  <c r="K306" i="1"/>
  <c r="P645" i="1"/>
  <c r="Q689" i="1"/>
  <c r="A53" i="1"/>
  <c r="J356" i="1"/>
  <c r="K248" i="1"/>
  <c r="B248" i="1"/>
  <c r="J219" i="1"/>
  <c r="Q1660" i="1"/>
  <c r="L1831" i="1"/>
  <c r="M1935" i="1"/>
  <c r="B1935" i="1"/>
  <c r="N1945" i="1"/>
  <c r="P1955" i="1"/>
  <c r="Q1969" i="1"/>
  <c r="J1969" i="1"/>
  <c r="P358" i="1"/>
  <c r="Q250" i="1"/>
  <c r="B250" i="1"/>
  <c r="M216" i="1"/>
  <c r="R1658" i="1"/>
  <c r="N665" i="1"/>
  <c r="P68" i="1"/>
  <c r="M661" i="1"/>
  <c r="P70" i="1"/>
  <c r="J1875" i="1"/>
  <c r="Q1874" i="1"/>
  <c r="B1665" i="1"/>
  <c r="M254" i="1"/>
  <c r="O225" i="1"/>
  <c r="R1850" i="1"/>
  <c r="R1794" i="1"/>
  <c r="L246" i="1"/>
  <c r="K1657" i="1"/>
  <c r="J1929" i="1"/>
  <c r="P1949" i="1"/>
  <c r="B1964" i="1"/>
  <c r="P1920" i="1"/>
  <c r="A659" i="1"/>
  <c r="N691" i="1"/>
  <c r="B19" i="1"/>
  <c r="J227" i="1"/>
  <c r="P641" i="1"/>
  <c r="O1928" i="1"/>
  <c r="O1868" i="1"/>
  <c r="J685" i="1"/>
  <c r="Q356" i="1"/>
  <c r="O248" i="1"/>
  <c r="A248" i="1"/>
  <c r="Q219" i="1"/>
  <c r="P1660" i="1"/>
  <c r="K1831" i="1"/>
  <c r="L1935" i="1"/>
  <c r="A1935" i="1"/>
  <c r="P1945" i="1"/>
  <c r="O1955" i="1"/>
  <c r="P1969" i="1"/>
  <c r="A1969" i="1"/>
  <c r="O358" i="1"/>
  <c r="M250" i="1"/>
  <c r="A250" i="1"/>
  <c r="L216" i="1"/>
  <c r="J1658" i="1"/>
  <c r="M665" i="1"/>
  <c r="O68" i="1"/>
  <c r="L661" i="1"/>
  <c r="O70" i="1"/>
  <c r="P1875" i="1"/>
  <c r="A1874" i="1"/>
  <c r="A1665" i="1"/>
  <c r="M225" i="1"/>
  <c r="B1920" i="1"/>
  <c r="O211" i="1"/>
  <c r="O35" i="1"/>
  <c r="R665" i="1"/>
  <c r="L665" i="1"/>
  <c r="N70" i="1"/>
  <c r="B1875" i="1"/>
  <c r="B1874" i="1"/>
  <c r="K252" i="1"/>
  <c r="R225" i="1"/>
  <c r="L260" i="1"/>
  <c r="N211" i="1"/>
  <c r="L35" i="1"/>
  <c r="Q158" i="1"/>
  <c r="P1647" i="1"/>
  <c r="N501" i="1"/>
  <c r="P501" i="1"/>
  <c r="J501" i="1"/>
  <c r="B501" i="1"/>
  <c r="M501" i="1"/>
  <c r="L501" i="1"/>
  <c r="B1657" i="1"/>
  <c r="M1657" i="1"/>
  <c r="P1657" i="1"/>
  <c r="J1657" i="1"/>
  <c r="O1657" i="1"/>
  <c r="R1657" i="1"/>
  <c r="K150" i="1"/>
  <c r="B150" i="1"/>
  <c r="P150" i="1"/>
  <c r="N150" i="1"/>
  <c r="O150" i="1"/>
  <c r="R150" i="1"/>
  <c r="A150" i="1"/>
  <c r="R246" i="1"/>
  <c r="Q246" i="1"/>
  <c r="B246" i="1"/>
  <c r="M246" i="1"/>
  <c r="N246" i="1"/>
  <c r="P246" i="1"/>
  <c r="J246" i="1"/>
  <c r="A359" i="1"/>
  <c r="O359" i="1"/>
  <c r="Q359" i="1"/>
  <c r="N359" i="1"/>
  <c r="J359" i="1"/>
  <c r="L359" i="1"/>
  <c r="J1585" i="1"/>
  <c r="L1585" i="1"/>
  <c r="M1585" i="1"/>
  <c r="J1589" i="1"/>
  <c r="O1589" i="1"/>
  <c r="K1589" i="1"/>
  <c r="A1828" i="1"/>
  <c r="R1828" i="1"/>
  <c r="M1828" i="1"/>
  <c r="B1828" i="1"/>
  <c r="O1863" i="1"/>
  <c r="B1863" i="1"/>
  <c r="R1863" i="1"/>
  <c r="K1863" i="1"/>
  <c r="N1868" i="1"/>
  <c r="M1868" i="1"/>
  <c r="K1868" i="1"/>
  <c r="J1868" i="1"/>
  <c r="L1893" i="1"/>
  <c r="J1893" i="1"/>
  <c r="O1893" i="1"/>
  <c r="P1893" i="1"/>
  <c r="Q1919" i="1"/>
  <c r="O1919" i="1"/>
  <c r="R1919" i="1"/>
  <c r="K1964" i="1"/>
  <c r="O1964" i="1"/>
  <c r="Q1964" i="1"/>
  <c r="L1964" i="1"/>
  <c r="N1964" i="1"/>
  <c r="J1964" i="1"/>
  <c r="R1949" i="1"/>
  <c r="B1949" i="1"/>
  <c r="O1949" i="1"/>
  <c r="Q1949" i="1"/>
  <c r="N1949" i="1"/>
  <c r="L1949" i="1"/>
  <c r="B1939" i="1"/>
  <c r="J1939" i="1"/>
  <c r="P1939" i="1"/>
  <c r="A1939" i="1"/>
  <c r="R1939" i="1"/>
  <c r="K1939" i="1"/>
  <c r="O1939" i="1"/>
  <c r="Q1929" i="1"/>
  <c r="P1929" i="1"/>
  <c r="R1929" i="1"/>
  <c r="A1929" i="1"/>
  <c r="M1929" i="1"/>
  <c r="K1929" i="1"/>
  <c r="J665" i="1"/>
  <c r="B665" i="1"/>
  <c r="O1874" i="1"/>
  <c r="M1665" i="1"/>
  <c r="R252" i="1"/>
  <c r="J260" i="1"/>
  <c r="P1541" i="1"/>
  <c r="O368" i="1"/>
  <c r="L211" i="1"/>
  <c r="K35" i="1"/>
  <c r="O1584" i="1"/>
  <c r="N1584" i="1"/>
  <c r="Q1584" i="1"/>
  <c r="J1584" i="1"/>
  <c r="K1584" i="1"/>
  <c r="B1584" i="1"/>
  <c r="L1794" i="1"/>
  <c r="B1794" i="1"/>
  <c r="N1794" i="1"/>
  <c r="J1794" i="1"/>
  <c r="K1794" i="1"/>
  <c r="P1794" i="1"/>
  <c r="A1829" i="1"/>
  <c r="P1829" i="1"/>
  <c r="R1829" i="1"/>
  <c r="K1829" i="1"/>
  <c r="M1829" i="1"/>
  <c r="B1829" i="1"/>
  <c r="J1850" i="1"/>
  <c r="A1850" i="1"/>
  <c r="K1850" i="1"/>
  <c r="O1850" i="1"/>
  <c r="Q1850" i="1"/>
  <c r="B1850" i="1"/>
  <c r="N1869" i="1"/>
  <c r="P1869" i="1"/>
  <c r="M1869" i="1"/>
  <c r="Q1869" i="1"/>
  <c r="A1869" i="1"/>
  <c r="L1869" i="1"/>
  <c r="A1894" i="1"/>
  <c r="N1894" i="1"/>
  <c r="Q1894" i="1"/>
  <c r="P1894" i="1"/>
  <c r="J1894" i="1"/>
  <c r="K1894" i="1"/>
  <c r="L227" i="1"/>
  <c r="Q227" i="1"/>
  <c r="N227" i="1"/>
  <c r="O227" i="1"/>
  <c r="B227" i="1"/>
  <c r="R227" i="1"/>
  <c r="M227" i="1"/>
  <c r="P227" i="1"/>
  <c r="B364" i="1"/>
  <c r="A364" i="1"/>
  <c r="Q364" i="1"/>
  <c r="K364" i="1"/>
  <c r="M256" i="1"/>
  <c r="B256" i="1"/>
  <c r="R256" i="1"/>
  <c r="J256" i="1"/>
  <c r="Q256" i="1"/>
  <c r="L256" i="1"/>
  <c r="O256" i="1"/>
  <c r="L1590" i="1"/>
  <c r="M1590" i="1"/>
  <c r="N1590" i="1"/>
  <c r="B1590" i="1"/>
  <c r="J1590" i="1"/>
  <c r="R1590" i="1"/>
  <c r="O1590" i="1"/>
  <c r="A1590" i="1"/>
  <c r="N631" i="1"/>
  <c r="J631" i="1"/>
  <c r="Q631" i="1"/>
  <c r="K631" i="1"/>
  <c r="B631" i="1"/>
  <c r="R631" i="1"/>
  <c r="O631" i="1"/>
  <c r="P631"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3" i="1"/>
  <c r="A203" i="1"/>
  <c r="O203" i="1"/>
  <c r="Q203" i="1"/>
  <c r="P203" i="1"/>
  <c r="K203" i="1"/>
  <c r="M203" i="1"/>
  <c r="B1667" i="1"/>
  <c r="Q1667" i="1"/>
  <c r="J1667" i="1"/>
  <c r="L1667" i="1"/>
  <c r="R1667" i="1"/>
  <c r="O1550" i="1"/>
  <c r="Q1550" i="1"/>
  <c r="R1550" i="1"/>
  <c r="L1550" i="1"/>
  <c r="B1550" i="1"/>
  <c r="N1550" i="1"/>
  <c r="P1550" i="1"/>
  <c r="J1550" i="1"/>
  <c r="A679" i="1"/>
  <c r="K679" i="1"/>
  <c r="L679" i="1"/>
  <c r="N679" i="1"/>
  <c r="O679" i="1"/>
  <c r="P679" i="1"/>
  <c r="J679" i="1"/>
  <c r="R679" i="1"/>
  <c r="L673" i="1"/>
  <c r="Q673" i="1"/>
  <c r="A673" i="1"/>
  <c r="P673" i="1"/>
  <c r="B673" i="1"/>
  <c r="N673" i="1"/>
  <c r="K673" i="1"/>
  <c r="L667" i="1"/>
  <c r="N667" i="1"/>
  <c r="J667" i="1"/>
  <c r="O667" i="1"/>
  <c r="P667" i="1"/>
  <c r="A667" i="1"/>
  <c r="R667" i="1"/>
  <c r="Q667" i="1"/>
  <c r="Q641" i="1"/>
  <c r="M641" i="1"/>
  <c r="A641" i="1"/>
  <c r="K641" i="1"/>
  <c r="R641" i="1"/>
  <c r="N641" i="1"/>
  <c r="O641" i="1"/>
  <c r="B641" i="1"/>
  <c r="L267" i="1"/>
  <c r="M267" i="1"/>
  <c r="Q267" i="1"/>
  <c r="B267" i="1"/>
  <c r="J267" i="1"/>
  <c r="R267" i="1"/>
  <c r="L1653" i="1"/>
  <c r="N1653" i="1"/>
  <c r="Q1653" i="1"/>
  <c r="P1653" i="1"/>
  <c r="K1653" i="1"/>
  <c r="R1963" i="1"/>
  <c r="A1963" i="1"/>
  <c r="L1963" i="1"/>
  <c r="M1963" i="1"/>
  <c r="N1963" i="1"/>
  <c r="B1963" i="1"/>
  <c r="K1963" i="1"/>
  <c r="R1948" i="1"/>
  <c r="A1948" i="1"/>
  <c r="Q1948" i="1"/>
  <c r="M1948" i="1"/>
  <c r="P1948" i="1"/>
  <c r="B1948" i="1"/>
  <c r="L1948" i="1"/>
  <c r="K1948" i="1"/>
  <c r="N1948" i="1"/>
  <c r="N1938" i="1"/>
  <c r="O1938" i="1"/>
  <c r="P1938" i="1"/>
  <c r="R1938" i="1"/>
  <c r="L1938" i="1"/>
  <c r="Q1938" i="1"/>
  <c r="Q1928" i="1"/>
  <c r="A1928" i="1"/>
  <c r="M1928" i="1"/>
  <c r="P1928" i="1"/>
  <c r="N1928" i="1"/>
  <c r="R1928" i="1"/>
  <c r="J1928" i="1"/>
  <c r="L1928" i="1"/>
  <c r="M356" i="1"/>
  <c r="N356" i="1"/>
  <c r="L248" i="1"/>
  <c r="M219" i="1"/>
  <c r="A219" i="1"/>
  <c r="M1660" i="1"/>
  <c r="Q1831" i="1"/>
  <c r="Q1935" i="1"/>
  <c r="R1945" i="1"/>
  <c r="A1945" i="1"/>
  <c r="L1955" i="1"/>
  <c r="M1969" i="1"/>
  <c r="K358" i="1"/>
  <c r="L358" i="1"/>
  <c r="R250" i="1"/>
  <c r="Q216" i="1"/>
  <c r="B216" i="1"/>
  <c r="O1658" i="1"/>
  <c r="K665" i="1"/>
  <c r="A665" i="1"/>
  <c r="R68" i="1"/>
  <c r="P661" i="1"/>
  <c r="J661" i="1"/>
  <c r="O1894" i="1"/>
  <c r="O1869" i="1"/>
  <c r="O1829" i="1"/>
  <c r="L1584" i="1"/>
  <c r="K359" i="1"/>
  <c r="Q150" i="1"/>
  <c r="R501" i="1"/>
  <c r="Q1939" i="1"/>
  <c r="A1949" i="1"/>
  <c r="P1590" i="1"/>
  <c r="N256" i="1"/>
  <c r="B667" i="1"/>
  <c r="L203" i="1"/>
  <c r="O1963" i="1"/>
  <c r="M1667" i="1"/>
  <c r="Q1852" i="1"/>
  <c r="K1852" i="1"/>
  <c r="M1852" i="1"/>
  <c r="O1852" i="1"/>
  <c r="A1852" i="1"/>
  <c r="L1852" i="1"/>
  <c r="P1852" i="1"/>
  <c r="R1852" i="1"/>
  <c r="P1871" i="1"/>
  <c r="M1871" i="1"/>
  <c r="L225" i="1"/>
  <c r="N225" i="1"/>
  <c r="J225" i="1"/>
  <c r="K225" i="1"/>
  <c r="A225" i="1"/>
  <c r="Q225" i="1"/>
  <c r="L252" i="1"/>
  <c r="O252" i="1"/>
  <c r="P252" i="1"/>
  <c r="B252" i="1"/>
  <c r="Q252" i="1"/>
  <c r="M252" i="1"/>
  <c r="J254" i="1"/>
  <c r="A254" i="1"/>
  <c r="L254" i="1"/>
  <c r="K254" i="1"/>
  <c r="O254" i="1"/>
  <c r="N254" i="1"/>
  <c r="O1665" i="1"/>
  <c r="N1665" i="1"/>
  <c r="Q1665" i="1"/>
  <c r="R1665" i="1"/>
  <c r="L1874" i="1"/>
  <c r="P1874" i="1"/>
  <c r="J1874" i="1"/>
  <c r="Q1875" i="1"/>
  <c r="A1875" i="1"/>
  <c r="M1875" i="1"/>
  <c r="O1875" i="1"/>
  <c r="B70" i="1"/>
  <c r="L70" i="1"/>
  <c r="K70" i="1"/>
  <c r="A70" i="1"/>
  <c r="R70" i="1"/>
  <c r="J158" i="1"/>
  <c r="L158" i="1"/>
  <c r="N158" i="1"/>
  <c r="P158" i="1"/>
  <c r="M158" i="1"/>
  <c r="A158" i="1"/>
  <c r="K158" i="1"/>
  <c r="B633" i="1"/>
  <c r="Q633" i="1"/>
  <c r="A633" i="1"/>
  <c r="L633" i="1"/>
  <c r="P633"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1" i="1"/>
  <c r="M211" i="1"/>
  <c r="P211" i="1"/>
  <c r="J211" i="1"/>
  <c r="B211" i="1"/>
  <c r="R211" i="1"/>
  <c r="A214" i="1"/>
  <c r="K214" i="1"/>
  <c r="N214" i="1"/>
  <c r="R214" i="1"/>
  <c r="L1596" i="1"/>
  <c r="O1596" i="1"/>
  <c r="B1596" i="1"/>
  <c r="M1596" i="1"/>
  <c r="N1596" i="1"/>
  <c r="Q1596" i="1"/>
  <c r="A1596" i="1"/>
  <c r="L1552" i="1"/>
  <c r="J1552" i="1"/>
  <c r="P1552" i="1"/>
  <c r="N1552" i="1"/>
  <c r="O1552" i="1"/>
  <c r="A636" i="1"/>
  <c r="L636" i="1"/>
  <c r="P636" i="1"/>
  <c r="Q636" i="1"/>
  <c r="M636" i="1"/>
  <c r="B691" i="1"/>
  <c r="M691" i="1"/>
  <c r="J691" i="1"/>
  <c r="L691" i="1"/>
  <c r="K691" i="1"/>
  <c r="P691" i="1"/>
  <c r="M685" i="1"/>
  <c r="L685" i="1"/>
  <c r="K685" i="1"/>
  <c r="B685" i="1"/>
  <c r="M671" i="1"/>
  <c r="Q671" i="1"/>
  <c r="B671" i="1"/>
  <c r="L671" i="1"/>
  <c r="O671" i="1"/>
  <c r="R671" i="1"/>
  <c r="P671" i="1"/>
  <c r="M659" i="1"/>
  <c r="O659" i="1"/>
  <c r="Q659" i="1"/>
  <c r="R659" i="1"/>
  <c r="B659" i="1"/>
  <c r="K659" i="1"/>
  <c r="J653" i="1"/>
  <c r="N653" i="1"/>
  <c r="M653" i="1"/>
  <c r="R653" i="1"/>
  <c r="Q653" i="1"/>
  <c r="A653" i="1"/>
  <c r="O639" i="1"/>
  <c r="A639" i="1"/>
  <c r="M639" i="1"/>
  <c r="J639" i="1"/>
  <c r="R639" i="1"/>
  <c r="L639" i="1"/>
  <c r="L368" i="1"/>
  <c r="A368" i="1"/>
  <c r="Q368" i="1"/>
  <c r="R368" i="1"/>
  <c r="B368" i="1"/>
  <c r="K368" i="1"/>
  <c r="P368" i="1"/>
  <c r="M1647" i="1"/>
  <c r="L1647" i="1"/>
  <c r="Q1647" i="1"/>
  <c r="N1647" i="1"/>
  <c r="O1647" i="1"/>
  <c r="A1647" i="1"/>
  <c r="A1541" i="1"/>
  <c r="L1541" i="1"/>
  <c r="J1541" i="1"/>
  <c r="B1541" i="1"/>
  <c r="R1541" i="1"/>
  <c r="N1541" i="1"/>
  <c r="Q1541" i="1"/>
  <c r="K1541" i="1"/>
  <c r="J1920" i="1"/>
  <c r="R1920" i="1"/>
  <c r="L1920" i="1"/>
  <c r="Q1920" i="1"/>
  <c r="M1920" i="1"/>
  <c r="O1920" i="1"/>
  <c r="L312" i="1"/>
  <c r="K312" i="1"/>
  <c r="P312" i="1"/>
  <c r="J312" i="1"/>
  <c r="N312" i="1"/>
  <c r="O312" i="1"/>
  <c r="M260" i="1"/>
  <c r="P260" i="1"/>
  <c r="Q260" i="1"/>
  <c r="R260" i="1"/>
  <c r="K260" i="1"/>
  <c r="N260" i="1"/>
  <c r="O260" i="1"/>
  <c r="B589" i="1"/>
  <c r="O589" i="1"/>
  <c r="Q589" i="1"/>
  <c r="R589" i="1"/>
  <c r="P581" i="1"/>
  <c r="A581" i="1"/>
  <c r="O581" i="1"/>
  <c r="L581" i="1"/>
  <c r="A1534" i="1"/>
  <c r="R1534" i="1"/>
  <c r="N1502" i="1"/>
  <c r="M1502" i="1"/>
  <c r="K356" i="1"/>
  <c r="R1660" i="1"/>
  <c r="N1831" i="1"/>
  <c r="J1955" i="1"/>
  <c r="J358" i="1"/>
  <c r="L1658" i="1"/>
  <c r="K68" i="1"/>
  <c r="O661" i="1"/>
  <c r="J70" i="1"/>
  <c r="K1875" i="1"/>
  <c r="K1874" i="1"/>
  <c r="J1665" i="1"/>
  <c r="Q254" i="1"/>
  <c r="A252" i="1"/>
  <c r="L1894" i="1"/>
  <c r="M1850" i="1"/>
  <c r="L1829" i="1"/>
  <c r="O1794" i="1"/>
  <c r="P1584" i="1"/>
  <c r="K246" i="1"/>
  <c r="N1657" i="1"/>
  <c r="A501" i="1"/>
  <c r="L1939" i="1"/>
  <c r="R1964" i="1"/>
  <c r="N1920" i="1"/>
  <c r="J368" i="1"/>
  <c r="N659" i="1"/>
  <c r="Q691" i="1"/>
  <c r="J1596" i="1"/>
  <c r="O51" i="1"/>
  <c r="M19" i="1"/>
  <c r="Q1590" i="1"/>
  <c r="A256" i="1"/>
  <c r="B679" i="1"/>
  <c r="R41" i="1"/>
  <c r="M631" i="1"/>
  <c r="J1852" i="1"/>
  <c r="P1963" i="1"/>
  <c r="K1919" i="1"/>
  <c r="B639" i="1"/>
  <c r="R43" i="1"/>
  <c r="R364" i="1"/>
  <c r="J244" i="1"/>
  <c r="P1664" i="1"/>
  <c r="A1664" i="1"/>
  <c r="O1586" i="1"/>
  <c r="B1586" i="1"/>
  <c r="N1586" i="1"/>
  <c r="M1586" i="1"/>
  <c r="O1827" i="1"/>
  <c r="B1827" i="1"/>
  <c r="Q1827" i="1"/>
  <c r="M1827" i="1"/>
  <c r="J1827" i="1"/>
  <c r="A1867" i="1"/>
  <c r="N1867" i="1"/>
  <c r="R1867" i="1"/>
  <c r="Q1867" i="1"/>
  <c r="J229" i="1"/>
  <c r="Q229" i="1"/>
  <c r="A229" i="1"/>
  <c r="N229" i="1"/>
  <c r="B388" i="1"/>
  <c r="A388" i="1"/>
  <c r="B380" i="1"/>
  <c r="P1635" i="1"/>
  <c r="O1635" i="1"/>
  <c r="B171" i="1"/>
  <c r="A171" i="1"/>
  <c r="N171" i="1"/>
  <c r="P171" i="1"/>
  <c r="O171" i="1"/>
  <c r="O634" i="1"/>
  <c r="Q634" i="1"/>
  <c r="K36" i="1"/>
  <c r="A36" i="1"/>
  <c r="N60" i="1"/>
  <c r="L60" i="1"/>
  <c r="N209" i="1"/>
  <c r="P209" i="1"/>
  <c r="M210" i="1"/>
  <c r="L634" i="1"/>
  <c r="N592" i="1"/>
  <c r="K592" i="1"/>
  <c r="R592" i="1"/>
  <c r="K1531" i="1"/>
  <c r="K1419" i="1"/>
  <c r="N1517" i="1"/>
  <c r="M1517" i="1"/>
  <c r="B1461" i="1"/>
  <c r="R1461" i="1"/>
  <c r="P1421" i="1"/>
  <c r="N1421" i="1"/>
  <c r="N1633" i="1"/>
  <c r="P167" i="1"/>
  <c r="N596" i="1"/>
  <c r="P620" i="1"/>
  <c r="L1501" i="1"/>
  <c r="M1443" i="1"/>
  <c r="N1507" i="1"/>
  <c r="R1507" i="1"/>
  <c r="L1405" i="1"/>
  <c r="B1475" i="1"/>
  <c r="K1845" i="1"/>
  <c r="M1845" i="1"/>
  <c r="N1845" i="1"/>
  <c r="B1845" i="1"/>
  <c r="Q1845" i="1"/>
  <c r="R1845" i="1"/>
  <c r="O1845" i="1"/>
  <c r="O1837" i="1"/>
  <c r="N1837" i="1"/>
  <c r="P1837" i="1"/>
  <c r="R1837" i="1"/>
  <c r="B1837" i="1"/>
  <c r="A1837" i="1"/>
  <c r="M1837" i="1"/>
  <c r="K1911" i="1"/>
  <c r="L1911" i="1"/>
  <c r="M1911" i="1"/>
  <c r="P1911" i="1"/>
  <c r="B1911" i="1"/>
  <c r="A1911" i="1"/>
  <c r="Q1911" i="1"/>
  <c r="R1911" i="1"/>
  <c r="N1911" i="1"/>
  <c r="R1903" i="1"/>
  <c r="L1903" i="1"/>
  <c r="M1903" i="1"/>
  <c r="P1903" i="1"/>
  <c r="K1903" i="1"/>
  <c r="N1903" i="1"/>
  <c r="O1903" i="1"/>
  <c r="A1903" i="1"/>
  <c r="A1294" i="1"/>
  <c r="B1294" i="1"/>
  <c r="L638" i="1"/>
  <c r="N1636" i="1"/>
  <c r="M614" i="1"/>
  <c r="P621" i="1"/>
  <c r="R621" i="1"/>
  <c r="Q605" i="1"/>
  <c r="N605" i="1"/>
  <c r="N597" i="1"/>
  <c r="L597" i="1"/>
  <c r="A1437" i="1"/>
  <c r="Q1903" i="1"/>
  <c r="B597" i="1"/>
  <c r="N613" i="1"/>
  <c r="L604" i="1"/>
  <c r="O604" i="1"/>
  <c r="Q1531" i="1"/>
  <c r="A1461" i="1"/>
  <c r="O1507" i="1"/>
  <c r="Q1515" i="1"/>
  <c r="A824" i="1"/>
  <c r="J824" i="1"/>
  <c r="A818" i="1"/>
  <c r="J818" i="1"/>
  <c r="B818" i="1"/>
  <c r="R818" i="1"/>
  <c r="K818" i="1"/>
  <c r="Q818" i="1"/>
  <c r="L818" i="1"/>
  <c r="N818" i="1"/>
  <c r="K812" i="1"/>
  <c r="P812" i="1"/>
  <c r="J812" i="1"/>
  <c r="R812" i="1"/>
  <c r="M812" i="1"/>
  <c r="P798" i="1"/>
  <c r="N798" i="1"/>
  <c r="B798" i="1"/>
  <c r="O798" i="1"/>
  <c r="R798" i="1"/>
  <c r="N792" i="1"/>
  <c r="O792" i="1"/>
  <c r="P792" i="1"/>
  <c r="A792" i="1"/>
  <c r="J792" i="1"/>
  <c r="K792" i="1"/>
  <c r="Q792" i="1"/>
  <c r="B786" i="1"/>
  <c r="R786" i="1"/>
  <c r="K786" i="1"/>
  <c r="O786" i="1"/>
  <c r="M780" i="1"/>
  <c r="Q780" i="1"/>
  <c r="B780" i="1"/>
  <c r="R780" i="1"/>
  <c r="K780" i="1"/>
  <c r="K766" i="1"/>
  <c r="Q766" i="1"/>
  <c r="L766" i="1"/>
  <c r="M766" i="1"/>
  <c r="N766" i="1"/>
  <c r="P766" i="1"/>
  <c r="B760" i="1"/>
  <c r="O760" i="1"/>
  <c r="A760" i="1"/>
  <c r="L760" i="1"/>
  <c r="N760" i="1"/>
  <c r="J760" i="1"/>
  <c r="A754" i="1"/>
  <c r="O754" i="1"/>
  <c r="P754" i="1"/>
  <c r="K754" i="1"/>
  <c r="B748" i="1"/>
  <c r="A748" i="1"/>
  <c r="L734" i="1"/>
  <c r="O734" i="1"/>
  <c r="R734" i="1"/>
  <c r="Q734" i="1"/>
  <c r="K734" i="1"/>
  <c r="M734" i="1"/>
  <c r="N728" i="1"/>
  <c r="A728" i="1"/>
  <c r="R728" i="1"/>
  <c r="B728" i="1"/>
  <c r="K728" i="1"/>
  <c r="M728" i="1"/>
  <c r="J728" i="1"/>
  <c r="P728" i="1"/>
  <c r="M722" i="1"/>
  <c r="J722" i="1"/>
  <c r="J716" i="1"/>
  <c r="A716" i="1"/>
  <c r="P716" i="1"/>
  <c r="K716" i="1"/>
  <c r="N702" i="1"/>
  <c r="M702" i="1"/>
  <c r="J702" i="1"/>
  <c r="O696" i="1"/>
  <c r="J696" i="1"/>
  <c r="B1903" i="1"/>
  <c r="Q1528" i="1"/>
  <c r="O1426" i="1"/>
  <c r="M1450" i="1"/>
  <c r="P1466" i="1"/>
  <c r="B1466" i="1"/>
  <c r="A1482" i="1"/>
  <c r="A1490" i="1"/>
  <c r="K1506" i="1"/>
  <c r="L1514" i="1"/>
  <c r="A1522" i="1"/>
  <c r="O1496" i="1"/>
  <c r="A1402" i="1"/>
  <c r="N1418" i="1"/>
  <c r="P1434" i="1"/>
  <c r="L1442" i="1"/>
  <c r="Q1458" i="1"/>
  <c r="Q1498" i="1"/>
  <c r="P1530" i="1"/>
  <c r="P1408" i="1"/>
  <c r="Q1408" i="1"/>
  <c r="Q1456" i="1"/>
  <c r="R1512" i="1"/>
  <c r="A1512" i="1"/>
  <c r="P1432" i="1"/>
  <c r="A1432" i="1"/>
  <c r="K1480" i="1"/>
  <c r="L1504" i="1"/>
  <c r="P1424" i="1"/>
  <c r="M1400" i="1"/>
  <c r="M1520" i="1"/>
  <c r="R699" i="1"/>
  <c r="N705" i="1"/>
  <c r="O711" i="1"/>
  <c r="B711" i="1"/>
  <c r="Q725" i="1"/>
  <c r="P731" i="1"/>
  <c r="J731" i="1"/>
  <c r="M737" i="1"/>
  <c r="N743" i="1"/>
  <c r="A743" i="1"/>
  <c r="P757" i="1"/>
  <c r="O763" i="1"/>
  <c r="B763" i="1"/>
  <c r="J769" i="1"/>
  <c r="L775" i="1"/>
  <c r="O789" i="1"/>
  <c r="O795" i="1"/>
  <c r="N801" i="1"/>
  <c r="N807" i="1"/>
  <c r="A821" i="1"/>
  <c r="A827" i="1"/>
  <c r="N825" i="1"/>
  <c r="K825" i="1"/>
  <c r="N1440" i="1"/>
  <c r="K699" i="1"/>
  <c r="B699" i="1"/>
  <c r="L705" i="1"/>
  <c r="Q711" i="1"/>
  <c r="M725" i="1"/>
  <c r="K731" i="1"/>
  <c r="A731" i="1"/>
  <c r="R737" i="1"/>
  <c r="Q743" i="1"/>
  <c r="N757" i="1"/>
  <c r="L763" i="1"/>
  <c r="N769" i="1"/>
  <c r="P769" i="1"/>
  <c r="R775" i="1"/>
  <c r="K789" i="1"/>
  <c r="L795" i="1"/>
  <c r="L801" i="1"/>
  <c r="L807" i="1"/>
  <c r="M821" i="1"/>
  <c r="M827" i="1"/>
  <c r="L814" i="1"/>
  <c r="M1842" i="1"/>
  <c r="O1842" i="1"/>
  <c r="P1834" i="1"/>
  <c r="M1834" i="1"/>
  <c r="L1908" i="1"/>
  <c r="A1908" i="1"/>
  <c r="K1908" i="1"/>
  <c r="R1908" i="1"/>
  <c r="L1900" i="1"/>
  <c r="K1900" i="1"/>
  <c r="M1900" i="1"/>
  <c r="Q1426" i="1"/>
  <c r="J1466" i="1"/>
  <c r="P1482" i="1"/>
  <c r="Q1490" i="1"/>
  <c r="Q1506" i="1"/>
  <c r="J1514" i="1"/>
  <c r="Q1522" i="1"/>
  <c r="K1496" i="1"/>
  <c r="R1402" i="1"/>
  <c r="R1410" i="1"/>
  <c r="K1418" i="1"/>
  <c r="Q1434" i="1"/>
  <c r="B1442" i="1"/>
  <c r="N1474" i="1"/>
  <c r="N1498" i="1"/>
  <c r="A1530" i="1"/>
  <c r="M1503" i="1"/>
  <c r="O1456" i="1"/>
  <c r="K1456" i="1"/>
  <c r="P1512" i="1"/>
  <c r="Q1432" i="1"/>
  <c r="M1480" i="1"/>
  <c r="M1472" i="1"/>
  <c r="A1400" i="1"/>
  <c r="R1488" i="1"/>
  <c r="Q699" i="1"/>
  <c r="A699" i="1"/>
  <c r="R705" i="1"/>
  <c r="N711" i="1"/>
  <c r="L725" i="1"/>
  <c r="Q731" i="1"/>
  <c r="O737" i="1"/>
  <c r="J737" i="1"/>
  <c r="M743" i="1"/>
  <c r="M757" i="1"/>
  <c r="K763" i="1"/>
  <c r="O769" i="1"/>
  <c r="B769" i="1"/>
  <c r="J775" i="1"/>
  <c r="R789" i="1"/>
  <c r="R795" i="1"/>
  <c r="K801" i="1"/>
  <c r="K807" i="1"/>
  <c r="L821" i="1"/>
  <c r="L827" i="1"/>
  <c r="R814" i="1"/>
  <c r="R1614" i="1"/>
  <c r="Q1607" i="1"/>
  <c r="O699" i="1"/>
  <c r="P705" i="1"/>
  <c r="J705" i="1"/>
  <c r="M711" i="1"/>
  <c r="R725" i="1"/>
  <c r="N731" i="1"/>
  <c r="P737" i="1"/>
  <c r="B737" i="1"/>
  <c r="L743" i="1"/>
  <c r="J757" i="1"/>
  <c r="L757" i="1"/>
  <c r="R763" i="1"/>
  <c r="M769" i="1"/>
  <c r="A769" i="1"/>
  <c r="Q775" i="1"/>
  <c r="J789" i="1"/>
  <c r="J795" i="1"/>
  <c r="J801" i="1"/>
  <c r="R807" i="1"/>
  <c r="R821" i="1"/>
  <c r="K827" i="1"/>
  <c r="B1544" i="1"/>
  <c r="L1848" i="1"/>
  <c r="B1848" i="1"/>
  <c r="P1848" i="1"/>
  <c r="M1848" i="1"/>
  <c r="K1840" i="1"/>
  <c r="P1840" i="1"/>
  <c r="Q1840" i="1"/>
  <c r="M1840" i="1"/>
  <c r="R1832" i="1"/>
  <c r="O1832" i="1"/>
  <c r="P1832" i="1"/>
  <c r="M1832" i="1"/>
  <c r="N1906" i="1"/>
  <c r="B1906" i="1"/>
  <c r="M1906" i="1"/>
  <c r="R1906" i="1"/>
  <c r="B1898" i="1"/>
  <c r="A1898" i="1"/>
  <c r="M1898" i="1"/>
  <c r="Q1898" i="1"/>
  <c r="O567" i="1"/>
  <c r="Q1614" i="1"/>
  <c r="J1456" i="1"/>
  <c r="J1448" i="1"/>
  <c r="K705" i="1"/>
  <c r="K725" i="1"/>
  <c r="K737" i="1"/>
  <c r="K757" i="1"/>
  <c r="N775" i="1"/>
  <c r="P775" i="1"/>
  <c r="P828" i="1"/>
  <c r="L828" i="1"/>
  <c r="J808" i="1"/>
  <c r="O808" i="1"/>
  <c r="R802" i="1"/>
  <c r="P802" i="1"/>
  <c r="P796" i="1"/>
  <c r="L796" i="1"/>
  <c r="J782" i="1"/>
  <c r="O782" i="1"/>
  <c r="O776" i="1"/>
  <c r="K776" i="1"/>
  <c r="Q764" i="1"/>
  <c r="B764" i="1"/>
  <c r="K744" i="1"/>
  <c r="A744" i="1"/>
  <c r="A738" i="1"/>
  <c r="M738" i="1"/>
  <c r="M732" i="1"/>
  <c r="O732" i="1"/>
  <c r="O718" i="1"/>
  <c r="L718" i="1"/>
  <c r="L712" i="1"/>
  <c r="O712" i="1"/>
  <c r="N700" i="1"/>
  <c r="K700" i="1"/>
  <c r="J1599" i="1"/>
  <c r="R1599" i="1"/>
  <c r="A1599" i="1"/>
  <c r="K1599" i="1"/>
  <c r="B1599" i="1"/>
  <c r="L1599" i="1"/>
  <c r="M1599" i="1"/>
  <c r="N1599" i="1"/>
  <c r="O1599" i="1"/>
  <c r="J1615" i="1"/>
  <c r="R1615" i="1"/>
  <c r="A1615" i="1"/>
  <c r="K1615" i="1"/>
  <c r="B1615" i="1"/>
  <c r="L1615" i="1"/>
  <c r="M1615" i="1"/>
  <c r="N1615" i="1"/>
  <c r="O1615" i="1"/>
  <c r="J1607" i="1"/>
  <c r="R1607" i="1"/>
  <c r="A1607" i="1"/>
  <c r="K1607" i="1"/>
  <c r="B1607" i="1"/>
  <c r="L1607" i="1"/>
  <c r="M1607" i="1"/>
  <c r="N1607" i="1"/>
  <c r="O1607" i="1"/>
  <c r="Q1599" i="1"/>
  <c r="B827" i="1"/>
  <c r="O827" i="1"/>
  <c r="R827" i="1"/>
  <c r="K821" i="1"/>
  <c r="P821" i="1"/>
  <c r="N821" i="1"/>
  <c r="A807" i="1"/>
  <c r="M807" i="1"/>
  <c r="J807" i="1"/>
  <c r="R801" i="1"/>
  <c r="B801" i="1"/>
  <c r="O801" i="1"/>
  <c r="P795" i="1"/>
  <c r="N795" i="1"/>
  <c r="K795" i="1"/>
  <c r="L789" i="1"/>
  <c r="Q789" i="1"/>
  <c r="K1622" i="1"/>
  <c r="L1622" i="1"/>
  <c r="M1622" i="1"/>
  <c r="N1622" i="1"/>
  <c r="O1622" i="1"/>
  <c r="P1622" i="1"/>
  <c r="K1614" i="1"/>
  <c r="L1614" i="1"/>
  <c r="M1614" i="1"/>
  <c r="N1614" i="1"/>
  <c r="O1614" i="1"/>
  <c r="P1614" i="1"/>
  <c r="K1606" i="1"/>
  <c r="L1606" i="1"/>
  <c r="M1606" i="1"/>
  <c r="N1606" i="1"/>
  <c r="O1606" i="1"/>
  <c r="P1606" i="1"/>
  <c r="A1622" i="1"/>
  <c r="A1606" i="1"/>
  <c r="Q1606" i="1"/>
  <c r="P1599" i="1"/>
  <c r="R555" i="1"/>
  <c r="R563" i="1"/>
  <c r="A571" i="1"/>
  <c r="A1389" i="1"/>
  <c r="B1362" i="1"/>
  <c r="A1328" i="1"/>
  <c r="B1621" i="1"/>
  <c r="B1617" i="1"/>
  <c r="B1613" i="1"/>
  <c r="B1609" i="1"/>
  <c r="B1605" i="1"/>
  <c r="B1601" i="1"/>
  <c r="Q1621" i="1"/>
  <c r="R1620" i="1"/>
  <c r="J1620" i="1"/>
  <c r="K1619" i="1"/>
  <c r="L1618" i="1"/>
  <c r="M1617" i="1"/>
  <c r="N1616" i="1"/>
  <c r="Q1613" i="1"/>
  <c r="R1612" i="1"/>
  <c r="J1612" i="1"/>
  <c r="K1611" i="1"/>
  <c r="L1610" i="1"/>
  <c r="M1609" i="1"/>
  <c r="N1608" i="1"/>
  <c r="Q1605" i="1"/>
  <c r="R1604" i="1"/>
  <c r="J1604" i="1"/>
  <c r="K1603" i="1"/>
  <c r="L1602" i="1"/>
  <c r="M1601" i="1"/>
  <c r="N1600" i="1"/>
  <c r="A1621" i="1"/>
  <c r="A1617" i="1"/>
  <c r="A1613" i="1"/>
  <c r="A1609" i="1"/>
  <c r="A1605" i="1"/>
  <c r="A1601" i="1"/>
  <c r="P1621" i="1"/>
  <c r="Q1620" i="1"/>
  <c r="R1619" i="1"/>
  <c r="J1619" i="1"/>
  <c r="K1618" i="1"/>
  <c r="L1617" i="1"/>
  <c r="M1616" i="1"/>
  <c r="P1613" i="1"/>
  <c r="Q1612" i="1"/>
  <c r="R1611" i="1"/>
  <c r="J1611" i="1"/>
  <c r="K1610" i="1"/>
  <c r="L1609" i="1"/>
  <c r="M1608" i="1"/>
  <c r="P1605" i="1"/>
  <c r="Q1604" i="1"/>
  <c r="R1603" i="1"/>
  <c r="J1603" i="1"/>
  <c r="K1602" i="1"/>
  <c r="L1601" i="1"/>
  <c r="M1600" i="1"/>
  <c r="A1304" i="1"/>
  <c r="B1620" i="1"/>
  <c r="B1616" i="1"/>
  <c r="B1612" i="1"/>
  <c r="B1608" i="1"/>
  <c r="B1604" i="1"/>
  <c r="B1600" i="1"/>
  <c r="O1621" i="1"/>
  <c r="P1620" i="1"/>
  <c r="Q1619" i="1"/>
  <c r="R1618" i="1"/>
  <c r="J1618" i="1"/>
  <c r="K1617" i="1"/>
  <c r="L1616" i="1"/>
  <c r="O1613" i="1"/>
  <c r="P1612" i="1"/>
  <c r="Q1611" i="1"/>
  <c r="R1610" i="1"/>
  <c r="J1610" i="1"/>
  <c r="K1609" i="1"/>
  <c r="L1608" i="1"/>
  <c r="O1605" i="1"/>
  <c r="P1604" i="1"/>
  <c r="Q1603" i="1"/>
  <c r="R1602" i="1"/>
  <c r="J1602" i="1"/>
  <c r="K1601" i="1"/>
  <c r="L1600" i="1"/>
  <c r="A1620" i="1"/>
  <c r="A1616" i="1"/>
  <c r="A1612" i="1"/>
  <c r="A1608" i="1"/>
  <c r="A1604" i="1"/>
  <c r="A1600" i="1"/>
  <c r="N1621" i="1"/>
  <c r="O1620" i="1"/>
  <c r="P1619" i="1"/>
  <c r="Q1618" i="1"/>
  <c r="R1617" i="1"/>
  <c r="J1617" i="1"/>
  <c r="K1616" i="1"/>
  <c r="N1613" i="1"/>
  <c r="O1612" i="1"/>
  <c r="P1611" i="1"/>
  <c r="Q1610" i="1"/>
  <c r="R1609" i="1"/>
  <c r="J1609" i="1"/>
  <c r="K1608" i="1"/>
  <c r="N1605" i="1"/>
  <c r="O1604" i="1"/>
  <c r="P1603" i="1"/>
  <c r="Q1602" i="1"/>
  <c r="R1601" i="1"/>
  <c r="J1601" i="1"/>
  <c r="K1600" i="1"/>
  <c r="B555" i="1"/>
  <c r="M571" i="1"/>
  <c r="B1386" i="1"/>
  <c r="B1619" i="1"/>
  <c r="B1611" i="1"/>
  <c r="B1603" i="1"/>
  <c r="M1621" i="1"/>
  <c r="N1620" i="1"/>
  <c r="O1619" i="1"/>
  <c r="P1618" i="1"/>
  <c r="Q1617" i="1"/>
  <c r="R1616" i="1"/>
  <c r="J1616" i="1"/>
  <c r="M1613" i="1"/>
  <c r="N1612" i="1"/>
  <c r="O1611" i="1"/>
  <c r="P1610" i="1"/>
  <c r="Q1609" i="1"/>
  <c r="R1608" i="1"/>
  <c r="J1608" i="1"/>
  <c r="M1605" i="1"/>
  <c r="N1604" i="1"/>
  <c r="O1603" i="1"/>
  <c r="P1602" i="1"/>
  <c r="Q1601" i="1"/>
  <c r="R1600" i="1"/>
  <c r="J1600" i="1"/>
  <c r="M563" i="1"/>
  <c r="L571" i="1"/>
  <c r="A1619" i="1"/>
  <c r="A1611" i="1"/>
  <c r="A1603" i="1"/>
  <c r="N1659" i="1"/>
  <c r="O1659" i="1"/>
  <c r="P1659" i="1"/>
  <c r="Q1659" i="1"/>
  <c r="J1659" i="1"/>
  <c r="A1659" i="1"/>
  <c r="R1659" i="1"/>
  <c r="B1659" i="1"/>
  <c r="K1659" i="1"/>
  <c r="K220" i="1"/>
  <c r="B220" i="1"/>
  <c r="L220" i="1"/>
  <c r="A220" i="1"/>
  <c r="M220" i="1"/>
  <c r="O220" i="1"/>
  <c r="N220" i="1"/>
  <c r="P220" i="1"/>
  <c r="Q220" i="1"/>
  <c r="J220" i="1"/>
  <c r="B357" i="1"/>
  <c r="P357" i="1"/>
  <c r="Q357" i="1"/>
  <c r="B1798" i="1"/>
  <c r="R1798" i="1"/>
  <c r="L1798" i="1"/>
  <c r="K1798" i="1"/>
  <c r="M1798" i="1"/>
  <c r="N1798" i="1"/>
  <c r="O1798" i="1"/>
  <c r="P1798" i="1"/>
  <c r="Q1798" i="1"/>
  <c r="J1830" i="1"/>
  <c r="R1830" i="1"/>
  <c r="K1830" i="1"/>
  <c r="L1830" i="1"/>
  <c r="M1830" i="1"/>
  <c r="A1830" i="1"/>
  <c r="N1830" i="1"/>
  <c r="B1830" i="1"/>
  <c r="O1830" i="1"/>
  <c r="A1851" i="1"/>
  <c r="R1851" i="1"/>
  <c r="B1851" i="1"/>
  <c r="L1851" i="1"/>
  <c r="M1851" i="1"/>
  <c r="K1851" i="1"/>
  <c r="N1851" i="1"/>
  <c r="O1851" i="1"/>
  <c r="P1851" i="1"/>
  <c r="Q1851" i="1"/>
  <c r="P1895" i="1"/>
  <c r="O1895" i="1"/>
  <c r="Q1895" i="1"/>
  <c r="J1895" i="1"/>
  <c r="R1895" i="1"/>
  <c r="K1895" i="1"/>
  <c r="L1895" i="1"/>
  <c r="B1895" i="1"/>
  <c r="M1895" i="1"/>
  <c r="L226" i="1"/>
  <c r="M226" i="1"/>
  <c r="N226" i="1"/>
  <c r="A226" i="1"/>
  <c r="O226" i="1"/>
  <c r="B226" i="1"/>
  <c r="P226" i="1"/>
  <c r="Q226" i="1"/>
  <c r="J226" i="1"/>
  <c r="R226" i="1"/>
  <c r="R255" i="1"/>
  <c r="L255" i="1"/>
  <c r="N255" i="1"/>
  <c r="O255" i="1"/>
  <c r="P255" i="1"/>
  <c r="K255" i="1"/>
  <c r="B255" i="1"/>
  <c r="M255"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32" i="1"/>
  <c r="K632" i="1"/>
  <c r="P26" i="1"/>
  <c r="Q26" i="1"/>
  <c r="B50" i="1"/>
  <c r="O50" i="1"/>
  <c r="M1970" i="1"/>
  <c r="A1970" i="1"/>
  <c r="N1970" i="1"/>
  <c r="B1970" i="1"/>
  <c r="O1970" i="1"/>
  <c r="Q1970" i="1"/>
  <c r="P1970" i="1"/>
  <c r="J1970" i="1"/>
  <c r="R1970" i="1"/>
  <c r="K1970" i="1"/>
  <c r="P1952" i="1"/>
  <c r="Q1952" i="1"/>
  <c r="J1952" i="1"/>
  <c r="R1952" i="1"/>
  <c r="A1952" i="1"/>
  <c r="K1952" i="1"/>
  <c r="B1952" i="1"/>
  <c r="L1952" i="1"/>
  <c r="N1952" i="1"/>
  <c r="M1952" i="1"/>
  <c r="L1932" i="1"/>
  <c r="N1932" i="1"/>
  <c r="A1932" i="1"/>
  <c r="O1932" i="1"/>
  <c r="B1932" i="1"/>
  <c r="P1932" i="1"/>
  <c r="J1932" i="1"/>
  <c r="Q1932" i="1"/>
  <c r="R1932" i="1"/>
  <c r="K1932" i="1"/>
  <c r="K603" i="1"/>
  <c r="P603" i="1"/>
  <c r="Q603" i="1"/>
  <c r="J603" i="1"/>
  <c r="R603" i="1"/>
  <c r="L603" i="1"/>
  <c r="L319" i="1"/>
  <c r="O311" i="1"/>
  <c r="O1855" i="1"/>
  <c r="B1855" i="1"/>
  <c r="P1542" i="1"/>
  <c r="Q1646" i="1"/>
  <c r="J1646" i="1"/>
  <c r="R367" i="1"/>
  <c r="K367" i="1"/>
  <c r="K640" i="1"/>
  <c r="Q646" i="1"/>
  <c r="A646" i="1"/>
  <c r="O660" i="1"/>
  <c r="R666" i="1"/>
  <c r="B666" i="1"/>
  <c r="N672" i="1"/>
  <c r="J678" i="1"/>
  <c r="O692" i="1"/>
  <c r="Q1551" i="1"/>
  <c r="L1666" i="1"/>
  <c r="A1666" i="1"/>
  <c r="Q202" i="1"/>
  <c r="Q212" i="1"/>
  <c r="Q58" i="1"/>
  <c r="M50" i="1"/>
  <c r="M42" i="1"/>
  <c r="A42" i="1"/>
  <c r="J34" i="1"/>
  <c r="L26" i="1"/>
  <c r="R18" i="1"/>
  <c r="O632" i="1"/>
  <c r="J255" i="1"/>
  <c r="J1851" i="1"/>
  <c r="O1952" i="1"/>
  <c r="B603" i="1"/>
  <c r="R319" i="1"/>
  <c r="B319" i="1"/>
  <c r="M311" i="1"/>
  <c r="M1855" i="1"/>
  <c r="M1542" i="1"/>
  <c r="O1646" i="1"/>
  <c r="A1646" i="1"/>
  <c r="Q367" i="1"/>
  <c r="A367" i="1"/>
  <c r="R640" i="1"/>
  <c r="N646" i="1"/>
  <c r="M660" i="1"/>
  <c r="P666" i="1"/>
  <c r="L672" i="1"/>
  <c r="K672" i="1"/>
  <c r="O678" i="1"/>
  <c r="M692" i="1"/>
  <c r="N1551" i="1"/>
  <c r="R1666" i="1"/>
  <c r="O202" i="1"/>
  <c r="N212" i="1"/>
  <c r="A212" i="1"/>
  <c r="R58" i="1"/>
  <c r="L50" i="1"/>
  <c r="P42" i="1"/>
  <c r="M34" i="1"/>
  <c r="A34" i="1"/>
  <c r="B26" i="1"/>
  <c r="Q18" i="1"/>
  <c r="L632" i="1"/>
  <c r="P1830" i="1"/>
  <c r="L1970" i="1"/>
  <c r="N163" i="1"/>
  <c r="K226" i="1"/>
  <c r="Q319" i="1"/>
  <c r="A319" i="1"/>
  <c r="L311" i="1"/>
  <c r="L1855" i="1"/>
  <c r="L1542" i="1"/>
  <c r="N1646" i="1"/>
  <c r="P367" i="1"/>
  <c r="Q640" i="1"/>
  <c r="J640" i="1"/>
  <c r="M646" i="1"/>
  <c r="L660" i="1"/>
  <c r="O666" i="1"/>
  <c r="Q672" i="1"/>
  <c r="B672" i="1"/>
  <c r="N678" i="1"/>
  <c r="Q692" i="1"/>
  <c r="K692" i="1"/>
  <c r="P1551" i="1"/>
  <c r="J1666" i="1"/>
  <c r="M202" i="1"/>
  <c r="M212" i="1"/>
  <c r="B212" i="1"/>
  <c r="J58" i="1"/>
  <c r="K50" i="1"/>
  <c r="Q42" i="1"/>
  <c r="P34" i="1"/>
  <c r="N26" i="1"/>
  <c r="A26" i="1"/>
  <c r="P18" i="1"/>
  <c r="M632" i="1"/>
  <c r="B632" i="1"/>
  <c r="Q1830" i="1"/>
  <c r="J311" i="1"/>
  <c r="Q1542" i="1"/>
  <c r="N640" i="1"/>
  <c r="R660" i="1"/>
  <c r="Q678" i="1"/>
  <c r="R692" i="1"/>
  <c r="K1551" i="1"/>
  <c r="O1666" i="1"/>
  <c r="K212" i="1"/>
  <c r="P58" i="1"/>
  <c r="A58" i="1"/>
  <c r="J50" i="1"/>
  <c r="R42" i="1"/>
  <c r="L34" i="1"/>
  <c r="J26" i="1"/>
  <c r="M18" i="1"/>
  <c r="A18" i="1"/>
  <c r="J632" i="1"/>
  <c r="R220" i="1"/>
  <c r="J1798" i="1"/>
  <c r="M1659" i="1"/>
  <c r="L151" i="1"/>
  <c r="K159" i="1"/>
  <c r="O587" i="1"/>
  <c r="J587" i="1"/>
  <c r="R587" i="1"/>
  <c r="L587" i="1"/>
  <c r="N587" i="1"/>
  <c r="O579" i="1"/>
  <c r="A579" i="1"/>
  <c r="R632" i="1"/>
  <c r="N1895" i="1"/>
  <c r="A1798" i="1"/>
  <c r="M1932" i="1"/>
  <c r="O69" i="1"/>
  <c r="B579" i="1"/>
  <c r="Q249" i="1"/>
  <c r="K249" i="1"/>
  <c r="L249" i="1"/>
  <c r="M249" i="1"/>
  <c r="N249" i="1"/>
  <c r="J249" i="1"/>
  <c r="B249" i="1"/>
  <c r="P249" i="1"/>
  <c r="J1583" i="1"/>
  <c r="R1583" i="1"/>
  <c r="K1583" i="1"/>
  <c r="L1583" i="1"/>
  <c r="A1583" i="1"/>
  <c r="M1583" i="1"/>
  <c r="B1583" i="1"/>
  <c r="N1583" i="1"/>
  <c r="P1583" i="1"/>
  <c r="O1583" i="1"/>
  <c r="O1870" i="1"/>
  <c r="P1870" i="1"/>
  <c r="Q1870" i="1"/>
  <c r="B1870" i="1"/>
  <c r="J1870" i="1"/>
  <c r="A1870" i="1"/>
  <c r="R1870" i="1"/>
  <c r="L1870" i="1"/>
  <c r="K1870" i="1"/>
  <c r="M1870" i="1"/>
  <c r="P363" i="1"/>
  <c r="J363" i="1"/>
  <c r="R363" i="1"/>
  <c r="K363" i="1"/>
  <c r="L363" i="1"/>
  <c r="A363" i="1"/>
  <c r="M363" i="1"/>
  <c r="B363" i="1"/>
  <c r="N363" i="1"/>
  <c r="O363" i="1"/>
  <c r="A202" i="1"/>
  <c r="N202" i="1"/>
  <c r="A1942" i="1"/>
  <c r="N1942" i="1"/>
  <c r="P1942" i="1"/>
  <c r="O1942" i="1"/>
  <c r="K1942" i="1"/>
  <c r="Q1942" i="1"/>
  <c r="J1942" i="1"/>
  <c r="R1942" i="1"/>
  <c r="L1942" i="1"/>
  <c r="N619" i="1"/>
  <c r="B619" i="1"/>
  <c r="O619" i="1"/>
  <c r="Q619" i="1"/>
  <c r="R619" i="1"/>
  <c r="K619" i="1"/>
  <c r="L619" i="1"/>
  <c r="P619" i="1"/>
  <c r="L611" i="1"/>
  <c r="B611" i="1"/>
  <c r="P611" i="1"/>
  <c r="Q611" i="1"/>
  <c r="R611" i="1"/>
  <c r="K611" i="1"/>
  <c r="M611" i="1"/>
  <c r="N611" i="1"/>
  <c r="R595" i="1"/>
  <c r="P595" i="1"/>
  <c r="Q595" i="1"/>
  <c r="J595" i="1"/>
  <c r="M595" i="1"/>
  <c r="N595" i="1"/>
  <c r="A595" i="1"/>
  <c r="B595" i="1"/>
  <c r="O822" i="1"/>
  <c r="J822" i="1"/>
  <c r="R822" i="1"/>
  <c r="L822" i="1"/>
  <c r="K822" i="1"/>
  <c r="A822" i="1"/>
  <c r="M822" i="1"/>
  <c r="B816" i="1"/>
  <c r="J816" i="1"/>
  <c r="R816" i="1"/>
  <c r="A816" i="1"/>
  <c r="P816" i="1"/>
  <c r="J810" i="1"/>
  <c r="B810" i="1"/>
  <c r="L810" i="1"/>
  <c r="K810" i="1"/>
  <c r="Q804" i="1"/>
  <c r="K804" i="1"/>
  <c r="B804" i="1"/>
  <c r="M804" i="1"/>
  <c r="N804" i="1"/>
  <c r="P804" i="1"/>
  <c r="N790" i="1"/>
  <c r="L790" i="1"/>
  <c r="B790" i="1"/>
  <c r="K790" i="1"/>
  <c r="A790" i="1"/>
  <c r="M790" i="1"/>
  <c r="O790" i="1"/>
  <c r="J790" i="1"/>
  <c r="P784" i="1"/>
  <c r="Q784" i="1"/>
  <c r="Q778" i="1"/>
  <c r="O778" i="1"/>
  <c r="M772" i="1"/>
  <c r="J772" i="1"/>
  <c r="R772" i="1"/>
  <c r="B772" i="1"/>
  <c r="L772" i="1"/>
  <c r="A772" i="1"/>
  <c r="N772" i="1"/>
  <c r="P772" i="1"/>
  <c r="A758" i="1"/>
  <c r="L758" i="1"/>
  <c r="K758" i="1"/>
  <c r="R752" i="1"/>
  <c r="M752" i="1"/>
  <c r="R746" i="1"/>
  <c r="P746" i="1"/>
  <c r="L740" i="1"/>
  <c r="R740" i="1"/>
  <c r="K740" i="1"/>
  <c r="M740" i="1"/>
  <c r="B740" i="1"/>
  <c r="N740" i="1"/>
  <c r="A740" i="1"/>
  <c r="P740" i="1"/>
  <c r="Q740" i="1"/>
  <c r="O726" i="1"/>
  <c r="M726" i="1"/>
  <c r="A726" i="1"/>
  <c r="B726" i="1"/>
  <c r="N720" i="1"/>
  <c r="R720" i="1"/>
  <c r="K720" i="1"/>
  <c r="J714" i="1"/>
  <c r="O714" i="1"/>
  <c r="Q714" i="1"/>
  <c r="P714" i="1"/>
  <c r="B708" i="1"/>
  <c r="N708" i="1"/>
  <c r="A708" i="1"/>
  <c r="Q694" i="1"/>
  <c r="B694" i="1"/>
  <c r="O694" i="1"/>
  <c r="P694" i="1"/>
  <c r="M694" i="1"/>
  <c r="O1656" i="1"/>
  <c r="M1635" i="1"/>
  <c r="N589" i="1"/>
  <c r="B590" i="1"/>
  <c r="R581" i="1"/>
  <c r="O582" i="1"/>
  <c r="J597" i="1"/>
  <c r="K605" i="1"/>
  <c r="A605" i="1"/>
  <c r="M613" i="1"/>
  <c r="O621" i="1"/>
  <c r="R606" i="1"/>
  <c r="N1511" i="1"/>
  <c r="K1413" i="1"/>
  <c r="Q772" i="1"/>
  <c r="N822" i="1"/>
  <c r="J1656" i="1"/>
  <c r="R1634" i="1"/>
  <c r="B1635" i="1"/>
  <c r="N165" i="1"/>
  <c r="A589" i="1"/>
  <c r="R591" i="1"/>
  <c r="J581" i="1"/>
  <c r="N582" i="1"/>
  <c r="Q597" i="1"/>
  <c r="R605" i="1"/>
  <c r="L613" i="1"/>
  <c r="A613" i="1"/>
  <c r="M621" i="1"/>
  <c r="O1455" i="1"/>
  <c r="Q1503" i="1"/>
  <c r="O772" i="1"/>
  <c r="B822" i="1"/>
  <c r="K360" i="1"/>
  <c r="J364" i="1"/>
  <c r="K1663" i="1"/>
  <c r="J1871" i="1"/>
  <c r="J1634" i="1"/>
  <c r="A1635" i="1"/>
  <c r="R171" i="1"/>
  <c r="J378" i="1"/>
  <c r="O580" i="1"/>
  <c r="R590" i="1"/>
  <c r="Q581" i="1"/>
  <c r="M582" i="1"/>
  <c r="L620" i="1"/>
  <c r="P597" i="1"/>
  <c r="J605" i="1"/>
  <c r="R613" i="1"/>
  <c r="L621" i="1"/>
  <c r="B621" i="1"/>
  <c r="O614" i="1"/>
  <c r="B1399" i="1"/>
  <c r="L1455" i="1"/>
  <c r="P1503" i="1"/>
  <c r="R790" i="1"/>
  <c r="L708" i="1"/>
  <c r="B1841" i="1"/>
  <c r="L1841" i="1"/>
  <c r="M1841" i="1"/>
  <c r="P1833" i="1"/>
  <c r="K1833" i="1"/>
  <c r="M1833" i="1"/>
  <c r="N1833" i="1"/>
  <c r="P1907" i="1"/>
  <c r="Q1907" i="1"/>
  <c r="K1907" i="1"/>
  <c r="B1899" i="1"/>
  <c r="M1899" i="1"/>
  <c r="Q1634" i="1"/>
  <c r="Q590" i="1"/>
  <c r="L582" i="1"/>
  <c r="N614" i="1"/>
  <c r="R1535" i="1"/>
  <c r="A1535" i="1"/>
  <c r="A1439" i="1"/>
  <c r="M1439" i="1"/>
  <c r="O1423" i="1"/>
  <c r="L1423" i="1"/>
  <c r="Q790" i="1"/>
  <c r="L726" i="1"/>
  <c r="L804" i="1"/>
  <c r="L752" i="1"/>
  <c r="M244" i="1"/>
  <c r="L1918" i="1"/>
  <c r="J1927" i="1"/>
  <c r="J47" i="1"/>
  <c r="R1635" i="1"/>
  <c r="J168" i="1"/>
  <c r="N590" i="1"/>
  <c r="O622" i="1"/>
  <c r="O804" i="1"/>
  <c r="N778" i="1"/>
  <c r="B1664" i="1"/>
  <c r="B1862" i="1"/>
  <c r="J206" i="1"/>
  <c r="L155" i="1"/>
  <c r="P168" i="1"/>
  <c r="P589" i="1"/>
  <c r="M590" i="1"/>
  <c r="J582" i="1"/>
  <c r="K597" i="1"/>
  <c r="A597" i="1"/>
  <c r="M605" i="1"/>
  <c r="O613" i="1"/>
  <c r="J621" i="1"/>
  <c r="R598" i="1"/>
  <c r="J1415" i="1"/>
  <c r="N1471" i="1"/>
  <c r="O1535" i="1"/>
  <c r="N1423" i="1"/>
  <c r="A1447" i="1"/>
  <c r="J740" i="1"/>
  <c r="Q816" i="1"/>
  <c r="A810" i="1"/>
  <c r="P1899" i="1"/>
  <c r="B1390" i="1"/>
  <c r="P808" i="1"/>
  <c r="N828" i="1"/>
  <c r="B828" i="1"/>
  <c r="L700" i="1"/>
  <c r="P706" i="1"/>
  <c r="R712" i="1"/>
  <c r="Q712" i="1"/>
  <c r="M718" i="1"/>
  <c r="K732" i="1"/>
  <c r="J738" i="1"/>
  <c r="P744" i="1"/>
  <c r="B744" i="1"/>
  <c r="L750" i="1"/>
  <c r="M764" i="1"/>
  <c r="O764" i="1"/>
  <c r="J770" i="1"/>
  <c r="L776" i="1"/>
  <c r="A776" i="1"/>
  <c r="P782" i="1"/>
  <c r="N796" i="1"/>
  <c r="B796" i="1"/>
  <c r="Q802" i="1"/>
  <c r="K814" i="1"/>
  <c r="L825" i="1"/>
  <c r="P1544" i="1"/>
  <c r="B571" i="1"/>
  <c r="J1903" i="1"/>
  <c r="A1395" i="1"/>
  <c r="A1373" i="1"/>
  <c r="A1312" i="1"/>
  <c r="P1504" i="1"/>
  <c r="A1424" i="1"/>
  <c r="L1400" i="1"/>
  <c r="L1520" i="1"/>
  <c r="N808" i="1"/>
  <c r="B808" i="1"/>
  <c r="K828" i="1"/>
  <c r="R700" i="1"/>
  <c r="Q700" i="1"/>
  <c r="M706" i="1"/>
  <c r="N712" i="1"/>
  <c r="A712" i="1"/>
  <c r="K718" i="1"/>
  <c r="R732" i="1"/>
  <c r="B732" i="1"/>
  <c r="L738" i="1"/>
  <c r="N744" i="1"/>
  <c r="J750" i="1"/>
  <c r="Q750" i="1"/>
  <c r="L764" i="1"/>
  <c r="A764" i="1"/>
  <c r="P770" i="1"/>
  <c r="R776" i="1"/>
  <c r="N782" i="1"/>
  <c r="B782" i="1"/>
  <c r="K796" i="1"/>
  <c r="M802" i="1"/>
  <c r="O802" i="1"/>
  <c r="J814" i="1"/>
  <c r="P760" i="1"/>
  <c r="O780" i="1"/>
  <c r="M798" i="1"/>
  <c r="B812" i="1"/>
  <c r="J825" i="1"/>
  <c r="P824" i="1"/>
  <c r="A1544" i="1"/>
  <c r="L1834" i="1"/>
  <c r="R1900" i="1"/>
  <c r="R1842" i="1"/>
  <c r="R575" i="1"/>
  <c r="N554" i="1"/>
  <c r="B1394" i="1"/>
  <c r="B1378" i="1"/>
  <c r="B1358" i="1"/>
  <c r="A1296" i="1"/>
  <c r="M1504" i="1"/>
  <c r="L1472" i="1"/>
  <c r="R1400" i="1"/>
  <c r="N1520" i="1"/>
  <c r="K1488" i="1"/>
  <c r="L808" i="1"/>
  <c r="A808" i="1"/>
  <c r="R828" i="1"/>
  <c r="O700" i="1"/>
  <c r="B700" i="1"/>
  <c r="L706" i="1"/>
  <c r="J712" i="1"/>
  <c r="J718" i="1"/>
  <c r="Q718" i="1"/>
  <c r="N732" i="1"/>
  <c r="A732" i="1"/>
  <c r="K738" i="1"/>
  <c r="M744" i="1"/>
  <c r="M750" i="1"/>
  <c r="B750" i="1"/>
  <c r="K764" i="1"/>
  <c r="M770" i="1"/>
  <c r="O770" i="1"/>
  <c r="J776" i="1"/>
  <c r="L782" i="1"/>
  <c r="A782" i="1"/>
  <c r="R796" i="1"/>
  <c r="N802" i="1"/>
  <c r="A802" i="1"/>
  <c r="Q814" i="1"/>
  <c r="L780" i="1"/>
  <c r="L798" i="1"/>
  <c r="A812" i="1"/>
  <c r="B825" i="1"/>
  <c r="Q786" i="1"/>
  <c r="M824" i="1"/>
  <c r="L1839" i="1"/>
  <c r="K1834" i="1"/>
  <c r="Q1842" i="1"/>
  <c r="N571" i="1"/>
  <c r="L564" i="1"/>
  <c r="A1388" i="1"/>
  <c r="B1382" i="1"/>
  <c r="K808" i="1"/>
  <c r="J828" i="1"/>
  <c r="J700" i="1"/>
  <c r="A700" i="1"/>
  <c r="K706" i="1"/>
  <c r="P712" i="1"/>
  <c r="N718" i="1"/>
  <c r="B718" i="1"/>
  <c r="J732" i="1"/>
  <c r="R738" i="1"/>
  <c r="Q738" i="1"/>
  <c r="J744" i="1"/>
  <c r="R750" i="1"/>
  <c r="A750" i="1"/>
  <c r="R764" i="1"/>
  <c r="N770" i="1"/>
  <c r="B770" i="1"/>
  <c r="Q776" i="1"/>
  <c r="K782" i="1"/>
  <c r="J796" i="1"/>
  <c r="L802" i="1"/>
  <c r="B802" i="1"/>
  <c r="P814" i="1"/>
  <c r="R1448" i="1"/>
  <c r="J1488" i="1"/>
  <c r="R808" i="1"/>
  <c r="Q828" i="1"/>
  <c r="P700" i="1"/>
  <c r="O706" i="1"/>
  <c r="Q706" i="1"/>
  <c r="M712" i="1"/>
  <c r="R718" i="1"/>
  <c r="A718" i="1"/>
  <c r="P732" i="1"/>
  <c r="P738" i="1"/>
  <c r="B738" i="1"/>
  <c r="L744" i="1"/>
  <c r="P750" i="1"/>
  <c r="J764" i="1"/>
  <c r="L770" i="1"/>
  <c r="A770" i="1"/>
  <c r="P776" i="1"/>
  <c r="R782" i="1"/>
  <c r="Q796" i="1"/>
  <c r="K802" i="1"/>
  <c r="M814" i="1"/>
  <c r="O814" i="1"/>
  <c r="Q825" i="1"/>
  <c r="M1897" i="1"/>
  <c r="P1908" i="1"/>
  <c r="Q1834" i="1"/>
  <c r="N1900" i="1"/>
  <c r="N1842" i="1"/>
  <c r="R706" i="1"/>
  <c r="O738" i="1"/>
  <c r="M776" i="1"/>
  <c r="N814" i="1"/>
  <c r="L1897" i="1"/>
  <c r="Q155" i="1"/>
  <c r="B1585" i="1"/>
  <c r="N1585" i="1"/>
  <c r="P1585" i="1"/>
  <c r="B1589" i="1"/>
  <c r="L1589" i="1"/>
  <c r="N1589" i="1"/>
  <c r="N1828" i="1"/>
  <c r="Q1828" i="1"/>
  <c r="J1828" i="1"/>
  <c r="M1863" i="1"/>
  <c r="N1863" i="1"/>
  <c r="P1868" i="1"/>
  <c r="L1868" i="1"/>
  <c r="A1868" i="1"/>
  <c r="K1893" i="1"/>
  <c r="A1893" i="1"/>
  <c r="M1919" i="1"/>
  <c r="B1919" i="1"/>
  <c r="P1919" i="1"/>
  <c r="A153" i="1"/>
  <c r="P153" i="1"/>
  <c r="M1867" i="1"/>
  <c r="N1827" i="1"/>
  <c r="Q1586" i="1"/>
  <c r="K243" i="1"/>
  <c r="A243" i="1"/>
  <c r="Q1655" i="1"/>
  <c r="M74" i="1"/>
  <c r="M229" i="1"/>
  <c r="B675" i="1"/>
  <c r="A1538" i="1"/>
  <c r="A402" i="1"/>
  <c r="L1919" i="1"/>
  <c r="R1893" i="1"/>
  <c r="L1863" i="1"/>
  <c r="L1828" i="1"/>
  <c r="P1589" i="1"/>
  <c r="A1585" i="1"/>
  <c r="P244" i="1"/>
  <c r="N1918" i="1"/>
  <c r="R1927" i="1"/>
  <c r="K153" i="1"/>
  <c r="K206" i="1"/>
  <c r="N1632" i="1"/>
  <c r="L1632" i="1"/>
  <c r="M1632" i="1"/>
  <c r="B1632" i="1"/>
  <c r="K1632" i="1"/>
  <c r="B393" i="1"/>
  <c r="A385" i="1"/>
  <c r="B385" i="1"/>
  <c r="J1867" i="1"/>
  <c r="L1827" i="1"/>
  <c r="L1937" i="1"/>
  <c r="R229" i="1"/>
  <c r="K402" i="1"/>
  <c r="Q360" i="1"/>
  <c r="A244" i="1"/>
  <c r="R1918" i="1"/>
  <c r="P1663" i="1"/>
  <c r="O1927" i="1"/>
  <c r="P586" i="1"/>
  <c r="J586" i="1"/>
  <c r="O360" i="1"/>
  <c r="O1664" i="1"/>
  <c r="Q1918" i="1"/>
  <c r="M1663" i="1"/>
  <c r="L258" i="1"/>
  <c r="M15" i="1"/>
  <c r="R218" i="1"/>
  <c r="B218" i="1"/>
  <c r="L218" i="1"/>
  <c r="R20" i="1"/>
  <c r="B20" i="1"/>
  <c r="L20" i="1"/>
  <c r="A52" i="1"/>
  <c r="R52" i="1"/>
  <c r="N52" i="1"/>
  <c r="B1553" i="1"/>
  <c r="K1553" i="1"/>
  <c r="M684" i="1"/>
  <c r="R684" i="1"/>
  <c r="O652" i="1"/>
  <c r="A652" i="1"/>
  <c r="Q652" i="1"/>
  <c r="K369" i="1"/>
  <c r="P369" i="1"/>
  <c r="P624" i="1"/>
  <c r="A624" i="1"/>
  <c r="P608" i="1"/>
  <c r="J608" i="1"/>
  <c r="R608" i="1"/>
  <c r="K608" i="1"/>
  <c r="B1655" i="1"/>
  <c r="O1655" i="1"/>
  <c r="Q1663" i="1"/>
  <c r="J1663" i="1"/>
  <c r="N1663" i="1"/>
  <c r="N155" i="1"/>
  <c r="K155" i="1"/>
  <c r="M155" i="1"/>
  <c r="J155" i="1"/>
  <c r="P1927" i="1"/>
  <c r="K1927" i="1"/>
  <c r="K1656" i="1"/>
  <c r="B1656" i="1"/>
  <c r="N1664" i="1"/>
  <c r="L1664" i="1"/>
  <c r="M1664" i="1"/>
  <c r="A360" i="1"/>
  <c r="R360" i="1"/>
  <c r="M1862" i="1"/>
  <c r="O1862" i="1"/>
  <c r="Q1862" i="1"/>
  <c r="A1862" i="1"/>
  <c r="L1572" i="1"/>
  <c r="K1572" i="1"/>
  <c r="Q1572" i="1"/>
  <c r="B74" i="1"/>
  <c r="P74" i="1"/>
  <c r="R474" i="1"/>
  <c r="P474" i="1"/>
  <c r="Q402" i="1"/>
  <c r="P402" i="1"/>
  <c r="J402" i="1"/>
  <c r="L15" i="1"/>
  <c r="J15" i="1"/>
  <c r="N1538" i="1"/>
  <c r="O1538" i="1"/>
  <c r="P1538" i="1"/>
  <c r="A206" i="1"/>
  <c r="B206" i="1"/>
  <c r="K687" i="1"/>
  <c r="M687" i="1"/>
  <c r="M681" i="1"/>
  <c r="N681" i="1"/>
  <c r="A681" i="1"/>
  <c r="P675" i="1"/>
  <c r="J675" i="1"/>
  <c r="M1634" i="1"/>
  <c r="B1633" i="1"/>
  <c r="P1633" i="1"/>
  <c r="P165" i="1"/>
  <c r="B588" i="1"/>
  <c r="Q587" i="1"/>
  <c r="M587" i="1"/>
  <c r="A587" i="1"/>
  <c r="K579" i="1"/>
  <c r="J579" i="1"/>
  <c r="L579" i="1"/>
  <c r="M579" i="1"/>
  <c r="O607" i="1"/>
  <c r="L1445" i="1"/>
  <c r="L1533" i="1"/>
  <c r="B168" i="1"/>
  <c r="R168" i="1"/>
  <c r="B384" i="1"/>
  <c r="B615" i="1"/>
  <c r="O615" i="1"/>
  <c r="J615" i="1"/>
  <c r="O1533" i="1"/>
  <c r="A1533" i="1"/>
  <c r="B1533" i="1"/>
  <c r="Q1533" i="1"/>
  <c r="N1525" i="1"/>
  <c r="A1525" i="1"/>
  <c r="Q1525" i="1"/>
  <c r="K1525" i="1"/>
  <c r="L1525" i="1"/>
  <c r="R1517" i="1"/>
  <c r="K1517" i="1"/>
  <c r="L1517" i="1"/>
  <c r="A1517" i="1"/>
  <c r="K1509" i="1"/>
  <c r="L1509" i="1"/>
  <c r="P1509" i="1"/>
  <c r="P1501" i="1"/>
  <c r="O1501" i="1"/>
  <c r="Q1501" i="1"/>
  <c r="J1501" i="1"/>
  <c r="B1493" i="1"/>
  <c r="A1493" i="1"/>
  <c r="R1493" i="1"/>
  <c r="L1493" i="1"/>
  <c r="N1493" i="1"/>
  <c r="P1485" i="1"/>
  <c r="A1485" i="1"/>
  <c r="N1485" i="1"/>
  <c r="R1485" i="1"/>
  <c r="R1477" i="1"/>
  <c r="A1477" i="1"/>
  <c r="J1477" i="1"/>
  <c r="B1477" i="1"/>
  <c r="K1477" i="1"/>
  <c r="M1469" i="1"/>
  <c r="B1469" i="1"/>
  <c r="N1469" i="1"/>
  <c r="Q1469" i="1"/>
  <c r="R1469" i="1"/>
  <c r="Q1461" i="1"/>
  <c r="L1461" i="1"/>
  <c r="J1461" i="1"/>
  <c r="L1453" i="1"/>
  <c r="K1453" i="1"/>
  <c r="O1453" i="1"/>
  <c r="R1453" i="1"/>
  <c r="R1445" i="1"/>
  <c r="K1445" i="1"/>
  <c r="O1445" i="1"/>
  <c r="B1445" i="1"/>
  <c r="B1437" i="1"/>
  <c r="R1437" i="1"/>
  <c r="N1437" i="1"/>
  <c r="J1437" i="1"/>
  <c r="P1437" i="1"/>
  <c r="A1429" i="1"/>
  <c r="P1429" i="1"/>
  <c r="K1429" i="1"/>
  <c r="K1421" i="1"/>
  <c r="J1421" i="1"/>
  <c r="A1421" i="1"/>
  <c r="M1421" i="1"/>
  <c r="P1413" i="1"/>
  <c r="B1413" i="1"/>
  <c r="J1413" i="1"/>
  <c r="N1405" i="1"/>
  <c r="P1405" i="1"/>
  <c r="R1405" i="1"/>
  <c r="N168" i="1"/>
  <c r="P169" i="1"/>
  <c r="O169" i="1"/>
  <c r="B391" i="1"/>
  <c r="A391" i="1"/>
  <c r="A383" i="1"/>
  <c r="B584" i="1"/>
  <c r="O584" i="1"/>
  <c r="P584" i="1"/>
  <c r="N622" i="1"/>
  <c r="B622" i="1"/>
  <c r="K622" i="1"/>
  <c r="A622" i="1"/>
  <c r="M622" i="1"/>
  <c r="L622" i="1"/>
  <c r="B614" i="1"/>
  <c r="Q614" i="1"/>
  <c r="R614" i="1"/>
  <c r="A614" i="1"/>
  <c r="K614" i="1"/>
  <c r="O606" i="1"/>
  <c r="P606" i="1"/>
  <c r="Q606" i="1"/>
  <c r="J606" i="1"/>
  <c r="L598" i="1"/>
  <c r="N598" i="1"/>
  <c r="O598" i="1"/>
  <c r="P598" i="1"/>
  <c r="B1405" i="1"/>
  <c r="B1421" i="1"/>
  <c r="O1461" i="1"/>
  <c r="P1477" i="1"/>
  <c r="K1501" i="1"/>
  <c r="Q1517" i="1"/>
  <c r="A1469" i="1"/>
  <c r="N1413" i="1"/>
  <c r="O1631" i="1"/>
  <c r="M1633" i="1"/>
  <c r="N1634" i="1"/>
  <c r="O1630" i="1"/>
  <c r="N169" i="1"/>
  <c r="Q168" i="1"/>
  <c r="B170" i="1"/>
  <c r="M170" i="1"/>
  <c r="B587" i="1"/>
  <c r="J592" i="1"/>
  <c r="J598" i="1"/>
  <c r="M606" i="1"/>
  <c r="L614" i="1"/>
  <c r="A1405" i="1"/>
  <c r="O1437" i="1"/>
  <c r="M1461" i="1"/>
  <c r="O1477" i="1"/>
  <c r="R1501" i="1"/>
  <c r="P1517" i="1"/>
  <c r="M1485" i="1"/>
  <c r="P1453" i="1"/>
  <c r="B1531" i="1"/>
  <c r="J1531" i="1"/>
  <c r="A1523" i="1"/>
  <c r="L1523" i="1"/>
  <c r="O1523" i="1"/>
  <c r="N1515" i="1"/>
  <c r="B1515" i="1"/>
  <c r="R1499" i="1"/>
  <c r="L1499" i="1"/>
  <c r="M1499" i="1"/>
  <c r="Q1499" i="1"/>
  <c r="B1491" i="1"/>
  <c r="R1491" i="1"/>
  <c r="P1491" i="1"/>
  <c r="K1483" i="1"/>
  <c r="A1483" i="1"/>
  <c r="N1483" i="1"/>
  <c r="R1483" i="1"/>
  <c r="J1483" i="1"/>
  <c r="K1475" i="1"/>
  <c r="L1475" i="1"/>
  <c r="Q1475" i="1"/>
  <c r="N1467" i="1"/>
  <c r="A1467" i="1"/>
  <c r="K1467" i="1"/>
  <c r="Q1467" i="1"/>
  <c r="L1459" i="1"/>
  <c r="M1459" i="1"/>
  <c r="R1451" i="1"/>
  <c r="B1451" i="1"/>
  <c r="K1451" i="1"/>
  <c r="N1451" i="1"/>
  <c r="B1443" i="1"/>
  <c r="J1443" i="1"/>
  <c r="R1435" i="1"/>
  <c r="A1435" i="1"/>
  <c r="B1435" i="1"/>
  <c r="K1435" i="1"/>
  <c r="O1435" i="1"/>
  <c r="R1427" i="1"/>
  <c r="J1427" i="1"/>
  <c r="L1427" i="1"/>
  <c r="B1419" i="1"/>
  <c r="R1419" i="1"/>
  <c r="N1419" i="1"/>
  <c r="L1411" i="1"/>
  <c r="N1411" i="1"/>
  <c r="P1411" i="1"/>
  <c r="J1411" i="1"/>
  <c r="P1403" i="1"/>
  <c r="K1403" i="1"/>
  <c r="A1403" i="1"/>
  <c r="P364" i="1"/>
  <c r="R1653" i="1"/>
  <c r="B1653" i="1"/>
  <c r="P267" i="1"/>
  <c r="M673" i="1"/>
  <c r="O1667" i="1"/>
  <c r="J57" i="1"/>
  <c r="K33" i="1"/>
  <c r="P1825" i="1"/>
  <c r="P49" i="1"/>
  <c r="M365" i="1"/>
  <c r="L1633" i="1"/>
  <c r="P1636" i="1"/>
  <c r="K1636" i="1"/>
  <c r="K173" i="1"/>
  <c r="M169" i="1"/>
  <c r="R170" i="1"/>
  <c r="A168" i="1"/>
  <c r="R588" i="1"/>
  <c r="Q598" i="1"/>
  <c r="L606" i="1"/>
  <c r="R622" i="1"/>
  <c r="J1405" i="1"/>
  <c r="R1421" i="1"/>
  <c r="M1437" i="1"/>
  <c r="K1461" i="1"/>
  <c r="M1477" i="1"/>
  <c r="B1501" i="1"/>
  <c r="B1517" i="1"/>
  <c r="O1429" i="1"/>
  <c r="Q1485" i="1"/>
  <c r="A1453" i="1"/>
  <c r="O364" i="1"/>
  <c r="J1653" i="1"/>
  <c r="A1653" i="1"/>
  <c r="N267" i="1"/>
  <c r="J673" i="1"/>
  <c r="N1667" i="1"/>
  <c r="L57" i="1"/>
  <c r="A33" i="1"/>
  <c r="P450" i="1"/>
  <c r="N49" i="1"/>
  <c r="A365" i="1"/>
  <c r="R1628" i="1"/>
  <c r="K1633" i="1"/>
  <c r="O1636" i="1"/>
  <c r="Q1635" i="1"/>
  <c r="K1635" i="1"/>
  <c r="Q173" i="1"/>
  <c r="O170" i="1"/>
  <c r="B383" i="1"/>
  <c r="O588" i="1"/>
  <c r="N579" i="1"/>
  <c r="Q609" i="1"/>
  <c r="Q599" i="1"/>
  <c r="M598" i="1"/>
  <c r="A606" i="1"/>
  <c r="J622" i="1"/>
  <c r="Q1405" i="1"/>
  <c r="O1421" i="1"/>
  <c r="K1437" i="1"/>
  <c r="P1461" i="1"/>
  <c r="Q1477" i="1"/>
  <c r="A1501" i="1"/>
  <c r="Q1411" i="1"/>
  <c r="J1459" i="1"/>
  <c r="M1429" i="1"/>
  <c r="R1509" i="1"/>
  <c r="M1493" i="1"/>
  <c r="M168" i="1"/>
  <c r="K580" i="1"/>
  <c r="N580" i="1"/>
  <c r="R580" i="1"/>
  <c r="A598" i="1"/>
  <c r="B606" i="1"/>
  <c r="Q622" i="1"/>
  <c r="N626" i="1"/>
  <c r="A626" i="1"/>
  <c r="R602" i="1"/>
  <c r="B602" i="1"/>
  <c r="O1405" i="1"/>
  <c r="Q1421" i="1"/>
  <c r="L1437" i="1"/>
  <c r="N1461" i="1"/>
  <c r="N1477" i="1"/>
  <c r="O1517" i="1"/>
  <c r="J1429" i="1"/>
  <c r="J1509" i="1"/>
  <c r="N1533" i="1"/>
  <c r="Q553" i="1"/>
  <c r="P553" i="1"/>
  <c r="J553" i="1"/>
  <c r="R553" i="1"/>
  <c r="K553" i="1"/>
  <c r="M553" i="1"/>
  <c r="B553" i="1"/>
  <c r="N553" i="1"/>
  <c r="A553" i="1"/>
  <c r="L553" i="1"/>
  <c r="O553" i="1"/>
  <c r="M569" i="1"/>
  <c r="B569" i="1"/>
  <c r="N569" i="1"/>
  <c r="A569" i="1"/>
  <c r="O569" i="1"/>
  <c r="Q569" i="1"/>
  <c r="P569" i="1"/>
  <c r="R569" i="1"/>
  <c r="K569" i="1"/>
  <c r="L569" i="1"/>
  <c r="R561" i="1"/>
  <c r="K561" i="1"/>
  <c r="L561" i="1"/>
  <c r="M561" i="1"/>
  <c r="A561" i="1"/>
  <c r="O561" i="1"/>
  <c r="Q561" i="1"/>
  <c r="P561" i="1"/>
  <c r="B561" i="1"/>
  <c r="J561" i="1"/>
  <c r="N561" i="1"/>
  <c r="J1406" i="1"/>
  <c r="B1532" i="1"/>
  <c r="A1532" i="1"/>
  <c r="P1532" i="1"/>
  <c r="L1524" i="1"/>
  <c r="N1524" i="1"/>
  <c r="J1516" i="1"/>
  <c r="L1516" i="1"/>
  <c r="A1508" i="1"/>
  <c r="R1508" i="1"/>
  <c r="K1500" i="1"/>
  <c r="Q1500" i="1"/>
  <c r="Q1492" i="1"/>
  <c r="A1492" i="1"/>
  <c r="O1492" i="1"/>
  <c r="Q1484" i="1"/>
  <c r="K1484" i="1"/>
  <c r="R1476" i="1"/>
  <c r="M1476" i="1"/>
  <c r="B1468" i="1"/>
  <c r="J1468" i="1"/>
  <c r="M1460" i="1"/>
  <c r="O1460" i="1"/>
  <c r="Q1452" i="1"/>
  <c r="A1452" i="1"/>
  <c r="N1452" i="1"/>
  <c r="A1444" i="1"/>
  <c r="L1444" i="1"/>
  <c r="R1436" i="1"/>
  <c r="M1436" i="1"/>
  <c r="O1428" i="1"/>
  <c r="J1428" i="1"/>
  <c r="J1420" i="1"/>
  <c r="M1420" i="1"/>
  <c r="Q1412" i="1"/>
  <c r="A1412" i="1"/>
  <c r="R1412" i="1"/>
  <c r="B1404" i="1"/>
  <c r="K1404" i="1"/>
  <c r="Q378" i="1"/>
  <c r="K589" i="1"/>
  <c r="J590" i="1"/>
  <c r="K582" i="1"/>
  <c r="B582" i="1"/>
  <c r="A596" i="1"/>
  <c r="N612" i="1"/>
  <c r="M1482" i="1"/>
  <c r="J1506" i="1"/>
  <c r="A1506" i="1"/>
  <c r="M1522" i="1"/>
  <c r="L1402" i="1"/>
  <c r="B1402" i="1"/>
  <c r="O1410" i="1"/>
  <c r="M1418" i="1"/>
  <c r="O1434" i="1"/>
  <c r="P1442" i="1"/>
  <c r="J1458" i="1"/>
  <c r="B1458" i="1"/>
  <c r="Q1474" i="1"/>
  <c r="M1498" i="1"/>
  <c r="N1530" i="1"/>
  <c r="N1404" i="1"/>
  <c r="J1412" i="1"/>
  <c r="Q1420" i="1"/>
  <c r="M1428" i="1"/>
  <c r="K1436" i="1"/>
  <c r="M1444" i="1"/>
  <c r="K1452" i="1"/>
  <c r="N1460" i="1"/>
  <c r="L1468" i="1"/>
  <c r="Q1476" i="1"/>
  <c r="M1484" i="1"/>
  <c r="A1484" i="1"/>
  <c r="P1500" i="1"/>
  <c r="A1500" i="1"/>
  <c r="B1508" i="1"/>
  <c r="B1516" i="1"/>
  <c r="Q1524" i="1"/>
  <c r="J1532" i="1"/>
  <c r="J1454" i="1"/>
  <c r="J569" i="1"/>
  <c r="L1434" i="1"/>
  <c r="N1442" i="1"/>
  <c r="R1458" i="1"/>
  <c r="M1474" i="1"/>
  <c r="A1474" i="1"/>
  <c r="K1498" i="1"/>
  <c r="M1530" i="1"/>
  <c r="O1404" i="1"/>
  <c r="O1412" i="1"/>
  <c r="P1420" i="1"/>
  <c r="R1428" i="1"/>
  <c r="J1436" i="1"/>
  <c r="R1444" i="1"/>
  <c r="M1452" i="1"/>
  <c r="L1460" i="1"/>
  <c r="K1468" i="1"/>
  <c r="P1476" i="1"/>
  <c r="L1484" i="1"/>
  <c r="N1492" i="1"/>
  <c r="O1500" i="1"/>
  <c r="P1508" i="1"/>
  <c r="P1516" i="1"/>
  <c r="A1516" i="1"/>
  <c r="B1524" i="1"/>
  <c r="Q1532" i="1"/>
  <c r="J1520" i="1"/>
  <c r="O1520" i="1"/>
  <c r="J1504" i="1"/>
  <c r="R1504" i="1"/>
  <c r="N1488" i="1"/>
  <c r="O1488" i="1"/>
  <c r="B1480" i="1"/>
  <c r="P1480" i="1"/>
  <c r="K1472" i="1"/>
  <c r="A1472" i="1"/>
  <c r="N1448" i="1"/>
  <c r="P1448" i="1"/>
  <c r="A1440" i="1"/>
  <c r="P1440" i="1"/>
  <c r="R1424" i="1"/>
  <c r="N1424" i="1"/>
  <c r="P590" i="1"/>
  <c r="Q582" i="1"/>
  <c r="J620" i="1"/>
  <c r="R1522" i="1"/>
  <c r="B1522" i="1"/>
  <c r="R1418" i="1"/>
  <c r="A1418" i="1"/>
  <c r="K1434" i="1"/>
  <c r="P1458" i="1"/>
  <c r="R1498" i="1"/>
  <c r="B1498" i="1"/>
  <c r="L1530" i="1"/>
  <c r="M1404" i="1"/>
  <c r="M1412" i="1"/>
  <c r="N1420" i="1"/>
  <c r="Q1428" i="1"/>
  <c r="Q1436" i="1"/>
  <c r="J1444" i="1"/>
  <c r="R1452" i="1"/>
  <c r="R1460" i="1"/>
  <c r="M1468" i="1"/>
  <c r="N1476" i="1"/>
  <c r="P1484" i="1"/>
  <c r="M1492" i="1"/>
  <c r="N1500" i="1"/>
  <c r="O1508" i="1"/>
  <c r="O1516" i="1"/>
  <c r="P1524" i="1"/>
  <c r="A1524" i="1"/>
  <c r="K1478" i="1"/>
  <c r="R1520" i="1"/>
  <c r="Q1440" i="1"/>
  <c r="Q1511" i="1"/>
  <c r="L1511" i="1"/>
  <c r="B823" i="1"/>
  <c r="N823" i="1"/>
  <c r="R823" i="1"/>
  <c r="N817" i="1"/>
  <c r="P817" i="1"/>
  <c r="L817" i="1"/>
  <c r="Q811" i="1"/>
  <c r="L811" i="1"/>
  <c r="P811" i="1"/>
  <c r="K805" i="1"/>
  <c r="A805" i="1"/>
  <c r="N805" i="1"/>
  <c r="P805" i="1"/>
  <c r="J805" i="1"/>
  <c r="N791" i="1"/>
  <c r="L791" i="1"/>
  <c r="O791" i="1"/>
  <c r="K791" i="1"/>
  <c r="K785" i="1"/>
  <c r="M785" i="1"/>
  <c r="A785" i="1"/>
  <c r="L785" i="1"/>
  <c r="P785" i="1"/>
  <c r="J785" i="1"/>
  <c r="N779" i="1"/>
  <c r="P779" i="1"/>
  <c r="Q779" i="1"/>
  <c r="J779" i="1"/>
  <c r="A773" i="1"/>
  <c r="L773" i="1"/>
  <c r="N773" i="1"/>
  <c r="K773" i="1"/>
  <c r="J773" i="1"/>
  <c r="Q759" i="1"/>
  <c r="B759" i="1"/>
  <c r="L759" i="1"/>
  <c r="N759" i="1"/>
  <c r="O759" i="1"/>
  <c r="R759" i="1"/>
  <c r="R753" i="1"/>
  <c r="P753" i="1"/>
  <c r="M753" i="1"/>
  <c r="K753" i="1"/>
  <c r="A747" i="1"/>
  <c r="B747" i="1"/>
  <c r="Q747" i="1"/>
  <c r="L747" i="1"/>
  <c r="O747" i="1"/>
  <c r="P741" i="1"/>
  <c r="B741" i="1"/>
  <c r="Q741" i="1"/>
  <c r="R741" i="1"/>
  <c r="L741" i="1"/>
  <c r="L727" i="1"/>
  <c r="A727" i="1"/>
  <c r="B727" i="1"/>
  <c r="P727" i="1"/>
  <c r="J727" i="1"/>
  <c r="R727" i="1"/>
  <c r="K727" i="1"/>
  <c r="P721" i="1"/>
  <c r="J721" i="1"/>
  <c r="R721" i="1"/>
  <c r="K721" i="1"/>
  <c r="O721" i="1"/>
  <c r="P715" i="1"/>
  <c r="K715" i="1"/>
  <c r="L715" i="1"/>
  <c r="A715" i="1"/>
  <c r="J715" i="1"/>
  <c r="K709" i="1"/>
  <c r="A709" i="1"/>
  <c r="N709" i="1"/>
  <c r="J709" i="1"/>
  <c r="M709" i="1"/>
  <c r="O709" i="1"/>
  <c r="L695" i="1"/>
  <c r="O695" i="1"/>
  <c r="B695" i="1"/>
  <c r="N695" i="1"/>
  <c r="Q695" i="1"/>
  <c r="L1430" i="1"/>
  <c r="J1430" i="1"/>
  <c r="A784" i="1"/>
  <c r="L784" i="1"/>
  <c r="B758" i="1"/>
  <c r="R758" i="1"/>
  <c r="O746" i="1"/>
  <c r="M746" i="1"/>
  <c r="N694" i="1"/>
  <c r="A694" i="1"/>
  <c r="K708" i="1"/>
  <c r="M714" i="1"/>
  <c r="B714" i="1"/>
  <c r="J720" i="1"/>
  <c r="N726" i="1"/>
  <c r="J746" i="1"/>
  <c r="K752" i="1"/>
  <c r="J758" i="1"/>
  <c r="M778" i="1"/>
  <c r="O784" i="1"/>
  <c r="R810" i="1"/>
  <c r="L694" i="1"/>
  <c r="R708" i="1"/>
  <c r="L714" i="1"/>
  <c r="A714" i="1"/>
  <c r="Q720" i="1"/>
  <c r="K726" i="1"/>
  <c r="Q746" i="1"/>
  <c r="J752" i="1"/>
  <c r="Q758" i="1"/>
  <c r="K778" i="1"/>
  <c r="A778" i="1"/>
  <c r="N784" i="1"/>
  <c r="Q810" i="1"/>
  <c r="L1544" i="1"/>
  <c r="K1544" i="1"/>
  <c r="P566" i="1"/>
  <c r="M566" i="1"/>
  <c r="M558" i="1"/>
  <c r="A558" i="1"/>
  <c r="K772" i="1"/>
  <c r="P790" i="1"/>
  <c r="R804" i="1"/>
  <c r="A804" i="1"/>
  <c r="N816" i="1"/>
  <c r="Q822" i="1"/>
  <c r="K694" i="1"/>
  <c r="J708" i="1"/>
  <c r="N714" i="1"/>
  <c r="M720" i="1"/>
  <c r="O720" i="1"/>
  <c r="R726" i="1"/>
  <c r="A746" i="1"/>
  <c r="Q752" i="1"/>
  <c r="P758" i="1"/>
  <c r="L778" i="1"/>
  <c r="B778" i="1"/>
  <c r="M784" i="1"/>
  <c r="P810" i="1"/>
  <c r="O1544" i="1"/>
  <c r="J558" i="1"/>
  <c r="J804" i="1"/>
  <c r="K816" i="1"/>
  <c r="M816" i="1"/>
  <c r="P822" i="1"/>
  <c r="R694" i="1"/>
  <c r="Q708" i="1"/>
  <c r="K714" i="1"/>
  <c r="P720" i="1"/>
  <c r="B720" i="1"/>
  <c r="J726" i="1"/>
  <c r="N746" i="1"/>
  <c r="B746" i="1"/>
  <c r="O752" i="1"/>
  <c r="O758" i="1"/>
  <c r="R778" i="1"/>
  <c r="K784" i="1"/>
  <c r="B784" i="1"/>
  <c r="O810" i="1"/>
  <c r="M1544" i="1"/>
  <c r="L816" i="1"/>
  <c r="J694" i="1"/>
  <c r="P708" i="1"/>
  <c r="O708" i="1"/>
  <c r="R714" i="1"/>
  <c r="L720" i="1"/>
  <c r="A720" i="1"/>
  <c r="Q726" i="1"/>
  <c r="L746" i="1"/>
  <c r="P752" i="1"/>
  <c r="A752" i="1"/>
  <c r="N758" i="1"/>
  <c r="J778" i="1"/>
  <c r="R784" i="1"/>
  <c r="N810" i="1"/>
  <c r="R825" i="1"/>
  <c r="O825" i="1"/>
  <c r="M813" i="1"/>
  <c r="B813" i="1"/>
  <c r="N1544" i="1"/>
  <c r="M708" i="1"/>
  <c r="P726" i="1"/>
  <c r="K746" i="1"/>
  <c r="N752" i="1"/>
  <c r="B752" i="1"/>
  <c r="M758" i="1"/>
  <c r="P778" i="1"/>
  <c r="J784" i="1"/>
  <c r="M810" i="1"/>
  <c r="R1544" i="1"/>
  <c r="P1841" i="1"/>
  <c r="Q1841" i="1"/>
  <c r="R1841" i="1"/>
  <c r="L1907" i="1"/>
  <c r="B1907" i="1"/>
  <c r="M1907" i="1"/>
  <c r="A1899" i="1"/>
  <c r="Q1899" i="1"/>
  <c r="K1899" i="1"/>
  <c r="O571" i="1"/>
  <c r="M572" i="1"/>
  <c r="A1363" i="1"/>
  <c r="B1334" i="1"/>
  <c r="B1302" i="1"/>
  <c r="J572" i="1"/>
  <c r="A1396" i="1"/>
  <c r="A1372" i="1"/>
  <c r="B1366" i="1"/>
  <c r="A1320" i="1"/>
  <c r="A1288" i="1"/>
  <c r="B1398" i="1"/>
  <c r="A1380" i="1"/>
  <c r="B1374" i="1"/>
  <c r="B1370" i="1"/>
  <c r="A1356" i="1"/>
  <c r="B1350" i="1"/>
  <c r="B1318" i="1"/>
  <c r="K556" i="1"/>
  <c r="L1898" i="1"/>
  <c r="B1908" i="1"/>
  <c r="B1834" i="1"/>
  <c r="B1842" i="1"/>
  <c r="Q555" i="1"/>
  <c r="J563" i="1"/>
  <c r="R571" i="1"/>
  <c r="J556" i="1"/>
  <c r="A1364" i="1"/>
  <c r="B1342" i="1"/>
  <c r="B1310" i="1"/>
  <c r="O1570" i="1"/>
  <c r="O1573" i="1"/>
  <c r="O1574" i="1"/>
  <c r="O1571" i="1"/>
  <c r="O1575" i="1"/>
  <c r="O502" i="1"/>
  <c r="O501" i="1"/>
  <c r="F57" i="8"/>
  <c r="F52" i="8"/>
  <c r="F60" i="8"/>
  <c r="F55" i="8"/>
  <c r="F87" i="8"/>
  <c r="F137" i="8"/>
  <c r="F23" i="8"/>
  <c r="F177" i="8"/>
  <c r="F85" i="8"/>
  <c r="F142" i="8"/>
  <c r="F145" i="8"/>
  <c r="F82" i="8"/>
  <c r="F26" i="8"/>
  <c r="F58" i="8"/>
  <c r="F84" i="8"/>
  <c r="F56" i="8"/>
  <c r="F86" i="8"/>
  <c r="F64" i="8"/>
  <c r="F54" i="8"/>
  <c r="L670" i="1"/>
  <c r="Q690" i="1"/>
  <c r="R1553" i="1"/>
  <c r="J1919" i="1"/>
  <c r="M1893" i="1"/>
  <c r="Q1868" i="1"/>
  <c r="P1863" i="1"/>
  <c r="A1863" i="1"/>
  <c r="K1828" i="1"/>
  <c r="M1589" i="1"/>
  <c r="R1585" i="1"/>
  <c r="N639" i="1"/>
  <c r="J671" i="1"/>
  <c r="J636" i="1"/>
  <c r="A1552" i="1"/>
  <c r="B43" i="1"/>
  <c r="R633" i="1"/>
  <c r="L1927" i="1"/>
  <c r="O153" i="1"/>
  <c r="K49" i="1"/>
  <c r="P365" i="1"/>
  <c r="R1582" i="1"/>
  <c r="O249" i="1"/>
  <c r="R249" i="1"/>
  <c r="J357" i="1"/>
  <c r="O357" i="1"/>
  <c r="A255" i="1"/>
  <c r="Q255" i="1"/>
  <c r="B163" i="1"/>
  <c r="O163" i="1"/>
  <c r="B69" i="1"/>
  <c r="K69" i="1"/>
  <c r="P159" i="1"/>
  <c r="M159" i="1"/>
  <c r="O247" i="1"/>
  <c r="M27" i="1"/>
  <c r="J27" i="1"/>
  <c r="B51" i="1"/>
  <c r="L51" i="1"/>
  <c r="K59" i="1"/>
  <c r="J59" i="1"/>
  <c r="O214" i="1"/>
  <c r="B214" i="1"/>
  <c r="L214" i="1"/>
  <c r="N636" i="1"/>
  <c r="O636" i="1"/>
  <c r="N685" i="1"/>
  <c r="P685" i="1"/>
  <c r="O653" i="1"/>
  <c r="B653" i="1"/>
  <c r="L653" i="1"/>
  <c r="R1647" i="1"/>
  <c r="K1647" i="1"/>
  <c r="M312" i="1"/>
  <c r="A312" i="1"/>
  <c r="Q312" i="1"/>
  <c r="A1938" i="1"/>
  <c r="J1938" i="1"/>
  <c r="L36" i="1"/>
  <c r="Q36" i="1"/>
  <c r="J60" i="1"/>
  <c r="P60" i="1"/>
  <c r="N1595" i="1"/>
  <c r="B1595" i="1"/>
  <c r="L637" i="1"/>
  <c r="A637" i="1"/>
  <c r="Q684" i="1"/>
  <c r="K684" i="1"/>
  <c r="O664" i="1"/>
  <c r="L664" i="1"/>
  <c r="B1545" i="1"/>
  <c r="M1545" i="1"/>
  <c r="A313" i="1"/>
  <c r="K313" i="1"/>
  <c r="K1588" i="1"/>
  <c r="R1588" i="1"/>
  <c r="M1580" i="1"/>
  <c r="L1580" i="1"/>
  <c r="R1580" i="1"/>
  <c r="M1854" i="1"/>
  <c r="B1854" i="1"/>
  <c r="P1854" i="1"/>
  <c r="O1916" i="1"/>
  <c r="A1916" i="1"/>
  <c r="J1916" i="1"/>
  <c r="P231" i="1"/>
  <c r="L231" i="1"/>
  <c r="N231" i="1"/>
  <c r="R450" i="1"/>
  <c r="Q450" i="1"/>
  <c r="A450" i="1"/>
  <c r="L366" i="1"/>
  <c r="K366" i="1"/>
  <c r="J366" i="1"/>
  <c r="P1890" i="1"/>
  <c r="R1795" i="1"/>
  <c r="Q1588" i="1"/>
  <c r="O218" i="1"/>
  <c r="L223" i="1"/>
  <c r="N1852" i="1"/>
  <c r="K1928" i="1"/>
  <c r="K1938" i="1"/>
  <c r="B1938" i="1"/>
  <c r="J1948" i="1"/>
  <c r="Q1963" i="1"/>
  <c r="K304" i="1"/>
  <c r="B1648" i="1"/>
  <c r="O638" i="1"/>
  <c r="Q658" i="1"/>
  <c r="K209" i="1"/>
  <c r="P52" i="1"/>
  <c r="P20" i="1"/>
  <c r="R158" i="1"/>
  <c r="B158" i="1"/>
  <c r="Q1893" i="1"/>
  <c r="B1893" i="1"/>
  <c r="R1868" i="1"/>
  <c r="P1828" i="1"/>
  <c r="Q1589" i="1"/>
  <c r="B312" i="1"/>
  <c r="B1647" i="1"/>
  <c r="P639" i="1"/>
  <c r="P653" i="1"/>
  <c r="N671" i="1"/>
  <c r="O685" i="1"/>
  <c r="K636" i="1"/>
  <c r="Q1552" i="1"/>
  <c r="Q214" i="1"/>
  <c r="O59" i="1"/>
  <c r="L43" i="1"/>
  <c r="N27" i="1"/>
  <c r="O633" i="1"/>
  <c r="L364" i="1"/>
  <c r="J1862" i="1"/>
  <c r="R153" i="1"/>
  <c r="O1825" i="1"/>
  <c r="N15" i="1"/>
  <c r="O366" i="1"/>
  <c r="L1871" i="1"/>
  <c r="R687" i="1"/>
  <c r="O231" i="1"/>
  <c r="P214" i="1"/>
  <c r="P59" i="1"/>
  <c r="P43" i="1"/>
  <c r="P27" i="1"/>
  <c r="M633" i="1"/>
  <c r="N1825" i="1"/>
  <c r="B366" i="1"/>
  <c r="K1871" i="1"/>
  <c r="N1582" i="1"/>
  <c r="L1656" i="1"/>
  <c r="P1656" i="1"/>
  <c r="R1664" i="1"/>
  <c r="J1664" i="1"/>
  <c r="N244" i="1"/>
  <c r="Q244" i="1"/>
  <c r="N360" i="1"/>
  <c r="M360" i="1"/>
  <c r="A1586" i="1"/>
  <c r="R1586" i="1"/>
  <c r="K1867" i="1"/>
  <c r="L1867" i="1"/>
  <c r="M1918" i="1"/>
  <c r="A1918" i="1"/>
  <c r="B229" i="1"/>
  <c r="L229" i="1"/>
  <c r="Q258" i="1"/>
  <c r="J258" i="1"/>
  <c r="A74" i="1"/>
  <c r="O74" i="1"/>
  <c r="B31" i="1"/>
  <c r="K31" i="1"/>
  <c r="L31" i="1"/>
  <c r="L47" i="1"/>
  <c r="A47" i="1"/>
  <c r="Q47" i="1"/>
  <c r="P206" i="1"/>
  <c r="L206" i="1"/>
  <c r="L681" i="1"/>
  <c r="K681" i="1"/>
  <c r="A675" i="1"/>
  <c r="O675" i="1"/>
  <c r="O1580" i="1"/>
  <c r="A1871" i="1"/>
  <c r="M1582" i="1"/>
  <c r="O1585" i="1"/>
  <c r="Q1585" i="1"/>
  <c r="A1589" i="1"/>
  <c r="R1589" i="1"/>
  <c r="J1863" i="1"/>
  <c r="Q1863" i="1"/>
  <c r="A1919" i="1"/>
  <c r="N1919" i="1"/>
  <c r="B153" i="1"/>
  <c r="M153" i="1"/>
  <c r="B1937" i="1"/>
  <c r="K1937" i="1"/>
  <c r="Q1927" i="1"/>
  <c r="A1927" i="1"/>
  <c r="M1927" i="1"/>
  <c r="R685" i="1"/>
  <c r="A685" i="1"/>
  <c r="B636" i="1"/>
  <c r="K1552" i="1"/>
  <c r="M214" i="1"/>
  <c r="Q59" i="1"/>
  <c r="J43" i="1"/>
  <c r="K27" i="1"/>
  <c r="J633" i="1"/>
  <c r="N1927" i="1"/>
  <c r="P1916" i="1"/>
  <c r="N1580" i="1"/>
  <c r="O450" i="1"/>
  <c r="K1854" i="1"/>
  <c r="K365" i="1"/>
  <c r="L1582" i="1"/>
  <c r="N364" i="1"/>
  <c r="M364" i="1"/>
  <c r="L33" i="1"/>
  <c r="M33" i="1"/>
  <c r="Q49" i="1"/>
  <c r="L49" i="1"/>
  <c r="A57" i="1"/>
  <c r="O57" i="1"/>
  <c r="K57" i="1"/>
  <c r="B203" i="1"/>
  <c r="N203" i="1"/>
  <c r="P1667" i="1"/>
  <c r="A1667" i="1"/>
  <c r="K1667" i="1"/>
  <c r="J641" i="1"/>
  <c r="Q679" i="1"/>
  <c r="O267" i="1"/>
  <c r="A267" i="1"/>
  <c r="R673" i="1"/>
  <c r="Q1629" i="1"/>
  <c r="P172" i="1"/>
  <c r="L166" i="1"/>
  <c r="P166" i="1"/>
  <c r="J1637" i="1"/>
  <c r="P164" i="1"/>
  <c r="A389" i="1"/>
  <c r="B389" i="1"/>
  <c r="B381" i="1"/>
  <c r="P1628" i="1"/>
  <c r="K1628" i="1"/>
  <c r="L1628" i="1"/>
  <c r="M1628" i="1"/>
  <c r="N1628" i="1"/>
  <c r="N1631" i="1"/>
  <c r="B1631" i="1"/>
  <c r="Q1631" i="1"/>
  <c r="J1631" i="1"/>
  <c r="L1631" i="1"/>
  <c r="Q1637" i="1"/>
  <c r="A1637" i="1"/>
  <c r="B1637" i="1"/>
  <c r="M1637" i="1"/>
  <c r="N1637" i="1"/>
  <c r="O1637" i="1"/>
  <c r="L1629" i="1"/>
  <c r="M1629" i="1"/>
  <c r="N1629" i="1"/>
  <c r="O1629" i="1"/>
  <c r="P1629" i="1"/>
  <c r="Q164" i="1"/>
  <c r="M164" i="1"/>
  <c r="J164" i="1"/>
  <c r="R164" i="1"/>
  <c r="K164" i="1"/>
  <c r="O164" i="1"/>
  <c r="J172" i="1"/>
  <c r="L172" i="1"/>
  <c r="M172" i="1"/>
  <c r="N172" i="1"/>
  <c r="O172" i="1"/>
  <c r="J1632" i="1"/>
  <c r="A1633" i="1"/>
  <c r="P1634" i="1"/>
  <c r="J1635" i="1"/>
  <c r="J173" i="1"/>
  <c r="Q171" i="1"/>
  <c r="J169" i="1"/>
  <c r="J165" i="1"/>
  <c r="L170" i="1"/>
  <c r="O168" i="1"/>
  <c r="A378" i="1"/>
  <c r="A392" i="1"/>
  <c r="A380" i="1"/>
  <c r="M580" i="1"/>
  <c r="M588" i="1"/>
  <c r="A588" i="1"/>
  <c r="N591" i="1"/>
  <c r="N584" i="1"/>
  <c r="B592" i="1"/>
  <c r="L596" i="1"/>
  <c r="M604" i="1"/>
  <c r="A604" i="1"/>
  <c r="O620" i="1"/>
  <c r="A620" i="1"/>
  <c r="P600" i="1"/>
  <c r="L616" i="1"/>
  <c r="O601" i="1"/>
  <c r="Q1523" i="1"/>
  <c r="R1638" i="1"/>
  <c r="O1634" i="1"/>
  <c r="O173" i="1"/>
  <c r="Q169" i="1"/>
  <c r="B165" i="1"/>
  <c r="A382" i="1"/>
  <c r="M591" i="1"/>
  <c r="M584" i="1"/>
  <c r="R585" i="1"/>
  <c r="M589" i="1"/>
  <c r="L589" i="1"/>
  <c r="B581" i="1"/>
  <c r="K581" i="1"/>
  <c r="P609" i="1"/>
  <c r="O600" i="1"/>
  <c r="N173" i="1"/>
  <c r="A165" i="1"/>
  <c r="B382" i="1"/>
  <c r="L578" i="1"/>
  <c r="P588" i="1"/>
  <c r="K588" i="1"/>
  <c r="B580" i="1"/>
  <c r="J580" i="1"/>
  <c r="O609" i="1"/>
  <c r="Q624" i="1"/>
  <c r="N617" i="1"/>
  <c r="Q620" i="1"/>
  <c r="N620" i="1"/>
  <c r="B612" i="1"/>
  <c r="A612" i="1"/>
  <c r="M612" i="1"/>
  <c r="J604" i="1"/>
  <c r="K604" i="1"/>
  <c r="O596" i="1"/>
  <c r="J596" i="1"/>
  <c r="L1634" i="1"/>
  <c r="B1634" i="1"/>
  <c r="N1635" i="1"/>
  <c r="M173" i="1"/>
  <c r="K171" i="1"/>
  <c r="B169" i="1"/>
  <c r="L168" i="1"/>
  <c r="A390" i="1"/>
  <c r="Q580" i="1"/>
  <c r="J588" i="1"/>
  <c r="J589" i="1"/>
  <c r="J583" i="1"/>
  <c r="M581" i="1"/>
  <c r="Q592" i="1"/>
  <c r="P587" i="1"/>
  <c r="K587" i="1"/>
  <c r="P579" i="1"/>
  <c r="R579" i="1"/>
  <c r="Q596" i="1"/>
  <c r="Q604" i="1"/>
  <c r="J612" i="1"/>
  <c r="K620" i="1"/>
  <c r="R609" i="1"/>
  <c r="P593" i="1"/>
  <c r="Q608" i="1"/>
  <c r="K624" i="1"/>
  <c r="A619" i="1"/>
  <c r="J619" i="1"/>
  <c r="J611" i="1"/>
  <c r="O611" i="1"/>
  <c r="O603" i="1"/>
  <c r="A603" i="1"/>
  <c r="M603" i="1"/>
  <c r="K595" i="1"/>
  <c r="L595" i="1"/>
  <c r="K1634" i="1"/>
  <c r="B390" i="1"/>
  <c r="P580" i="1"/>
  <c r="Q588" i="1"/>
  <c r="R583" i="1"/>
  <c r="P592" i="1"/>
  <c r="P596" i="1"/>
  <c r="P604" i="1"/>
  <c r="Q612" i="1"/>
  <c r="R620" i="1"/>
  <c r="P583" i="1"/>
  <c r="O578" i="1"/>
  <c r="N578" i="1"/>
  <c r="B625" i="1"/>
  <c r="O625" i="1"/>
  <c r="Q617" i="1"/>
  <c r="O617" i="1"/>
  <c r="M609" i="1"/>
  <c r="B609" i="1"/>
  <c r="M601" i="1"/>
  <c r="J601" i="1"/>
  <c r="B601" i="1"/>
  <c r="L593" i="1"/>
  <c r="Q593" i="1"/>
  <c r="A593" i="1"/>
  <c r="A1531" i="1"/>
  <c r="O1531" i="1"/>
  <c r="R1531" i="1"/>
  <c r="M1531" i="1"/>
  <c r="N1531" i="1"/>
  <c r="B1523" i="1"/>
  <c r="P1523" i="1"/>
  <c r="K1523" i="1"/>
  <c r="M1523" i="1"/>
  <c r="N1523" i="1"/>
  <c r="J1523" i="1"/>
  <c r="R1523" i="1"/>
  <c r="M1515" i="1"/>
  <c r="L1515" i="1"/>
  <c r="O1515" i="1"/>
  <c r="A1515" i="1"/>
  <c r="P1515" i="1"/>
  <c r="R1515" i="1"/>
  <c r="K1515" i="1"/>
  <c r="M1507" i="1"/>
  <c r="J1507" i="1"/>
  <c r="K1507" i="1"/>
  <c r="L1507" i="1"/>
  <c r="A1507" i="1"/>
  <c r="P1507" i="1"/>
  <c r="B1507" i="1"/>
  <c r="Q1507" i="1"/>
  <c r="K583" i="1"/>
  <c r="K584" i="1"/>
  <c r="A584" i="1"/>
  <c r="N625" i="1"/>
  <c r="M624" i="1"/>
  <c r="O624" i="1"/>
  <c r="B624" i="1"/>
  <c r="J624" i="1"/>
  <c r="J616" i="1"/>
  <c r="M616" i="1"/>
  <c r="N616" i="1"/>
  <c r="N608" i="1"/>
  <c r="B608" i="1"/>
  <c r="K600" i="1"/>
  <c r="M600" i="1"/>
  <c r="A600" i="1"/>
  <c r="B600" i="1"/>
  <c r="K613" i="1"/>
  <c r="R1403" i="1"/>
  <c r="N1403" i="1"/>
  <c r="R1411" i="1"/>
  <c r="L1419" i="1"/>
  <c r="A1419" i="1"/>
  <c r="J1435" i="1"/>
  <c r="N1443" i="1"/>
  <c r="O1451" i="1"/>
  <c r="Q1459" i="1"/>
  <c r="B1459" i="1"/>
  <c r="J1467" i="1"/>
  <c r="R1475" i="1"/>
  <c r="M1491" i="1"/>
  <c r="O1499" i="1"/>
  <c r="N1399" i="1"/>
  <c r="K1415" i="1"/>
  <c r="R1455" i="1"/>
  <c r="K1471" i="1"/>
  <c r="R1503" i="1"/>
  <c r="K1535" i="1"/>
  <c r="Q1427" i="1"/>
  <c r="B1427" i="1"/>
  <c r="P1483" i="1"/>
  <c r="J1423" i="1"/>
  <c r="J1511" i="1"/>
  <c r="L1470" i="1"/>
  <c r="M1494" i="1"/>
  <c r="N1518" i="1"/>
  <c r="N1463" i="1"/>
  <c r="M1403" i="1"/>
  <c r="B1403" i="1"/>
  <c r="O1411" i="1"/>
  <c r="J1419" i="1"/>
  <c r="L1435" i="1"/>
  <c r="P1435" i="1"/>
  <c r="K1443" i="1"/>
  <c r="M1451" i="1"/>
  <c r="O1459" i="1"/>
  <c r="A1459" i="1"/>
  <c r="B1467" i="1"/>
  <c r="J1475" i="1"/>
  <c r="L1491" i="1"/>
  <c r="N1499" i="1"/>
  <c r="O1427" i="1"/>
  <c r="L1483" i="1"/>
  <c r="B1483" i="1"/>
  <c r="N1406" i="1"/>
  <c r="Q1430" i="1"/>
  <c r="Q1454" i="1"/>
  <c r="O1518" i="1"/>
  <c r="P1535" i="1"/>
  <c r="Q1535" i="1"/>
  <c r="Q1527" i="1"/>
  <c r="O1527" i="1"/>
  <c r="J1519" i="1"/>
  <c r="N1519" i="1"/>
  <c r="P1519" i="1"/>
  <c r="M1519" i="1"/>
  <c r="P1511" i="1"/>
  <c r="B1511" i="1"/>
  <c r="M1511" i="1"/>
  <c r="B1503" i="1"/>
  <c r="O1503" i="1"/>
  <c r="O1495" i="1"/>
  <c r="L1495" i="1"/>
  <c r="M1495" i="1"/>
  <c r="P1487" i="1"/>
  <c r="A1487" i="1"/>
  <c r="N1487" i="1"/>
  <c r="R1487" i="1"/>
  <c r="A1479" i="1"/>
  <c r="Q1479" i="1"/>
  <c r="K1479" i="1"/>
  <c r="R1471" i="1"/>
  <c r="B1471" i="1"/>
  <c r="Q1471" i="1"/>
  <c r="J1463" i="1"/>
  <c r="M1463" i="1"/>
  <c r="N1455" i="1"/>
  <c r="M1455" i="1"/>
  <c r="L1447" i="1"/>
  <c r="B1447" i="1"/>
  <c r="R1447" i="1"/>
  <c r="K1447" i="1"/>
  <c r="B1439" i="1"/>
  <c r="O1439" i="1"/>
  <c r="J1439" i="1"/>
  <c r="K1439" i="1"/>
  <c r="L1431" i="1"/>
  <c r="A1431" i="1"/>
  <c r="B1431" i="1"/>
  <c r="K1431" i="1"/>
  <c r="B1423" i="1"/>
  <c r="M1423" i="1"/>
  <c r="A1415" i="1"/>
  <c r="N1415" i="1"/>
  <c r="P1407" i="1"/>
  <c r="M1407" i="1"/>
  <c r="P1399" i="1"/>
  <c r="L1399" i="1"/>
  <c r="O1534" i="1"/>
  <c r="M1534" i="1"/>
  <c r="B1534" i="1"/>
  <c r="K1526" i="1"/>
  <c r="O1526" i="1"/>
  <c r="P1526" i="1"/>
  <c r="R1526" i="1"/>
  <c r="Q1518" i="1"/>
  <c r="P1518" i="1"/>
  <c r="K1518" i="1"/>
  <c r="L1518" i="1"/>
  <c r="B1510" i="1"/>
  <c r="L1510" i="1"/>
  <c r="A1510" i="1"/>
  <c r="R1502" i="1"/>
  <c r="B1502" i="1"/>
  <c r="O1502" i="1"/>
  <c r="J1502" i="1"/>
  <c r="P1494" i="1"/>
  <c r="O1494" i="1"/>
  <c r="R1494" i="1"/>
  <c r="K1494" i="1"/>
  <c r="N1494" i="1"/>
  <c r="B1486" i="1"/>
  <c r="K1486" i="1"/>
  <c r="Q1478" i="1"/>
  <c r="B1478" i="1"/>
  <c r="A1478" i="1"/>
  <c r="O1478" i="1"/>
  <c r="M1470" i="1"/>
  <c r="A1470" i="1"/>
  <c r="K1470" i="1"/>
  <c r="R1470" i="1"/>
  <c r="N1470" i="1"/>
  <c r="L1462" i="1"/>
  <c r="J1462" i="1"/>
  <c r="R1462" i="1"/>
  <c r="P1454" i="1"/>
  <c r="B1454" i="1"/>
  <c r="O1454" i="1"/>
  <c r="A1446" i="1"/>
  <c r="B1446" i="1"/>
  <c r="P1446" i="1"/>
  <c r="K1446" i="1"/>
  <c r="N1446" i="1"/>
  <c r="R1438" i="1"/>
  <c r="K1438" i="1"/>
  <c r="N1438" i="1"/>
  <c r="Q1438" i="1"/>
  <c r="O1430" i="1"/>
  <c r="R1430" i="1"/>
  <c r="M1430" i="1"/>
  <c r="B1422" i="1"/>
  <c r="O1422" i="1"/>
  <c r="P1422" i="1"/>
  <c r="J1422" i="1"/>
  <c r="N1414" i="1"/>
  <c r="L1414" i="1"/>
  <c r="R1414" i="1"/>
  <c r="J1414" i="1"/>
  <c r="K1406" i="1"/>
  <c r="P1406" i="1"/>
  <c r="A1406" i="1"/>
  <c r="Q1403" i="1"/>
  <c r="M1411" i="1"/>
  <c r="B1411" i="1"/>
  <c r="P1419" i="1"/>
  <c r="M1435" i="1"/>
  <c r="Q1443" i="1"/>
  <c r="P1443" i="1"/>
  <c r="J1451" i="1"/>
  <c r="K1459" i="1"/>
  <c r="M1467" i="1"/>
  <c r="O1475" i="1"/>
  <c r="A1475" i="1"/>
  <c r="J1491" i="1"/>
  <c r="K1499" i="1"/>
  <c r="Q1399" i="1"/>
  <c r="A1399" i="1"/>
  <c r="B1415" i="1"/>
  <c r="B1455" i="1"/>
  <c r="L1471" i="1"/>
  <c r="N1503" i="1"/>
  <c r="N1535" i="1"/>
  <c r="K1427" i="1"/>
  <c r="Q1483" i="1"/>
  <c r="A1423" i="1"/>
  <c r="A1511" i="1"/>
  <c r="M1487" i="1"/>
  <c r="B1406" i="1"/>
  <c r="A1430" i="1"/>
  <c r="M1454" i="1"/>
  <c r="P1478" i="1"/>
  <c r="Q1502" i="1"/>
  <c r="J1526" i="1"/>
  <c r="R1407" i="1"/>
  <c r="N1495" i="1"/>
  <c r="L1527" i="1"/>
  <c r="R1533" i="1"/>
  <c r="J1533" i="1"/>
  <c r="K1533" i="1"/>
  <c r="M1533" i="1"/>
  <c r="J1525" i="1"/>
  <c r="B1525" i="1"/>
  <c r="O1525" i="1"/>
  <c r="P1525" i="1"/>
  <c r="R1525" i="1"/>
  <c r="B1509" i="1"/>
  <c r="M1509" i="1"/>
  <c r="A1509" i="1"/>
  <c r="O1509" i="1"/>
  <c r="Q1509" i="1"/>
  <c r="P1493" i="1"/>
  <c r="Q1493" i="1"/>
  <c r="J1493" i="1"/>
  <c r="K1493" i="1"/>
  <c r="J1485" i="1"/>
  <c r="K1485" i="1"/>
  <c r="L1485" i="1"/>
  <c r="B1485" i="1"/>
  <c r="O1485" i="1"/>
  <c r="P1469" i="1"/>
  <c r="L1469" i="1"/>
  <c r="K1469" i="1"/>
  <c r="O1469" i="1"/>
  <c r="M1453" i="1"/>
  <c r="B1453" i="1"/>
  <c r="J1453" i="1"/>
  <c r="N1453" i="1"/>
  <c r="Q1453" i="1"/>
  <c r="A1445" i="1"/>
  <c r="P1445" i="1"/>
  <c r="Q1445" i="1"/>
  <c r="J1445" i="1"/>
  <c r="L1429" i="1"/>
  <c r="B1429" i="1"/>
  <c r="R1429" i="1"/>
  <c r="N1429" i="1"/>
  <c r="Q1429" i="1"/>
  <c r="R1413" i="1"/>
  <c r="M1413" i="1"/>
  <c r="A1413" i="1"/>
  <c r="O1413" i="1"/>
  <c r="L1413" i="1"/>
  <c r="O1403" i="1"/>
  <c r="K1411" i="1"/>
  <c r="A1411" i="1"/>
  <c r="M1419" i="1"/>
  <c r="N1435" i="1"/>
  <c r="O1443" i="1"/>
  <c r="A1443" i="1"/>
  <c r="P1451" i="1"/>
  <c r="R1459" i="1"/>
  <c r="M1475" i="1"/>
  <c r="Q1491" i="1"/>
  <c r="J1499" i="1"/>
  <c r="O1483" i="1"/>
  <c r="K1487" i="1"/>
  <c r="M1414" i="1"/>
  <c r="P1438" i="1"/>
  <c r="K1462" i="1"/>
  <c r="R1486" i="1"/>
  <c r="K1510" i="1"/>
  <c r="L1534" i="1"/>
  <c r="M1431" i="1"/>
  <c r="B1495" i="1"/>
  <c r="P1527" i="1"/>
  <c r="K573" i="1"/>
  <c r="R573" i="1"/>
  <c r="N573" i="1"/>
  <c r="B565" i="1"/>
  <c r="A565" i="1"/>
  <c r="L565" i="1"/>
  <c r="P557" i="1"/>
  <c r="O557" i="1"/>
  <c r="J557" i="1"/>
  <c r="K557" i="1"/>
  <c r="A1491" i="1"/>
  <c r="O1491" i="1"/>
  <c r="P1467" i="1"/>
  <c r="L1467" i="1"/>
  <c r="A1427" i="1"/>
  <c r="M1427" i="1"/>
  <c r="O1419" i="1"/>
  <c r="L1443" i="1"/>
  <c r="Q1451" i="1"/>
  <c r="A1451" i="1"/>
  <c r="P1459" i="1"/>
  <c r="R1467" i="1"/>
  <c r="N1475" i="1"/>
  <c r="N1491" i="1"/>
  <c r="P1499" i="1"/>
  <c r="A1499" i="1"/>
  <c r="K1399" i="1"/>
  <c r="O1415" i="1"/>
  <c r="K1455" i="1"/>
  <c r="M1471" i="1"/>
  <c r="K1503" i="1"/>
  <c r="L1535" i="1"/>
  <c r="P1427" i="1"/>
  <c r="M1483" i="1"/>
  <c r="R1423" i="1"/>
  <c r="R1511" i="1"/>
  <c r="B1414" i="1"/>
  <c r="A1438" i="1"/>
  <c r="M1462" i="1"/>
  <c r="P1486" i="1"/>
  <c r="Q1510" i="1"/>
  <c r="J1534" i="1"/>
  <c r="O1463" i="1"/>
  <c r="B1323" i="1"/>
  <c r="A1323" i="1"/>
  <c r="B1291" i="1"/>
  <c r="A1291" i="1"/>
  <c r="M554" i="1"/>
  <c r="N558" i="1"/>
  <c r="Q1504" i="1"/>
  <c r="Q1424" i="1"/>
  <c r="R1472" i="1"/>
  <c r="J1400" i="1"/>
  <c r="L1448" i="1"/>
  <c r="K1520" i="1"/>
  <c r="A1520" i="1"/>
  <c r="M1440" i="1"/>
  <c r="P1488" i="1"/>
  <c r="N734" i="1"/>
  <c r="B734" i="1"/>
  <c r="M760" i="1"/>
  <c r="P780" i="1"/>
  <c r="Q798" i="1"/>
  <c r="K798" i="1"/>
  <c r="N812" i="1"/>
  <c r="R696" i="1"/>
  <c r="R722" i="1"/>
  <c r="R748" i="1"/>
  <c r="R1847" i="1"/>
  <c r="L1847" i="1"/>
  <c r="N1847" i="1"/>
  <c r="Q1839" i="1"/>
  <c r="R1839" i="1"/>
  <c r="B1913" i="1"/>
  <c r="O1913" i="1"/>
  <c r="P1913" i="1"/>
  <c r="M1913" i="1"/>
  <c r="K1905" i="1"/>
  <c r="M1905" i="1"/>
  <c r="A1905" i="1"/>
  <c r="A1897" i="1"/>
  <c r="P1897" i="1"/>
  <c r="R1897" i="1"/>
  <c r="B1347" i="1"/>
  <c r="A1347" i="1"/>
  <c r="B1315" i="1"/>
  <c r="A1315" i="1"/>
  <c r="R1846" i="1"/>
  <c r="Q1846" i="1"/>
  <c r="M1846" i="1"/>
  <c r="M1838" i="1"/>
  <c r="Q1838" i="1"/>
  <c r="J1838" i="1"/>
  <c r="B1912" i="1"/>
  <c r="Q1912" i="1"/>
  <c r="M1904" i="1"/>
  <c r="P1904" i="1"/>
  <c r="J570" i="1"/>
  <c r="L570" i="1"/>
  <c r="N570" i="1"/>
  <c r="O570" i="1"/>
  <c r="B570" i="1"/>
  <c r="A570" i="1"/>
  <c r="P562" i="1"/>
  <c r="Q562" i="1"/>
  <c r="J562" i="1"/>
  <c r="P554" i="1"/>
  <c r="J554" i="1"/>
  <c r="R554" i="1"/>
  <c r="A1371" i="1"/>
  <c r="O1504" i="1"/>
  <c r="M1424" i="1"/>
  <c r="Q1472" i="1"/>
  <c r="K1400" i="1"/>
  <c r="Q1448" i="1"/>
  <c r="Q1520" i="1"/>
  <c r="O1440" i="1"/>
  <c r="B1440" i="1"/>
  <c r="M1488" i="1"/>
  <c r="J734" i="1"/>
  <c r="Q760" i="1"/>
  <c r="K760" i="1"/>
  <c r="N780" i="1"/>
  <c r="J798" i="1"/>
  <c r="A798" i="1"/>
  <c r="L812" i="1"/>
  <c r="O722" i="1"/>
  <c r="K748" i="1"/>
  <c r="L1846" i="1"/>
  <c r="B1901" i="1"/>
  <c r="Q574" i="1"/>
  <c r="B1339" i="1"/>
  <c r="A1339" i="1"/>
  <c r="B1307" i="1"/>
  <c r="A1307" i="1"/>
  <c r="N1504" i="1"/>
  <c r="K1424" i="1"/>
  <c r="N1472" i="1"/>
  <c r="Q1400" i="1"/>
  <c r="M1448" i="1"/>
  <c r="P1520" i="1"/>
  <c r="L1440" i="1"/>
  <c r="L1488" i="1"/>
  <c r="B1488" i="1"/>
  <c r="R760" i="1"/>
  <c r="Q812" i="1"/>
  <c r="R813" i="1"/>
  <c r="K813" i="1"/>
  <c r="L813" i="1"/>
  <c r="N813" i="1"/>
  <c r="Q813" i="1"/>
  <c r="L1912" i="1"/>
  <c r="M1835" i="1"/>
  <c r="Q566" i="1"/>
  <c r="P574" i="1"/>
  <c r="A1379" i="1"/>
  <c r="B824" i="1"/>
  <c r="R824" i="1"/>
  <c r="K824" i="1"/>
  <c r="Q824" i="1"/>
  <c r="L824" i="1"/>
  <c r="N824" i="1"/>
  <c r="O824" i="1"/>
  <c r="L786" i="1"/>
  <c r="M786" i="1"/>
  <c r="N786" i="1"/>
  <c r="P786" i="1"/>
  <c r="A786" i="1"/>
  <c r="J786" i="1"/>
  <c r="Q754" i="1"/>
  <c r="R754" i="1"/>
  <c r="J754" i="1"/>
  <c r="B754" i="1"/>
  <c r="N754" i="1"/>
  <c r="M754" i="1"/>
  <c r="L754" i="1"/>
  <c r="M748" i="1"/>
  <c r="J748" i="1"/>
  <c r="O748" i="1"/>
  <c r="P748" i="1"/>
  <c r="L748" i="1"/>
  <c r="N748" i="1"/>
  <c r="P722" i="1"/>
  <c r="Q722" i="1"/>
  <c r="L722" i="1"/>
  <c r="A722" i="1"/>
  <c r="K722" i="1"/>
  <c r="B722" i="1"/>
  <c r="N722" i="1"/>
  <c r="B716" i="1"/>
  <c r="N716" i="1"/>
  <c r="M716" i="1"/>
  <c r="R716" i="1"/>
  <c r="O716" i="1"/>
  <c r="Q716" i="1"/>
  <c r="L716" i="1"/>
  <c r="O702" i="1"/>
  <c r="P702" i="1"/>
  <c r="Q702" i="1"/>
  <c r="R702" i="1"/>
  <c r="A702" i="1"/>
  <c r="L702" i="1"/>
  <c r="A696" i="1"/>
  <c r="L696" i="1"/>
  <c r="B696" i="1"/>
  <c r="K696" i="1"/>
  <c r="M696" i="1"/>
  <c r="N696" i="1"/>
  <c r="P696" i="1"/>
  <c r="Q696" i="1"/>
  <c r="K1912" i="1"/>
  <c r="B1331" i="1"/>
  <c r="A1331" i="1"/>
  <c r="B1299" i="1"/>
  <c r="A1299" i="1"/>
  <c r="K570" i="1"/>
  <c r="M562" i="1"/>
  <c r="B574" i="1"/>
  <c r="J574" i="1"/>
  <c r="A574" i="1"/>
  <c r="R574" i="1"/>
  <c r="L574" i="1"/>
  <c r="K574" i="1"/>
  <c r="N574" i="1"/>
  <c r="O574" i="1"/>
  <c r="A566" i="1"/>
  <c r="J566" i="1"/>
  <c r="B566" i="1"/>
  <c r="R566" i="1"/>
  <c r="L566" i="1"/>
  <c r="K566" i="1"/>
  <c r="N566" i="1"/>
  <c r="O566" i="1"/>
  <c r="O558" i="1"/>
  <c r="P558" i="1"/>
  <c r="Q558" i="1"/>
  <c r="B558" i="1"/>
  <c r="R558" i="1"/>
  <c r="L558" i="1"/>
  <c r="K558" i="1"/>
  <c r="A1387" i="1"/>
  <c r="A1355" i="1"/>
  <c r="B1345" i="1"/>
  <c r="B1337" i="1"/>
  <c r="B1329" i="1"/>
  <c r="B1321" i="1"/>
  <c r="B1313" i="1"/>
  <c r="B1305" i="1"/>
  <c r="B1297" i="1"/>
  <c r="B1289" i="1"/>
  <c r="R811" i="1"/>
  <c r="A817" i="1"/>
  <c r="J1544" i="1"/>
  <c r="K1837" i="1"/>
  <c r="B1349" i="1"/>
  <c r="B1341" i="1"/>
  <c r="B1333" i="1"/>
  <c r="B1325" i="1"/>
  <c r="B1317" i="1"/>
  <c r="B1309" i="1"/>
  <c r="B1301" i="1"/>
  <c r="B1293" i="1"/>
  <c r="B1393" i="1"/>
  <c r="B1385" i="1"/>
  <c r="B1377" i="1"/>
  <c r="B1369" i="1"/>
  <c r="B1361" i="1"/>
  <c r="B1353" i="1"/>
  <c r="N811" i="1"/>
  <c r="K823" i="1"/>
  <c r="A1348" i="1"/>
  <c r="A1340" i="1"/>
  <c r="A1332" i="1"/>
  <c r="A1324" i="1"/>
  <c r="A1316" i="1"/>
  <c r="A1308" i="1"/>
  <c r="A1300" i="1"/>
  <c r="A1292" i="1"/>
  <c r="A1843" i="1"/>
  <c r="B811" i="1"/>
  <c r="L823" i="1"/>
  <c r="J218" i="1"/>
  <c r="M313" i="1"/>
  <c r="P304" i="1"/>
  <c r="Q304" i="1"/>
  <c r="N1545" i="1"/>
  <c r="A1545" i="1"/>
  <c r="Q1648" i="1"/>
  <c r="K1640" i="1"/>
  <c r="R369" i="1"/>
  <c r="M638" i="1"/>
  <c r="N652" i="1"/>
  <c r="R658" i="1"/>
  <c r="A658" i="1"/>
  <c r="N664" i="1"/>
  <c r="Q670" i="1"/>
  <c r="P684" i="1"/>
  <c r="R690" i="1"/>
  <c r="J637" i="1"/>
  <c r="O637" i="1"/>
  <c r="M1553" i="1"/>
  <c r="A1553" i="1"/>
  <c r="M1595" i="1"/>
  <c r="M209" i="1"/>
  <c r="O210" i="1"/>
  <c r="B210" i="1"/>
  <c r="O60" i="1"/>
  <c r="K52" i="1"/>
  <c r="M44" i="1"/>
  <c r="P44" i="1"/>
  <c r="R36" i="1"/>
  <c r="O28" i="1"/>
  <c r="A28" i="1"/>
  <c r="O20" i="1"/>
  <c r="R634" i="1"/>
  <c r="Q1656" i="1"/>
  <c r="P1918" i="1"/>
  <c r="B1918" i="1"/>
  <c r="L1862" i="1"/>
  <c r="R258" i="1"/>
  <c r="A258" i="1"/>
  <c r="L1916" i="1"/>
  <c r="P1580" i="1"/>
  <c r="R247" i="1"/>
  <c r="A247" i="1"/>
  <c r="B681" i="1"/>
  <c r="N206" i="1"/>
  <c r="N31" i="1"/>
  <c r="P15" i="1"/>
  <c r="M474" i="1"/>
  <c r="B474" i="1"/>
  <c r="J450" i="1"/>
  <c r="N1871" i="1"/>
  <c r="N1572" i="1"/>
  <c r="N1854" i="1"/>
  <c r="N687" i="1"/>
  <c r="A687" i="1"/>
  <c r="M47" i="1"/>
  <c r="Q365" i="1"/>
  <c r="J231" i="1"/>
  <c r="P1582" i="1"/>
  <c r="M357" i="1"/>
  <c r="L357" i="1"/>
  <c r="P218" i="1"/>
  <c r="Q218" i="1"/>
  <c r="L313" i="1"/>
  <c r="O304" i="1"/>
  <c r="B304" i="1"/>
  <c r="L1545" i="1"/>
  <c r="O1648" i="1"/>
  <c r="P1648" i="1"/>
  <c r="R1640" i="1"/>
  <c r="J369" i="1"/>
  <c r="K638" i="1"/>
  <c r="M652" i="1"/>
  <c r="J658" i="1"/>
  <c r="K664" i="1"/>
  <c r="M664" i="1"/>
  <c r="P670" i="1"/>
  <c r="O684" i="1"/>
  <c r="J690" i="1"/>
  <c r="K637" i="1"/>
  <c r="B637" i="1"/>
  <c r="L1553" i="1"/>
  <c r="K1595" i="1"/>
  <c r="L1595" i="1"/>
  <c r="L209" i="1"/>
  <c r="N210" i="1"/>
  <c r="A210" i="1"/>
  <c r="Q60" i="1"/>
  <c r="O52" i="1"/>
  <c r="K44" i="1"/>
  <c r="B44" i="1"/>
  <c r="J36" i="1"/>
  <c r="J28" i="1"/>
  <c r="K20" i="1"/>
  <c r="N20" i="1"/>
  <c r="P634" i="1"/>
  <c r="J634" i="1"/>
  <c r="P258" i="1"/>
  <c r="B258" i="1"/>
  <c r="L247" i="1"/>
  <c r="M31" i="1"/>
  <c r="O15" i="1"/>
  <c r="L474" i="1"/>
  <c r="M1572" i="1"/>
  <c r="L1854" i="1"/>
  <c r="O687" i="1"/>
  <c r="P47" i="1"/>
  <c r="B47" i="1"/>
  <c r="Q231" i="1"/>
  <c r="B1582" i="1"/>
  <c r="O1582" i="1"/>
  <c r="K633" i="1"/>
  <c r="N633" i="1"/>
  <c r="Q43" i="1"/>
  <c r="O43" i="1"/>
  <c r="B1552" i="1"/>
  <c r="M1552" i="1"/>
  <c r="A671" i="1"/>
  <c r="K671" i="1"/>
  <c r="K639" i="1"/>
  <c r="Q639" i="1"/>
  <c r="N218" i="1"/>
  <c r="A218" i="1"/>
  <c r="R313" i="1"/>
  <c r="M304" i="1"/>
  <c r="K1545" i="1"/>
  <c r="M1648" i="1"/>
  <c r="A1648" i="1"/>
  <c r="Q1640" i="1"/>
  <c r="O369" i="1"/>
  <c r="B369" i="1"/>
  <c r="R638" i="1"/>
  <c r="J652" i="1"/>
  <c r="L652" i="1"/>
  <c r="P658" i="1"/>
  <c r="R664" i="1"/>
  <c r="A664" i="1"/>
  <c r="N670" i="1"/>
  <c r="N684" i="1"/>
  <c r="B684" i="1"/>
  <c r="P690" i="1"/>
  <c r="Q637" i="1"/>
  <c r="Q1553" i="1"/>
  <c r="J1595" i="1"/>
  <c r="A1595" i="1"/>
  <c r="R209" i="1"/>
  <c r="L210" i="1"/>
  <c r="R60" i="1"/>
  <c r="B60" i="1"/>
  <c r="J52" i="1"/>
  <c r="N44" i="1"/>
  <c r="M36" i="1"/>
  <c r="P36" i="1"/>
  <c r="M28" i="1"/>
  <c r="Q20" i="1"/>
  <c r="A20" i="1"/>
  <c r="N634" i="1"/>
  <c r="A634" i="1"/>
  <c r="N247" i="1"/>
  <c r="R1572" i="1"/>
  <c r="B1572" i="1"/>
  <c r="A1825" i="1"/>
  <c r="L1825" i="1"/>
  <c r="A366" i="1"/>
  <c r="R366" i="1"/>
  <c r="M218" i="1"/>
  <c r="J313" i="1"/>
  <c r="L304" i="1"/>
  <c r="R1545" i="1"/>
  <c r="L1648" i="1"/>
  <c r="O1640" i="1"/>
  <c r="P1640" i="1"/>
  <c r="N369" i="1"/>
  <c r="A369" i="1"/>
  <c r="Q638" i="1"/>
  <c r="K652" i="1"/>
  <c r="B652" i="1"/>
  <c r="O658" i="1"/>
  <c r="J664" i="1"/>
  <c r="K670" i="1"/>
  <c r="M670" i="1"/>
  <c r="L684" i="1"/>
  <c r="A684" i="1"/>
  <c r="O690" i="1"/>
  <c r="P637" i="1"/>
  <c r="N1553" i="1"/>
  <c r="Q1595" i="1"/>
  <c r="Q209" i="1"/>
  <c r="J209" i="1"/>
  <c r="K210" i="1"/>
  <c r="M60" i="1"/>
  <c r="A60" i="1"/>
  <c r="Q52" i="1"/>
  <c r="O44" i="1"/>
  <c r="N36" i="1"/>
  <c r="B36" i="1"/>
  <c r="L28" i="1"/>
  <c r="M20" i="1"/>
  <c r="M634" i="1"/>
  <c r="J360" i="1"/>
  <c r="K1664" i="1"/>
  <c r="K1918" i="1"/>
  <c r="M258" i="1"/>
  <c r="Q1916" i="1"/>
  <c r="M1825" i="1"/>
  <c r="B1825" i="1"/>
  <c r="K1580" i="1"/>
  <c r="M247" i="1"/>
  <c r="R206" i="1"/>
  <c r="O31" i="1"/>
  <c r="K15" i="1"/>
  <c r="Q474" i="1"/>
  <c r="P366" i="1"/>
  <c r="N450" i="1"/>
  <c r="R1871" i="1"/>
  <c r="B1871" i="1"/>
  <c r="N357" i="1"/>
  <c r="J1572" i="1"/>
  <c r="A1572" i="1"/>
  <c r="J1854" i="1"/>
  <c r="K47" i="1"/>
  <c r="L365" i="1"/>
  <c r="B365" i="1"/>
  <c r="M231" i="1"/>
  <c r="K1582" i="1"/>
  <c r="B1663" i="1"/>
  <c r="O1663" i="1"/>
  <c r="A155" i="1"/>
  <c r="O155" i="1"/>
  <c r="K247" i="1"/>
  <c r="A1656" i="1"/>
  <c r="M1656" i="1"/>
  <c r="L244" i="1"/>
  <c r="O244" i="1"/>
  <c r="K1862" i="1"/>
  <c r="R1862" i="1"/>
  <c r="A31" i="1"/>
  <c r="Q31" i="1"/>
  <c r="P687" i="1"/>
  <c r="Q687" i="1"/>
  <c r="P681" i="1"/>
  <c r="Q681" i="1"/>
  <c r="K218" i="1"/>
  <c r="O313" i="1"/>
  <c r="B313" i="1"/>
  <c r="R304" i="1"/>
  <c r="P1545" i="1"/>
  <c r="Q1545" i="1"/>
  <c r="R1648" i="1"/>
  <c r="M1640" i="1"/>
  <c r="A1640" i="1"/>
  <c r="L369" i="1"/>
  <c r="P638" i="1"/>
  <c r="B638" i="1"/>
  <c r="P652" i="1"/>
  <c r="K658" i="1"/>
  <c r="M658" i="1"/>
  <c r="P664" i="1"/>
  <c r="R670" i="1"/>
  <c r="A670" i="1"/>
  <c r="J684" i="1"/>
  <c r="K690" i="1"/>
  <c r="B690" i="1"/>
  <c r="M637" i="1"/>
  <c r="P1553" i="1"/>
  <c r="J1553" i="1"/>
  <c r="O1595" i="1"/>
  <c r="O209" i="1"/>
  <c r="A209" i="1"/>
  <c r="J210" i="1"/>
  <c r="K60" i="1"/>
  <c r="M52" i="1"/>
  <c r="B52" i="1"/>
  <c r="J44" i="1"/>
  <c r="O36" i="1"/>
  <c r="Q28" i="1"/>
  <c r="N28" i="1"/>
  <c r="J20" i="1"/>
  <c r="K634" i="1"/>
  <c r="P360" i="1"/>
  <c r="B360" i="1"/>
  <c r="B244" i="1"/>
  <c r="Q1664" i="1"/>
  <c r="R1656" i="1"/>
  <c r="J1918" i="1"/>
  <c r="P1862" i="1"/>
  <c r="K258" i="1"/>
  <c r="N1916" i="1"/>
  <c r="R1825" i="1"/>
  <c r="J1580" i="1"/>
  <c r="A1580" i="1"/>
  <c r="Q247" i="1"/>
  <c r="R681" i="1"/>
  <c r="Q206" i="1"/>
  <c r="J31" i="1"/>
  <c r="Q15" i="1"/>
  <c r="A15" i="1"/>
  <c r="O474" i="1"/>
  <c r="N366" i="1"/>
  <c r="M450" i="1"/>
  <c r="Q1871" i="1"/>
  <c r="K357" i="1"/>
  <c r="A357" i="1"/>
  <c r="P1572" i="1"/>
  <c r="Q1854" i="1"/>
  <c r="A1854" i="1"/>
  <c r="J687" i="1"/>
  <c r="O47" i="1"/>
  <c r="R365" i="1"/>
  <c r="K231" i="1"/>
  <c r="B231" i="1"/>
  <c r="J1582" i="1"/>
  <c r="J153" i="1"/>
  <c r="Q153" i="1"/>
  <c r="N313" i="1"/>
  <c r="O1545" i="1"/>
  <c r="N638" i="1"/>
  <c r="L658" i="1"/>
  <c r="L690" i="1"/>
  <c r="O1553" i="1"/>
  <c r="P210" i="1"/>
  <c r="L52" i="1"/>
  <c r="R28" i="1"/>
  <c r="N153" i="1"/>
  <c r="O258" i="1"/>
  <c r="M1916" i="1"/>
  <c r="J1825" i="1"/>
  <c r="Q1580" i="1"/>
  <c r="J247" i="1"/>
  <c r="B247" i="1"/>
  <c r="J681" i="1"/>
  <c r="O206" i="1"/>
  <c r="P31" i="1"/>
  <c r="R15" i="1"/>
  <c r="N474" i="1"/>
  <c r="A474" i="1"/>
  <c r="M366" i="1"/>
  <c r="L450" i="1"/>
  <c r="O1871" i="1"/>
  <c r="R357" i="1"/>
  <c r="O1572" i="1"/>
  <c r="O1854" i="1"/>
  <c r="B687" i="1"/>
  <c r="N47" i="1"/>
  <c r="R155" i="1"/>
  <c r="J365" i="1"/>
  <c r="R231" i="1"/>
  <c r="A231" i="1"/>
  <c r="Q1582" i="1"/>
  <c r="Q1633" i="1"/>
  <c r="L1638" i="1"/>
  <c r="Q1630" i="1"/>
  <c r="A1630" i="1"/>
  <c r="B1636" i="1"/>
  <c r="P1632" i="1"/>
  <c r="O1632" i="1"/>
  <c r="Q1632" i="1"/>
  <c r="M166" i="1"/>
  <c r="M171" i="1"/>
  <c r="R169" i="1"/>
  <c r="L164" i="1"/>
  <c r="N164" i="1"/>
  <c r="R172" i="1"/>
  <c r="K172" i="1"/>
  <c r="A393" i="1"/>
  <c r="M585" i="1"/>
  <c r="O586" i="1"/>
  <c r="M602" i="1"/>
  <c r="Q626" i="1"/>
  <c r="Q1628" i="1"/>
  <c r="A1628" i="1"/>
  <c r="J1628" i="1"/>
  <c r="R1631" i="1"/>
  <c r="K1631" i="1"/>
  <c r="K165" i="1"/>
  <c r="M165" i="1"/>
  <c r="Q165" i="1"/>
  <c r="A173" i="1"/>
  <c r="P173" i="1"/>
  <c r="B173" i="1"/>
  <c r="R173" i="1"/>
  <c r="B392" i="1"/>
  <c r="A384" i="1"/>
  <c r="R586" i="1"/>
  <c r="A1638" i="1"/>
  <c r="O1638" i="1"/>
  <c r="B1638" i="1"/>
  <c r="P1638" i="1"/>
  <c r="K1630" i="1"/>
  <c r="L1630" i="1"/>
  <c r="A166" i="1"/>
  <c r="R166" i="1"/>
  <c r="K166" i="1"/>
  <c r="J166" i="1"/>
  <c r="L626" i="1"/>
  <c r="M626" i="1"/>
  <c r="J626" i="1"/>
  <c r="B626" i="1"/>
  <c r="O626" i="1"/>
  <c r="P626" i="1"/>
  <c r="R626" i="1"/>
  <c r="K626" i="1"/>
  <c r="A618" i="1"/>
  <c r="O618" i="1"/>
  <c r="P618" i="1"/>
  <c r="Q618" i="1"/>
  <c r="R618" i="1"/>
  <c r="K618" i="1"/>
  <c r="M618" i="1"/>
  <c r="B618" i="1"/>
  <c r="N618" i="1"/>
  <c r="K610" i="1"/>
  <c r="L610" i="1"/>
  <c r="A610" i="1"/>
  <c r="N610" i="1"/>
  <c r="P610" i="1"/>
  <c r="O610" i="1"/>
  <c r="J610" i="1"/>
  <c r="R610" i="1"/>
  <c r="Q602" i="1"/>
  <c r="J602" i="1"/>
  <c r="K602" i="1"/>
  <c r="L602" i="1"/>
  <c r="A602" i="1"/>
  <c r="N602" i="1"/>
  <c r="P602" i="1"/>
  <c r="O602" i="1"/>
  <c r="B594" i="1"/>
  <c r="M594" i="1"/>
  <c r="A594" i="1"/>
  <c r="N594" i="1"/>
  <c r="Q594" i="1"/>
  <c r="J594" i="1"/>
  <c r="K594" i="1"/>
  <c r="L594" i="1"/>
  <c r="P1631" i="1"/>
  <c r="A1631" i="1"/>
  <c r="B1628" i="1"/>
  <c r="A1632" i="1"/>
  <c r="J1638" i="1"/>
  <c r="N1630" i="1"/>
  <c r="K1637" i="1"/>
  <c r="R1637" i="1"/>
  <c r="L1637" i="1"/>
  <c r="B1629" i="1"/>
  <c r="J1629" i="1"/>
  <c r="K1629" i="1"/>
  <c r="R1629" i="1"/>
  <c r="Q172" i="1"/>
  <c r="A172" i="1"/>
  <c r="B164" i="1"/>
  <c r="B166" i="1"/>
  <c r="L165" i="1"/>
  <c r="M610" i="1"/>
  <c r="M1630" i="1"/>
  <c r="Q1636" i="1"/>
  <c r="A1636" i="1"/>
  <c r="J1636" i="1"/>
  <c r="B586" i="1"/>
  <c r="M586" i="1"/>
  <c r="A586" i="1"/>
  <c r="N586" i="1"/>
  <c r="Q586" i="1"/>
  <c r="K586" i="1"/>
  <c r="L586" i="1"/>
  <c r="Q610" i="1"/>
  <c r="Q1638" i="1"/>
  <c r="R1630" i="1"/>
  <c r="Q166" i="1"/>
  <c r="K169" i="1"/>
  <c r="A169" i="1"/>
  <c r="L169" i="1"/>
  <c r="R578" i="1"/>
  <c r="K578" i="1"/>
  <c r="B578" i="1"/>
  <c r="M578" i="1"/>
  <c r="Q578" i="1"/>
  <c r="J578" i="1"/>
  <c r="Q585" i="1"/>
  <c r="P585" i="1"/>
  <c r="J585" i="1"/>
  <c r="K585" i="1"/>
  <c r="A585" i="1"/>
  <c r="N585" i="1"/>
  <c r="B585" i="1"/>
  <c r="O585" i="1"/>
  <c r="O594" i="1"/>
  <c r="B610" i="1"/>
  <c r="Q623" i="1"/>
  <c r="A623" i="1"/>
  <c r="J623" i="1"/>
  <c r="K623" i="1"/>
  <c r="R623" i="1"/>
  <c r="M623" i="1"/>
  <c r="O623" i="1"/>
  <c r="P623" i="1"/>
  <c r="M615" i="1"/>
  <c r="N615" i="1"/>
  <c r="P615" i="1"/>
  <c r="A615" i="1"/>
  <c r="Q615" i="1"/>
  <c r="K615" i="1"/>
  <c r="R615" i="1"/>
  <c r="L615" i="1"/>
  <c r="B607" i="1"/>
  <c r="J607" i="1"/>
  <c r="K607" i="1"/>
  <c r="R607" i="1"/>
  <c r="M607" i="1"/>
  <c r="N607" i="1"/>
  <c r="P607" i="1"/>
  <c r="A607" i="1"/>
  <c r="Q607" i="1"/>
  <c r="O599" i="1"/>
  <c r="P599" i="1"/>
  <c r="B599" i="1"/>
  <c r="J599" i="1"/>
  <c r="K599" i="1"/>
  <c r="R599" i="1"/>
  <c r="M599" i="1"/>
  <c r="N599" i="1"/>
  <c r="N1638" i="1"/>
  <c r="J1630" i="1"/>
  <c r="O166" i="1"/>
  <c r="A387" i="1"/>
  <c r="B387" i="1"/>
  <c r="R594" i="1"/>
  <c r="L618" i="1"/>
  <c r="M1638" i="1"/>
  <c r="B1630" i="1"/>
  <c r="J1633" i="1"/>
  <c r="R1633" i="1"/>
  <c r="N166" i="1"/>
  <c r="J171" i="1"/>
  <c r="L171" i="1"/>
  <c r="N378" i="1"/>
  <c r="O378" i="1"/>
  <c r="B378" i="1"/>
  <c r="K378" i="1"/>
  <c r="M378" i="1"/>
  <c r="L378" i="1"/>
  <c r="B386" i="1"/>
  <c r="A386" i="1"/>
  <c r="A578" i="1"/>
  <c r="A591" i="1"/>
  <c r="Q591" i="1"/>
  <c r="B591" i="1"/>
  <c r="J591" i="1"/>
  <c r="L591" i="1"/>
  <c r="O591" i="1"/>
  <c r="P591" i="1"/>
  <c r="N583" i="1"/>
  <c r="O583" i="1"/>
  <c r="A583" i="1"/>
  <c r="Q583" i="1"/>
  <c r="L583" i="1"/>
  <c r="M583" i="1"/>
  <c r="A599" i="1"/>
  <c r="B623" i="1"/>
  <c r="P594" i="1"/>
  <c r="J618" i="1"/>
  <c r="R584" i="1"/>
  <c r="M592" i="1"/>
  <c r="L609" i="1"/>
  <c r="K593" i="1"/>
  <c r="K625" i="1"/>
  <c r="A625" i="1"/>
  <c r="R600" i="1"/>
  <c r="M608" i="1"/>
  <c r="P616" i="1"/>
  <c r="B616" i="1"/>
  <c r="L624" i="1"/>
  <c r="L601" i="1"/>
  <c r="J617" i="1"/>
  <c r="B617" i="1"/>
  <c r="Q584" i="1"/>
  <c r="J584" i="1"/>
  <c r="L592" i="1"/>
  <c r="K609" i="1"/>
  <c r="R593" i="1"/>
  <c r="J625" i="1"/>
  <c r="Q600" i="1"/>
  <c r="J600" i="1"/>
  <c r="L608" i="1"/>
  <c r="O616" i="1"/>
  <c r="A616" i="1"/>
  <c r="R624" i="1"/>
  <c r="K601" i="1"/>
  <c r="R617" i="1"/>
  <c r="A617" i="1"/>
  <c r="A1514" i="1"/>
  <c r="Q1514" i="1"/>
  <c r="K1490" i="1"/>
  <c r="R1490" i="1"/>
  <c r="B1474" i="1"/>
  <c r="R1474" i="1"/>
  <c r="A1450" i="1"/>
  <c r="P1450" i="1"/>
  <c r="Q1442" i="1"/>
  <c r="M1442" i="1"/>
  <c r="A1410" i="1"/>
  <c r="L1410" i="1"/>
  <c r="O593" i="1"/>
  <c r="B593" i="1"/>
  <c r="M625" i="1"/>
  <c r="P601" i="1"/>
  <c r="Q601" i="1"/>
  <c r="M617" i="1"/>
  <c r="P170" i="1"/>
  <c r="A170" i="1"/>
  <c r="L584" i="1"/>
  <c r="O592" i="1"/>
  <c r="A592" i="1"/>
  <c r="Q579" i="1"/>
  <c r="N609" i="1"/>
  <c r="A609" i="1"/>
  <c r="M593" i="1"/>
  <c r="R625" i="1"/>
  <c r="Q625" i="1"/>
  <c r="L600" i="1"/>
  <c r="O608" i="1"/>
  <c r="A608" i="1"/>
  <c r="R616" i="1"/>
  <c r="N624" i="1"/>
  <c r="N601" i="1"/>
  <c r="A601" i="1"/>
  <c r="K617" i="1"/>
  <c r="L167" i="1"/>
  <c r="N170" i="1"/>
  <c r="L580" i="1"/>
  <c r="K590" i="1"/>
  <c r="R582" i="1"/>
  <c r="N603" i="1"/>
  <c r="M619" i="1"/>
  <c r="L612" i="1"/>
  <c r="K598" i="1"/>
  <c r="J614" i="1"/>
  <c r="P625" i="1"/>
  <c r="Q616" i="1"/>
  <c r="P617" i="1"/>
  <c r="A829" i="1"/>
  <c r="K829" i="1"/>
  <c r="N829" i="1"/>
  <c r="L829" i="1"/>
  <c r="Q829" i="1"/>
  <c r="N815" i="1"/>
  <c r="L815" i="1"/>
  <c r="P815" i="1"/>
  <c r="R815" i="1"/>
  <c r="R809" i="1"/>
  <c r="B809" i="1"/>
  <c r="M809" i="1"/>
  <c r="P809" i="1"/>
  <c r="P803" i="1"/>
  <c r="J803" i="1"/>
  <c r="B803" i="1"/>
  <c r="M803" i="1"/>
  <c r="B797" i="1"/>
  <c r="M797" i="1"/>
  <c r="O797" i="1"/>
  <c r="J797" i="1"/>
  <c r="O783" i="1"/>
  <c r="Q783" i="1"/>
  <c r="A783" i="1"/>
  <c r="K783" i="1"/>
  <c r="A777" i="1"/>
  <c r="K777" i="1"/>
  <c r="N777" i="1"/>
  <c r="L777" i="1"/>
  <c r="Q777" i="1"/>
  <c r="Q771" i="1"/>
  <c r="R771" i="1"/>
  <c r="N771" i="1"/>
  <c r="L771" i="1"/>
  <c r="N765" i="1"/>
  <c r="L765" i="1"/>
  <c r="P765" i="1"/>
  <c r="R765" i="1"/>
  <c r="R751" i="1"/>
  <c r="Q751" i="1"/>
  <c r="B751" i="1"/>
  <c r="O751" i="1"/>
  <c r="J745" i="1"/>
  <c r="M745" i="1"/>
  <c r="A739" i="1"/>
  <c r="Q739" i="1"/>
  <c r="J739" i="1"/>
  <c r="K733" i="1"/>
  <c r="A733" i="1"/>
  <c r="M733" i="1"/>
  <c r="O719" i="1"/>
  <c r="P719" i="1"/>
  <c r="Q719" i="1"/>
  <c r="R713" i="1"/>
  <c r="O713" i="1"/>
  <c r="B707" i="1"/>
  <c r="N707" i="1"/>
  <c r="R707" i="1"/>
  <c r="L701" i="1"/>
  <c r="B701" i="1"/>
  <c r="Q701" i="1"/>
  <c r="A1540" i="1"/>
  <c r="K1540" i="1"/>
  <c r="L1540" i="1"/>
  <c r="O1540" i="1"/>
  <c r="R1540" i="1"/>
  <c r="N1844" i="1"/>
  <c r="J1844" i="1"/>
  <c r="A1844" i="1"/>
  <c r="R1844" i="1"/>
  <c r="B1844" i="1"/>
  <c r="M1844" i="1"/>
  <c r="K1836" i="1"/>
  <c r="P1836" i="1"/>
  <c r="Q1836" i="1"/>
  <c r="R1836" i="1"/>
  <c r="L1836" i="1"/>
  <c r="B1910" i="1"/>
  <c r="M1910" i="1"/>
  <c r="N1910" i="1"/>
  <c r="P1910" i="1"/>
  <c r="R1910" i="1"/>
  <c r="A1902" i="1"/>
  <c r="O1902" i="1"/>
  <c r="M1902" i="1"/>
  <c r="N1902" i="1"/>
  <c r="P1902" i="1"/>
  <c r="R1902" i="1"/>
  <c r="A576" i="1"/>
  <c r="O576" i="1"/>
  <c r="P576" i="1"/>
  <c r="B576" i="1"/>
  <c r="Q576" i="1"/>
  <c r="J576" i="1"/>
  <c r="L576" i="1"/>
  <c r="L568" i="1"/>
  <c r="N568" i="1"/>
  <c r="O568" i="1"/>
  <c r="A568" i="1"/>
  <c r="P568" i="1"/>
  <c r="R568" i="1"/>
  <c r="J560" i="1"/>
  <c r="Q560" i="1"/>
  <c r="L560" i="1"/>
  <c r="M560" i="1"/>
  <c r="N560" i="1"/>
  <c r="B560" i="1"/>
  <c r="A701" i="1"/>
  <c r="A707" i="1"/>
  <c r="B713" i="1"/>
  <c r="B719" i="1"/>
  <c r="P733" i="1"/>
  <c r="P739" i="1"/>
  <c r="P745" i="1"/>
  <c r="P751" i="1"/>
  <c r="M771" i="1"/>
  <c r="R777" i="1"/>
  <c r="J783" i="1"/>
  <c r="N797" i="1"/>
  <c r="A803" i="1"/>
  <c r="M815" i="1"/>
  <c r="J829" i="1"/>
  <c r="P1844" i="1"/>
  <c r="B1902" i="1"/>
  <c r="A1836" i="1"/>
  <c r="R1843" i="1"/>
  <c r="Q1843" i="1"/>
  <c r="K1843" i="1"/>
  <c r="M1843" i="1"/>
  <c r="R1835" i="1"/>
  <c r="K1835" i="1"/>
  <c r="B1835" i="1"/>
  <c r="N1835" i="1"/>
  <c r="N1909" i="1"/>
  <c r="P1909" i="1"/>
  <c r="A1909" i="1"/>
  <c r="Q1909" i="1"/>
  <c r="B1909" i="1"/>
  <c r="L1909" i="1"/>
  <c r="L1901" i="1"/>
  <c r="P1901" i="1"/>
  <c r="Q1901" i="1"/>
  <c r="A1901" i="1"/>
  <c r="K1901" i="1"/>
  <c r="P560" i="1"/>
  <c r="J568" i="1"/>
  <c r="P575" i="1"/>
  <c r="L575" i="1"/>
  <c r="M575" i="1"/>
  <c r="N575" i="1"/>
  <c r="A575" i="1"/>
  <c r="J575" i="1"/>
  <c r="M567" i="1"/>
  <c r="A567" i="1"/>
  <c r="R567" i="1"/>
  <c r="K567" i="1"/>
  <c r="L567" i="1"/>
  <c r="P567" i="1"/>
  <c r="B559" i="1"/>
  <c r="J559" i="1"/>
  <c r="Q559" i="1"/>
  <c r="A559" i="1"/>
  <c r="R559" i="1"/>
  <c r="K559" i="1"/>
  <c r="N559" i="1"/>
  <c r="R1439" i="1"/>
  <c r="L1487" i="1"/>
  <c r="B1487" i="1"/>
  <c r="L1406" i="1"/>
  <c r="O1414" i="1"/>
  <c r="K1414" i="1"/>
  <c r="K1422" i="1"/>
  <c r="N1430" i="1"/>
  <c r="B1430" i="1"/>
  <c r="O1438" i="1"/>
  <c r="J1446" i="1"/>
  <c r="N1454" i="1"/>
  <c r="A1454" i="1"/>
  <c r="P1462" i="1"/>
  <c r="J1470" i="1"/>
  <c r="N1478" i="1"/>
  <c r="M1478" i="1"/>
  <c r="J1486" i="1"/>
  <c r="L1494" i="1"/>
  <c r="B1494" i="1"/>
  <c r="P1502" i="1"/>
  <c r="R1510" i="1"/>
  <c r="M1518" i="1"/>
  <c r="B1518" i="1"/>
  <c r="Q1526" i="1"/>
  <c r="K1534" i="1"/>
  <c r="L1407" i="1"/>
  <c r="Q1431" i="1"/>
  <c r="P1463" i="1"/>
  <c r="L1463" i="1"/>
  <c r="R1479" i="1"/>
  <c r="K1495" i="1"/>
  <c r="A1495" i="1"/>
  <c r="O1519" i="1"/>
  <c r="Q1447" i="1"/>
  <c r="M1527" i="1"/>
  <c r="N1527" i="1"/>
  <c r="N701" i="1"/>
  <c r="Q707" i="1"/>
  <c r="M713" i="1"/>
  <c r="A713" i="1"/>
  <c r="A719" i="1"/>
  <c r="B733" i="1"/>
  <c r="B739" i="1"/>
  <c r="B745" i="1"/>
  <c r="A751" i="1"/>
  <c r="M765" i="1"/>
  <c r="K771" i="1"/>
  <c r="J777" i="1"/>
  <c r="P783" i="1"/>
  <c r="A797" i="1"/>
  <c r="L809" i="1"/>
  <c r="K815" i="1"/>
  <c r="P829" i="1"/>
  <c r="Q1540" i="1"/>
  <c r="L1844" i="1"/>
  <c r="O1909" i="1"/>
  <c r="P1843" i="1"/>
  <c r="L1910" i="1"/>
  <c r="N567" i="1"/>
  <c r="O560" i="1"/>
  <c r="B568" i="1"/>
  <c r="Q572" i="1"/>
  <c r="O701" i="1"/>
  <c r="O707" i="1"/>
  <c r="Q713" i="1"/>
  <c r="N719" i="1"/>
  <c r="Q733" i="1"/>
  <c r="M739" i="1"/>
  <c r="L745" i="1"/>
  <c r="A745" i="1"/>
  <c r="K765" i="1"/>
  <c r="J771" i="1"/>
  <c r="P777" i="1"/>
  <c r="N783" i="1"/>
  <c r="L803" i="1"/>
  <c r="K809" i="1"/>
  <c r="J815" i="1"/>
  <c r="O829" i="1"/>
  <c r="M1540" i="1"/>
  <c r="K1844" i="1"/>
  <c r="M1909" i="1"/>
  <c r="N1843" i="1"/>
  <c r="K1910" i="1"/>
  <c r="P559" i="1"/>
  <c r="B567" i="1"/>
  <c r="K560" i="1"/>
  <c r="N576" i="1"/>
  <c r="Q573" i="1"/>
  <c r="O573" i="1"/>
  <c r="P573" i="1"/>
  <c r="J573" i="1"/>
  <c r="A573" i="1"/>
  <c r="L573" i="1"/>
  <c r="N565" i="1"/>
  <c r="M565" i="1"/>
  <c r="O565" i="1"/>
  <c r="P565" i="1"/>
  <c r="R565" i="1"/>
  <c r="B557" i="1"/>
  <c r="R557" i="1"/>
  <c r="A557" i="1"/>
  <c r="L557" i="1"/>
  <c r="M557" i="1"/>
  <c r="N557" i="1"/>
  <c r="Q557" i="1"/>
  <c r="N1407" i="1"/>
  <c r="J1407" i="1"/>
  <c r="J1431" i="1"/>
  <c r="K1463" i="1"/>
  <c r="A1463" i="1"/>
  <c r="O1479" i="1"/>
  <c r="J1495" i="1"/>
  <c r="L1519" i="1"/>
  <c r="B1519" i="1"/>
  <c r="J1447" i="1"/>
  <c r="K1527" i="1"/>
  <c r="A1527" i="1"/>
  <c r="M701" i="1"/>
  <c r="M707" i="1"/>
  <c r="N713" i="1"/>
  <c r="M719" i="1"/>
  <c r="N733" i="1"/>
  <c r="N739" i="1"/>
  <c r="Q745" i="1"/>
  <c r="N751" i="1"/>
  <c r="J765" i="1"/>
  <c r="P771" i="1"/>
  <c r="O777" i="1"/>
  <c r="B783" i="1"/>
  <c r="L797" i="1"/>
  <c r="K803" i="1"/>
  <c r="J809" i="1"/>
  <c r="Q815" i="1"/>
  <c r="B829" i="1"/>
  <c r="J1540" i="1"/>
  <c r="K1909" i="1"/>
  <c r="L1843" i="1"/>
  <c r="Q1910" i="1"/>
  <c r="R560" i="1"/>
  <c r="M576" i="1"/>
  <c r="A572" i="1"/>
  <c r="K572" i="1"/>
  <c r="L572" i="1"/>
  <c r="N572" i="1"/>
  <c r="O572" i="1"/>
  <c r="P572" i="1"/>
  <c r="R572" i="1"/>
  <c r="Q564" i="1"/>
  <c r="R564" i="1"/>
  <c r="B564" i="1"/>
  <c r="N564" i="1"/>
  <c r="O564" i="1"/>
  <c r="K564" i="1"/>
  <c r="N556" i="1"/>
  <c r="M556" i="1"/>
  <c r="Q556" i="1"/>
  <c r="A556" i="1"/>
  <c r="B556" i="1"/>
  <c r="O556" i="1"/>
  <c r="R556" i="1"/>
  <c r="O1835" i="1"/>
  <c r="N1439" i="1"/>
  <c r="J1487" i="1"/>
  <c r="Q1406" i="1"/>
  <c r="P1414" i="1"/>
  <c r="Q1422" i="1"/>
  <c r="M1422" i="1"/>
  <c r="K1430" i="1"/>
  <c r="L1438" i="1"/>
  <c r="B1438" i="1"/>
  <c r="O1446" i="1"/>
  <c r="R1454" i="1"/>
  <c r="Q1462" i="1"/>
  <c r="A1462" i="1"/>
  <c r="P1470" i="1"/>
  <c r="J1478" i="1"/>
  <c r="N1486" i="1"/>
  <c r="O1486" i="1"/>
  <c r="J1494" i="1"/>
  <c r="L1502" i="1"/>
  <c r="A1502" i="1"/>
  <c r="P1510" i="1"/>
  <c r="R1518" i="1"/>
  <c r="M1526" i="1"/>
  <c r="B1526" i="1"/>
  <c r="Q1534" i="1"/>
  <c r="Q1407" i="1"/>
  <c r="B1407" i="1"/>
  <c r="O1431" i="1"/>
  <c r="Q1463" i="1"/>
  <c r="P1479" i="1"/>
  <c r="L1479" i="1"/>
  <c r="Q1495" i="1"/>
  <c r="K1519" i="1"/>
  <c r="A1519" i="1"/>
  <c r="O1447" i="1"/>
  <c r="R1527" i="1"/>
  <c r="K701" i="1"/>
  <c r="L707" i="1"/>
  <c r="L713" i="1"/>
  <c r="L719" i="1"/>
  <c r="O733" i="1"/>
  <c r="O739" i="1"/>
  <c r="O745" i="1"/>
  <c r="M751" i="1"/>
  <c r="Q765" i="1"/>
  <c r="O771" i="1"/>
  <c r="B777" i="1"/>
  <c r="K797" i="1"/>
  <c r="R803" i="1"/>
  <c r="Q809" i="1"/>
  <c r="O815" i="1"/>
  <c r="P1540" i="1"/>
  <c r="R1909" i="1"/>
  <c r="B1843" i="1"/>
  <c r="A1910" i="1"/>
  <c r="B1847" i="1"/>
  <c r="O1847" i="1"/>
  <c r="K1847" i="1"/>
  <c r="M1847" i="1"/>
  <c r="P1847" i="1"/>
  <c r="N1839" i="1"/>
  <c r="K1839" i="1"/>
  <c r="M1839" i="1"/>
  <c r="P1839" i="1"/>
  <c r="K1913" i="1"/>
  <c r="Q1913" i="1"/>
  <c r="L1913" i="1"/>
  <c r="N1913" i="1"/>
  <c r="R1905" i="1"/>
  <c r="Q1905" i="1"/>
  <c r="L1905" i="1"/>
  <c r="B1905" i="1"/>
  <c r="Q1897" i="1"/>
  <c r="J1897" i="1"/>
  <c r="K1897" i="1"/>
  <c r="B1897" i="1"/>
  <c r="M559" i="1"/>
  <c r="Q575" i="1"/>
  <c r="A560" i="1"/>
  <c r="K576" i="1"/>
  <c r="K565" i="1"/>
  <c r="M573" i="1"/>
  <c r="J564" i="1"/>
  <c r="Q1439" i="1"/>
  <c r="L1439" i="1"/>
  <c r="Q1487" i="1"/>
  <c r="M1406" i="1"/>
  <c r="Q1414" i="1"/>
  <c r="N1422" i="1"/>
  <c r="A1422" i="1"/>
  <c r="P1430" i="1"/>
  <c r="J1438" i="1"/>
  <c r="R1446" i="1"/>
  <c r="M1446" i="1"/>
  <c r="K1454" i="1"/>
  <c r="N1462" i="1"/>
  <c r="B1462" i="1"/>
  <c r="O1470" i="1"/>
  <c r="R1478" i="1"/>
  <c r="M1486" i="1"/>
  <c r="A1486" i="1"/>
  <c r="Q1494" i="1"/>
  <c r="K1502" i="1"/>
  <c r="N1510" i="1"/>
  <c r="O1510" i="1"/>
  <c r="J1518" i="1"/>
  <c r="L1526" i="1"/>
  <c r="A1526" i="1"/>
  <c r="P1534" i="1"/>
  <c r="O1407" i="1"/>
  <c r="A1407" i="1"/>
  <c r="N1431" i="1"/>
  <c r="R1463" i="1"/>
  <c r="N1479" i="1"/>
  <c r="B1479" i="1"/>
  <c r="P1495" i="1"/>
  <c r="R1519" i="1"/>
  <c r="N1447" i="1"/>
  <c r="J1527" i="1"/>
  <c r="R701" i="1"/>
  <c r="K707" i="1"/>
  <c r="K713" i="1"/>
  <c r="K719" i="1"/>
  <c r="L733" i="1"/>
  <c r="L739" i="1"/>
  <c r="N745" i="1"/>
  <c r="L751" i="1"/>
  <c r="O765" i="1"/>
  <c r="B771" i="1"/>
  <c r="L783" i="1"/>
  <c r="R797" i="1"/>
  <c r="Q803" i="1"/>
  <c r="O809" i="1"/>
  <c r="B815" i="1"/>
  <c r="P823" i="1"/>
  <c r="Q823" i="1"/>
  <c r="A823" i="1"/>
  <c r="J823" i="1"/>
  <c r="M823" i="1"/>
  <c r="M817" i="1"/>
  <c r="O817" i="1"/>
  <c r="Q817" i="1"/>
  <c r="B817" i="1"/>
  <c r="R817" i="1"/>
  <c r="A811" i="1"/>
  <c r="K811" i="1"/>
  <c r="M811" i="1"/>
  <c r="O811" i="1"/>
  <c r="J811" i="1"/>
  <c r="O805" i="1"/>
  <c r="B805" i="1"/>
  <c r="R805" i="1"/>
  <c r="M805" i="1"/>
  <c r="Q805" i="1"/>
  <c r="Q791" i="1"/>
  <c r="P791" i="1"/>
  <c r="A791" i="1"/>
  <c r="J791" i="1"/>
  <c r="M791" i="1"/>
  <c r="N785" i="1"/>
  <c r="O785" i="1"/>
  <c r="Q785" i="1"/>
  <c r="B785" i="1"/>
  <c r="R785" i="1"/>
  <c r="B779" i="1"/>
  <c r="R779" i="1"/>
  <c r="M779" i="1"/>
  <c r="O779" i="1"/>
  <c r="K779" i="1"/>
  <c r="P773" i="1"/>
  <c r="B773" i="1"/>
  <c r="R773" i="1"/>
  <c r="M773" i="1"/>
  <c r="Q773" i="1"/>
  <c r="A759" i="1"/>
  <c r="K759" i="1"/>
  <c r="P759" i="1"/>
  <c r="J759" i="1"/>
  <c r="M759" i="1"/>
  <c r="L753" i="1"/>
  <c r="Q753" i="1"/>
  <c r="O753" i="1"/>
  <c r="B753" i="1"/>
  <c r="J753" i="1"/>
  <c r="N747" i="1"/>
  <c r="P747" i="1"/>
  <c r="J747" i="1"/>
  <c r="M747" i="1"/>
  <c r="A741" i="1"/>
  <c r="O741" i="1"/>
  <c r="N741" i="1"/>
  <c r="K741" i="1"/>
  <c r="J741" i="1"/>
  <c r="N727" i="1"/>
  <c r="O727" i="1"/>
  <c r="Q727" i="1"/>
  <c r="M727" i="1"/>
  <c r="M721" i="1"/>
  <c r="B721" i="1"/>
  <c r="L721" i="1"/>
  <c r="Q721" i="1"/>
  <c r="Q715" i="1"/>
  <c r="R715" i="1"/>
  <c r="B715" i="1"/>
  <c r="O715" i="1"/>
  <c r="B709" i="1"/>
  <c r="L709" i="1"/>
  <c r="P709" i="1"/>
  <c r="R709" i="1"/>
  <c r="P695" i="1"/>
  <c r="J695" i="1"/>
  <c r="A695" i="1"/>
  <c r="M695" i="1"/>
  <c r="N1540" i="1"/>
  <c r="N1901" i="1"/>
  <c r="Q1835" i="1"/>
  <c r="L1902" i="1"/>
  <c r="N1836" i="1"/>
  <c r="N1846" i="1"/>
  <c r="P1846" i="1"/>
  <c r="B1846" i="1"/>
  <c r="K1846" i="1"/>
  <c r="R1838" i="1"/>
  <c r="N1838" i="1"/>
  <c r="P1838" i="1"/>
  <c r="B1838" i="1"/>
  <c r="K1838" i="1"/>
  <c r="A1912" i="1"/>
  <c r="N1912" i="1"/>
  <c r="P1912" i="1"/>
  <c r="R1912" i="1"/>
  <c r="M1912" i="1"/>
  <c r="L1904" i="1"/>
  <c r="N1904" i="1"/>
  <c r="A1904" i="1"/>
  <c r="B1904" i="1"/>
  <c r="R1904" i="1"/>
  <c r="L559" i="1"/>
  <c r="O575" i="1"/>
  <c r="Q568" i="1"/>
  <c r="R576" i="1"/>
  <c r="J565" i="1"/>
  <c r="B573" i="1"/>
  <c r="P564" i="1"/>
  <c r="M1415" i="1"/>
  <c r="L1503" i="1"/>
  <c r="P1423" i="1"/>
  <c r="L1404" i="1"/>
  <c r="K1428" i="1"/>
  <c r="N1444" i="1"/>
  <c r="N1468" i="1"/>
  <c r="P1492" i="1"/>
  <c r="N1508" i="1"/>
  <c r="O1532" i="1"/>
  <c r="M1445" i="1"/>
  <c r="N1509" i="1"/>
  <c r="O1493" i="1"/>
  <c r="P1439" i="1"/>
  <c r="O1472" i="1"/>
  <c r="R1406" i="1"/>
  <c r="L1422" i="1"/>
  <c r="Q1446" i="1"/>
  <c r="Q1470" i="1"/>
  <c r="L1486" i="1"/>
  <c r="M1510" i="1"/>
  <c r="N1534" i="1"/>
  <c r="P1431" i="1"/>
  <c r="M1479" i="1"/>
  <c r="P1400" i="1"/>
  <c r="P1447" i="1"/>
  <c r="J1440" i="1"/>
  <c r="J701" i="1"/>
  <c r="J707" i="1"/>
  <c r="J713" i="1"/>
  <c r="R719" i="1"/>
  <c r="R733" i="1"/>
  <c r="K739" i="1"/>
  <c r="K745" i="1"/>
  <c r="K751" i="1"/>
  <c r="B765" i="1"/>
  <c r="A771" i="1"/>
  <c r="M783" i="1"/>
  <c r="Q797" i="1"/>
  <c r="O803" i="1"/>
  <c r="N809" i="1"/>
  <c r="A815" i="1"/>
  <c r="M829" i="1"/>
  <c r="K695" i="1"/>
  <c r="Q709" i="1"/>
  <c r="N715" i="1"/>
  <c r="A721" i="1"/>
  <c r="M741" i="1"/>
  <c r="K747" i="1"/>
  <c r="N753" i="1"/>
  <c r="O773" i="1"/>
  <c r="L779" i="1"/>
  <c r="R791" i="1"/>
  <c r="L805" i="1"/>
  <c r="J817" i="1"/>
  <c r="O823" i="1"/>
  <c r="B1540" i="1"/>
  <c r="M1901" i="1"/>
  <c r="P1835" i="1"/>
  <c r="K1902" i="1"/>
  <c r="M1836" i="1"/>
  <c r="J567" i="1"/>
  <c r="K575" i="1"/>
  <c r="M568" i="1"/>
  <c r="Q565" i="1"/>
  <c r="L556" i="1"/>
  <c r="A564" i="1"/>
  <c r="A813" i="1"/>
  <c r="O813" i="1"/>
  <c r="R1899" i="1"/>
  <c r="R1907" i="1"/>
  <c r="L1833" i="1"/>
  <c r="K1841" i="1"/>
  <c r="P1842" i="1"/>
  <c r="M570" i="1"/>
  <c r="N555" i="1"/>
  <c r="A555" i="1"/>
  <c r="Q571" i="1"/>
  <c r="K554" i="1"/>
  <c r="R562" i="1"/>
  <c r="N1899" i="1"/>
  <c r="N1907" i="1"/>
  <c r="Q1833" i="1"/>
  <c r="N1841" i="1"/>
  <c r="A1900" i="1"/>
  <c r="J1900" i="1"/>
  <c r="R570" i="1"/>
  <c r="O563" i="1"/>
  <c r="N563" i="1"/>
  <c r="J1837" i="1"/>
  <c r="B562" i="1"/>
  <c r="N562" i="1"/>
  <c r="L562" i="1"/>
  <c r="L554" i="1"/>
  <c r="Q554" i="1"/>
  <c r="L1899" i="1"/>
  <c r="A1907" i="1"/>
  <c r="B1833" i="1"/>
  <c r="K1842" i="1"/>
  <c r="P570" i="1"/>
  <c r="O554" i="1"/>
  <c r="A554" i="1"/>
  <c r="O562" i="1"/>
  <c r="B19" i="10" a="1"/>
  <c r="B19" i="10" s="1"/>
  <c r="A1391" i="1"/>
  <c r="B1391" i="1"/>
  <c r="A1383" i="1"/>
  <c r="B1383" i="1"/>
  <c r="A1375" i="1"/>
  <c r="B1375" i="1"/>
  <c r="A1367" i="1"/>
  <c r="B1367" i="1"/>
  <c r="A1359" i="1"/>
  <c r="B1359" i="1"/>
  <c r="A1351" i="1"/>
  <c r="B1351" i="1"/>
  <c r="A1343" i="1"/>
  <c r="B1343" i="1"/>
  <c r="A1335" i="1"/>
  <c r="B1335" i="1"/>
  <c r="A1327" i="1"/>
  <c r="B1327" i="1"/>
  <c r="A1319" i="1"/>
  <c r="B1319" i="1"/>
  <c r="A1311" i="1"/>
  <c r="B1311" i="1"/>
  <c r="A1303" i="1"/>
  <c r="B1303" i="1"/>
  <c r="A1295" i="1"/>
  <c r="B1295" i="1"/>
  <c r="A1287" i="1"/>
  <c r="B1287" i="1"/>
  <c r="O1901" i="1"/>
  <c r="B1392" i="1"/>
  <c r="B1384" i="1"/>
  <c r="B1376" i="1"/>
  <c r="B1368" i="1"/>
  <c r="B1360" i="1"/>
  <c r="B1352" i="1"/>
  <c r="B1346" i="1"/>
  <c r="B1338" i="1"/>
  <c r="B1330" i="1"/>
  <c r="B1322" i="1"/>
  <c r="B1314" i="1"/>
  <c r="B1306" i="1"/>
  <c r="B1298" i="1"/>
  <c r="B1290" i="1"/>
  <c r="A1847" i="1"/>
  <c r="O1912" i="1"/>
  <c r="O1899" i="1"/>
  <c r="J1907" i="1"/>
  <c r="O1833" i="1"/>
  <c r="J1841" i="1"/>
  <c r="J1908" i="1"/>
  <c r="O1834" i="1"/>
  <c r="O1904" i="1"/>
  <c r="O1838" i="1"/>
  <c r="O1843" i="1"/>
  <c r="J1910" i="1"/>
  <c r="O1836" i="1"/>
  <c r="J1911" i="1"/>
  <c r="O1897" i="1"/>
  <c r="J1905" i="1"/>
  <c r="J1839" i="1"/>
  <c r="A1832" i="1"/>
  <c r="O1844" i="1"/>
  <c r="A1838" i="1"/>
  <c r="O1906" i="1"/>
  <c r="O1840" i="1"/>
  <c r="J1848" i="1"/>
  <c r="A1833" i="1"/>
  <c r="J1846" i="1"/>
  <c r="O1900" i="1"/>
  <c r="J1901" i="1"/>
  <c r="J1835" i="1"/>
  <c r="A1835" i="1"/>
  <c r="O1910" i="1"/>
  <c r="O1911" i="1"/>
  <c r="O1839" i="1"/>
  <c r="O1907" i="1"/>
  <c r="O1841" i="1"/>
  <c r="O1908" i="1"/>
  <c r="A1842" i="1"/>
  <c r="O1905" i="1"/>
  <c r="J1913" i="1"/>
  <c r="J1847" i="1"/>
  <c r="J1898" i="1"/>
  <c r="J1832" i="1"/>
  <c r="A1840" i="1"/>
  <c r="A1834" i="1"/>
  <c r="O1846" i="1"/>
  <c r="J1842" i="1"/>
  <c r="J1845" i="1"/>
  <c r="A1839" i="1"/>
  <c r="O1848" i="1"/>
  <c r="J1912" i="1"/>
  <c r="J1899" i="1"/>
  <c r="J1833" i="1"/>
  <c r="A1841" i="1"/>
  <c r="J1834" i="1"/>
  <c r="J1904" i="1"/>
  <c r="A1846" i="1"/>
  <c r="A1845" i="1"/>
  <c r="J1909" i="1"/>
  <c r="J1843" i="1"/>
  <c r="J1902" i="1"/>
  <c r="J1836"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0"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0"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6"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3"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85"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6"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7"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87"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1"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3"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4"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1"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06"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7"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8"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0"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1"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18"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<sst xmlns="http://schemas.openxmlformats.org/spreadsheetml/2006/main" count="18799" uniqueCount="3833">
  <si>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</si>
  <si>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</si>
  <si>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</si>
  <si>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</si>
  <si>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</si>
  <si>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</si>
  <si>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</si>
  <si>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</si>
  <si>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</si>
  <si>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</si>
  <si>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</si>
  <si>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</si>
  <si>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</si>
  <si>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</si>
  <si>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</si>
  <si>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</si>
  <si>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</si>
  <si>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</si>
  <si>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</si>
  <si>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</si>
  <si>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</si>
  <si>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</si>
  <si>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</si>
  <si>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</si>
  <si>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</si>
  <si>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</si>
  <si>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</si>
  <si>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</si>
  <si>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</si>
  <si>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</si>
  <si>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</si>
  <si>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</si>
  <si>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</si>
  <si>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</si>
  <si>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</si>
  <si>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</si>
  <si>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</si>
  <si>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</si>
  <si>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</si>
  <si>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</si>
  <si>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</si>
  <si>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</si>
  <si>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</si>
  <si>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</si>
  <si>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</si>
  <si>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</si>
  <si>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</si>
  <si>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</si>
  <si>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</si>
  <si>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</si>
  <si>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</si>
  <si>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</si>
  <si>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</si>
  <si>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</si>
  <si>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</si>
  <si>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</si>
  <si>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</si>
  <si>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</si>
  <si>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</si>
  <si>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</si>
  <si>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</si>
  <si>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</si>
  <si>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</si>
  <si>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</si>
  <si>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</si>
  <si>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</si>
  <si>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</si>
  <si>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</si>
  <si>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</si>
  <si>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</si>
  <si>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</si>
  <si>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</si>
  <si>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</si>
  <si>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</si>
  <si>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</si>
  <si>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</si>
  <si>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</si>
  <si>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</si>
  <si>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</si>
  <si>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</si>
  <si>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</si>
  <si>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</si>
  <si>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</si>
  <si>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</si>
  <si>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</si>
  <si>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</si>
  <si>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</si>
  <si>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</si>
  <si>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</si>
  <si>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</si>
  <si>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</si>
  <si>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</si>
  <si>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</si>
  <si>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</si>
  <si>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</si>
  <si>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</si>
  <si>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</si>
  <si>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</si>
  <si>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</si>
  <si>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</si>
  <si>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</si>
  <si>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</si>
  <si>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</si>
  <si>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</si>
  <si>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</si>
  <si>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</si>
  <si>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</si>
  <si>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</si>
  <si>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</si>
  <si>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</si>
  <si>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</si>
  <si>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</si>
  <si>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 increase in miles/gal</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</si>
  <si>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</si>
  <si>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</si>
  <si>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</si>
  <si>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</si>
  <si>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</si>
  <si>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</si>
  <si>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</si>
  <si>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</si>
  <si>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</si>
  <si>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</si>
  <si>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</si>
  <si>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</si>
  <si>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</si>
  <si>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</si>
  <si>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</si>
  <si>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</si>
  <si>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</si>
  <si>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</si>
  <si>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</si>
  <si>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</si>
  <si>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</si>
  <si>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</si>
  <si>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</si>
  <si>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</si>
  <si>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</si>
  <si>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</si>
  <si>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</si>
  <si>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</si>
  <si>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</si>
  <si>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</si>
  <si>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</si>
  <si>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</si>
  <si>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</si>
  <si>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</si>
  <si>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</si>
  <si>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</si>
  <si>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</si>
  <si>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</si>
  <si>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</si>
  <si>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</si>
  <si>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</si>
  <si>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</si>
  <si>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</si>
  <si>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</si>
  <si>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</si>
  <si>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</si>
  <si>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</si>
  <si>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</si>
  <si>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</si>
  <si>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</si>
  <si>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</si>
  <si>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</si>
  <si>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</si>
  <si>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</si>
  <si>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</si>
  <si>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</si>
  <si>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</si>
  <si>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</si>
  <si>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</si>
  <si>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</si>
  <si>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</si>
  <si>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</si>
  <si>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</si>
  <si>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</si>
  <si>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</si>
  <si>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</si>
  <si>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</si>
  <si>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</si>
  <si>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</si>
  <si>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</si>
  <si>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</si>
  <si>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</si>
  <si>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</si>
  <si>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</si>
  <si>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</si>
  <si>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</si>
  <si>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</si>
  <si>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</si>
  <si>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</si>
  <si>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</si>
  <si>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</si>
  <si>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</si>
  <si>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</si>
  <si>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</si>
  <si>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</si>
  <si>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</si>
  <si>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</si>
  <si>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</si>
  <si>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</si>
  <si>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</si>
  <si>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</si>
  <si>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</si>
  <si>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</si>
  <si>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</si>
  <si>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</si>
  <si>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</si>
  <si>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</si>
  <si>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</si>
  <si>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</si>
  <si>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</si>
  <si>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</si>
  <si>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</si>
  <si>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</si>
  <si>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</si>
  <si>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</si>
  <si>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</si>
  <si>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</si>
  <si>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</si>
  <si>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</si>
  <si>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</si>
  <si>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</si>
  <si>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</si>
  <si>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</si>
  <si>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</si>
  <si>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</si>
  <si>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</si>
  <si>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</si>
  <si>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</si>
  <si>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</si>
  <si>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</si>
  <si>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</si>
  <si>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</si>
  <si>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</si>
  <si>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</si>
  <si>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</si>
  <si>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</si>
  <si>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</si>
  <si>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</si>
  <si>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</si>
  <si>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</si>
  <si>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</si>
  <si>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</si>
  <si>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</si>
  <si>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</si>
  <si>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</si>
  <si>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</si>
  <si>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</si>
  <si>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</si>
  <si>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</si>
  <si>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</si>
  <si>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</si>
  <si>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</si>
  <si>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</si>
  <si>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</si>
  <si>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</si>
  <si>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</si>
  <si>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</si>
  <si>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</si>
  <si>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</si>
  <si>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</si>
  <si>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</si>
  <si>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</si>
  <si>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</si>
  <si>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</si>
  <si>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</si>
  <si>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</si>
  <si>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</si>
  <si>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</si>
  <si>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</si>
  <si>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</si>
  <si>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</si>
  <si>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</si>
  <si>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</si>
  <si>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</si>
  <si>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</si>
  <si>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</si>
  <si>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</si>
  <si>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</si>
  <si>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</si>
  <si>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</si>
  <si>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</si>
  <si>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</si>
  <si>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</si>
  <si>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</si>
  <si>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</si>
  <si>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</si>
  <si>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</si>
  <si>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</si>
  <si>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</si>
  <si>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</si>
  <si>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</si>
  <si>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</si>
  <si>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</si>
  <si>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</si>
  <si>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</si>
  <si>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</si>
  <si>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</si>
  <si>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</si>
  <si>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</si>
  <si>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</si>
  <si>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</si>
  <si>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</si>
  <si>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</si>
  <si>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</si>
  <si>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</si>
  <si>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</si>
  <si>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</si>
  <si>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</si>
  <si>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</si>
  <si>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</si>
  <si>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</si>
  <si>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</si>
  <si>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</si>
  <si>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</si>
  <si>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</si>
  <si>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</si>
  <si>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</si>
  <si>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</si>
  <si>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</si>
  <si>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</si>
  <si>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</si>
  <si>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</si>
  <si>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</si>
  <si>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</si>
  <si>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</si>
  <si>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</si>
  <si>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</si>
  <si>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</si>
  <si>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</si>
  <si>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</si>
  <si>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</si>
  <si>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</si>
  <si>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</si>
  <si>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</si>
  <si>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</si>
  <si>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</si>
  <si>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</si>
  <si>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</si>
  <si>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</si>
  <si>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</si>
  <si>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</si>
  <si>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</si>
  <si>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</si>
  <si>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</si>
  <si>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</si>
  <si>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</si>
  <si>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</si>
  <si>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</si>
  <si>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</si>
  <si>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</si>
  <si>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</si>
  <si>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</si>
  <si>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</si>
  <si>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</si>
  <si>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</si>
  <si>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</si>
  <si>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</si>
  <si>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</si>
  <si>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</si>
  <si>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</si>
  <si>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</si>
  <si>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</si>
  <si>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</si>
  <si>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</si>
  <si>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</si>
  <si>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</si>
  <si>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</si>
  <si>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</si>
  <si>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</si>
  <si>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</si>
  <si>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</si>
  <si>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</si>
  <si>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</si>
  <si>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</si>
  <si>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</si>
  <si>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</si>
  <si>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</si>
  <si>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</si>
  <si>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</si>
  <si>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</si>
  <si>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</si>
  <si>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</si>
  <si>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</si>
  <si>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</si>
  <si>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</si>
  <si>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</si>
  <si>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</si>
  <si>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</si>
  <si>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</si>
  <si>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</si>
  <si>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</si>
  <si>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</si>
  <si>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</si>
  <si>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</si>
  <si>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</si>
  <si>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</si>
  <si>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</si>
  <si>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</si>
  <si>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</si>
  <si>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</si>
  <si>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</si>
  <si>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</si>
  <si>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</si>
  <si>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</si>
  <si>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</si>
  <si>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</si>
  <si>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</si>
  <si>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</si>
  <si>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</si>
  <si>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</si>
  <si>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</si>
  <si>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</si>
  <si>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</si>
  <si>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</si>
  <si>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</si>
  <si>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</si>
  <si>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</si>
  <si>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</si>
  <si>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</si>
  <si>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</si>
  <si>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</si>
  <si>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</si>
  <si>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</si>
  <si>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</si>
  <si>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</si>
  <si>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</si>
  <si>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</si>
  <si>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</si>
  <si>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</si>
  <si>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</si>
  <si>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</si>
  <si>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</si>
  <si>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</si>
  <si>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</si>
  <si>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</si>
  <si>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</si>
  <si>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</si>
  <si>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</si>
  <si>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</si>
  <si>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</si>
  <si>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</si>
  <si>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</si>
  <si>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</si>
  <si>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</si>
  <si>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</si>
  <si>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</si>
  <si>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</si>
  <si>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</si>
  <si>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</si>
  <si>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</si>
  <si>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</si>
  <si>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</si>
  <si>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</si>
  <si>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</si>
  <si>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</si>
  <si>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</si>
  <si>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</si>
  <si>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</si>
  <si>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</si>
  <si>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</si>
  <si>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</si>
  <si>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</si>
  <si>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</si>
  <si>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</si>
  <si>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</si>
  <si>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</si>
  <si>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</si>
  <si>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</si>
  <si>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</si>
  <si>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</si>
  <si>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</si>
  <si>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</si>
  <si>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</si>
  <si>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</si>
  <si>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</si>
  <si>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</si>
  <si>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</si>
  <si>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</si>
  <si>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</si>
  <si>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</si>
  <si>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</si>
  <si>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</si>
  <si>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</si>
  <si>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</si>
  <si>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</si>
  <si>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</si>
  <si>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</si>
  <si>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</si>
  <si>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</si>
  <si>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</si>
  <si>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</si>
  <si>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</si>
  <si>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</si>
  <si>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</si>
  <si>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</si>
  <si>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</si>
  <si>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</si>
  <si>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</si>
  <si>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</si>
  <si>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</si>
  <si>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</si>
  <si>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</si>
  <si>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</si>
  <si>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</si>
  <si>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</si>
  <si>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</si>
  <si>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</si>
  <si>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</si>
  <si>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</si>
  <si>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</si>
  <si>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</si>
  <si>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</si>
  <si>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</si>
  <si>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</si>
  <si>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</si>
  <si>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</si>
  <si>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</si>
  <si>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</si>
  <si>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</si>
  <si>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</si>
  <si>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</si>
  <si>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</si>
  <si>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</si>
  <si>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</si>
  <si>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</si>
  <si>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</si>
  <si>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</si>
  <si>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</si>
  <si>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</si>
  <si>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</si>
  <si>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</si>
  <si>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</si>
  <si>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</si>
  <si>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</si>
  <si>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</si>
  <si>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</si>
  <si>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</si>
  <si>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</si>
  <si>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</si>
  <si>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</si>
  <si>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</si>
  <si>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</si>
  <si>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</si>
  <si>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</si>
  <si>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</si>
  <si>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</si>
  <si>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</si>
  <si>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</si>
  <si>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</si>
  <si>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</si>
  <si>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</si>
  <si>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</si>
  <si>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</si>
  <si>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</si>
  <si>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</si>
  <si>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</si>
  <si>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</si>
  <si>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</si>
  <si>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</si>
  <si>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</si>
  <si>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</si>
  <si>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</si>
  <si>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</si>
  <si>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</si>
  <si>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</si>
  <si>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</si>
  <si>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</si>
  <si>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</si>
  <si>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</si>
  <si>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</si>
  <si>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</si>
  <si>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</si>
  <si>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</si>
  <si>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</si>
  <si>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</si>
  <si>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</si>
  <si>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</si>
  <si>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</si>
  <si>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</si>
  <si>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</si>
  <si>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</si>
  <si>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</si>
  <si>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</si>
  <si>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</si>
  <si>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</si>
  <si>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</si>
  <si>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</si>
  <si>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</si>
  <si>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</si>
  <si>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</si>
  <si>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</si>
  <si>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</si>
  <si>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</si>
  <si>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</si>
  <si>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</si>
  <si>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</si>
  <si>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</si>
  <si>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</si>
  <si>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</si>
  <si>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</si>
  <si>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</si>
  <si>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</si>
  <si>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</si>
  <si>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</si>
  <si>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</si>
  <si>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</si>
  <si>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</si>
  <si>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</si>
  <si>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</si>
  <si>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</si>
  <si>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</si>
  <si>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</si>
  <si>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</si>
  <si>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</si>
  <si>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</si>
  <si>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</si>
  <si>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</si>
  <si>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</si>
  <si>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</si>
  <si>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</si>
  <si>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</si>
  <si>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</si>
  <si>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</si>
  <si>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</si>
  <si>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</si>
  <si>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</si>
  <si>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</si>
  <si>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</si>
  <si>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</si>
  <si>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</si>
  <si>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</si>
  <si>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</si>
  <si>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</si>
  <si>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</si>
  <si>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</si>
  <si>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</si>
  <si>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</si>
  <si>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</si>
  <si>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</si>
  <si>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</si>
  <si>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</si>
  <si>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</si>
  <si>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</si>
  <si>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</si>
  <si>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</si>
  <si>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</si>
  <si>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</si>
  <si>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</si>
  <si>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</si>
  <si>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</si>
  <si>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</si>
  <si>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</si>
  <si>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</si>
  <si>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</si>
  <si>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</si>
  <si>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</si>
  <si>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</si>
  <si>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</si>
  <si>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</si>
  <si>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</si>
  <si>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</si>
  <si>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</si>
  <si>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</si>
  <si>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</si>
  <si>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</si>
  <si>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</si>
  <si>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</si>
  <si>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</si>
  <si>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</si>
  <si>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</si>
  <si>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</si>
  <si>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</si>
  <si>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</si>
  <si>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</si>
  <si>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</si>
  <si>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</si>
  <si>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</si>
  <si>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</si>
  <si>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</si>
  <si>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</si>
  <si>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</si>
  <si>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</si>
  <si>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</si>
  <si>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</si>
  <si>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</si>
  <si>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</si>
  <si>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</si>
  <si>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</si>
  <si>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</si>
  <si>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</si>
  <si>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</si>
  <si>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</si>
  <si>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</si>
  <si>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</si>
  <si>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</si>
  <si>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</si>
  <si>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</si>
  <si>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</si>
  <si>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</si>
  <si>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</si>
  <si>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</si>
  <si>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</si>
  <si>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</si>
  <si>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</si>
  <si>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</si>
  <si>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</si>
  <si>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</si>
  <si>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</si>
  <si>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</si>
  <si>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</si>
  <si>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</si>
  <si>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</si>
  <si>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</si>
  <si>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</si>
  <si>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</si>
  <si>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</si>
  <si>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</si>
  <si>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</si>
  <si>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</si>
  <si>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</si>
  <si>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</si>
  <si>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</si>
  <si>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</si>
  <si>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</si>
  <si>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</si>
  <si>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</si>
  <si>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</si>
  <si>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</si>
  <si>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</si>
  <si>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</si>
  <si>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</si>
  <si>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</si>
  <si>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</si>
  <si>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</si>
  <si>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</si>
  <si>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</si>
  <si>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</si>
  <si>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</si>
  <si>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</si>
  <si>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</si>
  <si>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</si>
  <si>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</si>
  <si>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</si>
  <si>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</si>
  <si>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</si>
  <si>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</si>
  <si>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</si>
  <si>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</si>
  <si>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</si>
  <si>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</si>
  <si>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</si>
  <si>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</si>
  <si>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</si>
  <si>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</si>
  <si>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</si>
  <si>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</si>
  <si>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</si>
  <si>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</si>
  <si>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</si>
  <si>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</si>
  <si>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</si>
  <si>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</si>
  <si>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</si>
  <si>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</si>
  <si>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</si>
  <si>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</si>
  <si>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</si>
  <si>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</si>
  <si>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</si>
  <si>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</si>
  <si>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</si>
  <si>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</si>
  <si>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</si>
  <si>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</si>
  <si>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</si>
  <si>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</si>
  <si>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</si>
  <si>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</si>
  <si>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</si>
  <si>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</si>
  <si>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</si>
  <si>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</si>
  <si>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</si>
  <si>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</si>
  <si>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</si>
  <si>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</si>
  <si>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</si>
  <si>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</si>
  <si>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</si>
  <si>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</si>
  <si>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</si>
  <si>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</si>
  <si>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</si>
  <si>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</si>
  <si>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</si>
  <si>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</si>
  <si>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</si>
  <si>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</si>
  <si>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</si>
  <si>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</si>
  <si>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</si>
  <si>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</si>
  <si>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</si>
  <si>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</si>
  <si>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</si>
  <si>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</si>
  <si>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</si>
  <si>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</si>
  <si>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</si>
  <si>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</si>
  <si>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</si>
  <si>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</si>
  <si>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</si>
  <si>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</si>
  <si>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</si>
  <si>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</si>
  <si>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</si>
  <si>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</si>
  <si>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</si>
  <si>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</si>
  <si>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</si>
  <si>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</si>
  <si>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</si>
  <si>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</si>
  <si>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</si>
  <si>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</si>
  <si>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</si>
  <si>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</si>
  <si>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</si>
  <si>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</si>
  <si>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</si>
  <si>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</si>
  <si>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</si>
  <si>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</si>
  <si>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</si>
  <si>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</si>
  <si>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</si>
  <si>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</si>
  <si>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</si>
  <si>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</si>
  <si>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</si>
  <si>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</si>
  <si>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</si>
  <si>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</si>
  <si>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</si>
  <si>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</si>
  <si>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</si>
  <si>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</si>
  <si>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</si>
  <si>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</si>
  <si>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</si>
  <si>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</si>
  <si>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</si>
  <si>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</si>
  <si>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</si>
  <si>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</si>
  <si>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</si>
  <si>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</si>
  <si>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</si>
  <si>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</si>
  <si>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</si>
  <si>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</si>
  <si>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</si>
  <si>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</si>
  <si>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</si>
  <si>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</si>
  <si>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</si>
  <si>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</si>
  <si>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</si>
  <si>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</si>
  <si>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</si>
  <si>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</si>
  <si>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</si>
  <si>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</si>
  <si>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</si>
  <si>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</si>
  <si>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</si>
  <si>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</si>
  <si>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</si>
  <si>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</si>
  <si>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</si>
  <si>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</si>
  <si>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</si>
  <si>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</si>
  <si>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</si>
  <si>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</si>
  <si>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</si>
  <si>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</si>
  <si>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</si>
  <si>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</si>
  <si>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</si>
  <si>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</si>
  <si>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</si>
  <si>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</si>
  <si>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</si>
  <si>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</si>
  <si>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</si>
  <si>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</si>
  <si>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</si>
  <si>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</si>
  <si>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</si>
  <si>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</si>
  <si>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</si>
  <si>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</si>
  <si>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</si>
  <si>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</si>
  <si>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</si>
  <si>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</si>
  <si>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</si>
  <si>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</si>
  <si>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</si>
  <si>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</si>
  <si>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</si>
  <si>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</si>
  <si>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</si>
  <si>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</si>
  <si>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</si>
  <si>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</si>
  <si>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</si>
  <si>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</si>
  <si>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</si>
  <si>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</si>
  <si>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</si>
  <si>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</si>
  <si>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</si>
  <si>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</si>
  <si>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</si>
  <si>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</si>
  <si>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</si>
  <si>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</si>
  <si>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</si>
  <si>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</si>
  <si>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</si>
  <si>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</si>
  <si>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</si>
  <si>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</si>
  <si>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</si>
  <si>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</si>
  <si>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</si>
  <si>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</si>
  <si>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</si>
  <si>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</si>
  <si>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</si>
  <si>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</si>
  <si>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</si>
  <si>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</si>
  <si>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</si>
  <si>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</si>
  <si>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</si>
  <si>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</si>
  <si>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</si>
  <si>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</si>
  <si>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</si>
  <si>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</si>
  <si>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</si>
  <si>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</si>
  <si>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</si>
  <si>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</si>
  <si>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</si>
  <si>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</si>
  <si>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</si>
  <si>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</si>
  <si>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</si>
  <si>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</si>
  <si>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</si>
  <si>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</si>
  <si>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</si>
  <si>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</si>
  <si>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</si>
  <si>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</si>
  <si>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</si>
  <si>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</si>
  <si>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</si>
  <si>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</si>
  <si>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</si>
  <si>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</si>
  <si>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</si>
  <si>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</si>
  <si>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</si>
  <si>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</si>
  <si>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</si>
  <si>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</si>
  <si>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</si>
  <si>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</si>
  <si>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</si>
  <si>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</si>
  <si>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</si>
  <si>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</si>
  <si>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</si>
  <si>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</si>
  <si>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</si>
  <si>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</si>
  <si>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</si>
  <si>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</si>
  <si>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</si>
  <si>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</si>
  <si>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</si>
  <si>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</si>
  <si>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</si>
  <si>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</si>
  <si>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</si>
  <si>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</si>
  <si>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</si>
  <si>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</si>
  <si>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</si>
  <si>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</si>
  <si>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</si>
  <si>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</si>
  <si>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</si>
  <si>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</si>
  <si>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</si>
  <si>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</si>
  <si>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</si>
  <si>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</si>
  <si>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</si>
  <si>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</si>
  <si>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</si>
  <si>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</si>
  <si>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</si>
  <si>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</si>
  <si>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</si>
  <si>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</si>
  <si>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</si>
  <si>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</si>
  <si>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</si>
  <si>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</si>
  <si>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</si>
  <si>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</si>
  <si>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</si>
  <si>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</si>
  <si>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</si>
  <si>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</si>
  <si>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</si>
  <si>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</si>
  <si>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</si>
  <si>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</si>
  <si>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</si>
  <si>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</si>
  <si>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</si>
  <si>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</si>
  <si>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</si>
  <si>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</si>
  <si>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</si>
  <si>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</si>
  <si>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</si>
  <si>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</si>
  <si>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</si>
  <si>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</si>
  <si>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</si>
  <si>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</si>
  <si>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</si>
  <si>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</si>
  <si>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</si>
  <si>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</si>
  <si>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</si>
  <si>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</si>
  <si>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</si>
  <si>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</si>
  <si>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</si>
  <si>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</si>
  <si>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</si>
  <si>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</si>
  <si>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</si>
  <si>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</si>
  <si>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</si>
  <si>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</si>
  <si>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</si>
  <si>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</si>
  <si>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</si>
  <si>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</si>
  <si>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</si>
  <si>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</si>
  <si>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</si>
  <si>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</si>
  <si>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</si>
  <si>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</si>
  <si>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</si>
  <si>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</si>
  <si>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</si>
  <si>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</si>
  <si>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</si>
  <si>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</si>
  <si>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</si>
  <si>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</si>
  <si>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</si>
  <si>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</si>
  <si>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</si>
  <si>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</si>
  <si>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</si>
  <si>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</si>
  <si>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</si>
  <si>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</si>
  <si>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</si>
  <si>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</si>
  <si>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</si>
  <si>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</si>
  <si>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</si>
  <si>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</si>
  <si>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</si>
  <si>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</si>
  <si>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</si>
  <si>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</si>
  <si>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</si>
  <si>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</si>
  <si>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</si>
  <si>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</si>
  <si>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</si>
  <si>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</si>
  <si>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</si>
  <si>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</si>
  <si>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</si>
  <si>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</si>
  <si>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</si>
  <si>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</si>
  <si>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</si>
  <si>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</si>
  <si>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</si>
  <si>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</si>
  <si>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</si>
  <si>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</si>
  <si>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</si>
  <si>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</si>
  <si>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</si>
  <si>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</si>
  <si>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</si>
  <si>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</si>
  <si>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</si>
  <si>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</si>
  <si>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</si>
  <si>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</si>
  <si>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</si>
  <si>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</si>
  <si>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</si>
  <si>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</si>
  <si>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</si>
  <si>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</si>
  <si>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</si>
  <si>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</si>
  <si>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</si>
  <si>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</si>
  <si>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</si>
  <si>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</si>
  <si>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</si>
  <si>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</si>
  <si>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</si>
  <si>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</si>
  <si>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</si>
  <si>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</si>
  <si>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</si>
  <si>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</si>
  <si>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</si>
  <si>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</si>
  <si>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</si>
  <si>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</si>
  <si>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</si>
  <si>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</si>
  <si>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</si>
  <si>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</si>
  <si>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</si>
  <si>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</si>
  <si>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</si>
  <si>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</si>
  <si>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</si>
  <si>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</si>
  <si>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</si>
  <si>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</si>
  <si>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</si>
  <si>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</si>
  <si>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</si>
  <si>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</si>
  <si>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</si>
  <si>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</si>
  <si>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</si>
  <si>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</si>
  <si>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</si>
  <si>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</si>
  <si>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</si>
  <si>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</si>
  <si>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</si>
  <si>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</si>
  <si>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</si>
  <si>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</si>
  <si>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</si>
  <si>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</si>
  <si>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</si>
  <si>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</si>
  <si>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</si>
  <si>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</si>
  <si>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</si>
  <si>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</si>
  <si>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</si>
  <si>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</si>
  <si>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</si>
  <si>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</si>
  <si>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</si>
  <si>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</si>
  <si>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</si>
  <si>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</si>
  <si>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</si>
  <si>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</si>
  <si>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</si>
  <si>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</si>
  <si>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</si>
  <si>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</si>
  <si>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</si>
  <si>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</si>
  <si>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</si>
  <si>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</si>
  <si>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</si>
  <si>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</si>
  <si>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</si>
  <si>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</si>
  <si>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</si>
  <si>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</si>
  <si>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</si>
  <si>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</si>
  <si>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</si>
  <si>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</si>
  <si>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</si>
  <si>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</si>
  <si>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</si>
  <si>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</si>
  <si>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</si>
  <si>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</si>
  <si>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</si>
  <si>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</si>
  <si>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</si>
  <si>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</si>
  <si>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</si>
  <si>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</si>
  <si>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</si>
  <si>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</si>
  <si>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</si>
  <si>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</si>
  <si>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</si>
  <si>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</si>
  <si>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</si>
  <si>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</si>
  <si>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</si>
  <si>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</si>
  <si>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</si>
  <si>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</si>
  <si>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</si>
  <si>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</si>
  <si>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</si>
  <si>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</si>
  <si>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</si>
  <si>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</si>
  <si>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</si>
  <si>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</si>
  <si>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</si>
  <si>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</si>
  <si>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</si>
  <si>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</si>
  <si>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</si>
  <si>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</si>
  <si>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</si>
  <si>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</si>
  <si>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</si>
  <si>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</si>
  <si>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</si>
  <si>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</si>
  <si>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</si>
  <si>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</si>
  <si>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</si>
  <si>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</si>
  <si>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</si>
  <si>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</si>
  <si>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</si>
  <si>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</si>
  <si>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</si>
  <si>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</si>
  <si>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</si>
  <si>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</si>
  <si>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</si>
  <si>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</si>
  <si>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</si>
  <si>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</si>
  <si>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</si>
  <si>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</si>
  <si>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</si>
  <si>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</si>
  <si>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</si>
  <si>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</si>
  <si>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</si>
  <si>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</si>
  <si>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</si>
  <si>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</si>
  <si>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</si>
  <si>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</si>
  <si>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</si>
  <si>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</si>
  <si>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</si>
  <si>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</si>
  <si>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</si>
  <si>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</si>
  <si>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</si>
  <si>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</si>
  <si>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</si>
  <si>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</si>
  <si>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</si>
  <si>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</si>
  <si>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</si>
  <si>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</si>
  <si>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</si>
  <si>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</si>
  <si>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</si>
  <si>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</si>
  <si>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</si>
  <si>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</si>
  <si>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</si>
  <si>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</si>
  <si>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</si>
  <si>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</si>
  <si>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</si>
  <si>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</si>
  <si>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</si>
  <si>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</si>
  <si>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</si>
  <si>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</si>
  <si>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</si>
  <si>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</si>
  <si>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</si>
  <si>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</si>
  <si>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</si>
  <si>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</si>
  <si>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</si>
  <si>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</si>
  <si>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</si>
  <si>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</si>
  <si>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</si>
  <si>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</si>
  <si>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</si>
  <si>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</si>
  <si>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</si>
  <si>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</si>
  <si>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</si>
  <si>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</si>
  <si>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</si>
  <si>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</si>
  <si>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</si>
  <si>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</si>
  <si>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</si>
  <si>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</si>
  <si>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</si>
  <si>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</si>
  <si>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</si>
  <si>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</si>
  <si>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</si>
  <si>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</si>
  <si>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</si>
  <si>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</si>
  <si>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</si>
  <si>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</si>
  <si>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</si>
  <si>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</si>
  <si>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</si>
  <si>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</si>
  <si>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</si>
  <si>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</si>
  <si>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</si>
  <si>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</si>
  <si>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</si>
  <si>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</si>
  <si>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</si>
  <si>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</si>
  <si>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</si>
  <si>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</si>
  <si>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</si>
  <si>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</si>
  <si>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</si>
  <si>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</si>
  <si>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</si>
  <si>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</si>
  <si>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</si>
  <si>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</si>
  <si>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</si>
  <si>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</si>
  <si>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</si>
  <si>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</si>
  <si>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</si>
  <si>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</si>
  <si>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</si>
  <si>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</si>
  <si>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</si>
  <si>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</si>
  <si>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</si>
  <si>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</si>
  <si>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</si>
  <si>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</si>
  <si>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</si>
  <si>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</si>
  <si>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</si>
  <si>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</si>
  <si>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</si>
  <si>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</si>
  <si>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</si>
  <si>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</si>
  <si>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</si>
  <si>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</si>
  <si>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</si>
  <si>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</si>
  <si>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</si>
  <si>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</si>
  <si>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</si>
  <si>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</si>
  <si>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</si>
  <si>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</si>
  <si>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</si>
  <si>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</si>
  <si>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</si>
  <si>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</si>
  <si>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</si>
  <si>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</si>
  <si>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</si>
  <si>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</si>
  <si>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</si>
  <si>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</si>
  <si>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</si>
  <si>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</si>
  <si>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</si>
  <si>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</si>
  <si>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</si>
  <si>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</si>
  <si>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</si>
  <si>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</si>
  <si>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</si>
  <si>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</si>
  <si>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</si>
  <si>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</si>
  <si>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</si>
  <si>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</si>
  <si>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</si>
  <si>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</si>
  <si>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</si>
  <si>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</si>
  <si>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</si>
  <si>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</si>
  <si>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</si>
  <si>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</si>
  <si>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</si>
  <si>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</si>
  <si>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</si>
  <si>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</si>
  <si>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</si>
  <si>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</si>
  <si>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</si>
  <si>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</si>
  <si>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</si>
  <si>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</si>
  <si>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</si>
  <si>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</si>
  <si>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</si>
  <si>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</si>
  <si>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</si>
  <si>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</si>
  <si>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</si>
  <si>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</si>
  <si>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</si>
  <si>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</si>
  <si>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</si>
  <si>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</si>
  <si>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</si>
  <si>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</si>
  <si>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</si>
  <si>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</si>
  <si>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</si>
  <si>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</si>
  <si>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</si>
  <si>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</si>
  <si>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</si>
  <si>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</si>
  <si>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</si>
  <si>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</si>
  <si>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</si>
  <si>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</si>
  <si>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</si>
  <si>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</si>
  <si>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</si>
  <si>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</si>
  <si>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</si>
  <si>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</si>
  <si>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</si>
  <si>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</si>
  <si>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</si>
  <si>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</si>
  <si>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</si>
  <si>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</si>
  <si>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</si>
  <si>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</si>
  <si>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</si>
  <si>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</si>
  <si>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</si>
  <si>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</si>
  <si>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</si>
  <si>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</si>
  <si>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</si>
  <si>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</si>
  <si>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</si>
  <si>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</si>
  <si>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</si>
  <si>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</si>
  <si>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</si>
  <si>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</si>
  <si>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</si>
  <si>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</si>
  <si>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</si>
  <si>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</si>
  <si>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</si>
  <si>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</si>
  <si>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</si>
  <si>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</si>
  <si>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</si>
  <si>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</si>
  <si>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</si>
  <si>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</si>
  <si>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</si>
  <si>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</si>
  <si>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</si>
  <si>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</si>
  <si>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</si>
  <si>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</si>
  <si>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</si>
  <si>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</si>
  <si>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</si>
  <si>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</si>
  <si>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</si>
  <si>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</si>
  <si>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</si>
  <si>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</si>
  <si>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</si>
  <si>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</si>
  <si>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</si>
  <si>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</si>
  <si>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</si>
  <si>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</si>
  <si>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</si>
  <si>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</si>
  <si>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</si>
  <si>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</si>
  <si>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</si>
  <si>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</si>
  <si>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</si>
  <si>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</si>
  <si>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</si>
  <si>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</si>
  <si>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</si>
  <si>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</si>
  <si>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</si>
  <si>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</si>
  <si>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</si>
  <si>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</si>
  <si>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</si>
  <si>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</si>
  <si>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</si>
  <si>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</si>
  <si>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</si>
  <si>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</si>
  <si>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</si>
  <si>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</si>
  <si>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</si>
  <si>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</si>
  <si>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</si>
  <si>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</si>
  <si>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</si>
  <si>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</si>
  <si>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</si>
  <si>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</si>
  <si>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</si>
  <si>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</si>
  <si>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</si>
  <si>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</si>
  <si>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</si>
  <si>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</si>
  <si>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</si>
  <si>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</si>
  <si>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</si>
  <si>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</si>
  <si>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</si>
  <si>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</si>
  <si>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</si>
  <si>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</si>
  <si>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</si>
  <si>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</si>
  <si>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</si>
  <si>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</si>
  <si>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</si>
  <si>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</si>
  <si>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</si>
  <si>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</si>
  <si>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</si>
  <si>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</si>
  <si>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</si>
  <si>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</si>
  <si>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</si>
  <si>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</si>
  <si>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</si>
  <si>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</si>
  <si>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</si>
  <si>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</si>
  <si>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</si>
  <si>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</si>
  <si>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</si>
  <si>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</si>
  <si>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</si>
  <si>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</si>
  <si>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</si>
  <si>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</si>
  <si>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</si>
  <si>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</si>
  <si>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</si>
  <si>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</si>
  <si>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</si>
  <si>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</si>
  <si>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</si>
  <si>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</si>
  <si>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</si>
  <si>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</si>
  <si>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</si>
  <si>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</si>
  <si>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</si>
  <si>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</si>
  <si>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</si>
  <si>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</si>
  <si>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</si>
  <si>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</si>
  <si>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</si>
  <si>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</si>
  <si>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</si>
  <si>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</si>
  <si>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</si>
  <si>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</si>
  <si>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</si>
  <si>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</si>
  <si>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</si>
  <si>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</si>
  <si>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</si>
  <si>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</si>
  <si>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</si>
  <si>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</si>
  <si>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</si>
  <si>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</si>
  <si>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</si>
  <si>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</si>
  <si>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</si>
  <si>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</si>
  <si>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</si>
  <si>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</si>
  <si>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</si>
  <si>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</si>
  <si>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</si>
  <si>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</si>
  <si>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</si>
  <si>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</si>
  <si>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</si>
  <si>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</si>
  <si>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</si>
  <si>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</si>
  <si>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</si>
  <si>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</si>
  <si>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</si>
  <si>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</si>
  <si>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</si>
  <si>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</si>
  <si>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</si>
  <si>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</si>
  <si>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</si>
  <si>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</si>
  <si>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</si>
  <si>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</si>
  <si>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</si>
  <si>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</si>
  <si>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</si>
  <si>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</si>
  <si>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</si>
  <si>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</si>
  <si>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</si>
  <si>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</si>
  <si>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</si>
  <si>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</si>
  <si>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</si>
  <si>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</si>
  <si>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</si>
  <si>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</si>
  <si>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</si>
  <si>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</si>
  <si>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</si>
  <si>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</si>
  <si>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</si>
  <si>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</si>
  <si>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</si>
  <si>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</si>
  <si>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</si>
  <si>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</si>
  <si>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</si>
  <si>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</si>
  <si>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</si>
  <si>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</si>
  <si>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</si>
  <si>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</si>
  <si>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</si>
  <si>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</si>
  <si>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</si>
  <si>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</si>
  <si>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</si>
  <si>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</si>
  <si>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</si>
  <si>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</si>
  <si>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</si>
  <si>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</si>
  <si>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</si>
  <si>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</si>
  <si>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</si>
  <si>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</si>
  <si>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</si>
  <si>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</si>
  <si>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</si>
  <si>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</si>
  <si>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</si>
  <si>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</si>
  <si>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</si>
  <si>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</si>
  <si>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</si>
  <si>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</si>
  <si>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</si>
  <si>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</si>
  <si>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</si>
  <si>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</si>
  <si>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</si>
  <si>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</si>
  <si>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</si>
  <si>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</si>
  <si>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</si>
  <si>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</si>
  <si>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</si>
  <si>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</si>
  <si>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</si>
  <si>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</si>
  <si>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</si>
  <si>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</si>
  <si>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</si>
  <si>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</si>
  <si>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</si>
  <si>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</si>
  <si>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</si>
  <si>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</si>
  <si>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</si>
  <si>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</si>
  <si>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</si>
  <si>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</si>
  <si>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</si>
  <si>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</si>
  <si>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</si>
  <si>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</si>
  <si>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</si>
  <si>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</si>
  <si>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</si>
  <si>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</si>
  <si>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</si>
  <si>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</si>
  <si>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</si>
  <si>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</si>
  <si>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</si>
  <si>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</si>
  <si>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</si>
  <si>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</si>
  <si>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</si>
  <si>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</si>
  <si>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</si>
  <si>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</si>
  <si>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</si>
  <si>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</si>
  <si>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</si>
  <si>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</si>
  <si>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</si>
  <si>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</si>
  <si>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</si>
  <si>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</si>
  <si>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</si>
  <si>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</si>
  <si>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</si>
  <si>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</si>
  <si>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</si>
  <si>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</si>
  <si>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</si>
  <si>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</si>
  <si>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</si>
  <si>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</si>
  <si>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</si>
  <si>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</si>
  <si>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</si>
  <si>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</si>
  <si>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</si>
  <si>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</si>
  <si>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</si>
  <si>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</si>
  <si>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</si>
  <si>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</si>
  <si>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</si>
  <si>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</si>
  <si>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</si>
  <si>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</si>
  <si>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</si>
  <si>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</si>
  <si>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</si>
  <si>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</si>
  <si>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</si>
  <si>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</si>
  <si>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</si>
  <si>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</si>
  <si>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</si>
  <si>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</si>
  <si>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</si>
  <si>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</si>
  <si>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</si>
  <si>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</si>
  <si>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</si>
  <si>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</si>
  <si>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</si>
  <si>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</si>
  <si>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</si>
  <si>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</si>
  <si>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</si>
  <si>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</si>
  <si>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</si>
  <si>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</si>
  <si>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</si>
  <si>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</si>
  <si>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</si>
  <si>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</si>
  <si>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</si>
  <si>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</si>
  <si>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</si>
  <si>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</si>
  <si>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</si>
  <si>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</si>
  <si>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</si>
  <si>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</si>
  <si>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</si>
  <si>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</si>
  <si>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</si>
  <si>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</si>
  <si>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</si>
  <si>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</si>
  <si>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</si>
  <si>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</si>
  <si>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</si>
  <si>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</si>
  <si>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</si>
  <si>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</si>
  <si>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</si>
  <si>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</si>
  <si>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</si>
  <si>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</si>
  <si>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</si>
  <si>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</si>
  <si>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</si>
  <si>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</si>
  <si>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</si>
  <si>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</si>
  <si>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</si>
  <si>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</si>
  <si>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</si>
  <si>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</si>
  <si>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</si>
  <si>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</si>
  <si>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</si>
  <si>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</si>
  <si>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</si>
  <si>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</si>
  <si>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</si>
  <si>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</si>
  <si>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</si>
  <si>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</si>
  <si>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</si>
  <si>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</si>
  <si>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</si>
  <si>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</si>
  <si>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</si>
  <si>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</si>
  <si>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</si>
  <si>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</si>
  <si>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</si>
  <si>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</si>
  <si>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</si>
  <si>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</si>
  <si>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</si>
  <si>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</si>
  <si>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</si>
  <si>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</si>
  <si>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</si>
  <si>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</si>
  <si>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</si>
  <si>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</si>
  <si>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</si>
  <si>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</si>
  <si>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</si>
  <si>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</si>
  <si>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</si>
  <si>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</si>
  <si>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</si>
  <si>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</si>
  <si>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</si>
  <si>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</si>
  <si>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</si>
  <si>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</si>
  <si>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</si>
  <si>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</si>
  <si>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</si>
  <si>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</si>
  <si>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</si>
  <si>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</si>
  <si>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</si>
  <si>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</si>
  <si>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</si>
  <si>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</si>
  <si>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</si>
  <si>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</si>
  <si>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</si>
  <si>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</si>
  <si>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</si>
  <si>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</si>
  <si>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</si>
  <si>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</si>
  <si>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</si>
  <si>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</si>
  <si>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</si>
  <si>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</si>
  <si>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</si>
  <si>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</si>
  <si>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</si>
  <si>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</si>
  <si>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</si>
  <si>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</si>
  <si>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</si>
  <si>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</si>
  <si>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</si>
  <si>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</si>
  <si>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</si>
  <si>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</si>
  <si>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</si>
  <si>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</si>
  <si>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</si>
  <si>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</si>
  <si>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</si>
  <si>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</si>
  <si>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</si>
  <si>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</si>
  <si>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</si>
  <si>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</si>
  <si>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</si>
  <si>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</si>
  <si>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</si>
  <si>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</si>
  <si>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</si>
  <si>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</si>
  <si>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</si>
  <si>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</si>
  <si>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</si>
  <si>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</si>
  <si>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</si>
  <si>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</si>
  <si>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</si>
  <si>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</si>
  <si>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</si>
  <si>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</si>
  <si>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</si>
  <si>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</si>
  <si>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</si>
  <si>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</si>
  <si>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</si>
  <si>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</si>
  <si>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</si>
  <si>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</si>
  <si>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</si>
  <si>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</si>
  <si>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</si>
  <si>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</si>
  <si>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</si>
  <si>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</si>
  <si>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</si>
  <si>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</si>
  <si>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</si>
  <si>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</si>
  <si>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</si>
  <si>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</si>
  <si>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</si>
  <si>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</si>
  <si>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</si>
  <si>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</si>
  <si>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</si>
  <si>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</si>
  <si>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</si>
  <si>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</si>
  <si>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</si>
  <si>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</si>
  <si>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</si>
  <si>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</si>
  <si>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</si>
  <si>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</si>
  <si>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</si>
  <si>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</si>
  <si>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</si>
  <si>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</si>
  <si>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</si>
  <si>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</si>
  <si>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</si>
  <si>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</si>
  <si>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</si>
  <si>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</si>
  <si>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</si>
  <si>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</si>
  <si>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</si>
  <si>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</si>
  <si>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</si>
  <si>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</si>
  <si>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</si>
  <si>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</si>
  <si>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</si>
  <si>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</si>
  <si>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</si>
  <si>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</si>
  <si>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</si>
  <si>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</si>
  <si>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</si>
  <si>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</si>
  <si>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</si>
  <si>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</si>
  <si>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</si>
  <si>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</si>
  <si>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</si>
  <si>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</si>
  <si>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</si>
  <si>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</si>
  <si>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</si>
  <si>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</si>
  <si>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</si>
  <si>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</si>
  <si>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</si>
  <si>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</si>
  <si>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</si>
  <si>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</si>
  <si>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</si>
  <si>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</si>
  <si>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</si>
  <si>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</si>
  <si>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</si>
  <si>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</si>
  <si>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</si>
  <si>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</si>
  <si>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</si>
  <si>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</si>
  <si>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</si>
  <si>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</si>
  <si>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</si>
  <si>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</si>
  <si>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</si>
  <si>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</si>
  <si>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</si>
  <si>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</si>
  <si>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</si>
  <si>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</si>
  <si>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</si>
  <si>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</si>
  <si>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</si>
  <si>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</si>
  <si>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</si>
  <si>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</si>
  <si>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</si>
  <si>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</si>
  <si>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</si>
  <si>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</si>
  <si>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</si>
  <si>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</si>
  <si>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</si>
  <si>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</si>
  <si>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</si>
  <si>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</si>
  <si>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</si>
  <si>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</si>
  <si>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</si>
  <si>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</si>
  <si>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</si>
  <si>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</si>
  <si>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</si>
  <si>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</si>
  <si>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</si>
  <si>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</si>
  <si>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</si>
  <si>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</si>
  <si>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</si>
  <si>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</si>
  <si>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</si>
  <si>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</si>
  <si>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</si>
  <si>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</si>
  <si>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</si>
  <si>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</si>
  <si>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</si>
  <si>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</si>
  <si>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</si>
  <si>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</si>
  <si>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</si>
  <si>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</si>
  <si>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</si>
  <si>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</si>
  <si>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</si>
  <si>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</si>
  <si>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</si>
  <si>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</si>
  <si>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</si>
  <si>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</si>
  <si>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</si>
  <si>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</si>
  <si>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</si>
  <si>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</si>
  <si>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</si>
  <si>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</si>
  <si>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</si>
  <si>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</si>
  <si>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</si>
  <si>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</si>
  <si>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</si>
  <si>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</si>
  <si>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</si>
  <si>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</si>
  <si>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</si>
  <si>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</si>
  <si>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</si>
  <si>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</si>
  <si>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</si>
  <si>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</si>
  <si>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</si>
  <si>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</si>
  <si>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</si>
  <si>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</si>
  <si>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</si>
  <si>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</si>
  <si>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</si>
  <si>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</si>
  <si>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</si>
  <si>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</si>
  <si>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</si>
  <si>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</si>
  <si>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</si>
  <si>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</si>
  <si>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</si>
  <si>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</si>
  <si>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</si>
  <si>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</si>
  <si>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</si>
  <si>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</si>
  <si>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</si>
  <si>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</si>
  <si>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</si>
  <si>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</si>
  <si>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</si>
  <si>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</si>
  <si>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</si>
  <si>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</si>
  <si>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</si>
  <si>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</si>
  <si>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</si>
  <si>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</si>
  <si>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</si>
  <si>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</si>
  <si>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</si>
  <si>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</si>
  <si>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</si>
  <si>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</si>
  <si>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</si>
  <si>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</si>
  <si>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</si>
  <si>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</si>
  <si>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</si>
  <si>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</si>
  <si>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</si>
  <si>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</si>
  <si>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</si>
  <si>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</si>
  <si>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</si>
  <si>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</si>
  <si>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</si>
  <si>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</si>
  <si>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</si>
  <si>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</si>
  <si>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</si>
  <si>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</si>
  <si>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</si>
  <si>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</si>
  <si>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</si>
  <si>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</si>
  <si>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</si>
  <si>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</si>
  <si>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</si>
  <si>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</si>
  <si>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</si>
  <si>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</si>
  <si>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</si>
  <si>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</si>
  <si>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</si>
  <si>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</si>
  <si>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</si>
  <si>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</si>
  <si>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</si>
  <si>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</si>
  <si>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</si>
  <si>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</si>
  <si>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</si>
  <si>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</si>
  <si>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</si>
  <si>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</si>
  <si>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</si>
  <si>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</si>
  <si>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</si>
  <si>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</si>
  <si>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</si>
  <si>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</si>
  <si>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</si>
  <si>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</si>
  <si>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</si>
  <si>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</si>
  <si>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</si>
  <si>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</si>
  <si>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</si>
  <si>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</si>
  <si>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</si>
  <si>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</si>
  <si>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</si>
  <si>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</si>
  <si>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</si>
  <si>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</si>
  <si>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</si>
  <si>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</si>
  <si>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</si>
  <si>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</si>
  <si>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</si>
  <si>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</si>
  <si>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</si>
  <si>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</si>
  <si>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</si>
  <si>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</si>
  <si>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</si>
  <si>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</si>
  <si>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</si>
  <si>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</si>
  <si>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</si>
  <si>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</si>
  <si>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</si>
  <si>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</si>
  <si>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</si>
  <si>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</si>
  <si>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</si>
  <si>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</si>
  <si>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</si>
  <si>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</si>
  <si>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</si>
  <si>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</si>
  <si>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</si>
  <si>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</si>
  <si>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</si>
  <si>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</si>
  <si>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</si>
  <si>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</si>
  <si>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</si>
  <si>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</si>
  <si>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</si>
  <si>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</si>
  <si>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</si>
  <si>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</si>
  <si>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</si>
  <si>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</si>
  <si>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</si>
  <si>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</si>
  <si>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</si>
  <si>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</si>
  <si>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</si>
  <si>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</si>
  <si>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</si>
  <si>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</si>
  <si>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</si>
  <si>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</si>
  <si>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</si>
  <si>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</si>
  <si>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</si>
  <si>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</si>
  <si>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</si>
  <si>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</si>
  <si>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</si>
  <si>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</si>
  <si>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</si>
  <si>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</si>
  <si>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</si>
  <si>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</si>
  <si>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</si>
  <si>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</si>
  <si>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</si>
  <si>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</si>
  <si>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</si>
  <si>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</si>
  <si>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</si>
  <si>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</si>
  <si>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</si>
  <si>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</si>
  <si>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</si>
  <si>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</si>
  <si>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</si>
  <si>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</si>
  <si>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</si>
  <si>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</si>
  <si>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</si>
  <si>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</si>
  <si>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</si>
  <si>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</si>
  <si>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</si>
  <si>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</si>
  <si>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</si>
  <si>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</si>
  <si>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</si>
  <si>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</si>
  <si>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</si>
  <si>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</si>
  <si>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</si>
  <si>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</si>
  <si>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</si>
  <si>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</si>
  <si>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</si>
  <si>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</si>
  <si>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</si>
  <si>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</si>
  <si>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</si>
  <si>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</si>
  <si>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</si>
  <si>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</si>
  <si>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</si>
  <si>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</si>
  <si>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</si>
  <si>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</si>
  <si>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</si>
  <si>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</si>
  <si>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</si>
  <si>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</si>
  <si>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</si>
  <si>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</si>
  <si>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</si>
  <si>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</si>
  <si>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</si>
  <si>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</si>
  <si>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</si>
  <si>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</si>
  <si>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</si>
  <si>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</si>
  <si>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</si>
  <si>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</si>
  <si>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</si>
  <si>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</si>
  <si>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</si>
  <si>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</si>
  <si>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</si>
  <si>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</si>
  <si>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</si>
  <si>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</si>
  <si>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</si>
  <si>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</si>
  <si>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</si>
  <si>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</si>
  <si>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</si>
  <si>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</si>
  <si>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</si>
  <si>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</si>
  <si>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</si>
  <si>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</si>
  <si>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</si>
  <si>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</si>
  <si>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</si>
  <si>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</si>
  <si>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</si>
  <si>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</si>
  <si>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</si>
  <si>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</si>
  <si>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</si>
  <si>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</si>
  <si>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</si>
  <si>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</si>
  <si>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</si>
  <si>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</si>
  <si>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</si>
  <si>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</si>
  <si>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</si>
  <si>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</si>
  <si>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</si>
  <si>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</si>
  <si>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</si>
  <si>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</si>
  <si>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</si>
  <si>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</si>
  <si>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</si>
  <si>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</si>
  <si>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</si>
  <si>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</si>
  <si>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</si>
  <si>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</si>
  <si>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</si>
  <si>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</si>
  <si>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</si>
  <si>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</si>
  <si>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</si>
  <si>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</si>
  <si>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</si>
  <si>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</si>
  <si>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</si>
  <si>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</si>
  <si>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</si>
  <si>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</si>
  <si>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</si>
  <si>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</si>
  <si>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</si>
  <si>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</si>
  <si>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</si>
  <si>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</si>
  <si>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</si>
  <si>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</si>
  <si>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</si>
  <si>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</si>
  <si>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</si>
  <si>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</si>
  <si>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</si>
  <si>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</si>
  <si>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</si>
  <si>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</si>
  <si>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</si>
  <si>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</si>
  <si>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</si>
  <si>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</si>
  <si>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</si>
  <si>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</si>
  <si>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</si>
  <si>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</si>
  <si>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</si>
  <si>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</si>
  <si>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</si>
  <si>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</si>
  <si>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</si>
  <si>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</si>
  <si>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</si>
  <si>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</si>
  <si>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</si>
  <si>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</si>
  <si>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</si>
  <si>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</si>
  <si>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</si>
  <si>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</si>
  <si>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</si>
  <si>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</si>
  <si>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</si>
  <si>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</si>
  <si>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</si>
  <si>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</si>
  <si>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</si>
  <si>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</si>
  <si>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</si>
  <si>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</si>
  <si>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</si>
  <si>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</si>
  <si>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</si>
  <si>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</si>
  <si>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</si>
  <si>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</si>
  <si>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</si>
  <si>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</si>
  <si>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</si>
  <si>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</si>
  <si>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</si>
  <si>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</si>
  <si>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</si>
  <si>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Shift Hydrogen Production to Electrolysis</t>
  </si>
  <si>
    <t>Fraction of Hydrogen Production Pathways Shifted</t>
  </si>
  <si>
    <t>District Heat CHP</t>
  </si>
  <si>
    <t>Use CHP for District Heat</t>
  </si>
  <si>
    <t>Hydrogen Electrolysis</t>
  </si>
  <si>
    <t>hydgn shift production pathways</t>
  </si>
  <si>
    <t>% of hydrogen production</t>
  </si>
  <si>
    <t>**Description:**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</si>
  <si>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</si>
  <si>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</si>
  <si>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</si>
  <si>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</si>
  <si>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</si>
  <si>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</si>
  <si>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</si>
  <si>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</si>
  <si>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</si>
  <si>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</si>
  <si>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</si>
  <si>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</si>
  <si>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</si>
  <si>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</si>
  <si>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</si>
  <si>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</si>
  <si>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</si>
  <si>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</si>
  <si>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</si>
  <si>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</si>
  <si>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</si>
  <si>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</si>
  <si>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</si>
  <si>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</si>
  <si>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</si>
  <si>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</si>
  <si>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</si>
  <si>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</si>
  <si>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</si>
  <si>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</si>
  <si>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</si>
  <si>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</si>
  <si>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</si>
  <si>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</si>
  <si>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</si>
  <si>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</si>
  <si>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</si>
  <si>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</si>
  <si>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</si>
  <si>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</si>
  <si>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</si>
  <si>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</si>
  <si>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</si>
  <si>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</si>
  <si>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</si>
  <si>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</si>
  <si>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</si>
  <si>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</si>
  <si>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</si>
  <si>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</si>
  <si>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</si>
  <si>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</si>
  <si>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</si>
  <si>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</si>
  <si>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</si>
  <si>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</si>
  <si>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</si>
  <si>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</si>
  <si>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</si>
  <si>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</si>
  <si>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</si>
  <si>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</si>
  <si>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</si>
  <si>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</si>
  <si>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</si>
  <si>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</si>
  <si>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</si>
  <si>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</si>
  <si>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</si>
  <si>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</si>
  <si>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</si>
  <si>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</si>
  <si>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</si>
  <si>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</si>
  <si>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</si>
  <si>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</si>
  <si>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</si>
  <si>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</si>
  <si>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</si>
  <si>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</si>
  <si>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</si>
  <si>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</si>
  <si>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</si>
  <si>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</si>
  <si>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</si>
  <si>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</si>
  <si>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</si>
  <si>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</si>
  <si>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</si>
  <si>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</si>
  <si>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</si>
  <si>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</si>
  <si>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</si>
  <si>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</si>
  <si>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</si>
  <si>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</si>
  <si>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</si>
  <si>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</si>
  <si>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</si>
  <si>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</si>
  <si>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</si>
  <si>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</si>
  <si>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</si>
  <si>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</si>
  <si>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</si>
  <si>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</si>
  <si>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</si>
  <si>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</si>
  <si>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</si>
  <si>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</si>
  <si>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</si>
  <si>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</si>
  <si>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</si>
  <si>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</si>
  <si>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</si>
  <si>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</si>
  <si>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</si>
  <si>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</si>
  <si>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</si>
  <si>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</si>
  <si>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</si>
  <si>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</si>
  <si>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</si>
  <si>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</si>
  <si>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</si>
  <si>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</si>
  <si>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</si>
  <si>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</si>
  <si>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</si>
  <si>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</si>
  <si>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</si>
  <si>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</si>
  <si>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</si>
  <si>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</si>
  <si>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</si>
  <si>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</si>
  <si>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</si>
  <si>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</si>
  <si>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</si>
  <si>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</si>
  <si>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</si>
  <si>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</si>
  <si>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</si>
  <si>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</si>
  <si>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</si>
  <si>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</si>
  <si>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</si>
  <si>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</si>
  <si>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</si>
  <si>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</si>
  <si>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</si>
  <si>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</si>
  <si>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</si>
  <si>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</si>
  <si>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</si>
  <si>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</si>
  <si>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</si>
  <si>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</si>
  <si>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</si>
  <si>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</si>
  <si>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</si>
  <si>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</si>
  <si>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</si>
  <si>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</si>
  <si>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</si>
  <si>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</si>
  <si>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</si>
  <si>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</si>
  <si>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</si>
  <si>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</si>
  <si>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</si>
  <si>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</si>
  <si>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</si>
  <si>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</si>
  <si>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</si>
  <si>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</si>
  <si>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</si>
  <si>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</si>
  <si>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</si>
  <si>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</si>
  <si>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</si>
  <si>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</si>
  <si>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</si>
  <si>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</si>
  <si>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</si>
  <si>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</si>
  <si>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</si>
  <si>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</si>
  <si>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</si>
  <si>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</si>
  <si>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</si>
  <si>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</si>
  <si>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</si>
  <si>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</si>
  <si>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</si>
  <si>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</si>
  <si>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</si>
  <si>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</si>
  <si>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</si>
  <si>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</si>
  <si>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</si>
  <si>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</si>
  <si>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</si>
  <si>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</si>
  <si>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</si>
  <si>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</si>
  <si>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</si>
  <si>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</si>
  <si>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</si>
  <si>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</si>
  <si>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</si>
  <si>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</si>
  <si>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</si>
  <si>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</si>
  <si>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</si>
  <si>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</si>
  <si>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</si>
  <si>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</si>
  <si>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</si>
  <si>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</si>
  <si>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</si>
  <si>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</si>
  <si>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</si>
  <si>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</si>
  <si>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</si>
  <si>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</si>
  <si>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</si>
  <si>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</si>
  <si>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</si>
  <si>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</si>
  <si>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</si>
  <si>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</si>
  <si>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</si>
  <si>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</si>
  <si>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</si>
  <si>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</si>
  <si>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</si>
  <si>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</si>
  <si>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</si>
  <si>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</si>
  <si>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</si>
  <si>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</si>
  <si>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</si>
  <si>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</si>
  <si>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</si>
  <si>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</si>
  <si>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</si>
  <si>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</si>
  <si>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</si>
  <si>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</si>
  <si>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</si>
  <si>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</si>
  <si>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</si>
  <si>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</si>
  <si>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</si>
  <si>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</si>
  <si>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</si>
  <si>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</si>
  <si>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</si>
  <si>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</si>
  <si>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</si>
  <si>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</si>
  <si>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</si>
  <si>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</si>
  <si>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</si>
  <si>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</si>
  <si>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</si>
  <si>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</si>
  <si>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</si>
  <si>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</si>
  <si>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</si>
  <si>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</si>
  <si>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</si>
  <si>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</si>
  <si>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</si>
  <si>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</si>
  <si>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</si>
  <si>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</si>
  <si>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</si>
  <si>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</si>
  <si>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</si>
  <si>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</si>
  <si>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</si>
  <si>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</si>
  <si>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</si>
  <si>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</si>
  <si>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</si>
  <si>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</si>
  <si>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</si>
  <si>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</si>
  <si>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</si>
  <si>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</si>
  <si>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</si>
  <si>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</si>
  <si>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</si>
  <si>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</si>
  <si>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</si>
  <si>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</si>
  <si>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</si>
  <si>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</si>
  <si>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</si>
  <si>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</si>
  <si>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</si>
  <si>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</si>
  <si>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</si>
  <si>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</si>
  <si>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</si>
  <si>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</si>
  <si>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</si>
  <si>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</si>
  <si>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</si>
  <si>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</si>
  <si>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</si>
  <si>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</si>
  <si>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</si>
  <si>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</si>
  <si>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</si>
  <si>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</si>
  <si>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</si>
  <si>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</si>
  <si>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</si>
  <si>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</si>
  <si>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</si>
  <si>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</si>
  <si>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</si>
  <si>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</si>
  <si>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</si>
  <si>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</si>
  <si>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</si>
  <si>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</si>
  <si>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</si>
  <si>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</si>
  <si>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</si>
  <si>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</si>
  <si>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</si>
  <si>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</si>
  <si>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</si>
  <si>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</si>
  <si>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</si>
  <si>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</si>
  <si>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</si>
  <si>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</si>
  <si>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</si>
  <si>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</si>
  <si>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</si>
  <si>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</si>
  <si>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</si>
  <si>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</si>
  <si>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</si>
  <si>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</si>
  <si>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</si>
  <si>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</si>
  <si>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</si>
  <si>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</si>
  <si>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</si>
  <si>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</si>
  <si>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</si>
  <si>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</si>
  <si>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</si>
  <si>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</si>
  <si>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</si>
  <si>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</si>
  <si>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</si>
  <si>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</si>
  <si>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</si>
  <si>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</si>
  <si>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</si>
  <si>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</si>
  <si>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</si>
  <si>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</si>
  <si>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</si>
  <si>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</si>
  <si>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</si>
  <si>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</si>
  <si>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</si>
  <si>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</si>
  <si>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</si>
  <si>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</si>
  <si>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</si>
  <si>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</si>
  <si>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</si>
  <si>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</si>
  <si>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</si>
  <si>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</si>
  <si>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</si>
  <si>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</si>
  <si>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</si>
  <si>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</si>
  <si>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</si>
  <si>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</si>
  <si>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</si>
  <si>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</si>
  <si>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</si>
  <si>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</si>
  <si>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</si>
  <si>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</si>
  <si>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</si>
  <si>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</si>
  <si>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</si>
  <si>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</si>
  <si>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</si>
  <si>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</si>
  <si>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</si>
  <si>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</si>
  <si>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</si>
  <si>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</si>
  <si>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</si>
  <si>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</si>
  <si>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</si>
  <si>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</si>
  <si>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</si>
  <si>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</si>
  <si>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</si>
  <si>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</si>
  <si>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</si>
  <si>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</si>
  <si>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</si>
  <si>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</si>
  <si>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</si>
  <si>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</si>
  <si>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</si>
  <si>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</si>
  <si>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</si>
  <si>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</si>
  <si>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</si>
  <si>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</si>
  <si>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</si>
  <si>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</si>
  <si>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</si>
  <si>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</si>
  <si>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</si>
  <si>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</si>
  <si>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</si>
  <si>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</si>
  <si>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</si>
  <si>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</si>
  <si>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</si>
  <si>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</si>
  <si>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</si>
  <si>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</si>
  <si>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</si>
  <si>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</si>
  <si>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</si>
  <si>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</si>
  <si>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</si>
  <si>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</si>
  <si>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</si>
  <si>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</si>
  <si>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</si>
  <si>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</si>
  <si>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</si>
  <si>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</si>
  <si>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</si>
  <si>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</si>
  <si>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</si>
  <si>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</si>
  <si>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</si>
  <si>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</si>
  <si>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</si>
  <si>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</si>
  <si>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</si>
  <si>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</si>
  <si>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</si>
  <si>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</si>
  <si>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</si>
  <si>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</si>
  <si>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</si>
  <si>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</si>
  <si>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</si>
  <si>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</si>
  <si>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</si>
  <si>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</si>
  <si>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</si>
  <si>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</si>
  <si>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</si>
  <si>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</si>
  <si>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</si>
  <si>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</si>
  <si>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</si>
  <si>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</si>
  <si>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</si>
  <si>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</si>
  <si>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</si>
  <si>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</si>
  <si>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</si>
  <si>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</si>
  <si>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</si>
  <si>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</si>
  <si>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</si>
  <si>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</si>
  <si>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</si>
  <si>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</si>
  <si>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</si>
  <si>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</si>
  <si>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</si>
  <si>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</si>
  <si>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</si>
  <si>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</si>
  <si>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</si>
  <si>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</si>
  <si>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</si>
  <si>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</si>
  <si>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</si>
  <si>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</si>
  <si>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</si>
  <si>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</si>
  <si>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</si>
  <si>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</si>
  <si>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</si>
  <si>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</si>
  <si>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</si>
  <si>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</si>
  <si>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</si>
  <si>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</si>
  <si>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</si>
  <si>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</si>
  <si>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</si>
  <si>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</si>
  <si>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</si>
  <si>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</si>
  <si>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</si>
  <si>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</si>
  <si>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</si>
  <si>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</si>
  <si>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</si>
  <si>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</si>
  <si>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</si>
  <si>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</si>
  <si>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</si>
  <si>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</si>
  <si>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</si>
  <si>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</si>
  <si>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</si>
  <si>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</si>
  <si>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</si>
  <si>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</si>
  <si>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</si>
  <si>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</si>
  <si>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</si>
  <si>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</si>
  <si>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</si>
  <si>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</si>
  <si>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</si>
  <si>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</si>
  <si>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</si>
  <si>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</si>
  <si>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</si>
  <si>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</si>
  <si>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</si>
  <si>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</si>
  <si>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</si>
  <si>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</si>
  <si>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</si>
  <si>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</si>
  <si>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</si>
  <si>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</si>
  <si>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</si>
  <si>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</si>
  <si>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</si>
  <si>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</si>
  <si>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</si>
  <si>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</si>
  <si>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</si>
  <si>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</si>
  <si>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</si>
  <si>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</si>
  <si>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</si>
  <si>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</si>
  <si>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</si>
  <si>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</si>
  <si>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</si>
  <si>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</si>
  <si>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</si>
  <si>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</si>
  <si>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</si>
  <si>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</si>
  <si>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</si>
  <si>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</si>
  <si>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</si>
  <si>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</si>
  <si>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</si>
  <si>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</si>
  <si>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</si>
  <si>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</si>
  <si>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</si>
  <si>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</si>
  <si>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</si>
  <si>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</si>
  <si>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</si>
  <si>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</si>
  <si>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</si>
  <si>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</si>
  <si>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</si>
  <si>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</si>
  <si>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</si>
  <si>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</si>
  <si>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</si>
  <si>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</si>
  <si>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</si>
  <si>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</si>
  <si>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</si>
  <si>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</si>
  <si>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</si>
  <si>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</si>
  <si>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</si>
  <si>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</si>
  <si>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</si>
  <si>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</si>
  <si>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</si>
  <si>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</si>
  <si>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</si>
  <si>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</si>
  <si>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</si>
  <si>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</si>
  <si>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</si>
  <si>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</si>
  <si>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</si>
  <si>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</si>
  <si>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</si>
  <si>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</si>
  <si>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</si>
  <si>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</si>
  <si>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</si>
  <si>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</si>
  <si>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</si>
  <si>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</si>
  <si>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</si>
  <si>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</si>
  <si>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</si>
  <si>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</si>
  <si>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</si>
  <si>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</si>
  <si>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</si>
  <si>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</si>
  <si>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</si>
  <si>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</si>
  <si>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</si>
  <si>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</si>
  <si>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</si>
  <si>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</si>
  <si>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</si>
  <si>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</si>
  <si>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</si>
  <si>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</si>
  <si>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</si>
  <si>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</si>
  <si>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</si>
  <si>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</si>
  <si>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</si>
  <si>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</si>
  <si>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</si>
  <si>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</si>
  <si>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</si>
  <si>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</si>
  <si>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</si>
  <si>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</si>
  <si>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</si>
  <si>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</si>
  <si>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</si>
  <si>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</si>
  <si>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</si>
  <si>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</si>
  <si>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</si>
  <si>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</si>
  <si>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</si>
  <si>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</si>
  <si>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</si>
  <si>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</si>
  <si>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</si>
  <si>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</si>
  <si>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</si>
  <si>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</si>
  <si>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</si>
  <si>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</si>
  <si>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</si>
  <si>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</si>
  <si>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</si>
  <si>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</si>
  <si>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</si>
  <si>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</si>
  <si>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</si>
  <si>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</si>
  <si>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</si>
  <si>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</si>
  <si>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</si>
  <si>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</si>
  <si>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</si>
  <si>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</si>
  <si>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</si>
  <si>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</si>
  <si>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</si>
  <si>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</si>
  <si>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</si>
  <si>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</si>
  <si>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</si>
  <si>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</si>
  <si>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</si>
  <si>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</si>
  <si>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</si>
  <si>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</si>
  <si>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</si>
  <si>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</si>
  <si>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</si>
  <si>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</si>
  <si>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</si>
  <si>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</si>
  <si>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</si>
  <si>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</si>
  <si>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</si>
  <si>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</si>
  <si>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</si>
  <si>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</si>
  <si>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</si>
  <si>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</si>
  <si>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</si>
  <si>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</si>
  <si>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</si>
  <si>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</si>
  <si>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</si>
  <si>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</si>
  <si>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</si>
  <si>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</si>
  <si>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</si>
  <si>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</si>
  <si>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</si>
  <si>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</si>
  <si>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</si>
  <si>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</si>
  <si>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</si>
  <si>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</si>
  <si>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</si>
  <si>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</si>
  <si>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</si>
  <si>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</si>
  <si>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</si>
  <si>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</si>
  <si>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</si>
  <si>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</si>
  <si>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</si>
  <si>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</si>
  <si>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</si>
  <si>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</si>
  <si>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</si>
  <si>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</si>
  <si>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</si>
  <si>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</si>
  <si>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</si>
  <si>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</si>
  <si>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</si>
  <si>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</si>
  <si>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</si>
  <si>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</si>
  <si>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</si>
  <si>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</si>
  <si>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</si>
  <si>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</si>
  <si>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</si>
  <si>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</si>
  <si>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</si>
  <si>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</si>
  <si>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</si>
  <si>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</si>
  <si>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</si>
  <si>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</si>
  <si>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</si>
  <si>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</si>
  <si>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</si>
  <si>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</si>
  <si>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</si>
  <si>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</si>
  <si>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</si>
  <si>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</si>
  <si>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</si>
  <si>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</si>
  <si>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</si>
  <si>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</si>
  <si>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</si>
  <si>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</si>
  <si>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</si>
  <si>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</si>
  <si>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</si>
  <si>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</si>
  <si>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</si>
  <si>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</si>
  <si>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</si>
  <si>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</si>
  <si>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</si>
  <si>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</si>
  <si>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</si>
  <si>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</si>
  <si>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</si>
  <si>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</si>
  <si>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</si>
  <si>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</si>
  <si>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</si>
  <si>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</si>
  <si>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</si>
  <si>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</si>
  <si>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</si>
  <si>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</si>
  <si>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</si>
  <si>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</si>
  <si>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</si>
  <si>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</si>
  <si>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</si>
  <si>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</si>
  <si>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</si>
  <si>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</si>
  <si>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</si>
  <si>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</si>
  <si>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</si>
  <si>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</si>
  <si>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</si>
  <si>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</si>
  <si>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</si>
  <si>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</si>
  <si>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</si>
  <si>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</si>
  <si>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</si>
  <si>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</si>
  <si>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</si>
  <si>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</si>
  <si>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</si>
  <si>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</si>
  <si>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</si>
  <si>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</si>
  <si>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</si>
  <si>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</si>
  <si>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</si>
  <si>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</si>
  <si>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</si>
  <si>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</si>
  <si>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</si>
  <si>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</si>
  <si>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</si>
  <si>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</si>
  <si>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</si>
  <si>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</si>
  <si>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</si>
  <si>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</si>
  <si>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</si>
  <si>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</si>
  <si>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</si>
  <si>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</si>
  <si>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</si>
  <si>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</si>
  <si>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</si>
  <si>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</si>
  <si>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</si>
  <si>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</si>
  <si>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</si>
  <si>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</si>
  <si>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</si>
  <si>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</si>
  <si>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</si>
  <si>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</si>
  <si>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</si>
  <si>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</si>
  <si>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</si>
  <si>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</si>
  <si>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</si>
  <si>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</si>
  <si>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</si>
  <si>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</si>
  <si>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</si>
  <si>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</si>
  <si>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</si>
  <si>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</si>
  <si>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</si>
  <si>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</si>
  <si>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</si>
  <si>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</si>
  <si>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</si>
  <si>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</si>
  <si>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</si>
  <si>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</si>
  <si>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</si>
  <si>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</si>
  <si>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</si>
  <si>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</si>
  <si>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</si>
  <si>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</si>
  <si>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</si>
  <si>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</si>
  <si>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</si>
  <si>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</si>
  <si>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</si>
  <si>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</si>
  <si>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</si>
  <si>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</si>
  <si>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</si>
  <si>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</si>
  <si>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</si>
  <si>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</si>
  <si>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</si>
  <si>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</si>
  <si>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</si>
  <si>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</si>
  <si>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</si>
  <si>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</si>
  <si>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</si>
  <si>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</si>
  <si>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</si>
  <si>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</si>
  <si>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</si>
  <si>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</si>
  <si>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</si>
  <si>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</si>
  <si>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</si>
  <si>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</si>
  <si>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</si>
  <si>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</si>
  <si>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</si>
  <si>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</si>
  <si>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</si>
  <si>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</si>
  <si>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</si>
  <si>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</si>
  <si>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</si>
  <si>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</si>
  <si>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</si>
  <si>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</si>
  <si>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</si>
  <si>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</si>
  <si>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</si>
  <si>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</si>
  <si>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</si>
  <si>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</si>
  <si>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</si>
  <si>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</si>
  <si>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</si>
  <si>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</si>
  <si>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</si>
  <si>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</si>
  <si>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</si>
  <si>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**Description:** By default, carbon taxes apply to only domestically produced goods. If set to zero, this policy enables carbon tax border adjustments, meaning the carbon tax will apply to both domestically produced and imported goods.</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</si>
  <si>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</si>
  <si>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</si>
  <si>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</si>
  <si>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</si>
  <si>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</si>
  <si>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</si>
  <si>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</si>
  <si>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Minimum Required ZEV Sales Percentage</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</si>
  <si>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</si>
  <si>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</si>
  <si>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</si>
  <si>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</si>
  <si>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</si>
  <si>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</si>
  <si>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</si>
  <si>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</si>
  <si>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</si>
  <si>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</si>
  <si>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</si>
  <si>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</si>
  <si>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</si>
  <si>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</si>
  <si>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</si>
  <si>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</si>
  <si>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</si>
  <si>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</si>
  <si>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</si>
  <si>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</si>
  <si>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</si>
  <si>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</si>
  <si>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</si>
  <si>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</si>
  <si>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</si>
  <si>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</si>
  <si>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</si>
  <si>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</si>
  <si>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</si>
  <si>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</si>
  <si>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</si>
  <si>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</si>
  <si>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</si>
  <si>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</si>
  <si>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</si>
  <si>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 increase</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</si>
  <si>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</si>
  <si>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</si>
  <si>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</si>
  <si>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</si>
  <si>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</si>
  <si>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</si>
  <si>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</si>
  <si>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</si>
  <si>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</si>
  <si>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</si>
  <si>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</si>
  <si>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</si>
  <si>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</si>
  <si>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</si>
  <si>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</si>
  <si>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</si>
  <si>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</si>
  <si>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</si>
  <si>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</si>
  <si>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</si>
  <si>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</si>
  <si>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</si>
  <si>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</si>
  <si>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</si>
  <si>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</si>
  <si>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</si>
  <si>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</si>
  <si>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</si>
  <si>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</si>
  <si>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</si>
  <si>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</si>
  <si>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</si>
  <si>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</si>
  <si>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</si>
  <si>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</si>
  <si>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</si>
  <si>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</si>
  <si>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</si>
  <si>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</si>
  <si>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</si>
  <si>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</si>
  <si>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</si>
  <si>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</si>
  <si>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</si>
  <si>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</si>
  <si>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</si>
  <si>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</si>
  <si>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</si>
  <si>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</si>
  <si>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</si>
  <si>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</si>
  <si>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</si>
  <si>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</si>
  <si>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</si>
  <si>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</si>
  <si>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</si>
  <si>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</si>
  <si>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</si>
  <si>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</si>
  <si>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</si>
  <si>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</si>
  <si>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</si>
  <si>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</si>
  <si>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</si>
  <si>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</si>
  <si>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</si>
  <si>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</si>
  <si>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</si>
  <si>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</si>
  <si>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</si>
  <si>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</si>
  <si>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</si>
  <si>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</si>
  <si>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</si>
  <si>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</si>
  <si>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</si>
  <si>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</si>
  <si>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</si>
  <si>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</si>
  <si>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</si>
  <si>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</si>
  <si>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</si>
  <si>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</si>
  <si>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</si>
  <si>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</si>
  <si>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</si>
  <si>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</si>
  <si>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</si>
  <si>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</si>
  <si>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</si>
  <si>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</si>
  <si>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</si>
  <si>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</si>
  <si>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</si>
  <si>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</si>
  <si>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</si>
  <si>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</si>
  <si>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</si>
  <si>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</si>
  <si>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</si>
  <si>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</si>
  <si>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</si>
  <si>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</si>
  <si>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</si>
  <si>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</si>
  <si>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</si>
  <si>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</si>
  <si>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</si>
  <si>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</si>
  <si>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</si>
  <si>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</si>
  <si>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</si>
  <si>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</si>
  <si>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</si>
  <si>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</si>
  <si>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</si>
  <si>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</si>
  <si>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</si>
  <si>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</si>
  <si>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</si>
  <si>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</si>
  <si>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</si>
  <si>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</si>
  <si>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</si>
  <si>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</si>
  <si>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</si>
  <si>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</si>
  <si>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</si>
  <si>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</si>
  <si>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</si>
  <si>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</si>
  <si>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</si>
  <si>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</si>
  <si>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</si>
  <si>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</si>
  <si>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</si>
  <si>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</si>
  <si>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</si>
  <si>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</si>
  <si>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</si>
  <si>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</si>
  <si>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</si>
  <si>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</si>
  <si>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</si>
  <si>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</si>
  <si>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</si>
  <si>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</si>
  <si>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</si>
  <si>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</si>
  <si>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</si>
  <si>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</si>
  <si>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</si>
  <si>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</si>
  <si>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</si>
  <si>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</si>
  <si>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Vehicle Battery Subsidy</t>
  </si>
  <si>
    <t>GRA for Vehicle Battery Subsidy</t>
  </si>
  <si>
    <t>GRA trans battery subsidy</t>
  </si>
  <si>
    <t>CCS Subsidy</t>
  </si>
  <si>
    <t>GRA for CCS Subsidies</t>
  </si>
  <si>
    <t>GRA CCS subsidy</t>
  </si>
  <si>
    <t>Subsidy for Vehicle Battery Production</t>
  </si>
  <si>
    <t>Additional Subsidy for Vehicle Battery Production</t>
  </si>
  <si>
    <t>Vehicle Battery Production Subsidy</t>
  </si>
  <si>
    <t>trans battery subsidy</t>
  </si>
  <si>
    <t>**Description:**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</si>
  <si>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</si>
  <si>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</si>
  <si>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</si>
  <si>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</si>
  <si>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</si>
  <si>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</si>
  <si>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</si>
  <si>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t>
  </si>
  <si>
    <t>% of capital costs</t>
  </si>
  <si>
    <t>$ / MWh</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</si>
  <si>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</si>
  <si>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</si>
  <si>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</si>
  <si>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</si>
  <si>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</si>
  <si>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</si>
  <si>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</si>
  <si>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</si>
  <si>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</si>
  <si>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</si>
  <si>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</si>
  <si>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</si>
  <si>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</si>
  <si>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</si>
  <si>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</si>
  <si>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</si>
  <si>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</si>
  <si>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</si>
  <si>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</si>
  <si>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</si>
  <si>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</si>
  <si>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</si>
  <si>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</si>
  <si>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</si>
  <si>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</si>
  <si>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</si>
  <si>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</si>
  <si>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</si>
  <si>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</si>
  <si>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</si>
  <si>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</si>
  <si>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</si>
  <si>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</si>
  <si>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</si>
  <si>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</si>
  <si>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</si>
  <si>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</si>
  <si>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</si>
  <si>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</si>
  <si>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t>
  </si>
  <si>
    <t>**Description:**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</si>
  <si>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</si>
  <si>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</si>
  <si>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</si>
  <si>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</si>
  <si>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g CO2e / 2023 dollar</t>
  </si>
  <si>
    <t>g CO2 / 2023 dollar</t>
  </si>
  <si>
    <t>2023 dollars / metric ton CO2e abated, Annual average abatement (million metric tons CO2e)</t>
  </si>
  <si>
    <t>billion 2023 dollars / year</t>
  </si>
  <si>
    <t>billion 2023 dollars</t>
  </si>
  <si>
    <t>2023 dollars / employee-year</t>
  </si>
  <si>
    <t>kilowatt-hour / 2023 dollar</t>
  </si>
  <si>
    <t>2023 dollars / megawatt-hour (MWh)</t>
  </si>
  <si>
    <t>thousand BTU / 2023 dollar</t>
  </si>
  <si>
    <t>2023 dollars / short ton</t>
  </si>
  <si>
    <t>2023 dollars / thousand cubic feet</t>
  </si>
  <si>
    <t>2023 dollars / gallon</t>
  </si>
  <si>
    <t>2023 dollars / barrel of oil</t>
  </si>
  <si>
    <t>2023 dollars / kg</t>
  </si>
  <si>
    <t>2023 dollars / kilowatt-hour (kWh)</t>
  </si>
  <si>
    <t>million 2023 dollars / megawatt (MW)</t>
  </si>
  <si>
    <t>cost of eqpt. to produce 1 kg H2/yr (2023 dollars)</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</si>
  <si>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</si>
  <si>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</si>
  <si>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</si>
  <si>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</si>
  <si>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</si>
  <si>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</si>
  <si>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</si>
  <si>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</si>
  <si>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</si>
  <si>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</si>
  <si>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</si>
  <si>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</si>
  <si>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</si>
  <si>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</si>
  <si>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</si>
  <si>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</si>
  <si>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</si>
  <si>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</si>
  <si>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</si>
  <si>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</si>
  <si>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</si>
  <si>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</si>
  <si>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</si>
  <si>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</si>
  <si>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</si>
  <si>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</si>
  <si>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</si>
  <si>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</si>
  <si>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</si>
  <si>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</si>
  <si>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 xml:space="preserve">**Description:** The business-as-usual case includes all planned CCUS retrofits (as modeled by the EPA for its latest GHG standards for power plants). This policy uses an alternative set of data for CCUS retrofits. </t>
  </si>
  <si>
    <t>**Description:**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</si>
  <si>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</si>
  <si>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</si>
  <si>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</si>
  <si>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</si>
  <si>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</si>
  <si>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</si>
  <si>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</si>
  <si>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</si>
  <si>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increases the sequestration of CO2 by planting forests.  Planted forests are assumed to be managed with best practices and are not used for timber harvesting.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</si>
  <si>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</si>
  <si>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</si>
  <si>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</si>
  <si>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</si>
  <si>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</si>
  <si>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</si>
  <si>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</si>
  <si>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</si>
  <si>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</si>
  <si>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</si>
  <si>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</si>
  <si>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</si>
  <si>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</si>
  <si>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</si>
  <si>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</si>
  <si>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</si>
  <si>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</si>
  <si>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</si>
  <si>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</si>
  <si>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</si>
  <si>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</si>
  <si>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</si>
  <si>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</si>
  <si>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</si>
  <si>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</si>
  <si>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</si>
  <si>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</si>
  <si>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</si>
  <si>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</si>
  <si>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</si>
  <si>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</si>
  <si>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</si>
  <si>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</si>
  <si>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</si>
  <si>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</si>
  <si>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</si>
  <si>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</si>
  <si>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</si>
  <si>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</si>
  <si>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</si>
  <si>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</si>
  <si>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</si>
  <si>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</si>
  <si>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</si>
  <si>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</si>
  <si>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</si>
  <si>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</si>
  <si>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</si>
  <si>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</si>
  <si>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</si>
  <si>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</si>
  <si>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</si>
  <si>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</si>
  <si>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</si>
  <si>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</si>
  <si>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</si>
  <si>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</si>
  <si>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</si>
  <si>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</si>
  <si>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af64ff,0099CC,ffff99,620e7a, 65fffb, 00b050, ff6400, f1bb18, ffff00, c2dffd, 087bf1, 004185, e5ffcc, ff9999, ccff33, 04ffaf, bfb088, ff00ff, 000000, f593e0, ff0000, 9b1cb0, c01b00, 6e8000, 004d10, 009999, 969696</t>
  </si>
  <si>
    <t>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</si>
  <si>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</si>
  <si>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</si>
  <si>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</si>
  <si>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</si>
  <si>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</si>
  <si>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</si>
  <si>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</si>
  <si>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</si>
  <si>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</si>
  <si>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</si>
  <si>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</si>
  <si>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</si>
  <si>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</si>
  <si>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</si>
  <si>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</si>
  <si>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</si>
  <si>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</si>
  <si>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</si>
  <si>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</si>
  <si>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</si>
  <si>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</si>
  <si>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</si>
  <si>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</si>
  <si>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**Description:** This policy applies non-BAU assumptions for state level minimum ZEV requirements (specified through input data). In the United States model, this tests reversing state level Advanced Clean Cars and Advanced Clean Trucks requirements starting in 2025.</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</si>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</sst>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1"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s>
  <fills count="102">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3477">
    <xf numFmtId="0" fontId="0" fillId="0" borderId="0"/>
    <xf numFmtId="9" fontId="13" fillId="0" borderId="0" applyFont="0" applyFill="0" applyBorder="0" applyAlignment="0" applyProtection="0"/>
    <xf numFmtId="0" fontId="14" fillId="0" borderId="0" applyNumberFormat="0" applyFill="0" applyBorder="0" applyAlignment="0" applyProtection="0"/>
    <xf numFmtId="0" fontId="18" fillId="0" borderId="0"/>
    <xf numFmtId="0" fontId="19" fillId="0" borderId="2" applyNumberFormat="0" applyProtection="0">
      <alignment wrapText="1"/>
    </xf>
    <xf numFmtId="0" fontId="18" fillId="0" borderId="3" applyNumberFormat="0" applyFont="0" applyProtection="0">
      <alignment wrapText="1"/>
    </xf>
    <xf numFmtId="43" fontId="13" fillId="0" borderId="0" applyFont="0" applyFill="0" applyBorder="0" applyAlignment="0" applyProtection="0"/>
    <xf numFmtId="0" fontId="26" fillId="0" borderId="0" applyNumberFormat="0" applyFill="0" applyBorder="0" applyAlignment="0" applyProtection="0"/>
    <xf numFmtId="0" fontId="27" fillId="0" borderId="0" applyNumberFormat="0">
      <alignment horizontal="right"/>
    </xf>
    <xf numFmtId="0" fontId="29" fillId="0" borderId="0" applyNumberFormat="0" applyFill="0" applyBorder="0" applyProtection="0">
      <alignment horizontal="left" vertical="center"/>
    </xf>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5"/>
    </xf>
    <xf numFmtId="0" fontId="31" fillId="9" borderId="0" applyBorder="0">
      <alignment horizontal="right" vertical="center"/>
    </xf>
    <xf numFmtId="0" fontId="31" fillId="0" borderId="0"/>
    <xf numFmtId="0" fontId="32" fillId="16" borderId="0" applyNumberFormat="0" applyFont="0" applyBorder="0" applyAlignment="0" applyProtection="0"/>
    <xf numFmtId="0" fontId="28" fillId="0" borderId="0"/>
    <xf numFmtId="0" fontId="36" fillId="9" borderId="29">
      <alignment horizontal="right" vertical="center"/>
    </xf>
    <xf numFmtId="0" fontId="32" fillId="0" borderId="26"/>
    <xf numFmtId="0" fontId="31" fillId="0" borderId="51">
      <alignment horizontal="left" vertical="center" wrapText="1" indent="2"/>
    </xf>
    <xf numFmtId="0" fontId="59" fillId="0" borderId="0"/>
    <xf numFmtId="0" fontId="8" fillId="0" borderId="0"/>
    <xf numFmtId="0" fontId="64" fillId="7" borderId="56" applyNumberFormat="0" applyAlignment="0" applyProtection="0"/>
    <xf numFmtId="0" fontId="8" fillId="48" borderId="0" applyNumberFormat="0" applyBorder="0" applyAlignment="0" applyProtection="0"/>
    <xf numFmtId="0" fontId="27" fillId="14" borderId="91">
      <alignment horizontal="right" vertical="center"/>
    </xf>
    <xf numFmtId="0" fontId="32" fillId="0" borderId="0"/>
    <xf numFmtId="0" fontId="31" fillId="9" borderId="0" applyBorder="0">
      <alignment horizontal="right" vertical="center"/>
    </xf>
    <xf numFmtId="0" fontId="31" fillId="9" borderId="59">
      <alignment horizontal="right" vertical="center"/>
    </xf>
    <xf numFmtId="0" fontId="27" fillId="14" borderId="90">
      <alignment horizontal="right" vertical="center"/>
    </xf>
    <xf numFmtId="0" fontId="31" fillId="0" borderId="93">
      <alignment horizontal="left" vertical="center" wrapText="1" indent="2"/>
    </xf>
    <xf numFmtId="0" fontId="31" fillId="0" borderId="0" applyBorder="0">
      <alignment horizontal="right" vertical="center"/>
    </xf>
    <xf numFmtId="0" fontId="27" fillId="14" borderId="91">
      <alignment horizontal="right" vertical="center"/>
    </xf>
    <xf numFmtId="0" fontId="81" fillId="86" borderId="87" applyNumberFormat="0" applyAlignment="0" applyProtection="0"/>
    <xf numFmtId="4" fontId="27" fillId="14" borderId="92">
      <alignment horizontal="right" vertical="center"/>
    </xf>
    <xf numFmtId="0" fontId="31" fillId="0" borderId="29" applyNumberFormat="0" applyFill="0" applyAlignment="0" applyProtection="0"/>
    <xf numFmtId="0" fontId="27" fillId="0" borderId="65">
      <alignment horizontal="left" vertical="top" wrapText="1"/>
    </xf>
    <xf numFmtId="0" fontId="27" fillId="14" borderId="29">
      <alignment horizontal="right" vertical="center"/>
    </xf>
    <xf numFmtId="0" fontId="27" fillId="14" borderId="29">
      <alignment horizontal="right" vertical="center"/>
    </xf>
    <xf numFmtId="0" fontId="31" fillId="0" borderId="98">
      <alignment horizontal="right" vertical="center"/>
    </xf>
    <xf numFmtId="0" fontId="27" fillId="14" borderId="62">
      <alignment horizontal="right" vertical="center"/>
    </xf>
    <xf numFmtId="0" fontId="31" fillId="0" borderId="29">
      <alignment horizontal="right" vertical="center"/>
    </xf>
    <xf numFmtId="0" fontId="100" fillId="0" borderId="88" applyNumberFormat="0" applyFill="0" applyAlignment="0" applyProtection="0"/>
    <xf numFmtId="0" fontId="71" fillId="9" borderId="29">
      <alignment horizontal="right" vertical="center"/>
    </xf>
    <xf numFmtId="0" fontId="31" fillId="16" borderId="29"/>
    <xf numFmtId="0" fontId="32" fillId="89" borderId="89" applyNumberFormat="0" applyFont="0" applyAlignment="0" applyProtection="0"/>
    <xf numFmtId="0" fontId="27" fillId="14" borderId="90">
      <alignment horizontal="right" vertical="center"/>
    </xf>
    <xf numFmtId="0" fontId="27" fillId="9" borderId="29">
      <alignment horizontal="right" vertical="center"/>
    </xf>
    <xf numFmtId="0" fontId="27" fillId="9" borderId="60">
      <alignment horizontal="right" vertical="center"/>
    </xf>
    <xf numFmtId="0" fontId="31" fillId="0" borderId="60">
      <alignment horizontal="right" vertical="center"/>
    </xf>
    <xf numFmtId="4" fontId="32" fillId="0" borderId="0"/>
    <xf numFmtId="0" fontId="27" fillId="14" borderId="63">
      <alignment horizontal="right" vertical="center"/>
    </xf>
    <xf numFmtId="0" fontId="27" fillId="14" borderId="60">
      <alignment horizontal="right" vertical="center"/>
    </xf>
    <xf numFmtId="0" fontId="27" fillId="14" borderId="61">
      <alignment horizontal="right" vertical="center"/>
    </xf>
    <xf numFmtId="4" fontId="27" fillId="14" borderId="62">
      <alignment horizontal="right" vertical="center"/>
    </xf>
    <xf numFmtId="0" fontId="31" fillId="0" borderId="0"/>
    <xf numFmtId="0" fontId="31" fillId="67" borderId="29">
      <alignment horizontal="right" vertical="center"/>
    </xf>
    <xf numFmtId="0" fontId="31" fillId="67" borderId="0" applyBorder="0">
      <alignment horizontal="right" vertical="center"/>
    </xf>
    <xf numFmtId="0" fontId="32" fillId="0" borderId="0"/>
    <xf numFmtId="0" fontId="32" fillId="66" borderId="29"/>
    <xf numFmtId="4" fontId="32" fillId="0" borderId="0"/>
    <xf numFmtId="4" fontId="31" fillId="0" borderId="29" applyFill="0" applyBorder="0" applyProtection="0">
      <alignment horizontal="right" vertical="center"/>
    </xf>
    <xf numFmtId="0" fontId="74" fillId="0" borderId="0" applyNumberFormat="0" applyFill="0" applyBorder="0" applyAlignment="0" applyProtection="0"/>
    <xf numFmtId="4" fontId="32" fillId="0" borderId="0"/>
    <xf numFmtId="4" fontId="32" fillId="0" borderId="0"/>
    <xf numFmtId="0" fontId="8" fillId="0" borderId="0"/>
    <xf numFmtId="4" fontId="71" fillId="9" borderId="90">
      <alignment horizontal="right" vertical="center"/>
    </xf>
    <xf numFmtId="0" fontId="31" fillId="16" borderId="29"/>
    <xf numFmtId="0" fontId="27" fillId="14" borderId="62">
      <alignment horizontal="right" vertical="center"/>
    </xf>
    <xf numFmtId="0" fontId="31" fillId="0" borderId="98" applyNumberFormat="0" applyFill="0" applyAlignment="0" applyProtection="0"/>
    <xf numFmtId="4" fontId="31" fillId="16" borderId="90"/>
    <xf numFmtId="0" fontId="93" fillId="73" borderId="87" applyNumberFormat="0" applyAlignment="0" applyProtection="0"/>
    <xf numFmtId="0" fontId="100" fillId="0" borderId="88" applyNumberFormat="0" applyFill="0" applyAlignment="0" applyProtection="0"/>
    <xf numFmtId="0" fontId="71" fillId="9" borderId="90">
      <alignment horizontal="right" vertical="center"/>
    </xf>
    <xf numFmtId="0" fontId="65" fillId="46" borderId="57" applyNumberFormat="0" applyAlignment="0" applyProtection="0"/>
    <xf numFmtId="0" fontId="66" fillId="46" borderId="56"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67" fillId="0" borderId="0" applyNumberFormat="0" applyFill="0" applyBorder="0" applyAlignment="0" applyProtection="0"/>
    <xf numFmtId="0" fontId="8"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8" fillId="60" borderId="0" applyNumberFormat="0" applyBorder="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1" fillId="86" borderId="95" applyNumberFormat="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100" fillId="0" borderId="88" applyNumberFormat="0" applyFill="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0" fontId="93" fillId="73" borderId="87" applyNumberFormat="0" applyAlignment="0" applyProtection="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49" fontId="31" fillId="0" borderId="90" applyNumberFormat="0" applyFont="0" applyFill="0" applyBorder="0" applyProtection="0">
      <alignment horizontal="left" vertical="center" indent="2"/>
    </xf>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31" fillId="0" borderId="29" applyNumberFormat="0" applyFill="0" applyAlignment="0" applyProtection="0"/>
    <xf numFmtId="0" fontId="27" fillId="14" borderId="29">
      <alignment horizontal="right" vertical="center"/>
    </xf>
    <xf numFmtId="0" fontId="27" fillId="14" borderId="29">
      <alignment horizontal="right" vertical="center"/>
    </xf>
    <xf numFmtId="0" fontId="31" fillId="0" borderId="51">
      <alignment horizontal="left" vertical="center" wrapText="1" indent="2"/>
    </xf>
    <xf numFmtId="0" fontId="27" fillId="14" borderId="62">
      <alignment horizontal="right" vertical="center"/>
    </xf>
    <xf numFmtId="0" fontId="31" fillId="0" borderId="29">
      <alignment horizontal="right" vertical="center"/>
    </xf>
    <xf numFmtId="0" fontId="71" fillId="9" borderId="29">
      <alignment horizontal="right" vertical="center"/>
    </xf>
    <xf numFmtId="0" fontId="31" fillId="16" borderId="29"/>
    <xf numFmtId="0" fontId="27" fillId="9" borderId="29">
      <alignment horizontal="right" vertical="center"/>
    </xf>
    <xf numFmtId="0" fontId="27" fillId="14" borderId="61">
      <alignment horizontal="right" vertical="center"/>
    </xf>
    <xf numFmtId="0" fontId="73"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32" fillId="0" borderId="0" applyNumberFormat="0" applyFont="0" applyFill="0" applyBorder="0" applyProtection="0">
      <alignment horizontal="left" vertical="center" indent="2"/>
    </xf>
    <xf numFmtId="0" fontId="32" fillId="0" borderId="0" applyNumberFormat="0" applyFont="0" applyFill="0" applyBorder="0" applyProtection="0">
      <alignment horizontal="left" vertical="center" indent="2"/>
    </xf>
    <xf numFmtId="49" fontId="31" fillId="0" borderId="29" applyNumberFormat="0" applyFont="0" applyFill="0" applyBorder="0" applyProtection="0">
      <alignment horizontal="left" vertical="center" indent="2"/>
    </xf>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32" fillId="0" borderId="0" applyNumberFormat="0" applyFont="0" applyFill="0" applyBorder="0" applyProtection="0">
      <alignment horizontal="left" vertical="center" indent="5"/>
    </xf>
    <xf numFmtId="0" fontId="32" fillId="0" borderId="0" applyNumberFormat="0" applyFont="0" applyFill="0" applyBorder="0" applyProtection="0">
      <alignment horizontal="left" vertical="center" indent="5"/>
    </xf>
    <xf numFmtId="49" fontId="31" fillId="0" borderId="61" applyNumberFormat="0" applyFont="0" applyFill="0" applyBorder="0" applyProtection="0">
      <alignment horizontal="left" vertical="center" indent="5"/>
    </xf>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29" fillId="67" borderId="0" applyBorder="0" applyAlignment="0"/>
    <xf numFmtId="4" fontId="29" fillId="67" borderId="0" applyBorder="0" applyAlignment="0"/>
    <xf numFmtId="4" fontId="31" fillId="67" borderId="0" applyBorder="0">
      <alignment horizontal="right" vertical="center"/>
    </xf>
    <xf numFmtId="4" fontId="31" fillId="9" borderId="0" applyBorder="0">
      <alignment horizontal="right" vertical="center"/>
    </xf>
    <xf numFmtId="4" fontId="31" fillId="9" borderId="0" applyBorder="0">
      <alignment horizontal="right" vertical="center"/>
    </xf>
    <xf numFmtId="4" fontId="27" fillId="9" borderId="29">
      <alignment horizontal="right" vertical="center"/>
    </xf>
    <xf numFmtId="4" fontId="71" fillId="9" borderId="29">
      <alignment horizontal="right" vertical="center"/>
    </xf>
    <xf numFmtId="4" fontId="27" fillId="14" borderId="29">
      <alignment horizontal="right" vertical="center"/>
    </xf>
    <xf numFmtId="4" fontId="27" fillId="14" borderId="29">
      <alignment horizontal="right" vertical="center"/>
    </xf>
    <xf numFmtId="4" fontId="27" fillId="14" borderId="61">
      <alignment horizontal="right" vertical="center"/>
    </xf>
    <xf numFmtId="4" fontId="27" fillId="14" borderId="62">
      <alignment horizontal="right" vertical="center"/>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79" fillId="69" borderId="0" applyNumberFormat="0" applyBorder="0" applyAlignment="0" applyProtection="0"/>
    <xf numFmtId="4" fontId="29" fillId="0" borderId="39" applyFill="0" applyBorder="0" applyProtection="0">
      <alignment horizontal="right" vertical="center"/>
    </xf>
    <xf numFmtId="0" fontId="81" fillId="86" borderId="67" applyNumberFormat="0" applyAlignment="0" applyProtection="0"/>
    <xf numFmtId="0" fontId="82" fillId="87" borderId="68" applyNumberFormat="0" applyAlignment="0" applyProtection="0"/>
    <xf numFmtId="173" fontId="72" fillId="0" borderId="0" applyFont="0" applyFill="0" applyBorder="0" applyAlignment="0" applyProtection="0"/>
    <xf numFmtId="174" fontId="83" fillId="0" borderId="0" applyFont="0" applyFill="0" applyBorder="0" applyAlignment="0" applyProtection="0"/>
    <xf numFmtId="173" fontId="72" fillId="0" borderId="0" applyFont="0" applyFill="0" applyBorder="0" applyAlignment="0" applyProtection="0"/>
    <xf numFmtId="0" fontId="31" fillId="14" borderId="51">
      <alignment horizontal="left" vertical="center" wrapText="1" indent="2"/>
    </xf>
    <xf numFmtId="0" fontId="31" fillId="9" borderId="61">
      <alignment horizontal="left" vertical="center"/>
    </xf>
    <xf numFmtId="0" fontId="87" fillId="0" borderId="0" applyNumberFormat="0" applyFill="0" applyBorder="0" applyAlignment="0" applyProtection="0"/>
    <xf numFmtId="0" fontId="88" fillId="70" borderId="0" applyNumberFormat="0" applyBorder="0" applyAlignment="0" applyProtection="0"/>
    <xf numFmtId="0" fontId="89"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4" fontId="31" fillId="0" borderId="0" applyBorder="0">
      <alignment horizontal="right" vertical="center"/>
    </xf>
    <xf numFmtId="0" fontId="31" fillId="0" borderId="64">
      <alignment horizontal="right" vertical="center"/>
    </xf>
    <xf numFmtId="4" fontId="31" fillId="0" borderId="29">
      <alignment horizontal="right" vertical="center"/>
    </xf>
    <xf numFmtId="1" fontId="70" fillId="9" borderId="0" applyBorder="0">
      <alignment horizontal="right" vertical="center"/>
    </xf>
    <xf numFmtId="0" fontId="94" fillId="0" borderId="73" applyNumberFormat="0" applyFill="0" applyAlignment="0" applyProtection="0"/>
    <xf numFmtId="0" fontId="95" fillId="88" borderId="0" applyNumberFormat="0" applyBorder="0" applyAlignment="0" applyProtection="0"/>
    <xf numFmtId="0" fontId="32" fillId="0" borderId="0"/>
    <xf numFmtId="0" fontId="32" fillId="0" borderId="0"/>
    <xf numFmtId="0" fontId="32" fillId="0" borderId="0"/>
    <xf numFmtId="0" fontId="32" fillId="0" borderId="0"/>
    <xf numFmtId="0" fontId="83" fillId="0" borderId="0"/>
    <xf numFmtId="4" fontId="96" fillId="0" borderId="0"/>
    <xf numFmtId="0" fontId="32" fillId="0" borderId="0"/>
    <xf numFmtId="0" fontId="32" fillId="0" borderId="0"/>
    <xf numFmtId="0" fontId="32" fillId="0" borderId="0"/>
    <xf numFmtId="0" fontId="32" fillId="0" borderId="0"/>
    <xf numFmtId="0" fontId="8" fillId="0" borderId="0"/>
    <xf numFmtId="4" fontId="31" fillId="0" borderId="0" applyFill="0" applyBorder="0" applyProtection="0">
      <alignment horizontal="right" vertical="center"/>
    </xf>
    <xf numFmtId="4" fontId="31" fillId="0" borderId="0" applyFill="0" applyBorder="0" applyProtection="0">
      <alignment horizontal="right" vertical="center"/>
    </xf>
    <xf numFmtId="4" fontId="31" fillId="0" borderId="29" applyFill="0" applyBorder="0" applyProtection="0">
      <alignment horizontal="right" vertical="center"/>
    </xf>
    <xf numFmtId="0" fontId="29" fillId="0" borderId="0" applyNumberFormat="0" applyFill="0" applyBorder="0" applyProtection="0">
      <alignment horizontal="left" vertical="center"/>
    </xf>
    <xf numFmtId="49" fontId="29" fillId="0" borderId="29" applyNumberFormat="0" applyFill="0" applyBorder="0" applyProtection="0">
      <alignment horizontal="left" vertical="center"/>
    </xf>
    <xf numFmtId="0" fontId="32" fillId="16" borderId="0" applyNumberFormat="0" applyFont="0" applyBorder="0" applyAlignment="0" applyProtection="0"/>
    <xf numFmtId="4" fontId="32" fillId="16" borderId="0" applyNumberFormat="0" applyFont="0" applyBorder="0" applyAlignment="0" applyProtection="0"/>
    <xf numFmtId="4" fontId="32" fillId="16" borderId="0" applyNumberFormat="0" applyFont="0" applyBorder="0" applyAlignment="0" applyProtection="0"/>
    <xf numFmtId="0" fontId="32" fillId="16" borderId="0" applyNumberFormat="0" applyFont="0" applyBorder="0" applyAlignment="0" applyProtection="0"/>
    <xf numFmtId="0" fontId="32" fillId="16" borderId="0" applyNumberFormat="0" applyFont="0" applyBorder="0" applyAlignment="0" applyProtection="0"/>
    <xf numFmtId="0" fontId="83" fillId="65" borderId="0" applyNumberFormat="0" applyFont="0" applyBorder="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175" fontId="31" fillId="90" borderId="29" applyNumberFormat="0" applyFont="0" applyBorder="0" applyAlignment="0" applyProtection="0">
      <alignment horizontal="right" vertical="center"/>
    </xf>
    <xf numFmtId="9" fontId="83" fillId="0" borderId="0" applyFont="0" applyFill="0" applyBorder="0" applyAlignment="0" applyProtection="0"/>
    <xf numFmtId="0" fontId="98" fillId="69" borderId="0" applyNumberFormat="0" applyBorder="0" applyAlignment="0" applyProtection="0"/>
    <xf numFmtId="4" fontId="31" fillId="16" borderId="29"/>
    <xf numFmtId="0" fontId="31" fillId="16" borderId="60"/>
    <xf numFmtId="0" fontId="99" fillId="0" borderId="0" applyNumberFormat="0" applyFill="0" applyBorder="0" applyAlignment="0" applyProtection="0"/>
    <xf numFmtId="0" fontId="100" fillId="0" borderId="69" applyNumberFormat="0" applyFill="0" applyAlignment="0" applyProtection="0"/>
    <xf numFmtId="0" fontId="101" fillId="0" borderId="0" applyNumberFormat="0" applyFill="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7" fillId="0" borderId="0" applyNumberFormat="0" applyFill="0" applyBorder="0" applyAlignment="0" applyProtection="0"/>
    <xf numFmtId="0" fontId="108" fillId="87" borderId="68" applyNumberFormat="0" applyAlignment="0" applyProtection="0"/>
    <xf numFmtId="0" fontId="74" fillId="0" borderId="0" applyNumberFormat="0" applyFill="0" applyBorder="0" applyAlignment="0" applyProtection="0"/>
    <xf numFmtId="0" fontId="109" fillId="0" borderId="0" applyNumberFormat="0" applyFill="0" applyBorder="0" applyAlignment="0" applyProtection="0"/>
    <xf numFmtId="0" fontId="32" fillId="0" borderId="0" applyNumberFormat="0" applyFont="0" applyFill="0" applyBorder="0" applyProtection="0">
      <alignment horizontal="left" vertical="center"/>
    </xf>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4" fontId="32" fillId="0" borderId="0"/>
    <xf numFmtId="0" fontId="110" fillId="0" borderId="0"/>
    <xf numFmtId="0" fontId="32" fillId="16" borderId="0" applyNumberFormat="0" applyFont="0" applyBorder="0" applyAlignment="0" applyProtection="0"/>
    <xf numFmtId="0" fontId="74" fillId="0" borderId="0" applyNumberFormat="0" applyFill="0" applyBorder="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77" fillId="82" borderId="0" applyNumberFormat="0" applyBorder="0" applyAlignment="0" applyProtection="0"/>
    <xf numFmtId="0" fontId="77" fillId="83" borderId="0" applyNumberFormat="0" applyBorder="0" applyAlignment="0" applyProtection="0"/>
    <xf numFmtId="0" fontId="77" fillId="84"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5" borderId="0" applyNumberFormat="0" applyBorder="0" applyAlignment="0" applyProtection="0"/>
    <xf numFmtId="0" fontId="79" fillId="69" borderId="0" applyNumberFormat="0" applyBorder="0" applyAlignment="0" applyProtection="0"/>
    <xf numFmtId="0" fontId="81" fillId="86" borderId="67" applyNumberFormat="0" applyAlignment="0" applyProtection="0"/>
    <xf numFmtId="0" fontId="82" fillId="87" borderId="68" applyNumberFormat="0" applyAlignment="0" applyProtection="0"/>
    <xf numFmtId="0" fontId="87" fillId="0" borderId="0" applyNumberFormat="0" applyFill="0" applyBorder="0" applyAlignment="0" applyProtection="0"/>
    <xf numFmtId="0" fontId="88" fillId="70" borderId="0" applyNumberFormat="0" applyBorder="0" applyAlignment="0" applyProtection="0"/>
    <xf numFmtId="0" fontId="90" fillId="0" borderId="70" applyNumberFormat="0" applyFill="0" applyAlignment="0" applyProtection="0"/>
    <xf numFmtId="0" fontId="91" fillId="0" borderId="71" applyNumberFormat="0" applyFill="0" applyAlignment="0" applyProtection="0"/>
    <xf numFmtId="0" fontId="92" fillId="0" borderId="72" applyNumberFormat="0" applyFill="0" applyAlignment="0" applyProtection="0"/>
    <xf numFmtId="0" fontId="92" fillId="0" borderId="0" applyNumberFormat="0" applyFill="0" applyBorder="0" applyAlignment="0" applyProtection="0"/>
    <xf numFmtId="0" fontId="93" fillId="73" borderId="67" applyNumberFormat="0" applyAlignment="0" applyProtection="0"/>
    <xf numFmtId="0" fontId="94" fillId="0" borderId="73" applyNumberFormat="0" applyFill="0" applyAlignment="0" applyProtection="0"/>
    <xf numFmtId="0" fontId="95" fillId="88" borderId="0" applyNumberFormat="0" applyBorder="0" applyAlignment="0" applyProtection="0"/>
    <xf numFmtId="0" fontId="32" fillId="0" borderId="0"/>
    <xf numFmtId="0" fontId="75" fillId="89" borderId="74" applyNumberFormat="0" applyFont="0" applyAlignment="0" applyProtection="0"/>
    <xf numFmtId="0" fontId="97" fillId="86" borderId="66" applyNumberFormat="0" applyAlignment="0" applyProtection="0"/>
    <xf numFmtId="0" fontId="99" fillId="0" borderId="0" applyNumberFormat="0" applyFill="0" applyBorder="0" applyAlignment="0" applyProtection="0"/>
    <xf numFmtId="0" fontId="100" fillId="0" borderId="69" applyNumberFormat="0" applyFill="0" applyAlignment="0" applyProtection="0"/>
    <xf numFmtId="0" fontId="107" fillId="0" borderId="0" applyNumberFormat="0" applyFill="0" applyBorder="0" applyAlignment="0" applyProtection="0"/>
    <xf numFmtId="0" fontId="111" fillId="0" borderId="0">
      <alignment horizontal="left" vertical="center" indent="1"/>
    </xf>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7" fillId="78" borderId="0" applyNumberFormat="0" applyBorder="0" applyAlignment="0" applyProtection="0"/>
    <xf numFmtId="0" fontId="77" fillId="75" borderId="0" applyNumberFormat="0" applyBorder="0" applyAlignment="0" applyProtection="0"/>
    <xf numFmtId="0" fontId="77" fillId="76" borderId="0" applyNumberFormat="0" applyBorder="0" applyAlignment="0" applyProtection="0"/>
    <xf numFmtId="0" fontId="77" fillId="79" borderId="0" applyNumberFormat="0" applyBorder="0" applyAlignment="0" applyProtection="0"/>
    <xf numFmtId="0" fontId="77" fillId="80" borderId="0" applyNumberFormat="0" applyBorder="0" applyAlignment="0" applyProtection="0"/>
    <xf numFmtId="0" fontId="77" fillId="81" borderId="0" applyNumberFormat="0" applyBorder="0" applyAlignment="0" applyProtection="0"/>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87" fillId="0" borderId="0" applyNumberFormat="0" applyFill="0" applyBorder="0" applyAlignment="0" applyProtection="0"/>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8" fillId="0" borderId="0"/>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107" fillId="0" borderId="0" applyNumberFormat="0" applyFill="0" applyBorder="0" applyAlignment="0" applyProtection="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64" fillId="7" borderId="56" applyNumberFormat="0" applyAlignment="0" applyProtection="0"/>
    <xf numFmtId="0" fontId="31" fillId="9" borderId="0" applyBorder="0">
      <alignment horizontal="right" vertical="center"/>
    </xf>
    <xf numFmtId="0" fontId="31" fillId="9" borderId="0" applyBorder="0">
      <alignment horizontal="right" vertical="center"/>
    </xf>
    <xf numFmtId="0" fontId="31" fillId="0" borderId="0" applyBorder="0">
      <alignment horizontal="right" vertical="center"/>
    </xf>
    <xf numFmtId="0" fontId="32" fillId="0" borderId="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0" fontId="76" fillId="82" borderId="0" applyNumberFormat="0" applyBorder="0" applyAlignment="0" applyProtection="0"/>
    <xf numFmtId="0" fontId="76" fillId="83" borderId="0" applyNumberFormat="0" applyBorder="0" applyAlignment="0" applyProtection="0"/>
    <xf numFmtId="0" fontId="76" fillId="84"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5" borderId="0" applyNumberFormat="0" applyBorder="0" applyAlignment="0" applyProtection="0"/>
    <xf numFmtId="0" fontId="89" fillId="70" borderId="0" applyNumberFormat="0" applyBorder="0" applyAlignment="0" applyProtection="0"/>
    <xf numFmtId="4" fontId="32" fillId="0" borderId="0"/>
    <xf numFmtId="0" fontId="32" fillId="0" borderId="0"/>
    <xf numFmtId="0" fontId="8" fillId="0" borderId="0"/>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2" fillId="16" borderId="0" applyNumberFormat="0" applyFont="0" applyBorder="0" applyAlignment="0" applyProtection="0"/>
    <xf numFmtId="0" fontId="98" fillId="69" borderId="0" applyNumberFormat="0" applyBorder="0" applyAlignment="0" applyProtection="0"/>
    <xf numFmtId="0" fontId="102" fillId="0" borderId="70" applyNumberFormat="0" applyFill="0" applyAlignment="0" applyProtection="0"/>
    <xf numFmtId="0" fontId="103" fillId="0" borderId="71" applyNumberFormat="0" applyFill="0" applyAlignment="0" applyProtection="0"/>
    <xf numFmtId="0" fontId="104" fillId="0" borderId="72" applyNumberFormat="0" applyFill="0" applyAlignment="0" applyProtection="0"/>
    <xf numFmtId="0" fontId="104" fillId="0" borderId="0" applyNumberFormat="0" applyFill="0" applyBorder="0" applyAlignment="0" applyProtection="0"/>
    <xf numFmtId="0" fontId="105" fillId="0" borderId="73" applyNumberFormat="0" applyFill="0" applyAlignment="0" applyProtection="0"/>
    <xf numFmtId="0" fontId="108" fillId="87" borderId="68" applyNumberFormat="0" applyAlignment="0" applyProtection="0"/>
    <xf numFmtId="0" fontId="74" fillId="0" borderId="0" applyNumberFormat="0" applyFill="0" applyBorder="0" applyAlignment="0" applyProtection="0"/>
    <xf numFmtId="0" fontId="8" fillId="0" borderId="0"/>
    <xf numFmtId="0" fontId="64" fillId="7" borderId="56" applyNumberFormat="0" applyAlignment="0" applyProtection="0"/>
    <xf numFmtId="0" fontId="72" fillId="68" borderId="0" applyNumberFormat="0" applyBorder="0" applyAlignment="0" applyProtection="0"/>
    <xf numFmtId="0" fontId="72" fillId="69" borderId="0" applyNumberFormat="0" applyBorder="0" applyAlignment="0" applyProtection="0"/>
    <xf numFmtId="0" fontId="72" fillId="70" borderId="0" applyNumberFormat="0" applyBorder="0" applyAlignment="0" applyProtection="0"/>
    <xf numFmtId="0" fontId="72" fillId="71" borderId="0" applyNumberFormat="0" applyBorder="0" applyAlignment="0" applyProtection="0"/>
    <xf numFmtId="0" fontId="72" fillId="72" borderId="0" applyNumberFormat="0" applyBorder="0" applyAlignment="0" applyProtection="0"/>
    <xf numFmtId="0" fontId="72" fillId="73" borderId="0" applyNumberFormat="0" applyBorder="0" applyAlignment="0" applyProtection="0"/>
    <xf numFmtId="0" fontId="72" fillId="74" borderId="0" applyNumberFormat="0" applyBorder="0" applyAlignment="0" applyProtection="0"/>
    <xf numFmtId="0" fontId="72" fillId="75" borderId="0" applyNumberFormat="0" applyBorder="0" applyAlignment="0" applyProtection="0"/>
    <xf numFmtId="0" fontId="72" fillId="76" borderId="0" applyNumberFormat="0" applyBorder="0" applyAlignment="0" applyProtection="0"/>
    <xf numFmtId="0" fontId="72" fillId="71" borderId="0" applyNumberFormat="0" applyBorder="0" applyAlignment="0" applyProtection="0"/>
    <xf numFmtId="0" fontId="72" fillId="74" borderId="0" applyNumberFormat="0" applyBorder="0" applyAlignment="0" applyProtection="0"/>
    <xf numFmtId="0" fontId="72" fillId="77" borderId="0" applyNumberFormat="0" applyBorder="0" applyAlignment="0" applyProtection="0"/>
    <xf numFmtId="0" fontId="76" fillId="78" borderId="0" applyNumberFormat="0" applyBorder="0" applyAlignment="0" applyProtection="0"/>
    <xf numFmtId="0" fontId="76" fillId="75" borderId="0" applyNumberFormat="0" applyBorder="0" applyAlignment="0" applyProtection="0"/>
    <xf numFmtId="0" fontId="76" fillId="76" borderId="0" applyNumberFormat="0" applyBorder="0" applyAlignment="0" applyProtection="0"/>
    <xf numFmtId="0" fontId="76" fillId="79" borderId="0" applyNumberFormat="0" applyBorder="0" applyAlignment="0" applyProtection="0"/>
    <xf numFmtId="0" fontId="76" fillId="80" borderId="0" applyNumberFormat="0" applyBorder="0" applyAlignment="0" applyProtection="0"/>
    <xf numFmtId="0" fontId="76" fillId="81" borderId="0" applyNumberFormat="0" applyBorder="0" applyAlignment="0" applyProtection="0"/>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86" fillId="0" borderId="0" applyNumberFormat="0" applyFill="0" applyBorder="0" applyAlignment="0" applyProtection="0"/>
    <xf numFmtId="0" fontId="8" fillId="0" borderId="0"/>
    <xf numFmtId="0" fontId="106" fillId="0" borderId="0" applyNumberFormat="0" applyFill="0" applyBorder="0" applyAlignment="0" applyProtection="0"/>
    <xf numFmtId="0" fontId="8" fillId="0" borderId="0"/>
    <xf numFmtId="0" fontId="8" fillId="0" borderId="0"/>
    <xf numFmtId="0" fontId="8" fillId="0" borderId="0"/>
    <xf numFmtId="49" fontId="31" fillId="0" borderId="29" applyNumberFormat="0" applyFont="0" applyFill="0" applyBorder="0" applyProtection="0">
      <alignment horizontal="left" vertical="center" indent="2"/>
    </xf>
    <xf numFmtId="49" fontId="31" fillId="0" borderId="61" applyNumberFormat="0" applyFont="0" applyFill="0" applyBorder="0" applyProtection="0">
      <alignment horizontal="left" vertical="center" indent="5"/>
    </xf>
    <xf numFmtId="0" fontId="27" fillId="9" borderId="29">
      <alignment horizontal="right" vertical="center"/>
    </xf>
    <xf numFmtId="4" fontId="27" fillId="9" borderId="29">
      <alignment horizontal="right" vertical="center"/>
    </xf>
    <xf numFmtId="0" fontId="71" fillId="9" borderId="29">
      <alignment horizontal="right" vertical="center"/>
    </xf>
    <xf numFmtId="4" fontId="71" fillId="9" borderId="29">
      <alignment horizontal="right" vertical="center"/>
    </xf>
    <xf numFmtId="0" fontId="27" fillId="14" borderId="29">
      <alignment horizontal="right" vertical="center"/>
    </xf>
    <xf numFmtId="4" fontId="27" fillId="14" borderId="29">
      <alignment horizontal="right" vertical="center"/>
    </xf>
    <xf numFmtId="0" fontId="27" fillId="14" borderId="29">
      <alignment horizontal="right" vertical="center"/>
    </xf>
    <xf numFmtId="4" fontId="27" fillId="14" borderId="29">
      <alignment horizontal="right" vertical="center"/>
    </xf>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174" fontId="112" fillId="0" borderId="0" applyFont="0" applyFill="0" applyBorder="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84" fillId="73" borderId="67" applyNumberFormat="0" applyAlignment="0" applyProtection="0"/>
    <xf numFmtId="0" fontId="31" fillId="0" borderId="29">
      <alignment horizontal="right" vertical="center"/>
    </xf>
    <xf numFmtId="4" fontId="31" fillId="0" borderId="29">
      <alignment horizontal="right" vertical="center"/>
    </xf>
    <xf numFmtId="0" fontId="112" fillId="0" borderId="0"/>
    <xf numFmtId="0" fontId="110" fillId="0" borderId="0"/>
    <xf numFmtId="0" fontId="110" fillId="0" borderId="0"/>
    <xf numFmtId="0" fontId="8" fillId="0" borderId="0"/>
    <xf numFmtId="0" fontId="8" fillId="0" borderId="0"/>
    <xf numFmtId="0" fontId="8" fillId="0" borderId="0"/>
    <xf numFmtId="0" fontId="8" fillId="0" borderId="0"/>
    <xf numFmtId="0" fontId="110" fillId="0" borderId="0"/>
    <xf numFmtId="0" fontId="32" fillId="0" borderId="0"/>
    <xf numFmtId="4" fontId="31" fillId="0" borderId="29" applyFill="0" applyBorder="0" applyProtection="0">
      <alignment horizontal="right" vertical="center"/>
    </xf>
    <xf numFmtId="49" fontId="29" fillId="0" borderId="29" applyNumberFormat="0" applyFill="0" applyBorder="0" applyProtection="0">
      <alignment horizontal="left" vertical="center"/>
    </xf>
    <xf numFmtId="0" fontId="31" fillId="0" borderId="29" applyNumberFormat="0" applyFill="0" applyAlignment="0" applyProtection="0"/>
    <xf numFmtId="0" fontId="112" fillId="65" borderId="0" applyNumberFormat="0" applyFont="0" applyBorder="0" applyAlignment="0" applyProtection="0"/>
    <xf numFmtId="175" fontId="31" fillId="90" borderId="29" applyNumberFormat="0" applyFont="0" applyBorder="0" applyAlignment="0" applyProtection="0">
      <alignment horizontal="right" vertical="center"/>
    </xf>
    <xf numFmtId="9" fontId="112" fillId="0" borderId="0" applyFont="0" applyFill="0" applyBorder="0" applyAlignment="0" applyProtection="0"/>
    <xf numFmtId="0" fontId="31" fillId="16" borderId="29"/>
    <xf numFmtId="4" fontId="31" fillId="16" borderId="29"/>
    <xf numFmtId="0" fontId="31" fillId="14" borderId="78">
      <alignment horizontal="left" vertical="center" wrapText="1" indent="2"/>
    </xf>
    <xf numFmtId="0" fontId="31" fillId="0" borderId="78">
      <alignment horizontal="left" vertical="center" wrapText="1" indent="2"/>
    </xf>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8" fillId="0" borderId="0"/>
    <xf numFmtId="0" fontId="31" fillId="14" borderId="51">
      <alignment horizontal="left" vertical="center" wrapText="1" indent="2"/>
    </xf>
    <xf numFmtId="0" fontId="31" fillId="0" borderId="51">
      <alignment horizontal="left" vertical="center" wrapText="1" indent="2"/>
    </xf>
    <xf numFmtId="0" fontId="32" fillId="0" borderId="0"/>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32" fillId="0" borderId="0"/>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31" fillId="0" borderId="78">
      <alignment horizontal="left" vertical="center" wrapText="1" indent="2"/>
    </xf>
    <xf numFmtId="0" fontId="78" fillId="86" borderId="66" applyNumberFormat="0" applyAlignment="0" applyProtection="0"/>
    <xf numFmtId="0" fontId="80" fillId="86" borderId="67" applyNumberFormat="0" applyAlignment="0" applyProtection="0"/>
    <xf numFmtId="0" fontId="81" fillId="86" borderId="67" applyNumberFormat="0" applyAlignment="0" applyProtection="0"/>
    <xf numFmtId="0" fontId="84" fillId="73" borderId="67" applyNumberFormat="0" applyAlignment="0" applyProtection="0"/>
    <xf numFmtId="0" fontId="85" fillId="0" borderId="69" applyNumberFormat="0" applyFill="0" applyAlignment="0" applyProtection="0"/>
    <xf numFmtId="0" fontId="93" fillId="73" borderId="67" applyNumberFormat="0" applyAlignment="0" applyProtection="0"/>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81" fillId="86"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61">
      <alignment horizontal="right" vertical="center"/>
    </xf>
    <xf numFmtId="4" fontId="27" fillId="14" borderId="61">
      <alignment horizontal="right" vertical="center"/>
    </xf>
    <xf numFmtId="0" fontId="27" fillId="14" borderId="62">
      <alignment horizontal="right" vertical="center"/>
    </xf>
    <xf numFmtId="4" fontId="27" fillId="14" borderId="62">
      <alignment horizontal="right" vertical="center"/>
    </xf>
    <xf numFmtId="0" fontId="81" fillId="86" borderId="67" applyNumberFormat="0" applyAlignment="0" applyProtection="0"/>
    <xf numFmtId="0" fontId="31" fillId="14" borderId="51">
      <alignment horizontal="left" vertical="center" wrapText="1" indent="2"/>
    </xf>
    <xf numFmtId="0" fontId="31" fillId="0" borderId="51">
      <alignment horizontal="left" vertical="center" wrapText="1" indent="2"/>
    </xf>
    <xf numFmtId="0" fontId="31" fillId="9" borderId="61">
      <alignment horizontal="left" vertical="center"/>
    </xf>
    <xf numFmtId="0" fontId="93" fillId="73" borderId="67" applyNumberFormat="0" applyAlignment="0" applyProtection="0"/>
    <xf numFmtId="0" fontId="97" fillId="86" borderId="66" applyNumberFormat="0" applyAlignment="0" applyProtection="0"/>
    <xf numFmtId="0" fontId="100" fillId="0" borderId="69" applyNumberFormat="0" applyFill="0" applyAlignment="0" applyProtection="0"/>
    <xf numFmtId="49" fontId="31" fillId="0" borderId="61" applyNumberFormat="0" applyFont="0" applyFill="0" applyBorder="0" applyProtection="0">
      <alignment horizontal="left" vertical="center" indent="5"/>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84" fillId="73" borderId="67" applyNumberFormat="0" applyAlignment="0" applyProtection="0"/>
    <xf numFmtId="0" fontId="31" fillId="0" borderId="75">
      <alignment horizontal="right" vertical="center"/>
    </xf>
    <xf numFmtId="4" fontId="31" fillId="0" borderId="75">
      <alignment horizontal="right" vertical="center"/>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5" applyNumberFormat="0" applyFill="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4" fontId="27" fillId="14" borderId="75">
      <alignment horizontal="right" vertical="center"/>
    </xf>
    <xf numFmtId="0" fontId="31" fillId="16" borderId="75"/>
    <xf numFmtId="0" fontId="80" fillId="86" borderId="67" applyNumberFormat="0" applyAlignment="0" applyProtection="0"/>
    <xf numFmtId="0" fontId="27" fillId="9" borderId="75">
      <alignment horizontal="right" vertical="center"/>
    </xf>
    <xf numFmtId="0" fontId="31" fillId="0" borderId="75">
      <alignment horizontal="right" vertical="center"/>
    </xf>
    <xf numFmtId="0" fontId="100" fillId="0" borderId="69" applyNumberFormat="0" applyFill="0" applyAlignment="0" applyProtection="0"/>
    <xf numFmtId="0" fontId="31" fillId="9" borderId="76">
      <alignment horizontal="left" vertical="center"/>
    </xf>
    <xf numFmtId="0" fontId="93" fillId="73" borderId="67" applyNumberFormat="0" applyAlignment="0" applyProtection="0"/>
    <xf numFmtId="175" fontId="31" fillId="90" borderId="75" applyNumberFormat="0" applyFont="0" applyBorder="0" applyAlignment="0" applyProtection="0">
      <alignment horizontal="right" vertical="center"/>
    </xf>
    <xf numFmtId="0" fontId="75" fillId="89" borderId="74" applyNumberFormat="0" applyFont="0" applyAlignment="0" applyProtection="0"/>
    <xf numFmtId="0" fontId="31" fillId="0" borderId="78">
      <alignment horizontal="left" vertical="center" wrapText="1" indent="2"/>
    </xf>
    <xf numFmtId="4" fontId="31" fillId="16" borderId="75"/>
    <xf numFmtId="49" fontId="29" fillId="0" borderId="75" applyNumberFormat="0" applyFill="0" applyBorder="0" applyProtection="0">
      <alignment horizontal="left" vertical="center"/>
    </xf>
    <xf numFmtId="0" fontId="31" fillId="0" borderId="75">
      <alignment horizontal="right" vertical="center"/>
    </xf>
    <xf numFmtId="4" fontId="27" fillId="14" borderId="77">
      <alignment horizontal="right" vertical="center"/>
    </xf>
    <xf numFmtId="4" fontId="27" fillId="14" borderId="75">
      <alignment horizontal="right" vertical="center"/>
    </xf>
    <xf numFmtId="4" fontId="27" fillId="14" borderId="75">
      <alignment horizontal="right" vertical="center"/>
    </xf>
    <xf numFmtId="0" fontId="71" fillId="9" borderId="75">
      <alignment horizontal="right" vertical="center"/>
    </xf>
    <xf numFmtId="0" fontId="27" fillId="9" borderId="75">
      <alignment horizontal="right" vertical="center"/>
    </xf>
    <xf numFmtId="49" fontId="31" fillId="0" borderId="75" applyNumberFormat="0" applyFont="0" applyFill="0" applyBorder="0" applyProtection="0">
      <alignment horizontal="left" vertical="center" indent="2"/>
    </xf>
    <xf numFmtId="0" fontId="93" fillId="73" borderId="67" applyNumberFormat="0" applyAlignment="0" applyProtection="0"/>
    <xf numFmtId="0" fontId="78" fillId="86" borderId="66" applyNumberFormat="0" applyAlignment="0" applyProtection="0"/>
    <xf numFmtId="49" fontId="31" fillId="0" borderId="75" applyNumberFormat="0" applyFont="0" applyFill="0" applyBorder="0" applyProtection="0">
      <alignment horizontal="left" vertical="center" indent="2"/>
    </xf>
    <xf numFmtId="0" fontId="84" fillId="73" borderId="67" applyNumberFormat="0" applyAlignment="0" applyProtection="0"/>
    <xf numFmtId="4" fontId="31" fillId="0" borderId="75" applyFill="0" applyBorder="0" applyProtection="0">
      <alignment horizontal="right" vertical="center"/>
    </xf>
    <xf numFmtId="0" fontId="81" fillId="86" borderId="67" applyNumberFormat="0" applyAlignment="0" applyProtection="0"/>
    <xf numFmtId="0" fontId="100" fillId="0" borderId="69" applyNumberFormat="0" applyFill="0" applyAlignment="0" applyProtection="0"/>
    <xf numFmtId="0" fontId="97" fillId="86" borderId="66" applyNumberFormat="0" applyAlignment="0" applyProtection="0"/>
    <xf numFmtId="0" fontId="31" fillId="0" borderId="75" applyNumberFormat="0" applyFill="0" applyAlignment="0" applyProtection="0"/>
    <xf numFmtId="4" fontId="31" fillId="0" borderId="75">
      <alignment horizontal="right" vertical="center"/>
    </xf>
    <xf numFmtId="0" fontId="31" fillId="0" borderId="75">
      <alignment horizontal="right" vertical="center"/>
    </xf>
    <xf numFmtId="0" fontId="93" fillId="73" borderId="67" applyNumberFormat="0" applyAlignment="0" applyProtection="0"/>
    <xf numFmtId="0" fontId="78" fillId="86" borderId="66" applyNumberFormat="0" applyAlignment="0" applyProtection="0"/>
    <xf numFmtId="0" fontId="80" fillId="86" borderId="67" applyNumberFormat="0" applyAlignment="0" applyProtection="0"/>
    <xf numFmtId="0" fontId="31" fillId="14" borderId="78">
      <alignment horizontal="left" vertical="center" wrapText="1" indent="2"/>
    </xf>
    <xf numFmtId="0" fontId="81" fillId="86" borderId="67" applyNumberFormat="0" applyAlignment="0" applyProtection="0"/>
    <xf numFmtId="0" fontId="81" fillId="86" borderId="67" applyNumberFormat="0" applyAlignment="0" applyProtection="0"/>
    <xf numFmtId="4" fontId="27" fillId="14" borderId="76">
      <alignment horizontal="right" vertical="center"/>
    </xf>
    <xf numFmtId="0" fontId="27" fillId="14" borderId="76">
      <alignment horizontal="right" vertical="center"/>
    </xf>
    <xf numFmtId="0" fontId="27" fillId="14" borderId="75">
      <alignment horizontal="right" vertical="center"/>
    </xf>
    <xf numFmtId="4" fontId="71" fillId="9" borderId="75">
      <alignment horizontal="right" vertical="center"/>
    </xf>
    <xf numFmtId="0" fontId="84" fillId="73" borderId="67" applyNumberFormat="0" applyAlignment="0" applyProtection="0"/>
    <xf numFmtId="0" fontId="85" fillId="0" borderId="69" applyNumberFormat="0" applyFill="0" applyAlignment="0" applyProtection="0"/>
    <xf numFmtId="0" fontId="100" fillId="0" borderId="69" applyNumberFormat="0" applyFill="0" applyAlignment="0" applyProtection="0"/>
    <xf numFmtId="0" fontId="75" fillId="89" borderId="74" applyNumberFormat="0" applyFont="0" applyAlignment="0" applyProtection="0"/>
    <xf numFmtId="0" fontId="93" fillId="73" borderId="67" applyNumberFormat="0" applyAlignment="0" applyProtection="0"/>
    <xf numFmtId="49" fontId="29" fillId="0" borderId="75" applyNumberFormat="0" applyFill="0" applyBorder="0" applyProtection="0">
      <alignment horizontal="left" vertical="center"/>
    </xf>
    <xf numFmtId="0" fontId="31" fillId="14" borderId="78">
      <alignment horizontal="left" vertical="center" wrapText="1" indent="2"/>
    </xf>
    <xf numFmtId="0" fontId="81" fillId="86" borderId="67" applyNumberFormat="0" applyAlignment="0" applyProtection="0"/>
    <xf numFmtId="0" fontId="31" fillId="0" borderId="78">
      <alignment horizontal="left" vertical="center" wrapText="1" indent="2"/>
    </xf>
    <xf numFmtId="0" fontId="75" fillId="89" borderId="74" applyNumberFormat="0" applyFont="0" applyAlignment="0" applyProtection="0"/>
    <xf numFmtId="0" fontId="32"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4" fontId="31" fillId="16" borderId="75"/>
    <xf numFmtId="0" fontId="27" fillId="14" borderId="75">
      <alignment horizontal="right" vertical="center"/>
    </xf>
    <xf numFmtId="0" fontId="100" fillId="0" borderId="69" applyNumberFormat="0" applyFill="0" applyAlignment="0" applyProtection="0"/>
    <xf numFmtId="4" fontId="27" fillId="14" borderId="77">
      <alignment horizontal="right" vertical="center"/>
    </xf>
    <xf numFmtId="0" fontId="80" fillId="86" borderId="67" applyNumberFormat="0" applyAlignment="0" applyProtection="0"/>
    <xf numFmtId="0" fontId="27" fillId="14" borderId="76">
      <alignment horizontal="right" vertical="center"/>
    </xf>
    <xf numFmtId="0" fontId="81" fillId="86" borderId="67" applyNumberFormat="0" applyAlignment="0" applyProtection="0"/>
    <xf numFmtId="0" fontId="85" fillId="0" borderId="69" applyNumberFormat="0" applyFill="0" applyAlignment="0" applyProtection="0"/>
    <xf numFmtId="0" fontId="75" fillId="89" borderId="74" applyNumberFormat="0" applyFont="0" applyAlignment="0" applyProtection="0"/>
    <xf numFmtId="4" fontId="27" fillId="14" borderId="76">
      <alignment horizontal="right" vertical="center"/>
    </xf>
    <xf numFmtId="0" fontId="31" fillId="14" borderId="78">
      <alignment horizontal="left" vertical="center" wrapText="1" indent="2"/>
    </xf>
    <xf numFmtId="0" fontId="31" fillId="16" borderId="75"/>
    <xf numFmtId="175" fontId="31" fillId="90" borderId="75" applyNumberFormat="0" applyFont="0" applyBorder="0" applyAlignment="0" applyProtection="0">
      <alignment horizontal="right" vertical="center"/>
    </xf>
    <xf numFmtId="0" fontId="31" fillId="0" borderId="75" applyNumberFormat="0" applyFill="0" applyAlignment="0" applyProtection="0"/>
    <xf numFmtId="4" fontId="31" fillId="0" borderId="75" applyFill="0" applyBorder="0" applyProtection="0">
      <alignment horizontal="right" vertical="center"/>
    </xf>
    <xf numFmtId="4" fontId="27" fillId="9" borderId="75">
      <alignment horizontal="right" vertical="center"/>
    </xf>
    <xf numFmtId="0" fontId="85" fillId="0" borderId="69" applyNumberFormat="0" applyFill="0" applyAlignment="0" applyProtection="0"/>
    <xf numFmtId="49" fontId="29" fillId="0" borderId="75" applyNumberFormat="0" applyFill="0" applyBorder="0" applyProtection="0">
      <alignment horizontal="left" vertical="center"/>
    </xf>
    <xf numFmtId="49" fontId="31" fillId="0" borderId="76" applyNumberFormat="0" applyFont="0" applyFill="0" applyBorder="0" applyProtection="0">
      <alignment horizontal="left" vertical="center" indent="5"/>
    </xf>
    <xf numFmtId="0" fontId="31" fillId="9" borderId="76">
      <alignment horizontal="left" vertical="center"/>
    </xf>
    <xf numFmtId="0" fontId="81" fillId="86" borderId="67" applyNumberFormat="0" applyAlignment="0" applyProtection="0"/>
    <xf numFmtId="4" fontId="27" fillId="14" borderId="77">
      <alignment horizontal="right" vertical="center"/>
    </xf>
    <xf numFmtId="0" fontId="93" fillId="73" borderId="67" applyNumberFormat="0" applyAlignment="0" applyProtection="0"/>
    <xf numFmtId="0" fontId="93" fillId="73" borderId="67" applyNumberFormat="0" applyAlignment="0" applyProtection="0"/>
    <xf numFmtId="0" fontId="75" fillId="89" borderId="74" applyNumberFormat="0" applyFont="0" applyAlignment="0" applyProtection="0"/>
    <xf numFmtId="0" fontId="97" fillId="86" borderId="66" applyNumberFormat="0" applyAlignment="0" applyProtection="0"/>
    <xf numFmtId="0" fontId="100" fillId="0" borderId="69" applyNumberFormat="0" applyFill="0" applyAlignment="0" applyProtection="0"/>
    <xf numFmtId="0" fontId="27" fillId="14" borderId="75">
      <alignment horizontal="right" vertical="center"/>
    </xf>
    <xf numFmtId="0" fontId="32" fillId="89" borderId="74" applyNumberFormat="0" applyFont="0" applyAlignment="0" applyProtection="0"/>
    <xf numFmtId="4" fontId="31" fillId="0" borderId="75">
      <alignment horizontal="right" vertical="center"/>
    </xf>
    <xf numFmtId="0" fontId="100" fillId="0" borderId="69" applyNumberFormat="0" applyFill="0" applyAlignment="0" applyProtection="0"/>
    <xf numFmtId="0" fontId="27" fillId="14" borderId="75">
      <alignment horizontal="right" vertical="center"/>
    </xf>
    <xf numFmtId="0" fontId="27" fillId="14" borderId="75">
      <alignment horizontal="right" vertical="center"/>
    </xf>
    <xf numFmtId="4" fontId="71" fillId="9" borderId="75">
      <alignment horizontal="right" vertical="center"/>
    </xf>
    <xf numFmtId="0" fontId="27" fillId="9" borderId="75">
      <alignment horizontal="right" vertical="center"/>
    </xf>
    <xf numFmtId="4" fontId="27" fillId="9" borderId="75">
      <alignment horizontal="right" vertical="center"/>
    </xf>
    <xf numFmtId="0" fontId="71" fillId="9" borderId="75">
      <alignment horizontal="right" vertical="center"/>
    </xf>
    <xf numFmtId="4" fontId="71" fillId="9" borderId="75">
      <alignment horizontal="right" vertical="center"/>
    </xf>
    <xf numFmtId="0" fontId="27" fillId="14" borderId="75">
      <alignment horizontal="right" vertical="center"/>
    </xf>
    <xf numFmtId="4" fontId="27" fillId="14" borderId="75">
      <alignment horizontal="right" vertical="center"/>
    </xf>
    <xf numFmtId="0" fontId="27" fillId="14" borderId="75">
      <alignment horizontal="right" vertical="center"/>
    </xf>
    <xf numFmtId="4" fontId="27" fillId="14" borderId="75">
      <alignment horizontal="right" vertical="center"/>
    </xf>
    <xf numFmtId="0" fontId="27" fillId="14" borderId="76">
      <alignment horizontal="right" vertical="center"/>
    </xf>
    <xf numFmtId="4" fontId="27" fillId="14" borderId="76">
      <alignment horizontal="right" vertical="center"/>
    </xf>
    <xf numFmtId="0" fontId="27" fillId="14" borderId="77">
      <alignment horizontal="right" vertical="center"/>
    </xf>
    <xf numFmtId="4" fontId="27" fillId="14" borderId="77">
      <alignment horizontal="right" vertical="center"/>
    </xf>
    <xf numFmtId="0" fontId="81"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9" borderId="76">
      <alignment horizontal="left" vertical="center"/>
    </xf>
    <xf numFmtId="0" fontId="93" fillId="73" borderId="67" applyNumberFormat="0" applyAlignment="0" applyProtection="0"/>
    <xf numFmtId="0" fontId="31" fillId="0" borderId="75">
      <alignment horizontal="right" vertical="center"/>
    </xf>
    <xf numFmtId="4" fontId="31" fillId="0" borderId="75">
      <alignment horizontal="right" vertical="center"/>
    </xf>
    <xf numFmtId="0" fontId="31" fillId="0" borderId="75" applyNumberFormat="0" applyFill="0" applyAlignment="0" applyProtection="0"/>
    <xf numFmtId="0" fontId="97" fillId="86" borderId="66" applyNumberFormat="0" applyAlignment="0" applyProtection="0"/>
    <xf numFmtId="175" fontId="31" fillId="90" borderId="75" applyNumberFormat="0" applyFont="0" applyBorder="0" applyAlignment="0" applyProtection="0">
      <alignment horizontal="right" vertical="center"/>
    </xf>
    <xf numFmtId="0" fontId="31" fillId="16" borderId="75"/>
    <xf numFmtId="4" fontId="31" fillId="16" borderId="75"/>
    <xf numFmtId="0" fontId="100" fillId="0" borderId="69" applyNumberFormat="0" applyFill="0" applyAlignment="0" applyProtection="0"/>
    <xf numFmtId="0" fontId="32" fillId="89" borderId="74" applyNumberFormat="0" applyFont="0" applyAlignment="0" applyProtection="0"/>
    <xf numFmtId="0" fontId="75" fillId="89" borderId="74" applyNumberFormat="0" applyFont="0" applyAlignment="0" applyProtection="0"/>
    <xf numFmtId="0" fontId="31" fillId="0" borderId="75" applyNumberFormat="0" applyFill="0" applyAlignment="0" applyProtection="0"/>
    <xf numFmtId="0" fontId="85" fillId="0" borderId="69" applyNumberFormat="0" applyFill="0" applyAlignment="0" applyProtection="0"/>
    <xf numFmtId="0" fontId="100" fillId="0" borderId="69" applyNumberFormat="0" applyFill="0" applyAlignment="0" applyProtection="0"/>
    <xf numFmtId="0" fontId="84" fillId="73" borderId="67" applyNumberFormat="0" applyAlignment="0" applyProtection="0"/>
    <xf numFmtId="0" fontId="81" fillId="86" borderId="67" applyNumberFormat="0" applyAlignment="0" applyProtection="0"/>
    <xf numFmtId="4" fontId="71" fillId="9" borderId="75">
      <alignment horizontal="right" vertical="center"/>
    </xf>
    <xf numFmtId="0" fontId="27" fillId="9" borderId="75">
      <alignment horizontal="right" vertical="center"/>
    </xf>
    <xf numFmtId="175" fontId="31" fillId="90" borderId="75" applyNumberFormat="0" applyFont="0" applyBorder="0" applyAlignment="0" applyProtection="0">
      <alignment horizontal="right" vertical="center"/>
    </xf>
    <xf numFmtId="0" fontId="85" fillId="0" borderId="69" applyNumberFormat="0" applyFill="0" applyAlignment="0" applyProtection="0"/>
    <xf numFmtId="49" fontId="31" fillId="0" borderId="75" applyNumberFormat="0" applyFont="0" applyFill="0" applyBorder="0" applyProtection="0">
      <alignment horizontal="left" vertical="center" indent="2"/>
    </xf>
    <xf numFmtId="49" fontId="31" fillId="0" borderId="76" applyNumberFormat="0" applyFont="0" applyFill="0" applyBorder="0" applyProtection="0">
      <alignment horizontal="left" vertical="center" indent="5"/>
    </xf>
    <xf numFmtId="49" fontId="31" fillId="0" borderId="75" applyNumberFormat="0" applyFont="0" applyFill="0" applyBorder="0" applyProtection="0">
      <alignment horizontal="left" vertical="center" indent="2"/>
    </xf>
    <xf numFmtId="4" fontId="31" fillId="0" borderId="75" applyFill="0" applyBorder="0" applyProtection="0">
      <alignment horizontal="right" vertical="center"/>
    </xf>
    <xf numFmtId="49" fontId="29" fillId="0" borderId="75" applyNumberFormat="0" applyFill="0" applyBorder="0" applyProtection="0">
      <alignment horizontal="left" vertical="center"/>
    </xf>
    <xf numFmtId="0" fontId="31" fillId="0" borderId="78">
      <alignment horizontal="left" vertical="center" wrapText="1" indent="2"/>
    </xf>
    <xf numFmtId="0" fontId="97" fillId="86" borderId="66" applyNumberFormat="0" applyAlignment="0" applyProtection="0"/>
    <xf numFmtId="0" fontId="27" fillId="14" borderId="77">
      <alignment horizontal="right" vertical="center"/>
    </xf>
    <xf numFmtId="0" fontId="84" fillId="73" borderId="67" applyNumberFormat="0" applyAlignment="0" applyProtection="0"/>
    <xf numFmtId="0" fontId="27" fillId="14" borderId="77">
      <alignment horizontal="right" vertical="center"/>
    </xf>
    <xf numFmtId="4" fontId="27" fillId="14" borderId="75">
      <alignment horizontal="right" vertical="center"/>
    </xf>
    <xf numFmtId="0" fontId="27" fillId="14" borderId="75">
      <alignment horizontal="right" vertical="center"/>
    </xf>
    <xf numFmtId="0" fontId="78" fillId="86" borderId="66" applyNumberFormat="0" applyAlignment="0" applyProtection="0"/>
    <xf numFmtId="0" fontId="80" fillId="86" borderId="67" applyNumberFormat="0" applyAlignment="0" applyProtection="0"/>
    <xf numFmtId="0" fontId="85" fillId="0" borderId="69" applyNumberFormat="0" applyFill="0" applyAlignment="0" applyProtection="0"/>
    <xf numFmtId="0" fontId="31" fillId="16" borderId="75"/>
    <xf numFmtId="4" fontId="31" fillId="16" borderId="75"/>
    <xf numFmtId="4" fontId="27" fillId="14" borderId="75">
      <alignment horizontal="right" vertical="center"/>
    </xf>
    <xf numFmtId="0" fontId="71" fillId="9" borderId="75">
      <alignment horizontal="right" vertical="center"/>
    </xf>
    <xf numFmtId="0" fontId="84" fillId="73" borderId="67" applyNumberFormat="0" applyAlignment="0" applyProtection="0"/>
    <xf numFmtId="0" fontId="81" fillId="86" borderId="67" applyNumberFormat="0" applyAlignment="0" applyProtection="0"/>
    <xf numFmtId="4" fontId="31" fillId="0" borderId="75">
      <alignment horizontal="right" vertical="center"/>
    </xf>
    <xf numFmtId="0" fontId="31" fillId="14" borderId="78">
      <alignment horizontal="left" vertical="center" wrapText="1" indent="2"/>
    </xf>
    <xf numFmtId="0" fontId="31" fillId="0" borderId="78">
      <alignment horizontal="left" vertical="center" wrapText="1" indent="2"/>
    </xf>
    <xf numFmtId="0" fontId="97" fillId="86" borderId="66" applyNumberFormat="0" applyAlignment="0" applyProtection="0"/>
    <xf numFmtId="0" fontId="93" fillId="73" borderId="67" applyNumberFormat="0" applyAlignment="0" applyProtection="0"/>
    <xf numFmtId="0" fontId="80" fillId="86" borderId="67" applyNumberFormat="0" applyAlignment="0" applyProtection="0"/>
    <xf numFmtId="0" fontId="78" fillId="86" borderId="66" applyNumberFormat="0" applyAlignment="0" applyProtection="0"/>
    <xf numFmtId="0" fontId="27" fillId="14" borderId="77">
      <alignment horizontal="right" vertical="center"/>
    </xf>
    <xf numFmtId="0" fontId="71" fillId="9" borderId="75">
      <alignment horizontal="right" vertical="center"/>
    </xf>
    <xf numFmtId="4" fontId="27" fillId="9" borderId="75">
      <alignment horizontal="right" vertical="center"/>
    </xf>
    <xf numFmtId="4" fontId="27" fillId="14" borderId="75">
      <alignment horizontal="right" vertical="center"/>
    </xf>
    <xf numFmtId="49" fontId="31" fillId="0" borderId="76" applyNumberFormat="0" applyFont="0" applyFill="0" applyBorder="0" applyProtection="0">
      <alignment horizontal="left" vertical="center" indent="5"/>
    </xf>
    <xf numFmtId="4" fontId="31" fillId="0" borderId="75" applyFill="0" applyBorder="0" applyProtection="0">
      <alignment horizontal="right" vertical="center"/>
    </xf>
    <xf numFmtId="4" fontId="27" fillId="9" borderId="75">
      <alignment horizontal="right" vertical="center"/>
    </xf>
    <xf numFmtId="0" fontId="93" fillId="73" borderId="67" applyNumberFormat="0" applyAlignment="0" applyProtection="0"/>
    <xf numFmtId="0" fontId="84" fillId="73" borderId="67" applyNumberFormat="0" applyAlignment="0" applyProtection="0"/>
    <xf numFmtId="0" fontId="80" fillId="86" borderId="67" applyNumberFormat="0" applyAlignment="0" applyProtection="0"/>
    <xf numFmtId="0" fontId="31" fillId="14" borderId="78">
      <alignment horizontal="left" vertical="center" wrapText="1" indent="2"/>
    </xf>
    <xf numFmtId="0" fontId="31" fillId="0" borderId="78">
      <alignment horizontal="left" vertical="center" wrapText="1" indent="2"/>
    </xf>
    <xf numFmtId="0" fontId="31" fillId="14" borderId="78">
      <alignment horizontal="left" vertical="center" wrapText="1" indent="2"/>
    </xf>
    <xf numFmtId="0" fontId="8" fillId="0" borderId="0"/>
    <xf numFmtId="0" fontId="31" fillId="0" borderId="93">
      <alignment horizontal="left" vertical="center" wrapText="1" indent="2"/>
    </xf>
    <xf numFmtId="0" fontId="75" fillId="89" borderId="89" applyNumberFormat="0" applyFont="0" applyAlignment="0" applyProtection="0"/>
    <xf numFmtId="0" fontId="97" fillId="86" borderId="94" applyNumberFormat="0" applyAlignment="0" applyProtection="0"/>
    <xf numFmtId="0" fontId="93" fillId="73" borderId="87" applyNumberFormat="0" applyAlignment="0" applyProtection="0"/>
    <xf numFmtId="0" fontId="85" fillId="0" borderId="88" applyNumberFormat="0" applyFill="0" applyAlignment="0" applyProtection="0"/>
    <xf numFmtId="4" fontId="31" fillId="0" borderId="98" applyFill="0" applyBorder="0" applyProtection="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4" fontId="27" fillId="14" borderId="92">
      <alignment horizontal="right" vertical="center"/>
    </xf>
    <xf numFmtId="0" fontId="31" fillId="16" borderId="90"/>
    <xf numFmtId="0" fontId="68" fillId="0" borderId="0" applyNumberFormat="0" applyFill="0" applyBorder="0" applyAlignment="0" applyProtection="0"/>
    <xf numFmtId="0" fontId="84" fillId="73" borderId="87" applyNumberFormat="0" applyAlignment="0" applyProtection="0"/>
    <xf numFmtId="0" fontId="81" fillId="86" borderId="87" applyNumberFormat="0" applyAlignment="0" applyProtection="0"/>
    <xf numFmtId="0" fontId="27" fillId="14" borderId="90">
      <alignment horizontal="right" vertical="center"/>
    </xf>
    <xf numFmtId="0" fontId="27" fillId="14" borderId="90">
      <alignment horizontal="right" vertical="center"/>
    </xf>
    <xf numFmtId="4" fontId="31" fillId="0" borderId="98">
      <alignment horizontal="right" vertical="center"/>
    </xf>
    <xf numFmtId="0" fontId="75" fillId="89" borderId="89"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1" applyNumberFormat="0" applyFont="0" applyFill="0" applyBorder="0" applyProtection="0">
      <alignment horizontal="left" vertical="center" indent="5"/>
    </xf>
    <xf numFmtId="0" fontId="67" fillId="0" borderId="0" applyNumberFormat="0" applyFill="0" applyBorder="0" applyAlignment="0" applyProtection="0"/>
    <xf numFmtId="0" fontId="27" fillId="14" borderId="90">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8" fillId="47" borderId="0" applyNumberFormat="0" applyBorder="0" applyAlignment="0" applyProtection="0"/>
    <xf numFmtId="0" fontId="8" fillId="48" borderId="0" applyNumberFormat="0" applyBorder="0" applyAlignment="0" applyProtection="0"/>
    <xf numFmtId="0" fontId="69" fillId="49" borderId="0" applyNumberFormat="0" applyBorder="0" applyAlignment="0" applyProtection="0"/>
    <xf numFmtId="0" fontId="8" fillId="50" borderId="0" applyNumberFormat="0" applyBorder="0" applyAlignment="0" applyProtection="0"/>
    <xf numFmtId="0" fontId="8" fillId="51" borderId="0" applyNumberFormat="0" applyBorder="0" applyAlignment="0" applyProtection="0"/>
    <xf numFmtId="0" fontId="69" fillId="52" borderId="0" applyNumberFormat="0" applyBorder="0" applyAlignment="0" applyProtection="0"/>
    <xf numFmtId="0" fontId="8" fillId="53"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78" fillId="86" borderId="94" applyNumberFormat="0" applyAlignment="0" applyProtection="0"/>
    <xf numFmtId="0" fontId="8" fillId="56" borderId="0" applyNumberFormat="0" applyBorder="0" applyAlignment="0" applyProtection="0"/>
    <xf numFmtId="0" fontId="8" fillId="57" borderId="0" applyNumberFormat="0" applyBorder="0" applyAlignment="0" applyProtection="0"/>
    <xf numFmtId="0" fontId="69" fillId="58" borderId="0" applyNumberFormat="0" applyBorder="0" applyAlignment="0" applyProtection="0"/>
    <xf numFmtId="4" fontId="31" fillId="16" borderId="90"/>
    <xf numFmtId="0" fontId="8" fillId="59" borderId="0" applyNumberFormat="0" applyBorder="0" applyAlignment="0" applyProtection="0"/>
    <xf numFmtId="0" fontId="8" fillId="60" borderId="0" applyNumberFormat="0" applyBorder="0" applyAlignment="0" applyProtection="0"/>
    <xf numFmtId="0" fontId="69" fillId="61" borderId="0" applyNumberFormat="0" applyBorder="0" applyAlignment="0" applyProtection="0"/>
    <xf numFmtId="0" fontId="8" fillId="62" borderId="0" applyNumberFormat="0" applyBorder="0" applyAlignment="0" applyProtection="0"/>
    <xf numFmtId="0" fontId="8" fillId="63" borderId="0" applyNumberFormat="0" applyBorder="0" applyAlignment="0" applyProtection="0"/>
    <xf numFmtId="0" fontId="69" fillId="64" borderId="0" applyNumberFormat="0" applyBorder="0" applyAlignment="0" applyProtection="0"/>
    <xf numFmtId="0" fontId="27" fillId="14" borderId="98">
      <alignment horizontal="right" vertical="center"/>
    </xf>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0" fontId="78" fillId="86" borderId="94" applyNumberFormat="0" applyAlignment="0" applyProtection="0"/>
    <xf numFmtId="0" fontId="65" fillId="46" borderId="57" applyNumberFormat="0" applyAlignment="0" applyProtection="0"/>
    <xf numFmtId="0" fontId="93" fillId="73" borderId="87"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87" applyNumberFormat="0" applyAlignment="0" applyProtection="0"/>
    <xf numFmtId="0" fontId="80" fillId="86" borderId="95" applyNumberFormat="0" applyAlignment="0" applyProtection="0"/>
    <xf numFmtId="49" fontId="31" fillId="0" borderId="99" applyNumberFormat="0" applyFont="0" applyFill="0" applyBorder="0" applyProtection="0">
      <alignment horizontal="left" vertical="center" indent="5"/>
    </xf>
    <xf numFmtId="0" fontId="81" fillId="86" borderId="95" applyNumberFormat="0" applyAlignment="0" applyProtection="0"/>
    <xf numFmtId="4" fontId="27" fillId="14" borderId="92">
      <alignment horizontal="right" vertical="center"/>
    </xf>
    <xf numFmtId="49" fontId="31" fillId="0" borderId="91" applyNumberFormat="0" applyFont="0" applyFill="0" applyBorder="0" applyProtection="0">
      <alignment horizontal="left" vertical="center" indent="5"/>
    </xf>
    <xf numFmtId="0" fontId="8" fillId="60" borderId="0" applyNumberFormat="0" applyBorder="0" applyAlignment="0" applyProtection="0"/>
    <xf numFmtId="49" fontId="31" fillId="0" borderId="91" applyNumberFormat="0" applyFont="0" applyFill="0" applyBorder="0" applyProtection="0">
      <alignment horizontal="left" vertical="center" indent="5"/>
    </xf>
    <xf numFmtId="0" fontId="31" fillId="14" borderId="101">
      <alignment horizontal="left" vertical="center" wrapText="1" indent="2"/>
    </xf>
    <xf numFmtId="0" fontId="75" fillId="89" borderId="97" applyNumberFormat="0" applyFont="0" applyAlignment="0" applyProtection="0"/>
    <xf numFmtId="4" fontId="31" fillId="16" borderId="90"/>
    <xf numFmtId="4" fontId="27" fillId="14" borderId="90">
      <alignment horizontal="right" vertical="center"/>
    </xf>
    <xf numFmtId="4" fontId="27" fillId="14" borderId="90">
      <alignment horizontal="right" vertical="center"/>
    </xf>
    <xf numFmtId="4" fontId="31" fillId="0" borderId="90" applyFill="0" applyBorder="0" applyProtection="0">
      <alignment horizontal="right" vertical="center"/>
    </xf>
    <xf numFmtId="0" fontId="27" fillId="9" borderId="90">
      <alignment horizontal="right" vertical="center"/>
    </xf>
    <xf numFmtId="0" fontId="27" fillId="14" borderId="90">
      <alignment horizontal="right" vertical="center"/>
    </xf>
    <xf numFmtId="0" fontId="69" fillId="58" borderId="0" applyNumberFormat="0" applyBorder="0" applyAlignment="0" applyProtection="0"/>
    <xf numFmtId="0" fontId="31" fillId="9" borderId="91">
      <alignment horizontal="left" vertical="center"/>
    </xf>
    <xf numFmtId="0" fontId="31" fillId="0" borderId="90" applyNumberFormat="0" applyFill="0" applyAlignment="0" applyProtection="0"/>
    <xf numFmtId="0" fontId="84" fillId="73" borderId="87" applyNumberFormat="0" applyAlignment="0" applyProtection="0"/>
    <xf numFmtId="0" fontId="69" fillId="64" borderId="0" applyNumberFormat="0" applyBorder="0" applyAlignment="0" applyProtection="0"/>
    <xf numFmtId="0" fontId="81" fillId="86" borderId="87" applyNumberFormat="0" applyAlignment="0" applyProtection="0"/>
    <xf numFmtId="4" fontId="27" fillId="14" borderId="98">
      <alignment horizontal="right" vertical="center"/>
    </xf>
    <xf numFmtId="0" fontId="100" fillId="0" borderId="88" applyNumberFormat="0" applyFill="0" applyAlignment="0" applyProtection="0"/>
    <xf numFmtId="0" fontId="85" fillId="0" borderId="88" applyNumberFormat="0" applyFill="0" applyAlignment="0" applyProtection="0"/>
    <xf numFmtId="0" fontId="81" fillId="86" borderId="87" applyNumberFormat="0" applyAlignment="0" applyProtection="0"/>
    <xf numFmtId="0" fontId="93" fillId="73" borderId="87" applyNumberFormat="0" applyAlignment="0" applyProtection="0"/>
    <xf numFmtId="0" fontId="81" fillId="86" borderId="80" applyNumberFormat="0" applyAlignment="0" applyProtection="0"/>
    <xf numFmtId="4" fontId="27" fillId="14" borderId="90">
      <alignment horizontal="right" vertical="center"/>
    </xf>
    <xf numFmtId="0" fontId="75" fillId="89" borderId="89" applyNumberFormat="0" applyFont="0" applyAlignment="0" applyProtection="0"/>
    <xf numFmtId="0" fontId="31" fillId="0" borderId="90">
      <alignment horizontal="right" vertical="center"/>
    </xf>
    <xf numFmtId="0" fontId="31" fillId="9" borderId="91">
      <alignment horizontal="left" vertical="center"/>
    </xf>
    <xf numFmtId="0" fontId="31" fillId="14" borderId="93">
      <alignment horizontal="left" vertical="center" wrapText="1" indent="2"/>
    </xf>
    <xf numFmtId="0" fontId="8" fillId="47" borderId="0" applyNumberFormat="0" applyBorder="0" applyAlignment="0" applyProtection="0"/>
    <xf numFmtId="0" fontId="31" fillId="16" borderId="90"/>
    <xf numFmtId="4" fontId="71" fillId="9" borderId="90">
      <alignment horizontal="right" vertical="center"/>
    </xf>
    <xf numFmtId="4" fontId="27" fillId="14" borderId="91">
      <alignment horizontal="right" vertical="center"/>
    </xf>
    <xf numFmtId="4" fontId="27" fillId="14" borderId="92">
      <alignment horizontal="right" vertical="center"/>
    </xf>
    <xf numFmtId="0" fontId="93" fillId="73" borderId="80" applyNumberFormat="0" applyAlignment="0" applyProtection="0"/>
    <xf numFmtId="4" fontId="27" fillId="14" borderId="90">
      <alignment horizontal="right" vertical="center"/>
    </xf>
    <xf numFmtId="0" fontId="8" fillId="57" borderId="0" applyNumberFormat="0" applyBorder="0" applyAlignment="0" applyProtection="0"/>
    <xf numFmtId="0" fontId="31" fillId="0" borderId="93">
      <alignment horizontal="left" vertical="center" wrapText="1" indent="2"/>
    </xf>
    <xf numFmtId="49" fontId="31" fillId="0" borderId="90" applyNumberFormat="0" applyFont="0" applyFill="0" applyBorder="0" applyProtection="0">
      <alignment horizontal="left" vertical="center" indent="2"/>
    </xf>
    <xf numFmtId="0" fontId="27" fillId="9" borderId="90">
      <alignment horizontal="right" vertical="center"/>
    </xf>
    <xf numFmtId="175" fontId="31" fillId="90" borderId="90" applyNumberFormat="0" applyFont="0" applyBorder="0" applyAlignment="0" applyProtection="0">
      <alignment horizontal="right" vertical="center"/>
    </xf>
    <xf numFmtId="0" fontId="81" fillId="86" borderId="87" applyNumberFormat="0" applyAlignment="0" applyProtection="0"/>
    <xf numFmtId="0" fontId="80" fillId="86" borderId="87" applyNumberFormat="0" applyAlignment="0" applyProtection="0"/>
    <xf numFmtId="4" fontId="31" fillId="16" borderId="90"/>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93">
      <alignment horizontal="left" vertical="center" wrapText="1" indent="2"/>
    </xf>
    <xf numFmtId="0" fontId="85" fillId="0" borderId="88" applyNumberFormat="0" applyFill="0" applyAlignment="0" applyProtection="0"/>
    <xf numFmtId="0" fontId="85" fillId="0" borderId="88" applyNumberFormat="0" applyFill="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49" fontId="31" fillId="0" borderId="91" applyNumberFormat="0" applyFont="0" applyFill="0" applyBorder="0" applyProtection="0">
      <alignment horizontal="left" vertical="center" indent="5"/>
    </xf>
    <xf numFmtId="0" fontId="32" fillId="89" borderId="97" applyNumberFormat="0" applyFont="0" applyAlignment="0" applyProtection="0"/>
    <xf numFmtId="4" fontId="27" fillId="9" borderId="90">
      <alignment horizontal="right" vertical="center"/>
    </xf>
    <xf numFmtId="0" fontId="100" fillId="0" borderId="88" applyNumberFormat="0" applyFill="0" applyAlignment="0" applyProtection="0"/>
    <xf numFmtId="0" fontId="31" fillId="0" borderId="93">
      <alignment horizontal="left" vertical="center" wrapText="1" indent="2"/>
    </xf>
    <xf numFmtId="0" fontId="100" fillId="0" borderId="81" applyNumberFormat="0" applyFill="0" applyAlignment="0" applyProtection="0"/>
    <xf numFmtId="0" fontId="31" fillId="14" borderId="93">
      <alignment horizontal="left" vertical="center" wrapText="1" indent="2"/>
    </xf>
    <xf numFmtId="0" fontId="93" fillId="73" borderId="87" applyNumberFormat="0" applyAlignment="0" applyProtection="0"/>
    <xf numFmtId="4" fontId="31" fillId="0" borderId="90">
      <alignment horizontal="right" vertical="center"/>
    </xf>
    <xf numFmtId="0" fontId="32" fillId="89" borderId="89" applyNumberFormat="0" applyFont="0" applyAlignment="0" applyProtection="0"/>
    <xf numFmtId="0" fontId="80" fillId="86" borderId="87" applyNumberFormat="0" applyAlignment="0" applyProtection="0"/>
    <xf numFmtId="0" fontId="31" fillId="16" borderId="90"/>
    <xf numFmtId="0" fontId="8" fillId="47" borderId="0" applyNumberFormat="0" applyBorder="0" applyAlignment="0" applyProtection="0"/>
    <xf numFmtId="0" fontId="31" fillId="14" borderId="93">
      <alignment horizontal="left" vertical="center" wrapText="1" indent="2"/>
    </xf>
    <xf numFmtId="0" fontId="78" fillId="86" borderId="94" applyNumberFormat="0" applyAlignment="0" applyProtection="0"/>
    <xf numFmtId="49" fontId="31" fillId="0" borderId="90" applyNumberFormat="0" applyFont="0" applyFill="0" applyBorder="0" applyProtection="0">
      <alignment horizontal="left" vertical="center" indent="2"/>
    </xf>
    <xf numFmtId="0" fontId="27" fillId="14" borderId="90">
      <alignment horizontal="right" vertical="center"/>
    </xf>
    <xf numFmtId="0" fontId="31" fillId="14" borderId="93">
      <alignment horizontal="left" vertical="center" wrapText="1" indent="2"/>
    </xf>
    <xf numFmtId="4" fontId="27" fillId="14" borderId="92">
      <alignment horizontal="right" vertical="center"/>
    </xf>
    <xf numFmtId="0" fontId="8" fillId="47" borderId="0" applyNumberFormat="0" applyBorder="0" applyAlignment="0" applyProtection="0"/>
    <xf numFmtId="0" fontId="93" fillId="73" borderId="87" applyNumberFormat="0" applyAlignment="0" applyProtection="0"/>
    <xf numFmtId="4" fontId="27" fillId="9" borderId="90">
      <alignment horizontal="right" vertical="center"/>
    </xf>
    <xf numFmtId="0" fontId="84" fillId="73" borderId="87" applyNumberFormat="0" applyAlignment="0" applyProtection="0"/>
    <xf numFmtId="4" fontId="71" fillId="9" borderId="98">
      <alignment horizontal="right" vertical="center"/>
    </xf>
    <xf numFmtId="0" fontId="31" fillId="16" borderId="90"/>
    <xf numFmtId="0" fontId="71" fillId="9" borderId="90">
      <alignment horizontal="right" vertical="center"/>
    </xf>
    <xf numFmtId="0" fontId="27" fillId="14" borderId="90">
      <alignment horizontal="right" vertical="center"/>
    </xf>
    <xf numFmtId="0" fontId="31" fillId="14" borderId="93">
      <alignment horizontal="left" vertical="center" wrapText="1" indent="2"/>
    </xf>
    <xf numFmtId="4" fontId="27" fillId="14" borderId="91">
      <alignment horizontal="right" vertical="center"/>
    </xf>
    <xf numFmtId="0" fontId="100" fillId="0" borderId="88" applyNumberFormat="0" applyFill="0" applyAlignment="0" applyProtection="0"/>
    <xf numFmtId="0" fontId="31" fillId="0" borderId="93">
      <alignment horizontal="left" vertical="center" wrapText="1" indent="2"/>
    </xf>
    <xf numFmtId="4" fontId="31" fillId="0" borderId="90" applyFill="0" applyBorder="0" applyProtection="0">
      <alignment horizontal="right" vertical="center"/>
    </xf>
    <xf numFmtId="0" fontId="81" fillId="86" borderId="80" applyNumberFormat="0" applyAlignment="0" applyProtection="0"/>
    <xf numFmtId="0" fontId="71" fillId="9" borderId="90">
      <alignment horizontal="right" vertical="center"/>
    </xf>
    <xf numFmtId="0" fontId="84" fillId="73" borderId="95" applyNumberFormat="0" applyAlignment="0" applyProtection="0"/>
    <xf numFmtId="4" fontId="27" fillId="14" borderId="90">
      <alignment horizontal="right" vertical="center"/>
    </xf>
    <xf numFmtId="0" fontId="93" fillId="73" borderId="80" applyNumberFormat="0" applyAlignment="0" applyProtection="0"/>
    <xf numFmtId="4" fontId="71" fillId="9" borderId="90">
      <alignment horizontal="right" vertical="center"/>
    </xf>
    <xf numFmtId="0" fontId="31" fillId="9" borderId="91">
      <alignment horizontal="left" vertical="center"/>
    </xf>
    <xf numFmtId="0" fontId="75" fillId="89" borderId="82" applyNumberFormat="0" applyFont="0" applyAlignment="0" applyProtection="0"/>
    <xf numFmtId="0" fontId="97" fillId="86" borderId="79" applyNumberFormat="0" applyAlignment="0" applyProtection="0"/>
    <xf numFmtId="0" fontId="68" fillId="0" borderId="0" applyNumberFormat="0" applyFill="0" applyBorder="0" applyAlignment="0" applyProtection="0"/>
    <xf numFmtId="0" fontId="100" fillId="0" borderId="81" applyNumberFormat="0" applyFill="0" applyAlignment="0" applyProtection="0"/>
    <xf numFmtId="0" fontId="8" fillId="47" borderId="0" applyNumberFormat="0" applyBorder="0" applyAlignment="0" applyProtection="0"/>
    <xf numFmtId="0" fontId="69" fillId="52" borderId="0" applyNumberFormat="0" applyBorder="0" applyAlignment="0" applyProtection="0"/>
    <xf numFmtId="0" fontId="80" fillId="86" borderId="87" applyNumberFormat="0" applyAlignment="0" applyProtection="0"/>
    <xf numFmtId="0" fontId="27" fillId="9" borderId="90">
      <alignment horizontal="right" vertical="center"/>
    </xf>
    <xf numFmtId="0" fontId="93" fillId="73" borderId="87" applyNumberFormat="0" applyAlignment="0" applyProtection="0"/>
    <xf numFmtId="0" fontId="31" fillId="0" borderId="93">
      <alignment horizontal="left" vertical="center" wrapText="1" indent="2"/>
    </xf>
    <xf numFmtId="0" fontId="27" fillId="14" borderId="92">
      <alignment horizontal="right" vertical="center"/>
    </xf>
    <xf numFmtId="0" fontId="75" fillId="89" borderId="89" applyNumberFormat="0" applyFont="0" applyAlignment="0" applyProtection="0"/>
    <xf numFmtId="0" fontId="69" fillId="64" borderId="0" applyNumberFormat="0" applyBorder="0" applyAlignment="0" applyProtection="0"/>
    <xf numFmtId="49" fontId="29" fillId="0" borderId="90" applyNumberFormat="0" applyFill="0" applyBorder="0" applyProtection="0">
      <alignment horizontal="left" vertical="center"/>
    </xf>
    <xf numFmtId="0" fontId="32" fillId="89" borderId="89" applyNumberFormat="0" applyFont="0" applyAlignment="0" applyProtection="0"/>
    <xf numFmtId="0" fontId="69" fillId="61" borderId="0" applyNumberFormat="0" applyBorder="0" applyAlignment="0" applyProtection="0"/>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4" fontId="31" fillId="0" borderId="90" applyFill="0" applyBorder="0" applyProtection="0">
      <alignment horizontal="righ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49" fontId="31" fillId="0" borderId="90" applyNumberFormat="0" applyFont="0" applyFill="0" applyBorder="0" applyProtection="0">
      <alignment horizontal="left" vertical="center" indent="2"/>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78" fillId="86" borderId="94" applyNumberFormat="0" applyAlignment="0" applyProtection="0"/>
    <xf numFmtId="0" fontId="8" fillId="50" borderId="0" applyNumberFormat="0" applyBorder="0" applyAlignment="0" applyProtection="0"/>
    <xf numFmtId="0" fontId="8" fillId="62" borderId="0" applyNumberFormat="0" applyBorder="0" applyAlignment="0" applyProtection="0"/>
    <xf numFmtId="0" fontId="27" fillId="14" borderId="91">
      <alignment horizontal="right" vertical="center"/>
    </xf>
    <xf numFmtId="0" fontId="100" fillId="0" borderId="88" applyNumberFormat="0" applyFill="0" applyAlignment="0" applyProtection="0"/>
    <xf numFmtId="0" fontId="66" fillId="46" borderId="56" applyNumberFormat="0" applyAlignment="0" applyProtection="0"/>
    <xf numFmtId="0" fontId="75" fillId="89" borderId="89" applyNumberFormat="0" applyFont="0" applyAlignment="0" applyProtection="0"/>
    <xf numFmtId="4" fontId="31" fillId="0" borderId="90" applyFill="0" applyBorder="0" applyProtection="0">
      <alignment horizontal="right" vertical="center"/>
    </xf>
    <xf numFmtId="0" fontId="8" fillId="62" borderId="0" applyNumberFormat="0" applyBorder="0" applyAlignment="0" applyProtection="0"/>
    <xf numFmtId="0" fontId="8" fillId="48" borderId="0" applyNumberFormat="0" applyBorder="0" applyAlignment="0" applyProtection="0"/>
    <xf numFmtId="4" fontId="27" fillId="14" borderId="92">
      <alignment horizontal="right" vertical="center"/>
    </xf>
    <xf numFmtId="0" fontId="8" fillId="51" borderId="0" applyNumberFormat="0" applyBorder="0" applyAlignment="0" applyProtection="0"/>
    <xf numFmtId="0" fontId="27" fillId="14" borderId="90">
      <alignment horizontal="right" vertical="center"/>
    </xf>
    <xf numFmtId="0" fontId="97" fillId="86" borderId="94" applyNumberFormat="0" applyAlignment="0" applyProtection="0"/>
    <xf numFmtId="0" fontId="8" fillId="50" borderId="0" applyNumberFormat="0" applyBorder="0" applyAlignment="0" applyProtection="0"/>
    <xf numFmtId="0" fontId="80" fillId="86" borderId="87" applyNumberFormat="0" applyAlignment="0" applyProtection="0"/>
    <xf numFmtId="0" fontId="100" fillId="0" borderId="88" applyNumberFormat="0" applyFill="0" applyAlignment="0" applyProtection="0"/>
    <xf numFmtId="4" fontId="27" fillId="14" borderId="90">
      <alignment horizontal="right" vertical="center"/>
    </xf>
    <xf numFmtId="0" fontId="69" fillId="55" borderId="0" applyNumberFormat="0" applyBorder="0" applyAlignment="0" applyProtection="0"/>
    <xf numFmtId="0" fontId="31" fillId="0" borderId="90" applyNumberFormat="0" applyFill="0" applyAlignment="0" applyProtection="0"/>
    <xf numFmtId="0" fontId="8" fillId="56" borderId="0" applyNumberFormat="0" applyBorder="0" applyAlignment="0" applyProtection="0"/>
    <xf numFmtId="0" fontId="100" fillId="0" borderId="88" applyNumberFormat="0" applyFill="0" applyAlignment="0" applyProtection="0"/>
    <xf numFmtId="4" fontId="31" fillId="0" borderId="90">
      <alignment horizontal="right" vertical="center"/>
    </xf>
    <xf numFmtId="4" fontId="27" fillId="14" borderId="92">
      <alignment horizontal="right" vertical="center"/>
    </xf>
    <xf numFmtId="0" fontId="71" fillId="9" borderId="90">
      <alignment horizontal="right" vertical="center"/>
    </xf>
    <xf numFmtId="0" fontId="32" fillId="89" borderId="89" applyNumberFormat="0" applyFont="0" applyAlignment="0" applyProtection="0"/>
    <xf numFmtId="0" fontId="8" fillId="59" borderId="0" applyNumberFormat="0" applyBorder="0" applyAlignment="0" applyProtection="0"/>
    <xf numFmtId="0" fontId="93" fillId="73" borderId="87" applyNumberFormat="0" applyAlignment="0" applyProtection="0"/>
    <xf numFmtId="4" fontId="71" fillId="9" borderId="90">
      <alignment horizontal="right" vertical="center"/>
    </xf>
    <xf numFmtId="0" fontId="31" fillId="0" borderId="93">
      <alignment horizontal="left" vertical="center" wrapText="1" indent="2"/>
    </xf>
    <xf numFmtId="0" fontId="97" fillId="86" borderId="94" applyNumberFormat="0" applyAlignment="0" applyProtection="0"/>
    <xf numFmtId="0" fontId="75" fillId="89" borderId="89" applyNumberFormat="0" applyFont="0" applyAlignment="0" applyProtection="0"/>
    <xf numFmtId="0" fontId="84" fillId="73" borderId="87" applyNumberFormat="0" applyAlignment="0" applyProtection="0"/>
    <xf numFmtId="49" fontId="29" fillId="0" borderId="90" applyNumberFormat="0" applyFill="0" applyBorder="0" applyProtection="0">
      <alignment horizontal="left" vertical="center"/>
    </xf>
    <xf numFmtId="4" fontId="27" fillId="9" borderId="90">
      <alignment horizontal="right" vertical="center"/>
    </xf>
    <xf numFmtId="0" fontId="100" fillId="0" borderId="88" applyNumberFormat="0" applyFill="0" applyAlignment="0" applyProtection="0"/>
    <xf numFmtId="0" fontId="8" fillId="53" borderId="0" applyNumberFormat="0" applyBorder="0" applyAlignment="0" applyProtection="0"/>
    <xf numFmtId="0" fontId="97" fillId="86" borderId="94" applyNumberFormat="0" applyAlignment="0" applyProtection="0"/>
    <xf numFmtId="0" fontId="93" fillId="73" borderId="87" applyNumberFormat="0" applyAlignment="0" applyProtection="0"/>
    <xf numFmtId="0" fontId="8" fillId="51" borderId="0" applyNumberFormat="0" applyBorder="0" applyAlignment="0" applyProtection="0"/>
    <xf numFmtId="0" fontId="69" fillId="61" borderId="0" applyNumberFormat="0" applyBorder="0" applyAlignment="0" applyProtection="0"/>
    <xf numFmtId="0" fontId="8" fillId="47" borderId="0" applyNumberFormat="0" applyBorder="0" applyAlignment="0" applyProtection="0"/>
    <xf numFmtId="49" fontId="29" fillId="0" borderId="90" applyNumberFormat="0" applyFill="0" applyBorder="0" applyProtection="0">
      <alignment horizontal="left" vertical="center"/>
    </xf>
    <xf numFmtId="0" fontId="100" fillId="0" borderId="88" applyNumberFormat="0" applyFill="0" applyAlignment="0" applyProtection="0"/>
    <xf numFmtId="0" fontId="69" fillId="52" borderId="0" applyNumberFormat="0" applyBorder="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0" fontId="93" fillId="73" borderId="87" applyNumberFormat="0" applyAlignment="0" applyProtection="0"/>
    <xf numFmtId="0" fontId="31" fillId="9" borderId="91">
      <alignment horizontal="left" vertical="center"/>
    </xf>
    <xf numFmtId="0" fontId="81" fillId="86" borderId="87" applyNumberFormat="0" applyAlignment="0" applyProtection="0"/>
    <xf numFmtId="0" fontId="100" fillId="0" borderId="88" applyNumberFormat="0" applyFill="0" applyAlignment="0" applyProtection="0"/>
    <xf numFmtId="4" fontId="27" fillId="14" borderId="91">
      <alignment horizontal="right" vertical="center"/>
    </xf>
    <xf numFmtId="0" fontId="32" fillId="89" borderId="89" applyNumberFormat="0" applyFont="0" applyAlignment="0" applyProtection="0"/>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4" fontId="27" fillId="14" borderId="92">
      <alignment horizontal="right" vertical="center"/>
    </xf>
    <xf numFmtId="0" fontId="69" fillId="64" borderId="0" applyNumberFormat="0" applyBorder="0" applyAlignment="0" applyProtection="0"/>
    <xf numFmtId="0" fontId="100" fillId="0" borderId="88" applyNumberFormat="0" applyFill="0" applyAlignment="0" applyProtection="0"/>
    <xf numFmtId="0" fontId="84" fillId="73" borderId="87" applyNumberFormat="0" applyAlignment="0" applyProtection="0"/>
    <xf numFmtId="0" fontId="85" fillId="0" borderId="88" applyNumberFormat="0" applyFill="0" applyAlignment="0" applyProtection="0"/>
    <xf numFmtId="0" fontId="75" fillId="89" borderId="89" applyNumberFormat="0" applyFont="0" applyAlignment="0" applyProtection="0"/>
    <xf numFmtId="0" fontId="100" fillId="0" borderId="88" applyNumberFormat="0" applyFill="0" applyAlignment="0" applyProtection="0"/>
    <xf numFmtId="0" fontId="69" fillId="55" borderId="0" applyNumberFormat="0" applyBorder="0" applyAlignment="0" applyProtection="0"/>
    <xf numFmtId="0" fontId="75" fillId="89" borderId="89" applyNumberFormat="0" applyFont="0" applyAlignment="0" applyProtection="0"/>
    <xf numFmtId="0" fontId="31" fillId="0" borderId="90" applyNumberFormat="0" applyFill="0" applyAlignment="0" applyProtection="0"/>
    <xf numFmtId="49" fontId="31" fillId="0" borderId="91" applyNumberFormat="0" applyFont="0" applyFill="0" applyBorder="0" applyProtection="0">
      <alignment horizontal="left" vertical="center" indent="5"/>
    </xf>
    <xf numFmtId="0" fontId="31" fillId="0" borderId="90" applyNumberFormat="0" applyFill="0" applyAlignment="0" applyProtection="0"/>
    <xf numFmtId="4" fontId="31" fillId="0" borderId="90">
      <alignment horizontal="right" vertical="center"/>
    </xf>
    <xf numFmtId="4" fontId="31" fillId="0" borderId="90">
      <alignment horizontal="right" vertical="center"/>
    </xf>
    <xf numFmtId="0" fontId="27" fillId="14" borderId="90">
      <alignment horizontal="right" vertical="center"/>
    </xf>
    <xf numFmtId="0" fontId="31" fillId="14" borderId="93">
      <alignment horizontal="left" vertical="center" wrapText="1" indent="2"/>
    </xf>
    <xf numFmtId="0" fontId="93" fillId="73" borderId="87" applyNumberFormat="0" applyAlignment="0" applyProtection="0"/>
    <xf numFmtId="0" fontId="31" fillId="0" borderId="90">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175" fontId="31" fillId="90" borderId="90" applyNumberFormat="0" applyFont="0" applyBorder="0" applyAlignment="0" applyProtection="0">
      <alignment horizontal="right" vertical="center"/>
    </xf>
    <xf numFmtId="0" fontId="65" fillId="46" borderId="57" applyNumberFormat="0" applyAlignment="0" applyProtection="0"/>
    <xf numFmtId="0" fontId="27" fillId="14" borderId="92">
      <alignment horizontal="right" vertical="center"/>
    </xf>
    <xf numFmtId="0" fontId="81" fillId="86" borderId="87" applyNumberFormat="0" applyAlignment="0" applyProtection="0"/>
    <xf numFmtId="0" fontId="80" fillId="86" borderId="87" applyNumberFormat="0" applyAlignment="0" applyProtection="0"/>
    <xf numFmtId="0" fontId="100" fillId="0" borderId="88" applyNumberFormat="0" applyFill="0" applyAlignment="0" applyProtection="0"/>
    <xf numFmtId="0" fontId="100" fillId="0" borderId="88" applyNumberFormat="0" applyFill="0" applyAlignment="0" applyProtection="0"/>
    <xf numFmtId="0" fontId="32" fillId="89" borderId="89" applyNumberFormat="0" applyFont="0" applyAlignment="0" applyProtection="0"/>
    <xf numFmtId="0" fontId="69" fillId="61" borderId="0" applyNumberFormat="0" applyBorder="0" applyAlignment="0" applyProtection="0"/>
    <xf numFmtId="0" fontId="27" fillId="14" borderId="92">
      <alignment horizontal="right" vertical="center"/>
    </xf>
    <xf numFmtId="0" fontId="8" fillId="59" borderId="0" applyNumberFormat="0" applyBorder="0" applyAlignment="0" applyProtection="0"/>
    <xf numFmtId="0" fontId="27" fillId="14" borderId="91">
      <alignment horizontal="right" vertical="center"/>
    </xf>
    <xf numFmtId="0" fontId="75" fillId="89" borderId="97" applyNumberFormat="0" applyFont="0" applyAlignment="0" applyProtection="0"/>
    <xf numFmtId="4" fontId="27" fillId="9" borderId="90">
      <alignment horizontal="right" vertical="center"/>
    </xf>
    <xf numFmtId="4" fontId="27" fillId="14" borderId="90">
      <alignment horizontal="right" vertical="center"/>
    </xf>
    <xf numFmtId="0" fontId="67" fillId="0" borderId="0" applyNumberFormat="0" applyFill="0" applyBorder="0" applyAlignment="0" applyProtection="0"/>
    <xf numFmtId="4" fontId="27" fillId="14" borderId="90">
      <alignment horizontal="right" vertical="center"/>
    </xf>
    <xf numFmtId="0" fontId="84" fillId="73" borderId="80" applyNumberFormat="0" applyAlignment="0" applyProtection="0"/>
    <xf numFmtId="0" fontId="27" fillId="14" borderId="90">
      <alignment horizontal="right" vertical="center"/>
    </xf>
    <xf numFmtId="4" fontId="27" fillId="14" borderId="90">
      <alignment horizontal="right" vertical="center"/>
    </xf>
    <xf numFmtId="0" fontId="97" fillId="86" borderId="94" applyNumberFormat="0" applyAlignment="0" applyProtection="0"/>
    <xf numFmtId="4" fontId="27" fillId="14" borderId="90">
      <alignment horizontal="right" vertical="center"/>
    </xf>
    <xf numFmtId="0" fontId="31" fillId="0" borderId="90">
      <alignment horizontal="right" vertical="center"/>
    </xf>
    <xf numFmtId="0" fontId="8"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93">
      <alignment horizontal="left" vertical="center" wrapText="1" indent="2"/>
    </xf>
    <xf numFmtId="0" fontId="31" fillId="16" borderId="90"/>
    <xf numFmtId="4" fontId="31" fillId="0" borderId="90" applyFill="0" applyBorder="0" applyProtection="0">
      <alignment horizontal="right" vertical="center"/>
    </xf>
    <xf numFmtId="0" fontId="81" fillId="86" borderId="87" applyNumberFormat="0" applyAlignment="0" applyProtection="0"/>
    <xf numFmtId="0" fontId="31" fillId="14" borderId="86">
      <alignment horizontal="left" vertical="center" wrapText="1" indent="2"/>
    </xf>
    <xf numFmtId="0" fontId="31" fillId="0" borderId="86">
      <alignment horizontal="left" vertical="center" wrapText="1" indent="2"/>
    </xf>
    <xf numFmtId="0" fontId="85" fillId="0" borderId="88" applyNumberFormat="0" applyFill="0" applyAlignment="0" applyProtection="0"/>
    <xf numFmtId="0" fontId="93" fillId="73" borderId="87" applyNumberFormat="0" applyAlignment="0" applyProtection="0"/>
    <xf numFmtId="0" fontId="31" fillId="0" borderId="90">
      <alignment horizontal="right" vertical="center"/>
    </xf>
    <xf numFmtId="49" fontId="31" fillId="0" borderId="90" applyNumberFormat="0" applyFont="0" applyFill="0" applyBorder="0" applyProtection="0">
      <alignment horizontal="left" vertical="center" indent="2"/>
    </xf>
    <xf numFmtId="0" fontId="80" fillId="86" borderId="87" applyNumberFormat="0" applyAlignment="0" applyProtection="0"/>
    <xf numFmtId="0" fontId="31" fillId="0" borderId="90">
      <alignment horizontal="right" vertical="center"/>
    </xf>
    <xf numFmtId="0" fontId="27" fillId="9" borderId="90">
      <alignment horizontal="right" vertical="center"/>
    </xf>
    <xf numFmtId="4" fontId="27" fillId="14" borderId="99">
      <alignment horizontal="right" vertical="center"/>
    </xf>
    <xf numFmtId="0" fontId="69" fillId="52" borderId="0" applyNumberFormat="0" applyBorder="0" applyAlignment="0" applyProtection="0"/>
    <xf numFmtId="4" fontId="31" fillId="0" borderId="90">
      <alignment horizontal="right" vertical="center"/>
    </xf>
    <xf numFmtId="175" fontId="31" fillId="90" borderId="90" applyNumberFormat="0" applyFont="0" applyBorder="0" applyAlignment="0" applyProtection="0">
      <alignment horizontal="right" vertical="center"/>
    </xf>
    <xf numFmtId="4" fontId="71" fillId="9" borderId="90">
      <alignment horizontal="right" vertical="center"/>
    </xf>
    <xf numFmtId="4" fontId="27" fillId="14" borderId="91">
      <alignment horizontal="right" vertical="center"/>
    </xf>
    <xf numFmtId="4" fontId="27" fillId="9" borderId="90">
      <alignment horizontal="right" vertical="center"/>
    </xf>
    <xf numFmtId="0" fontId="85" fillId="0" borderId="88" applyNumberFormat="0" applyFill="0" applyAlignment="0" applyProtection="0"/>
    <xf numFmtId="0" fontId="93" fillId="73" borderId="87" applyNumberFormat="0" applyAlignment="0" applyProtection="0"/>
    <xf numFmtId="0" fontId="31" fillId="16" borderId="90"/>
    <xf numFmtId="49" fontId="31" fillId="0" borderId="90" applyNumberFormat="0" applyFont="0" applyFill="0" applyBorder="0" applyProtection="0">
      <alignment horizontal="left" vertical="center" indent="2"/>
    </xf>
    <xf numFmtId="4" fontId="71" fillId="9" borderId="90">
      <alignment horizontal="right" vertical="center"/>
    </xf>
    <xf numFmtId="0" fontId="97" fillId="86" borderId="94" applyNumberFormat="0" applyAlignment="0" applyProtection="0"/>
    <xf numFmtId="0" fontId="93" fillId="73" borderId="95" applyNumberFormat="0" applyAlignment="0" applyProtection="0"/>
    <xf numFmtId="0" fontId="8" fillId="62" borderId="0" applyNumberFormat="0" applyBorder="0" applyAlignment="0" applyProtection="0"/>
    <xf numFmtId="49" fontId="29" fillId="0" borderId="90" applyNumberFormat="0" applyFill="0" applyBorder="0" applyProtection="0">
      <alignment horizontal="left" vertical="center"/>
    </xf>
    <xf numFmtId="0" fontId="8" fillId="53" borderId="0" applyNumberFormat="0" applyBorder="0" applyAlignment="0" applyProtection="0"/>
    <xf numFmtId="0" fontId="8" fillId="51" borderId="0" applyNumberFormat="0" applyBorder="0" applyAlignment="0" applyProtection="0"/>
    <xf numFmtId="0" fontId="8" fillId="63" borderId="0" applyNumberFormat="0" applyBorder="0" applyAlignment="0" applyProtection="0"/>
    <xf numFmtId="0" fontId="71" fillId="9" borderId="90">
      <alignment horizontal="right" vertical="center"/>
    </xf>
    <xf numFmtId="0" fontId="69" fillId="49" borderId="0" applyNumberFormat="0" applyBorder="0" applyAlignment="0" applyProtection="0"/>
    <xf numFmtId="0" fontId="31" fillId="14" borderId="101">
      <alignment horizontal="left" vertical="center" wrapText="1" indent="2"/>
    </xf>
    <xf numFmtId="0" fontId="69" fillId="64" borderId="0" applyNumberFormat="0" applyBorder="0" applyAlignment="0" applyProtection="0"/>
    <xf numFmtId="0" fontId="8" fillId="57" borderId="0" applyNumberFormat="0" applyBorder="0" applyAlignment="0" applyProtection="0"/>
    <xf numFmtId="0" fontId="8" fillId="59" borderId="0" applyNumberFormat="0" applyBorder="0" applyAlignment="0" applyProtection="0"/>
    <xf numFmtId="0" fontId="8" fillId="60" borderId="0" applyNumberFormat="0" applyBorder="0" applyAlignment="0" applyProtection="0"/>
    <xf numFmtId="0" fontId="69" fillId="58" borderId="0" applyNumberFormat="0" applyBorder="0" applyAlignment="0" applyProtection="0"/>
    <xf numFmtId="0" fontId="8" fillId="54" borderId="0" applyNumberFormat="0" applyBorder="0" applyAlignment="0" applyProtection="0"/>
    <xf numFmtId="0" fontId="69" fillId="55" borderId="0" applyNumberFormat="0" applyBorder="0" applyAlignment="0" applyProtection="0"/>
    <xf numFmtId="0" fontId="85" fillId="0" borderId="88" applyNumberFormat="0" applyFill="0" applyAlignment="0" applyProtection="0"/>
    <xf numFmtId="0" fontId="31" fillId="14" borderId="93">
      <alignment horizontal="left" vertical="center" wrapText="1" indent="2"/>
    </xf>
    <xf numFmtId="0" fontId="78" fillId="86" borderId="94" applyNumberFormat="0" applyAlignment="0" applyProtection="0"/>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7" applyNumberFormat="0" applyAlignment="0" applyProtection="0"/>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31" fillId="0" borderId="86">
      <alignment horizontal="left" vertical="center" wrapText="1" indent="2"/>
    </xf>
    <xf numFmtId="0" fontId="78" fillId="86" borderId="79" applyNumberFormat="0" applyAlignment="0" applyProtection="0"/>
    <xf numFmtId="0" fontId="80" fillId="86" borderId="80" applyNumberFormat="0" applyAlignment="0" applyProtection="0"/>
    <xf numFmtId="0" fontId="81" fillId="86" borderId="80" applyNumberFormat="0" applyAlignment="0" applyProtection="0"/>
    <xf numFmtId="0" fontId="84" fillId="73" borderId="80" applyNumberFormat="0" applyAlignment="0" applyProtection="0"/>
    <xf numFmtId="0" fontId="85" fillId="0" borderId="81" applyNumberFormat="0" applyFill="0" applyAlignment="0" applyProtection="0"/>
    <xf numFmtId="0" fontId="93" fillId="73" borderId="80" applyNumberFormat="0" applyAlignment="0" applyProtection="0"/>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81" fillId="86" borderId="80" applyNumberFormat="0" applyAlignment="0" applyProtection="0"/>
    <xf numFmtId="0" fontId="93" fillId="73" borderId="80" applyNumberFormat="0" applyAlignment="0" applyProtection="0"/>
    <xf numFmtId="0" fontId="97" fillId="86" borderId="79" applyNumberFormat="0" applyAlignment="0" applyProtection="0"/>
    <xf numFmtId="0" fontId="100" fillId="0" borderId="81" applyNumberFormat="0" applyFill="0" applyAlignment="0" applyProtection="0"/>
    <xf numFmtId="0" fontId="8" fillId="53" borderId="0" applyNumberFormat="0" applyBorder="0" applyAlignment="0" applyProtection="0"/>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84" fillId="73" borderId="80" applyNumberFormat="0" applyAlignment="0" applyProtection="0"/>
    <xf numFmtId="0" fontId="31" fillId="0" borderId="83">
      <alignment horizontal="right" vertical="center"/>
    </xf>
    <xf numFmtId="4" fontId="31" fillId="0" borderId="83">
      <alignment horizontal="right" vertical="center"/>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3" applyNumberFormat="0" applyFill="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4" fontId="27" fillId="14" borderId="83">
      <alignment horizontal="right" vertical="center"/>
    </xf>
    <xf numFmtId="0" fontId="31" fillId="16" borderId="83"/>
    <xf numFmtId="0" fontId="80" fillId="86" borderId="80" applyNumberFormat="0" applyAlignment="0" applyProtection="0"/>
    <xf numFmtId="0" fontId="27" fillId="9" borderId="83">
      <alignment horizontal="right" vertical="center"/>
    </xf>
    <xf numFmtId="0" fontId="31" fillId="0" borderId="83">
      <alignment horizontal="right" vertical="center"/>
    </xf>
    <xf numFmtId="0" fontId="100" fillId="0" borderId="81" applyNumberFormat="0" applyFill="0" applyAlignment="0" applyProtection="0"/>
    <xf numFmtId="0" fontId="31" fillId="9" borderId="84">
      <alignment horizontal="left" vertical="center"/>
    </xf>
    <xf numFmtId="0" fontId="93" fillId="73" borderId="80" applyNumberFormat="0" applyAlignment="0" applyProtection="0"/>
    <xf numFmtId="175" fontId="31" fillId="90" borderId="83" applyNumberFormat="0" applyFont="0" applyBorder="0" applyAlignment="0" applyProtection="0">
      <alignment horizontal="right" vertical="center"/>
    </xf>
    <xf numFmtId="0" fontId="75" fillId="89" borderId="82" applyNumberFormat="0" applyFont="0" applyAlignment="0" applyProtection="0"/>
    <xf numFmtId="0" fontId="31" fillId="0" borderId="86">
      <alignment horizontal="left" vertical="center" wrapText="1" indent="2"/>
    </xf>
    <xf numFmtId="4" fontId="31" fillId="16" borderId="83"/>
    <xf numFmtId="49" fontId="29" fillId="0" borderId="83" applyNumberFormat="0" applyFill="0" applyBorder="0" applyProtection="0">
      <alignment horizontal="left" vertical="center"/>
    </xf>
    <xf numFmtId="0" fontId="31" fillId="0" borderId="83">
      <alignment horizontal="right" vertical="center"/>
    </xf>
    <xf numFmtId="4" fontId="27" fillId="14" borderId="85">
      <alignment horizontal="right" vertical="center"/>
    </xf>
    <xf numFmtId="4" fontId="27" fillId="14" borderId="83">
      <alignment horizontal="right" vertical="center"/>
    </xf>
    <xf numFmtId="4" fontId="27" fillId="14" borderId="83">
      <alignment horizontal="right" vertical="center"/>
    </xf>
    <xf numFmtId="0" fontId="71" fillId="9" borderId="83">
      <alignment horizontal="right" vertical="center"/>
    </xf>
    <xf numFmtId="0" fontId="27" fillId="9" borderId="83">
      <alignment horizontal="right" vertical="center"/>
    </xf>
    <xf numFmtId="49" fontId="31" fillId="0" borderId="83" applyNumberFormat="0" applyFont="0" applyFill="0" applyBorder="0" applyProtection="0">
      <alignment horizontal="left" vertical="center" indent="2"/>
    </xf>
    <xf numFmtId="0" fontId="93" fillId="73" borderId="80" applyNumberFormat="0" applyAlignment="0" applyProtection="0"/>
    <xf numFmtId="0" fontId="78" fillId="86" borderId="79" applyNumberFormat="0" applyAlignment="0" applyProtection="0"/>
    <xf numFmtId="49" fontId="31" fillId="0" borderId="83" applyNumberFormat="0" applyFont="0" applyFill="0" applyBorder="0" applyProtection="0">
      <alignment horizontal="left" vertical="center" indent="2"/>
    </xf>
    <xf numFmtId="0" fontId="84" fillId="73" borderId="80" applyNumberFormat="0" applyAlignment="0" applyProtection="0"/>
    <xf numFmtId="4" fontId="31" fillId="0" borderId="83" applyFill="0" applyBorder="0" applyProtection="0">
      <alignment horizontal="right" vertical="center"/>
    </xf>
    <xf numFmtId="0" fontId="81" fillId="86" borderId="80" applyNumberFormat="0" applyAlignment="0" applyProtection="0"/>
    <xf numFmtId="0" fontId="100" fillId="0" borderId="81" applyNumberFormat="0" applyFill="0" applyAlignment="0" applyProtection="0"/>
    <xf numFmtId="0" fontId="97" fillId="86" borderId="79" applyNumberFormat="0" applyAlignment="0" applyProtection="0"/>
    <xf numFmtId="0" fontId="31" fillId="0" borderId="83" applyNumberFormat="0" applyFill="0" applyAlignment="0" applyProtection="0"/>
    <xf numFmtId="4" fontId="31" fillId="0" borderId="83">
      <alignment horizontal="right" vertical="center"/>
    </xf>
    <xf numFmtId="0" fontId="31" fillId="0" borderId="83">
      <alignment horizontal="right" vertical="center"/>
    </xf>
    <xf numFmtId="0" fontId="93" fillId="73" borderId="80" applyNumberFormat="0" applyAlignment="0" applyProtection="0"/>
    <xf numFmtId="0" fontId="78" fillId="86" borderId="79" applyNumberFormat="0" applyAlignment="0" applyProtection="0"/>
    <xf numFmtId="0" fontId="80" fillId="86" borderId="80" applyNumberFormat="0" applyAlignment="0" applyProtection="0"/>
    <xf numFmtId="0" fontId="31" fillId="14" borderId="86">
      <alignment horizontal="left" vertical="center" wrapText="1" indent="2"/>
    </xf>
    <xf numFmtId="0" fontId="81" fillId="86" borderId="80" applyNumberFormat="0" applyAlignment="0" applyProtection="0"/>
    <xf numFmtId="0" fontId="81" fillId="86" borderId="80" applyNumberFormat="0" applyAlignment="0" applyProtection="0"/>
    <xf numFmtId="4" fontId="27" fillId="14" borderId="84">
      <alignment horizontal="right" vertical="center"/>
    </xf>
    <xf numFmtId="0" fontId="27" fillId="14" borderId="84">
      <alignment horizontal="right" vertical="center"/>
    </xf>
    <xf numFmtId="0" fontId="27" fillId="14" borderId="83">
      <alignment horizontal="right" vertical="center"/>
    </xf>
    <xf numFmtId="4" fontId="71" fillId="9" borderId="83">
      <alignment horizontal="right" vertical="center"/>
    </xf>
    <xf numFmtId="0" fontId="84" fillId="73" borderId="80" applyNumberFormat="0" applyAlignment="0" applyProtection="0"/>
    <xf numFmtId="0" fontId="85" fillId="0" borderId="81" applyNumberFormat="0" applyFill="0" applyAlignment="0" applyProtection="0"/>
    <xf numFmtId="0" fontId="100" fillId="0" borderId="81" applyNumberFormat="0" applyFill="0" applyAlignment="0" applyProtection="0"/>
    <xf numFmtId="0" fontId="75" fillId="89" borderId="82" applyNumberFormat="0" applyFont="0" applyAlignment="0" applyProtection="0"/>
    <xf numFmtId="0" fontId="93" fillId="73" borderId="80" applyNumberFormat="0" applyAlignment="0" applyProtection="0"/>
    <xf numFmtId="49" fontId="29" fillId="0" borderId="83" applyNumberFormat="0" applyFill="0" applyBorder="0" applyProtection="0">
      <alignment horizontal="left" vertical="center"/>
    </xf>
    <xf numFmtId="0" fontId="31" fillId="14" borderId="86">
      <alignment horizontal="left" vertical="center" wrapText="1" indent="2"/>
    </xf>
    <xf numFmtId="0" fontId="81" fillId="86" borderId="80" applyNumberFormat="0" applyAlignment="0" applyProtection="0"/>
    <xf numFmtId="0" fontId="31" fillId="0" borderId="86">
      <alignment horizontal="left" vertical="center" wrapText="1" indent="2"/>
    </xf>
    <xf numFmtId="0" fontId="75" fillId="89" borderId="82" applyNumberFormat="0" applyFont="0" applyAlignment="0" applyProtection="0"/>
    <xf numFmtId="0" fontId="32"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4" fontId="31" fillId="16" borderId="83"/>
    <xf numFmtId="0" fontId="27" fillId="14" borderId="83">
      <alignment horizontal="right" vertical="center"/>
    </xf>
    <xf numFmtId="0" fontId="100" fillId="0" borderId="81" applyNumberFormat="0" applyFill="0" applyAlignment="0" applyProtection="0"/>
    <xf numFmtId="4" fontId="27" fillId="14" borderId="85">
      <alignment horizontal="right" vertical="center"/>
    </xf>
    <xf numFmtId="0" fontId="80" fillId="86" borderId="80" applyNumberFormat="0" applyAlignment="0" applyProtection="0"/>
    <xf numFmtId="0" fontId="27" fillId="14" borderId="84">
      <alignment horizontal="right" vertical="center"/>
    </xf>
    <xf numFmtId="0" fontId="81" fillId="86" borderId="80" applyNumberFormat="0" applyAlignment="0" applyProtection="0"/>
    <xf numFmtId="0" fontId="85" fillId="0" borderId="81" applyNumberFormat="0" applyFill="0" applyAlignment="0" applyProtection="0"/>
    <xf numFmtId="0" fontId="75" fillId="89" borderId="82" applyNumberFormat="0" applyFont="0" applyAlignment="0" applyProtection="0"/>
    <xf numFmtId="4" fontId="27" fillId="14" borderId="84">
      <alignment horizontal="right" vertical="center"/>
    </xf>
    <xf numFmtId="0" fontId="31" fillId="14" borderId="86">
      <alignment horizontal="left" vertical="center" wrapText="1" indent="2"/>
    </xf>
    <xf numFmtId="0" fontId="31" fillId="16" borderId="83"/>
    <xf numFmtId="175" fontId="31" fillId="90" borderId="83" applyNumberFormat="0" applyFont="0" applyBorder="0" applyAlignment="0" applyProtection="0">
      <alignment horizontal="right" vertical="center"/>
    </xf>
    <xf numFmtId="0" fontId="31" fillId="0" borderId="83" applyNumberFormat="0" applyFill="0" applyAlignment="0" applyProtection="0"/>
    <xf numFmtId="4" fontId="31" fillId="0" borderId="83" applyFill="0" applyBorder="0" applyProtection="0">
      <alignment horizontal="right" vertical="center"/>
    </xf>
    <xf numFmtId="4" fontId="27" fillId="9" borderId="83">
      <alignment horizontal="right" vertical="center"/>
    </xf>
    <xf numFmtId="0" fontId="85" fillId="0" borderId="81" applyNumberFormat="0" applyFill="0" applyAlignment="0" applyProtection="0"/>
    <xf numFmtId="49" fontId="29" fillId="0" borderId="83" applyNumberFormat="0" applyFill="0" applyBorder="0" applyProtection="0">
      <alignment horizontal="left" vertical="center"/>
    </xf>
    <xf numFmtId="49" fontId="31" fillId="0" borderId="84" applyNumberFormat="0" applyFont="0" applyFill="0" applyBorder="0" applyProtection="0">
      <alignment horizontal="left" vertical="center" indent="5"/>
    </xf>
    <xf numFmtId="0" fontId="31" fillId="9" borderId="84">
      <alignment horizontal="left" vertical="center"/>
    </xf>
    <xf numFmtId="0" fontId="81" fillId="86" borderId="80" applyNumberFormat="0" applyAlignment="0" applyProtection="0"/>
    <xf numFmtId="4" fontId="27" fillId="14" borderId="85">
      <alignment horizontal="right" vertical="center"/>
    </xf>
    <xf numFmtId="0" fontId="93" fillId="73" borderId="80" applyNumberFormat="0" applyAlignment="0" applyProtection="0"/>
    <xf numFmtId="0" fontId="93" fillId="73" borderId="80" applyNumberFormat="0" applyAlignment="0" applyProtection="0"/>
    <xf numFmtId="0" fontId="75" fillId="89" borderId="82" applyNumberFormat="0" applyFont="0" applyAlignment="0" applyProtection="0"/>
    <xf numFmtId="0" fontId="97" fillId="86" borderId="79" applyNumberFormat="0" applyAlignment="0" applyProtection="0"/>
    <xf numFmtId="0" fontId="100" fillId="0" borderId="81" applyNumberFormat="0" applyFill="0" applyAlignment="0" applyProtection="0"/>
    <xf numFmtId="0" fontId="27" fillId="14" borderId="83">
      <alignment horizontal="right" vertical="center"/>
    </xf>
    <xf numFmtId="0" fontId="32" fillId="89" borderId="82" applyNumberFormat="0" applyFont="0" applyAlignment="0" applyProtection="0"/>
    <xf numFmtId="4" fontId="31" fillId="0" borderId="83">
      <alignment horizontal="right" vertical="center"/>
    </xf>
    <xf numFmtId="0" fontId="100" fillId="0" borderId="81" applyNumberFormat="0" applyFill="0" applyAlignment="0" applyProtection="0"/>
    <xf numFmtId="0" fontId="27" fillId="14" borderId="83">
      <alignment horizontal="right" vertical="center"/>
    </xf>
    <xf numFmtId="0" fontId="27" fillId="14" borderId="83">
      <alignment horizontal="right" vertical="center"/>
    </xf>
    <xf numFmtId="4" fontId="71" fillId="9" borderId="83">
      <alignment horizontal="right" vertical="center"/>
    </xf>
    <xf numFmtId="0" fontId="27" fillId="9" borderId="83">
      <alignment horizontal="right" vertical="center"/>
    </xf>
    <xf numFmtId="4" fontId="27" fillId="9" borderId="83">
      <alignment horizontal="right" vertical="center"/>
    </xf>
    <xf numFmtId="0" fontId="71" fillId="9" borderId="83">
      <alignment horizontal="right" vertical="center"/>
    </xf>
    <xf numFmtId="4" fontId="71" fillId="9" borderId="83">
      <alignment horizontal="right" vertical="center"/>
    </xf>
    <xf numFmtId="0" fontId="27" fillId="14" borderId="83">
      <alignment horizontal="right" vertical="center"/>
    </xf>
    <xf numFmtId="4" fontId="27" fillId="14" borderId="83">
      <alignment horizontal="right" vertical="center"/>
    </xf>
    <xf numFmtId="0" fontId="27" fillId="14" borderId="83">
      <alignment horizontal="right" vertical="center"/>
    </xf>
    <xf numFmtId="4" fontId="27" fillId="14" borderId="83">
      <alignment horizontal="right" vertical="center"/>
    </xf>
    <xf numFmtId="0" fontId="27" fillId="14" borderId="84">
      <alignment horizontal="right" vertical="center"/>
    </xf>
    <xf numFmtId="4" fontId="27" fillId="14" borderId="84">
      <alignment horizontal="right" vertical="center"/>
    </xf>
    <xf numFmtId="0" fontId="27" fillId="14" borderId="85">
      <alignment horizontal="right" vertical="center"/>
    </xf>
    <xf numFmtId="4" fontId="27" fillId="14" borderId="85">
      <alignment horizontal="right" vertical="center"/>
    </xf>
    <xf numFmtId="0" fontId="81"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9" borderId="84">
      <alignment horizontal="left" vertical="center"/>
    </xf>
    <xf numFmtId="0" fontId="93" fillId="73" borderId="80" applyNumberFormat="0" applyAlignment="0" applyProtection="0"/>
    <xf numFmtId="0" fontId="31" fillId="0" borderId="83">
      <alignment horizontal="right" vertical="center"/>
    </xf>
    <xf numFmtId="4" fontId="31" fillId="0" borderId="83">
      <alignment horizontal="right" vertical="center"/>
    </xf>
    <xf numFmtId="0" fontId="31" fillId="0" borderId="83" applyNumberFormat="0" applyFill="0" applyAlignment="0" applyProtection="0"/>
    <xf numFmtId="0" fontId="97" fillId="86" borderId="79" applyNumberFormat="0" applyAlignment="0" applyProtection="0"/>
    <xf numFmtId="175" fontId="31" fillId="90" borderId="83" applyNumberFormat="0" applyFont="0" applyBorder="0" applyAlignment="0" applyProtection="0">
      <alignment horizontal="right" vertical="center"/>
    </xf>
    <xf numFmtId="0" fontId="31" fillId="16" borderId="83"/>
    <xf numFmtId="4" fontId="31" fillId="16" borderId="83"/>
    <xf numFmtId="0" fontId="100" fillId="0" borderId="81" applyNumberFormat="0" applyFill="0" applyAlignment="0" applyProtection="0"/>
    <xf numFmtId="0" fontId="32" fillId="89" borderId="82" applyNumberFormat="0" applyFont="0" applyAlignment="0" applyProtection="0"/>
    <xf numFmtId="0" fontId="75" fillId="89" borderId="82" applyNumberFormat="0" applyFont="0" applyAlignment="0" applyProtection="0"/>
    <xf numFmtId="0" fontId="31" fillId="0" borderId="83" applyNumberFormat="0" applyFill="0" applyAlignment="0" applyProtection="0"/>
    <xf numFmtId="0" fontId="85" fillId="0" borderId="81" applyNumberFormat="0" applyFill="0" applyAlignment="0" applyProtection="0"/>
    <xf numFmtId="0" fontId="100" fillId="0" borderId="81" applyNumberFormat="0" applyFill="0" applyAlignment="0" applyProtection="0"/>
    <xf numFmtId="0" fontId="84" fillId="73" borderId="80" applyNumberFormat="0" applyAlignment="0" applyProtection="0"/>
    <xf numFmtId="0" fontId="81" fillId="86" borderId="80" applyNumberFormat="0" applyAlignment="0" applyProtection="0"/>
    <xf numFmtId="4" fontId="71" fillId="9" borderId="83">
      <alignment horizontal="right" vertical="center"/>
    </xf>
    <xf numFmtId="0" fontId="27" fillId="9" borderId="83">
      <alignment horizontal="right" vertical="center"/>
    </xf>
    <xf numFmtId="175" fontId="31" fillId="90" borderId="83" applyNumberFormat="0" applyFont="0" applyBorder="0" applyAlignment="0" applyProtection="0">
      <alignment horizontal="right" vertical="center"/>
    </xf>
    <xf numFmtId="0" fontId="85" fillId="0" borderId="81" applyNumberFormat="0" applyFill="0" applyAlignment="0" applyProtection="0"/>
    <xf numFmtId="49" fontId="31" fillId="0" borderId="83" applyNumberFormat="0" applyFont="0" applyFill="0" applyBorder="0" applyProtection="0">
      <alignment horizontal="left" vertical="center" indent="2"/>
    </xf>
    <xf numFmtId="49" fontId="31" fillId="0" borderId="84" applyNumberFormat="0" applyFont="0" applyFill="0" applyBorder="0" applyProtection="0">
      <alignment horizontal="left" vertical="center" indent="5"/>
    </xf>
    <xf numFmtId="49" fontId="31" fillId="0" borderId="83" applyNumberFormat="0" applyFont="0" applyFill="0" applyBorder="0" applyProtection="0">
      <alignment horizontal="left" vertical="center" indent="2"/>
    </xf>
    <xf numFmtId="4" fontId="31" fillId="0" borderId="83" applyFill="0" applyBorder="0" applyProtection="0">
      <alignment horizontal="right" vertical="center"/>
    </xf>
    <xf numFmtId="49" fontId="29" fillId="0" borderId="83" applyNumberFormat="0" applyFill="0" applyBorder="0" applyProtection="0">
      <alignment horizontal="left" vertical="center"/>
    </xf>
    <xf numFmtId="0" fontId="31" fillId="0" borderId="86">
      <alignment horizontal="left" vertical="center" wrapText="1" indent="2"/>
    </xf>
    <xf numFmtId="0" fontId="97" fillId="86" borderId="79" applyNumberFormat="0" applyAlignment="0" applyProtection="0"/>
    <xf numFmtId="0" fontId="27" fillId="14" borderId="85">
      <alignment horizontal="right" vertical="center"/>
    </xf>
    <xf numFmtId="0" fontId="84" fillId="73" borderId="80" applyNumberFormat="0" applyAlignment="0" applyProtection="0"/>
    <xf numFmtId="0" fontId="27" fillId="14" borderId="85">
      <alignment horizontal="right" vertical="center"/>
    </xf>
    <xf numFmtId="4" fontId="27" fillId="14" borderId="83">
      <alignment horizontal="right" vertical="center"/>
    </xf>
    <xf numFmtId="0" fontId="27" fillId="14" borderId="83">
      <alignment horizontal="right" vertical="center"/>
    </xf>
    <xf numFmtId="0" fontId="78" fillId="86" borderId="79" applyNumberFormat="0" applyAlignment="0" applyProtection="0"/>
    <xf numFmtId="0" fontId="80" fillId="86" borderId="80" applyNumberFormat="0" applyAlignment="0" applyProtection="0"/>
    <xf numFmtId="0" fontId="85" fillId="0" borderId="81" applyNumberFormat="0" applyFill="0" applyAlignment="0" applyProtection="0"/>
    <xf numFmtId="0" fontId="31" fillId="16" borderId="83"/>
    <xf numFmtId="4" fontId="31" fillId="16" borderId="83"/>
    <xf numFmtId="4" fontId="27" fillId="14" borderId="83">
      <alignment horizontal="right" vertical="center"/>
    </xf>
    <xf numFmtId="0" fontId="71" fillId="9" borderId="83">
      <alignment horizontal="right" vertical="center"/>
    </xf>
    <xf numFmtId="0" fontId="84" fillId="73" borderId="80" applyNumberFormat="0" applyAlignment="0" applyProtection="0"/>
    <xf numFmtId="0" fontId="81" fillId="86" borderId="80" applyNumberFormat="0" applyAlignment="0" applyProtection="0"/>
    <xf numFmtId="4" fontId="31" fillId="0" borderId="83">
      <alignment horizontal="right" vertical="center"/>
    </xf>
    <xf numFmtId="0" fontId="31" fillId="14" borderId="86">
      <alignment horizontal="left" vertical="center" wrapText="1" indent="2"/>
    </xf>
    <xf numFmtId="0" fontId="31" fillId="0" borderId="86">
      <alignment horizontal="left" vertical="center" wrapText="1" indent="2"/>
    </xf>
    <xf numFmtId="0" fontId="97" fillId="86" borderId="79" applyNumberFormat="0" applyAlignment="0" applyProtection="0"/>
    <xf numFmtId="0" fontId="93" fillId="73" borderId="80" applyNumberFormat="0" applyAlignment="0" applyProtection="0"/>
    <xf numFmtId="0" fontId="80" fillId="86" borderId="80" applyNumberFormat="0" applyAlignment="0" applyProtection="0"/>
    <xf numFmtId="0" fontId="78" fillId="86" borderId="79" applyNumberFormat="0" applyAlignment="0" applyProtection="0"/>
    <xf numFmtId="0" fontId="27" fillId="14" borderId="85">
      <alignment horizontal="right" vertical="center"/>
    </xf>
    <xf numFmtId="0" fontId="71" fillId="9" borderId="83">
      <alignment horizontal="right" vertical="center"/>
    </xf>
    <xf numFmtId="4" fontId="27" fillId="9" borderId="83">
      <alignment horizontal="right" vertical="center"/>
    </xf>
    <xf numFmtId="4" fontId="27" fillId="14" borderId="83">
      <alignment horizontal="right" vertical="center"/>
    </xf>
    <xf numFmtId="49" fontId="31" fillId="0" borderId="84" applyNumberFormat="0" applyFont="0" applyFill="0" applyBorder="0" applyProtection="0">
      <alignment horizontal="left" vertical="center" indent="5"/>
    </xf>
    <xf numFmtId="4" fontId="31" fillId="0" borderId="83" applyFill="0" applyBorder="0" applyProtection="0">
      <alignment horizontal="right" vertical="center"/>
    </xf>
    <xf numFmtId="4" fontId="27" fillId="9" borderId="83">
      <alignment horizontal="right" vertical="center"/>
    </xf>
    <xf numFmtId="0" fontId="93" fillId="73" borderId="80" applyNumberFormat="0" applyAlignment="0" applyProtection="0"/>
    <xf numFmtId="0" fontId="84" fillId="73" borderId="80" applyNumberFormat="0" applyAlignment="0" applyProtection="0"/>
    <xf numFmtId="0" fontId="80" fillId="86" borderId="80" applyNumberFormat="0" applyAlignment="0" applyProtection="0"/>
    <xf numFmtId="0" fontId="31" fillId="14" borderId="86">
      <alignment horizontal="left" vertical="center" wrapText="1" indent="2"/>
    </xf>
    <xf numFmtId="0" fontId="31" fillId="0" borderId="86">
      <alignment horizontal="left" vertical="center" wrapText="1" indent="2"/>
    </xf>
    <xf numFmtId="0" fontId="31" fillId="14" borderId="86">
      <alignment horizontal="left" vertical="center" wrapText="1" indent="2"/>
    </xf>
    <xf numFmtId="0" fontId="78" fillId="86" borderId="94" applyNumberFormat="0" applyAlignment="0" applyProtection="0"/>
    <xf numFmtId="0" fontId="97" fillId="86" borderId="94" applyNumberFormat="0" applyAlignment="0" applyProtection="0"/>
    <xf numFmtId="0" fontId="27" fillId="14" borderId="92">
      <alignment horizontal="right" vertical="center"/>
    </xf>
    <xf numFmtId="0" fontId="80" fillId="86" borderId="87" applyNumberFormat="0" applyAlignment="0" applyProtection="0"/>
    <xf numFmtId="4" fontId="27" fillId="14" borderId="90">
      <alignment horizontal="right" vertical="center"/>
    </xf>
    <xf numFmtId="4" fontId="31" fillId="16" borderId="90"/>
    <xf numFmtId="4" fontId="31" fillId="16" borderId="90"/>
    <xf numFmtId="0" fontId="27" fillId="14" borderId="90">
      <alignment horizontal="right" vertical="center"/>
    </xf>
    <xf numFmtId="0" fontId="27" fillId="14" borderId="90">
      <alignment horizontal="right" vertical="center"/>
    </xf>
    <xf numFmtId="0" fontId="31" fillId="16" borderId="90"/>
    <xf numFmtId="0" fontId="27" fillId="14" borderId="92">
      <alignment horizontal="right" vertical="center"/>
    </xf>
    <xf numFmtId="0" fontId="27" fillId="14" borderId="92">
      <alignment horizontal="right" vertical="center"/>
    </xf>
    <xf numFmtId="0" fontId="80" fillId="86" borderId="87" applyNumberFormat="0" applyAlignment="0" applyProtection="0"/>
    <xf numFmtId="0" fontId="27" fillId="14" borderId="91">
      <alignment horizontal="right" vertical="center"/>
    </xf>
    <xf numFmtId="0" fontId="31" fillId="0" borderId="90">
      <alignment horizontal="right" vertical="center"/>
    </xf>
    <xf numFmtId="4" fontId="31" fillId="0" borderId="90">
      <alignment horizontal="right" vertical="center"/>
    </xf>
    <xf numFmtId="0" fontId="100" fillId="0" borderId="88" applyNumberFormat="0" applyFill="0" applyAlignment="0" applyProtection="0"/>
    <xf numFmtId="0" fontId="81" fillId="86" borderId="87" applyNumberFormat="0" applyAlignment="0" applyProtection="0"/>
    <xf numFmtId="0" fontId="100" fillId="0" borderId="88" applyNumberFormat="0" applyFill="0" applyAlignment="0" applyProtection="0"/>
    <xf numFmtId="0" fontId="81" fillId="86" borderId="87" applyNumberFormat="0" applyAlignment="0" applyProtection="0"/>
    <xf numFmtId="49" fontId="29" fillId="0" borderId="90" applyNumberFormat="0" applyFill="0" applyBorder="0" applyProtection="0">
      <alignment horizontal="left" vertical="center"/>
    </xf>
    <xf numFmtId="0" fontId="75" fillId="89" borderId="89" applyNumberFormat="0" applyFont="0" applyAlignment="0" applyProtection="0"/>
    <xf numFmtId="0" fontId="27" fillId="9" borderId="90">
      <alignment horizontal="right" vertical="center"/>
    </xf>
    <xf numFmtId="0" fontId="27" fillId="14" borderId="90">
      <alignment horizontal="right" vertical="center"/>
    </xf>
    <xf numFmtId="0" fontId="81" fillId="86" borderId="87" applyNumberFormat="0" applyAlignment="0" applyProtection="0"/>
    <xf numFmtId="0" fontId="85" fillId="0" borderId="88" applyNumberFormat="0" applyFill="0" applyAlignment="0" applyProtection="0"/>
    <xf numFmtId="4" fontId="31" fillId="0" borderId="90" applyFill="0" applyBorder="0" applyProtection="0">
      <alignment horizontal="right" vertical="center"/>
    </xf>
    <xf numFmtId="0" fontId="93" fillId="73" borderId="95" applyNumberFormat="0" applyAlignment="0" applyProtection="0"/>
    <xf numFmtId="0" fontId="10" fillId="0" borderId="58" applyNumberFormat="0" applyFill="0" applyAlignment="0" applyProtection="0"/>
    <xf numFmtId="0" fontId="31" fillId="14" borderId="93">
      <alignment horizontal="left" vertical="center" wrapText="1" indent="2"/>
    </xf>
    <xf numFmtId="0" fontId="10" fillId="0" borderId="58" applyNumberFormat="0" applyFill="0" applyAlignment="0" applyProtection="0"/>
    <xf numFmtId="0" fontId="8" fillId="59" borderId="0" applyNumberFormat="0" applyBorder="0" applyAlignment="0" applyProtection="0"/>
    <xf numFmtId="49" fontId="31" fillId="0" borderId="98" applyNumberFormat="0" applyFont="0" applyFill="0" applyBorder="0" applyProtection="0">
      <alignment horizontal="left" vertical="center" indent="2"/>
    </xf>
    <xf numFmtId="0" fontId="69" fillId="64" borderId="0" applyNumberFormat="0" applyBorder="0" applyAlignment="0" applyProtection="0"/>
    <xf numFmtId="4" fontId="27" fillId="14" borderId="90">
      <alignment horizontal="right" vertical="center"/>
    </xf>
    <xf numFmtId="0" fontId="93" fillId="73" borderId="87" applyNumberFormat="0" applyAlignment="0" applyProtection="0"/>
    <xf numFmtId="0" fontId="81" fillId="86" borderId="87" applyNumberFormat="0" applyAlignment="0" applyProtection="0"/>
    <xf numFmtId="0" fontId="80" fillId="86" borderId="87" applyNumberFormat="0" applyAlignment="0" applyProtection="0"/>
    <xf numFmtId="0" fontId="31" fillId="9" borderId="91">
      <alignment horizontal="left" vertical="center"/>
    </xf>
    <xf numFmtId="0" fontId="8" fillId="53" borderId="0" applyNumberFormat="0" applyBorder="0" applyAlignment="0" applyProtection="0"/>
    <xf numFmtId="0" fontId="27" fillId="14" borderId="90">
      <alignment horizontal="right" vertical="center"/>
    </xf>
    <xf numFmtId="0" fontId="68" fillId="0" borderId="0" applyNumberFormat="0" applyFill="0" applyBorder="0" applyAlignment="0" applyProtection="0"/>
    <xf numFmtId="175" fontId="31" fillId="90" borderId="98" applyNumberFormat="0" applyFont="0" applyBorder="0" applyAlignment="0" applyProtection="0">
      <alignment horizontal="right" vertical="center"/>
    </xf>
    <xf numFmtId="0" fontId="69" fillId="49" borderId="0" applyNumberFormat="0" applyBorder="0" applyAlignment="0" applyProtection="0"/>
    <xf numFmtId="175" fontId="31" fillId="90" borderId="90"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93">
      <alignment horizontal="left" vertical="center" wrapText="1" indent="2"/>
    </xf>
    <xf numFmtId="175" fontId="31" fillId="90" borderId="90" applyNumberFormat="0" applyFont="0" applyBorder="0" applyAlignment="0" applyProtection="0">
      <alignment horizontal="right" vertical="center"/>
    </xf>
    <xf numFmtId="4" fontId="31" fillId="0" borderId="90" applyFill="0" applyBorder="0" applyProtection="0">
      <alignment horizontal="right" vertical="center"/>
    </xf>
    <xf numFmtId="0" fontId="68" fillId="0" borderId="0" applyNumberFormat="0" applyFill="0" applyBorder="0" applyAlignment="0" applyProtection="0"/>
    <xf numFmtId="0" fontId="93" fillId="73" borderId="87" applyNumberFormat="0" applyAlignment="0" applyProtection="0"/>
    <xf numFmtId="0" fontId="31" fillId="0" borderId="93">
      <alignment horizontal="left" vertical="center" wrapText="1" indent="2"/>
    </xf>
    <xf numFmtId="0" fontId="31" fillId="16" borderId="90"/>
    <xf numFmtId="0" fontId="100" fillId="0" borderId="96" applyNumberFormat="0" applyFill="0" applyAlignment="0" applyProtection="0"/>
    <xf numFmtId="0" fontId="31" fillId="0" borderId="90">
      <alignment horizontal="right" vertical="center"/>
    </xf>
    <xf numFmtId="0" fontId="31" fillId="16" borderId="90"/>
    <xf numFmtId="0" fontId="75" fillId="89" borderId="89" applyNumberFormat="0" applyFont="0" applyAlignment="0" applyProtection="0"/>
    <xf numFmtId="49" fontId="29" fillId="0" borderId="90" applyNumberFormat="0" applyFill="0" applyBorder="0" applyProtection="0">
      <alignment horizontal="left" vertical="center"/>
    </xf>
    <xf numFmtId="0" fontId="31" fillId="0" borderId="93">
      <alignment horizontal="left" vertical="center" wrapText="1" indent="2"/>
    </xf>
    <xf numFmtId="0" fontId="81" fillId="86" borderId="87" applyNumberFormat="0" applyAlignment="0" applyProtection="0"/>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97" fillId="86" borderId="94" applyNumberFormat="0" applyAlignment="0" applyProtection="0"/>
    <xf numFmtId="0" fontId="8" fillId="50" borderId="0" applyNumberFormat="0" applyBorder="0" applyAlignment="0" applyProtection="0"/>
    <xf numFmtId="0" fontId="10" fillId="0" borderId="58" applyNumberFormat="0" applyFill="0" applyAlignment="0" applyProtection="0"/>
    <xf numFmtId="0" fontId="71" fillId="9" borderId="90">
      <alignment horizontal="right" vertical="center"/>
    </xf>
    <xf numFmtId="0" fontId="8" fillId="63" borderId="0" applyNumberFormat="0" applyBorder="0" applyAlignment="0" applyProtection="0"/>
    <xf numFmtId="0" fontId="84" fillId="73" borderId="87" applyNumberFormat="0" applyAlignment="0" applyProtection="0"/>
    <xf numFmtId="4" fontId="71" fillId="9" borderId="90">
      <alignment horizontal="right" vertical="center"/>
    </xf>
    <xf numFmtId="0" fontId="84" fillId="73" borderId="87" applyNumberFormat="0" applyAlignment="0" applyProtection="0"/>
    <xf numFmtId="0" fontId="69" fillId="58" borderId="0" applyNumberFormat="0" applyBorder="0" applyAlignment="0" applyProtection="0"/>
    <xf numFmtId="0" fontId="80" fillId="86" borderId="87" applyNumberFormat="0" applyAlignment="0" applyProtection="0"/>
    <xf numFmtId="0" fontId="78" fillId="86" borderId="94" applyNumberFormat="0" applyAlignment="0" applyProtection="0"/>
    <xf numFmtId="0" fontId="8" fillId="54" borderId="0" applyNumberFormat="0" applyBorder="0" applyAlignment="0" applyProtection="0"/>
    <xf numFmtId="0" fontId="31" fillId="16" borderId="90"/>
    <xf numFmtId="0" fontId="27" fillId="14" borderId="90">
      <alignment horizontal="right" vertical="center"/>
    </xf>
    <xf numFmtId="0" fontId="71" fillId="9" borderId="90">
      <alignment horizontal="right" vertical="center"/>
    </xf>
    <xf numFmtId="0" fontId="97" fillId="86" borderId="94" applyNumberFormat="0" applyAlignment="0" applyProtection="0"/>
    <xf numFmtId="0" fontId="85" fillId="0" borderId="96" applyNumberFormat="0" applyFill="0" applyAlignment="0" applyProtection="0"/>
    <xf numFmtId="4" fontId="27" fillId="9" borderId="90">
      <alignment horizontal="right" vertical="center"/>
    </xf>
    <xf numFmtId="0" fontId="8" fillId="63" borderId="0" applyNumberFormat="0" applyBorder="0" applyAlignment="0" applyProtection="0"/>
    <xf numFmtId="0" fontId="85" fillId="0" borderId="88" applyNumberFormat="0" applyFill="0" applyAlignment="0" applyProtection="0"/>
    <xf numFmtId="0" fontId="85" fillId="0" borderId="88" applyNumberFormat="0" applyFill="0" applyAlignment="0" applyProtection="0"/>
    <xf numFmtId="0" fontId="97" fillId="86" borderId="94" applyNumberFormat="0" applyAlignment="0" applyProtection="0"/>
    <xf numFmtId="4" fontId="31" fillId="16" borderId="90"/>
    <xf numFmtId="0" fontId="69" fillId="52" borderId="0" applyNumberFormat="0" applyBorder="0" applyAlignment="0" applyProtection="0"/>
    <xf numFmtId="0" fontId="8" fillId="50" borderId="0" applyNumberFormat="0" applyBorder="0" applyAlignment="0" applyProtection="0"/>
    <xf numFmtId="0" fontId="27" fillId="14" borderId="92">
      <alignment horizontal="right" vertical="center"/>
    </xf>
    <xf numFmtId="0" fontId="67" fillId="0" borderId="0" applyNumberFormat="0" applyFill="0" applyBorder="0" applyAlignment="0" applyProtection="0"/>
    <xf numFmtId="0" fontId="78" fillId="86" borderId="94" applyNumberFormat="0" applyAlignment="0" applyProtection="0"/>
    <xf numFmtId="0" fontId="27" fillId="9" borderId="90">
      <alignment horizontal="right" vertical="center"/>
    </xf>
    <xf numFmtId="4" fontId="31" fillId="0" borderId="90">
      <alignment horizontal="right" vertical="center"/>
    </xf>
    <xf numFmtId="0" fontId="8" fillId="57" borderId="0" applyNumberFormat="0" applyBorder="0" applyAlignment="0" applyProtection="0"/>
    <xf numFmtId="0" fontId="31" fillId="0" borderId="101">
      <alignment horizontal="left" vertical="center" wrapText="1" indent="2"/>
    </xf>
    <xf numFmtId="49" fontId="31" fillId="0" borderId="90" applyNumberFormat="0" applyFont="0" applyFill="0" applyBorder="0" applyProtection="0">
      <alignment horizontal="left" vertical="center" indent="2"/>
    </xf>
    <xf numFmtId="0" fontId="31" fillId="14" borderId="93">
      <alignment horizontal="left" vertical="center" wrapText="1" indent="2"/>
    </xf>
    <xf numFmtId="0" fontId="27" fillId="14" borderId="91">
      <alignment horizontal="right" vertical="center"/>
    </xf>
    <xf numFmtId="4" fontId="31" fillId="16" borderId="90"/>
    <xf numFmtId="0" fontId="75" fillId="89" borderId="89" applyNumberFormat="0" applyFont="0" applyAlignment="0" applyProtection="0"/>
    <xf numFmtId="0" fontId="69" fillId="55" borderId="0" applyNumberFormat="0" applyBorder="0" applyAlignment="0" applyProtection="0"/>
    <xf numFmtId="4" fontId="27" fillId="14" borderId="90">
      <alignment horizontal="right" vertical="center"/>
    </xf>
    <xf numFmtId="0" fontId="69" fillId="49" borderId="0" applyNumberFormat="0" applyBorder="0" applyAlignment="0" applyProtection="0"/>
    <xf numFmtId="0" fontId="93" fillId="73" borderId="87" applyNumberFormat="0" applyAlignment="0" applyProtection="0"/>
    <xf numFmtId="0" fontId="78" fillId="86" borderId="94" applyNumberFormat="0" applyAlignment="0" applyProtection="0"/>
    <xf numFmtId="0" fontId="100" fillId="0" borderId="88" applyNumberFormat="0" applyFill="0" applyAlignment="0" applyProtection="0"/>
    <xf numFmtId="4" fontId="27" fillId="14" borderId="91">
      <alignment horizontal="right" vertical="center"/>
    </xf>
    <xf numFmtId="0" fontId="8" fillId="51" borderId="0" applyNumberFormat="0" applyBorder="0" applyAlignment="0" applyProtection="0"/>
    <xf numFmtId="4" fontId="71" fillId="9" borderId="90">
      <alignment horizontal="right" vertical="center"/>
    </xf>
    <xf numFmtId="0" fontId="27" fillId="14" borderId="90">
      <alignment horizontal="right" vertical="center"/>
    </xf>
    <xf numFmtId="0" fontId="69" fillId="52" borderId="0" applyNumberFormat="0" applyBorder="0" applyAlignment="0" applyProtection="0"/>
    <xf numFmtId="0" fontId="93" fillId="73" borderId="95" applyNumberFormat="0" applyAlignment="0" applyProtection="0"/>
    <xf numFmtId="0" fontId="8" fillId="59" borderId="0" applyNumberFormat="0" applyBorder="0" applyAlignment="0" applyProtection="0"/>
    <xf numFmtId="0" fontId="8" fillId="50" borderId="0" applyNumberFormat="0" applyBorder="0" applyAlignment="0" applyProtection="0"/>
    <xf numFmtId="0" fontId="80" fillId="86" borderId="87" applyNumberFormat="0" applyAlignment="0" applyProtection="0"/>
    <xf numFmtId="0" fontId="69" fillId="58" borderId="0" applyNumberFormat="0" applyBorder="0" applyAlignment="0" applyProtection="0"/>
    <xf numFmtId="0" fontId="27" fillId="9" borderId="90">
      <alignment horizontal="right" vertical="center"/>
    </xf>
    <xf numFmtId="0" fontId="81" fillId="86" borderId="87" applyNumberFormat="0" applyAlignment="0" applyProtection="0"/>
    <xf numFmtId="4" fontId="31" fillId="0" borderId="90" applyFill="0" applyBorder="0" applyProtection="0">
      <alignment horizontal="right" vertical="center"/>
    </xf>
    <xf numFmtId="0" fontId="31" fillId="14" borderId="93">
      <alignment horizontal="left" vertical="center" wrapText="1" indent="2"/>
    </xf>
    <xf numFmtId="4" fontId="31" fillId="16" borderId="90"/>
    <xf numFmtId="0" fontId="65" fillId="46" borderId="57" applyNumberFormat="0" applyAlignment="0" applyProtection="0"/>
    <xf numFmtId="0" fontId="81" fillId="86" borderId="87" applyNumberFormat="0" applyAlignment="0" applyProtection="0"/>
    <xf numFmtId="0" fontId="81" fillId="86" borderId="87" applyNumberFormat="0" applyAlignment="0" applyProtection="0"/>
    <xf numFmtId="0" fontId="8" fillId="48" borderId="0" applyNumberFormat="0" applyBorder="0" applyAlignment="0" applyProtection="0"/>
    <xf numFmtId="0" fontId="84" fillId="73" borderId="87" applyNumberFormat="0" applyAlignment="0" applyProtection="0"/>
    <xf numFmtId="4" fontId="31" fillId="16" borderId="98"/>
    <xf numFmtId="49" fontId="29" fillId="0" borderId="90" applyNumberFormat="0" applyFill="0" applyBorder="0" applyProtection="0">
      <alignment horizontal="left" vertical="center"/>
    </xf>
    <xf numFmtId="0" fontId="100" fillId="0" borderId="96" applyNumberFormat="0" applyFill="0" applyAlignment="0" applyProtection="0"/>
    <xf numFmtId="0" fontId="31" fillId="0" borderId="93">
      <alignment horizontal="left" vertical="center" wrapText="1" indent="2"/>
    </xf>
    <xf numFmtId="0" fontId="31" fillId="14" borderId="93">
      <alignment horizontal="left" vertical="center" wrapText="1" indent="2"/>
    </xf>
    <xf numFmtId="0" fontId="75" fillId="89" borderId="89" applyNumberFormat="0" applyFont="0" applyAlignment="0" applyProtection="0"/>
    <xf numFmtId="0" fontId="27" fillId="14" borderId="90">
      <alignment horizontal="right" vertical="center"/>
    </xf>
    <xf numFmtId="0" fontId="27" fillId="14" borderId="90">
      <alignment horizontal="right" vertical="center"/>
    </xf>
    <xf numFmtId="0" fontId="81" fillId="86" borderId="87" applyNumberFormat="0" applyAlignment="0" applyProtection="0"/>
    <xf numFmtId="0" fontId="69" fillId="55" borderId="0" applyNumberFormat="0" applyBorder="0" applyAlignment="0" applyProtection="0"/>
    <xf numFmtId="175" fontId="31" fillId="90" borderId="90" applyNumberFormat="0" applyFont="0" applyBorder="0" applyAlignment="0" applyProtection="0">
      <alignment horizontal="right" vertical="center"/>
    </xf>
    <xf numFmtId="0" fontId="8" fillId="60" borderId="0" applyNumberFormat="0" applyBorder="0" applyAlignment="0" applyProtection="0"/>
    <xf numFmtId="0" fontId="81" fillId="86" borderId="87" applyNumberFormat="0" applyAlignment="0" applyProtection="0"/>
    <xf numFmtId="0" fontId="97" fillId="86" borderId="94" applyNumberFormat="0" applyAlignment="0" applyProtection="0"/>
    <xf numFmtId="0" fontId="100" fillId="0" borderId="96" applyNumberFormat="0" applyFill="0" applyAlignment="0" applyProtection="0"/>
    <xf numFmtId="0" fontId="100" fillId="0" borderId="88" applyNumberFormat="0" applyFill="0" applyAlignment="0" applyProtection="0"/>
    <xf numFmtId="0" fontId="93" fillId="73" borderId="87" applyNumberFormat="0" applyAlignment="0" applyProtection="0"/>
    <xf numFmtId="0" fontId="27" fillId="9" borderId="90">
      <alignment horizontal="right" vertical="center"/>
    </xf>
    <xf numFmtId="0" fontId="31" fillId="0" borderId="101">
      <alignment horizontal="left" vertical="center" wrapText="1" indent="2"/>
    </xf>
    <xf numFmtId="0" fontId="69" fillId="49" borderId="0" applyNumberFormat="0" applyBorder="0" applyAlignment="0" applyProtection="0"/>
    <xf numFmtId="0" fontId="97" fillId="86" borderId="94" applyNumberFormat="0" applyAlignment="0" applyProtection="0"/>
    <xf numFmtId="0" fontId="8" fillId="54" borderId="0" applyNumberFormat="0" applyBorder="0" applyAlignment="0" applyProtection="0"/>
    <xf numFmtId="4" fontId="71" fillId="9" borderId="90">
      <alignment horizontal="right" vertical="center"/>
    </xf>
    <xf numFmtId="4" fontId="27" fillId="9" borderId="90">
      <alignment horizontal="right" vertical="center"/>
    </xf>
    <xf numFmtId="0" fontId="27" fillId="14" borderId="98">
      <alignment horizontal="right" vertical="center"/>
    </xf>
    <xf numFmtId="0" fontId="31" fillId="0" borderId="90" applyNumberFormat="0" applyFill="0" applyAlignment="0" applyProtection="0"/>
    <xf numFmtId="4" fontId="27" fillId="9" borderId="90">
      <alignment horizontal="right" vertical="center"/>
    </xf>
    <xf numFmtId="0" fontId="10" fillId="0" borderId="58" applyNumberFormat="0" applyFill="0" applyAlignment="0" applyProtection="0"/>
    <xf numFmtId="0" fontId="81" fillId="86" borderId="87" applyNumberFormat="0" applyAlignment="0" applyProtection="0"/>
    <xf numFmtId="0" fontId="8"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0" applyNumberFormat="0" applyFill="0" applyAlignment="0" applyProtection="0"/>
    <xf numFmtId="4" fontId="27" fillId="14" borderId="90">
      <alignment horizontal="right" vertical="center"/>
    </xf>
    <xf numFmtId="0" fontId="75" fillId="89" borderId="89" applyNumberFormat="0" applyFont="0" applyAlignment="0" applyProtection="0"/>
    <xf numFmtId="4" fontId="27" fillId="14" borderId="90">
      <alignment horizontal="right" vertical="center"/>
    </xf>
    <xf numFmtId="4" fontId="27" fillId="14" borderId="90">
      <alignment horizontal="right" vertical="center"/>
    </xf>
    <xf numFmtId="0" fontId="31" fillId="0" borderId="90">
      <alignment horizontal="right" vertical="center"/>
    </xf>
    <xf numFmtId="4" fontId="31" fillId="0" borderId="90">
      <alignment horizontal="right" vertical="center"/>
    </xf>
    <xf numFmtId="0" fontId="27" fillId="14" borderId="100">
      <alignment horizontal="right" vertical="center"/>
    </xf>
    <xf numFmtId="0" fontId="85" fillId="0" borderId="88" applyNumberFormat="0" applyFill="0" applyAlignment="0" applyProtection="0"/>
    <xf numFmtId="0" fontId="75" fillId="89" borderId="89" applyNumberFormat="0" applyFont="0" applyAlignment="0" applyProtection="0"/>
    <xf numFmtId="0" fontId="31" fillId="0" borderId="90" applyNumberFormat="0" applyFill="0" applyAlignment="0" applyProtection="0"/>
    <xf numFmtId="0" fontId="27" fillId="14" borderId="92">
      <alignment horizontal="right" vertical="center"/>
    </xf>
    <xf numFmtId="49" fontId="29" fillId="0" borderId="98" applyNumberFormat="0" applyFill="0" applyBorder="0" applyProtection="0">
      <alignment horizontal="left" vertical="center"/>
    </xf>
    <xf numFmtId="4" fontId="27" fillId="14" borderId="90">
      <alignment horizontal="right" vertical="center"/>
    </xf>
    <xf numFmtId="0" fontId="81" fillId="86" borderId="87" applyNumberFormat="0" applyAlignment="0" applyProtection="0"/>
    <xf numFmtId="0" fontId="27" fillId="14" borderId="90">
      <alignment horizontal="right" vertical="center"/>
    </xf>
    <xf numFmtId="0" fontId="31" fillId="16" borderId="98"/>
    <xf numFmtId="4" fontId="31" fillId="16" borderId="90"/>
    <xf numFmtId="0" fontId="84" fillId="73" borderId="87" applyNumberFormat="0" applyAlignment="0" applyProtection="0"/>
    <xf numFmtId="0" fontId="81" fillId="86" borderId="87" applyNumberFormat="0" applyAlignment="0" applyProtection="0"/>
    <xf numFmtId="0" fontId="100" fillId="0" borderId="88" applyNumberFormat="0" applyFill="0" applyAlignment="0" applyProtection="0"/>
    <xf numFmtId="0" fontId="31" fillId="9" borderId="91">
      <alignment horizontal="left" vertical="center"/>
    </xf>
    <xf numFmtId="0" fontId="84" fillId="73" borderId="87" applyNumberFormat="0" applyAlignment="0" applyProtection="0"/>
    <xf numFmtId="0" fontId="31" fillId="0" borderId="90" applyNumberFormat="0" applyFill="0" applyAlignment="0" applyProtection="0"/>
    <xf numFmtId="0" fontId="8" fillId="63" borderId="0" applyNumberFormat="0" applyBorder="0" applyAlignment="0" applyProtection="0"/>
    <xf numFmtId="0" fontId="31" fillId="0" borderId="90">
      <alignment horizontal="right" vertical="center"/>
    </xf>
    <xf numFmtId="0" fontId="31" fillId="9" borderId="91">
      <alignment horizontal="left" vertical="center"/>
    </xf>
    <xf numFmtId="4" fontId="27" fillId="14" borderId="92">
      <alignment horizontal="right" vertical="center"/>
    </xf>
    <xf numFmtId="49" fontId="29" fillId="0" borderId="90" applyNumberFormat="0" applyFill="0" applyBorder="0" applyProtection="0">
      <alignment horizontal="left" vertical="center"/>
    </xf>
    <xf numFmtId="0" fontId="97" fillId="86" borderId="94" applyNumberFormat="0" applyAlignment="0" applyProtection="0"/>
    <xf numFmtId="0" fontId="69" fillId="64" borderId="0" applyNumberFormat="0" applyBorder="0" applyAlignment="0" applyProtection="0"/>
    <xf numFmtId="0" fontId="8" fillId="62" borderId="0" applyNumberFormat="0" applyBorder="0" applyAlignment="0" applyProtection="0"/>
    <xf numFmtId="0" fontId="80" fillId="86" borderId="87" applyNumberFormat="0" applyAlignment="0" applyProtection="0"/>
    <xf numFmtId="0" fontId="93" fillId="73" borderId="87" applyNumberFormat="0" applyAlignment="0" applyProtection="0"/>
    <xf numFmtId="4" fontId="71" fillId="9" borderId="90">
      <alignment horizontal="right" vertical="center"/>
    </xf>
    <xf numFmtId="0" fontId="8" fillId="57" borderId="0" applyNumberFormat="0" applyBorder="0" applyAlignment="0" applyProtection="0"/>
    <xf numFmtId="0" fontId="27" fillId="14" borderId="91">
      <alignment horizontal="right" vertical="center"/>
    </xf>
    <xf numFmtId="0" fontId="31" fillId="14" borderId="93">
      <alignment horizontal="left" vertical="center" wrapText="1" indent="2"/>
    </xf>
    <xf numFmtId="0" fontId="80" fillId="86" borderId="87" applyNumberFormat="0" applyAlignment="0" applyProtection="0"/>
    <xf numFmtId="0" fontId="8" fillId="63" borderId="0" applyNumberFormat="0" applyBorder="0" applyAlignment="0" applyProtection="0"/>
    <xf numFmtId="0" fontId="27" fillId="14" borderId="99">
      <alignment horizontal="right" vertical="center"/>
    </xf>
    <xf numFmtId="4" fontId="27" fillId="14" borderId="91">
      <alignment horizontal="right" vertical="center"/>
    </xf>
    <xf numFmtId="0" fontId="32" fillId="89" borderId="89" applyNumberFormat="0" applyFont="0" applyAlignment="0" applyProtection="0"/>
    <xf numFmtId="0" fontId="8" fillId="62" borderId="0" applyNumberFormat="0" applyBorder="0" applyAlignment="0" applyProtection="0"/>
    <xf numFmtId="0" fontId="27" fillId="9" borderId="90">
      <alignment horizontal="right" vertical="center"/>
    </xf>
    <xf numFmtId="0" fontId="27" fillId="9" borderId="98">
      <alignment horizontal="right" vertical="center"/>
    </xf>
    <xf numFmtId="0" fontId="8" fillId="56" borderId="0" applyNumberFormat="0" applyBorder="0" applyAlignment="0" applyProtection="0"/>
    <xf numFmtId="0" fontId="93" fillId="73" borderId="87" applyNumberFormat="0" applyAlignment="0" applyProtection="0"/>
    <xf numFmtId="4" fontId="27" fillId="14" borderId="100">
      <alignment horizontal="right" vertical="center"/>
    </xf>
    <xf numFmtId="4" fontId="27" fillId="14" borderId="91">
      <alignment horizontal="right" vertical="center"/>
    </xf>
    <xf numFmtId="4" fontId="27" fillId="14" borderId="98">
      <alignment horizontal="right" vertical="center"/>
    </xf>
    <xf numFmtId="4" fontId="27" fillId="14" borderId="90">
      <alignment horizontal="right" vertical="center"/>
    </xf>
    <xf numFmtId="0" fontId="27" fillId="9" borderId="90">
      <alignment horizontal="right" vertical="center"/>
    </xf>
    <xf numFmtId="0" fontId="84" fillId="73" borderId="87" applyNumberFormat="0" applyAlignment="0" applyProtection="0"/>
    <xf numFmtId="0" fontId="8" fillId="54" borderId="0" applyNumberFormat="0" applyBorder="0" applyAlignment="0" applyProtection="0"/>
    <xf numFmtId="0" fontId="66" fillId="46" borderId="56" applyNumberFormat="0" applyAlignment="0" applyProtection="0"/>
    <xf numFmtId="0" fontId="85" fillId="0" borderId="88" applyNumberFormat="0" applyFill="0" applyAlignment="0" applyProtection="0"/>
    <xf numFmtId="0" fontId="71" fillId="9" borderId="90">
      <alignment horizontal="right" vertical="center"/>
    </xf>
    <xf numFmtId="0" fontId="97" fillId="86" borderId="94" applyNumberFormat="0" applyAlignment="0" applyProtection="0"/>
    <xf numFmtId="0" fontId="100" fillId="0" borderId="88" applyNumberFormat="0" applyFill="0" applyAlignment="0" applyProtection="0"/>
    <xf numFmtId="0" fontId="8" fillId="53" borderId="0" applyNumberFormat="0" applyBorder="0" applyAlignment="0" applyProtection="0"/>
    <xf numFmtId="175" fontId="31" fillId="90" borderId="90" applyNumberFormat="0" applyFont="0" applyBorder="0" applyAlignment="0" applyProtection="0">
      <alignment horizontal="right" vertical="center"/>
    </xf>
    <xf numFmtId="0" fontId="8" fillId="51" borderId="0" applyNumberFormat="0" applyBorder="0" applyAlignment="0" applyProtection="0"/>
    <xf numFmtId="0" fontId="81" fillId="86" borderId="95" applyNumberFormat="0" applyAlignment="0" applyProtection="0"/>
    <xf numFmtId="0" fontId="8" fillId="56" borderId="0" applyNumberFormat="0" applyBorder="0" applyAlignment="0" applyProtection="0"/>
    <xf numFmtId="0" fontId="69" fillId="61" borderId="0" applyNumberFormat="0" applyBorder="0" applyAlignment="0" applyProtection="0"/>
    <xf numFmtId="0" fontId="85" fillId="0" borderId="88" applyNumberFormat="0" applyFill="0" applyAlignment="0" applyProtection="0"/>
    <xf numFmtId="0" fontId="31" fillId="0" borderId="90">
      <alignment horizontal="right" vertical="center"/>
    </xf>
    <xf numFmtId="0" fontId="32" fillId="89" borderId="89" applyNumberFormat="0" applyFont="0" applyAlignment="0" applyProtection="0"/>
    <xf numFmtId="0" fontId="81" fillId="86" borderId="87" applyNumberFormat="0" applyAlignment="0" applyProtection="0"/>
    <xf numFmtId="0" fontId="100" fillId="0" borderId="88" applyNumberFormat="0" applyFill="0" applyAlignment="0" applyProtection="0"/>
    <xf numFmtId="0" fontId="8" fillId="48" borderId="0" applyNumberFormat="0" applyBorder="0" applyAlignment="0" applyProtection="0"/>
    <xf numFmtId="0" fontId="75" fillId="89" borderId="89" applyNumberFormat="0" applyFont="0" applyAlignment="0" applyProtection="0"/>
    <xf numFmtId="0" fontId="69" fillId="58" borderId="0" applyNumberFormat="0" applyBorder="0" applyAlignment="0" applyProtection="0"/>
    <xf numFmtId="0" fontId="31" fillId="0" borderId="90" applyNumberFormat="0" applyFill="0" applyAlignment="0" applyProtection="0"/>
    <xf numFmtId="0" fontId="8" fillId="57" borderId="0" applyNumberFormat="0" applyBorder="0" applyAlignment="0" applyProtection="0"/>
    <xf numFmtId="4" fontId="31" fillId="0" borderId="90" applyFill="0" applyBorder="0" applyProtection="0">
      <alignment horizontal="right" vertical="center"/>
    </xf>
    <xf numFmtId="0" fontId="8" fillId="47" borderId="0" applyNumberFormat="0" applyBorder="0" applyAlignment="0" applyProtection="0"/>
    <xf numFmtId="0" fontId="100" fillId="0" borderId="88" applyNumberFormat="0" applyFill="0" applyAlignment="0" applyProtection="0"/>
    <xf numFmtId="0" fontId="71" fillId="9" borderId="98">
      <alignment horizontal="right" vertical="center"/>
    </xf>
    <xf numFmtId="0" fontId="8" fillId="60" borderId="0" applyNumberFormat="0" applyBorder="0" applyAlignment="0" applyProtection="0"/>
    <xf numFmtId="0" fontId="31" fillId="9" borderId="99">
      <alignment horizontal="left" vertical="center"/>
    </xf>
    <xf numFmtId="0" fontId="71" fillId="9" borderId="90">
      <alignment horizontal="right" vertical="center"/>
    </xf>
    <xf numFmtId="0" fontId="84" fillId="73" borderId="87" applyNumberFormat="0" applyAlignment="0" applyProtection="0"/>
    <xf numFmtId="175" fontId="31" fillId="90" borderId="90" applyNumberFormat="0" applyFont="0" applyBorder="0" applyAlignment="0" applyProtection="0">
      <alignment horizontal="right" vertical="center"/>
    </xf>
    <xf numFmtId="0" fontId="84" fillId="73" borderId="87" applyNumberFormat="0" applyAlignment="0" applyProtection="0"/>
    <xf numFmtId="4" fontId="31" fillId="0" borderId="90">
      <alignment horizontal="right" vertical="center"/>
    </xf>
    <xf numFmtId="49" fontId="31" fillId="0" borderId="90" applyNumberFormat="0" applyFont="0" applyFill="0" applyBorder="0" applyProtection="0">
      <alignment horizontal="left" vertical="center" indent="2"/>
    </xf>
    <xf numFmtId="175" fontId="31" fillId="90" borderId="90" applyNumberFormat="0" applyFont="0" applyBorder="0" applyAlignment="0" applyProtection="0">
      <alignment horizontal="right" vertical="center"/>
    </xf>
    <xf numFmtId="0" fontId="93" fillId="73" borderId="87" applyNumberFormat="0" applyAlignment="0" applyProtection="0"/>
    <xf numFmtId="49" fontId="29" fillId="0" borderId="90" applyNumberFormat="0" applyFill="0" applyBorder="0" applyProtection="0">
      <alignment horizontal="left" vertical="center"/>
    </xf>
    <xf numFmtId="4" fontId="27" fillId="14" borderId="90">
      <alignment horizontal="right" vertical="center"/>
    </xf>
    <xf numFmtId="0" fontId="84" fillId="73" borderId="87" applyNumberFormat="0" applyAlignment="0" applyProtection="0"/>
    <xf numFmtId="0" fontId="81" fillId="86" borderId="87" applyNumberFormat="0" applyAlignment="0" applyProtection="0"/>
    <xf numFmtId="4" fontId="31" fillId="0" borderId="90">
      <alignment horizontal="right" vertical="center"/>
    </xf>
    <xf numFmtId="0" fontId="31" fillId="14" borderId="93">
      <alignment horizontal="left" vertical="center" wrapText="1" indent="2"/>
    </xf>
    <xf numFmtId="0" fontId="31" fillId="0" borderId="93">
      <alignment horizontal="left" vertical="center" wrapText="1" indent="2"/>
    </xf>
    <xf numFmtId="0" fontId="97" fillId="86" borderId="94" applyNumberFormat="0" applyAlignment="0" applyProtection="0"/>
    <xf numFmtId="0" fontId="93" fillId="73" borderId="87" applyNumberFormat="0" applyAlignment="0" applyProtection="0"/>
    <xf numFmtId="0" fontId="80" fillId="86" borderId="87" applyNumberFormat="0" applyAlignment="0" applyProtection="0"/>
    <xf numFmtId="0" fontId="78" fillId="86" borderId="94" applyNumberFormat="0" applyAlignment="0" applyProtection="0"/>
    <xf numFmtId="0" fontId="27" fillId="14" borderId="92">
      <alignment horizontal="right" vertical="center"/>
    </xf>
    <xf numFmtId="0" fontId="71" fillId="9" borderId="90">
      <alignment horizontal="right" vertical="center"/>
    </xf>
    <xf numFmtId="4" fontId="27" fillId="9" borderId="90">
      <alignment horizontal="right" vertical="center"/>
    </xf>
    <xf numFmtId="4" fontId="27" fillId="14" borderId="90">
      <alignment horizontal="right" vertical="center"/>
    </xf>
    <xf numFmtId="49" fontId="31" fillId="0" borderId="91" applyNumberFormat="0" applyFont="0" applyFill="0" applyBorder="0" applyProtection="0">
      <alignment horizontal="left" vertical="center" indent="5"/>
    </xf>
    <xf numFmtId="4" fontId="31" fillId="0" borderId="90" applyFill="0" applyBorder="0" applyProtection="0">
      <alignment horizontal="right" vertical="center"/>
    </xf>
    <xf numFmtId="4" fontId="27" fillId="9" borderId="90">
      <alignment horizontal="right" vertical="center"/>
    </xf>
    <xf numFmtId="0" fontId="93" fillId="73" borderId="87" applyNumberFormat="0" applyAlignment="0" applyProtection="0"/>
    <xf numFmtId="0" fontId="84" fillId="73" borderId="87" applyNumberFormat="0" applyAlignment="0" applyProtection="0"/>
    <xf numFmtId="0" fontId="80" fillId="86" borderId="87" applyNumberFormat="0" applyAlignment="0" applyProtection="0"/>
    <xf numFmtId="0" fontId="31" fillId="14" borderId="93">
      <alignment horizontal="left" vertical="center" wrapText="1" indent="2"/>
    </xf>
    <xf numFmtId="0" fontId="31" fillId="0" borderId="93">
      <alignment horizontal="left" vertical="center" wrapText="1" indent="2"/>
    </xf>
    <xf numFmtId="0" fontId="31" fillId="14" borderId="93">
      <alignment horizontal="left" vertical="center" wrapText="1" indent="2"/>
    </xf>
    <xf numFmtId="4" fontId="27" fillId="9" borderId="98">
      <alignment horizontal="right" vertical="center"/>
    </xf>
    <xf numFmtId="0" fontId="69" fillId="49" borderId="0" applyNumberFormat="0" applyBorder="0" applyAlignment="0" applyProtection="0"/>
    <xf numFmtId="0" fontId="69" fillId="61" borderId="0" applyNumberFormat="0" applyBorder="0" applyAlignment="0" applyProtection="0"/>
    <xf numFmtId="0" fontId="8" fillId="59" borderId="0" applyNumberFormat="0" applyBorder="0" applyAlignment="0" applyProtection="0"/>
    <xf numFmtId="0" fontId="8" fillId="56" borderId="0" applyNumberFormat="0" applyBorder="0" applyAlignment="0" applyProtection="0"/>
    <xf numFmtId="0" fontId="8" fillId="54" borderId="0" applyNumberFormat="0" applyBorder="0" applyAlignment="0" applyProtection="0"/>
    <xf numFmtId="0" fontId="8" fillId="48" borderId="0" applyNumberFormat="0" applyBorder="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8"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8"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8" fillId="60" borderId="0" applyNumberFormat="0" applyBorder="0" applyAlignment="0" applyProtection="0"/>
    <xf numFmtId="0" fontId="8" fillId="56" borderId="0" applyNumberFormat="0" applyBorder="0" applyAlignment="0" applyProtection="0"/>
    <xf numFmtId="0" fontId="67" fillId="0" borderId="0" applyNumberFormat="0" applyFill="0" applyBorder="0" applyAlignment="0" applyProtection="0"/>
    <xf numFmtId="0" fontId="8" fillId="57" borderId="0" applyNumberFormat="0" applyBorder="0" applyAlignment="0" applyProtection="0"/>
    <xf numFmtId="0" fontId="8" fillId="62" borderId="0" applyNumberFormat="0" applyBorder="0" applyAlignment="0" applyProtection="0"/>
    <xf numFmtId="0" fontId="8" fillId="54" borderId="0" applyNumberFormat="0" applyBorder="0" applyAlignment="0" applyProtection="0"/>
    <xf numFmtId="0" fontId="66" fillId="46" borderId="56" applyNumberFormat="0" applyAlignment="0" applyProtection="0"/>
    <xf numFmtId="0" fontId="8" fillId="51" borderId="0" applyNumberFormat="0" applyBorder="0" applyAlignment="0" applyProtection="0"/>
    <xf numFmtId="0" fontId="69" fillId="61" borderId="0" applyNumberFormat="0" applyBorder="0" applyAlignment="0" applyProtection="0"/>
    <xf numFmtId="43" fontId="11" fillId="0" borderId="0" applyFont="0" applyFill="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7" fillId="14" borderId="99">
      <alignment horizontal="right" vertical="center"/>
    </xf>
    <xf numFmtId="0" fontId="27" fillId="14" borderId="98">
      <alignment horizontal="right" vertical="center"/>
    </xf>
    <xf numFmtId="0" fontId="31" fillId="0" borderId="101">
      <alignment horizontal="left" vertical="center" wrapText="1" indent="2"/>
    </xf>
    <xf numFmtId="0" fontId="27" fillId="14" borderId="99">
      <alignment horizontal="right" vertical="center"/>
    </xf>
    <xf numFmtId="0" fontId="81" fillId="86" borderId="95" applyNumberFormat="0" applyAlignment="0" applyProtection="0"/>
    <xf numFmtId="4" fontId="27" fillId="14" borderId="100">
      <alignment horizontal="right" vertical="center"/>
    </xf>
    <xf numFmtId="0" fontId="100" fillId="0" borderId="96" applyNumberFormat="0" applyFill="0" applyAlignment="0" applyProtection="0"/>
    <xf numFmtId="0" fontId="32" fillId="89" borderId="97" applyNumberFormat="0" applyFont="0" applyAlignment="0" applyProtection="0"/>
    <xf numFmtId="0" fontId="27" fillId="14" borderId="98">
      <alignment horizontal="right" vertical="center"/>
    </xf>
    <xf numFmtId="0" fontId="2" fillId="0" borderId="0"/>
    <xf numFmtId="4" fontId="71" fillId="9" borderId="98">
      <alignment horizontal="right" vertical="center"/>
    </xf>
    <xf numFmtId="4" fontId="31" fillId="16" borderId="98"/>
    <xf numFmtId="0" fontId="93" fillId="73" borderId="95" applyNumberFormat="0" applyAlignment="0" applyProtection="0"/>
    <xf numFmtId="0" fontId="100" fillId="0" borderId="96" applyNumberFormat="0" applyFill="0" applyAlignment="0" applyProtection="0"/>
    <xf numFmtId="0" fontId="71" fillId="9" borderId="98">
      <alignment horizontal="right" vertical="center"/>
    </xf>
    <xf numFmtId="0" fontId="65" fillId="46" borderId="57" applyNumberFormat="0" applyAlignment="0" applyProtection="0"/>
    <xf numFmtId="0" fontId="66" fillId="46" borderId="56"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67" fillId="0" borderId="0" applyNumberFormat="0" applyFill="0" applyBorder="0" applyAlignment="0" applyProtection="0"/>
    <xf numFmtId="0" fontId="2" fillId="50" borderId="0" applyNumberFormat="0" applyBorder="0" applyAlignment="0" applyProtection="0"/>
    <xf numFmtId="0" fontId="68" fillId="0" borderId="0" applyNumberFormat="0" applyFill="0" applyBorder="0" applyAlignment="0" applyProtection="0"/>
    <xf numFmtId="0" fontId="10"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100" fillId="0" borderId="96" applyNumberFormat="0" applyFill="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0" fontId="93" fillId="73" borderId="95" applyNumberFormat="0" applyAlignment="0" applyProtection="0"/>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49" fontId="31" fillId="0" borderId="98" applyNumberFormat="0" applyFont="0" applyFill="0" applyBorder="0" applyProtection="0">
      <alignment horizontal="left" vertical="center" indent="2"/>
    </xf>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0" fontId="31" fillId="0" borderId="98" applyNumberFormat="0" applyFill="0" applyAlignment="0" applyProtection="0"/>
    <xf numFmtId="0" fontId="27" fillId="14" borderId="98">
      <alignment horizontal="right" vertical="center"/>
    </xf>
    <xf numFmtId="0" fontId="27" fillId="14" borderId="98">
      <alignment horizontal="right" vertical="center"/>
    </xf>
    <xf numFmtId="0" fontId="31" fillId="0" borderId="98">
      <alignment horizontal="right" vertical="center"/>
    </xf>
    <xf numFmtId="0" fontId="71" fillId="9" borderId="98">
      <alignment horizontal="right" vertical="center"/>
    </xf>
    <xf numFmtId="0" fontId="31" fillId="16" borderId="98"/>
    <xf numFmtId="0" fontId="27" fillId="9" borderId="98">
      <alignment horizontal="right" vertical="center"/>
    </xf>
    <xf numFmtId="174" fontId="120" fillId="0" borderId="0" applyFont="0" applyFill="0" applyBorder="0" applyAlignment="0" applyProtection="0"/>
    <xf numFmtId="0" fontId="120" fillId="0" borderId="0"/>
    <xf numFmtId="0" fontId="2" fillId="0" borderId="0"/>
    <xf numFmtId="4" fontId="31" fillId="0" borderId="98" applyFill="0" applyBorder="0" applyProtection="0">
      <alignment horizontal="right" vertical="center"/>
    </xf>
    <xf numFmtId="0" fontId="120" fillId="65" borderId="0" applyNumberFormat="0" applyFont="0" applyBorder="0" applyAlignment="0" applyProtection="0"/>
    <xf numFmtId="9" fontId="120"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174" fontId="83" fillId="0" borderId="0" applyFont="0" applyFill="0" applyBorder="0" applyAlignment="0" applyProtection="0"/>
    <xf numFmtId="0" fontId="83" fillId="0" borderId="0"/>
    <xf numFmtId="0" fontId="2" fillId="0" borderId="0"/>
    <xf numFmtId="0" fontId="2" fillId="0" borderId="0"/>
    <xf numFmtId="0" fontId="2" fillId="0" borderId="0"/>
    <xf numFmtId="0" fontId="2" fillId="0" borderId="0"/>
    <xf numFmtId="0" fontId="83" fillId="65" borderId="0" applyNumberFormat="0" applyFont="0" applyBorder="0" applyAlignment="0" applyProtection="0"/>
    <xf numFmtId="9" fontId="83"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31" fillId="0" borderId="101">
      <alignment horizontal="left" vertical="center" wrapText="1" indent="2"/>
    </xf>
    <xf numFmtId="0" fontId="75" fillId="89" borderId="97" applyNumberFormat="0" applyFont="0" applyAlignment="0" applyProtection="0"/>
    <xf numFmtId="0" fontId="97" fillId="86" borderId="102" applyNumberFormat="0" applyAlignment="0" applyProtection="0"/>
    <xf numFmtId="0" fontId="93" fillId="73"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4" fontId="27" fillId="14" borderId="100">
      <alignment horizontal="right" vertical="center"/>
    </xf>
    <xf numFmtId="0" fontId="31" fillId="16" borderId="98"/>
    <xf numFmtId="0" fontId="68" fillId="0" borderId="0" applyNumberFormat="0" applyFill="0" applyBorder="0" applyAlignment="0" applyProtection="0"/>
    <xf numFmtId="0" fontId="84" fillId="73" borderId="95" applyNumberFormat="0" applyAlignment="0" applyProtection="0"/>
    <xf numFmtId="0" fontId="81" fillId="86" borderId="95" applyNumberFormat="0" applyAlignment="0" applyProtection="0"/>
    <xf numFmtId="0" fontId="27" fillId="14" borderId="98">
      <alignment horizontal="right" vertical="center"/>
    </xf>
    <xf numFmtId="0" fontId="27" fillId="14" borderId="98">
      <alignment horizontal="right" vertical="center"/>
    </xf>
    <xf numFmtId="0" fontId="75" fillId="89" borderId="97" applyNumberFormat="0" applyFont="0" applyAlignment="0" applyProtection="0"/>
    <xf numFmtId="0" fontId="65" fillId="46" borderId="57" applyNumberFormat="0" applyAlignment="0" applyProtection="0"/>
    <xf numFmtId="0" fontId="66" fillId="46" borderId="56" applyNumberFormat="0" applyAlignment="0" applyProtection="0"/>
    <xf numFmtId="49" fontId="31" fillId="0" borderId="99" applyNumberFormat="0" applyFont="0" applyFill="0" applyBorder="0" applyProtection="0">
      <alignment horizontal="left" vertical="center" indent="5"/>
    </xf>
    <xf numFmtId="0" fontId="67" fillId="0" borderId="0" applyNumberFormat="0" applyFill="0" applyBorder="0" applyAlignment="0" applyProtection="0"/>
    <xf numFmtId="0" fontId="27" fillId="14" borderId="98">
      <alignment horizontal="right" vertical="center"/>
    </xf>
    <xf numFmtId="0" fontId="68" fillId="0" borderId="0" applyNumberFormat="0" applyFill="0" applyBorder="0" applyAlignment="0" applyProtection="0"/>
    <xf numFmtId="0" fontId="10"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69"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69"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78" fillId="86" borderId="102" applyNumberFormat="0" applyAlignment="0" applyProtection="0"/>
    <xf numFmtId="0" fontId="2" fillId="56" borderId="0" applyNumberFormat="0" applyBorder="0" applyAlignment="0" applyProtection="0"/>
    <xf numFmtId="0" fontId="2" fillId="57" borderId="0" applyNumberFormat="0" applyBorder="0" applyAlignment="0" applyProtection="0"/>
    <xf numFmtId="0" fontId="69" fillId="58" borderId="0" applyNumberFormat="0" applyBorder="0" applyAlignment="0" applyProtection="0"/>
    <xf numFmtId="4" fontId="31" fillId="16" borderId="98"/>
    <xf numFmtId="0" fontId="2" fillId="59" borderId="0" applyNumberFormat="0" applyBorder="0" applyAlignment="0" applyProtection="0"/>
    <xf numFmtId="0" fontId="2" fillId="60" borderId="0" applyNumberFormat="0" applyBorder="0" applyAlignment="0" applyProtection="0"/>
    <xf numFmtId="0" fontId="69"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69" fillId="64" borderId="0" applyNumberFormat="0" applyBorder="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0" fontId="78" fillId="86" borderId="102" applyNumberFormat="0" applyAlignment="0" applyProtection="0"/>
    <xf numFmtId="0" fontId="65" fillId="46" borderId="57" applyNumberFormat="0" applyAlignment="0" applyProtection="0"/>
    <xf numFmtId="0" fontId="93" fillId="73" borderId="95" applyNumberFormat="0" applyAlignment="0" applyProtection="0"/>
    <xf numFmtId="0" fontId="10" fillId="0" borderId="58" applyNumberFormat="0" applyFill="0" applyAlignment="0" applyProtection="0"/>
    <xf numFmtId="0" fontId="65" fillId="46" borderId="57" applyNumberFormat="0" applyAlignment="0" applyProtection="0"/>
    <xf numFmtId="0" fontId="81" fillId="86" borderId="95" applyNumberFormat="0" applyAlignment="0" applyProtection="0"/>
    <xf numFmtId="4" fontId="27" fillId="14" borderId="100">
      <alignment horizontal="right" vertical="center"/>
    </xf>
    <xf numFmtId="49" fontId="31" fillId="0" borderId="99" applyNumberFormat="0" applyFont="0" applyFill="0" applyBorder="0" applyProtection="0">
      <alignment horizontal="left" vertical="center" indent="5"/>
    </xf>
    <xf numFmtId="0" fontId="2" fillId="60" borderId="0" applyNumberFormat="0" applyBorder="0" applyAlignment="0" applyProtection="0"/>
    <xf numFmtId="49" fontId="31" fillId="0" borderId="99" applyNumberFormat="0" applyFont="0" applyFill="0" applyBorder="0" applyProtection="0">
      <alignment horizontal="left" vertical="center" indent="5"/>
    </xf>
    <xf numFmtId="4" fontId="31" fillId="16" borderId="98"/>
    <xf numFmtId="4" fontId="27" fillId="14" borderId="98">
      <alignment horizontal="right" vertical="center"/>
    </xf>
    <xf numFmtId="4" fontId="27" fillId="14" borderId="98">
      <alignment horizontal="right" vertical="center"/>
    </xf>
    <xf numFmtId="4" fontId="31" fillId="0" borderId="98" applyFill="0" applyBorder="0" applyProtection="0">
      <alignment horizontal="right" vertical="center"/>
    </xf>
    <xf numFmtId="0" fontId="27" fillId="9" borderId="98">
      <alignment horizontal="right" vertical="center"/>
    </xf>
    <xf numFmtId="0" fontId="27" fillId="14" borderId="98">
      <alignment horizontal="right" vertical="center"/>
    </xf>
    <xf numFmtId="0" fontId="69" fillId="58" borderId="0" applyNumberFormat="0" applyBorder="0" applyAlignment="0" applyProtection="0"/>
    <xf numFmtId="0" fontId="31" fillId="9" borderId="99">
      <alignment horizontal="left" vertical="center"/>
    </xf>
    <xf numFmtId="0" fontId="31" fillId="0" borderId="98" applyNumberFormat="0" applyFill="0" applyAlignment="0" applyProtection="0"/>
    <xf numFmtId="0" fontId="84" fillId="73" borderId="95" applyNumberFormat="0" applyAlignment="0" applyProtection="0"/>
    <xf numFmtId="0" fontId="69" fillId="64" borderId="0" applyNumberFormat="0" applyBorder="0" applyAlignment="0" applyProtection="0"/>
    <xf numFmtId="0" fontId="81" fillId="86" borderId="95" applyNumberFormat="0" applyAlignment="0" applyProtection="0"/>
    <xf numFmtId="0" fontId="100" fillId="0" borderId="96" applyNumberFormat="0" applyFill="0" applyAlignment="0" applyProtection="0"/>
    <xf numFmtId="0" fontId="85"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81" fillId="86" borderId="95" applyNumberFormat="0" applyAlignment="0" applyProtection="0"/>
    <xf numFmtId="4" fontId="27" fillId="14" borderId="98">
      <alignment horizontal="right" vertical="center"/>
    </xf>
    <xf numFmtId="0" fontId="75" fillId="89" borderId="97" applyNumberFormat="0" applyFont="0" applyAlignment="0" applyProtection="0"/>
    <xf numFmtId="0" fontId="31" fillId="0" borderId="98">
      <alignment horizontal="right" vertical="center"/>
    </xf>
    <xf numFmtId="0" fontId="31" fillId="9" borderId="99">
      <alignment horizontal="left" vertical="center"/>
    </xf>
    <xf numFmtId="0" fontId="31" fillId="14" borderId="101">
      <alignment horizontal="left" vertical="center" wrapText="1" indent="2"/>
    </xf>
    <xf numFmtId="0" fontId="2" fillId="47" borderId="0" applyNumberFormat="0" applyBorder="0" applyAlignment="0" applyProtection="0"/>
    <xf numFmtId="0" fontId="31" fillId="16" borderId="98"/>
    <xf numFmtId="4" fontId="71" fillId="9" borderId="98">
      <alignment horizontal="right" vertical="center"/>
    </xf>
    <xf numFmtId="4" fontId="27" fillId="14" borderId="99">
      <alignment horizontal="right" vertical="center"/>
    </xf>
    <xf numFmtId="4" fontId="27" fillId="14" borderId="100">
      <alignment horizontal="right" vertical="center"/>
    </xf>
    <xf numFmtId="0" fontId="93" fillId="73" borderId="95" applyNumberFormat="0" applyAlignment="0" applyProtection="0"/>
    <xf numFmtId="4" fontId="27" fillId="14" borderId="98">
      <alignment horizontal="right" vertical="center"/>
    </xf>
    <xf numFmtId="0" fontId="2" fillId="57" borderId="0" applyNumberFormat="0" applyBorder="0" applyAlignment="0" applyProtection="0"/>
    <xf numFmtId="0" fontId="31" fillId="0" borderId="101">
      <alignment horizontal="left" vertical="center" wrapText="1" indent="2"/>
    </xf>
    <xf numFmtId="49" fontId="31" fillId="0" borderId="98" applyNumberFormat="0" applyFont="0" applyFill="0" applyBorder="0" applyProtection="0">
      <alignment horizontal="left" vertical="center" indent="2"/>
    </xf>
    <xf numFmtId="0" fontId="27" fillId="9" borderId="98">
      <alignment horizontal="right" vertical="center"/>
    </xf>
    <xf numFmtId="175" fontId="31" fillId="90" borderId="98" applyNumberFormat="0" applyFont="0" applyBorder="0" applyAlignment="0" applyProtection="0">
      <alignment horizontal="right" vertical="center"/>
    </xf>
    <xf numFmtId="0" fontId="81" fillId="86" borderId="95" applyNumberFormat="0" applyAlignment="0" applyProtection="0"/>
    <xf numFmtId="0" fontId="80" fillId="86" borderId="95" applyNumberFormat="0" applyAlignment="0" applyProtection="0"/>
    <xf numFmtId="4" fontId="31" fillId="16" borderId="98"/>
    <xf numFmtId="0" fontId="10" fillId="0" borderId="58" applyNumberFormat="0" applyFill="0" applyAlignment="0" applyProtection="0"/>
    <xf numFmtId="0" fontId="68" fillId="0" borderId="0" applyNumberFormat="0" applyFill="0" applyBorder="0" applyAlignment="0" applyProtection="0"/>
    <xf numFmtId="0" fontId="66" fillId="46" borderId="56" applyNumberFormat="0" applyAlignment="0" applyProtection="0"/>
    <xf numFmtId="0" fontId="65" fillId="46" borderId="57" applyNumberFormat="0" applyAlignment="0" applyProtection="0"/>
    <xf numFmtId="0" fontId="31" fillId="0" borderId="101">
      <alignment horizontal="left" vertical="center" wrapText="1" indent="2"/>
    </xf>
    <xf numFmtId="0" fontId="85" fillId="0" borderId="96" applyNumberFormat="0" applyFill="0" applyAlignment="0" applyProtection="0"/>
    <xf numFmtId="0" fontId="85" fillId="0" borderId="96" applyNumberFormat="0" applyFill="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49" fontId="31" fillId="0" borderId="99" applyNumberFormat="0" applyFont="0" applyFill="0" applyBorder="0" applyProtection="0">
      <alignment horizontal="left" vertical="center" indent="5"/>
    </xf>
    <xf numFmtId="4" fontId="27" fillId="9" borderId="98">
      <alignment horizontal="right" vertical="center"/>
    </xf>
    <xf numFmtId="0" fontId="100" fillId="0" borderId="96" applyNumberFormat="0" applyFill="0" applyAlignment="0" applyProtection="0"/>
    <xf numFmtId="0" fontId="31" fillId="0" borderId="101">
      <alignment horizontal="left" vertical="center" wrapText="1" indent="2"/>
    </xf>
    <xf numFmtId="0" fontId="100" fillId="0" borderId="96" applyNumberFormat="0" applyFill="0" applyAlignment="0" applyProtection="0"/>
    <xf numFmtId="0" fontId="31" fillId="14" borderId="101">
      <alignment horizontal="left" vertical="center" wrapText="1" indent="2"/>
    </xf>
    <xf numFmtId="0" fontId="93" fillId="73" borderId="95" applyNumberFormat="0" applyAlignment="0" applyProtection="0"/>
    <xf numFmtId="4" fontId="31" fillId="0" borderId="98">
      <alignment horizontal="right" vertical="center"/>
    </xf>
    <xf numFmtId="0" fontId="32" fillId="89" borderId="97" applyNumberFormat="0" applyFont="0" applyAlignment="0" applyProtection="0"/>
    <xf numFmtId="0" fontId="80" fillId="86" borderId="95" applyNumberFormat="0" applyAlignment="0" applyProtection="0"/>
    <xf numFmtId="0" fontId="31" fillId="16" borderId="98"/>
    <xf numFmtId="0" fontId="2" fillId="47" borderId="0" applyNumberFormat="0" applyBorder="0" applyAlignment="0" applyProtection="0"/>
    <xf numFmtId="0" fontId="31" fillId="14" borderId="101">
      <alignment horizontal="left" vertical="center" wrapText="1" indent="2"/>
    </xf>
    <xf numFmtId="0" fontId="78" fillId="86" borderId="102" applyNumberFormat="0" applyAlignment="0" applyProtection="0"/>
    <xf numFmtId="49" fontId="31" fillId="0" borderId="98" applyNumberFormat="0" applyFont="0" applyFill="0" applyBorder="0" applyProtection="0">
      <alignment horizontal="left" vertical="center" indent="2"/>
    </xf>
    <xf numFmtId="0" fontId="27" fillId="14" borderId="98">
      <alignment horizontal="right" vertical="center"/>
    </xf>
    <xf numFmtId="0" fontId="31" fillId="14" borderId="101">
      <alignment horizontal="left" vertical="center" wrapText="1" indent="2"/>
    </xf>
    <xf numFmtId="4" fontId="27" fillId="14" borderId="100">
      <alignment horizontal="right" vertical="center"/>
    </xf>
    <xf numFmtId="0" fontId="2" fillId="47" borderId="0" applyNumberFormat="0" applyBorder="0" applyAlignment="0" applyProtection="0"/>
    <xf numFmtId="0" fontId="93" fillId="73" borderId="95" applyNumberFormat="0" applyAlignment="0" applyProtection="0"/>
    <xf numFmtId="4" fontId="27" fillId="9" borderId="98">
      <alignment horizontal="right" vertical="center"/>
    </xf>
    <xf numFmtId="0" fontId="84" fillId="73" borderId="95" applyNumberFormat="0" applyAlignment="0" applyProtection="0"/>
    <xf numFmtId="0" fontId="31" fillId="16" borderId="98"/>
    <xf numFmtId="0" fontId="71" fillId="9" borderId="98">
      <alignment horizontal="right" vertical="center"/>
    </xf>
    <xf numFmtId="0" fontId="27" fillId="14" borderId="98">
      <alignment horizontal="right" vertical="center"/>
    </xf>
    <xf numFmtId="0" fontId="31" fillId="14" borderId="101">
      <alignment horizontal="left" vertical="center" wrapText="1" indent="2"/>
    </xf>
    <xf numFmtId="4" fontId="27" fillId="14" borderId="99">
      <alignment horizontal="right" vertical="center"/>
    </xf>
    <xf numFmtId="0" fontId="100" fillId="0" borderId="96" applyNumberFormat="0" applyFill="0" applyAlignment="0" applyProtection="0"/>
    <xf numFmtId="0" fontId="31" fillId="0" borderId="101">
      <alignment horizontal="left" vertical="center" wrapText="1" indent="2"/>
    </xf>
    <xf numFmtId="4" fontId="31" fillId="0" borderId="98" applyFill="0" applyBorder="0" applyProtection="0">
      <alignment horizontal="right" vertical="center"/>
    </xf>
    <xf numFmtId="0" fontId="81" fillId="86" borderId="95" applyNumberFormat="0" applyAlignment="0" applyProtection="0"/>
    <xf numFmtId="0" fontId="71" fillId="9" borderId="98">
      <alignment horizontal="right" vertical="center"/>
    </xf>
    <xf numFmtId="4" fontId="27" fillId="14" borderId="98">
      <alignment horizontal="right" vertical="center"/>
    </xf>
    <xf numFmtId="0" fontId="93" fillId="73" borderId="95" applyNumberFormat="0" applyAlignment="0" applyProtection="0"/>
    <xf numFmtId="4" fontId="71" fillId="9" borderId="98">
      <alignment horizontal="right" vertical="center"/>
    </xf>
    <xf numFmtId="0" fontId="31" fillId="9" borderId="99">
      <alignment horizontal="left" vertical="center"/>
    </xf>
    <xf numFmtId="0" fontId="75" fillId="89" borderId="97" applyNumberFormat="0" applyFont="0" applyAlignment="0" applyProtection="0"/>
    <xf numFmtId="0" fontId="97" fillId="86" borderId="102" applyNumberFormat="0" applyAlignment="0" applyProtection="0"/>
    <xf numFmtId="0" fontId="68" fillId="0" borderId="0" applyNumberFormat="0" applyFill="0" applyBorder="0" applyAlignment="0" applyProtection="0"/>
    <xf numFmtId="0" fontId="100" fillId="0" borderId="96" applyNumberFormat="0" applyFill="0" applyAlignment="0" applyProtection="0"/>
    <xf numFmtId="0" fontId="2" fillId="47" borderId="0" applyNumberFormat="0" applyBorder="0" applyAlignment="0" applyProtection="0"/>
    <xf numFmtId="0" fontId="69" fillId="52" borderId="0" applyNumberFormat="0" applyBorder="0" applyAlignment="0" applyProtection="0"/>
    <xf numFmtId="0" fontId="80" fillId="86" borderId="95" applyNumberFormat="0" applyAlignment="0" applyProtection="0"/>
    <xf numFmtId="0" fontId="27" fillId="9" borderId="98">
      <alignment horizontal="right" vertical="center"/>
    </xf>
    <xf numFmtId="0" fontId="93" fillId="73" borderId="95" applyNumberFormat="0" applyAlignment="0" applyProtection="0"/>
    <xf numFmtId="0" fontId="31" fillId="0" borderId="101">
      <alignment horizontal="left" vertical="center" wrapText="1" indent="2"/>
    </xf>
    <xf numFmtId="0" fontId="27" fillId="14" borderId="100">
      <alignment horizontal="right" vertical="center"/>
    </xf>
    <xf numFmtId="0" fontId="75" fillId="89" borderId="97" applyNumberFormat="0" applyFont="0" applyAlignment="0" applyProtection="0"/>
    <xf numFmtId="0" fontId="69" fillId="64" borderId="0" applyNumberFormat="0" applyBorder="0" applyAlignment="0" applyProtection="0"/>
    <xf numFmtId="49" fontId="29" fillId="0" borderId="98" applyNumberFormat="0" applyFill="0" applyBorder="0" applyProtection="0">
      <alignment horizontal="left" vertical="center"/>
    </xf>
    <xf numFmtId="0" fontId="32" fillId="89" borderId="97" applyNumberFormat="0" applyFont="0" applyAlignment="0" applyProtection="0"/>
    <xf numFmtId="0" fontId="69" fillId="61" borderId="0" applyNumberFormat="0" applyBorder="0" applyAlignment="0" applyProtection="0"/>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4" fontId="31" fillId="0" borderId="98" applyFill="0" applyBorder="0" applyProtection="0">
      <alignment horizontal="righ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49" fontId="31" fillId="0" borderId="98" applyNumberFormat="0" applyFont="0" applyFill="0" applyBorder="0" applyProtection="0">
      <alignment horizontal="left" vertical="center" indent="2"/>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78" fillId="86" borderId="102" applyNumberFormat="0" applyAlignment="0" applyProtection="0"/>
    <xf numFmtId="0" fontId="2" fillId="50" borderId="0" applyNumberFormat="0" applyBorder="0" applyAlignment="0" applyProtection="0"/>
    <xf numFmtId="0" fontId="2" fillId="62" borderId="0" applyNumberFormat="0" applyBorder="0" applyAlignment="0" applyProtection="0"/>
    <xf numFmtId="0" fontId="27" fillId="14" borderId="99">
      <alignment horizontal="right" vertical="center"/>
    </xf>
    <xf numFmtId="0" fontId="100" fillId="0" borderId="96" applyNumberFormat="0" applyFill="0" applyAlignment="0" applyProtection="0"/>
    <xf numFmtId="0" fontId="66" fillId="46" borderId="56" applyNumberFormat="0" applyAlignment="0" applyProtection="0"/>
    <xf numFmtId="0" fontId="75" fillId="89" borderId="97" applyNumberFormat="0" applyFont="0" applyAlignment="0" applyProtection="0"/>
    <xf numFmtId="4" fontId="31" fillId="0" borderId="98" applyFill="0" applyBorder="0" applyProtection="0">
      <alignment horizontal="right" vertical="center"/>
    </xf>
    <xf numFmtId="0" fontId="2" fillId="62" borderId="0" applyNumberFormat="0" applyBorder="0" applyAlignment="0" applyProtection="0"/>
    <xf numFmtId="0" fontId="2" fillId="48" borderId="0" applyNumberFormat="0" applyBorder="0" applyAlignment="0" applyProtection="0"/>
    <xf numFmtId="4" fontId="27" fillId="14" borderId="100">
      <alignment horizontal="right" vertical="center"/>
    </xf>
    <xf numFmtId="0" fontId="2" fillId="51" borderId="0" applyNumberFormat="0" applyBorder="0" applyAlignment="0" applyProtection="0"/>
    <xf numFmtId="0" fontId="27" fillId="14" borderId="98">
      <alignment horizontal="right" vertical="center"/>
    </xf>
    <xf numFmtId="0" fontId="97" fillId="86" borderId="102" applyNumberFormat="0" applyAlignment="0" applyProtection="0"/>
    <xf numFmtId="0" fontId="2" fillId="50" borderId="0" applyNumberFormat="0" applyBorder="0" applyAlignment="0" applyProtection="0"/>
    <xf numFmtId="0" fontId="80" fillId="86" borderId="95" applyNumberFormat="0" applyAlignment="0" applyProtection="0"/>
    <xf numFmtId="0" fontId="100" fillId="0" borderId="96" applyNumberFormat="0" applyFill="0" applyAlignment="0" applyProtection="0"/>
    <xf numFmtId="4" fontId="27" fillId="14" borderId="98">
      <alignment horizontal="right" vertical="center"/>
    </xf>
    <xf numFmtId="0" fontId="69" fillId="55" borderId="0" applyNumberFormat="0" applyBorder="0" applyAlignment="0" applyProtection="0"/>
    <xf numFmtId="0" fontId="31" fillId="0" borderId="98" applyNumberFormat="0" applyFill="0" applyAlignment="0" applyProtection="0"/>
    <xf numFmtId="0" fontId="2" fillId="56" borderId="0" applyNumberFormat="0" applyBorder="0" applyAlignment="0" applyProtection="0"/>
    <xf numFmtId="0" fontId="100" fillId="0" borderId="96" applyNumberFormat="0" applyFill="0" applyAlignment="0" applyProtection="0"/>
    <xf numFmtId="4" fontId="31" fillId="0" borderId="98">
      <alignment horizontal="right" vertical="center"/>
    </xf>
    <xf numFmtId="4" fontId="27" fillId="14" borderId="100">
      <alignment horizontal="right" vertical="center"/>
    </xf>
    <xf numFmtId="0" fontId="71" fillId="9" borderId="98">
      <alignment horizontal="right" vertical="center"/>
    </xf>
    <xf numFmtId="0" fontId="32" fillId="89" borderId="97" applyNumberFormat="0" applyFont="0" applyAlignment="0" applyProtection="0"/>
    <xf numFmtId="0" fontId="2" fillId="59" borderId="0" applyNumberFormat="0" applyBorder="0" applyAlignment="0" applyProtection="0"/>
    <xf numFmtId="0" fontId="93" fillId="73" borderId="95" applyNumberFormat="0" applyAlignment="0" applyProtection="0"/>
    <xf numFmtId="4" fontId="71" fillId="9" borderId="98">
      <alignment horizontal="right" vertical="center"/>
    </xf>
    <xf numFmtId="0" fontId="31" fillId="0" borderId="101">
      <alignment horizontal="left" vertical="center" wrapText="1" indent="2"/>
    </xf>
    <xf numFmtId="0" fontId="97" fillId="86" borderId="102" applyNumberFormat="0" applyAlignment="0" applyProtection="0"/>
    <xf numFmtId="0" fontId="75" fillId="89" borderId="97" applyNumberFormat="0" applyFont="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4" fontId="27" fillId="9" borderId="98">
      <alignment horizontal="right" vertical="center"/>
    </xf>
    <xf numFmtId="0" fontId="100" fillId="0" borderId="96" applyNumberFormat="0" applyFill="0" applyAlignment="0" applyProtection="0"/>
    <xf numFmtId="0" fontId="2" fillId="53" borderId="0" applyNumberFormat="0" applyBorder="0" applyAlignment="0" applyProtection="0"/>
    <xf numFmtId="0" fontId="97" fillId="86" borderId="102" applyNumberFormat="0" applyAlignment="0" applyProtection="0"/>
    <xf numFmtId="0" fontId="93" fillId="73" borderId="95" applyNumberFormat="0" applyAlignment="0" applyProtection="0"/>
    <xf numFmtId="0" fontId="2" fillId="51" borderId="0" applyNumberFormat="0" applyBorder="0" applyAlignment="0" applyProtection="0"/>
    <xf numFmtId="0" fontId="69" fillId="61" borderId="0" applyNumberFormat="0" applyBorder="0" applyAlignment="0" applyProtection="0"/>
    <xf numFmtId="0" fontId="2" fillId="47" borderId="0" applyNumberFormat="0" applyBorder="0" applyAlignment="0" applyProtection="0"/>
    <xf numFmtId="49" fontId="29" fillId="0" borderId="98" applyNumberFormat="0" applyFill="0" applyBorder="0" applyProtection="0">
      <alignment horizontal="left" vertical="center"/>
    </xf>
    <xf numFmtId="0" fontId="100" fillId="0" borderId="96" applyNumberFormat="0" applyFill="0" applyAlignment="0" applyProtection="0"/>
    <xf numFmtId="0" fontId="69" fillId="52" borderId="0" applyNumberFormat="0" applyBorder="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0" fontId="93" fillId="73" borderId="95" applyNumberFormat="0" applyAlignment="0" applyProtection="0"/>
    <xf numFmtId="0" fontId="31" fillId="9" borderId="99">
      <alignment horizontal="left" vertical="center"/>
    </xf>
    <xf numFmtId="0" fontId="81" fillId="86" borderId="95" applyNumberFormat="0" applyAlignment="0" applyProtection="0"/>
    <xf numFmtId="0" fontId="100" fillId="0" borderId="96" applyNumberFormat="0" applyFill="0" applyAlignment="0" applyProtection="0"/>
    <xf numFmtId="4" fontId="27" fillId="14" borderId="99">
      <alignment horizontal="right" vertical="center"/>
    </xf>
    <xf numFmtId="0" fontId="32" fillId="89" borderId="97" applyNumberFormat="0" applyFont="0" applyAlignment="0" applyProtection="0"/>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4" fontId="27" fillId="14" borderId="100">
      <alignment horizontal="right" vertical="center"/>
    </xf>
    <xf numFmtId="0" fontId="69" fillId="64" borderId="0" applyNumberFormat="0" applyBorder="0" applyAlignment="0" applyProtection="0"/>
    <xf numFmtId="0" fontId="100" fillId="0" borderId="96" applyNumberFormat="0" applyFill="0" applyAlignment="0" applyProtection="0"/>
    <xf numFmtId="0" fontId="84" fillId="73"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0" fontId="100" fillId="0" borderId="96" applyNumberFormat="0" applyFill="0" applyAlignment="0" applyProtection="0"/>
    <xf numFmtId="0" fontId="69" fillId="55" borderId="0" applyNumberFormat="0" applyBorder="0" applyAlignment="0" applyProtection="0"/>
    <xf numFmtId="0" fontId="75" fillId="89" borderId="97" applyNumberFormat="0" applyFont="0" applyAlignment="0" applyProtection="0"/>
    <xf numFmtId="0" fontId="31" fillId="0" borderId="98" applyNumberFormat="0" applyFill="0" applyAlignment="0" applyProtection="0"/>
    <xf numFmtId="49" fontId="31" fillId="0" borderId="99" applyNumberFormat="0" applyFont="0" applyFill="0" applyBorder="0" applyProtection="0">
      <alignment horizontal="left" vertical="center" indent="5"/>
    </xf>
    <xf numFmtId="0" fontId="31" fillId="0" borderId="98" applyNumberFormat="0" applyFill="0" applyAlignment="0" applyProtection="0"/>
    <xf numFmtId="4" fontId="31" fillId="0" borderId="98">
      <alignment horizontal="right" vertical="center"/>
    </xf>
    <xf numFmtId="4" fontId="31" fillId="0" borderId="98">
      <alignment horizontal="right" vertical="center"/>
    </xf>
    <xf numFmtId="0" fontId="27" fillId="14" borderId="98">
      <alignment horizontal="right" vertical="center"/>
    </xf>
    <xf numFmtId="0" fontId="31" fillId="14" borderId="101">
      <alignment horizontal="left" vertical="center" wrapText="1" indent="2"/>
    </xf>
    <xf numFmtId="0" fontId="93" fillId="73" borderId="95" applyNumberFormat="0" applyAlignment="0" applyProtection="0"/>
    <xf numFmtId="0" fontId="31" fillId="0"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175" fontId="31" fillId="90" borderId="98" applyNumberFormat="0" applyFont="0" applyBorder="0" applyAlignment="0" applyProtection="0">
      <alignment horizontal="right" vertical="center"/>
    </xf>
    <xf numFmtId="0" fontId="65" fillId="46" borderId="57" applyNumberFormat="0" applyAlignment="0" applyProtection="0"/>
    <xf numFmtId="0" fontId="27" fillId="14" borderId="100">
      <alignment horizontal="right" vertical="center"/>
    </xf>
    <xf numFmtId="0" fontId="81" fillId="86" borderId="95" applyNumberFormat="0" applyAlignment="0" applyProtection="0"/>
    <xf numFmtId="0" fontId="80" fillId="86" borderId="95" applyNumberFormat="0" applyAlignment="0" applyProtection="0"/>
    <xf numFmtId="0" fontId="100" fillId="0" borderId="96" applyNumberFormat="0" applyFill="0" applyAlignment="0" applyProtection="0"/>
    <xf numFmtId="0" fontId="100" fillId="0" borderId="96" applyNumberFormat="0" applyFill="0" applyAlignment="0" applyProtection="0"/>
    <xf numFmtId="0" fontId="32" fillId="89" borderId="97" applyNumberFormat="0" applyFont="0" applyAlignment="0" applyProtection="0"/>
    <xf numFmtId="0" fontId="69" fillId="61" borderId="0" applyNumberFormat="0" applyBorder="0" applyAlignment="0" applyProtection="0"/>
    <xf numFmtId="0" fontId="27" fillId="14" borderId="100">
      <alignment horizontal="right" vertical="center"/>
    </xf>
    <xf numFmtId="0" fontId="2" fillId="59" borderId="0" applyNumberFormat="0" applyBorder="0" applyAlignment="0" applyProtection="0"/>
    <xf numFmtId="0" fontId="27" fillId="14" borderId="99">
      <alignment horizontal="right" vertical="center"/>
    </xf>
    <xf numFmtId="4" fontId="27" fillId="9" borderId="98">
      <alignment horizontal="right" vertical="center"/>
    </xf>
    <xf numFmtId="4" fontId="27" fillId="14" borderId="98">
      <alignment horizontal="right" vertical="center"/>
    </xf>
    <xf numFmtId="0" fontId="67" fillId="0" borderId="0" applyNumberFormat="0" applyFill="0" applyBorder="0" applyAlignment="0" applyProtection="0"/>
    <xf numFmtId="4" fontId="27" fillId="14" borderId="98">
      <alignment horizontal="right" vertical="center"/>
    </xf>
    <xf numFmtId="0" fontId="84" fillId="73" borderId="95" applyNumberFormat="0" applyAlignment="0" applyProtection="0"/>
    <xf numFmtId="0" fontId="27" fillId="14" borderId="98">
      <alignment horizontal="right" vertical="center"/>
    </xf>
    <xf numFmtId="4" fontId="27" fillId="14" borderId="98">
      <alignment horizontal="right" vertical="center"/>
    </xf>
    <xf numFmtId="0" fontId="97" fillId="86" borderId="102" applyNumberFormat="0" applyAlignment="0" applyProtection="0"/>
    <xf numFmtId="4" fontId="27" fillId="14" borderId="98">
      <alignment horizontal="right" vertical="center"/>
    </xf>
    <xf numFmtId="0" fontId="31" fillId="0" borderId="98">
      <alignment horizontal="right" vertical="center"/>
    </xf>
    <xf numFmtId="0" fontId="2" fillId="48" borderId="0" applyNumberFormat="0" applyBorder="0" applyAlignment="0" applyProtection="0"/>
    <xf numFmtId="0" fontId="69" fillId="49" borderId="0" applyNumberFormat="0" applyBorder="0" applyAlignment="0" applyProtection="0"/>
    <xf numFmtId="0" fontId="67" fillId="0" borderId="0" applyNumberFormat="0" applyFill="0" applyBorder="0" applyAlignment="0" applyProtection="0"/>
    <xf numFmtId="0" fontId="31" fillId="0" borderId="101">
      <alignment horizontal="left" vertical="center" wrapText="1" indent="2"/>
    </xf>
    <xf numFmtId="0" fontId="31" fillId="16" borderId="98"/>
    <xf numFmtId="4" fontId="31" fillId="0" borderId="98" applyFill="0" applyBorder="0" applyProtection="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85" fillId="0" borderId="96" applyNumberFormat="0" applyFill="0" applyAlignment="0" applyProtection="0"/>
    <xf numFmtId="0" fontId="93" fillId="73" borderId="95" applyNumberFormat="0" applyAlignment="0" applyProtection="0"/>
    <xf numFmtId="0" fontId="31" fillId="0" borderId="98">
      <alignment horizontal="right" vertical="center"/>
    </xf>
    <xf numFmtId="49" fontId="31" fillId="0" borderId="98" applyNumberFormat="0" applyFont="0" applyFill="0" applyBorder="0" applyProtection="0">
      <alignment horizontal="left" vertical="center" indent="2"/>
    </xf>
    <xf numFmtId="0" fontId="80" fillId="86" borderId="95" applyNumberFormat="0" applyAlignment="0" applyProtection="0"/>
    <xf numFmtId="0" fontId="31" fillId="0" borderId="98">
      <alignment horizontal="right" vertical="center"/>
    </xf>
    <xf numFmtId="0" fontId="27" fillId="9" borderId="98">
      <alignment horizontal="right" vertical="center"/>
    </xf>
    <xf numFmtId="0" fontId="69" fillId="52" borderId="0" applyNumberFormat="0" applyBorder="0" applyAlignment="0" applyProtection="0"/>
    <xf numFmtId="4" fontId="31" fillId="0" borderId="98">
      <alignment horizontal="right" vertical="center"/>
    </xf>
    <xf numFmtId="175" fontId="31" fillId="90" borderId="98" applyNumberFormat="0" applyFont="0" applyBorder="0" applyAlignment="0" applyProtection="0">
      <alignment horizontal="right" vertical="center"/>
    </xf>
    <xf numFmtId="4" fontId="71" fillId="9" borderId="98">
      <alignment horizontal="right" vertical="center"/>
    </xf>
    <xf numFmtId="4" fontId="27" fillId="14" borderId="99">
      <alignment horizontal="right" vertical="center"/>
    </xf>
    <xf numFmtId="4" fontId="27" fillId="9" borderId="98">
      <alignment horizontal="right" vertical="center"/>
    </xf>
    <xf numFmtId="0" fontId="85" fillId="0" borderId="96" applyNumberFormat="0" applyFill="0" applyAlignment="0" applyProtection="0"/>
    <xf numFmtId="0" fontId="93" fillId="73" borderId="95" applyNumberFormat="0" applyAlignment="0" applyProtection="0"/>
    <xf numFmtId="0" fontId="31" fillId="16" borderId="98"/>
    <xf numFmtId="49" fontId="31" fillId="0" borderId="98" applyNumberFormat="0" applyFont="0" applyFill="0" applyBorder="0" applyProtection="0">
      <alignment horizontal="left" vertical="center" indent="2"/>
    </xf>
    <xf numFmtId="4" fontId="71" fillId="9" borderId="98">
      <alignment horizontal="right" vertical="center"/>
    </xf>
    <xf numFmtId="0" fontId="97" fillId="86" borderId="102" applyNumberFormat="0" applyAlignment="0" applyProtection="0"/>
    <xf numFmtId="0" fontId="2" fillId="62" borderId="0" applyNumberFormat="0" applyBorder="0" applyAlignment="0" applyProtection="0"/>
    <xf numFmtId="49" fontId="29" fillId="0" borderId="98" applyNumberFormat="0" applyFill="0" applyBorder="0" applyProtection="0">
      <alignment horizontal="left" vertical="center"/>
    </xf>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1" fillId="9" borderId="98">
      <alignment horizontal="right" vertical="center"/>
    </xf>
    <xf numFmtId="0" fontId="69" fillId="49" borderId="0" applyNumberFormat="0" applyBorder="0" applyAlignment="0" applyProtection="0"/>
    <xf numFmtId="0" fontId="69"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69" fillId="58" borderId="0" applyNumberFormat="0" applyBorder="0" applyAlignment="0" applyProtection="0"/>
    <xf numFmtId="0" fontId="2" fillId="54" borderId="0" applyNumberFormat="0" applyBorder="0" applyAlignment="0" applyProtection="0"/>
    <xf numFmtId="0" fontId="69" fillId="55" borderId="0" applyNumberFormat="0" applyBorder="0" applyAlignment="0" applyProtection="0"/>
    <xf numFmtId="0" fontId="85" fillId="0" borderId="96" applyNumberFormat="0" applyFill="0" applyAlignment="0" applyProtection="0"/>
    <xf numFmtId="0" fontId="31" fillId="14" borderId="101">
      <alignment horizontal="left" vertical="center" wrapText="1" indent="2"/>
    </xf>
    <xf numFmtId="0" fontId="78" fillId="86" borderId="102" applyNumberFormat="0" applyAlignment="0" applyProtection="0"/>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31" fillId="0" borderId="101">
      <alignment horizontal="left" vertical="center" wrapText="1" indent="2"/>
    </xf>
    <xf numFmtId="0" fontId="78" fillId="86" borderId="102" applyNumberFormat="0" applyAlignment="0" applyProtection="0"/>
    <xf numFmtId="0" fontId="80" fillId="86" borderId="95" applyNumberFormat="0" applyAlignment="0" applyProtection="0"/>
    <xf numFmtId="0" fontId="81" fillId="86" borderId="95" applyNumberFormat="0" applyAlignment="0" applyProtection="0"/>
    <xf numFmtId="0" fontId="84" fillId="73" borderId="95" applyNumberFormat="0" applyAlignment="0" applyProtection="0"/>
    <xf numFmtId="0" fontId="85" fillId="0" borderId="96" applyNumberFormat="0" applyFill="0" applyAlignment="0" applyProtection="0"/>
    <xf numFmtId="0" fontId="93" fillId="73" borderId="95" applyNumberFormat="0" applyAlignment="0" applyProtection="0"/>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81" fillId="86" borderId="95" applyNumberFormat="0" applyAlignment="0" applyProtection="0"/>
    <xf numFmtId="0" fontId="93" fillId="73"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84" fillId="73" borderId="95" applyNumberFormat="0" applyAlignment="0" applyProtection="0"/>
    <xf numFmtId="0" fontId="31" fillId="0" borderId="98">
      <alignment horizontal="right" vertical="center"/>
    </xf>
    <xf numFmtId="4" fontId="31" fillId="0" borderId="98">
      <alignment horizontal="right" vertical="center"/>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98" applyNumberFormat="0" applyFill="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4" fontId="27" fillId="14" borderId="98">
      <alignment horizontal="right" vertical="center"/>
    </xf>
    <xf numFmtId="0" fontId="31" fillId="16" borderId="98"/>
    <xf numFmtId="0" fontId="80" fillId="86" borderId="95" applyNumberFormat="0" applyAlignment="0" applyProtection="0"/>
    <xf numFmtId="0" fontId="27" fillId="9" borderId="98">
      <alignment horizontal="right" vertical="center"/>
    </xf>
    <xf numFmtId="0" fontId="31" fillId="0" borderId="98">
      <alignment horizontal="right" vertical="center"/>
    </xf>
    <xf numFmtId="0" fontId="100" fillId="0" borderId="96" applyNumberFormat="0" applyFill="0" applyAlignment="0" applyProtection="0"/>
    <xf numFmtId="0" fontId="31" fillId="9" borderId="99">
      <alignment horizontal="left" vertical="center"/>
    </xf>
    <xf numFmtId="0" fontId="93" fillId="73" borderId="95" applyNumberFormat="0" applyAlignment="0" applyProtection="0"/>
    <xf numFmtId="175" fontId="31" fillId="90" borderId="98" applyNumberFormat="0" applyFont="0" applyBorder="0" applyAlignment="0" applyProtection="0">
      <alignment horizontal="right" vertical="center"/>
    </xf>
    <xf numFmtId="0" fontId="75" fillId="89" borderId="97" applyNumberFormat="0" applyFont="0" applyAlignment="0" applyProtection="0"/>
    <xf numFmtId="0" fontId="31" fillId="0" borderId="101">
      <alignment horizontal="left" vertical="center" wrapText="1" indent="2"/>
    </xf>
    <xf numFmtId="4" fontId="31" fillId="16" borderId="98"/>
    <xf numFmtId="49" fontId="29" fillId="0" borderId="98" applyNumberFormat="0" applyFill="0" applyBorder="0" applyProtection="0">
      <alignment horizontal="left" vertical="center"/>
    </xf>
    <xf numFmtId="0" fontId="31" fillId="0" borderId="98">
      <alignment horizontal="right" vertical="center"/>
    </xf>
    <xf numFmtId="4" fontId="27" fillId="14" borderId="100">
      <alignment horizontal="right" vertical="center"/>
    </xf>
    <xf numFmtId="4" fontId="27" fillId="14" borderId="98">
      <alignment horizontal="right" vertical="center"/>
    </xf>
    <xf numFmtId="4" fontId="27" fillId="14" borderId="98">
      <alignment horizontal="right" vertical="center"/>
    </xf>
    <xf numFmtId="0" fontId="71" fillId="9" borderId="98">
      <alignment horizontal="right" vertical="center"/>
    </xf>
    <xf numFmtId="0" fontId="27" fillId="9" borderId="98">
      <alignment horizontal="right" vertical="center"/>
    </xf>
    <xf numFmtId="49" fontId="31" fillId="0" borderId="98" applyNumberFormat="0" applyFont="0" applyFill="0" applyBorder="0" applyProtection="0">
      <alignment horizontal="left" vertical="center" indent="2"/>
    </xf>
    <xf numFmtId="0" fontId="93" fillId="73" borderId="95" applyNumberFormat="0" applyAlignment="0" applyProtection="0"/>
    <xf numFmtId="0" fontId="78" fillId="86" borderId="102" applyNumberFormat="0" applyAlignment="0" applyProtection="0"/>
    <xf numFmtId="49" fontId="31" fillId="0" borderId="98" applyNumberFormat="0" applyFont="0" applyFill="0" applyBorder="0" applyProtection="0">
      <alignment horizontal="left" vertical="center" indent="2"/>
    </xf>
    <xf numFmtId="0" fontId="84" fillId="73" borderId="95" applyNumberFormat="0" applyAlignment="0" applyProtection="0"/>
    <xf numFmtId="4" fontId="31" fillId="0" borderId="98" applyFill="0" applyBorder="0" applyProtection="0">
      <alignment horizontal="right" vertical="center"/>
    </xf>
    <xf numFmtId="0" fontId="81" fillId="86" borderId="95" applyNumberFormat="0" applyAlignment="0" applyProtection="0"/>
    <xf numFmtId="0" fontId="100" fillId="0" borderId="96" applyNumberFormat="0" applyFill="0" applyAlignment="0" applyProtection="0"/>
    <xf numFmtId="0" fontId="97" fillId="86" borderId="102" applyNumberFormat="0" applyAlignment="0" applyProtection="0"/>
    <xf numFmtId="0" fontId="31" fillId="0" borderId="98" applyNumberFormat="0" applyFill="0" applyAlignment="0" applyProtection="0"/>
    <xf numFmtId="4" fontId="31" fillId="0" borderId="98">
      <alignment horizontal="right" vertical="center"/>
    </xf>
    <xf numFmtId="0" fontId="31" fillId="0" borderId="98">
      <alignment horizontal="right" vertical="center"/>
    </xf>
    <xf numFmtId="0" fontId="93" fillId="73" borderId="95" applyNumberFormat="0" applyAlignment="0" applyProtection="0"/>
    <xf numFmtId="0" fontId="78" fillId="86" borderId="102" applyNumberFormat="0" applyAlignment="0" applyProtection="0"/>
    <xf numFmtId="0" fontId="80" fillId="86" borderId="95" applyNumberFormat="0" applyAlignment="0" applyProtection="0"/>
    <xf numFmtId="0" fontId="31" fillId="14" borderId="101">
      <alignment horizontal="left" vertical="center" wrapText="1" indent="2"/>
    </xf>
    <xf numFmtId="0" fontId="81" fillId="86" borderId="95" applyNumberFormat="0" applyAlignment="0" applyProtection="0"/>
    <xf numFmtId="0" fontId="81" fillId="86" borderId="95" applyNumberFormat="0" applyAlignment="0" applyProtection="0"/>
    <xf numFmtId="4" fontId="27" fillId="14" borderId="99">
      <alignment horizontal="right" vertical="center"/>
    </xf>
    <xf numFmtId="0" fontId="27" fillId="14" borderId="99">
      <alignment horizontal="right" vertical="center"/>
    </xf>
    <xf numFmtId="0" fontId="27" fillId="14" borderId="98">
      <alignment horizontal="right" vertical="center"/>
    </xf>
    <xf numFmtId="4" fontId="71" fillId="9" borderId="98">
      <alignment horizontal="right" vertical="center"/>
    </xf>
    <xf numFmtId="0" fontId="84" fillId="73" borderId="95" applyNumberFormat="0" applyAlignment="0" applyProtection="0"/>
    <xf numFmtId="0" fontId="85" fillId="0" borderId="96" applyNumberFormat="0" applyFill="0" applyAlignment="0" applyProtection="0"/>
    <xf numFmtId="0" fontId="100" fillId="0" borderId="96" applyNumberFormat="0" applyFill="0" applyAlignment="0" applyProtection="0"/>
    <xf numFmtId="0" fontId="75" fillId="89" borderId="97" applyNumberFormat="0" applyFont="0" applyAlignment="0" applyProtection="0"/>
    <xf numFmtId="0" fontId="93" fillId="73" borderId="95" applyNumberFormat="0" applyAlignment="0" applyProtection="0"/>
    <xf numFmtId="49" fontId="29" fillId="0" borderId="98" applyNumberFormat="0" applyFill="0" applyBorder="0" applyProtection="0">
      <alignment horizontal="left" vertical="center"/>
    </xf>
    <xf numFmtId="0" fontId="31" fillId="14" borderId="101">
      <alignment horizontal="left" vertical="center" wrapText="1" indent="2"/>
    </xf>
    <xf numFmtId="0" fontId="81" fillId="86" borderId="95" applyNumberFormat="0" applyAlignment="0" applyProtection="0"/>
    <xf numFmtId="0" fontId="31" fillId="0" borderId="101">
      <alignment horizontal="left" vertical="center" wrapText="1" indent="2"/>
    </xf>
    <xf numFmtId="0" fontId="75" fillId="89" borderId="97" applyNumberFormat="0" applyFont="0" applyAlignment="0" applyProtection="0"/>
    <xf numFmtId="0" fontId="32"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4" fontId="31" fillId="16" borderId="98"/>
    <xf numFmtId="0" fontId="27" fillId="14" borderId="98">
      <alignment horizontal="right" vertical="center"/>
    </xf>
    <xf numFmtId="0" fontId="100" fillId="0" borderId="96" applyNumberFormat="0" applyFill="0" applyAlignment="0" applyProtection="0"/>
    <xf numFmtId="4" fontId="27" fillId="14" borderId="100">
      <alignment horizontal="right" vertical="center"/>
    </xf>
    <xf numFmtId="0" fontId="80" fillId="86" borderId="95" applyNumberFormat="0" applyAlignment="0" applyProtection="0"/>
    <xf numFmtId="0" fontId="27" fillId="14" borderId="99">
      <alignment horizontal="right" vertical="center"/>
    </xf>
    <xf numFmtId="0" fontId="81" fillId="86" borderId="95" applyNumberFormat="0" applyAlignment="0" applyProtection="0"/>
    <xf numFmtId="0" fontId="85" fillId="0" borderId="96" applyNumberFormat="0" applyFill="0" applyAlignment="0" applyProtection="0"/>
    <xf numFmtId="0" fontId="75" fillId="89" borderId="97" applyNumberFormat="0" applyFont="0" applyAlignment="0" applyProtection="0"/>
    <xf numFmtId="4" fontId="27" fillId="14" borderId="99">
      <alignment horizontal="right" vertical="center"/>
    </xf>
    <xf numFmtId="0" fontId="31" fillId="14" borderId="101">
      <alignment horizontal="left" vertical="center" wrapText="1" indent="2"/>
    </xf>
    <xf numFmtId="0" fontId="31" fillId="16" borderId="98"/>
    <xf numFmtId="175" fontId="31" fillId="90" borderId="98" applyNumberFormat="0" applyFont="0" applyBorder="0" applyAlignment="0" applyProtection="0">
      <alignment horizontal="right" vertical="center"/>
    </xf>
    <xf numFmtId="0" fontId="31" fillId="0" borderId="98" applyNumberFormat="0" applyFill="0" applyAlignment="0" applyProtection="0"/>
    <xf numFmtId="4" fontId="31" fillId="0" borderId="98" applyFill="0" applyBorder="0" applyProtection="0">
      <alignment horizontal="right" vertical="center"/>
    </xf>
    <xf numFmtId="4" fontId="27" fillId="9" borderId="98">
      <alignment horizontal="right" vertical="center"/>
    </xf>
    <xf numFmtId="0" fontId="85" fillId="0" borderId="96" applyNumberFormat="0" applyFill="0" applyAlignment="0" applyProtection="0"/>
    <xf numFmtId="49" fontId="29" fillId="0" borderId="98" applyNumberFormat="0" applyFill="0" applyBorder="0" applyProtection="0">
      <alignment horizontal="left" vertical="center"/>
    </xf>
    <xf numFmtId="49" fontId="31" fillId="0" borderId="99" applyNumberFormat="0" applyFont="0" applyFill="0" applyBorder="0" applyProtection="0">
      <alignment horizontal="left" vertical="center" indent="5"/>
    </xf>
    <xf numFmtId="0" fontId="31" fillId="9" borderId="99">
      <alignment horizontal="left" vertical="center"/>
    </xf>
    <xf numFmtId="0" fontId="81" fillId="86" borderId="95" applyNumberFormat="0" applyAlignment="0" applyProtection="0"/>
    <xf numFmtId="4" fontId="27" fillId="14" borderId="100">
      <alignment horizontal="right" vertical="center"/>
    </xf>
    <xf numFmtId="0" fontId="93" fillId="73" borderId="95" applyNumberFormat="0" applyAlignment="0" applyProtection="0"/>
    <xf numFmtId="0" fontId="93" fillId="73" borderId="95" applyNumberFormat="0" applyAlignment="0" applyProtection="0"/>
    <xf numFmtId="0" fontId="75" fillId="89" borderId="97" applyNumberFormat="0" applyFont="0" applyAlignment="0" applyProtection="0"/>
    <xf numFmtId="0" fontId="97" fillId="86" borderId="102" applyNumberFormat="0" applyAlignment="0" applyProtection="0"/>
    <xf numFmtId="0" fontId="100" fillId="0" borderId="96" applyNumberFormat="0" applyFill="0" applyAlignment="0" applyProtection="0"/>
    <xf numFmtId="0" fontId="27" fillId="14" borderId="98">
      <alignment horizontal="right" vertical="center"/>
    </xf>
    <xf numFmtId="0" fontId="32" fillId="89" borderId="97" applyNumberFormat="0" applyFont="0" applyAlignment="0" applyProtection="0"/>
    <xf numFmtId="4" fontId="31" fillId="0" borderId="98">
      <alignment horizontal="right" vertical="center"/>
    </xf>
    <xf numFmtId="0" fontId="100" fillId="0" borderId="96" applyNumberFormat="0" applyFill="0" applyAlignment="0" applyProtection="0"/>
    <xf numFmtId="0" fontId="27" fillId="14" borderId="98">
      <alignment horizontal="right" vertical="center"/>
    </xf>
    <xf numFmtId="0" fontId="27" fillId="14" borderId="98">
      <alignment horizontal="right" vertical="center"/>
    </xf>
    <xf numFmtId="4" fontId="71" fillId="9" borderId="98">
      <alignment horizontal="right" vertical="center"/>
    </xf>
    <xf numFmtId="0" fontId="27" fillId="9" borderId="98">
      <alignment horizontal="right" vertical="center"/>
    </xf>
    <xf numFmtId="4" fontId="27" fillId="9" borderId="98">
      <alignment horizontal="right" vertical="center"/>
    </xf>
    <xf numFmtId="0" fontId="71" fillId="9" borderId="98">
      <alignment horizontal="right" vertical="center"/>
    </xf>
    <xf numFmtId="4" fontId="71" fillId="9" borderId="98">
      <alignment horizontal="right" vertical="center"/>
    </xf>
    <xf numFmtId="0" fontId="27" fillId="14" borderId="98">
      <alignment horizontal="right" vertical="center"/>
    </xf>
    <xf numFmtId="4" fontId="27" fillId="14" borderId="98">
      <alignment horizontal="right" vertical="center"/>
    </xf>
    <xf numFmtId="0" fontId="27" fillId="14" borderId="98">
      <alignment horizontal="right" vertical="center"/>
    </xf>
    <xf numFmtId="4" fontId="27" fillId="14" borderId="98">
      <alignment horizontal="right" vertical="center"/>
    </xf>
    <xf numFmtId="0" fontId="27" fillId="14" borderId="99">
      <alignment horizontal="right" vertical="center"/>
    </xf>
    <xf numFmtId="4" fontId="27" fillId="14" borderId="99">
      <alignment horizontal="right" vertical="center"/>
    </xf>
    <xf numFmtId="0" fontId="27" fillId="14" borderId="100">
      <alignment horizontal="right" vertical="center"/>
    </xf>
    <xf numFmtId="4" fontId="27" fillId="14" borderId="100">
      <alignment horizontal="right" vertical="center"/>
    </xf>
    <xf numFmtId="0" fontId="81"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9" borderId="99">
      <alignment horizontal="left" vertical="center"/>
    </xf>
    <xf numFmtId="0" fontId="93" fillId="73" borderId="95" applyNumberFormat="0" applyAlignment="0" applyProtection="0"/>
    <xf numFmtId="0" fontId="31" fillId="0" borderId="98">
      <alignment horizontal="right" vertical="center"/>
    </xf>
    <xf numFmtId="4" fontId="31" fillId="0" borderId="98">
      <alignment horizontal="right" vertical="center"/>
    </xf>
    <xf numFmtId="0" fontId="31" fillId="0" borderId="98" applyNumberFormat="0" applyFill="0" applyAlignment="0" applyProtection="0"/>
    <xf numFmtId="0" fontId="97" fillId="86" borderId="102" applyNumberFormat="0" applyAlignment="0" applyProtection="0"/>
    <xf numFmtId="175" fontId="31" fillId="90" borderId="98" applyNumberFormat="0" applyFont="0" applyBorder="0" applyAlignment="0" applyProtection="0">
      <alignment horizontal="right" vertical="center"/>
    </xf>
    <xf numFmtId="0" fontId="31" fillId="16" borderId="98"/>
    <xf numFmtId="4" fontId="31" fillId="16" borderId="98"/>
    <xf numFmtId="0" fontId="100" fillId="0" borderId="96" applyNumberFormat="0" applyFill="0" applyAlignment="0" applyProtection="0"/>
    <xf numFmtId="0" fontId="32" fillId="89" borderId="97" applyNumberFormat="0" applyFont="0" applyAlignment="0" applyProtection="0"/>
    <xf numFmtId="0" fontId="75" fillId="89" borderId="97" applyNumberFormat="0" applyFont="0" applyAlignment="0" applyProtection="0"/>
    <xf numFmtId="0" fontId="31" fillId="0" borderId="98" applyNumberFormat="0" applyFill="0" applyAlignment="0" applyProtection="0"/>
    <xf numFmtId="0" fontId="85" fillId="0" borderId="96" applyNumberFormat="0" applyFill="0" applyAlignment="0" applyProtection="0"/>
    <xf numFmtId="0" fontId="100" fillId="0" borderId="96" applyNumberFormat="0" applyFill="0" applyAlignment="0" applyProtection="0"/>
    <xf numFmtId="0" fontId="84" fillId="73" borderId="95" applyNumberFormat="0" applyAlignment="0" applyProtection="0"/>
    <xf numFmtId="0" fontId="81" fillId="86" borderId="95" applyNumberFormat="0" applyAlignment="0" applyProtection="0"/>
    <xf numFmtId="4" fontId="71" fillId="9" borderId="98">
      <alignment horizontal="right" vertical="center"/>
    </xf>
    <xf numFmtId="0" fontId="27" fillId="9" borderId="98">
      <alignment horizontal="right" vertical="center"/>
    </xf>
    <xf numFmtId="175" fontId="31" fillId="90" borderId="98" applyNumberFormat="0" applyFont="0" applyBorder="0" applyAlignment="0" applyProtection="0">
      <alignment horizontal="right" vertical="center"/>
    </xf>
    <xf numFmtId="0" fontId="85" fillId="0" borderId="96" applyNumberFormat="0" applyFill="0" applyAlignment="0" applyProtection="0"/>
    <xf numFmtId="49" fontId="31" fillId="0" borderId="98" applyNumberFormat="0" applyFont="0" applyFill="0" applyBorder="0" applyProtection="0">
      <alignment horizontal="left" vertical="center" indent="2"/>
    </xf>
    <xf numFmtId="49" fontId="31" fillId="0" borderId="99" applyNumberFormat="0" applyFont="0" applyFill="0" applyBorder="0" applyProtection="0">
      <alignment horizontal="left" vertical="center" indent="5"/>
    </xf>
    <xf numFmtId="49" fontId="31" fillId="0" borderId="98" applyNumberFormat="0" applyFont="0" applyFill="0" applyBorder="0" applyProtection="0">
      <alignment horizontal="left" vertical="center" indent="2"/>
    </xf>
    <xf numFmtId="4" fontId="31" fillId="0" borderId="98" applyFill="0" applyBorder="0" applyProtection="0">
      <alignment horizontal="right" vertical="center"/>
    </xf>
    <xf numFmtId="49" fontId="29" fillId="0" borderId="98" applyNumberFormat="0" applyFill="0" applyBorder="0" applyProtection="0">
      <alignment horizontal="left" vertical="center"/>
    </xf>
    <xf numFmtId="0" fontId="31" fillId="0" borderId="101">
      <alignment horizontal="left" vertical="center" wrapText="1" indent="2"/>
    </xf>
    <xf numFmtId="0" fontId="97" fillId="86" borderId="102" applyNumberFormat="0" applyAlignment="0" applyProtection="0"/>
    <xf numFmtId="0" fontId="27" fillId="14" borderId="100">
      <alignment horizontal="right" vertical="center"/>
    </xf>
    <xf numFmtId="0" fontId="84" fillId="73" borderId="95" applyNumberFormat="0" applyAlignment="0" applyProtection="0"/>
    <xf numFmtId="0" fontId="27" fillId="14" borderId="100">
      <alignment horizontal="right" vertical="center"/>
    </xf>
    <xf numFmtId="4" fontId="27" fillId="14" borderId="98">
      <alignment horizontal="right" vertical="center"/>
    </xf>
    <xf numFmtId="0" fontId="27" fillId="14" borderId="98">
      <alignment horizontal="right" vertical="center"/>
    </xf>
    <xf numFmtId="0" fontId="78" fillId="86" borderId="102" applyNumberFormat="0" applyAlignment="0" applyProtection="0"/>
    <xf numFmtId="0" fontId="80" fillId="86" borderId="95" applyNumberFormat="0" applyAlignment="0" applyProtection="0"/>
    <xf numFmtId="0" fontId="85" fillId="0" borderId="96" applyNumberFormat="0" applyFill="0" applyAlignment="0" applyProtection="0"/>
    <xf numFmtId="0" fontId="31" fillId="16" borderId="98"/>
    <xf numFmtId="4" fontId="31" fillId="16" borderId="98"/>
    <xf numFmtId="4" fontId="27" fillId="14" borderId="98">
      <alignment horizontal="right" vertical="center"/>
    </xf>
    <xf numFmtId="0" fontId="71" fillId="9"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78" fillId="86" borderId="102" applyNumberFormat="0" applyAlignment="0" applyProtection="0"/>
    <xf numFmtId="0" fontId="97" fillId="86" borderId="102" applyNumberFormat="0" applyAlignment="0" applyProtection="0"/>
    <xf numFmtId="0" fontId="27" fillId="14" borderId="100">
      <alignment horizontal="right" vertical="center"/>
    </xf>
    <xf numFmtId="0" fontId="80" fillId="86" borderId="95" applyNumberFormat="0" applyAlignment="0" applyProtection="0"/>
    <xf numFmtId="4" fontId="27" fillId="14" borderId="98">
      <alignment horizontal="right" vertical="center"/>
    </xf>
    <xf numFmtId="4" fontId="31" fillId="16" borderId="98"/>
    <xf numFmtId="4" fontId="31" fillId="16" borderId="98"/>
    <xf numFmtId="0" fontId="27" fillId="14" borderId="98">
      <alignment horizontal="right" vertical="center"/>
    </xf>
    <xf numFmtId="0" fontId="27" fillId="14" borderId="98">
      <alignment horizontal="right" vertical="center"/>
    </xf>
    <xf numFmtId="0" fontId="31" fillId="16" borderId="98"/>
    <xf numFmtId="0" fontId="27" fillId="14" borderId="100">
      <alignment horizontal="right" vertical="center"/>
    </xf>
    <xf numFmtId="0" fontId="27" fillId="14" borderId="100">
      <alignment horizontal="right" vertical="center"/>
    </xf>
    <xf numFmtId="0" fontId="80" fillId="86" borderId="95" applyNumberFormat="0" applyAlignment="0" applyProtection="0"/>
    <xf numFmtId="0" fontId="27" fillId="14" borderId="99">
      <alignment horizontal="right" vertical="center"/>
    </xf>
    <xf numFmtId="0" fontId="31" fillId="0" borderId="98">
      <alignment horizontal="right" vertical="center"/>
    </xf>
    <xf numFmtId="4" fontId="31" fillId="0" borderId="98">
      <alignment horizontal="right" vertical="center"/>
    </xf>
    <xf numFmtId="0" fontId="100" fillId="0" borderId="96" applyNumberFormat="0" applyFill="0" applyAlignment="0" applyProtection="0"/>
    <xf numFmtId="0" fontId="81" fillId="86" borderId="95" applyNumberFormat="0" applyAlignment="0" applyProtection="0"/>
    <xf numFmtId="0" fontId="100" fillId="0" borderId="96" applyNumberFormat="0" applyFill="0" applyAlignment="0" applyProtection="0"/>
    <xf numFmtId="0" fontId="81" fillId="86" borderId="95" applyNumberFormat="0" applyAlignment="0" applyProtection="0"/>
    <xf numFmtId="49" fontId="29" fillId="0" borderId="98" applyNumberFormat="0" applyFill="0" applyBorder="0" applyProtection="0">
      <alignment horizontal="left" vertical="center"/>
    </xf>
    <xf numFmtId="0" fontId="75" fillId="89" borderId="97" applyNumberFormat="0" applyFont="0" applyAlignment="0" applyProtection="0"/>
    <xf numFmtId="0" fontId="27" fillId="9" borderId="98">
      <alignment horizontal="right" vertical="center"/>
    </xf>
    <xf numFmtId="0" fontId="27" fillId="14" borderId="98">
      <alignment horizontal="right" vertical="center"/>
    </xf>
    <xf numFmtId="0" fontId="81" fillId="86" borderId="95" applyNumberFormat="0" applyAlignment="0" applyProtection="0"/>
    <xf numFmtId="0" fontId="85" fillId="0" borderId="96" applyNumberFormat="0" applyFill="0" applyAlignment="0" applyProtection="0"/>
    <xf numFmtId="4" fontId="31" fillId="0" borderId="98" applyFill="0" applyBorder="0" applyProtection="0">
      <alignment horizontal="right" vertical="center"/>
    </xf>
    <xf numFmtId="0" fontId="10" fillId="0" borderId="58" applyNumberFormat="0" applyFill="0" applyAlignment="0" applyProtection="0"/>
    <xf numFmtId="0" fontId="31" fillId="14" borderId="101">
      <alignment horizontal="left" vertical="center" wrapText="1" indent="2"/>
    </xf>
    <xf numFmtId="0" fontId="10" fillId="0" borderId="58" applyNumberFormat="0" applyFill="0" applyAlignment="0" applyProtection="0"/>
    <xf numFmtId="0" fontId="2" fillId="59" borderId="0" applyNumberFormat="0" applyBorder="0" applyAlignment="0" applyProtection="0"/>
    <xf numFmtId="0" fontId="69" fillId="64" borderId="0" applyNumberFormat="0" applyBorder="0" applyAlignment="0" applyProtection="0"/>
    <xf numFmtId="4" fontId="27" fillId="14" borderId="98">
      <alignment horizontal="right" vertical="center"/>
    </xf>
    <xf numFmtId="0" fontId="93" fillId="73" borderId="95" applyNumberFormat="0" applyAlignment="0" applyProtection="0"/>
    <xf numFmtId="0" fontId="81" fillId="86" borderId="95" applyNumberFormat="0" applyAlignment="0" applyProtection="0"/>
    <xf numFmtId="0" fontId="80" fillId="86" borderId="95" applyNumberFormat="0" applyAlignment="0" applyProtection="0"/>
    <xf numFmtId="0" fontId="31" fillId="9" borderId="99">
      <alignment horizontal="left" vertical="center"/>
    </xf>
    <xf numFmtId="0" fontId="2" fillId="53" borderId="0" applyNumberFormat="0" applyBorder="0" applyAlignment="0" applyProtection="0"/>
    <xf numFmtId="0" fontId="27" fillId="14" borderId="98">
      <alignment horizontal="right" vertical="center"/>
    </xf>
    <xf numFmtId="0" fontId="68" fillId="0" borderId="0" applyNumberFormat="0" applyFill="0" applyBorder="0" applyAlignment="0" applyProtection="0"/>
    <xf numFmtId="0" fontId="69" fillId="49" borderId="0" applyNumberFormat="0" applyBorder="0" applyAlignment="0" applyProtection="0"/>
    <xf numFmtId="175" fontId="31" fillId="90" borderId="98" applyNumberFormat="0" applyFont="0" applyBorder="0" applyAlignment="0" applyProtection="0">
      <alignment horizontal="right" vertical="center"/>
    </xf>
    <xf numFmtId="0" fontId="66" fillId="46" borderId="56" applyNumberFormat="0" applyAlignment="0" applyProtection="0"/>
    <xf numFmtId="0" fontId="66" fillId="46" borderId="56" applyNumberFormat="0" applyAlignment="0" applyProtection="0"/>
    <xf numFmtId="0" fontId="31" fillId="0" borderId="101">
      <alignment horizontal="left" vertical="center" wrapText="1" indent="2"/>
    </xf>
    <xf numFmtId="175" fontId="31" fillId="90" borderId="98" applyNumberFormat="0" applyFont="0" applyBorder="0" applyAlignment="0" applyProtection="0">
      <alignment horizontal="right" vertical="center"/>
    </xf>
    <xf numFmtId="4" fontId="31" fillId="0" borderId="98" applyFill="0" applyBorder="0" applyProtection="0">
      <alignment horizontal="right" vertical="center"/>
    </xf>
    <xf numFmtId="0" fontId="68" fillId="0" borderId="0" applyNumberFormat="0" applyFill="0" applyBorder="0" applyAlignment="0" applyProtection="0"/>
    <xf numFmtId="0" fontId="93" fillId="73" borderId="95" applyNumberFormat="0" applyAlignment="0" applyProtection="0"/>
    <xf numFmtId="0" fontId="31" fillId="0" borderId="101">
      <alignment horizontal="left" vertical="center" wrapText="1" indent="2"/>
    </xf>
    <xf numFmtId="0" fontId="31" fillId="16" borderId="98"/>
    <xf numFmtId="0" fontId="31" fillId="0" borderId="98">
      <alignment horizontal="right" vertical="center"/>
    </xf>
    <xf numFmtId="0" fontId="31" fillId="16" borderId="98"/>
    <xf numFmtId="0" fontId="75" fillId="89" borderId="97" applyNumberFormat="0" applyFon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81" fillId="86" borderId="95" applyNumberFormat="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97" fillId="86" borderId="102" applyNumberFormat="0" applyAlignment="0" applyProtection="0"/>
    <xf numFmtId="0" fontId="2" fillId="50" borderId="0" applyNumberFormat="0" applyBorder="0" applyAlignment="0" applyProtection="0"/>
    <xf numFmtId="0" fontId="10" fillId="0" borderId="58" applyNumberFormat="0" applyFill="0" applyAlignment="0" applyProtection="0"/>
    <xf numFmtId="0" fontId="71" fillId="9" borderId="98">
      <alignment horizontal="right" vertical="center"/>
    </xf>
    <xf numFmtId="0" fontId="2" fillId="63" borderId="0" applyNumberFormat="0" applyBorder="0" applyAlignment="0" applyProtection="0"/>
    <xf numFmtId="0" fontId="84" fillId="73" borderId="95" applyNumberFormat="0" applyAlignment="0" applyProtection="0"/>
    <xf numFmtId="4" fontId="71" fillId="9" borderId="98">
      <alignment horizontal="right" vertical="center"/>
    </xf>
    <xf numFmtId="0" fontId="84" fillId="73" borderId="95" applyNumberFormat="0" applyAlignment="0" applyProtection="0"/>
    <xf numFmtId="0" fontId="69" fillId="58" borderId="0" applyNumberFormat="0" applyBorder="0" applyAlignment="0" applyProtection="0"/>
    <xf numFmtId="0" fontId="80" fillId="86" borderId="95" applyNumberFormat="0" applyAlignment="0" applyProtection="0"/>
    <xf numFmtId="0" fontId="78" fillId="86" borderId="102" applyNumberFormat="0" applyAlignment="0" applyProtection="0"/>
    <xf numFmtId="0" fontId="2" fillId="54" borderId="0" applyNumberFormat="0" applyBorder="0" applyAlignment="0" applyProtection="0"/>
    <xf numFmtId="0" fontId="31" fillId="16" borderId="98"/>
    <xf numFmtId="0" fontId="27" fillId="14" borderId="98">
      <alignment horizontal="right" vertical="center"/>
    </xf>
    <xf numFmtId="0" fontId="71" fillId="9" borderId="98">
      <alignment horizontal="right" vertical="center"/>
    </xf>
    <xf numFmtId="0" fontId="97" fillId="86" borderId="102" applyNumberFormat="0" applyAlignment="0" applyProtection="0"/>
    <xf numFmtId="4" fontId="27" fillId="9" borderId="98">
      <alignment horizontal="right" vertical="center"/>
    </xf>
    <xf numFmtId="0" fontId="2" fillId="63" borderId="0" applyNumberFormat="0" applyBorder="0" applyAlignment="0" applyProtection="0"/>
    <xf numFmtId="0" fontId="85" fillId="0" borderId="96" applyNumberFormat="0" applyFill="0" applyAlignment="0" applyProtection="0"/>
    <xf numFmtId="0" fontId="85" fillId="0" borderId="96" applyNumberFormat="0" applyFill="0" applyAlignment="0" applyProtection="0"/>
    <xf numFmtId="0" fontId="97" fillId="86" borderId="102" applyNumberFormat="0" applyAlignment="0" applyProtection="0"/>
    <xf numFmtId="4" fontId="31" fillId="16" borderId="98"/>
    <xf numFmtId="0" fontId="69" fillId="52" borderId="0" applyNumberFormat="0" applyBorder="0" applyAlignment="0" applyProtection="0"/>
    <xf numFmtId="0" fontId="2" fillId="50" borderId="0" applyNumberFormat="0" applyBorder="0" applyAlignment="0" applyProtection="0"/>
    <xf numFmtId="0" fontId="27" fillId="14" borderId="100">
      <alignment horizontal="right" vertical="center"/>
    </xf>
    <xf numFmtId="0" fontId="67" fillId="0" borderId="0" applyNumberFormat="0" applyFill="0" applyBorder="0" applyAlignment="0" applyProtection="0"/>
    <xf numFmtId="0" fontId="78" fillId="86" borderId="102" applyNumberFormat="0" applyAlignment="0" applyProtection="0"/>
    <xf numFmtId="0" fontId="27" fillId="9" borderId="98">
      <alignment horizontal="right" vertical="center"/>
    </xf>
    <xf numFmtId="4" fontId="31" fillId="0" borderId="98">
      <alignment horizontal="right" vertical="center"/>
    </xf>
    <xf numFmtId="0" fontId="2" fillId="57" borderId="0" applyNumberFormat="0" applyBorder="0" applyAlignment="0" applyProtection="0"/>
    <xf numFmtId="49" fontId="31" fillId="0" borderId="98" applyNumberFormat="0" applyFont="0" applyFill="0" applyBorder="0" applyProtection="0">
      <alignment horizontal="left" vertical="center" indent="2"/>
    </xf>
    <xf numFmtId="0" fontId="31" fillId="14" borderId="101">
      <alignment horizontal="left" vertical="center" wrapText="1" indent="2"/>
    </xf>
    <xf numFmtId="0" fontId="27" fillId="14" borderId="99">
      <alignment horizontal="right" vertical="center"/>
    </xf>
    <xf numFmtId="4" fontId="31" fillId="16" borderId="98"/>
    <xf numFmtId="0" fontId="75" fillId="89" borderId="97" applyNumberFormat="0" applyFont="0" applyAlignment="0" applyProtection="0"/>
    <xf numFmtId="0" fontId="69" fillId="55" borderId="0" applyNumberFormat="0" applyBorder="0" applyAlignment="0" applyProtection="0"/>
    <xf numFmtId="4" fontId="27" fillId="14" borderId="98">
      <alignment horizontal="right" vertical="center"/>
    </xf>
    <xf numFmtId="0" fontId="69" fillId="49" borderId="0" applyNumberFormat="0" applyBorder="0" applyAlignment="0" applyProtection="0"/>
    <xf numFmtId="0" fontId="93" fillId="73" borderId="95" applyNumberFormat="0" applyAlignment="0" applyProtection="0"/>
    <xf numFmtId="0" fontId="78" fillId="86" borderId="102" applyNumberFormat="0" applyAlignment="0" applyProtection="0"/>
    <xf numFmtId="0" fontId="100" fillId="0" borderId="96" applyNumberFormat="0" applyFill="0" applyAlignment="0" applyProtection="0"/>
    <xf numFmtId="4" fontId="27" fillId="14" borderId="99">
      <alignment horizontal="right" vertical="center"/>
    </xf>
    <xf numFmtId="0" fontId="2" fillId="51" borderId="0" applyNumberFormat="0" applyBorder="0" applyAlignment="0" applyProtection="0"/>
    <xf numFmtId="4" fontId="71" fillId="9" borderId="98">
      <alignment horizontal="right" vertical="center"/>
    </xf>
    <xf numFmtId="0" fontId="27" fillId="14" borderId="98">
      <alignment horizontal="right" vertical="center"/>
    </xf>
    <xf numFmtId="0" fontId="69"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80" fillId="86" borderId="95" applyNumberFormat="0" applyAlignment="0" applyProtection="0"/>
    <xf numFmtId="0" fontId="69" fillId="58" borderId="0" applyNumberFormat="0" applyBorder="0" applyAlignment="0" applyProtection="0"/>
    <xf numFmtId="0" fontId="27" fillId="9" borderId="98">
      <alignment horizontal="right" vertical="center"/>
    </xf>
    <xf numFmtId="0" fontId="81" fillId="86" borderId="95" applyNumberFormat="0" applyAlignment="0" applyProtection="0"/>
    <xf numFmtId="4" fontId="31" fillId="0" borderId="98" applyFill="0" applyBorder="0" applyProtection="0">
      <alignment horizontal="right" vertical="center"/>
    </xf>
    <xf numFmtId="0" fontId="31" fillId="14" borderId="101">
      <alignment horizontal="left" vertical="center" wrapText="1" indent="2"/>
    </xf>
    <xf numFmtId="4" fontId="31" fillId="16" borderId="98"/>
    <xf numFmtId="0" fontId="65" fillId="46" borderId="57" applyNumberFormat="0" applyAlignment="0" applyProtection="0"/>
    <xf numFmtId="0" fontId="81" fillId="86" borderId="95" applyNumberFormat="0" applyAlignment="0" applyProtection="0"/>
    <xf numFmtId="0" fontId="81" fillId="86" borderId="95" applyNumberFormat="0" applyAlignment="0" applyProtection="0"/>
    <xf numFmtId="0" fontId="2" fillId="48" borderId="0" applyNumberFormat="0" applyBorder="0" applyAlignment="0" applyProtection="0"/>
    <xf numFmtId="0" fontId="84" fillId="73" borderId="95" applyNumberFormat="0" applyAlignment="0" applyProtection="0"/>
    <xf numFmtId="49" fontId="29" fillId="0" borderId="98" applyNumberFormat="0" applyFill="0" applyBorder="0" applyProtection="0">
      <alignment horizontal="left" vertical="center"/>
    </xf>
    <xf numFmtId="0" fontId="31" fillId="0" borderId="101">
      <alignment horizontal="left" vertical="center" wrapText="1" indent="2"/>
    </xf>
    <xf numFmtId="0" fontId="31" fillId="14" borderId="101">
      <alignment horizontal="left" vertical="center" wrapText="1" indent="2"/>
    </xf>
    <xf numFmtId="0" fontId="75" fillId="89" borderId="97" applyNumberFormat="0" applyFont="0" applyAlignment="0" applyProtection="0"/>
    <xf numFmtId="0" fontId="27" fillId="14" borderId="98">
      <alignment horizontal="right" vertical="center"/>
    </xf>
    <xf numFmtId="0" fontId="27" fillId="14" borderId="98">
      <alignment horizontal="right" vertical="center"/>
    </xf>
    <xf numFmtId="0" fontId="81" fillId="86" borderId="95" applyNumberFormat="0" applyAlignment="0" applyProtection="0"/>
    <xf numFmtId="0" fontId="69" fillId="55" borderId="0" applyNumberFormat="0" applyBorder="0" applyAlignment="0" applyProtection="0"/>
    <xf numFmtId="175" fontId="31" fillId="90" borderId="98" applyNumberFormat="0" applyFont="0" applyBorder="0" applyAlignment="0" applyProtection="0">
      <alignment horizontal="right" vertical="center"/>
    </xf>
    <xf numFmtId="0" fontId="2" fillId="60" borderId="0" applyNumberFormat="0" applyBorder="0" applyAlignment="0" applyProtection="0"/>
    <xf numFmtId="0" fontId="81" fillId="86" borderId="95" applyNumberFormat="0" applyAlignment="0" applyProtection="0"/>
    <xf numFmtId="0" fontId="97" fillId="86" borderId="102" applyNumberFormat="0" applyAlignment="0" applyProtection="0"/>
    <xf numFmtId="0" fontId="100" fillId="0" borderId="96" applyNumberFormat="0" applyFill="0" applyAlignment="0" applyProtection="0"/>
    <xf numFmtId="0" fontId="93" fillId="73" borderId="95" applyNumberFormat="0" applyAlignment="0" applyProtection="0"/>
    <xf numFmtId="0" fontId="27" fillId="9" borderId="98">
      <alignment horizontal="right" vertical="center"/>
    </xf>
    <xf numFmtId="0" fontId="69" fillId="49" borderId="0" applyNumberFormat="0" applyBorder="0" applyAlignment="0" applyProtection="0"/>
    <xf numFmtId="0" fontId="97" fillId="86" borderId="102" applyNumberFormat="0" applyAlignment="0" applyProtection="0"/>
    <xf numFmtId="0" fontId="2" fillId="54" borderId="0" applyNumberFormat="0" applyBorder="0" applyAlignment="0" applyProtection="0"/>
    <xf numFmtId="4" fontId="71" fillId="9" borderId="98">
      <alignment horizontal="right" vertical="center"/>
    </xf>
    <xf numFmtId="4" fontId="27" fillId="9" borderId="98">
      <alignment horizontal="right" vertical="center"/>
    </xf>
    <xf numFmtId="0" fontId="31" fillId="0" borderId="98" applyNumberFormat="0" applyFill="0" applyAlignment="0" applyProtection="0"/>
    <xf numFmtId="4" fontId="27" fillId="9" borderId="98">
      <alignment horizontal="right" vertical="center"/>
    </xf>
    <xf numFmtId="0" fontId="10" fillId="0" borderId="58" applyNumberFormat="0" applyFill="0" applyAlignment="0" applyProtection="0"/>
    <xf numFmtId="0" fontId="81" fillId="86" borderId="95" applyNumberFormat="0" applyAlignment="0" applyProtection="0"/>
    <xf numFmtId="0" fontId="2" fillId="56" borderId="0" applyNumberFormat="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98" applyNumberFormat="0" applyFill="0" applyAlignment="0" applyProtection="0"/>
    <xf numFmtId="4" fontId="27" fillId="14" borderId="98">
      <alignment horizontal="right" vertical="center"/>
    </xf>
    <xf numFmtId="0" fontId="75" fillId="89" borderId="97" applyNumberFormat="0" applyFont="0" applyAlignment="0" applyProtection="0"/>
    <xf numFmtId="4" fontId="27" fillId="14" borderId="98">
      <alignment horizontal="right" vertical="center"/>
    </xf>
    <xf numFmtId="4" fontId="27" fillId="14" borderId="98">
      <alignment horizontal="right" vertical="center"/>
    </xf>
    <xf numFmtId="0" fontId="31" fillId="0" borderId="98">
      <alignment horizontal="right" vertical="center"/>
    </xf>
    <xf numFmtId="4" fontId="31" fillId="0" borderId="98">
      <alignment horizontal="right" vertical="center"/>
    </xf>
    <xf numFmtId="0" fontId="85" fillId="0" borderId="96" applyNumberFormat="0" applyFill="0" applyAlignment="0" applyProtection="0"/>
    <xf numFmtId="0" fontId="75" fillId="89" borderId="97" applyNumberFormat="0" applyFont="0" applyAlignment="0" applyProtection="0"/>
    <xf numFmtId="0" fontId="31" fillId="0" borderId="98" applyNumberFormat="0" applyFill="0" applyAlignment="0" applyProtection="0"/>
    <xf numFmtId="0" fontId="27" fillId="14" borderId="100">
      <alignment horizontal="right" vertical="center"/>
    </xf>
    <xf numFmtId="4" fontId="27" fillId="14" borderId="98">
      <alignment horizontal="right" vertical="center"/>
    </xf>
    <xf numFmtId="0" fontId="81" fillId="86" borderId="95" applyNumberFormat="0" applyAlignment="0" applyProtection="0"/>
    <xf numFmtId="0" fontId="27" fillId="14" borderId="98">
      <alignment horizontal="right" vertical="center"/>
    </xf>
    <xf numFmtId="4" fontId="31" fillId="16" borderId="98"/>
    <xf numFmtId="0" fontId="84" fillId="73" borderId="95" applyNumberFormat="0" applyAlignment="0" applyProtection="0"/>
    <xf numFmtId="0" fontId="81" fillId="86" borderId="95" applyNumberFormat="0" applyAlignment="0" applyProtection="0"/>
    <xf numFmtId="0" fontId="100" fillId="0" borderId="96" applyNumberFormat="0" applyFill="0" applyAlignment="0" applyProtection="0"/>
    <xf numFmtId="0" fontId="31" fillId="9" borderId="99">
      <alignment horizontal="left" vertical="center"/>
    </xf>
    <xf numFmtId="0" fontId="84" fillId="73" borderId="95" applyNumberFormat="0" applyAlignment="0" applyProtection="0"/>
    <xf numFmtId="0" fontId="31" fillId="0" borderId="98" applyNumberFormat="0" applyFill="0" applyAlignment="0" applyProtection="0"/>
    <xf numFmtId="0" fontId="2" fillId="63" borderId="0" applyNumberFormat="0" applyBorder="0" applyAlignment="0" applyProtection="0"/>
    <xf numFmtId="0" fontId="31" fillId="0" borderId="98">
      <alignment horizontal="right" vertical="center"/>
    </xf>
    <xf numFmtId="0" fontId="31" fillId="9" borderId="99">
      <alignment horizontal="left" vertical="center"/>
    </xf>
    <xf numFmtId="4" fontId="27" fillId="14" borderId="100">
      <alignment horizontal="right" vertical="center"/>
    </xf>
    <xf numFmtId="49" fontId="29" fillId="0" borderId="98" applyNumberFormat="0" applyFill="0" applyBorder="0" applyProtection="0">
      <alignment horizontal="left" vertical="center"/>
    </xf>
    <xf numFmtId="0" fontId="97" fillId="86" borderId="102" applyNumberFormat="0" applyAlignment="0" applyProtection="0"/>
    <xf numFmtId="0" fontId="69" fillId="64" borderId="0" applyNumberFormat="0" applyBorder="0" applyAlignment="0" applyProtection="0"/>
    <xf numFmtId="0" fontId="2" fillId="62" borderId="0" applyNumberFormat="0" applyBorder="0" applyAlignment="0" applyProtection="0"/>
    <xf numFmtId="0" fontId="80" fillId="86" borderId="95" applyNumberFormat="0" applyAlignment="0" applyProtection="0"/>
    <xf numFmtId="0" fontId="93" fillId="73" borderId="95" applyNumberFormat="0" applyAlignment="0" applyProtection="0"/>
    <xf numFmtId="4" fontId="71" fillId="9" borderId="98">
      <alignment horizontal="right" vertical="center"/>
    </xf>
    <xf numFmtId="0" fontId="2" fillId="57" borderId="0" applyNumberFormat="0" applyBorder="0" applyAlignment="0" applyProtection="0"/>
    <xf numFmtId="0" fontId="27" fillId="14" borderId="99">
      <alignment horizontal="right" vertical="center"/>
    </xf>
    <xf numFmtId="0" fontId="31" fillId="14" borderId="101">
      <alignment horizontal="left" vertical="center" wrapText="1" indent="2"/>
    </xf>
    <xf numFmtId="0" fontId="80" fillId="86" borderId="95" applyNumberFormat="0" applyAlignment="0" applyProtection="0"/>
    <xf numFmtId="0" fontId="2" fillId="63" borderId="0" applyNumberFormat="0" applyBorder="0" applyAlignment="0" applyProtection="0"/>
    <xf numFmtId="4" fontId="27" fillId="14" borderId="99">
      <alignment horizontal="right" vertical="center"/>
    </xf>
    <xf numFmtId="0" fontId="32" fillId="89" borderId="97" applyNumberFormat="0" applyFont="0" applyAlignment="0" applyProtection="0"/>
    <xf numFmtId="0" fontId="2" fillId="62" borderId="0" applyNumberFormat="0" applyBorder="0" applyAlignment="0" applyProtection="0"/>
    <xf numFmtId="0" fontId="27" fillId="9" borderId="98">
      <alignment horizontal="right" vertical="center"/>
    </xf>
    <xf numFmtId="0" fontId="2" fillId="56" borderId="0" applyNumberFormat="0" applyBorder="0" applyAlignment="0" applyProtection="0"/>
    <xf numFmtId="0" fontId="93" fillId="73" borderId="95" applyNumberFormat="0" applyAlignment="0" applyProtection="0"/>
    <xf numFmtId="4" fontId="27" fillId="14" borderId="99">
      <alignment horizontal="right" vertical="center"/>
    </xf>
    <xf numFmtId="4" fontId="27" fillId="14" borderId="98">
      <alignment horizontal="right" vertical="center"/>
    </xf>
    <xf numFmtId="0" fontId="27" fillId="9" borderId="98">
      <alignment horizontal="right" vertical="center"/>
    </xf>
    <xf numFmtId="0" fontId="84" fillId="73" borderId="95" applyNumberFormat="0" applyAlignment="0" applyProtection="0"/>
    <xf numFmtId="0" fontId="2" fillId="54" borderId="0" applyNumberFormat="0" applyBorder="0" applyAlignment="0" applyProtection="0"/>
    <xf numFmtId="0" fontId="66" fillId="46" borderId="56" applyNumberFormat="0" applyAlignment="0" applyProtection="0"/>
    <xf numFmtId="0" fontId="85" fillId="0" borderId="96" applyNumberFormat="0" applyFill="0" applyAlignment="0" applyProtection="0"/>
    <xf numFmtId="0" fontId="71" fillId="9" borderId="98">
      <alignment horizontal="right" vertical="center"/>
    </xf>
    <xf numFmtId="0" fontId="97" fillId="86" borderId="102" applyNumberFormat="0" applyAlignment="0" applyProtection="0"/>
    <xf numFmtId="0" fontId="100" fillId="0" borderId="96" applyNumberFormat="0" applyFill="0" applyAlignment="0" applyProtection="0"/>
    <xf numFmtId="0" fontId="2" fillId="53" borderId="0" applyNumberFormat="0" applyBorder="0" applyAlignment="0" applyProtection="0"/>
    <xf numFmtId="175" fontId="31" fillId="90" borderId="98" applyNumberFormat="0" applyFont="0" applyBorder="0" applyAlignment="0" applyProtection="0">
      <alignment horizontal="right" vertical="center"/>
    </xf>
    <xf numFmtId="0" fontId="2" fillId="51" borderId="0" applyNumberFormat="0" applyBorder="0" applyAlignment="0" applyProtection="0"/>
    <xf numFmtId="0" fontId="2" fillId="56" borderId="0" applyNumberFormat="0" applyBorder="0" applyAlignment="0" applyProtection="0"/>
    <xf numFmtId="0" fontId="69" fillId="61" borderId="0" applyNumberFormat="0" applyBorder="0" applyAlignment="0" applyProtection="0"/>
    <xf numFmtId="0" fontId="85" fillId="0" borderId="96" applyNumberFormat="0" applyFill="0" applyAlignment="0" applyProtection="0"/>
    <xf numFmtId="0" fontId="31" fillId="0" borderId="98">
      <alignment horizontal="right" vertical="center"/>
    </xf>
    <xf numFmtId="0" fontId="32" fillId="89" borderId="97" applyNumberFormat="0" applyFont="0" applyAlignment="0" applyProtection="0"/>
    <xf numFmtId="0" fontId="81" fillId="86" borderId="95" applyNumberFormat="0" applyAlignment="0" applyProtection="0"/>
    <xf numFmtId="0" fontId="100" fillId="0" borderId="96" applyNumberFormat="0" applyFill="0" applyAlignment="0" applyProtection="0"/>
    <xf numFmtId="0" fontId="2" fillId="48" borderId="0" applyNumberFormat="0" applyBorder="0" applyAlignment="0" applyProtection="0"/>
    <xf numFmtId="0" fontId="75" fillId="89" borderId="97" applyNumberFormat="0" applyFont="0" applyAlignment="0" applyProtection="0"/>
    <xf numFmtId="0" fontId="69" fillId="58" borderId="0" applyNumberFormat="0" applyBorder="0" applyAlignment="0" applyProtection="0"/>
    <xf numFmtId="0" fontId="31" fillId="0" borderId="98" applyNumberFormat="0" applyFill="0" applyAlignment="0" applyProtection="0"/>
    <xf numFmtId="0" fontId="2" fillId="57" borderId="0" applyNumberFormat="0" applyBorder="0" applyAlignment="0" applyProtection="0"/>
    <xf numFmtId="4" fontId="31" fillId="0" borderId="98" applyFill="0" applyBorder="0" applyProtection="0">
      <alignment horizontal="right" vertical="center"/>
    </xf>
    <xf numFmtId="0" fontId="2" fillId="47" borderId="0" applyNumberFormat="0" applyBorder="0" applyAlignment="0" applyProtection="0"/>
    <xf numFmtId="0" fontId="100" fillId="0" borderId="96" applyNumberFormat="0" applyFill="0" applyAlignment="0" applyProtection="0"/>
    <xf numFmtId="0" fontId="2" fillId="60" borderId="0" applyNumberFormat="0" applyBorder="0" applyAlignment="0" applyProtection="0"/>
    <xf numFmtId="0" fontId="71" fillId="9" borderId="98">
      <alignment horizontal="right" vertical="center"/>
    </xf>
    <xf numFmtId="0" fontId="84" fillId="73" borderId="95" applyNumberFormat="0" applyAlignment="0" applyProtection="0"/>
    <xf numFmtId="175" fontId="31" fillId="90" borderId="98" applyNumberFormat="0" applyFont="0" applyBorder="0" applyAlignment="0" applyProtection="0">
      <alignment horizontal="right" vertical="center"/>
    </xf>
    <xf numFmtId="0" fontId="84" fillId="73" borderId="95" applyNumberFormat="0" applyAlignment="0" applyProtection="0"/>
    <xf numFmtId="4" fontId="31" fillId="0" borderId="98">
      <alignment horizontal="right" vertical="center"/>
    </xf>
    <xf numFmtId="49" fontId="31" fillId="0" borderId="98" applyNumberFormat="0" applyFont="0" applyFill="0" applyBorder="0" applyProtection="0">
      <alignment horizontal="left" vertical="center" indent="2"/>
    </xf>
    <xf numFmtId="175" fontId="31" fillId="90" borderId="98" applyNumberFormat="0" applyFont="0" applyBorder="0" applyAlignment="0" applyProtection="0">
      <alignment horizontal="right" vertical="center"/>
    </xf>
    <xf numFmtId="0" fontId="93" fillId="73" borderId="95" applyNumberFormat="0" applyAlignment="0" applyProtection="0"/>
    <xf numFmtId="49" fontId="29" fillId="0" borderId="98" applyNumberFormat="0" applyFill="0" applyBorder="0" applyProtection="0">
      <alignment horizontal="left" vertical="center"/>
    </xf>
    <xf numFmtId="4" fontId="27" fillId="14" borderId="98">
      <alignment horizontal="right" vertical="center"/>
    </xf>
    <xf numFmtId="0" fontId="84" fillId="73" borderId="95" applyNumberFormat="0" applyAlignment="0" applyProtection="0"/>
    <xf numFmtId="0" fontId="81" fillId="86" borderId="95" applyNumberFormat="0" applyAlignment="0" applyProtection="0"/>
    <xf numFmtId="4" fontId="31" fillId="0" borderId="98">
      <alignment horizontal="right" vertical="center"/>
    </xf>
    <xf numFmtId="0" fontId="31" fillId="14" borderId="101">
      <alignment horizontal="left" vertical="center" wrapText="1" indent="2"/>
    </xf>
    <xf numFmtId="0" fontId="31" fillId="0" borderId="101">
      <alignment horizontal="left" vertical="center" wrapText="1" indent="2"/>
    </xf>
    <xf numFmtId="0" fontId="97" fillId="86" borderId="102" applyNumberFormat="0" applyAlignment="0" applyProtection="0"/>
    <xf numFmtId="0" fontId="93" fillId="73" borderId="95" applyNumberFormat="0" applyAlignment="0" applyProtection="0"/>
    <xf numFmtId="0" fontId="80" fillId="86" borderId="95" applyNumberFormat="0" applyAlignment="0" applyProtection="0"/>
    <xf numFmtId="0" fontId="78" fillId="86" borderId="102" applyNumberFormat="0" applyAlignment="0" applyProtection="0"/>
    <xf numFmtId="0" fontId="27" fillId="14" borderId="100">
      <alignment horizontal="right" vertical="center"/>
    </xf>
    <xf numFmtId="0" fontId="71" fillId="9" borderId="98">
      <alignment horizontal="right" vertical="center"/>
    </xf>
    <xf numFmtId="4" fontId="27" fillId="9" borderId="98">
      <alignment horizontal="right" vertical="center"/>
    </xf>
    <xf numFmtId="4" fontId="27" fillId="14" borderId="98">
      <alignment horizontal="right" vertical="center"/>
    </xf>
    <xf numFmtId="49" fontId="31" fillId="0" borderId="99" applyNumberFormat="0" applyFont="0" applyFill="0" applyBorder="0" applyProtection="0">
      <alignment horizontal="left" vertical="center" indent="5"/>
    </xf>
    <xf numFmtId="4" fontId="31" fillId="0" borderId="98" applyFill="0" applyBorder="0" applyProtection="0">
      <alignment horizontal="right" vertical="center"/>
    </xf>
    <xf numFmtId="4" fontId="27" fillId="9" borderId="98">
      <alignment horizontal="right" vertical="center"/>
    </xf>
    <xf numFmtId="0" fontId="93" fillId="73" borderId="95" applyNumberFormat="0" applyAlignment="0" applyProtection="0"/>
    <xf numFmtId="0" fontId="84" fillId="73" borderId="95" applyNumberFormat="0" applyAlignment="0" applyProtection="0"/>
    <xf numFmtId="0" fontId="80" fillId="86" borderId="95" applyNumberFormat="0" applyAlignment="0" applyProtection="0"/>
    <xf numFmtId="0" fontId="31" fillId="14" borderId="101">
      <alignment horizontal="left" vertical="center" wrapText="1" indent="2"/>
    </xf>
    <xf numFmtId="0" fontId="31" fillId="0" borderId="101">
      <alignment horizontal="left" vertical="center" wrapText="1" indent="2"/>
    </xf>
    <xf numFmtId="0" fontId="31" fillId="14" borderId="101">
      <alignment horizontal="left" vertical="center" wrapText="1" indent="2"/>
    </xf>
    <xf numFmtId="0" fontId="69" fillId="49" borderId="0" applyNumberFormat="0" applyBorder="0" applyAlignment="0" applyProtection="0"/>
    <xf numFmtId="0" fontId="69"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68" fillId="0" borderId="0" applyNumberFormat="0" applyFill="0" applyBorder="0" applyAlignment="0" applyProtection="0"/>
    <xf numFmtId="0" fontId="69" fillId="58" borderId="0" applyNumberFormat="0" applyBorder="0" applyAlignment="0" applyProtection="0"/>
    <xf numFmtId="0" fontId="2" fillId="63" borderId="0" applyNumberFormat="0" applyBorder="0" applyAlignment="0" applyProtection="0"/>
    <xf numFmtId="0" fontId="69" fillId="55" borderId="0" applyNumberFormat="0" applyBorder="0" applyAlignment="0" applyProtection="0"/>
    <xf numFmtId="0" fontId="69" fillId="52" borderId="0" applyNumberFormat="0" applyBorder="0" applyAlignment="0" applyProtection="0"/>
    <xf numFmtId="0" fontId="65"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67"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6" fillId="46" borderId="56" applyNumberFormat="0" applyAlignment="0" applyProtection="0"/>
    <xf numFmtId="0" fontId="2" fillId="51" borderId="0" applyNumberFormat="0" applyBorder="0" applyAlignment="0" applyProtection="0"/>
    <xf numFmtId="0" fontId="69" fillId="61" borderId="0" applyNumberFormat="0" applyBorder="0" applyAlignment="0" applyProtection="0"/>
  </cellStyleXfs>
  <cellXfs count="468">
    <xf numFmtId="0" fontId="0" fillId="0" borderId="0" xfId="0"/>
    <xf numFmtId="0" fontId="0" fillId="0" borderId="0" xfId="0" applyAlignment="1">
      <alignment wrapText="1"/>
    </xf>
    <xf numFmtId="0" fontId="11" fillId="0" borderId="0" xfId="0" applyFont="1" applyAlignment="1">
      <alignment wrapText="1"/>
    </xf>
    <xf numFmtId="0" fontId="10" fillId="0" borderId="0" xfId="0" applyFont="1" applyAlignment="1">
      <alignment wrapText="1"/>
    </xf>
    <xf numFmtId="0" fontId="12" fillId="0" borderId="0" xfId="0" applyFont="1" applyAlignment="1">
      <alignment wrapText="1"/>
    </xf>
    <xf numFmtId="1" fontId="0" fillId="0" borderId="0" xfId="0" applyNumberFormat="1" applyAlignment="1">
      <alignment wrapText="1"/>
    </xf>
    <xf numFmtId="49" fontId="11" fillId="0" borderId="0" xfId="0" applyNumberFormat="1" applyFont="1" applyAlignment="1">
      <alignment wrapText="1"/>
    </xf>
    <xf numFmtId="0" fontId="0" fillId="0" borderId="1" xfId="0" applyBorder="1"/>
    <xf numFmtId="0" fontId="18" fillId="0" borderId="0" xfId="3"/>
    <xf numFmtId="0" fontId="10" fillId="0" borderId="0" xfId="0" applyFont="1"/>
    <xf numFmtId="0" fontId="10"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6" fillId="0" borderId="0" xfId="0" applyFont="1"/>
    <xf numFmtId="11" fontId="0" fillId="0" borderId="0" xfId="0" applyNumberFormat="1"/>
    <xf numFmtId="166" fontId="0" fillId="0" borderId="0" xfId="0" applyNumberFormat="1"/>
    <xf numFmtId="0" fontId="20"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1" fillId="6" borderId="9" xfId="0" applyFont="1" applyFill="1" applyBorder="1" applyAlignment="1">
      <alignment horizontal="left" wrapText="1"/>
    </xf>
    <xf numFmtId="0" fontId="21" fillId="6" borderId="10" xfId="0" applyFont="1" applyFill="1" applyBorder="1" applyAlignment="1">
      <alignment horizontal="left" wrapText="1"/>
    </xf>
    <xf numFmtId="0" fontId="22" fillId="0" borderId="0" xfId="0" applyFont="1" applyAlignment="1">
      <alignment horizontal="left"/>
    </xf>
    <xf numFmtId="0" fontId="23" fillId="0" borderId="11" xfId="0" applyFont="1" applyBorder="1" applyAlignment="1">
      <alignment horizontal="left" wrapText="1"/>
    </xf>
    <xf numFmtId="167" fontId="24" fillId="0" borderId="12" xfId="0" applyNumberFormat="1" applyFont="1" applyBorder="1" applyAlignment="1">
      <alignment horizontal="center" wrapText="1"/>
    </xf>
    <xf numFmtId="167" fontId="24" fillId="0" borderId="13" xfId="0" applyNumberFormat="1" applyFont="1" applyBorder="1" applyAlignment="1">
      <alignment horizontal="center" wrapText="1"/>
    </xf>
    <xf numFmtId="0" fontId="23" fillId="0" borderId="14" xfId="0" applyFont="1" applyBorder="1" applyAlignment="1">
      <alignment horizontal="left" wrapText="1"/>
    </xf>
    <xf numFmtId="167" fontId="24" fillId="0" borderId="15" xfId="0" applyNumberFormat="1" applyFont="1" applyBorder="1" applyAlignment="1">
      <alignment horizontal="center" wrapText="1"/>
    </xf>
    <xf numFmtId="167" fontId="24" fillId="0" borderId="16" xfId="0" applyNumberFormat="1" applyFont="1" applyBorder="1" applyAlignment="1">
      <alignment horizontal="center" wrapText="1"/>
    </xf>
    <xf numFmtId="0" fontId="25" fillId="0" borderId="0" xfId="0" applyFont="1" applyAlignment="1">
      <alignment horizontal="left"/>
    </xf>
    <xf numFmtId="16" fontId="0" fillId="0" borderId="0" xfId="0" applyNumberFormat="1"/>
    <xf numFmtId="0" fontId="23" fillId="0" borderId="17" xfId="0" applyFont="1" applyBorder="1" applyAlignment="1">
      <alignment horizontal="left" wrapText="1"/>
    </xf>
    <xf numFmtId="167" fontId="24" fillId="0" borderId="18" xfId="0" applyNumberFormat="1" applyFont="1" applyBorder="1" applyAlignment="1">
      <alignment horizontal="center" wrapText="1"/>
    </xf>
    <xf numFmtId="167" fontId="24"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4" fillId="0" borderId="0" xfId="2" applyAlignment="1"/>
    <xf numFmtId="0" fontId="10" fillId="2" borderId="0" xfId="0" applyFont="1" applyFill="1"/>
    <xf numFmtId="0" fontId="0" fillId="0" borderId="0" xfId="0" applyAlignment="1">
      <alignment horizontal="left" wrapText="1"/>
    </xf>
    <xf numFmtId="0" fontId="17" fillId="2" borderId="0" xfId="0" applyFont="1" applyFill="1" applyAlignment="1">
      <alignment wrapText="1"/>
    </xf>
    <xf numFmtId="49" fontId="0" fillId="0" borderId="0" xfId="0" applyNumberFormat="1" applyAlignment="1">
      <alignment wrapText="1"/>
    </xf>
    <xf numFmtId="49" fontId="12" fillId="0" borderId="0" xfId="0" applyNumberFormat="1" applyFont="1" applyAlignment="1">
      <alignment wrapText="1"/>
    </xf>
    <xf numFmtId="0" fontId="11" fillId="0" borderId="0" xfId="0" applyFont="1" applyAlignment="1">
      <alignment horizontal="left" wrapText="1"/>
    </xf>
    <xf numFmtId="0" fontId="26" fillId="8" borderId="25" xfId="7" applyFill="1" applyBorder="1" applyAlignment="1"/>
    <xf numFmtId="0" fontId="27" fillId="8" borderId="0" xfId="8" applyNumberFormat="1" applyFill="1">
      <alignment horizontal="right"/>
    </xf>
    <xf numFmtId="0" fontId="10" fillId="13" borderId="0" xfId="0" applyFont="1" applyFill="1" applyAlignment="1">
      <alignment wrapText="1"/>
    </xf>
    <xf numFmtId="1" fontId="10" fillId="13" borderId="0" xfId="0" applyNumberFormat="1" applyFont="1" applyFill="1" applyAlignment="1">
      <alignment wrapText="1"/>
    </xf>
    <xf numFmtId="0" fontId="33" fillId="8" borderId="0" xfId="3" applyFont="1" applyFill="1"/>
    <xf numFmtId="0" fontId="32" fillId="8" borderId="0" xfId="3" applyFont="1" applyFill="1"/>
    <xf numFmtId="0" fontId="18" fillId="8" borderId="0" xfId="3" applyFill="1"/>
    <xf numFmtId="0" fontId="29" fillId="14" borderId="42" xfId="13" applyFont="1" applyFill="1" applyBorder="1" applyAlignment="1">
      <alignment horizontal="center" vertical="center"/>
    </xf>
    <xf numFmtId="0" fontId="29" fillId="14" borderId="29" xfId="13" applyFont="1" applyFill="1" applyBorder="1" applyAlignment="1">
      <alignment vertical="center"/>
    </xf>
    <xf numFmtId="2" fontId="35" fillId="7" borderId="29" xfId="0" applyNumberFormat="1" applyFont="1" applyFill="1" applyBorder="1" applyAlignment="1">
      <alignment horizontal="right"/>
    </xf>
    <xf numFmtId="0" fontId="29" fillId="14" borderId="39" xfId="13" applyFont="1" applyFill="1" applyBorder="1" applyAlignment="1">
      <alignment vertical="center"/>
    </xf>
    <xf numFmtId="0" fontId="29" fillId="14" borderId="29" xfId="13" applyFont="1" applyFill="1" applyBorder="1" applyAlignment="1">
      <alignment horizontal="left" vertical="center" indent="1"/>
    </xf>
    <xf numFmtId="0" fontId="29" fillId="14" borderId="39" xfId="13" applyFont="1" applyFill="1" applyBorder="1" applyAlignment="1">
      <alignment horizontal="left" vertical="center"/>
    </xf>
    <xf numFmtId="0" fontId="29" fillId="14" borderId="29" xfId="13" applyFont="1" applyFill="1" applyBorder="1" applyAlignment="1">
      <alignment horizontal="left" vertical="center"/>
    </xf>
    <xf numFmtId="2" fontId="10" fillId="13" borderId="0" xfId="0" applyNumberFormat="1" applyFont="1" applyFill="1" applyAlignment="1">
      <alignment wrapText="1"/>
    </xf>
    <xf numFmtId="4" fontId="29" fillId="9" borderId="29" xfId="14" applyNumberFormat="1" applyFont="1" applyFill="1" applyBorder="1" applyAlignment="1">
      <alignment horizontal="center" vertical="center"/>
    </xf>
    <xf numFmtId="0" fontId="33" fillId="8" borderId="0" xfId="13" applyFont="1" applyFill="1" applyAlignment="1">
      <alignment vertical="center"/>
    </xf>
    <xf numFmtId="0" fontId="29" fillId="8" borderId="0" xfId="7" applyFont="1" applyFill="1" applyAlignment="1">
      <alignment vertical="center"/>
    </xf>
    <xf numFmtId="4" fontId="29" fillId="9" borderId="29" xfId="14" applyNumberFormat="1" applyFont="1" applyFill="1" applyBorder="1" applyAlignment="1">
      <alignment horizontal="center" vertical="center" textRotation="90"/>
    </xf>
    <xf numFmtId="2" fontId="29" fillId="9" borderId="44" xfId="13" applyNumberFormat="1" applyFont="1" applyFill="1" applyBorder="1" applyAlignment="1">
      <alignment horizontal="left" vertical="center"/>
    </xf>
    <xf numFmtId="2" fontId="29" fillId="9" borderId="29" xfId="13" applyNumberFormat="1" applyFont="1" applyFill="1" applyBorder="1" applyAlignment="1">
      <alignment horizontal="left" vertical="center"/>
    </xf>
    <xf numFmtId="2" fontId="29" fillId="9" borderId="39" xfId="13" applyNumberFormat="1" applyFont="1" applyFill="1" applyBorder="1" applyAlignment="1">
      <alignment horizontal="left" vertical="center"/>
    </xf>
    <xf numFmtId="0" fontId="29" fillId="13" borderId="0" xfId="9" applyFill="1" applyBorder="1" applyProtection="1">
      <alignment horizontal="left" vertical="center"/>
    </xf>
    <xf numFmtId="2" fontId="10" fillId="13" borderId="0" xfId="0" applyNumberFormat="1" applyFont="1" applyFill="1"/>
    <xf numFmtId="0" fontId="29" fillId="9" borderId="32" xfId="15" applyFont="1" applyFill="1" applyBorder="1" applyAlignment="1">
      <alignment horizontal="center" vertical="center" wrapText="1"/>
    </xf>
    <xf numFmtId="0" fontId="29" fillId="9" borderId="44" xfId="15" applyFont="1" applyFill="1" applyBorder="1" applyAlignment="1">
      <alignment vertical="top" wrapText="1"/>
    </xf>
    <xf numFmtId="0" fontId="29" fillId="9" borderId="39" xfId="15" applyFont="1" applyFill="1" applyBorder="1" applyAlignment="1">
      <alignment horizontal="left" vertical="top" wrapText="1"/>
    </xf>
    <xf numFmtId="0" fontId="17" fillId="13" borderId="0" xfId="9" applyNumberFormat="1" applyFont="1" applyFill="1" applyBorder="1" applyAlignment="1">
      <alignment horizontal="center" vertical="center"/>
    </xf>
    <xf numFmtId="1" fontId="16" fillId="0" borderId="0" xfId="0" applyNumberFormat="1" applyFont="1" applyAlignment="1">
      <alignment horizontal="right" wrapText="1"/>
    </xf>
    <xf numFmtId="1" fontId="16" fillId="0" borderId="0" xfId="0" applyNumberFormat="1" applyFont="1" applyAlignment="1">
      <alignment horizontal="right"/>
    </xf>
    <xf numFmtId="2" fontId="16" fillId="0" borderId="0" xfId="0" applyNumberFormat="1" applyFont="1" applyAlignment="1">
      <alignment wrapText="1"/>
    </xf>
    <xf numFmtId="1" fontId="10" fillId="0" borderId="0" xfId="0" applyNumberFormat="1" applyFont="1" applyAlignment="1">
      <alignment wrapText="1"/>
    </xf>
    <xf numFmtId="0" fontId="10" fillId="13" borderId="0" xfId="0" applyFont="1" applyFill="1"/>
    <xf numFmtId="2" fontId="0" fillId="0" borderId="0" xfId="0" applyNumberFormat="1" applyAlignment="1">
      <alignment wrapText="1"/>
    </xf>
    <xf numFmtId="0" fontId="10" fillId="0" borderId="45" xfId="0" applyFont="1" applyBorder="1" applyAlignment="1">
      <alignment wrapText="1"/>
    </xf>
    <xf numFmtId="1" fontId="10" fillId="0" borderId="46" xfId="0" applyNumberFormat="1" applyFont="1" applyBorder="1" applyAlignment="1">
      <alignment wrapText="1"/>
    </xf>
    <xf numFmtId="0" fontId="42" fillId="0" borderId="0" xfId="0" applyFont="1" applyAlignment="1">
      <alignment horizontal="left" vertical="top"/>
    </xf>
    <xf numFmtId="0" fontId="0" fillId="0" borderId="0" xfId="0" applyAlignment="1">
      <alignment horizontal="left" vertical="top"/>
    </xf>
    <xf numFmtId="0" fontId="48" fillId="18" borderId="47" xfId="0" applyFont="1" applyFill="1" applyBorder="1" applyAlignment="1">
      <alignment horizontal="center" vertical="top" wrapText="1"/>
    </xf>
    <xf numFmtId="0" fontId="48" fillId="18" borderId="47" xfId="0" applyFont="1" applyFill="1" applyBorder="1" applyAlignment="1">
      <alignment horizontal="left" vertical="top" wrapText="1"/>
    </xf>
    <xf numFmtId="0" fontId="50"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2"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2" fillId="19" borderId="48" xfId="0" applyFont="1" applyFill="1" applyBorder="1" applyAlignment="1">
      <alignment horizontal="center" vertical="top" wrapText="1"/>
    </xf>
    <xf numFmtId="167" fontId="55" fillId="19" borderId="48" xfId="0" applyNumberFormat="1" applyFont="1" applyFill="1" applyBorder="1" applyAlignment="1">
      <alignment horizontal="center" vertical="top" wrapText="1"/>
    </xf>
    <xf numFmtId="0" fontId="52" fillId="0" borderId="49" xfId="0" applyFont="1" applyBorder="1" applyAlignment="1">
      <alignment horizontal="left" vertical="top" wrapText="1"/>
    </xf>
    <xf numFmtId="0" fontId="0" fillId="0" borderId="49" xfId="0" applyBorder="1" applyAlignment="1">
      <alignment horizontal="center" vertical="top" wrapText="1"/>
    </xf>
    <xf numFmtId="167" fontId="55" fillId="0" borderId="49" xfId="0" applyNumberFormat="1" applyFont="1" applyBorder="1" applyAlignment="1">
      <alignment horizontal="center" vertical="top" wrapText="1"/>
    </xf>
    <xf numFmtId="0" fontId="52"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5" fillId="19" borderId="49" xfId="0" applyNumberFormat="1" applyFont="1" applyFill="1" applyBorder="1" applyAlignment="1">
      <alignment horizontal="center" vertical="top" wrapText="1"/>
    </xf>
    <xf numFmtId="0" fontId="52" fillId="0" borderId="50" xfId="0" applyFont="1" applyBorder="1" applyAlignment="1">
      <alignment horizontal="left" vertical="top" wrapText="1"/>
    </xf>
    <xf numFmtId="0" fontId="0" fillId="0" borderId="50" xfId="0" applyBorder="1" applyAlignment="1">
      <alignment horizontal="center" vertical="top" wrapText="1"/>
    </xf>
    <xf numFmtId="167" fontId="55" fillId="0" borderId="50" xfId="0" applyNumberFormat="1" applyFont="1" applyBorder="1" applyAlignment="1">
      <alignment horizontal="center" vertical="top" wrapText="1"/>
    </xf>
    <xf numFmtId="168" fontId="53" fillId="19" borderId="48" xfId="0" applyNumberFormat="1" applyFont="1" applyFill="1" applyBorder="1" applyAlignment="1">
      <alignment horizontal="center" vertical="top" wrapText="1"/>
    </xf>
    <xf numFmtId="169" fontId="53" fillId="19" borderId="48" xfId="0" applyNumberFormat="1" applyFont="1" applyFill="1" applyBorder="1" applyAlignment="1">
      <alignment horizontal="center" vertical="top" wrapText="1"/>
    </xf>
    <xf numFmtId="168" fontId="53" fillId="0" borderId="49" xfId="0" applyNumberFormat="1" applyFont="1" applyBorder="1" applyAlignment="1">
      <alignment horizontal="left" vertical="top" wrapText="1"/>
    </xf>
    <xf numFmtId="169" fontId="53" fillId="0" borderId="49" xfId="0" applyNumberFormat="1" applyFont="1" applyBorder="1" applyAlignment="1">
      <alignment horizontal="center" vertical="top" wrapText="1"/>
    </xf>
    <xf numFmtId="170" fontId="55" fillId="0" borderId="49" xfId="0" applyNumberFormat="1" applyFont="1" applyBorder="1" applyAlignment="1">
      <alignment horizontal="left" vertical="top" wrapText="1"/>
    </xf>
    <xf numFmtId="168" fontId="53" fillId="19" borderId="49" xfId="0" applyNumberFormat="1" applyFont="1" applyFill="1" applyBorder="1" applyAlignment="1">
      <alignment horizontal="left" vertical="top" wrapText="1"/>
    </xf>
    <xf numFmtId="169" fontId="53" fillId="19" borderId="49" xfId="0" applyNumberFormat="1" applyFont="1" applyFill="1" applyBorder="1" applyAlignment="1">
      <alignment horizontal="center" vertical="top" wrapText="1"/>
    </xf>
    <xf numFmtId="170" fontId="55"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3"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3" fillId="0" borderId="50" xfId="0" applyNumberFormat="1" applyFont="1" applyBorder="1" applyAlignment="1">
      <alignment horizontal="left" vertical="top" wrapText="1"/>
    </xf>
    <xf numFmtId="169" fontId="53" fillId="0" borderId="50" xfId="0" applyNumberFormat="1" applyFont="1" applyBorder="1" applyAlignment="1">
      <alignment horizontal="center" vertical="top" wrapText="1"/>
    </xf>
    <xf numFmtId="168" fontId="53"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2" fillId="19" borderId="50" xfId="0" applyFont="1" applyFill="1" applyBorder="1" applyAlignment="1">
      <alignment horizontal="left" vertical="top" wrapText="1"/>
    </xf>
    <xf numFmtId="169" fontId="53" fillId="19" borderId="50" xfId="0" applyNumberFormat="1" applyFont="1" applyFill="1" applyBorder="1" applyAlignment="1">
      <alignment horizontal="center" vertical="top" wrapText="1"/>
    </xf>
    <xf numFmtId="167" fontId="55" fillId="19" borderId="50" xfId="0" applyNumberFormat="1" applyFont="1" applyFill="1" applyBorder="1" applyAlignment="1">
      <alignment horizontal="center" vertical="top" wrapText="1"/>
    </xf>
    <xf numFmtId="0" fontId="56" fillId="19" borderId="50" xfId="0" applyFont="1" applyFill="1" applyBorder="1" applyAlignment="1">
      <alignment horizontal="center" vertical="top" wrapText="1"/>
    </xf>
    <xf numFmtId="168" fontId="53" fillId="19" borderId="48" xfId="0" applyNumberFormat="1" applyFont="1" applyFill="1" applyBorder="1" applyAlignment="1">
      <alignment horizontal="left" vertical="top" wrapText="1"/>
    </xf>
    <xf numFmtId="170" fontId="57" fillId="19" borderId="48" xfId="0" applyNumberFormat="1" applyFont="1" applyFill="1" applyBorder="1" applyAlignment="1">
      <alignment horizontal="left" vertical="top" wrapText="1"/>
    </xf>
    <xf numFmtId="167" fontId="57" fillId="0" borderId="49" xfId="0" applyNumberFormat="1" applyFont="1" applyBorder="1" applyAlignment="1">
      <alignment horizontal="center" vertical="top" wrapText="1"/>
    </xf>
    <xf numFmtId="167" fontId="57" fillId="0" borderId="49" xfId="0" applyNumberFormat="1" applyFont="1" applyBorder="1" applyAlignment="1">
      <alignment horizontal="left" vertical="top" wrapText="1"/>
    </xf>
    <xf numFmtId="167" fontId="57" fillId="19" borderId="49" xfId="0" applyNumberFormat="1" applyFont="1" applyFill="1" applyBorder="1" applyAlignment="1">
      <alignment horizontal="center" vertical="top" wrapText="1"/>
    </xf>
    <xf numFmtId="167" fontId="57" fillId="19" borderId="49" xfId="0" applyNumberFormat="1" applyFont="1" applyFill="1" applyBorder="1" applyAlignment="1">
      <alignment horizontal="left" vertical="top" wrapText="1"/>
    </xf>
    <xf numFmtId="0" fontId="58" fillId="19" borderId="49" xfId="0" applyFont="1" applyFill="1" applyBorder="1" applyAlignment="1">
      <alignment horizontal="center" vertical="top" wrapText="1"/>
    </xf>
    <xf numFmtId="0" fontId="58" fillId="0" borderId="49" xfId="0" applyFont="1" applyBorder="1" applyAlignment="1">
      <alignment horizontal="center" vertical="top" wrapText="1"/>
    </xf>
    <xf numFmtId="167" fontId="57" fillId="0" borderId="50" xfId="0" applyNumberFormat="1" applyFont="1" applyBorder="1" applyAlignment="1">
      <alignment horizontal="center" vertical="top" wrapText="1"/>
    </xf>
    <xf numFmtId="0" fontId="58" fillId="0" borderId="50" xfId="0" applyFont="1" applyBorder="1" applyAlignment="1">
      <alignment horizontal="center" vertical="top" wrapText="1"/>
    </xf>
    <xf numFmtId="0" fontId="0" fillId="19" borderId="48" xfId="0" applyFill="1" applyBorder="1" applyAlignment="1">
      <alignment horizontal="left" vertical="top" wrapText="1"/>
    </xf>
    <xf numFmtId="169"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center" vertical="top" wrapText="1"/>
    </xf>
    <xf numFmtId="0" fontId="58" fillId="19" borderId="48" xfId="0" applyFont="1" applyFill="1" applyBorder="1" applyAlignment="1">
      <alignment horizontal="center" vertical="top" wrapText="1"/>
    </xf>
    <xf numFmtId="169" fontId="53" fillId="0" borderId="49" xfId="0" applyNumberFormat="1" applyFont="1" applyBorder="1" applyAlignment="1">
      <alignment horizontal="left" vertical="top" wrapText="1"/>
    </xf>
    <xf numFmtId="169" fontId="53" fillId="19" borderId="49" xfId="0" applyNumberFormat="1" applyFont="1" applyFill="1" applyBorder="1" applyAlignment="1">
      <alignment horizontal="left" vertical="top" wrapText="1"/>
    </xf>
    <xf numFmtId="169" fontId="53" fillId="19" borderId="50" xfId="0" applyNumberFormat="1" applyFont="1" applyFill="1" applyBorder="1" applyAlignment="1">
      <alignment horizontal="left" vertical="top" wrapText="1"/>
    </xf>
    <xf numFmtId="0" fontId="58" fillId="19" borderId="50" xfId="0" applyFont="1" applyFill="1" applyBorder="1" applyAlignment="1">
      <alignment horizontal="center" vertical="top" wrapText="1"/>
    </xf>
    <xf numFmtId="169" fontId="53" fillId="0" borderId="50" xfId="0" applyNumberFormat="1" applyFont="1" applyBorder="1" applyAlignment="1">
      <alignment horizontal="left" vertical="top" wrapText="1"/>
    </xf>
    <xf numFmtId="172" fontId="53" fillId="19" borderId="48" xfId="0" applyNumberFormat="1" applyFont="1" applyFill="1" applyBorder="1" applyAlignment="1">
      <alignment horizontal="left" vertical="top" wrapText="1"/>
    </xf>
    <xf numFmtId="168" fontId="53" fillId="0" borderId="50" xfId="0" applyNumberFormat="1" applyFont="1" applyBorder="1" applyAlignment="1">
      <alignment horizontal="left" vertical="top" wrapText="1"/>
    </xf>
    <xf numFmtId="167" fontId="57" fillId="0" borderId="50" xfId="0" applyNumberFormat="1" applyFont="1" applyBorder="1" applyAlignment="1">
      <alignment horizontal="left" vertical="top" wrapText="1"/>
    </xf>
    <xf numFmtId="171" fontId="53" fillId="0" borderId="49" xfId="0" applyNumberFormat="1" applyFont="1" applyBorder="1" applyAlignment="1">
      <alignment horizontal="left" vertical="top" wrapText="1"/>
    </xf>
    <xf numFmtId="170" fontId="57" fillId="0" borderId="49" xfId="0" applyNumberFormat="1" applyFont="1" applyBorder="1" applyAlignment="1">
      <alignment horizontal="left" vertical="top" wrapText="1"/>
    </xf>
    <xf numFmtId="170" fontId="57" fillId="19" borderId="49" xfId="0" applyNumberFormat="1" applyFont="1" applyFill="1" applyBorder="1" applyAlignment="1">
      <alignment horizontal="left" vertical="top" wrapText="1"/>
    </xf>
    <xf numFmtId="171" fontId="53"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left" vertical="top" wrapText="1"/>
    </xf>
    <xf numFmtId="170" fontId="57" fillId="19" borderId="50" xfId="0" applyNumberFormat="1" applyFont="1" applyFill="1" applyBorder="1" applyAlignment="1">
      <alignment horizontal="left" vertical="top" wrapText="1"/>
    </xf>
    <xf numFmtId="171" fontId="53" fillId="19" borderId="48" xfId="0" applyNumberFormat="1" applyFont="1" applyFill="1" applyBorder="1" applyAlignment="1">
      <alignment horizontal="left" vertical="top" wrapText="1"/>
    </xf>
    <xf numFmtId="167" fontId="57" fillId="19" borderId="48" xfId="0" applyNumberFormat="1" applyFont="1" applyFill="1" applyBorder="1" applyAlignment="1">
      <alignment horizontal="left" vertical="top" wrapText="1"/>
    </xf>
    <xf numFmtId="172" fontId="53" fillId="0" borderId="49" xfId="0" applyNumberFormat="1" applyFont="1" applyBorder="1" applyAlignment="1">
      <alignment horizontal="left" vertical="top" wrapText="1"/>
    </xf>
    <xf numFmtId="168" fontId="53" fillId="19" borderId="50" xfId="0" applyNumberFormat="1" applyFont="1" applyFill="1" applyBorder="1" applyAlignment="1">
      <alignment horizontal="left" vertical="top" wrapText="1"/>
    </xf>
    <xf numFmtId="167" fontId="57" fillId="19" borderId="50" xfId="0" applyNumberFormat="1" applyFont="1" applyFill="1" applyBorder="1" applyAlignment="1">
      <alignment horizontal="center" vertical="top" wrapText="1"/>
    </xf>
    <xf numFmtId="0" fontId="0" fillId="2" borderId="0" xfId="0" applyFill="1"/>
    <xf numFmtId="0" fontId="10"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17" fillId="2" borderId="20" xfId="0" applyFont="1" applyFill="1" applyBorder="1" applyAlignment="1">
      <alignment wrapText="1"/>
    </xf>
    <xf numFmtId="0" fontId="17" fillId="2" borderId="21" xfId="0" applyFont="1" applyFill="1" applyBorder="1" applyAlignment="1">
      <alignment wrapText="1"/>
    </xf>
    <xf numFmtId="0" fontId="17"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0"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1" fillId="0" borderId="0" xfId="0" quotePrefix="1" applyFont="1" applyAlignment="1">
      <alignment wrapText="1"/>
    </xf>
    <xf numFmtId="0" fontId="11" fillId="0" borderId="26" xfId="0" applyFont="1" applyBorder="1" applyAlignment="1">
      <alignment wrapText="1"/>
    </xf>
    <xf numFmtId="0" fontId="0" fillId="0" borderId="26" xfId="0" applyBorder="1" applyAlignment="1">
      <alignment wrapText="1"/>
    </xf>
    <xf numFmtId="0" fontId="11" fillId="0" borderId="26" xfId="0" quotePrefix="1" applyFont="1" applyBorder="1" applyAlignment="1">
      <alignment wrapText="1"/>
    </xf>
    <xf numFmtId="0" fontId="10" fillId="2" borderId="0" xfId="0" applyFont="1" applyFill="1" applyAlignment="1">
      <alignment horizontal="center" vertical="center"/>
    </xf>
    <xf numFmtId="0" fontId="11" fillId="2" borderId="0" xfId="0" applyFont="1" applyFill="1" applyAlignment="1">
      <alignment wrapText="1"/>
    </xf>
    <xf numFmtId="0" fontId="0" fillId="2" borderId="0" xfId="0" applyFill="1" applyAlignment="1">
      <alignment wrapText="1"/>
    </xf>
    <xf numFmtId="0" fontId="17" fillId="2" borderId="21" xfId="0" applyFont="1" applyFill="1" applyBorder="1" applyAlignment="1">
      <alignment horizontal="left" wrapText="1"/>
    </xf>
    <xf numFmtId="0" fontId="0" fillId="0" borderId="26" xfId="0" applyBorder="1" applyAlignment="1">
      <alignment horizontal="left" wrapText="1"/>
    </xf>
    <xf numFmtId="0" fontId="10" fillId="0" borderId="0" xfId="0" applyFont="1" applyAlignment="1">
      <alignment horizontal="right" wrapText="1"/>
    </xf>
    <xf numFmtId="0" fontId="10" fillId="4" borderId="0" xfId="0" applyFont="1" applyFill="1"/>
    <xf numFmtId="0" fontId="10"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6" fillId="0" borderId="0" xfId="0" applyFont="1" applyAlignment="1">
      <alignment horizontal="right" wrapText="1"/>
    </xf>
    <xf numFmtId="0" fontId="61" fillId="0" borderId="0" xfId="0" applyFont="1" applyAlignment="1">
      <alignment wrapText="1"/>
    </xf>
    <xf numFmtId="1" fontId="61" fillId="0" borderId="0" xfId="0" applyNumberFormat="1" applyFont="1" applyAlignment="1">
      <alignment horizontal="right" wrapText="1"/>
    </xf>
    <xf numFmtId="0" fontId="26" fillId="8" borderId="0" xfId="7" applyFill="1" applyAlignment="1"/>
    <xf numFmtId="0" fontId="28" fillId="8" borderId="0" xfId="3" applyFont="1" applyFill="1"/>
    <xf numFmtId="0" fontId="29" fillId="9" borderId="29" xfId="12" applyFont="1" applyBorder="1" applyAlignment="1">
      <alignment horizontal="left" vertical="center" indent="1"/>
    </xf>
    <xf numFmtId="0" fontId="32" fillId="8" borderId="24" xfId="3" applyFont="1" applyFill="1" applyBorder="1"/>
    <xf numFmtId="0" fontId="36" fillId="14" borderId="29" xfId="9" applyFont="1" applyFill="1" applyBorder="1">
      <alignment horizontal="left" vertical="center"/>
    </xf>
    <xf numFmtId="0" fontId="31" fillId="8" borderId="0" xfId="3" applyFont="1" applyFill="1"/>
    <xf numFmtId="0" fontId="31" fillId="8" borderId="0" xfId="8" applyFont="1" applyFill="1">
      <alignment horizontal="right"/>
    </xf>
    <xf numFmtId="0" fontId="31" fillId="8" borderId="0" xfId="13" applyFill="1"/>
    <xf numFmtId="0" fontId="31" fillId="8" borderId="0" xfId="13" applyFill="1" applyAlignment="1">
      <alignment vertical="center"/>
    </xf>
    <xf numFmtId="0" fontId="29" fillId="9" borderId="30" xfId="13" applyFont="1" applyFill="1" applyBorder="1" applyAlignment="1">
      <alignment horizontal="left" vertical="center"/>
    </xf>
    <xf numFmtId="0" fontId="29" fillId="9" borderId="33" xfId="13" quotePrefix="1" applyFont="1" applyFill="1" applyBorder="1" applyAlignment="1">
      <alignment horizontal="center" vertical="center"/>
    </xf>
    <xf numFmtId="0" fontId="29" fillId="9" borderId="31" xfId="13" quotePrefix="1" applyFont="1" applyFill="1" applyBorder="1" applyAlignment="1">
      <alignment horizontal="center" vertical="center"/>
    </xf>
    <xf numFmtId="0" fontId="29" fillId="9" borderId="31" xfId="13" applyFont="1" applyFill="1" applyBorder="1" applyAlignment="1">
      <alignment horizontal="center" vertical="center"/>
    </xf>
    <xf numFmtId="0" fontId="29" fillId="9" borderId="31" xfId="13" applyFont="1" applyFill="1" applyBorder="1" applyAlignment="1">
      <alignment horizontal="center" vertical="center" wrapText="1"/>
    </xf>
    <xf numFmtId="0" fontId="29" fillId="9" borderId="29" xfId="13" quotePrefix="1" applyFont="1" applyFill="1" applyBorder="1" applyAlignment="1">
      <alignment horizontal="center" vertical="center"/>
    </xf>
    <xf numFmtId="0" fontId="29" fillId="9" borderId="40" xfId="13" applyFont="1" applyFill="1" applyBorder="1" applyAlignment="1">
      <alignment horizontal="left" vertical="center"/>
    </xf>
    <xf numFmtId="0" fontId="29" fillId="9" borderId="43" xfId="13" applyFont="1" applyFill="1" applyBorder="1" applyAlignment="1">
      <alignment vertical="center"/>
    </xf>
    <xf numFmtId="0" fontId="29" fillId="9" borderId="29" xfId="13" applyFont="1" applyFill="1" applyBorder="1" applyAlignment="1">
      <alignment vertical="center"/>
    </xf>
    <xf numFmtId="0" fontId="29" fillId="9" borderId="39" xfId="13" applyFont="1" applyFill="1" applyBorder="1" applyAlignment="1">
      <alignment vertical="center"/>
    </xf>
    <xf numFmtId="0" fontId="31" fillId="8" borderId="0" xfId="13" applyFill="1" applyAlignment="1">
      <alignment horizontal="right" vertical="center"/>
    </xf>
    <xf numFmtId="0" fontId="26" fillId="8" borderId="0" xfId="7" applyFill="1" applyAlignment="1">
      <alignment vertical="center"/>
    </xf>
    <xf numFmtId="0" fontId="29" fillId="8" borderId="0" xfId="13" applyFont="1" applyFill="1" applyAlignment="1">
      <alignment vertical="center"/>
    </xf>
    <xf numFmtId="0" fontId="29" fillId="9" borderId="32" xfId="13" applyFont="1" applyFill="1" applyBorder="1" applyAlignment="1">
      <alignment horizontal="center" vertical="center" textRotation="90"/>
    </xf>
    <xf numFmtId="0" fontId="29" fillId="9" borderId="29" xfId="13" applyFont="1" applyFill="1" applyBorder="1" applyAlignment="1">
      <alignment horizontal="center" vertical="center" textRotation="90"/>
    </xf>
    <xf numFmtId="0" fontId="29" fillId="9" borderId="31" xfId="13" applyFont="1" applyFill="1" applyBorder="1" applyAlignment="1">
      <alignment horizontal="center" vertical="center" textRotation="90"/>
    </xf>
    <xf numFmtId="0" fontId="29" fillId="9" borderId="31" xfId="13" applyFont="1" applyFill="1" applyBorder="1" applyAlignment="1">
      <alignment horizontal="center" vertical="center" textRotation="90" wrapText="1"/>
    </xf>
    <xf numFmtId="0" fontId="29" fillId="9" borderId="29" xfId="13" quotePrefix="1" applyFont="1" applyFill="1" applyBorder="1" applyAlignment="1">
      <alignment horizontal="center" vertical="center" textRotation="90"/>
    </xf>
    <xf numFmtId="0" fontId="29" fillId="9" borderId="31" xfId="13" quotePrefix="1" applyFont="1" applyFill="1" applyBorder="1" applyAlignment="1">
      <alignment horizontal="center" vertical="center" textRotation="90"/>
    </xf>
    <xf numFmtId="0" fontId="29" fillId="9" borderId="28" xfId="13" applyFont="1" applyFill="1" applyBorder="1" applyAlignment="1">
      <alignment horizontal="center" vertical="center" wrapText="1"/>
    </xf>
    <xf numFmtId="0" fontId="29" fillId="9" borderId="42" xfId="13" applyFont="1" applyFill="1" applyBorder="1" applyAlignment="1">
      <alignment horizontal="center" vertical="center"/>
    </xf>
    <xf numFmtId="0" fontId="29" fillId="9" borderId="39" xfId="13" applyFont="1" applyFill="1" applyBorder="1" applyAlignment="1">
      <alignment horizontal="left" vertical="center" wrapText="1"/>
    </xf>
    <xf numFmtId="0" fontId="29" fillId="9" borderId="39" xfId="13" applyFont="1" applyFill="1" applyBorder="1" applyAlignment="1">
      <alignment horizontal="left" vertical="center"/>
    </xf>
    <xf numFmtId="0" fontId="29" fillId="9" borderId="42" xfId="13" applyFont="1" applyFill="1" applyBorder="1" applyAlignment="1">
      <alignment horizontal="left" vertical="center"/>
    </xf>
    <xf numFmtId="0" fontId="29" fillId="9" borderId="29" xfId="13" applyFont="1" applyFill="1" applyBorder="1" applyAlignment="1">
      <alignment horizontal="center" vertical="center"/>
    </xf>
    <xf numFmtId="0" fontId="31" fillId="0" borderId="0" xfId="3" applyFont="1"/>
    <xf numFmtId="0" fontId="31" fillId="8" borderId="0" xfId="15" applyFont="1" applyFill="1"/>
    <xf numFmtId="0" fontId="31" fillId="8" borderId="0" xfId="17" applyFont="1" applyFill="1" applyBorder="1"/>
    <xf numFmtId="4" fontId="29" fillId="9" borderId="32" xfId="13" quotePrefix="1" applyNumberFormat="1" applyFont="1" applyFill="1" applyBorder="1" applyAlignment="1">
      <alignment horizontal="center" vertical="center"/>
    </xf>
    <xf numFmtId="4" fontId="29" fillId="9" borderId="29" xfId="13" quotePrefix="1" applyNumberFormat="1" applyFont="1" applyFill="1" applyBorder="1" applyAlignment="1">
      <alignment horizontal="center" vertical="center"/>
    </xf>
    <xf numFmtId="4" fontId="29" fillId="9" borderId="29" xfId="13" applyNumberFormat="1" applyFont="1" applyFill="1" applyBorder="1" applyAlignment="1">
      <alignment horizontal="center" vertical="center"/>
    </xf>
    <xf numFmtId="4" fontId="29" fillId="9" borderId="31" xfId="13" applyNumberFormat="1" applyFont="1" applyFill="1" applyBorder="1" applyAlignment="1">
      <alignment horizontal="center" vertical="center"/>
    </xf>
    <xf numFmtId="4" fontId="29" fillId="9" borderId="34" xfId="13" applyNumberFormat="1" applyFont="1" applyFill="1" applyBorder="1" applyAlignment="1">
      <alignment vertical="center"/>
    </xf>
    <xf numFmtId="0" fontId="12" fillId="0" borderId="0" xfId="0" applyFont="1"/>
    <xf numFmtId="0" fontId="12" fillId="0" borderId="54" xfId="0" applyFont="1" applyBorder="1"/>
    <xf numFmtId="0" fontId="0" fillId="0" borderId="54" xfId="0" applyBorder="1" applyAlignment="1">
      <alignment horizontal="left" wrapText="1"/>
    </xf>
    <xf numFmtId="0" fontId="17" fillId="44" borderId="0" xfId="0" applyFont="1" applyFill="1" applyAlignment="1">
      <alignment wrapText="1"/>
    </xf>
    <xf numFmtId="0" fontId="17" fillId="44" borderId="0" xfId="0" applyFont="1" applyFill="1" applyAlignment="1">
      <alignment horizontal="left" wrapText="1"/>
    </xf>
    <xf numFmtId="0" fontId="17" fillId="45" borderId="0" xfId="0" applyFont="1" applyFill="1" applyAlignment="1">
      <alignment wrapText="1"/>
    </xf>
    <xf numFmtId="0" fontId="17" fillId="45" borderId="54" xfId="0" applyFont="1" applyFill="1" applyBorder="1" applyAlignment="1">
      <alignment horizontal="left" wrapText="1"/>
    </xf>
    <xf numFmtId="9" fontId="12" fillId="0" borderId="0" xfId="1" applyFont="1" applyAlignment="1"/>
    <xf numFmtId="0" fontId="12" fillId="0" borderId="55" xfId="0" applyFont="1" applyBorder="1"/>
    <xf numFmtId="0" fontId="29" fillId="14" borderId="32" xfId="1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9" fillId="9" borderId="29" xfId="9" applyNumberFormat="1" applyFill="1" applyBorder="1" applyAlignment="1">
      <alignment horizontal="center" vertical="center"/>
    </xf>
    <xf numFmtId="0" fontId="29" fillId="9" borderId="44" xfId="9" applyNumberFormat="1" applyFill="1" applyBorder="1">
      <alignment horizontal="left" vertical="center"/>
    </xf>
    <xf numFmtId="2" fontId="29" fillId="10" borderId="29" xfId="0" applyNumberFormat="1" applyFont="1" applyFill="1" applyBorder="1" applyAlignment="1">
      <alignment horizontal="right"/>
    </xf>
    <xf numFmtId="0" fontId="29" fillId="9" borderId="34" xfId="9" applyNumberFormat="1" applyFill="1" applyBorder="1">
      <alignment horizontal="left" vertical="center"/>
    </xf>
    <xf numFmtId="0" fontId="29" fillId="9" borderId="29" xfId="9" applyNumberFormat="1" applyFill="1" applyBorder="1" applyAlignment="1">
      <alignment horizontal="left" vertical="center" indent="1"/>
    </xf>
    <xf numFmtId="0" fontId="29" fillId="9" borderId="29" xfId="10" applyNumberFormat="1" applyFont="1" applyFill="1" applyBorder="1">
      <alignment horizontal="left" vertical="center" indent="2"/>
    </xf>
    <xf numFmtId="2" fontId="29" fillId="11" borderId="29" xfId="0" applyNumberFormat="1" applyFont="1" applyFill="1" applyBorder="1" applyAlignment="1">
      <alignment horizontal="right"/>
    </xf>
    <xf numFmtId="0" fontId="29" fillId="9" borderId="39" xfId="9" applyNumberFormat="1" applyFill="1" applyBorder="1" applyAlignment="1">
      <alignment horizontal="left" vertical="center" indent="1"/>
    </xf>
    <xf numFmtId="0" fontId="29" fillId="9" borderId="29" xfId="10" applyNumberFormat="1" applyFont="1" applyFill="1" applyBorder="1" applyAlignment="1">
      <alignment horizontal="left" vertical="top" wrapText="1" indent="2"/>
    </xf>
    <xf numFmtId="0" fontId="29" fillId="9" borderId="44" xfId="9" applyNumberFormat="1" applyFill="1" applyBorder="1" applyAlignment="1">
      <alignment horizontal="left" vertical="center" indent="1"/>
    </xf>
    <xf numFmtId="0" fontId="29" fillId="9" borderId="29" xfId="9" applyNumberFormat="1" applyFill="1" applyBorder="1">
      <alignment horizontal="left" vertical="center"/>
    </xf>
    <xf numFmtId="2" fontId="29" fillId="12" borderId="29" xfId="0" applyNumberFormat="1" applyFont="1" applyFill="1" applyBorder="1" applyAlignment="1">
      <alignment horizontal="right"/>
    </xf>
    <xf numFmtId="0" fontId="29" fillId="9" borderId="39" xfId="9" applyNumberFormat="1" applyFill="1" applyBorder="1">
      <alignment horizontal="left" vertical="center"/>
    </xf>
    <xf numFmtId="0" fontId="29" fillId="9" borderId="29" xfId="11" applyNumberFormat="1" applyFont="1" applyFill="1" applyBorder="1" applyAlignment="1">
      <alignment horizontal="left" vertical="center" indent="2"/>
    </xf>
    <xf numFmtId="0" fontId="29" fillId="9" borderId="30" xfId="9" applyNumberFormat="1" applyFill="1" applyBorder="1" applyAlignment="1">
      <alignment horizontal="left" vertical="center" indent="1"/>
    </xf>
    <xf numFmtId="0" fontId="29" fillId="9" borderId="29" xfId="12" applyFont="1" applyBorder="1" applyAlignment="1">
      <alignment horizontal="left" vertical="center" indent="2"/>
    </xf>
    <xf numFmtId="0" fontId="29" fillId="14" borderId="29" xfId="11" applyFont="1" applyFill="1" applyBorder="1">
      <alignment horizontal="left" vertical="center" indent="5"/>
    </xf>
    <xf numFmtId="0" fontId="29" fillId="14" borderId="39" xfId="9" applyFill="1" applyBorder="1">
      <alignment horizontal="left" vertical="center"/>
    </xf>
    <xf numFmtId="0" fontId="29" fillId="14" borderId="31" xfId="11" applyFont="1" applyFill="1" applyBorder="1">
      <alignment horizontal="left" vertical="center" indent="5"/>
    </xf>
    <xf numFmtId="0" fontId="29" fillId="14" borderId="31" xfId="11" applyFont="1" applyFill="1" applyBorder="1" applyAlignment="1">
      <alignment horizontal="left" vertical="center" indent="2"/>
    </xf>
    <xf numFmtId="0" fontId="29" fillId="7" borderId="29" xfId="0" applyFont="1" applyFill="1" applyBorder="1" applyAlignment="1">
      <alignment horizontal="left" indent="4"/>
    </xf>
    <xf numFmtId="0" fontId="29" fillId="7" borderId="29" xfId="0" applyFont="1" applyFill="1" applyBorder="1" applyAlignment="1">
      <alignment horizontal="left" indent="6"/>
    </xf>
    <xf numFmtId="0" fontId="29" fillId="14" borderId="31" xfId="13" applyFont="1" applyFill="1" applyBorder="1" applyAlignment="1">
      <alignment horizontal="left" vertical="center" indent="2"/>
    </xf>
    <xf numFmtId="0" fontId="29" fillId="14" borderId="29" xfId="11" applyFont="1" applyFill="1" applyBorder="1" applyAlignment="1">
      <alignment horizontal="left" vertical="center" indent="2"/>
    </xf>
    <xf numFmtId="0" fontId="36" fillId="14" borderId="29" xfId="11" applyFont="1" applyFill="1" applyBorder="1">
      <alignment horizontal="left" vertical="center" indent="5"/>
    </xf>
    <xf numFmtId="0" fontId="36" fillId="14" borderId="29" xfId="13" applyFont="1" applyFill="1" applyBorder="1" applyAlignment="1">
      <alignment horizontal="left" vertical="center" indent="2"/>
    </xf>
    <xf numFmtId="0" fontId="36" fillId="14" borderId="29" xfId="13" applyFont="1" applyFill="1" applyBorder="1" applyAlignment="1">
      <alignment horizontal="left" vertical="center" indent="5"/>
    </xf>
    <xf numFmtId="0" fontId="29" fillId="7" borderId="29" xfId="0" applyFont="1" applyFill="1" applyBorder="1" applyAlignment="1">
      <alignment horizontal="left" indent="8"/>
    </xf>
    <xf numFmtId="0" fontId="29" fillId="14" borderId="29" xfId="9" applyFill="1" applyBorder="1">
      <alignment horizontal="left" vertical="center"/>
    </xf>
    <xf numFmtId="0" fontId="29" fillId="14" borderId="29" xfId="11" applyFont="1" applyFill="1" applyBorder="1" applyAlignment="1">
      <alignment horizontal="left" vertical="center" indent="1"/>
    </xf>
    <xf numFmtId="0" fontId="29" fillId="14" borderId="29" xfId="13" applyFont="1" applyFill="1" applyBorder="1" applyAlignment="1">
      <alignment horizontal="left" vertical="center" indent="2"/>
    </xf>
    <xf numFmtId="0" fontId="36" fillId="14" borderId="31" xfId="11" applyFont="1" applyFill="1" applyBorder="1" applyAlignment="1">
      <alignment horizontal="left" vertical="center" indent="2"/>
    </xf>
    <xf numFmtId="0" fontId="29" fillId="9" borderId="29" xfId="10" applyFont="1" applyFill="1" applyBorder="1">
      <alignment horizontal="left" vertical="center" indent="2"/>
    </xf>
    <xf numFmtId="0" fontId="29" fillId="9" borderId="39" xfId="10" applyFont="1" applyFill="1" applyBorder="1">
      <alignment horizontal="left" vertical="center" indent="2"/>
    </xf>
    <xf numFmtId="0" fontId="29" fillId="9" borderId="30" xfId="10" applyFont="1" applyFill="1" applyBorder="1">
      <alignment horizontal="left" vertical="center" indent="2"/>
    </xf>
    <xf numFmtId="0" fontId="29" fillId="9" borderId="30" xfId="10" applyFont="1" applyFill="1" applyBorder="1" applyAlignment="1">
      <alignment horizontal="left" vertical="center" wrapText="1" indent="2"/>
    </xf>
    <xf numFmtId="0" fontId="29" fillId="9" borderId="39" xfId="9" applyFill="1" applyBorder="1" applyProtection="1">
      <alignment horizontal="left" vertical="center"/>
    </xf>
    <xf numFmtId="0" fontId="29" fillId="9" borderId="29" xfId="10" applyFont="1" applyFill="1" applyBorder="1" applyAlignment="1">
      <alignment horizontal="left" vertical="center"/>
    </xf>
    <xf numFmtId="0" fontId="29" fillId="9" borderId="30" xfId="10" applyFont="1" applyFill="1" applyBorder="1" applyAlignment="1">
      <alignment horizontal="left" vertical="center"/>
    </xf>
    <xf numFmtId="0" fontId="29" fillId="9" borderId="29" xfId="9" applyFill="1" applyBorder="1" applyProtection="1">
      <alignment horizontal="left" vertical="center"/>
    </xf>
    <xf numFmtId="0" fontId="29" fillId="9" borderId="39" xfId="9" applyFill="1" applyBorder="1" applyAlignment="1" applyProtection="1">
      <alignment horizontal="left" vertical="center" wrapText="1"/>
    </xf>
    <xf numFmtId="0" fontId="29" fillId="9" borderId="30" xfId="9" applyFill="1" applyBorder="1" applyProtection="1">
      <alignment horizontal="left" vertical="center"/>
    </xf>
    <xf numFmtId="0" fontId="29" fillId="9" borderId="32" xfId="9" applyFill="1" applyBorder="1" applyAlignment="1" applyProtection="1">
      <alignment horizontal="center" vertical="center"/>
    </xf>
    <xf numFmtId="0" fontId="29" fillId="9" borderId="40" xfId="9" applyFill="1" applyBorder="1" applyProtection="1">
      <alignment horizontal="left" vertical="center"/>
    </xf>
    <xf numFmtId="0" fontId="29"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1" fillId="0" borderId="0" xfId="0" applyNumberFormat="1" applyFont="1"/>
    <xf numFmtId="11" fontId="0" fillId="0" borderId="26" xfId="0" applyNumberFormat="1" applyBorder="1" applyAlignment="1">
      <alignment wrapText="1"/>
    </xf>
    <xf numFmtId="0" fontId="17" fillId="44" borderId="0" xfId="0" applyFont="1" applyFill="1"/>
    <xf numFmtId="0" fontId="11" fillId="0" borderId="0" xfId="0" applyFont="1"/>
    <xf numFmtId="0" fontId="12" fillId="0" borderId="0" xfId="0" applyFont="1" applyAlignment="1">
      <alignment horizontal="left"/>
    </xf>
    <xf numFmtId="0" fontId="11" fillId="0" borderId="0" xfId="0" applyFont="1" applyAlignment="1">
      <alignment horizontal="left"/>
    </xf>
    <xf numFmtId="0" fontId="12" fillId="0" borderId="0" xfId="1" applyNumberFormat="1" applyFont="1" applyFill="1" applyBorder="1" applyAlignment="1"/>
    <xf numFmtId="0" fontId="17" fillId="45" borderId="55" xfId="0" applyFont="1" applyFill="1" applyBorder="1" applyAlignment="1">
      <alignment wrapText="1"/>
    </xf>
    <xf numFmtId="0" fontId="0" fillId="0" borderId="55" xfId="0" applyBorder="1" applyAlignment="1">
      <alignment wrapText="1"/>
    </xf>
    <xf numFmtId="0" fontId="17" fillId="44" borderId="55" xfId="0" applyFont="1" applyFill="1" applyBorder="1" applyAlignment="1">
      <alignment wrapText="1"/>
    </xf>
    <xf numFmtId="49" fontId="0" fillId="0" borderId="55" xfId="0" applyNumberFormat="1" applyBorder="1" applyAlignment="1">
      <alignment wrapText="1"/>
    </xf>
    <xf numFmtId="49" fontId="11" fillId="0" borderId="55" xfId="0" applyNumberFormat="1" applyFont="1" applyBorder="1" applyAlignment="1">
      <alignment wrapText="1"/>
    </xf>
    <xf numFmtId="0" fontId="12" fillId="0" borderId="55" xfId="0" applyFont="1" applyBorder="1" applyAlignment="1">
      <alignment wrapText="1"/>
    </xf>
    <xf numFmtId="2" fontId="31" fillId="7" borderId="98" xfId="0" applyNumberFormat="1" applyFont="1" applyFill="1" applyBorder="1" applyAlignment="1">
      <alignment horizontal="right"/>
    </xf>
    <xf numFmtId="2" fontId="31" fillId="12" borderId="98" xfId="0" applyNumberFormat="1" applyFont="1" applyFill="1" applyBorder="1" applyAlignment="1">
      <alignment horizontal="right"/>
    </xf>
    <xf numFmtId="2" fontId="31" fillId="11" borderId="98" xfId="0" applyNumberFormat="1" applyFont="1" applyFill="1" applyBorder="1" applyAlignment="1">
      <alignment horizontal="right"/>
    </xf>
    <xf numFmtId="0" fontId="31" fillId="15" borderId="39" xfId="13" applyFill="1" applyBorder="1" applyAlignment="1">
      <alignment horizontal="right" vertical="center"/>
    </xf>
    <xf numFmtId="2" fontId="31" fillId="10" borderId="98" xfId="0" applyNumberFormat="1" applyFont="1" applyFill="1" applyBorder="1" applyAlignment="1">
      <alignment horizontal="right"/>
    </xf>
    <xf numFmtId="0" fontId="31" fillId="9" borderId="98" xfId="10" applyFont="1" applyFill="1" applyBorder="1" applyAlignment="1">
      <alignment horizontal="left" vertical="center"/>
    </xf>
    <xf numFmtId="0" fontId="31" fillId="9" borderId="98" xfId="11" applyFont="1" applyFill="1" applyBorder="1" applyAlignment="1">
      <alignment horizontal="left" vertical="center"/>
    </xf>
    <xf numFmtId="0" fontId="31" fillId="9" borderId="103" xfId="10" applyFont="1" applyFill="1" applyBorder="1" applyAlignment="1">
      <alignment horizontal="left" vertical="center"/>
    </xf>
    <xf numFmtId="0" fontId="29" fillId="9" borderId="98" xfId="13" applyFont="1" applyFill="1" applyBorder="1" applyAlignment="1">
      <alignment horizontal="left" vertical="center" wrapText="1"/>
    </xf>
    <xf numFmtId="0" fontId="29" fillId="9" borderId="98" xfId="9" applyFill="1" applyBorder="1" applyProtection="1">
      <alignment horizontal="left" vertical="center"/>
    </xf>
    <xf numFmtId="0" fontId="31" fillId="10" borderId="98" xfId="0" applyFont="1" applyFill="1" applyBorder="1" applyAlignment="1">
      <alignment horizontal="left" indent="2"/>
    </xf>
    <xf numFmtId="0" fontId="31" fillId="9" borderId="98" xfId="13" applyFill="1" applyBorder="1" applyAlignment="1">
      <alignment horizontal="left" vertical="center" wrapText="1"/>
    </xf>
    <xf numFmtId="0" fontId="31" fillId="9" borderId="98" xfId="13" applyFill="1" applyBorder="1" applyAlignment="1">
      <alignment vertical="center" wrapText="1"/>
    </xf>
    <xf numFmtId="0" fontId="31" fillId="9" borderId="98" xfId="9" applyFont="1" applyFill="1" applyBorder="1" applyProtection="1">
      <alignment horizontal="left" vertical="center"/>
    </xf>
    <xf numFmtId="0" fontId="31" fillId="9" borderId="98" xfId="9" applyFont="1" applyFill="1" applyBorder="1" applyAlignment="1" applyProtection="1">
      <alignment horizontal="left" vertical="center" wrapText="1"/>
    </xf>
    <xf numFmtId="0" fontId="31" fillId="9" borderId="98" xfId="13" applyFill="1" applyBorder="1" applyAlignment="1">
      <alignment vertical="center"/>
    </xf>
    <xf numFmtId="0" fontId="31" fillId="9" borderId="98" xfId="10" applyFont="1" applyFill="1" applyBorder="1">
      <alignment horizontal="left" vertical="center" indent="2"/>
    </xf>
    <xf numFmtId="0" fontId="37" fillId="9" borderId="98" xfId="10" applyFont="1" applyFill="1" applyBorder="1" applyAlignment="1">
      <alignment horizontal="left" vertical="center" indent="4"/>
    </xf>
    <xf numFmtId="0" fontId="31" fillId="9" borderId="98" xfId="11" applyFont="1" applyFill="1" applyBorder="1">
      <alignment horizontal="left" vertical="center" indent="5"/>
    </xf>
    <xf numFmtId="0" fontId="31" fillId="10" borderId="98" xfId="0" applyFont="1" applyFill="1" applyBorder="1" applyAlignment="1">
      <alignment horizontal="left" indent="8"/>
    </xf>
    <xf numFmtId="0" fontId="31" fillId="10" borderId="98" xfId="0" applyFont="1" applyFill="1" applyBorder="1" applyAlignment="1">
      <alignment horizontal="left" indent="4"/>
    </xf>
    <xf numFmtId="0" fontId="31" fillId="9" borderId="98" xfId="10" applyFont="1" applyFill="1" applyBorder="1" applyAlignment="1">
      <alignment horizontal="left" vertical="center" indent="4"/>
    </xf>
    <xf numFmtId="0" fontId="31" fillId="10" borderId="98" xfId="0" applyFont="1" applyFill="1" applyBorder="1" applyAlignment="1">
      <alignment horizontal="left" indent="6"/>
    </xf>
    <xf numFmtId="0" fontId="31" fillId="9" borderId="39" xfId="10" applyFont="1" applyFill="1" applyBorder="1">
      <alignment horizontal="left" vertical="center" indent="2"/>
    </xf>
    <xf numFmtId="0" fontId="31" fillId="9" borderId="98" xfId="15" applyFont="1" applyFill="1" applyBorder="1" applyAlignment="1">
      <alignment horizontal="left" vertical="top" wrapText="1"/>
    </xf>
    <xf numFmtId="0" fontId="31" fillId="9" borderId="103" xfId="15" applyFont="1" applyFill="1" applyBorder="1" applyAlignment="1">
      <alignment horizontal="left" vertical="top" wrapText="1"/>
    </xf>
    <xf numFmtId="0" fontId="29" fillId="9" borderId="98" xfId="15" applyFont="1" applyFill="1" applyBorder="1" applyAlignment="1">
      <alignment horizontal="left" vertical="top" wrapText="1"/>
    </xf>
    <xf numFmtId="0" fontId="29" fillId="9" borderId="98" xfId="16" applyFont="1" applyBorder="1" applyAlignment="1">
      <alignment horizontal="left" vertical="center"/>
    </xf>
    <xf numFmtId="4" fontId="29" fillId="9" borderId="98" xfId="13" applyNumberFormat="1" applyFont="1" applyFill="1" applyBorder="1" applyAlignment="1">
      <alignment vertical="center"/>
    </xf>
    <xf numFmtId="0" fontId="31" fillId="9" borderId="98" xfId="10" applyFont="1" applyFill="1" applyBorder="1" applyAlignment="1">
      <alignment horizontal="left" vertical="center" wrapText="1"/>
    </xf>
    <xf numFmtId="4" fontId="31" fillId="9" borderId="98" xfId="13" applyNumberFormat="1" applyFill="1" applyBorder="1" applyAlignment="1">
      <alignment horizontal="left" vertical="center"/>
    </xf>
    <xf numFmtId="4" fontId="31" fillId="9" borderId="98" xfId="13" applyNumberFormat="1" applyFill="1" applyBorder="1" applyAlignment="1">
      <alignment horizontal="left" vertical="center" wrapText="1"/>
    </xf>
    <xf numFmtId="0" fontId="12" fillId="0" borderId="0" xfId="1" applyNumberFormat="1" applyFont="1" applyAlignment="1"/>
    <xf numFmtId="0" fontId="0" fillId="91" borderId="0" xfId="0" applyFill="1"/>
    <xf numFmtId="0" fontId="0" fillId="92" borderId="0" xfId="0" applyFill="1"/>
    <xf numFmtId="0" fontId="0" fillId="93" borderId="0" xfId="0" applyFill="1"/>
    <xf numFmtId="0" fontId="117" fillId="0" borderId="0" xfId="0" applyFont="1" applyAlignment="1">
      <alignment wrapText="1"/>
    </xf>
    <xf numFmtId="0" fontId="117" fillId="0" borderId="26" xfId="0" applyFont="1" applyBorder="1" applyAlignment="1">
      <alignment wrapText="1"/>
    </xf>
    <xf numFmtId="0" fontId="17" fillId="94" borderId="0" xfId="0" applyFont="1" applyFill="1" applyAlignment="1">
      <alignment wrapText="1"/>
    </xf>
    <xf numFmtId="0" fontId="118" fillId="94" borderId="0" xfId="0" applyFont="1" applyFill="1" applyAlignment="1">
      <alignment wrapText="1"/>
    </xf>
    <xf numFmtId="0" fontId="118" fillId="94" borderId="0" xfId="0" applyFont="1" applyFill="1"/>
    <xf numFmtId="9" fontId="12" fillId="0" borderId="0" xfId="0" applyNumberFormat="1" applyFont="1"/>
    <xf numFmtId="49" fontId="118" fillId="94" borderId="0" xfId="0" applyNumberFormat="1" applyFont="1" applyFill="1" applyAlignment="1">
      <alignment wrapText="1"/>
    </xf>
    <xf numFmtId="49" fontId="0" fillId="0" borderId="0" xfId="0" applyNumberFormat="1"/>
    <xf numFmtId="0" fontId="7" fillId="0" borderId="0" xfId="0" applyFont="1"/>
    <xf numFmtId="0" fontId="10" fillId="95" borderId="0" xfId="0" applyFont="1" applyFill="1"/>
    <xf numFmtId="0" fontId="119" fillId="0" borderId="0" xfId="0" applyFont="1" applyAlignment="1">
      <alignment wrapText="1"/>
    </xf>
    <xf numFmtId="0" fontId="6" fillId="0" borderId="0" xfId="0" applyFont="1"/>
    <xf numFmtId="0" fontId="6" fillId="0" borderId="0" xfId="0" applyFont="1" applyAlignment="1">
      <alignment horizontal="left"/>
    </xf>
    <xf numFmtId="0" fontId="5" fillId="0" borderId="0" xfId="0" applyFont="1"/>
    <xf numFmtId="0" fontId="0" fillId="96" borderId="0" xfId="0" applyFill="1"/>
    <xf numFmtId="0" fontId="4" fillId="0" borderId="0" xfId="0" applyFont="1"/>
    <xf numFmtId="0" fontId="0" fillId="97" borderId="0" xfId="0" applyFill="1"/>
    <xf numFmtId="0" fontId="3" fillId="0" borderId="0" xfId="0" applyFont="1"/>
    <xf numFmtId="0" fontId="17" fillId="2" borderId="0" xfId="0" applyFont="1" applyFill="1"/>
    <xf numFmtId="0" fontId="17" fillId="2" borderId="0" xfId="0" applyFont="1" applyFill="1" applyAlignment="1">
      <alignment horizontal="left"/>
    </xf>
    <xf numFmtId="0" fontId="17" fillId="2" borderId="0" xfId="0" applyFont="1" applyFill="1" applyAlignment="1">
      <alignment horizontal="right"/>
    </xf>
    <xf numFmtId="0" fontId="17" fillId="3" borderId="52" xfId="0" applyFont="1" applyFill="1" applyBorder="1"/>
    <xf numFmtId="0" fontId="17" fillId="3" borderId="0" xfId="0" applyFont="1" applyFill="1"/>
    <xf numFmtId="9" fontId="11" fillId="0" borderId="0" xfId="0" applyNumberFormat="1" applyFont="1"/>
    <xf numFmtId="49" fontId="11" fillId="0" borderId="0" xfId="1" applyNumberFormat="1" applyFont="1" applyFill="1" applyBorder="1" applyAlignment="1"/>
    <xf numFmtId="0" fontId="0" fillId="0" borderId="52" xfId="0" applyBorder="1"/>
    <xf numFmtId="0" fontId="11" fillId="0" borderId="0" xfId="1" applyNumberFormat="1" applyFont="1" applyAlignment="1"/>
    <xf numFmtId="9" fontId="11" fillId="0" borderId="0" xfId="1" applyFont="1" applyAlignment="1"/>
    <xf numFmtId="9" fontId="11" fillId="0" borderId="0" xfId="1" applyFont="1" applyFill="1" applyBorder="1" applyAlignment="1"/>
    <xf numFmtId="49" fontId="11" fillId="0" borderId="52" xfId="1" applyNumberFormat="1" applyFont="1" applyFill="1" applyBorder="1" applyAlignment="1"/>
    <xf numFmtId="0" fontId="11"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1" fillId="0" borderId="52" xfId="0" applyNumberFormat="1" applyFont="1" applyBorder="1"/>
    <xf numFmtId="1" fontId="11" fillId="0" borderId="0" xfId="1" applyNumberFormat="1" applyFont="1" applyFill="1" applyBorder="1" applyAlignment="1"/>
    <xf numFmtId="49" fontId="15" fillId="0" borderId="52" xfId="0" applyNumberFormat="1" applyFont="1" applyBorder="1"/>
    <xf numFmtId="164" fontId="0" fillId="0" borderId="0" xfId="0" applyNumberFormat="1"/>
    <xf numFmtId="49" fontId="12" fillId="0" borderId="0" xfId="0" applyNumberFormat="1" applyFont="1"/>
    <xf numFmtId="0" fontId="0" fillId="0" borderId="0" xfId="1" applyNumberFormat="1" applyFont="1" applyFill="1" applyBorder="1" applyAlignment="1"/>
    <xf numFmtId="9" fontId="12" fillId="0" borderId="0" xfId="1" applyFont="1" applyFill="1" applyBorder="1" applyAlignment="1"/>
    <xf numFmtId="0" fontId="9" fillId="0" borderId="52" xfId="0" applyFont="1" applyBorder="1"/>
    <xf numFmtId="9" fontId="11" fillId="0" borderId="0" xfId="1" applyFont="1"/>
    <xf numFmtId="9" fontId="12" fillId="0" borderId="0" xfId="1" applyFont="1"/>
    <xf numFmtId="1" fontId="12" fillId="0" borderId="0" xfId="1" applyNumberFormat="1" applyFont="1" applyAlignment="1"/>
    <xf numFmtId="0" fontId="1"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10" fillId="20" borderId="0" xfId="0" applyFont="1" applyFill="1" applyAlignment="1">
      <alignment horizontal="center"/>
    </xf>
    <xf numFmtId="0" fontId="26" fillId="8" borderId="0" xfId="7" applyFill="1" applyAlignment="1">
      <alignment horizontal="left"/>
    </xf>
    <xf numFmtId="0" fontId="29" fillId="9" borderId="30" xfId="9" applyNumberFormat="1" applyFill="1" applyBorder="1" applyAlignment="1">
      <alignment horizontal="left" vertical="top"/>
    </xf>
    <xf numFmtId="0" fontId="29" fillId="9" borderId="40" xfId="9" applyNumberFormat="1" applyFill="1" applyBorder="1" applyAlignment="1">
      <alignment horizontal="left" vertical="top"/>
    </xf>
    <xf numFmtId="0" fontId="29" fillId="9" borderId="27" xfId="9" applyNumberFormat="1" applyFill="1" applyBorder="1" applyAlignment="1">
      <alignment horizontal="center" vertical="center"/>
    </xf>
    <xf numFmtId="0" fontId="29" fillId="9" borderId="28" xfId="9" applyNumberFormat="1" applyFill="1" applyBorder="1" applyAlignment="1">
      <alignment horizontal="center" vertical="center"/>
    </xf>
    <xf numFmtId="0" fontId="29" fillId="9" borderId="41" xfId="9" applyNumberFormat="1" applyFill="1" applyBorder="1" applyAlignment="1">
      <alignment horizontal="center" vertical="center"/>
    </xf>
    <xf numFmtId="0" fontId="26" fillId="8" borderId="23" xfId="7" applyFill="1" applyBorder="1" applyAlignment="1">
      <alignment horizontal="left"/>
    </xf>
    <xf numFmtId="0" fontId="26" fillId="8" borderId="24" xfId="7" applyFill="1" applyBorder="1" applyAlignment="1">
      <alignment horizontal="left"/>
    </xf>
    <xf numFmtId="0" fontId="29" fillId="14" borderId="30" xfId="13" applyFont="1" applyFill="1" applyBorder="1" applyAlignment="1">
      <alignment horizontal="left" vertical="top"/>
    </xf>
    <xf numFmtId="0" fontId="29" fillId="14" borderId="34" xfId="13" applyFont="1" applyFill="1" applyBorder="1" applyAlignment="1">
      <alignment horizontal="left" vertical="top"/>
    </xf>
    <xf numFmtId="0" fontId="29" fillId="14" borderId="40" xfId="13" applyFont="1" applyFill="1" applyBorder="1" applyAlignment="1">
      <alignment horizontal="left" vertical="top"/>
    </xf>
    <xf numFmtId="0" fontId="29" fillId="14" borderId="31" xfId="13" applyFont="1" applyFill="1" applyBorder="1" applyAlignment="1">
      <alignment horizontal="center" vertical="center"/>
    </xf>
    <xf numFmtId="0" fontId="29" fillId="8" borderId="32" xfId="3" applyFont="1" applyFill="1" applyBorder="1" applyAlignment="1">
      <alignment horizontal="center" vertical="center"/>
    </xf>
    <xf numFmtId="0" fontId="29" fillId="14" borderId="33" xfId="13" applyFont="1" applyFill="1" applyBorder="1" applyAlignment="1">
      <alignment horizontal="center" vertical="center"/>
    </xf>
    <xf numFmtId="0" fontId="29" fillId="14" borderId="32" xfId="13" applyFont="1" applyFill="1" applyBorder="1" applyAlignment="1">
      <alignment horizontal="center" vertical="center"/>
    </xf>
    <xf numFmtId="0" fontId="29" fillId="8" borderId="33" xfId="3" applyFont="1" applyFill="1" applyBorder="1" applyAlignment="1">
      <alignment horizontal="center" vertical="center"/>
    </xf>
    <xf numFmtId="0" fontId="29" fillId="14" borderId="35" xfId="13" applyFont="1" applyFill="1" applyBorder="1" applyAlignment="1">
      <alignment horizontal="center" vertical="center"/>
    </xf>
    <xf numFmtId="0" fontId="29" fillId="14" borderId="36" xfId="13" applyFont="1" applyFill="1" applyBorder="1" applyAlignment="1">
      <alignment horizontal="center" vertical="center"/>
    </xf>
    <xf numFmtId="0" fontId="29" fillId="14" borderId="37" xfId="13" applyFont="1" applyFill="1" applyBorder="1" applyAlignment="1">
      <alignment horizontal="center" vertical="center"/>
    </xf>
    <xf numFmtId="0" fontId="29" fillId="14" borderId="38" xfId="13" applyFont="1" applyFill="1" applyBorder="1" applyAlignment="1">
      <alignment horizontal="center" vertical="center"/>
    </xf>
    <xf numFmtId="0" fontId="29" fillId="14" borderId="30" xfId="13" applyFont="1" applyFill="1" applyBorder="1" applyAlignment="1">
      <alignment horizontal="center" vertical="center"/>
    </xf>
    <xf numFmtId="0" fontId="29" fillId="14" borderId="39" xfId="13" applyFont="1" applyFill="1" applyBorder="1" applyAlignment="1">
      <alignment horizontal="center" vertical="center"/>
    </xf>
    <xf numFmtId="0" fontId="29" fillId="8" borderId="39" xfId="3" applyFont="1" applyFill="1" applyBorder="1" applyAlignment="1">
      <alignment horizontal="center" vertical="center"/>
    </xf>
    <xf numFmtId="0" fontId="29" fillId="9" borderId="28" xfId="13" applyFont="1" applyFill="1" applyBorder="1" applyAlignment="1">
      <alignment horizontal="center" vertical="center"/>
    </xf>
    <xf numFmtId="0" fontId="29" fillId="9" borderId="41" xfId="13" applyFont="1" applyFill="1" applyBorder="1" applyAlignment="1">
      <alignment horizontal="center" vertical="center"/>
    </xf>
    <xf numFmtId="0" fontId="29" fillId="9" borderId="27" xfId="13" applyFont="1" applyFill="1" applyBorder="1" applyAlignment="1">
      <alignment horizontal="center" vertical="center"/>
    </xf>
    <xf numFmtId="0" fontId="29" fillId="8" borderId="28" xfId="3" applyFont="1" applyFill="1" applyBorder="1" applyAlignment="1">
      <alignment horizontal="center" vertical="center"/>
    </xf>
    <xf numFmtId="0" fontId="29" fillId="8" borderId="41" xfId="3" applyFont="1" applyFill="1" applyBorder="1" applyAlignment="1">
      <alignment horizontal="center" vertical="center"/>
    </xf>
    <xf numFmtId="0" fontId="29" fillId="14" borderId="27" xfId="13" applyFont="1" applyFill="1" applyBorder="1" applyAlignment="1">
      <alignment horizontal="center" vertical="center"/>
    </xf>
    <xf numFmtId="0" fontId="29" fillId="14" borderId="41" xfId="13" applyFont="1" applyFill="1" applyBorder="1" applyAlignment="1">
      <alignment horizontal="center" vertical="center"/>
    </xf>
    <xf numFmtId="0" fontId="26" fillId="17" borderId="0" xfId="7" applyFill="1" applyAlignment="1">
      <alignment horizontal="left" vertical="center"/>
    </xf>
    <xf numFmtId="0" fontId="29" fillId="9" borderId="27" xfId="13" applyFont="1" applyFill="1" applyBorder="1" applyAlignment="1">
      <alignment horizontal="center" vertical="center" wrapText="1"/>
    </xf>
    <xf numFmtId="0" fontId="29" fillId="9" borderId="41" xfId="13" applyFont="1" applyFill="1" applyBorder="1" applyAlignment="1">
      <alignment horizontal="center" vertical="center" wrapText="1"/>
    </xf>
    <xf numFmtId="0" fontId="29" fillId="8" borderId="28" xfId="3" applyFont="1" applyFill="1" applyBorder="1" applyAlignment="1">
      <alignment horizontal="center" vertical="center" wrapText="1"/>
    </xf>
    <xf numFmtId="0" fontId="29" fillId="8" borderId="41" xfId="3" applyFont="1" applyFill="1" applyBorder="1" applyAlignment="1">
      <alignment horizontal="center" vertical="center" wrapText="1"/>
    </xf>
    <xf numFmtId="4" fontId="29" fillId="9" borderId="30" xfId="13" applyNumberFormat="1" applyFont="1" applyFill="1" applyBorder="1" applyAlignment="1">
      <alignment horizontal="left" vertical="center" wrapText="1"/>
    </xf>
    <xf numFmtId="4" fontId="29" fillId="9" borderId="40" xfId="13" applyNumberFormat="1" applyFont="1" applyFill="1" applyBorder="1" applyAlignment="1">
      <alignment horizontal="left" vertical="center" wrapText="1"/>
    </xf>
    <xf numFmtId="4" fontId="29" fillId="9" borderId="27" xfId="13" applyNumberFormat="1" applyFont="1" applyFill="1" applyBorder="1" applyAlignment="1">
      <alignment horizontal="center" vertical="center"/>
    </xf>
    <xf numFmtId="4" fontId="29" fillId="9" borderId="28" xfId="13" applyNumberFormat="1" applyFont="1" applyFill="1" applyBorder="1" applyAlignment="1">
      <alignment horizontal="center" vertical="center"/>
    </xf>
    <xf numFmtId="4" fontId="29" fillId="9" borderId="41" xfId="13" applyNumberFormat="1" applyFont="1" applyFill="1" applyBorder="1" applyAlignment="1">
      <alignment horizontal="center" vertical="center"/>
    </xf>
    <xf numFmtId="0" fontId="29" fillId="9" borderId="30" xfId="15" applyFont="1" applyFill="1" applyBorder="1" applyAlignment="1">
      <alignment horizontal="left" vertical="center" wrapText="1"/>
    </xf>
    <xf numFmtId="0" fontId="29" fillId="9" borderId="40" xfId="15" applyFont="1" applyFill="1" applyBorder="1" applyAlignment="1">
      <alignment horizontal="left" vertical="center" wrapText="1"/>
    </xf>
    <xf numFmtId="0" fontId="29" fillId="9" borderId="27" xfId="15" applyFont="1" applyFill="1" applyBorder="1" applyAlignment="1">
      <alignment horizontal="center" vertical="top" wrapText="1"/>
    </xf>
    <xf numFmtId="0" fontId="29" fillId="9" borderId="28" xfId="15" applyFont="1" applyFill="1" applyBorder="1" applyAlignment="1">
      <alignment horizontal="center" vertical="top" wrapText="1"/>
    </xf>
    <xf numFmtId="0" fontId="29" fillId="9" borderId="41" xfId="15" applyFont="1" applyFill="1" applyBorder="1" applyAlignment="1">
      <alignment horizontal="center" vertical="top" wrapText="1"/>
    </xf>
    <xf numFmtId="0" fontId="29" fillId="9" borderId="30" xfId="13" applyFont="1" applyFill="1" applyBorder="1" applyAlignment="1">
      <alignment horizontal="left" vertical="center" wrapText="1"/>
    </xf>
    <xf numFmtId="0" fontId="29" fillId="9" borderId="40" xfId="13" applyFont="1" applyFill="1" applyBorder="1" applyAlignment="1">
      <alignment horizontal="left" vertical="center" wrapText="1"/>
    </xf>
    <xf numFmtId="0" fontId="26" fillId="8" borderId="0" xfId="7" applyFill="1" applyAlignment="1">
      <alignment horizontal="left" vertical="center"/>
    </xf>
    <xf numFmtId="0" fontId="10" fillId="4" borderId="0" xfId="0" applyFont="1" applyFill="1" applyAlignment="1">
      <alignment horizontal="left"/>
    </xf>
    <xf numFmtId="0" fontId="0" fillId="5" borderId="0" xfId="0" applyFill="1" applyAlignment="1">
      <alignment horizontal="left"/>
    </xf>
    <xf numFmtId="0" fontId="10" fillId="39" borderId="0" xfId="0" applyFont="1" applyFill="1" applyAlignment="1">
      <alignment horizontal="center"/>
    </xf>
    <xf numFmtId="0" fontId="21" fillId="6" borderId="5" xfId="0" applyFont="1" applyFill="1" applyBorder="1" applyAlignment="1">
      <alignment horizontal="left" wrapText="1"/>
    </xf>
    <xf numFmtId="0" fontId="21" fillId="6" borderId="6" xfId="0" applyFont="1" applyFill="1" applyBorder="1" applyAlignment="1">
      <alignment horizontal="left" wrapText="1"/>
    </xf>
    <xf numFmtId="0" fontId="21" fillId="6" borderId="7" xfId="0" applyFont="1" applyFill="1" applyBorder="1" applyAlignment="1">
      <alignment horizontal="left" wrapText="1"/>
    </xf>
  </cellXfs>
  <cellStyles count="347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3" xfId="2427" xr:uid="{4608EB34-9627-4746-9AE9-022D31FB38C9}"/>
    <cellStyle name="Normal 11" xfId="435" xr:uid="{D7C271AC-4A59-4EAD-BC3A-F11096BF3FFC}"/>
    <cellStyle name="Normal 11 2" xfId="477" xr:uid="{F67423BA-D407-4AD6-9ED7-EFFB65B0008A}"/>
    <cellStyle name="Normal 11 2 2" xfId="2441" xr:uid="{E56905D5-F78C-47EA-9509-2E12C842ABB6}"/>
    <cellStyle name="Normal 11 3" xfId="2431" xr:uid="{9EF69086-3A5F-4E63-B962-019D70ED50C1}"/>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3" xfId="2400" xr:uid="{84D78183-73D3-4A2D-BF61-744DB361EFFF}"/>
    <cellStyle name="Normal 5 2 2 2 3" xfId="481" xr:uid="{F60BBD0E-FC44-4AE5-B62E-8CF366991BEB}"/>
    <cellStyle name="Normal 5 2 2 2 3 2" xfId="2445" xr:uid="{F719D281-CBC2-456A-A112-C2E0DE3957AA}"/>
    <cellStyle name="Normal 5 2 2 2 4" xfId="2385" xr:uid="{3A4DFC19-68B2-403C-B2AF-896289B8D1CE}"/>
    <cellStyle name="Normal 5 2 2 3" xfId="352" xr:uid="{7C9D0870-E1BF-4F34-B358-B84ED09C91DF}"/>
    <cellStyle name="Normal 5 2 2 3 2" xfId="483" xr:uid="{EA2AA38A-A866-48CA-93DF-2FF413F73F21}"/>
    <cellStyle name="Normal 5 2 2 3 2 2" xfId="2447" xr:uid="{A1D4B44A-DC8D-4E1C-8FE0-710908442BF6}"/>
    <cellStyle name="Normal 5 2 2 3 3" xfId="2399" xr:uid="{94927453-8AB7-49A9-B25E-C8180EED5F46}"/>
    <cellStyle name="Normal 5 2 2 4" xfId="480" xr:uid="{40D64E32-C1BF-4DC3-BA18-00703C8ACA04}"/>
    <cellStyle name="Normal 5 2 2 4 2" xfId="2444" xr:uid="{7212917B-3A23-41FB-91AA-30D2B79AB281}"/>
    <cellStyle name="Normal 5 2 2 5" xfId="2379" xr:uid="{903515F6-FC75-406E-8EB2-E85F6EA49CCE}"/>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3" xfId="2401" xr:uid="{520DEB59-1B99-4D72-9979-042647DDC9CF}"/>
    <cellStyle name="Normal 5 2 3 3" xfId="484" xr:uid="{75E3E50D-5A2D-47D1-B31C-80321CB04FBD}"/>
    <cellStyle name="Normal 5 2 3 3 2" xfId="2448" xr:uid="{B4A8AE68-1D8B-4E11-9A76-CFA9FB856650}"/>
    <cellStyle name="Normal 5 2 3 4" xfId="2384" xr:uid="{DD430F3D-3508-458C-B880-E20EE533FF46}"/>
    <cellStyle name="Normal 5 2 4" xfId="351" xr:uid="{5F4656E9-B24F-412A-8AB0-D1CC15773ECE}"/>
    <cellStyle name="Normal 5 2 4 2" xfId="486" xr:uid="{10AAC166-00B4-4545-BC6D-DB00EDBEB6C2}"/>
    <cellStyle name="Normal 5 2 4 2 2" xfId="2450" xr:uid="{425C4FEC-2F99-4C02-88FC-D82DCDD42312}"/>
    <cellStyle name="Normal 5 2 4 3" xfId="2398" xr:uid="{DC6766F8-CE12-4B11-9E2F-113CB4679EAE}"/>
    <cellStyle name="Normal 5 2 5" xfId="460" xr:uid="{E0A21CA1-1C2A-4CE0-A7B7-D1C1D2CAFFD0}"/>
    <cellStyle name="Normal 5 2 5 2" xfId="487" xr:uid="{7F171D51-F4D7-42B8-947A-A93DE856A2F2}"/>
    <cellStyle name="Normal 5 2 5 2 2" xfId="2451" xr:uid="{6AB6CB10-C901-4B22-980C-ECDB36EF5D7F}"/>
    <cellStyle name="Normal 5 2 5 3" xfId="2434" xr:uid="{FD419D85-0F24-41C3-810E-9B5C96F7859F}"/>
    <cellStyle name="Normal 5 2 6" xfId="479" xr:uid="{C5871523-3334-4E82-B6A5-CF76A022823B}"/>
    <cellStyle name="Normal 5 2 6 2" xfId="2443" xr:uid="{B6B4554E-FFC7-4272-9D0F-83031303D466}"/>
    <cellStyle name="Normal 5 2 7" xfId="2372" xr:uid="{B21AAE13-A9FC-4807-8B03-5E970E80325A}"/>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3" xfId="2403" xr:uid="{11F6381F-F0A3-40B3-8D0C-EE7D1575BD27}"/>
    <cellStyle name="Normal 5 3 2 3" xfId="489" xr:uid="{510BD2F5-1A3C-4FE9-B46F-0A29288C9F24}"/>
    <cellStyle name="Normal 5 3 2 3 2" xfId="2453" xr:uid="{8D5B6F15-A4FA-4D50-8090-75F13E5D3C3A}"/>
    <cellStyle name="Normal 5 3 2 4" xfId="2386" xr:uid="{6B34FBAF-FE47-4916-9946-4216F0ADBC53}"/>
    <cellStyle name="Normal 5 3 3" xfId="355" xr:uid="{24272E6D-E500-479D-A797-4819DB6D4974}"/>
    <cellStyle name="Normal 5 3 3 2" xfId="491" xr:uid="{0C9043B6-0F53-443C-9543-F8202412EF8C}"/>
    <cellStyle name="Normal 5 3 3 2 2" xfId="2455" xr:uid="{A839F011-8155-4610-B944-88FC89A052CB}"/>
    <cellStyle name="Normal 5 3 3 3" xfId="2402" xr:uid="{0006C7A7-1F23-4A7E-B08D-EF9D74135478}"/>
    <cellStyle name="Normal 5 3 4" xfId="488" xr:uid="{BB6714A8-AD0C-4569-AAC6-3CCAC473E418}"/>
    <cellStyle name="Normal 5 3 4 2" xfId="2452" xr:uid="{14FA4D80-BBCB-490F-A69F-CBFEA24E0F6A}"/>
    <cellStyle name="Normal 5 3 5" xfId="2376" xr:uid="{9600F424-C7D2-448E-B443-7F436AD9666F}"/>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3" xfId="2404" xr:uid="{A5782E46-95CE-4DD0-A4DB-E79600F80B79}"/>
    <cellStyle name="Normal 5 4 3" xfId="492" xr:uid="{4F11EE93-4C8C-4722-8035-4AA391D8BCD5}"/>
    <cellStyle name="Normal 5 4 3 2" xfId="2456" xr:uid="{22B46F69-B45C-4514-A79A-ED096E69BEF8}"/>
    <cellStyle name="Normal 5 4 4" xfId="2383" xr:uid="{DABDFEEE-78BC-46CD-864A-22E6FFD2B914}"/>
    <cellStyle name="Normal 5 5" xfId="350" xr:uid="{6786BC1E-1455-40A5-97D0-3F54E6BA537D}"/>
    <cellStyle name="Normal 5 5 2" xfId="494" xr:uid="{8525BBB9-A6CA-45BB-A7F6-037F1A75AB04}"/>
    <cellStyle name="Normal 5 5 2 2" xfId="2458" xr:uid="{A81FD36E-A34D-4E54-AB9E-486B84AA294C}"/>
    <cellStyle name="Normal 5 5 3" xfId="2397" xr:uid="{B6D7FEEC-5122-4C2A-81D6-D39E970F83D8}"/>
    <cellStyle name="Normal 5 6" xfId="394" xr:uid="{B590EA6B-DD12-45C5-B516-81E383565FBB}"/>
    <cellStyle name="Normal 5 7" xfId="478" xr:uid="{475C9D31-9E94-4DD8-81FD-CC89BFEAFFF6}"/>
    <cellStyle name="Normal 5 7 2" xfId="2442" xr:uid="{F7222854-BDF0-43DF-B447-F1A8DDD0585A}"/>
    <cellStyle name="Normal 5 8" xfId="316" xr:uid="{01432787-077E-493D-BA97-A69E1BBB1CC9}"/>
    <cellStyle name="Normal 5 8 2" xfId="2370" xr:uid="{3FD3EF8A-6D81-49F0-A3B2-E1DC60683CB9}"/>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3" xfId="2435" xr:uid="{E7FD141C-73A0-4966-9082-2CA281E63130}"/>
    <cellStyle name="Normal 6 11" xfId="495" xr:uid="{3A2A6A38-1AA3-48E5-ACF0-CF0AD363C96F}"/>
    <cellStyle name="Normal 6 11 2" xfId="2459" xr:uid="{0764EF6D-635A-46EF-8E98-2ED4D4A33BCD}"/>
    <cellStyle name="Normal 6 12" xfId="2366" xr:uid="{EBEFF05F-094F-4AC0-B26C-6232D9D2FAC1}"/>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3" xfId="2408" xr:uid="{74BD9786-392E-4444-BFCE-34A9E3DFD8CF}"/>
    <cellStyle name="Normal 6 2 2 2 3" xfId="499" xr:uid="{40C8B826-AC28-4D97-AB30-609250CFAB62}"/>
    <cellStyle name="Normal 6 2 2 2 3 2" xfId="2463" xr:uid="{0F6DFA82-1BAB-4FA1-83FB-9CF7191ACD01}"/>
    <cellStyle name="Normal 6 2 2 2 4" xfId="2389" xr:uid="{89D67BC5-BEA9-475D-90BC-8AA6010D4AD5}"/>
    <cellStyle name="Normal 6 2 2 3" xfId="360" xr:uid="{A06C7EB0-F4FB-4C68-B782-0F983503FAA0}"/>
    <cellStyle name="Normal 6 2 2 3 2" xfId="501" xr:uid="{96CF31BA-9C02-4CCD-9952-D06EB8422824}"/>
    <cellStyle name="Normal 6 2 2 3 2 2" xfId="2465" xr:uid="{745A67B5-1D5B-4C93-8C8F-C49C6A34FB2B}"/>
    <cellStyle name="Normal 6 2 2 3 3" xfId="2407" xr:uid="{F97C380C-3BA5-4B6B-B600-32E4B00D2B83}"/>
    <cellStyle name="Normal 6 2 2 4" xfId="498" xr:uid="{96503A98-FA06-4309-87FF-1CCC8ABB5B89}"/>
    <cellStyle name="Normal 6 2 2 4 2" xfId="2462" xr:uid="{D88B7032-65A4-4A5E-AF87-12687CBAA14F}"/>
    <cellStyle name="Normal 6 2 2 5" xfId="2380" xr:uid="{CEB843AA-33DE-4BDA-9831-8EA84E9A4122}"/>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3" xfId="2409" xr:uid="{193D404D-5FE2-4DBF-8E4E-6E79F0AC516F}"/>
    <cellStyle name="Normal 6 2 3 3" xfId="502" xr:uid="{18DED862-82D7-4107-A927-3AA28763B665}"/>
    <cellStyle name="Normal 6 2 3 3 2" xfId="2466" xr:uid="{32213AAB-8835-4536-B20E-36EE33CA9F0B}"/>
    <cellStyle name="Normal 6 2 3 4" xfId="2388" xr:uid="{1F625991-51B3-4DD9-B00D-57526DB3FD7B}"/>
    <cellStyle name="Normal 6 2 4" xfId="359" xr:uid="{B12A5A68-4547-4DE8-BC23-2C9B8588B93E}"/>
    <cellStyle name="Normal 6 2 4 2" xfId="504" xr:uid="{9DE5B1A4-F004-431C-9E48-BB76AB2A7780}"/>
    <cellStyle name="Normal 6 2 4 2 2" xfId="2468" xr:uid="{20D2A1B0-87C4-44E4-B67A-86F7FBD6F3AF}"/>
    <cellStyle name="Normal 6 2 4 3" xfId="2406" xr:uid="{FBDC6F04-8149-4A8C-B152-55E3BCB0D915}"/>
    <cellStyle name="Normal 6 2 5" xfId="462" xr:uid="{832E20EF-75D1-4E76-AE9A-8C5615B00C8C}"/>
    <cellStyle name="Normal 6 2 5 2" xfId="505" xr:uid="{2578C940-9BBF-4070-AB23-EC0E9D597F56}"/>
    <cellStyle name="Normal 6 2 5 2 2" xfId="2469" xr:uid="{47B2D855-ACF3-4EA3-AB33-4716D37B5188}"/>
    <cellStyle name="Normal 6 2 5 3" xfId="2436" xr:uid="{0122676D-F525-46F6-9F44-6A6CF7D0E0F8}"/>
    <cellStyle name="Normal 6 2 6" xfId="497" xr:uid="{07CB5249-6332-4965-98A7-F50F15256EE3}"/>
    <cellStyle name="Normal 6 2 6 2" xfId="2461" xr:uid="{4CC7D52B-EA33-43ED-8545-E51F1940C147}"/>
    <cellStyle name="Normal 6 2 7" xfId="2373" xr:uid="{6E0F78EE-D0CD-431A-96E0-2929ADBAF8B2}"/>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3" xfId="2412" xr:uid="{94183E26-5AC9-4FB7-9E2C-6D0618E5988D}"/>
    <cellStyle name="Normal 6 3 2 2 3" xfId="508" xr:uid="{8A823C7D-7991-4ECD-9D0A-C95B331DF16C}"/>
    <cellStyle name="Normal 6 3 2 2 3 2" xfId="2472" xr:uid="{DFCAD376-28A2-411B-9975-09F4A4E95AB2}"/>
    <cellStyle name="Normal 6 3 2 2 4" xfId="2391" xr:uid="{1E9F228C-870D-45D1-95DC-CC7E3796AEA0}"/>
    <cellStyle name="Normal 6 3 2 3" xfId="364" xr:uid="{3C3350DF-CFEB-43B3-B2BE-92D38DFB8A8C}"/>
    <cellStyle name="Normal 6 3 2 3 2" xfId="510" xr:uid="{420A7F7E-505B-4AA7-924A-328CA7D78224}"/>
    <cellStyle name="Normal 6 3 2 3 2 2" xfId="2474" xr:uid="{85F8432D-C622-438D-B3D5-A9D1727AB8B0}"/>
    <cellStyle name="Normal 6 3 2 3 3" xfId="2411" xr:uid="{EC0BEE4E-B579-475B-BF4D-16979388E765}"/>
    <cellStyle name="Normal 6 3 2 4" xfId="507" xr:uid="{84446E88-1427-4D8E-A75F-7834A03FCCF2}"/>
    <cellStyle name="Normal 6 3 2 4 2" xfId="2471" xr:uid="{65ACB2C5-C577-4480-A4A2-585269914BD9}"/>
    <cellStyle name="Normal 6 3 2 5" xfId="2382" xr:uid="{EB414B00-103C-42BC-B36A-1A8CBFB0AFF1}"/>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3" xfId="2413" xr:uid="{1FCD6D12-2B6F-4137-AF2F-29BEC1252D06}"/>
    <cellStyle name="Normal 6 3 3 3" xfId="511" xr:uid="{EA019976-4D61-4887-BD4C-AE32961B1BD9}"/>
    <cellStyle name="Normal 6 3 3 3 2" xfId="2475" xr:uid="{893441EB-22FC-4BEC-A0E2-456E45BDEA4F}"/>
    <cellStyle name="Normal 6 3 3 4" xfId="2390" xr:uid="{114C17B1-4C4E-4EB2-BB8C-BC13415F7434}"/>
    <cellStyle name="Normal 6 3 4" xfId="363" xr:uid="{462DC147-F652-4769-AB6D-6317046FF139}"/>
    <cellStyle name="Normal 6 3 4 2" xfId="513" xr:uid="{2FE0EEE6-A4A3-4483-BD07-DF19DD09F1EA}"/>
    <cellStyle name="Normal 6 3 4 2 2" xfId="2477" xr:uid="{679398A9-B6C8-4C3E-B839-5A62927BB31B}"/>
    <cellStyle name="Normal 6 3 4 3" xfId="2410" xr:uid="{53BDAFF7-35C6-4B02-9FE2-E6C7FB89B966}"/>
    <cellStyle name="Normal 6 3 5" xfId="506" xr:uid="{AA3C4D4C-E5C6-4D80-A25E-FC112FF274F0}"/>
    <cellStyle name="Normal 6 3 5 2" xfId="2470" xr:uid="{49729B85-FAFC-4467-90FF-EABD1538EB01}"/>
    <cellStyle name="Normal 6 3 6" xfId="2375" xr:uid="{A7294F53-EA7B-44E7-A974-2C1F1EDBBEAC}"/>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3" xfId="2415" xr:uid="{EFE7F354-E635-4A82-89F6-52DDC092FAF7}"/>
    <cellStyle name="Normal 6 4 2 3" xfId="515" xr:uid="{0A0EB32C-9796-4F37-A16A-37FC5144D4AB}"/>
    <cellStyle name="Normal 6 4 2 3 2" xfId="2479" xr:uid="{DFA1A477-02FE-4B37-A437-4CCF58EFDB7D}"/>
    <cellStyle name="Normal 6 4 2 4" xfId="2392" xr:uid="{BBFB6231-E2EE-46F2-9BCB-A1EE639F7CE5}"/>
    <cellStyle name="Normal 6 4 3" xfId="367" xr:uid="{9C02624F-CE3F-4F38-A35D-033FB56C4037}"/>
    <cellStyle name="Normal 6 4 3 2" xfId="517" xr:uid="{0E38B21D-6DF5-4338-B06D-5655A497F7E6}"/>
    <cellStyle name="Normal 6 4 3 2 2" xfId="2481" xr:uid="{254086A7-12C5-45BD-B537-6FBEB41C16B0}"/>
    <cellStyle name="Normal 6 4 3 3" xfId="2414" xr:uid="{66E627F4-69FF-45FA-9210-AE1A3406D65B}"/>
    <cellStyle name="Normal 6 4 4" xfId="514" xr:uid="{9BF7FFF0-3EB4-4091-9E00-CA9FA1E549FB}"/>
    <cellStyle name="Normal 6 4 4 2" xfId="2478" xr:uid="{389581C7-B203-4F11-8F97-733B5136E8AB}"/>
    <cellStyle name="Normal 6 4 5" xfId="2377" xr:uid="{5D3C9594-F600-401A-A009-AB874F29DC6F}"/>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3" xfId="2416" xr:uid="{325D3F3C-8C58-4545-A9A2-93F5AC956EC3}"/>
    <cellStyle name="Normal 6 5 3" xfId="518" xr:uid="{E83F8610-E98C-438E-94F1-268563430D1C}"/>
    <cellStyle name="Normal 6 5 3 2" xfId="2482" xr:uid="{119A8D2C-6811-414C-A4FC-B8FFB23DCCAD}"/>
    <cellStyle name="Normal 6 5 4" xfId="2387" xr:uid="{66AF7868-7E86-49C7-BBF5-02979697E47B}"/>
    <cellStyle name="Normal 6 6" xfId="358" xr:uid="{F47BB582-81A8-41F2-85E0-644AF670AC7E}"/>
    <cellStyle name="Normal 6 6 2" xfId="520" xr:uid="{AAE49162-A0EB-4613-82A5-80E2E7244EF6}"/>
    <cellStyle name="Normal 6 6 2 2" xfId="2484" xr:uid="{ADF02DCC-D493-4648-AC17-8052CF77E14B}"/>
    <cellStyle name="Normal 6 6 3" xfId="2405" xr:uid="{838D3ACF-1315-4E94-9B4E-4B25BB91EF1A}"/>
    <cellStyle name="Normal 6 7" xfId="395" xr:uid="{9FF7AF40-6BC8-4651-98F8-A13E09D789E4}"/>
    <cellStyle name="Normal 6 7 2" xfId="521" xr:uid="{077E1489-F306-40F6-B566-E6A4900335E8}"/>
    <cellStyle name="Normal 6 7 2 2" xfId="2485" xr:uid="{3BEBCE5B-4320-407F-8715-C891D0D50F9B}"/>
    <cellStyle name="Normal 6 7 3" xfId="2426" xr:uid="{2FF97F68-EA56-49DB-BC04-731E942DA78E}"/>
    <cellStyle name="Normal 6 8" xfId="431" xr:uid="{5DB46C59-3781-4539-AA80-7789BC7A722D}"/>
    <cellStyle name="Normal 6 8 2" xfId="522" xr:uid="{1FC88BCE-ACA6-461E-B9A4-593226CDEAB1}"/>
    <cellStyle name="Normal 6 8 2 2" xfId="2486" xr:uid="{E2CFD0EE-044C-43F6-80C0-C89EE575019B}"/>
    <cellStyle name="Normal 6 8 3" xfId="2428" xr:uid="{29D2EC6D-8697-4715-94C5-158299B74633}"/>
    <cellStyle name="Normal 6 9" xfId="434" xr:uid="{F173A7BC-B3B4-4993-83C3-574E15738251}"/>
    <cellStyle name="Normal 6 9 2" xfId="523" xr:uid="{75A2EE0A-9BEB-465C-894B-EFB32F5EA7F6}"/>
    <cellStyle name="Normal 6 9 2 2" xfId="2487" xr:uid="{F0E40BCD-FE3F-4746-A7AB-87AEF1E95D77}"/>
    <cellStyle name="Normal 6 9 3" xfId="2430" xr:uid="{AF074510-D5C2-4BDA-9540-08950987FE30}"/>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3" xfId="2420" xr:uid="{DD435E68-9FFD-4722-AEE2-C9D689A7DFEE}"/>
    <cellStyle name="Normal 7 2 2 2 3" xfId="527" xr:uid="{F53862C9-F708-41F3-80F4-FFF155AD6DC8}"/>
    <cellStyle name="Normal 7 2 2 2 3 2" xfId="2491" xr:uid="{31280036-3AC0-49CE-9BD7-9B22818AB31E}"/>
    <cellStyle name="Normal 7 2 2 2 4" xfId="2395" xr:uid="{CD68B079-3F18-4FBB-A80C-6998ED1F6370}"/>
    <cellStyle name="Normal 7 2 2 3" xfId="372" xr:uid="{0461ED90-3354-479B-A36E-A470E342BC2C}"/>
    <cellStyle name="Normal 7 2 2 3 2" xfId="529" xr:uid="{14A5EA1C-D735-453D-9005-B412177A00FE}"/>
    <cellStyle name="Normal 7 2 2 3 2 2" xfId="2493" xr:uid="{8867F61C-4694-486A-A125-1285125A7C17}"/>
    <cellStyle name="Normal 7 2 2 3 3" xfId="2419" xr:uid="{C3198BF0-E4F8-47B4-83D4-82844779B4F4}"/>
    <cellStyle name="Normal 7 2 2 4" xfId="526" xr:uid="{F66FFCAF-5FFC-43CD-9D87-573FEB256CAA}"/>
    <cellStyle name="Normal 7 2 2 4 2" xfId="2490" xr:uid="{03917D2B-1E2F-4580-977F-53C0C4C0FD62}"/>
    <cellStyle name="Normal 7 2 2 5" xfId="2381" xr:uid="{5206D179-D686-4F9A-88A2-0C7F58D4145E}"/>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3" xfId="2421" xr:uid="{C9911013-1BC5-45FF-8933-B89E03BC6552}"/>
    <cellStyle name="Normal 7 2 3 3" xfId="530" xr:uid="{509AE553-6997-4E31-B6D6-629027FD8511}"/>
    <cellStyle name="Normal 7 2 3 3 2" xfId="2494" xr:uid="{29392F8E-0445-4234-9DF9-FCC49BC92DC3}"/>
    <cellStyle name="Normal 7 2 3 4" xfId="2394" xr:uid="{008A3609-FB0A-4690-96C4-9010807A00D0}"/>
    <cellStyle name="Normal 7 2 4" xfId="371" xr:uid="{E27B4B98-324F-4EC7-AAF6-2F08F660E2C0}"/>
    <cellStyle name="Normal 7 2 4 2" xfId="532" xr:uid="{6AAF3D36-16EE-439B-AEC0-F7373DCB8521}"/>
    <cellStyle name="Normal 7 2 4 2 2" xfId="2496" xr:uid="{D8CFFE08-115E-434E-9EB3-A6433FE073E9}"/>
    <cellStyle name="Normal 7 2 4 3" xfId="2418" xr:uid="{45D62785-57C6-4D1C-B36C-13486E6AD0E5}"/>
    <cellStyle name="Normal 7 2 5" xfId="463" xr:uid="{C0E9D699-8198-4B53-86E0-DB91E03F11E4}"/>
    <cellStyle name="Normal 7 2 5 2" xfId="533" xr:uid="{3B9A6999-F68A-4D2B-AB62-F1C1F17994FC}"/>
    <cellStyle name="Normal 7 2 5 2 2" xfId="2497" xr:uid="{96B1E244-46A9-40F9-AA84-0744AFF25C4A}"/>
    <cellStyle name="Normal 7 2 5 3" xfId="2437" xr:uid="{BBDEF25E-9B97-4E19-9632-FFD2754AF2A4}"/>
    <cellStyle name="Normal 7 2 6" xfId="525" xr:uid="{72BF2DA2-35A8-4A3D-A40C-F2997DCEC459}"/>
    <cellStyle name="Normal 7 2 6 2" xfId="2489" xr:uid="{C3889AF3-182C-4A9E-803B-55AE308E1919}"/>
    <cellStyle name="Normal 7 2 7" xfId="2374" xr:uid="{AEA17F1E-D5A7-4F1F-B03C-5F1B27ABD195}"/>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3" xfId="2423" xr:uid="{74B30BC8-A101-4F21-84B2-572B91D82F8C}"/>
    <cellStyle name="Normal 7 3 2 3" xfId="535" xr:uid="{3925FBA5-C494-48A2-B2B7-D3E5385D79CB}"/>
    <cellStyle name="Normal 7 3 2 3 2" xfId="2499" xr:uid="{32E4D47A-F934-4F46-B5E3-705B6FFC5FF8}"/>
    <cellStyle name="Normal 7 3 2 4" xfId="2396" xr:uid="{118176EF-B76B-41EB-AA94-EB7F91764DFE}"/>
    <cellStyle name="Normal 7 3 3" xfId="375" xr:uid="{B020E678-952B-4AF3-A5E4-5AA5B673BD3E}"/>
    <cellStyle name="Normal 7 3 3 2" xfId="537" xr:uid="{3F60A299-B6B7-4147-BBA7-1E2BB68BE33F}"/>
    <cellStyle name="Normal 7 3 3 2 2" xfId="2501" xr:uid="{A644B20E-9461-4767-8B84-6FE230B3EF4A}"/>
    <cellStyle name="Normal 7 3 3 3" xfId="2422" xr:uid="{A93575A5-170E-439A-A19F-1032550F8134}"/>
    <cellStyle name="Normal 7 3 4" xfId="534" xr:uid="{3F4526F5-9CFA-459D-B311-2FD1BC2F0A02}"/>
    <cellStyle name="Normal 7 3 4 2" xfId="2498" xr:uid="{A09CD918-F090-4E76-8C0C-55EDF7454D2E}"/>
    <cellStyle name="Normal 7 3 5" xfId="2378" xr:uid="{CDA63664-C1A2-41FA-8370-B1A71887B3E2}"/>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3" xfId="2424" xr:uid="{A3F42226-53AD-491D-9E1D-D240BFDC4B9A}"/>
    <cellStyle name="Normal 7 4 3" xfId="538" xr:uid="{53C0982A-C032-4E82-BCE6-C7FF30BF6428}"/>
    <cellStyle name="Normal 7 4 3 2" xfId="2502" xr:uid="{A8CC0F73-E5EE-4CD4-B901-64A1AF4D511D}"/>
    <cellStyle name="Normal 7 4 4" xfId="2393" xr:uid="{9C4383BD-EFC2-4ABC-93AD-D1DCCEFAF47B}"/>
    <cellStyle name="Normal 7 5" xfId="370" xr:uid="{E534B099-97A2-459F-AC3B-685E662C32A9}"/>
    <cellStyle name="Normal 7 5 2" xfId="540" xr:uid="{35D029D9-9EF6-4D15-A33B-676D6FF7A1A1}"/>
    <cellStyle name="Normal 7 5 2 2" xfId="2504" xr:uid="{707EFC6E-B1A4-4CC8-8563-22EF863C3F8E}"/>
    <cellStyle name="Normal 7 5 3" xfId="2417" xr:uid="{FFE4F75C-18BC-4F07-B3B5-AB254FBBE55B}"/>
    <cellStyle name="Normal 7 6" xfId="383" xr:uid="{7FC79651-053F-4277-8FB4-F773C2CBFFD1}"/>
    <cellStyle name="Normal 7 7" xfId="524" xr:uid="{0CE32725-2553-4924-8A10-11C6AFC6DD4D}"/>
    <cellStyle name="Normal 7 7 2" xfId="2488" xr:uid="{18C66469-FBEC-4C71-A624-81E92C76A196}"/>
    <cellStyle name="Normal 7 8" xfId="324" xr:uid="{E6684B8E-BDA5-404F-BE20-6F5372A7294E}"/>
    <cellStyle name="Normal 7 8 2" xfId="2371" xr:uid="{8E9FBF7A-1F20-4F13-99E1-35DC9632C1E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3" xfId="2425" xr:uid="{06CE6654-9F98-4787-85F1-579D955D08A8}"/>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3" xfId="2429" xr:uid="{6682F30B-FE0C-4267-81E1-E4B4B4FAE8A7}"/>
    <cellStyle name="Standard 2 3" xfId="542" xr:uid="{23A56273-A6D6-46FE-8D9E-6491C81E4714}"/>
    <cellStyle name="Standard 2 3 2" xfId="2506" xr:uid="{A5DAAF7F-A527-4161-9E33-8CF800926E49}"/>
    <cellStyle name="Standard 2 4" xfId="2320" xr:uid="{CCC5253D-EDBF-42D8-A8B2-8D94F736F982}"/>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808080"/>
      <color rgb="FFFFFF99"/>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0" dT="2020-08-19T00:06:43.00" personId="{811026A2-74EF-4287-974D-D90683F22217}" id="{C628B71D-C3A5-4BD2-8BA3-F913D91394D4}">
    <text>Leave this cell blank.</text>
  </threadedComment>
  <threadedComment ref="E30" dT="2020-08-19T00:06:43.00" personId="{811026A2-74EF-4287-974D-D90683F22217}" id="{D0801E46-9E1F-4D2B-A06C-3AD5C5DDEBCA}">
    <text>Leave this cell blank.</text>
  </threadedComment>
  <threadedComment ref="E38" dT="2020-08-19T00:06:43.00" personId="{811026A2-74EF-4287-974D-D90683F22217}" id="{19777683-0E7F-4DAF-955F-A7EBAC7AAEEA}">
    <text>Leave this cell blank.</text>
  </threadedComment>
  <threadedComment ref="E39" dT="2020-08-19T00:06:43.00" personId="{811026A2-74EF-4287-974D-D90683F22217}" id="{A2328F4B-C3F9-4761-BF76-1D4F4D6A14B6}">
    <text>Leave this cell blank.</text>
  </threadedComment>
  <threadedComment ref="I46" dT="2021-05-24T22:03:23.71" personId="{811026A2-74EF-4287-974D-D90683F22217}" id="{E2106FC3-386C-4714-B306-9BA0FD425274}">
    <text>Unit varies based on currency in this EPS region</text>
  </threadedComment>
  <threadedComment ref="I83" dT="2021-05-24T22:03:35.61" personId="{811026A2-74EF-4287-974D-D90683F22217}" id="{E8911680-E731-4D67-9690-17976D3FED66}">
    <text>Unit varies based on currency in this EPS region</text>
  </threadedComment>
  <threadedComment ref="D85" dT="2020-08-19T00:06:43.00" personId="{811026A2-74EF-4287-974D-D90683F22217}" id="{5B177B48-17FC-4889-93EE-8CEBBC9D67A1}">
    <text>Leave this cell blank.</text>
  </threadedComment>
  <threadedComment ref="D86" dT="2020-08-19T00:06:43.00" personId="{811026A2-74EF-4287-974D-D90683F22217}" id="{FC0E8780-2055-48EE-B42B-F31936B1D4FF}">
    <text>Leave this cell blank.</text>
  </threadedComment>
  <threadedComment ref="D87" dT="2020-08-19T00:06:43.00" personId="{811026A2-74EF-4287-974D-D90683F22217}" id="{9E6238C4-2B41-4F84-9F69-94DEF5E3EB8C}">
    <text>Leave this cell blank.</text>
  </threadedComment>
  <threadedComment ref="E87" dT="2020-08-19T00:06:43.00" personId="{811026A2-74EF-4287-974D-D90683F22217}" id="{6E9F8D40-752E-4116-9D9F-F74F76285640}">
    <text>Leave this cell blank.</text>
  </threadedComment>
  <threadedComment ref="D91" dT="2020-08-19T00:06:43.00" personId="{811026A2-74EF-4287-974D-D90683F22217}" id="{F601AB12-684E-4E95-8C1E-B144486F847D}">
    <text>Leave this cell blank.</text>
  </threadedComment>
  <threadedComment ref="E91" dT="2020-08-19T00:06:43.00" personId="{811026A2-74EF-4287-974D-D90683F22217}" id="{A645F5AA-7A90-4A35-968A-CE10D0FAB4B0}">
    <text>Leave this cell blank.</text>
  </threadedComment>
  <threadedComment ref="D92" dT="2020-08-19T00:06:43.00" personId="{811026A2-74EF-4287-974D-D90683F22217}" id="{746FF03D-5804-4E4E-B458-37BB59B9E142}">
    <text>Leave this cell blank.</text>
  </threadedComment>
  <threadedComment ref="E92" dT="2020-08-19T00:06:43.00" personId="{811026A2-74EF-4287-974D-D90683F22217}" id="{9EC6115E-EDF0-4A53-BA39-6E38927B0C70}">
    <text>Leave this cell blank.</text>
  </threadedComment>
  <threadedComment ref="D93" dT="2020-08-19T00:06:43.00" personId="{811026A2-74EF-4287-974D-D90683F22217}" id="{AB2AEDA0-791A-4901-BF44-CCC69230B04C}">
    <text>Leave this cell blank.</text>
  </threadedComment>
  <threadedComment ref="E93" dT="2020-08-19T00:06:43.00" personId="{811026A2-74EF-4287-974D-D90683F22217}" id="{C2983161-1E33-4DB9-8522-CBCD17E9BF44}">
    <text>Leave this cell blank.</text>
  </threadedComment>
  <threadedComment ref="B94" dT="2021-05-24T22:05:02.77" personId="{811026A2-74EF-4287-974D-D90683F22217}" id="{C12E46EA-3F96-434D-AD07-C9DAE30A70F4}">
    <text>Several Vensim variables are grouped under the same policy lever in the web app for this policy.</text>
  </threadedComment>
  <threadedComment ref="B101" dT="2021-05-24T22:19:40.61" personId="{811026A2-74EF-4287-974D-D90683F22217}" id="{A29A373E-8B2B-4B45-BF1E-AC6A2B5F3C17}">
    <text>Several Vensim variables are grouped under the same policy lever in the web app for this policy.</text>
  </threadedComment>
  <threadedComment ref="D106" dT="2020-08-19T00:06:43.00" personId="{811026A2-74EF-4287-974D-D90683F22217}" id="{4879F214-E99D-4D42-8C39-70789BBBC99D}">
    <text>Leave this cell blank.</text>
  </threadedComment>
  <threadedComment ref="D107" dT="2020-08-19T00:06:43.00" personId="{811026A2-74EF-4287-974D-D90683F22217}" id="{29C92E86-4989-4367-A9C0-46D156A7CEBB}">
    <text>Leave this cell blank.</text>
  </threadedComment>
  <threadedComment ref="D108" dT="2020-08-19T00:06:43.00" personId="{811026A2-74EF-4287-974D-D90683F22217}" id="{8C94AB36-0C9D-4D5F-A64A-5E1836200BD4}">
    <text>Leave this cell blank.</text>
  </threadedComment>
  <threadedComment ref="D110" dT="2020-08-19T00:06:43.00" personId="{811026A2-74EF-4287-974D-D90683F22217}" id="{0785BC27-69F5-4B43-8886-6AB6B3A1C38C}">
    <text>Leave this cell blank.</text>
  </threadedComment>
  <threadedComment ref="D111" dT="2020-08-19T00:06:43.00" personId="{811026A2-74EF-4287-974D-D90683F22217}" id="{4E6A3C34-D015-4798-8B15-C2C63B01F6C3}">
    <text>Leave this cell blank.</text>
  </threadedComment>
  <threadedComment ref="D112" dT="2020-08-19T00:06:43.00" personId="{811026A2-74EF-4287-974D-D90683F22217}" id="{7355F6F6-D3AD-4011-944E-FCE1A44D743D}">
    <text>Leave this cell blank.</text>
  </threadedComment>
  <threadedComment ref="D113" dT="2020-08-19T00:06:43.00" personId="{811026A2-74EF-4287-974D-D90683F22217}" id="{52DDC055-DFE6-4C4D-97FC-B38B71C63DF3}">
    <text>Leave this cell blank.</text>
  </threadedComment>
  <threadedComment ref="D115" dT="2020-08-19T00:06:43.00" personId="{811026A2-74EF-4287-974D-D90683F22217}" id="{0EFD8687-3DDE-4CBD-AEA3-EE622A1F5ED4}">
    <text>Leave this cell blank.</text>
  </threadedComment>
  <threadedComment ref="D116" dT="2020-08-19T00:06:43.00" personId="{811026A2-74EF-4287-974D-D90683F22217}" id="{4F677542-9574-41F5-9B11-3E8FA1978897}">
    <text>Leave this cell blank.</text>
  </threadedComment>
  <threadedComment ref="D117" dT="2020-08-19T00:06:43.00" personId="{811026A2-74EF-4287-974D-D90683F22217}" id="{C6EC601F-FF77-423D-9BE3-C8F28EB3F9D6}">
    <text>Leave this cell blank.</text>
  </threadedComment>
  <threadedComment ref="D118" dT="2020-08-19T00:06:43.00" personId="{811026A2-74EF-4287-974D-D90683F22217}" id="{A5E5F926-8C26-4331-A7DC-EFA14653951A}">
    <text>Leave this cell blank.</text>
  </threadedComment>
  <threadedComment ref="E118" dT="2020-08-19T00:06:43.00" personId="{811026A2-74EF-4287-974D-D90683F22217}" id="{FBB6CCFB-0F4E-489C-9FA4-2FCAFFEE5EFA}">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18" sqref="B18"/>
    </sheetView>
  </sheetViews>
  <sheetFormatPr defaultColWidth="8.88671875" defaultRowHeight="14.4" x14ac:dyDescent="0.3"/>
  <cols>
    <col min="1" max="1" width="28.44140625" customWidth="1"/>
    <col min="2" max="2" width="24.44140625" customWidth="1"/>
  </cols>
  <sheetData>
    <row r="1" spans="1:2" x14ac:dyDescent="0.3">
      <c r="A1" s="9" t="s">
        <v>102</v>
      </c>
    </row>
    <row r="3" spans="1:2" x14ac:dyDescent="0.3">
      <c r="A3" t="s">
        <v>103</v>
      </c>
    </row>
    <row r="4" spans="1:2" x14ac:dyDescent="0.3">
      <c r="A4" t="s">
        <v>137</v>
      </c>
    </row>
    <row r="5" spans="1:2" x14ac:dyDescent="0.3">
      <c r="A5" t="s">
        <v>107</v>
      </c>
    </row>
    <row r="6" spans="1:2" x14ac:dyDescent="0.3">
      <c r="A6" t="s">
        <v>104</v>
      </c>
    </row>
    <row r="8" spans="1:2" x14ac:dyDescent="0.3">
      <c r="A8" t="s">
        <v>105</v>
      </c>
    </row>
    <row r="9" spans="1:2" x14ac:dyDescent="0.3">
      <c r="A9" t="s">
        <v>106</v>
      </c>
    </row>
    <row r="10" spans="1:2" x14ac:dyDescent="0.3">
      <c r="A10" s="41" t="s">
        <v>2763</v>
      </c>
    </row>
    <row r="11" spans="1:2" x14ac:dyDescent="0.3">
      <c r="A11" s="41"/>
    </row>
    <row r="12" spans="1:2" x14ac:dyDescent="0.3">
      <c r="A12" t="s">
        <v>108</v>
      </c>
    </row>
    <row r="13" spans="1:2" x14ac:dyDescent="0.3">
      <c r="A13" t="s">
        <v>109</v>
      </c>
    </row>
    <row r="14" spans="1:2" x14ac:dyDescent="0.3">
      <c r="A14" t="s">
        <v>110</v>
      </c>
    </row>
    <row r="16" spans="1:2" x14ac:dyDescent="0.3">
      <c r="A16" s="42" t="s">
        <v>2849</v>
      </c>
      <c r="B16" s="159"/>
    </row>
    <row r="17" spans="1:3" x14ac:dyDescent="0.3">
      <c r="A17" t="s">
        <v>2832</v>
      </c>
      <c r="B17" s="20">
        <f>MAX(PolicyLevers!H:H)</f>
        <v>2721</v>
      </c>
    </row>
    <row r="18" spans="1:3" x14ac:dyDescent="0.3">
      <c r="A18" t="s">
        <v>2848</v>
      </c>
      <c r="B18" s="20" t="str" cm="1">
        <f t="array" ref="B18">IF(MIN(IF(COUNTIF(PolicyLevers!$H$2:$H$1972,PolicyLevers!$H$2:$H$1972)&gt;1,PolicyLevers!$H$2:$H$1972, ""))=0,"No duplicate ID numbers",MIN(IF(COUNTIF(PolicyLevers!$H$2:$H$1972,PolicyLevers!$H$2:$H$1972)&gt;1,PolicyLevers!$H$2:$H$1972, "")))</f>
        <v>No duplicate ID numbers</v>
      </c>
    </row>
    <row r="19" spans="1:3" ht="28.8" x14ac:dyDescent="0.3">
      <c r="A19" s="1" t="s">
        <v>2974</v>
      </c>
      <c r="B19" s="20" t="str" cm="1">
        <f t="array" ref="B19">IF(MIN(IF((NOT(ISNUMBER(PolicyLevers!$H$2:$H$1972)))*(ISTEXT(PolicyLevers!$I$2:$I$1972)),ROW(PolicyLevers!$H$2:$H$1972)))=0,"No missing ID numbers",MIN(IF((NOT(ISNUMBER(PolicyLevers!$H$2:$H$1972)))*(ISTEXT(PolicyLevers!$I$2:$I$1972)),ROW(PolicyLevers!$H$2:$H$1972))))</f>
        <v>No missing ID numbers</v>
      </c>
    </row>
    <row r="21" spans="1:3" x14ac:dyDescent="0.3">
      <c r="A21" s="42" t="s">
        <v>3212</v>
      </c>
      <c r="B21" s="159"/>
    </row>
    <row r="22" spans="1:3" x14ac:dyDescent="0.3">
      <c r="A22" t="s">
        <v>3206</v>
      </c>
    </row>
    <row r="23" spans="1:3" x14ac:dyDescent="0.3">
      <c r="A23" t="s">
        <v>3207</v>
      </c>
    </row>
    <row r="24" spans="1:3" x14ac:dyDescent="0.3">
      <c r="A24" t="s">
        <v>3208</v>
      </c>
    </row>
    <row r="25" spans="1:3" x14ac:dyDescent="0.3">
      <c r="A25" t="s">
        <v>3209</v>
      </c>
    </row>
    <row r="27" spans="1:3" x14ac:dyDescent="0.3">
      <c r="A27" s="42" t="s">
        <v>3210</v>
      </c>
      <c r="B27" s="159"/>
      <c r="C27" s="159"/>
    </row>
    <row r="28" spans="1:3" x14ac:dyDescent="0.3">
      <c r="A28" t="s">
        <v>2842</v>
      </c>
    </row>
    <row r="29" spans="1:3" x14ac:dyDescent="0.3">
      <c r="A29" t="s">
        <v>2828</v>
      </c>
    </row>
    <row r="30" spans="1:3" x14ac:dyDescent="0.3">
      <c r="A30" t="s">
        <v>2829</v>
      </c>
    </row>
    <row r="31" spans="1:3" x14ac:dyDescent="0.3">
      <c r="A31" t="s">
        <v>2830</v>
      </c>
    </row>
    <row r="32" spans="1:3" x14ac:dyDescent="0.3">
      <c r="A32" t="s">
        <v>2831</v>
      </c>
    </row>
    <row r="34" spans="1:2" x14ac:dyDescent="0.3">
      <c r="A34" t="s">
        <v>2843</v>
      </c>
    </row>
    <row r="35" spans="1:2" x14ac:dyDescent="0.3">
      <c r="A35" t="s">
        <v>2826</v>
      </c>
    </row>
    <row r="36" spans="1:2" x14ac:dyDescent="0.3">
      <c r="A36" t="s">
        <v>2827</v>
      </c>
    </row>
    <row r="38" spans="1:2" x14ac:dyDescent="0.3">
      <c r="A38" t="s">
        <v>2844</v>
      </c>
    </row>
    <row r="39" spans="1:2" x14ac:dyDescent="0.3">
      <c r="A39" t="s">
        <v>2833</v>
      </c>
    </row>
    <row r="40" spans="1:2" x14ac:dyDescent="0.3">
      <c r="A40" t="s">
        <v>2834</v>
      </c>
    </row>
    <row r="42" spans="1:2" x14ac:dyDescent="0.3">
      <c r="A42" t="s">
        <v>2845</v>
      </c>
    </row>
    <row r="43" spans="1:2" x14ac:dyDescent="0.3">
      <c r="A43" t="s">
        <v>2835</v>
      </c>
    </row>
    <row r="44" spans="1:2" x14ac:dyDescent="0.3">
      <c r="A44" t="s">
        <v>2836</v>
      </c>
    </row>
    <row r="46" spans="1:2" x14ac:dyDescent="0.3">
      <c r="A46" s="42" t="s">
        <v>3211</v>
      </c>
      <c r="B46" s="159"/>
    </row>
    <row r="47" spans="1:2" x14ac:dyDescent="0.3">
      <c r="A47" t="s">
        <v>2837</v>
      </c>
    </row>
    <row r="48" spans="1:2" x14ac:dyDescent="0.3">
      <c r="A48" t="s">
        <v>2838</v>
      </c>
    </row>
    <row r="50" spans="1:1" x14ac:dyDescent="0.3">
      <c r="A50" t="s">
        <v>2839</v>
      </c>
    </row>
    <row r="51" spans="1:1" x14ac:dyDescent="0.3">
      <c r="A51" t="s">
        <v>2846</v>
      </c>
    </row>
    <row r="52" spans="1:1" x14ac:dyDescent="0.3">
      <c r="A52" t="s">
        <v>2840</v>
      </c>
    </row>
    <row r="53" spans="1:1" x14ac:dyDescent="0.3">
      <c r="A53" t="s">
        <v>2841</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18"/>
  <sheetViews>
    <sheetView workbookViewId="0">
      <selection activeCell="C18" sqref="C18"/>
    </sheetView>
  </sheetViews>
  <sheetFormatPr defaultColWidth="8.88671875" defaultRowHeight="14.4" x14ac:dyDescent="0.3"/>
  <cols>
    <col min="1" max="1" width="20.109375" customWidth="1"/>
    <col min="2" max="2" width="41.33203125" customWidth="1"/>
    <col min="3" max="5" width="20.109375" customWidth="1"/>
    <col min="6" max="8" width="10.109375" customWidth="1"/>
    <col min="9" max="9" width="20.109375" customWidth="1"/>
    <col min="10" max="10" width="153.44140625" customWidth="1"/>
    <col min="11" max="12" width="20.109375" customWidth="1"/>
    <col min="13" max="13" width="129.44140625" style="388" customWidth="1"/>
    <col min="14" max="14" width="67.44140625" customWidth="1"/>
  </cols>
  <sheetData>
    <row r="1" spans="1:14" x14ac:dyDescent="0.3">
      <c r="A1" s="9" t="s">
        <v>3184</v>
      </c>
      <c r="M1"/>
    </row>
    <row r="2" spans="1:14" x14ac:dyDescent="0.3">
      <c r="A2" s="16" t="s">
        <v>3185</v>
      </c>
      <c r="M2"/>
    </row>
    <row r="3" spans="1:14" x14ac:dyDescent="0.3">
      <c r="A3" s="381" t="s">
        <v>3</v>
      </c>
      <c r="B3" s="381" t="s">
        <v>0</v>
      </c>
      <c r="C3" s="381" t="s">
        <v>1</v>
      </c>
      <c r="D3" s="382" t="s">
        <v>343</v>
      </c>
      <c r="E3" s="381" t="s">
        <v>2260</v>
      </c>
      <c r="F3" s="383" t="s">
        <v>69</v>
      </c>
      <c r="G3" s="383" t="s">
        <v>70</v>
      </c>
      <c r="H3" s="383" t="s">
        <v>81</v>
      </c>
      <c r="I3" s="381" t="s">
        <v>28</v>
      </c>
      <c r="J3" s="381" t="s">
        <v>2</v>
      </c>
      <c r="K3" s="381" t="s">
        <v>440</v>
      </c>
      <c r="L3" s="381" t="s">
        <v>189</v>
      </c>
      <c r="M3" s="384" t="s">
        <v>144</v>
      </c>
      <c r="N3" s="385" t="s">
        <v>145</v>
      </c>
    </row>
    <row r="4" spans="1:14" x14ac:dyDescent="0.3">
      <c r="A4" s="317" t="s">
        <v>4</v>
      </c>
      <c r="B4" s="317" t="s">
        <v>2387</v>
      </c>
      <c r="C4" t="s">
        <v>2382</v>
      </c>
      <c r="D4" s="317" t="s">
        <v>2381</v>
      </c>
      <c r="E4" s="317" t="s">
        <v>2383</v>
      </c>
      <c r="F4" s="386">
        <v>0</v>
      </c>
      <c r="G4" s="386">
        <v>1</v>
      </c>
      <c r="H4" s="386">
        <v>0.02</v>
      </c>
      <c r="I4" s="317" t="s">
        <v>2384</v>
      </c>
      <c r="J4" s="370" t="s">
        <v>3454</v>
      </c>
      <c r="K4" s="387" t="s">
        <v>2386</v>
      </c>
      <c r="L4" s="317" t="s">
        <v>2385</v>
      </c>
    </row>
    <row r="5" spans="1:14" x14ac:dyDescent="0.3">
      <c r="A5" s="317" t="s">
        <v>4</v>
      </c>
      <c r="B5" s="317" t="s">
        <v>2452</v>
      </c>
      <c r="C5" t="s">
        <v>3463</v>
      </c>
      <c r="D5" s="317" t="s">
        <v>2453</v>
      </c>
      <c r="E5" s="317" t="s">
        <v>2454</v>
      </c>
      <c r="F5" s="389">
        <v>0</v>
      </c>
      <c r="G5" s="390">
        <v>3</v>
      </c>
      <c r="H5" s="390">
        <v>0.1</v>
      </c>
      <c r="I5" s="317" t="s">
        <v>3465</v>
      </c>
      <c r="J5" s="314" t="s">
        <v>3680</v>
      </c>
      <c r="K5" s="317"/>
      <c r="L5" s="317" t="s">
        <v>2695</v>
      </c>
      <c r="M5" s="388" t="s">
        <v>3203</v>
      </c>
    </row>
    <row r="6" spans="1:14" x14ac:dyDescent="0.3">
      <c r="A6" s="317" t="s">
        <v>4</v>
      </c>
      <c r="B6" s="317" t="s">
        <v>3460</v>
      </c>
      <c r="C6" t="s">
        <v>3461</v>
      </c>
      <c r="D6" s="317" t="s">
        <v>2456</v>
      </c>
      <c r="E6" t="s">
        <v>3464</v>
      </c>
      <c r="F6" s="391">
        <v>0</v>
      </c>
      <c r="G6" s="391">
        <v>1</v>
      </c>
      <c r="H6" s="391">
        <v>0.02</v>
      </c>
      <c r="I6" s="370" t="s">
        <v>2451</v>
      </c>
      <c r="J6" s="370" t="s">
        <v>3462</v>
      </c>
      <c r="K6" s="387"/>
      <c r="L6" s="387" t="s">
        <v>2696</v>
      </c>
      <c r="M6" s="392" t="s">
        <v>2455</v>
      </c>
    </row>
    <row r="7" spans="1:14" x14ac:dyDescent="0.3">
      <c r="A7" s="317" t="s">
        <v>4</v>
      </c>
      <c r="B7" s="317" t="s">
        <v>3437</v>
      </c>
      <c r="C7" t="s">
        <v>3439</v>
      </c>
      <c r="D7" s="317" t="s">
        <v>3441</v>
      </c>
      <c r="E7" t="s">
        <v>3442</v>
      </c>
      <c r="F7" s="393">
        <v>0</v>
      </c>
      <c r="G7" s="393">
        <v>50000</v>
      </c>
      <c r="H7" s="393">
        <v>100</v>
      </c>
      <c r="I7" s="393" t="s">
        <v>3444</v>
      </c>
      <c r="J7" s="394" t="s">
        <v>3681</v>
      </c>
      <c r="K7" s="387" t="s">
        <v>459</v>
      </c>
      <c r="L7" s="387" t="s">
        <v>460</v>
      </c>
      <c r="M7" s="392" t="s">
        <v>461</v>
      </c>
    </row>
    <row r="8" spans="1:14" x14ac:dyDescent="0.3">
      <c r="A8" s="317" t="s">
        <v>4</v>
      </c>
      <c r="B8" s="317" t="s">
        <v>3438</v>
      </c>
      <c r="C8" t="s">
        <v>3440</v>
      </c>
      <c r="D8" s="317" t="s">
        <v>3441</v>
      </c>
      <c r="E8" t="s">
        <v>3443</v>
      </c>
      <c r="F8" s="393">
        <v>0</v>
      </c>
      <c r="G8" s="393">
        <v>50000</v>
      </c>
      <c r="H8" s="393">
        <v>100</v>
      </c>
      <c r="I8" s="393" t="s">
        <v>3444</v>
      </c>
      <c r="J8" s="394" t="s">
        <v>3682</v>
      </c>
      <c r="K8" s="387" t="s">
        <v>459</v>
      </c>
      <c r="L8" s="387" t="s">
        <v>460</v>
      </c>
      <c r="M8" s="392"/>
    </row>
    <row r="9" spans="1:14" x14ac:dyDescent="0.3">
      <c r="A9" t="s">
        <v>4</v>
      </c>
      <c r="B9" t="s">
        <v>11</v>
      </c>
      <c r="C9" t="s">
        <v>111</v>
      </c>
      <c r="D9" s="20" t="s">
        <v>11</v>
      </c>
      <c r="E9" t="s">
        <v>2299</v>
      </c>
      <c r="F9" s="395">
        <v>0</v>
      </c>
      <c r="G9" s="395">
        <v>1</v>
      </c>
      <c r="H9" s="13">
        <v>0.02</v>
      </c>
      <c r="I9" s="370" t="s">
        <v>441</v>
      </c>
      <c r="J9" s="370" t="s">
        <v>3285</v>
      </c>
      <c r="K9" s="370" t="s">
        <v>190</v>
      </c>
      <c r="L9" s="314" t="s">
        <v>191</v>
      </c>
      <c r="M9" s="396" t="s">
        <v>146</v>
      </c>
      <c r="N9" s="370" t="s">
        <v>172</v>
      </c>
    </row>
    <row r="10" spans="1:14" x14ac:dyDescent="0.3">
      <c r="A10" t="s">
        <v>4</v>
      </c>
      <c r="B10" t="s">
        <v>5</v>
      </c>
      <c r="C10" t="s">
        <v>298</v>
      </c>
      <c r="D10" s="20" t="s">
        <v>344</v>
      </c>
      <c r="E10" t="s">
        <v>2298</v>
      </c>
      <c r="F10" s="395">
        <v>0</v>
      </c>
      <c r="G10" s="395">
        <f>ROUND(MaxBoundCalculations!B88,1)</f>
        <v>1</v>
      </c>
      <c r="H10" s="395">
        <v>0.01</v>
      </c>
      <c r="I10" s="370" t="s">
        <v>112</v>
      </c>
      <c r="J10" s="370" t="s">
        <v>3455</v>
      </c>
      <c r="K10" s="370" t="s">
        <v>192</v>
      </c>
      <c r="L10" s="314" t="s">
        <v>193</v>
      </c>
      <c r="M10" s="396" t="s">
        <v>3187</v>
      </c>
      <c r="N10" s="370" t="s">
        <v>3188</v>
      </c>
    </row>
    <row r="11" spans="1:14" x14ac:dyDescent="0.3">
      <c r="A11" s="317" t="s">
        <v>4</v>
      </c>
      <c r="B11" s="317" t="s">
        <v>464</v>
      </c>
      <c r="C11" t="s">
        <v>465</v>
      </c>
      <c r="D11" s="317" t="s">
        <v>464</v>
      </c>
      <c r="E11" t="s">
        <v>2297</v>
      </c>
      <c r="F11" s="386">
        <v>0</v>
      </c>
      <c r="G11" s="386">
        <v>1</v>
      </c>
      <c r="H11" s="386">
        <v>0.01</v>
      </c>
      <c r="I11" s="314" t="s">
        <v>466</v>
      </c>
      <c r="J11" s="370" t="s">
        <v>3683</v>
      </c>
      <c r="K11" s="370" t="s">
        <v>467</v>
      </c>
      <c r="L11" s="314" t="s">
        <v>468</v>
      </c>
      <c r="M11" s="397" t="s">
        <v>469</v>
      </c>
    </row>
    <row r="12" spans="1:14" x14ac:dyDescent="0.3">
      <c r="A12" s="317" t="s">
        <v>4</v>
      </c>
      <c r="B12" s="317" t="s">
        <v>3672</v>
      </c>
      <c r="C12" t="s">
        <v>3673</v>
      </c>
      <c r="D12" s="317" t="s">
        <v>464</v>
      </c>
      <c r="E12" t="s">
        <v>3674</v>
      </c>
      <c r="F12" s="398">
        <v>0</v>
      </c>
      <c r="G12" s="398">
        <v>1</v>
      </c>
      <c r="H12" s="398">
        <v>1</v>
      </c>
      <c r="I12" s="370" t="s">
        <v>29</v>
      </c>
      <c r="J12" s="370" t="s">
        <v>3675</v>
      </c>
      <c r="K12" s="370" t="s">
        <v>467</v>
      </c>
      <c r="L12" s="314" t="s">
        <v>468</v>
      </c>
      <c r="M12" s="397" t="s">
        <v>469</v>
      </c>
    </row>
    <row r="13" spans="1:14" x14ac:dyDescent="0.3">
      <c r="A13" t="s">
        <v>4</v>
      </c>
      <c r="B13" t="s">
        <v>2985</v>
      </c>
      <c r="C13" t="s">
        <v>2986</v>
      </c>
      <c r="D13" t="s">
        <v>2985</v>
      </c>
      <c r="E13" t="s">
        <v>2987</v>
      </c>
      <c r="F13" s="13">
        <v>0</v>
      </c>
      <c r="G13" s="13">
        <f>-ROUND(MaxBoundCalculations!$B$206,2)</f>
        <v>0.33</v>
      </c>
      <c r="H13" s="13">
        <v>0.01</v>
      </c>
      <c r="I13" s="370" t="s">
        <v>2988</v>
      </c>
      <c r="J13" s="370" t="s">
        <v>3451</v>
      </c>
      <c r="K13" s="370" t="s">
        <v>194</v>
      </c>
      <c r="L13" s="314" t="s">
        <v>195</v>
      </c>
      <c r="M13" s="399" t="s">
        <v>3202</v>
      </c>
    </row>
    <row r="14" spans="1:14" ht="172.8" x14ac:dyDescent="0.3">
      <c r="A14" s="317" t="s">
        <v>4</v>
      </c>
      <c r="B14" s="317" t="s">
        <v>3428</v>
      </c>
      <c r="C14" t="s">
        <v>3429</v>
      </c>
      <c r="D14" s="317" t="s">
        <v>3430</v>
      </c>
      <c r="E14" t="s">
        <v>3431</v>
      </c>
      <c r="F14" s="395">
        <v>0</v>
      </c>
      <c r="G14" s="395">
        <v>1</v>
      </c>
      <c r="H14" s="395">
        <v>0.01</v>
      </c>
      <c r="I14" s="370" t="s">
        <v>3679</v>
      </c>
      <c r="J14" s="45" t="s">
        <v>3684</v>
      </c>
      <c r="K14" s="387" t="s">
        <v>462</v>
      </c>
      <c r="L14" s="387" t="s">
        <v>463</v>
      </c>
      <c r="M14" s="388" t="s">
        <v>3186</v>
      </c>
    </row>
    <row r="15" spans="1:14" x14ac:dyDescent="0.3">
      <c r="A15" s="317" t="s">
        <v>4</v>
      </c>
      <c r="B15" s="317" t="s">
        <v>3434</v>
      </c>
      <c r="C15" t="s">
        <v>3435</v>
      </c>
      <c r="D15" s="317" t="s">
        <v>3430</v>
      </c>
      <c r="E15" t="s">
        <v>3432</v>
      </c>
      <c r="F15" s="398">
        <v>0</v>
      </c>
      <c r="G15" s="398">
        <v>1</v>
      </c>
      <c r="H15" s="398">
        <v>1</v>
      </c>
      <c r="I15" s="370" t="s">
        <v>29</v>
      </c>
      <c r="J15" s="370" t="s">
        <v>3433</v>
      </c>
      <c r="K15" s="387"/>
      <c r="L15" s="387"/>
    </row>
    <row r="16" spans="1:14" x14ac:dyDescent="0.3">
      <c r="A16" s="317" t="s">
        <v>4</v>
      </c>
      <c r="B16" s="317" t="s">
        <v>3627</v>
      </c>
      <c r="C16" t="s">
        <v>3628</v>
      </c>
      <c r="D16" s="317" t="s">
        <v>3629</v>
      </c>
      <c r="E16" t="s">
        <v>3630</v>
      </c>
      <c r="F16" s="398">
        <v>0</v>
      </c>
      <c r="G16" s="398">
        <v>50</v>
      </c>
      <c r="H16" s="398">
        <v>1</v>
      </c>
      <c r="I16" s="370" t="s">
        <v>3678</v>
      </c>
      <c r="J16" s="370" t="s">
        <v>3631</v>
      </c>
      <c r="K16" s="387"/>
      <c r="L16" s="387"/>
    </row>
    <row r="17" spans="1:14" ht="28.8" x14ac:dyDescent="0.3">
      <c r="A17" t="s">
        <v>4</v>
      </c>
      <c r="B17" t="s">
        <v>3827</v>
      </c>
      <c r="C17" t="s">
        <v>3830</v>
      </c>
      <c r="D17" s="317" t="s">
        <v>3430</v>
      </c>
      <c r="E17" t="s">
        <v>3828</v>
      </c>
      <c r="F17" s="398">
        <v>0</v>
      </c>
      <c r="G17" s="398">
        <v>1</v>
      </c>
      <c r="H17" s="398">
        <v>1</v>
      </c>
      <c r="I17" s="370" t="s">
        <v>29</v>
      </c>
      <c r="J17" s="45" t="s">
        <v>3829</v>
      </c>
      <c r="K17" s="387"/>
      <c r="L17" s="387"/>
    </row>
    <row r="18" spans="1:14" x14ac:dyDescent="0.3">
      <c r="A18" t="s">
        <v>71</v>
      </c>
      <c r="B18" t="s">
        <v>15</v>
      </c>
      <c r="C18" t="s">
        <v>2487</v>
      </c>
      <c r="D18" t="s">
        <v>15</v>
      </c>
      <c r="E18" t="s">
        <v>2486</v>
      </c>
      <c r="F18" s="395">
        <v>0</v>
      </c>
      <c r="G18" s="395">
        <v>1</v>
      </c>
      <c r="H18" s="395">
        <v>0.01</v>
      </c>
      <c r="I18" s="370" t="s">
        <v>114</v>
      </c>
      <c r="J18" s="370" t="s">
        <v>3717</v>
      </c>
      <c r="K18" s="370" t="s">
        <v>196</v>
      </c>
      <c r="L18" s="314" t="s">
        <v>197</v>
      </c>
      <c r="M18" s="396" t="s">
        <v>3189</v>
      </c>
    </row>
    <row r="19" spans="1:14" x14ac:dyDescent="0.3">
      <c r="A19" t="s">
        <v>71</v>
      </c>
      <c r="B19" t="s">
        <v>100</v>
      </c>
      <c r="C19" t="s">
        <v>299</v>
      </c>
      <c r="D19" t="s">
        <v>100</v>
      </c>
      <c r="E19" t="s">
        <v>2296</v>
      </c>
      <c r="F19" s="395">
        <v>0</v>
      </c>
      <c r="G19" s="395">
        <v>0.75</v>
      </c>
      <c r="H19" s="395">
        <v>0.01</v>
      </c>
      <c r="I19" s="370" t="s">
        <v>30</v>
      </c>
      <c r="J19" s="370" t="s">
        <v>3190</v>
      </c>
      <c r="K19" s="370" t="s">
        <v>198</v>
      </c>
      <c r="L19" s="314" t="s">
        <v>199</v>
      </c>
      <c r="M19" s="396" t="s">
        <v>147</v>
      </c>
      <c r="N19" s="370" t="s">
        <v>429</v>
      </c>
    </row>
    <row r="20" spans="1:14" x14ac:dyDescent="0.3">
      <c r="A20" t="s">
        <v>71</v>
      </c>
      <c r="B20" t="s">
        <v>14</v>
      </c>
      <c r="C20" t="s">
        <v>7</v>
      </c>
      <c r="D20" t="s">
        <v>14</v>
      </c>
      <c r="E20" t="s">
        <v>2295</v>
      </c>
      <c r="F20">
        <v>0</v>
      </c>
      <c r="G20">
        <v>1</v>
      </c>
      <c r="H20">
        <v>1</v>
      </c>
      <c r="I20" s="370" t="s">
        <v>29</v>
      </c>
      <c r="J20" s="370" t="s">
        <v>2307</v>
      </c>
      <c r="K20" s="370" t="s">
        <v>200</v>
      </c>
      <c r="L20" s="314" t="s">
        <v>201</v>
      </c>
    </row>
    <row r="21" spans="1:14" x14ac:dyDescent="0.3">
      <c r="A21" t="s">
        <v>71</v>
      </c>
      <c r="B21" t="s">
        <v>259</v>
      </c>
      <c r="C21" t="s">
        <v>300</v>
      </c>
      <c r="D21" s="20" t="s">
        <v>345</v>
      </c>
      <c r="E21" t="s">
        <v>2294</v>
      </c>
      <c r="F21">
        <v>0</v>
      </c>
      <c r="G21" s="13">
        <f>ROUND(MaxBoundCalculations!B172,2)</f>
        <v>0.24</v>
      </c>
      <c r="H21" s="400">
        <v>5.0000000000000001E-3</v>
      </c>
      <c r="I21" s="370" t="s">
        <v>260</v>
      </c>
      <c r="J21" s="370" t="s">
        <v>2300</v>
      </c>
      <c r="K21" s="370" t="s">
        <v>261</v>
      </c>
      <c r="L21" s="314" t="s">
        <v>262</v>
      </c>
      <c r="M21" s="397" t="s">
        <v>304</v>
      </c>
      <c r="N21" s="314" t="s">
        <v>395</v>
      </c>
    </row>
    <row r="22" spans="1:14" x14ac:dyDescent="0.3">
      <c r="A22" t="s">
        <v>71</v>
      </c>
      <c r="B22" t="s">
        <v>263</v>
      </c>
      <c r="C22" t="s">
        <v>3458</v>
      </c>
      <c r="D22" s="20" t="s">
        <v>345</v>
      </c>
      <c r="E22" t="s">
        <v>2293</v>
      </c>
      <c r="F22">
        <v>0</v>
      </c>
      <c r="G22" s="395">
        <v>0.5</v>
      </c>
      <c r="H22" s="13">
        <v>0.01</v>
      </c>
      <c r="I22" s="370" t="s">
        <v>266</v>
      </c>
      <c r="J22" s="370" t="s">
        <v>3459</v>
      </c>
      <c r="K22" s="370" t="s">
        <v>264</v>
      </c>
      <c r="L22" s="314" t="s">
        <v>265</v>
      </c>
      <c r="M22" s="397" t="s">
        <v>305</v>
      </c>
      <c r="N22" s="401"/>
    </row>
    <row r="23" spans="1:14" x14ac:dyDescent="0.3">
      <c r="A23" t="s">
        <v>71</v>
      </c>
      <c r="B23" t="s">
        <v>3777</v>
      </c>
      <c r="C23" t="s">
        <v>3778</v>
      </c>
      <c r="D23" s="20" t="s">
        <v>345</v>
      </c>
      <c r="E23" t="s">
        <v>3779</v>
      </c>
      <c r="F23">
        <v>0</v>
      </c>
      <c r="G23" s="39">
        <v>600000</v>
      </c>
      <c r="H23" s="39">
        <v>5000</v>
      </c>
      <c r="I23" s="370" t="s">
        <v>3780</v>
      </c>
      <c r="J23" s="370" t="s">
        <v>3788</v>
      </c>
      <c r="K23" s="370"/>
      <c r="L23" s="314"/>
    </row>
    <row r="24" spans="1:14" x14ac:dyDescent="0.3">
      <c r="A24" t="s">
        <v>71</v>
      </c>
      <c r="B24" t="s">
        <v>13</v>
      </c>
      <c r="C24" t="s">
        <v>127</v>
      </c>
      <c r="D24" t="s">
        <v>13</v>
      </c>
      <c r="E24" t="s">
        <v>2292</v>
      </c>
      <c r="F24">
        <v>0</v>
      </c>
      <c r="G24">
        <v>1</v>
      </c>
      <c r="H24">
        <v>1</v>
      </c>
      <c r="I24" s="370" t="s">
        <v>29</v>
      </c>
      <c r="J24" s="370" t="s">
        <v>2941</v>
      </c>
      <c r="K24" s="370" t="s">
        <v>202</v>
      </c>
      <c r="L24" s="314" t="s">
        <v>203</v>
      </c>
      <c r="M24" s="397" t="s">
        <v>74</v>
      </c>
      <c r="N24" s="401"/>
    </row>
    <row r="25" spans="1:14" x14ac:dyDescent="0.3">
      <c r="A25" t="s">
        <v>71</v>
      </c>
      <c r="B25" t="s">
        <v>2461</v>
      </c>
      <c r="C25" t="s">
        <v>2460</v>
      </c>
      <c r="D25" t="s">
        <v>16</v>
      </c>
      <c r="E25" t="s">
        <v>2291</v>
      </c>
      <c r="F25" s="395">
        <v>0</v>
      </c>
      <c r="G25" s="395">
        <v>0.5</v>
      </c>
      <c r="H25" s="395">
        <v>0.01</v>
      </c>
      <c r="I25" s="370" t="s">
        <v>2462</v>
      </c>
      <c r="J25" s="370" t="s">
        <v>3685</v>
      </c>
      <c r="K25" s="370" t="s">
        <v>204</v>
      </c>
      <c r="L25" s="314" t="s">
        <v>205</v>
      </c>
      <c r="M25" s="396" t="s">
        <v>151</v>
      </c>
    </row>
    <row r="26" spans="1:14" x14ac:dyDescent="0.3">
      <c r="A26" t="s">
        <v>71</v>
      </c>
      <c r="B26" t="s">
        <v>12</v>
      </c>
      <c r="C26" t="s">
        <v>6</v>
      </c>
      <c r="D26" t="s">
        <v>12</v>
      </c>
      <c r="E26" t="s">
        <v>2290</v>
      </c>
      <c r="F26">
        <v>0</v>
      </c>
      <c r="G26">
        <v>1</v>
      </c>
      <c r="H26">
        <v>1</v>
      </c>
      <c r="I26" s="370" t="s">
        <v>29</v>
      </c>
      <c r="J26" s="370" t="s">
        <v>3191</v>
      </c>
      <c r="K26" s="370" t="s">
        <v>206</v>
      </c>
      <c r="L26" s="314" t="s">
        <v>207</v>
      </c>
    </row>
    <row r="27" spans="1:14" x14ac:dyDescent="0.3">
      <c r="A27" s="317" t="s">
        <v>8</v>
      </c>
      <c r="B27" s="317" t="s">
        <v>328</v>
      </c>
      <c r="C27" t="s">
        <v>329</v>
      </c>
      <c r="D27" s="317" t="s">
        <v>328</v>
      </c>
      <c r="E27" t="s">
        <v>2289</v>
      </c>
      <c r="F27" s="317">
        <v>0</v>
      </c>
      <c r="G27" s="317">
        <v>1</v>
      </c>
      <c r="H27" s="317">
        <v>1</v>
      </c>
      <c r="I27" s="314" t="s">
        <v>29</v>
      </c>
      <c r="J27" s="370" t="s">
        <v>3192</v>
      </c>
      <c r="K27" s="370" t="s">
        <v>330</v>
      </c>
      <c r="L27" s="314" t="s">
        <v>331</v>
      </c>
    </row>
    <row r="28" spans="1:14" x14ac:dyDescent="0.3">
      <c r="A28" s="317" t="s">
        <v>8</v>
      </c>
      <c r="B28" s="317" t="s">
        <v>3781</v>
      </c>
      <c r="C28" t="s">
        <v>3782</v>
      </c>
      <c r="D28" s="317" t="s">
        <v>3781</v>
      </c>
      <c r="E28" t="s">
        <v>3783</v>
      </c>
      <c r="F28" s="317">
        <v>0</v>
      </c>
      <c r="G28" s="317">
        <v>1</v>
      </c>
      <c r="H28" s="317">
        <v>1</v>
      </c>
      <c r="I28" s="314" t="s">
        <v>29</v>
      </c>
      <c r="J28" s="370" t="s">
        <v>3784</v>
      </c>
      <c r="K28" s="370"/>
      <c r="L28" s="314"/>
    </row>
    <row r="29" spans="1:14" x14ac:dyDescent="0.3">
      <c r="A29" t="s">
        <v>8</v>
      </c>
      <c r="B29" s="370" t="s">
        <v>3124</v>
      </c>
      <c r="C29" t="s">
        <v>2740</v>
      </c>
      <c r="D29" s="370" t="s">
        <v>3124</v>
      </c>
      <c r="E29" t="s">
        <v>2280</v>
      </c>
      <c r="F29" s="395">
        <v>0</v>
      </c>
      <c r="G29" s="13">
        <v>1</v>
      </c>
      <c r="H29" s="13">
        <v>0.01</v>
      </c>
      <c r="I29" s="370" t="s">
        <v>34</v>
      </c>
      <c r="J29" s="370" t="s">
        <v>3811</v>
      </c>
      <c r="K29" s="370" t="s">
        <v>2448</v>
      </c>
      <c r="L29" s="314" t="s">
        <v>2449</v>
      </c>
      <c r="M29" s="397" t="s">
        <v>149</v>
      </c>
    </row>
    <row r="30" spans="1:14" x14ac:dyDescent="0.3">
      <c r="A30" t="s">
        <v>8</v>
      </c>
      <c r="B30" s="370" t="s">
        <v>3544</v>
      </c>
      <c r="C30" t="s">
        <v>3545</v>
      </c>
      <c r="D30" s="184"/>
      <c r="E30" s="184"/>
      <c r="F30" s="317">
        <v>0</v>
      </c>
      <c r="G30" s="317">
        <v>1</v>
      </c>
      <c r="H30" s="317">
        <v>1</v>
      </c>
      <c r="I30" s="314" t="s">
        <v>29</v>
      </c>
      <c r="J30" s="370" t="s">
        <v>3546</v>
      </c>
      <c r="K30" s="370"/>
      <c r="L30" s="314"/>
      <c r="M30" s="397"/>
    </row>
    <row r="31" spans="1:14" x14ac:dyDescent="0.3">
      <c r="A31" t="s">
        <v>8</v>
      </c>
      <c r="B31" s="370" t="s">
        <v>3768</v>
      </c>
      <c r="C31" t="s">
        <v>3769</v>
      </c>
      <c r="D31" s="370" t="s">
        <v>3124</v>
      </c>
      <c r="E31" t="s">
        <v>3766</v>
      </c>
      <c r="F31" s="317">
        <v>0</v>
      </c>
      <c r="G31" s="317">
        <v>1</v>
      </c>
      <c r="H31" s="317">
        <v>1</v>
      </c>
      <c r="I31" s="317" t="s">
        <v>29</v>
      </c>
      <c r="J31" s="370" t="s">
        <v>3767</v>
      </c>
      <c r="K31" s="370"/>
      <c r="L31" s="314"/>
      <c r="M31" s="397"/>
    </row>
    <row r="32" spans="1:14" x14ac:dyDescent="0.3">
      <c r="A32" s="317" t="s">
        <v>8</v>
      </c>
      <c r="B32" s="317" t="s">
        <v>267</v>
      </c>
      <c r="C32" t="s">
        <v>270</v>
      </c>
      <c r="D32" s="317" t="s">
        <v>346</v>
      </c>
      <c r="E32" t="s">
        <v>2288</v>
      </c>
      <c r="F32" s="386">
        <v>-0.5</v>
      </c>
      <c r="G32" s="386">
        <v>1</v>
      </c>
      <c r="H32" s="386">
        <v>0.02</v>
      </c>
      <c r="I32" s="314" t="s">
        <v>271</v>
      </c>
      <c r="J32" s="370" t="s">
        <v>2308</v>
      </c>
      <c r="K32" s="370" t="s">
        <v>273</v>
      </c>
      <c r="L32" s="314" t="s">
        <v>275</v>
      </c>
      <c r="M32" s="397" t="s">
        <v>306</v>
      </c>
    </row>
    <row r="33" spans="1:14" x14ac:dyDescent="0.3">
      <c r="A33" s="317" t="s">
        <v>8</v>
      </c>
      <c r="B33" s="317" t="s">
        <v>268</v>
      </c>
      <c r="C33" t="s">
        <v>269</v>
      </c>
      <c r="D33" s="317" t="s">
        <v>346</v>
      </c>
      <c r="E33" t="s">
        <v>2287</v>
      </c>
      <c r="F33" s="386">
        <v>-0.5</v>
      </c>
      <c r="G33" s="386">
        <v>1</v>
      </c>
      <c r="H33" s="386">
        <v>0.02</v>
      </c>
      <c r="I33" s="314" t="s">
        <v>272</v>
      </c>
      <c r="J33" s="370" t="s">
        <v>2309</v>
      </c>
      <c r="K33" s="370" t="s">
        <v>274</v>
      </c>
      <c r="L33" s="314" t="s">
        <v>275</v>
      </c>
      <c r="M33" s="397" t="s">
        <v>306</v>
      </c>
    </row>
    <row r="34" spans="1:14" x14ac:dyDescent="0.3">
      <c r="A34" t="s">
        <v>8</v>
      </c>
      <c r="B34" t="s">
        <v>302</v>
      </c>
      <c r="C34" t="s">
        <v>301</v>
      </c>
      <c r="D34" t="s">
        <v>302</v>
      </c>
      <c r="E34" t="s">
        <v>2286</v>
      </c>
      <c r="F34">
        <v>0</v>
      </c>
      <c r="G34">
        <v>1</v>
      </c>
      <c r="H34">
        <v>1</v>
      </c>
      <c r="I34" s="370" t="s">
        <v>29</v>
      </c>
    </row>
    <row r="35" spans="1:14" x14ac:dyDescent="0.3">
      <c r="A35" t="s">
        <v>8</v>
      </c>
      <c r="B35" t="s">
        <v>3481</v>
      </c>
      <c r="C35" t="s">
        <v>3482</v>
      </c>
      <c r="D35" t="s">
        <v>3483</v>
      </c>
      <c r="E35" t="s">
        <v>3647</v>
      </c>
      <c r="F35" s="317">
        <v>0</v>
      </c>
      <c r="G35" s="405">
        <v>1</v>
      </c>
      <c r="H35" s="317">
        <v>1</v>
      </c>
      <c r="I35" s="317" t="s">
        <v>3484</v>
      </c>
      <c r="J35" s="370" t="s">
        <v>3485</v>
      </c>
      <c r="K35" s="370"/>
      <c r="L35" s="314"/>
      <c r="M35" s="41" t="s">
        <v>3486</v>
      </c>
    </row>
    <row r="36" spans="1:14" x14ac:dyDescent="0.3">
      <c r="A36" t="s">
        <v>8</v>
      </c>
      <c r="B36" t="s">
        <v>17</v>
      </c>
      <c r="C36" t="s">
        <v>27</v>
      </c>
      <c r="D36" t="s">
        <v>17</v>
      </c>
      <c r="E36" t="s">
        <v>2285</v>
      </c>
      <c r="F36" s="395">
        <v>0</v>
      </c>
      <c r="G36" s="13">
        <v>1</v>
      </c>
      <c r="H36" s="13">
        <v>0.01</v>
      </c>
      <c r="I36" s="370" t="s">
        <v>33</v>
      </c>
      <c r="J36" s="370" t="s">
        <v>3686</v>
      </c>
      <c r="K36" s="370" t="s">
        <v>208</v>
      </c>
      <c r="L36" s="314" t="s">
        <v>209</v>
      </c>
      <c r="M36" s="396" t="s">
        <v>151</v>
      </c>
    </row>
    <row r="37" spans="1:14" x14ac:dyDescent="0.3">
      <c r="A37" t="s">
        <v>8</v>
      </c>
      <c r="B37" t="s">
        <v>129</v>
      </c>
      <c r="C37" t="s">
        <v>128</v>
      </c>
      <c r="D37" t="s">
        <v>129</v>
      </c>
      <c r="E37" t="s">
        <v>2284</v>
      </c>
      <c r="F37" s="39">
        <v>0</v>
      </c>
      <c r="G37" s="39">
        <v>25000</v>
      </c>
      <c r="H37" s="39">
        <v>500</v>
      </c>
      <c r="I37" s="370" t="s">
        <v>186</v>
      </c>
      <c r="J37" s="370" t="s">
        <v>3718</v>
      </c>
      <c r="K37" s="370" t="s">
        <v>210</v>
      </c>
      <c r="L37" s="314" t="s">
        <v>211</v>
      </c>
      <c r="M37" s="396" t="s">
        <v>148</v>
      </c>
      <c r="N37" s="370" t="s">
        <v>187</v>
      </c>
    </row>
    <row r="38" spans="1:14" x14ac:dyDescent="0.3">
      <c r="A38" t="s">
        <v>8</v>
      </c>
      <c r="B38" t="s">
        <v>3017</v>
      </c>
      <c r="C38" t="s">
        <v>3018</v>
      </c>
      <c r="D38" t="s">
        <v>3017</v>
      </c>
      <c r="E38" s="184"/>
      <c r="F38">
        <v>0</v>
      </c>
      <c r="G38">
        <v>1</v>
      </c>
      <c r="H38">
        <v>1</v>
      </c>
      <c r="I38" s="370" t="s">
        <v>29</v>
      </c>
      <c r="J38" s="394" t="s">
        <v>3193</v>
      </c>
    </row>
    <row r="39" spans="1:14" x14ac:dyDescent="0.3">
      <c r="A39" t="s">
        <v>8</v>
      </c>
      <c r="B39" t="s">
        <v>59</v>
      </c>
      <c r="C39" t="s">
        <v>130</v>
      </c>
      <c r="D39" t="s">
        <v>59</v>
      </c>
      <c r="E39" s="184"/>
      <c r="F39">
        <v>0</v>
      </c>
      <c r="G39">
        <v>1</v>
      </c>
      <c r="H39">
        <v>1</v>
      </c>
      <c r="I39" s="370" t="s">
        <v>29</v>
      </c>
      <c r="J39" s="394" t="s">
        <v>3735</v>
      </c>
    </row>
    <row r="40" spans="1:14" x14ac:dyDescent="0.3">
      <c r="A40" t="s">
        <v>8</v>
      </c>
      <c r="B40" t="s">
        <v>3732</v>
      </c>
      <c r="C40" t="s">
        <v>3733</v>
      </c>
      <c r="D40" t="s">
        <v>3732</v>
      </c>
      <c r="E40" s="184"/>
      <c r="F40">
        <v>0</v>
      </c>
      <c r="G40">
        <v>1</v>
      </c>
      <c r="H40">
        <v>1</v>
      </c>
      <c r="I40" s="370" t="s">
        <v>29</v>
      </c>
      <c r="J40" s="394" t="s">
        <v>3734</v>
      </c>
    </row>
    <row r="41" spans="1:14" x14ac:dyDescent="0.3">
      <c r="A41" t="s">
        <v>8</v>
      </c>
      <c r="B41" t="s">
        <v>357</v>
      </c>
      <c r="C41" t="s">
        <v>358</v>
      </c>
      <c r="D41" t="s">
        <v>357</v>
      </c>
      <c r="E41" t="s">
        <v>2283</v>
      </c>
      <c r="F41">
        <v>0</v>
      </c>
      <c r="G41">
        <v>1</v>
      </c>
      <c r="H41">
        <v>1</v>
      </c>
      <c r="I41" s="370" t="s">
        <v>29</v>
      </c>
      <c r="J41" s="370"/>
    </row>
    <row r="42" spans="1:14" x14ac:dyDescent="0.3">
      <c r="A42" s="317" t="s">
        <v>8</v>
      </c>
      <c r="B42" s="317" t="s">
        <v>254</v>
      </c>
      <c r="C42" t="s">
        <v>255</v>
      </c>
      <c r="D42" s="317" t="s">
        <v>254</v>
      </c>
      <c r="E42" t="s">
        <v>2282</v>
      </c>
      <c r="F42" s="386">
        <v>0</v>
      </c>
      <c r="G42" s="386">
        <v>0.6</v>
      </c>
      <c r="H42" s="386">
        <v>0.01</v>
      </c>
      <c r="I42" s="314" t="s">
        <v>256</v>
      </c>
      <c r="J42" s="370" t="s">
        <v>3500</v>
      </c>
      <c r="K42" s="314" t="s">
        <v>2243</v>
      </c>
      <c r="L42" s="314" t="s">
        <v>257</v>
      </c>
      <c r="M42" s="396" t="s">
        <v>3201</v>
      </c>
    </row>
    <row r="43" spans="1:14" x14ac:dyDescent="0.3">
      <c r="A43" s="317" t="s">
        <v>8</v>
      </c>
      <c r="B43" s="319" t="s">
        <v>2322</v>
      </c>
      <c r="C43" t="s">
        <v>2323</v>
      </c>
      <c r="D43" s="319" t="s">
        <v>2322</v>
      </c>
      <c r="E43" s="317" t="s">
        <v>2324</v>
      </c>
      <c r="F43" s="386">
        <v>0</v>
      </c>
      <c r="G43" s="386">
        <v>0.9</v>
      </c>
      <c r="H43" s="386">
        <v>0.01</v>
      </c>
      <c r="I43" s="314" t="s">
        <v>2325</v>
      </c>
      <c r="J43" s="370" t="s">
        <v>3194</v>
      </c>
      <c r="K43" s="314" t="s">
        <v>2378</v>
      </c>
      <c r="L43" s="314" t="s">
        <v>2377</v>
      </c>
    </row>
    <row r="44" spans="1:14" x14ac:dyDescent="0.3">
      <c r="A44" s="317" t="s">
        <v>8</v>
      </c>
      <c r="B44" s="317" t="s">
        <v>251</v>
      </c>
      <c r="C44" t="s">
        <v>281</v>
      </c>
      <c r="D44" s="317" t="s">
        <v>347</v>
      </c>
      <c r="E44" t="s">
        <v>2281</v>
      </c>
      <c r="F44" s="386">
        <v>0</v>
      </c>
      <c r="G44" s="386">
        <v>0.4</v>
      </c>
      <c r="H44" s="386">
        <v>0.01</v>
      </c>
      <c r="I44" s="314" t="s">
        <v>252</v>
      </c>
      <c r="J44" s="370" t="s">
        <v>2301</v>
      </c>
      <c r="K44" s="314" t="s">
        <v>2244</v>
      </c>
      <c r="L44" s="314" t="s">
        <v>253</v>
      </c>
      <c r="M44" s="397" t="s">
        <v>307</v>
      </c>
    </row>
    <row r="45" spans="1:14" x14ac:dyDescent="0.3">
      <c r="A45" s="317" t="s">
        <v>8</v>
      </c>
      <c r="B45" t="s">
        <v>2786</v>
      </c>
      <c r="C45" t="s">
        <v>2788</v>
      </c>
      <c r="D45" t="s">
        <v>2786</v>
      </c>
      <c r="E45" t="s">
        <v>2789</v>
      </c>
      <c r="F45" s="386">
        <v>0</v>
      </c>
      <c r="G45" s="386">
        <v>0.95</v>
      </c>
      <c r="H45" s="386">
        <v>0.01</v>
      </c>
      <c r="I45" s="314" t="s">
        <v>2790</v>
      </c>
      <c r="J45" s="370" t="s">
        <v>3720</v>
      </c>
      <c r="K45" s="370" t="s">
        <v>212</v>
      </c>
      <c r="L45" s="314"/>
      <c r="M45" s="396" t="s">
        <v>3200</v>
      </c>
    </row>
    <row r="46" spans="1:14" x14ac:dyDescent="0.3">
      <c r="A46" t="s">
        <v>8</v>
      </c>
      <c r="B46" t="s">
        <v>18</v>
      </c>
      <c r="C46" t="s">
        <v>131</v>
      </c>
      <c r="D46" t="s">
        <v>18</v>
      </c>
      <c r="E46" t="s">
        <v>2787</v>
      </c>
      <c r="F46" s="317">
        <v>0</v>
      </c>
      <c r="G46" s="317">
        <v>60</v>
      </c>
      <c r="H46" s="317">
        <v>1</v>
      </c>
      <c r="I46" s="317" t="str">
        <f>UnitControlCenter!$B$51</f>
        <v>$/MWh</v>
      </c>
      <c r="J46" s="370" t="s">
        <v>3721</v>
      </c>
      <c r="K46" s="370" t="s">
        <v>212</v>
      </c>
      <c r="L46" s="314" t="s">
        <v>213</v>
      </c>
      <c r="M46" s="396" t="s">
        <v>150</v>
      </c>
    </row>
    <row r="47" spans="1:14" x14ac:dyDescent="0.3">
      <c r="A47" t="s">
        <v>8</v>
      </c>
      <c r="B47" t="s">
        <v>3574</v>
      </c>
      <c r="C47" t="s">
        <v>3575</v>
      </c>
      <c r="D47" t="s">
        <v>3576</v>
      </c>
      <c r="E47" t="s">
        <v>3577</v>
      </c>
      <c r="F47" s="395">
        <v>0</v>
      </c>
      <c r="G47" s="13">
        <v>1</v>
      </c>
      <c r="H47" s="13">
        <v>0.01</v>
      </c>
      <c r="I47" s="317" t="s">
        <v>3578</v>
      </c>
      <c r="J47" s="370" t="s">
        <v>3579</v>
      </c>
      <c r="K47" s="370"/>
      <c r="L47" s="314"/>
      <c r="M47" s="396"/>
    </row>
    <row r="48" spans="1:14" x14ac:dyDescent="0.3">
      <c r="A48" t="s">
        <v>8</v>
      </c>
      <c r="B48" t="s">
        <v>3634</v>
      </c>
      <c r="C48" t="s">
        <v>3632</v>
      </c>
      <c r="D48" t="s">
        <v>3633</v>
      </c>
      <c r="E48" t="s">
        <v>3637</v>
      </c>
      <c r="F48" s="402">
        <v>0</v>
      </c>
      <c r="G48">
        <v>100</v>
      </c>
      <c r="H48">
        <v>5</v>
      </c>
      <c r="I48" s="317" t="s">
        <v>3641</v>
      </c>
      <c r="J48" s="370" t="s">
        <v>3639</v>
      </c>
      <c r="K48" s="370"/>
      <c r="L48" s="314"/>
      <c r="M48" s="396"/>
    </row>
    <row r="49" spans="1:14" x14ac:dyDescent="0.3">
      <c r="A49" t="s">
        <v>8</v>
      </c>
      <c r="B49" t="s">
        <v>3635</v>
      </c>
      <c r="C49" t="s">
        <v>3636</v>
      </c>
      <c r="D49" t="s">
        <v>3633</v>
      </c>
      <c r="E49" t="s">
        <v>3638</v>
      </c>
      <c r="F49" s="395">
        <v>0</v>
      </c>
      <c r="G49" s="13">
        <v>1</v>
      </c>
      <c r="H49" s="13">
        <v>0.01</v>
      </c>
      <c r="I49" s="317" t="s">
        <v>3640</v>
      </c>
      <c r="J49" s="370" t="s">
        <v>3708</v>
      </c>
      <c r="K49" s="370"/>
      <c r="L49" s="314"/>
      <c r="M49" s="396"/>
    </row>
    <row r="50" spans="1:14" x14ac:dyDescent="0.3">
      <c r="A50" t="s">
        <v>8</v>
      </c>
      <c r="B50" t="s">
        <v>3642</v>
      </c>
      <c r="C50" t="s">
        <v>3643</v>
      </c>
      <c r="D50" t="s">
        <v>3642</v>
      </c>
      <c r="E50" t="s">
        <v>3644</v>
      </c>
      <c r="F50" s="402">
        <v>0</v>
      </c>
      <c r="G50">
        <v>100</v>
      </c>
      <c r="H50">
        <v>5</v>
      </c>
      <c r="I50" s="317" t="s">
        <v>3645</v>
      </c>
      <c r="J50" s="370" t="s">
        <v>3646</v>
      </c>
      <c r="K50" s="370"/>
      <c r="L50" s="314"/>
      <c r="M50" s="396"/>
    </row>
    <row r="51" spans="1:14" x14ac:dyDescent="0.3">
      <c r="A51" t="s">
        <v>9</v>
      </c>
      <c r="B51" t="s">
        <v>3221</v>
      </c>
      <c r="C51" t="s">
        <v>3182</v>
      </c>
      <c r="D51" t="s">
        <v>3221</v>
      </c>
      <c r="E51" t="s">
        <v>3183</v>
      </c>
      <c r="F51" s="386">
        <v>0</v>
      </c>
      <c r="G51" s="386">
        <v>0.5</v>
      </c>
      <c r="H51" s="386">
        <v>0.01</v>
      </c>
      <c r="I51" s="314" t="s">
        <v>3181</v>
      </c>
      <c r="J51" s="370" t="s">
        <v>3222</v>
      </c>
    </row>
    <row r="52" spans="1:14" x14ac:dyDescent="0.3">
      <c r="A52" t="s">
        <v>9</v>
      </c>
      <c r="B52" t="s">
        <v>26</v>
      </c>
      <c r="C52" t="s">
        <v>3020</v>
      </c>
      <c r="D52" t="s">
        <v>3021</v>
      </c>
      <c r="E52" t="s">
        <v>3019</v>
      </c>
      <c r="F52" s="395">
        <v>0</v>
      </c>
      <c r="G52" s="13">
        <v>1</v>
      </c>
      <c r="H52" s="13">
        <v>0.01</v>
      </c>
      <c r="I52" s="370" t="s">
        <v>2813</v>
      </c>
      <c r="J52" s="370" t="s">
        <v>3022</v>
      </c>
      <c r="K52" s="370" t="s">
        <v>239</v>
      </c>
      <c r="L52" s="314" t="s">
        <v>240</v>
      </c>
    </row>
    <row r="53" spans="1:14" x14ac:dyDescent="0.3">
      <c r="A53" t="s">
        <v>9</v>
      </c>
      <c r="B53" t="s">
        <v>20</v>
      </c>
      <c r="C53" t="s">
        <v>2768</v>
      </c>
      <c r="D53" t="s">
        <v>20</v>
      </c>
      <c r="E53" t="s">
        <v>2769</v>
      </c>
      <c r="F53" s="395">
        <v>0</v>
      </c>
      <c r="G53" s="13">
        <v>1</v>
      </c>
      <c r="H53" s="13">
        <v>0.01</v>
      </c>
      <c r="I53" s="370" t="s">
        <v>33</v>
      </c>
      <c r="J53" s="370" t="s">
        <v>2390</v>
      </c>
      <c r="K53" s="370" t="s">
        <v>214</v>
      </c>
      <c r="L53" s="314" t="s">
        <v>215</v>
      </c>
      <c r="M53" s="396" t="s">
        <v>2391</v>
      </c>
    </row>
    <row r="54" spans="1:14" x14ac:dyDescent="0.3">
      <c r="A54" t="s">
        <v>9</v>
      </c>
      <c r="B54" t="s">
        <v>24</v>
      </c>
      <c r="C54" t="s">
        <v>282</v>
      </c>
      <c r="D54" t="s">
        <v>24</v>
      </c>
      <c r="E54" t="s">
        <v>2279</v>
      </c>
      <c r="F54" s="395">
        <v>0</v>
      </c>
      <c r="G54" s="13">
        <v>1</v>
      </c>
      <c r="H54" s="13">
        <v>0.01</v>
      </c>
      <c r="I54" s="370" t="s">
        <v>33</v>
      </c>
      <c r="J54" s="370" t="s">
        <v>2302</v>
      </c>
      <c r="K54" s="370" t="s">
        <v>216</v>
      </c>
      <c r="L54" s="314" t="s">
        <v>217</v>
      </c>
      <c r="M54" s="396" t="s">
        <v>151</v>
      </c>
    </row>
    <row r="55" spans="1:14" x14ac:dyDescent="0.3">
      <c r="A55" t="s">
        <v>9</v>
      </c>
      <c r="B55" t="s">
        <v>22</v>
      </c>
      <c r="C55" t="s">
        <v>58</v>
      </c>
      <c r="D55" t="s">
        <v>22</v>
      </c>
      <c r="E55" t="s">
        <v>2278</v>
      </c>
      <c r="F55" s="395">
        <v>0</v>
      </c>
      <c r="G55" s="13">
        <v>1</v>
      </c>
      <c r="H55" s="13">
        <v>0.01</v>
      </c>
      <c r="I55" s="370" t="s">
        <v>33</v>
      </c>
      <c r="J55" s="370" t="s">
        <v>2303</v>
      </c>
      <c r="K55" s="370" t="s">
        <v>218</v>
      </c>
      <c r="L55" s="314" t="s">
        <v>219</v>
      </c>
      <c r="M55" s="396" t="s">
        <v>151</v>
      </c>
    </row>
    <row r="56" spans="1:14" x14ac:dyDescent="0.3">
      <c r="A56" t="s">
        <v>9</v>
      </c>
      <c r="B56" t="s">
        <v>101</v>
      </c>
      <c r="C56" t="s">
        <v>283</v>
      </c>
      <c r="D56" t="s">
        <v>101</v>
      </c>
      <c r="E56" t="s">
        <v>2277</v>
      </c>
      <c r="F56" s="13">
        <v>0</v>
      </c>
      <c r="G56" s="13">
        <v>0.25</v>
      </c>
      <c r="H56" s="13">
        <v>0.01</v>
      </c>
      <c r="I56" s="370" t="s">
        <v>30</v>
      </c>
      <c r="J56" s="370" t="s">
        <v>3026</v>
      </c>
      <c r="K56" s="370" t="s">
        <v>220</v>
      </c>
      <c r="L56" s="314" t="s">
        <v>221</v>
      </c>
      <c r="M56" s="397" t="s">
        <v>2256</v>
      </c>
      <c r="N56" s="314" t="s">
        <v>2256</v>
      </c>
    </row>
    <row r="57" spans="1:14" x14ac:dyDescent="0.3">
      <c r="A57" t="s">
        <v>9</v>
      </c>
      <c r="B57" t="s">
        <v>23</v>
      </c>
      <c r="C57" t="s">
        <v>284</v>
      </c>
      <c r="D57" t="s">
        <v>23</v>
      </c>
      <c r="E57" t="s">
        <v>2276</v>
      </c>
      <c r="F57" s="395">
        <v>0</v>
      </c>
      <c r="G57" s="13">
        <v>1</v>
      </c>
      <c r="H57" s="13">
        <v>0.01</v>
      </c>
      <c r="I57" s="370" t="s">
        <v>33</v>
      </c>
      <c r="J57" s="370" t="s">
        <v>2304</v>
      </c>
      <c r="K57" s="370" t="s">
        <v>222</v>
      </c>
      <c r="L57" s="314" t="s">
        <v>223</v>
      </c>
      <c r="M57" s="396" t="s">
        <v>151</v>
      </c>
    </row>
    <row r="58" spans="1:14" x14ac:dyDescent="0.3">
      <c r="A58" t="s">
        <v>9</v>
      </c>
      <c r="B58" t="s">
        <v>3536</v>
      </c>
      <c r="C58" t="s">
        <v>3538</v>
      </c>
      <c r="D58" t="s">
        <v>3536</v>
      </c>
      <c r="E58" t="s">
        <v>3540</v>
      </c>
      <c r="F58" s="395">
        <v>0</v>
      </c>
      <c r="G58" s="395">
        <v>1</v>
      </c>
      <c r="H58" s="13">
        <v>0.01</v>
      </c>
      <c r="I58" s="370" t="s">
        <v>2411</v>
      </c>
      <c r="J58" s="370" t="s">
        <v>3543</v>
      </c>
      <c r="K58" s="370" t="s">
        <v>224</v>
      </c>
      <c r="L58" s="314" t="s">
        <v>2702</v>
      </c>
      <c r="M58" s="396"/>
    </row>
    <row r="59" spans="1:14" x14ac:dyDescent="0.3">
      <c r="A59" s="317" t="s">
        <v>9</v>
      </c>
      <c r="B59" s="317" t="s">
        <v>2773</v>
      </c>
      <c r="C59" t="s">
        <v>2776</v>
      </c>
      <c r="D59" s="317" t="s">
        <v>2780</v>
      </c>
      <c r="E59" s="317" t="s">
        <v>2781</v>
      </c>
      <c r="F59" s="391">
        <v>0</v>
      </c>
      <c r="G59" s="386">
        <v>1</v>
      </c>
      <c r="H59" s="386">
        <v>0.01</v>
      </c>
      <c r="I59" s="314" t="s">
        <v>33</v>
      </c>
      <c r="J59" s="314" t="s">
        <v>3712</v>
      </c>
      <c r="K59" s="314" t="s">
        <v>2258</v>
      </c>
      <c r="L59" s="314" t="s">
        <v>2259</v>
      </c>
      <c r="M59" s="397" t="s">
        <v>151</v>
      </c>
    </row>
    <row r="60" spans="1:14" x14ac:dyDescent="0.3">
      <c r="A60" s="317" t="s">
        <v>9</v>
      </c>
      <c r="B60" s="317" t="s">
        <v>2774</v>
      </c>
      <c r="C60" t="s">
        <v>2777</v>
      </c>
      <c r="D60" s="317" t="s">
        <v>2780</v>
      </c>
      <c r="E60" s="317" t="s">
        <v>2782</v>
      </c>
      <c r="F60" s="391">
        <v>0</v>
      </c>
      <c r="G60" s="386">
        <v>1</v>
      </c>
      <c r="H60" s="386">
        <v>0.01</v>
      </c>
      <c r="I60" s="314" t="s">
        <v>33</v>
      </c>
      <c r="J60" s="314" t="s">
        <v>3713</v>
      </c>
      <c r="K60" s="314" t="s">
        <v>2258</v>
      </c>
      <c r="L60" s="314" t="s">
        <v>2259</v>
      </c>
      <c r="M60" s="397"/>
    </row>
    <row r="61" spans="1:14" x14ac:dyDescent="0.3">
      <c r="A61" s="317" t="s">
        <v>9</v>
      </c>
      <c r="B61" s="317" t="s">
        <v>2775</v>
      </c>
      <c r="C61" t="s">
        <v>2778</v>
      </c>
      <c r="D61" s="317" t="s">
        <v>2780</v>
      </c>
      <c r="E61" s="317" t="s">
        <v>2783</v>
      </c>
      <c r="F61" s="391">
        <v>0</v>
      </c>
      <c r="G61" s="386">
        <v>1</v>
      </c>
      <c r="H61" s="386">
        <v>0.01</v>
      </c>
      <c r="I61" s="314" t="s">
        <v>33</v>
      </c>
      <c r="J61" s="314" t="s">
        <v>3714</v>
      </c>
      <c r="K61" s="314" t="s">
        <v>2258</v>
      </c>
      <c r="L61" s="314" t="s">
        <v>2259</v>
      </c>
      <c r="M61" s="397"/>
    </row>
    <row r="62" spans="1:14" x14ac:dyDescent="0.3">
      <c r="A62" s="317" t="s">
        <v>9</v>
      </c>
      <c r="B62" s="317" t="s">
        <v>2785</v>
      </c>
      <c r="C62" t="s">
        <v>2779</v>
      </c>
      <c r="D62" s="317" t="s">
        <v>2780</v>
      </c>
      <c r="E62" s="317" t="s">
        <v>2784</v>
      </c>
      <c r="F62" s="391">
        <v>0</v>
      </c>
      <c r="G62" s="386">
        <v>1</v>
      </c>
      <c r="H62" s="386">
        <v>0.01</v>
      </c>
      <c r="I62" s="314" t="s">
        <v>33</v>
      </c>
      <c r="J62" s="314" t="s">
        <v>3715</v>
      </c>
      <c r="K62" s="314" t="s">
        <v>2258</v>
      </c>
      <c r="L62" s="314" t="s">
        <v>2259</v>
      </c>
      <c r="M62" s="397"/>
    </row>
    <row r="63" spans="1:14" x14ac:dyDescent="0.3">
      <c r="A63" t="s">
        <v>9</v>
      </c>
      <c r="B63" t="s">
        <v>3785</v>
      </c>
      <c r="C63" t="s">
        <v>3814</v>
      </c>
      <c r="D63" t="s">
        <v>3785</v>
      </c>
      <c r="E63" s="317" t="s">
        <v>3786</v>
      </c>
      <c r="F63" s="391">
        <v>0</v>
      </c>
      <c r="G63" s="386">
        <v>1</v>
      </c>
      <c r="H63" s="386">
        <v>0.01</v>
      </c>
      <c r="I63" s="314" t="s">
        <v>33</v>
      </c>
      <c r="J63" s="314" t="s">
        <v>3787</v>
      </c>
      <c r="K63" s="314"/>
      <c r="L63" s="314"/>
      <c r="M63" s="397"/>
    </row>
    <row r="64" spans="1:14" x14ac:dyDescent="0.3">
      <c r="A64" t="s">
        <v>9</v>
      </c>
      <c r="B64" t="s">
        <v>3537</v>
      </c>
      <c r="C64" t="s">
        <v>3539</v>
      </c>
      <c r="D64" t="s">
        <v>3537</v>
      </c>
      <c r="E64" t="s">
        <v>3541</v>
      </c>
      <c r="F64" s="395">
        <v>0</v>
      </c>
      <c r="G64" s="395">
        <v>1</v>
      </c>
      <c r="H64" s="13">
        <v>0.01</v>
      </c>
      <c r="I64" s="370" t="s">
        <v>2411</v>
      </c>
      <c r="J64" s="370" t="s">
        <v>3542</v>
      </c>
      <c r="K64" s="370" t="s">
        <v>224</v>
      </c>
      <c r="L64" s="314" t="s">
        <v>2702</v>
      </c>
      <c r="M64" s="396"/>
    </row>
    <row r="65" spans="1:14" x14ac:dyDescent="0.3">
      <c r="A65" t="s">
        <v>9</v>
      </c>
      <c r="B65" t="s">
        <v>2436</v>
      </c>
      <c r="C65" t="s">
        <v>2435</v>
      </c>
      <c r="D65" t="s">
        <v>2436</v>
      </c>
      <c r="E65" t="s">
        <v>2438</v>
      </c>
      <c r="F65" s="395">
        <v>0</v>
      </c>
      <c r="G65" s="13">
        <v>1</v>
      </c>
      <c r="H65" s="13">
        <v>0.01</v>
      </c>
      <c r="I65" s="370" t="s">
        <v>2439</v>
      </c>
      <c r="J65" s="370" t="s">
        <v>3195</v>
      </c>
      <c r="K65" s="370"/>
      <c r="L65" s="314" t="s">
        <v>2697</v>
      </c>
      <c r="M65" s="396" t="s">
        <v>3199</v>
      </c>
    </row>
    <row r="66" spans="1:14" x14ac:dyDescent="0.3">
      <c r="A66" t="s">
        <v>9</v>
      </c>
      <c r="B66" t="s">
        <v>21</v>
      </c>
      <c r="C66" t="s">
        <v>285</v>
      </c>
      <c r="D66" s="20" t="s">
        <v>348</v>
      </c>
      <c r="E66" t="s">
        <v>2275</v>
      </c>
      <c r="F66" s="395">
        <v>0</v>
      </c>
      <c r="G66" s="13">
        <v>1</v>
      </c>
      <c r="H66" s="13">
        <v>0.01</v>
      </c>
      <c r="I66" s="370" t="s">
        <v>33</v>
      </c>
      <c r="J66" s="370" t="s">
        <v>3710</v>
      </c>
      <c r="K66" s="370" t="s">
        <v>225</v>
      </c>
      <c r="L66" s="314" t="s">
        <v>226</v>
      </c>
      <c r="M66" s="396"/>
    </row>
    <row r="67" spans="1:14" x14ac:dyDescent="0.3">
      <c r="A67" t="s">
        <v>9</v>
      </c>
      <c r="B67" t="s">
        <v>19</v>
      </c>
      <c r="C67" t="s">
        <v>286</v>
      </c>
      <c r="D67" s="20" t="s">
        <v>348</v>
      </c>
      <c r="E67" t="s">
        <v>2274</v>
      </c>
      <c r="F67" s="395">
        <v>0</v>
      </c>
      <c r="G67" s="13">
        <v>1</v>
      </c>
      <c r="H67" s="13">
        <v>0.01</v>
      </c>
      <c r="I67" s="370" t="s">
        <v>33</v>
      </c>
      <c r="J67" s="370" t="s">
        <v>3711</v>
      </c>
      <c r="K67" s="370" t="s">
        <v>227</v>
      </c>
      <c r="L67" s="314" t="s">
        <v>228</v>
      </c>
      <c r="M67" s="396"/>
    </row>
    <row r="68" spans="1:14" x14ac:dyDescent="0.3">
      <c r="A68" t="s">
        <v>9</v>
      </c>
      <c r="B68" t="s">
        <v>3229</v>
      </c>
      <c r="C68" t="s">
        <v>3230</v>
      </c>
      <c r="D68" t="s">
        <v>3229</v>
      </c>
      <c r="E68" t="s">
        <v>3231</v>
      </c>
      <c r="F68" s="395">
        <v>0</v>
      </c>
      <c r="G68" s="13">
        <v>1</v>
      </c>
      <c r="H68" s="13">
        <v>0.01</v>
      </c>
      <c r="I68" s="370" t="s">
        <v>33</v>
      </c>
      <c r="J68" s="370" t="s">
        <v>3716</v>
      </c>
      <c r="K68" s="370"/>
      <c r="L68" s="314"/>
      <c r="M68" s="396"/>
    </row>
    <row r="69" spans="1:14" x14ac:dyDescent="0.3">
      <c r="A69" t="s">
        <v>9</v>
      </c>
      <c r="B69" t="s">
        <v>2491</v>
      </c>
      <c r="C69" t="s">
        <v>2492</v>
      </c>
      <c r="D69" t="s">
        <v>2492</v>
      </c>
      <c r="E69" t="s">
        <v>2493</v>
      </c>
      <c r="F69" s="395">
        <v>0</v>
      </c>
      <c r="G69" s="13">
        <v>1</v>
      </c>
      <c r="H69" s="13">
        <v>0.01</v>
      </c>
      <c r="I69" s="370" t="s">
        <v>2494</v>
      </c>
      <c r="J69" s="370" t="s">
        <v>3719</v>
      </c>
      <c r="K69" s="370"/>
      <c r="L69" s="314" t="s">
        <v>2698</v>
      </c>
      <c r="M69" s="396" t="s">
        <v>151</v>
      </c>
    </row>
    <row r="70" spans="1:14" x14ac:dyDescent="0.3">
      <c r="A70" t="s">
        <v>133</v>
      </c>
      <c r="B70" t="s">
        <v>135</v>
      </c>
      <c r="C70" t="s">
        <v>430</v>
      </c>
      <c r="D70" t="s">
        <v>135</v>
      </c>
      <c r="E70" t="s">
        <v>2273</v>
      </c>
      <c r="F70" s="395">
        <v>0</v>
      </c>
      <c r="G70" s="13">
        <v>1</v>
      </c>
      <c r="H70" s="13">
        <v>0.01</v>
      </c>
      <c r="I70" s="370" t="s">
        <v>33</v>
      </c>
      <c r="J70" s="370" t="s">
        <v>3744</v>
      </c>
      <c r="K70" s="370" t="s">
        <v>229</v>
      </c>
      <c r="L70" s="314" t="s">
        <v>230</v>
      </c>
      <c r="M70" s="396" t="s">
        <v>151</v>
      </c>
      <c r="N70" s="370" t="s">
        <v>184</v>
      </c>
    </row>
    <row r="71" spans="1:14" x14ac:dyDescent="0.3">
      <c r="A71" t="s">
        <v>133</v>
      </c>
      <c r="B71" t="s">
        <v>258</v>
      </c>
      <c r="C71" t="s">
        <v>437</v>
      </c>
      <c r="D71" t="s">
        <v>258</v>
      </c>
      <c r="E71" t="s">
        <v>2272</v>
      </c>
      <c r="F71" s="395">
        <v>0</v>
      </c>
      <c r="G71" s="13">
        <v>1</v>
      </c>
      <c r="H71" s="13">
        <v>0.01</v>
      </c>
      <c r="I71" s="370" t="s">
        <v>33</v>
      </c>
      <c r="J71" s="370" t="s">
        <v>3294</v>
      </c>
      <c r="K71" s="370" t="s">
        <v>312</v>
      </c>
      <c r="L71" s="314" t="s">
        <v>313</v>
      </c>
      <c r="M71" s="396"/>
      <c r="N71" s="370"/>
    </row>
    <row r="72" spans="1:14" x14ac:dyDescent="0.3">
      <c r="A72" t="s">
        <v>133</v>
      </c>
      <c r="B72" t="s">
        <v>3414</v>
      </c>
      <c r="C72" t="s">
        <v>434</v>
      </c>
      <c r="D72" t="s">
        <v>3414</v>
      </c>
      <c r="E72" t="s">
        <v>2271</v>
      </c>
      <c r="F72" s="395">
        <v>0</v>
      </c>
      <c r="G72" s="13">
        <v>1</v>
      </c>
      <c r="H72" s="13">
        <v>0.01</v>
      </c>
      <c r="I72" s="370" t="s">
        <v>33</v>
      </c>
      <c r="J72" s="370" t="s">
        <v>3415</v>
      </c>
      <c r="K72" s="370"/>
      <c r="L72" s="314" t="s">
        <v>2703</v>
      </c>
      <c r="M72" s="396" t="s">
        <v>3416</v>
      </c>
      <c r="N72" s="370"/>
    </row>
    <row r="73" spans="1:14" x14ac:dyDescent="0.3">
      <c r="A73" t="s">
        <v>133</v>
      </c>
      <c r="B73" t="s">
        <v>185</v>
      </c>
      <c r="C73" t="s">
        <v>431</v>
      </c>
      <c r="D73" t="s">
        <v>185</v>
      </c>
      <c r="E73" t="s">
        <v>2270</v>
      </c>
      <c r="F73" s="395">
        <v>0</v>
      </c>
      <c r="G73" s="13">
        <v>1</v>
      </c>
      <c r="H73" s="13">
        <v>0.01</v>
      </c>
      <c r="I73" s="370" t="s">
        <v>33</v>
      </c>
      <c r="J73" s="370" t="s">
        <v>2305</v>
      </c>
      <c r="K73" s="370" t="s">
        <v>231</v>
      </c>
      <c r="L73" s="314" t="s">
        <v>232</v>
      </c>
      <c r="M73" s="396" t="s">
        <v>151</v>
      </c>
      <c r="N73" s="370"/>
    </row>
    <row r="74" spans="1:14" x14ac:dyDescent="0.3">
      <c r="A74" t="s">
        <v>133</v>
      </c>
      <c r="B74" t="s">
        <v>2770</v>
      </c>
      <c r="C74" t="s">
        <v>2771</v>
      </c>
      <c r="D74" t="s">
        <v>2770</v>
      </c>
      <c r="E74" t="s">
        <v>2772</v>
      </c>
      <c r="F74" s="395">
        <v>0</v>
      </c>
      <c r="G74" s="13">
        <v>1</v>
      </c>
      <c r="H74" s="13">
        <v>0.01</v>
      </c>
      <c r="I74" s="370" t="s">
        <v>33</v>
      </c>
      <c r="J74" s="370" t="s">
        <v>3746</v>
      </c>
      <c r="K74" s="370" t="s">
        <v>233</v>
      </c>
      <c r="L74" s="314" t="s">
        <v>234</v>
      </c>
      <c r="M74" s="396" t="s">
        <v>151</v>
      </c>
      <c r="N74" s="370"/>
    </row>
    <row r="75" spans="1:14" x14ac:dyDescent="0.3">
      <c r="A75" t="s">
        <v>133</v>
      </c>
      <c r="B75" t="s">
        <v>3417</v>
      </c>
      <c r="C75" t="s">
        <v>3339</v>
      </c>
      <c r="D75" t="s">
        <v>3417</v>
      </c>
      <c r="E75" t="s">
        <v>3340</v>
      </c>
      <c r="F75" s="395">
        <v>0</v>
      </c>
      <c r="G75" s="13">
        <v>1</v>
      </c>
      <c r="H75" s="13">
        <v>0.01</v>
      </c>
      <c r="I75" s="370" t="s">
        <v>33</v>
      </c>
      <c r="J75" s="370" t="s">
        <v>3418</v>
      </c>
      <c r="K75" s="370"/>
      <c r="L75" s="314"/>
      <c r="M75" s="396"/>
      <c r="N75" s="370"/>
    </row>
    <row r="76" spans="1:14" x14ac:dyDescent="0.3">
      <c r="A76" t="s">
        <v>133</v>
      </c>
      <c r="B76" t="s">
        <v>136</v>
      </c>
      <c r="C76" t="s">
        <v>432</v>
      </c>
      <c r="D76" t="s">
        <v>136</v>
      </c>
      <c r="E76" t="s">
        <v>2269</v>
      </c>
      <c r="F76" s="395">
        <v>0</v>
      </c>
      <c r="G76" s="13">
        <v>1</v>
      </c>
      <c r="H76" s="13">
        <v>0.01</v>
      </c>
      <c r="I76" s="370" t="s">
        <v>33</v>
      </c>
      <c r="J76" s="370" t="s">
        <v>3745</v>
      </c>
      <c r="K76" s="370" t="s">
        <v>235</v>
      </c>
      <c r="L76" s="314" t="s">
        <v>236</v>
      </c>
      <c r="M76" s="396" t="s">
        <v>151</v>
      </c>
      <c r="N76" s="370"/>
    </row>
    <row r="77" spans="1:14" x14ac:dyDescent="0.3">
      <c r="A77" t="s">
        <v>133</v>
      </c>
      <c r="B77" t="s">
        <v>134</v>
      </c>
      <c r="C77" t="s">
        <v>2803</v>
      </c>
      <c r="D77" t="s">
        <v>134</v>
      </c>
      <c r="E77" t="s">
        <v>2268</v>
      </c>
      <c r="F77" s="395">
        <v>0</v>
      </c>
      <c r="G77" s="13">
        <v>1</v>
      </c>
      <c r="H77" s="13">
        <v>0.01</v>
      </c>
      <c r="I77" s="370" t="s">
        <v>33</v>
      </c>
      <c r="J77" s="370" t="s">
        <v>3747</v>
      </c>
      <c r="K77" s="370" t="s">
        <v>237</v>
      </c>
      <c r="L77" s="314" t="s">
        <v>238</v>
      </c>
      <c r="M77" s="396" t="s">
        <v>151</v>
      </c>
      <c r="N77" s="370"/>
    </row>
    <row r="78" spans="1:14" x14ac:dyDescent="0.3">
      <c r="A78" t="s">
        <v>133</v>
      </c>
      <c r="B78" t="s">
        <v>3411</v>
      </c>
      <c r="C78" t="s">
        <v>433</v>
      </c>
      <c r="D78" t="s">
        <v>3411</v>
      </c>
      <c r="E78" t="s">
        <v>2267</v>
      </c>
      <c r="F78" s="395">
        <v>0</v>
      </c>
      <c r="G78" s="13">
        <v>1</v>
      </c>
      <c r="H78" s="13">
        <v>0.01</v>
      </c>
      <c r="I78" s="370" t="s">
        <v>33</v>
      </c>
      <c r="J78" s="370" t="s">
        <v>3412</v>
      </c>
      <c r="K78" s="370"/>
      <c r="L78" s="314" t="s">
        <v>2704</v>
      </c>
      <c r="M78" s="396" t="s">
        <v>3413</v>
      </c>
      <c r="N78" s="370"/>
    </row>
    <row r="79" spans="1:14" x14ac:dyDescent="0.3">
      <c r="A79" t="s">
        <v>133</v>
      </c>
      <c r="B79" t="s">
        <v>2440</v>
      </c>
      <c r="C79" t="s">
        <v>2441</v>
      </c>
      <c r="D79" t="s">
        <v>2440</v>
      </c>
      <c r="E79" t="s">
        <v>2442</v>
      </c>
      <c r="F79" s="395">
        <v>0</v>
      </c>
      <c r="G79" s="13">
        <v>1</v>
      </c>
      <c r="H79" s="13">
        <v>0.01</v>
      </c>
      <c r="I79" s="370" t="s">
        <v>2443</v>
      </c>
      <c r="J79" s="370" t="s">
        <v>3232</v>
      </c>
      <c r="K79" s="370"/>
      <c r="L79" s="314" t="s">
        <v>2699</v>
      </c>
      <c r="M79" s="388" t="s">
        <v>2444</v>
      </c>
      <c r="N79" s="370"/>
    </row>
    <row r="80" spans="1:14" x14ac:dyDescent="0.3">
      <c r="A80" s="317" t="s">
        <v>2477</v>
      </c>
      <c r="B80" s="317" t="s">
        <v>2481</v>
      </c>
      <c r="C80" t="s">
        <v>287</v>
      </c>
      <c r="D80" s="317" t="s">
        <v>2480</v>
      </c>
      <c r="E80" t="s">
        <v>2266</v>
      </c>
      <c r="F80" s="386">
        <v>0</v>
      </c>
      <c r="G80" s="386">
        <v>1</v>
      </c>
      <c r="H80" s="386">
        <v>0.01</v>
      </c>
      <c r="I80" s="314" t="s">
        <v>57</v>
      </c>
      <c r="J80" s="314" t="s">
        <v>2306</v>
      </c>
      <c r="K80" s="314" t="s">
        <v>243</v>
      </c>
      <c r="L80" s="314" t="s">
        <v>244</v>
      </c>
      <c r="M80" s="396" t="s">
        <v>151</v>
      </c>
      <c r="N80" s="314"/>
    </row>
    <row r="81" spans="1:14" x14ac:dyDescent="0.3">
      <c r="A81" s="317" t="s">
        <v>2477</v>
      </c>
      <c r="B81" s="317" t="s">
        <v>3773</v>
      </c>
      <c r="C81" t="s">
        <v>2739</v>
      </c>
      <c r="D81" s="317" t="s">
        <v>349</v>
      </c>
      <c r="E81" t="s">
        <v>2737</v>
      </c>
      <c r="F81" s="386">
        <v>0</v>
      </c>
      <c r="G81" s="386">
        <v>1</v>
      </c>
      <c r="H81" s="386">
        <v>0.01</v>
      </c>
      <c r="I81" s="370" t="s">
        <v>2738</v>
      </c>
      <c r="J81" s="314" t="s">
        <v>3722</v>
      </c>
      <c r="K81" s="314" t="s">
        <v>342</v>
      </c>
      <c r="L81" s="314" t="s">
        <v>2700</v>
      </c>
      <c r="M81" s="396" t="s">
        <v>151</v>
      </c>
      <c r="N81" s="314"/>
    </row>
    <row r="82" spans="1:14" x14ac:dyDescent="0.3">
      <c r="A82" s="317" t="s">
        <v>2477</v>
      </c>
      <c r="B82" s="317" t="s">
        <v>2478</v>
      </c>
      <c r="C82" t="s">
        <v>2479</v>
      </c>
      <c r="D82" s="317" t="s">
        <v>2482</v>
      </c>
      <c r="E82" t="s">
        <v>2483</v>
      </c>
      <c r="F82" s="386">
        <v>0</v>
      </c>
      <c r="G82" s="386">
        <v>1</v>
      </c>
      <c r="H82" s="386">
        <v>0.01</v>
      </c>
      <c r="I82" s="370" t="s">
        <v>2484</v>
      </c>
      <c r="J82" s="314" t="s">
        <v>2485</v>
      </c>
      <c r="K82" s="314"/>
      <c r="L82" s="314" t="s">
        <v>2701</v>
      </c>
      <c r="M82" s="396"/>
      <c r="N82" s="314"/>
    </row>
    <row r="83" spans="1:14" x14ac:dyDescent="0.3">
      <c r="A83" t="s">
        <v>10</v>
      </c>
      <c r="B83" t="s">
        <v>3123</v>
      </c>
      <c r="C83" t="s">
        <v>2412</v>
      </c>
      <c r="D83" t="s">
        <v>3123</v>
      </c>
      <c r="E83" t="s">
        <v>2265</v>
      </c>
      <c r="F83">
        <v>0</v>
      </c>
      <c r="G83">
        <v>300</v>
      </c>
      <c r="H83">
        <v>5</v>
      </c>
      <c r="I83" s="184" t="str">
        <f>UnitControlCenter!$B$50</f>
        <v>$/metric ton CO2e</v>
      </c>
      <c r="J83" s="370" t="s">
        <v>3709</v>
      </c>
      <c r="K83" s="370" t="s">
        <v>241</v>
      </c>
      <c r="L83" s="314" t="s">
        <v>242</v>
      </c>
      <c r="M83" s="397" t="s">
        <v>2388</v>
      </c>
      <c r="N83" s="314" t="s">
        <v>397</v>
      </c>
    </row>
    <row r="84" spans="1:14" x14ac:dyDescent="0.3">
      <c r="A84" t="s">
        <v>10</v>
      </c>
      <c r="B84" t="s">
        <v>25</v>
      </c>
      <c r="C84" t="s">
        <v>139</v>
      </c>
      <c r="D84" t="s">
        <v>25</v>
      </c>
      <c r="E84" t="s">
        <v>2264</v>
      </c>
      <c r="F84" s="386">
        <v>0</v>
      </c>
      <c r="G84" s="386">
        <v>1</v>
      </c>
      <c r="H84" s="386">
        <v>0.01</v>
      </c>
      <c r="I84" s="370" t="s">
        <v>141</v>
      </c>
      <c r="J84" s="370" t="s">
        <v>3196</v>
      </c>
      <c r="K84" s="314" t="s">
        <v>245</v>
      </c>
      <c r="L84" s="314" t="s">
        <v>246</v>
      </c>
      <c r="M84" s="396" t="s">
        <v>151</v>
      </c>
    </row>
    <row r="85" spans="1:14" x14ac:dyDescent="0.3">
      <c r="A85" s="317" t="s">
        <v>10</v>
      </c>
      <c r="B85" s="317" t="s">
        <v>2445</v>
      </c>
      <c r="C85" t="s">
        <v>2446</v>
      </c>
      <c r="D85" s="184"/>
      <c r="E85" s="317" t="s">
        <v>2447</v>
      </c>
      <c r="F85">
        <v>0</v>
      </c>
      <c r="G85">
        <v>1</v>
      </c>
      <c r="H85">
        <v>1</v>
      </c>
      <c r="I85" s="370" t="s">
        <v>29</v>
      </c>
      <c r="J85" s="370" t="s">
        <v>3324</v>
      </c>
      <c r="K85" s="370" t="s">
        <v>241</v>
      </c>
      <c r="L85" s="314" t="s">
        <v>242</v>
      </c>
    </row>
    <row r="86" spans="1:14" x14ac:dyDescent="0.3">
      <c r="A86" s="317" t="s">
        <v>10</v>
      </c>
      <c r="B86" s="317" t="s">
        <v>2973</v>
      </c>
      <c r="C86" t="s">
        <v>3366</v>
      </c>
      <c r="D86" s="184"/>
      <c r="E86" s="317" t="s">
        <v>3368</v>
      </c>
      <c r="F86">
        <v>0</v>
      </c>
      <c r="G86">
        <v>1</v>
      </c>
      <c r="H86">
        <v>1</v>
      </c>
      <c r="I86" s="370" t="s">
        <v>29</v>
      </c>
      <c r="J86" s="370" t="s">
        <v>3365</v>
      </c>
      <c r="K86" s="370" t="s">
        <v>241</v>
      </c>
      <c r="L86" s="314" t="s">
        <v>242</v>
      </c>
    </row>
    <row r="87" spans="1:14" x14ac:dyDescent="0.3">
      <c r="A87" s="317" t="s">
        <v>10</v>
      </c>
      <c r="B87" t="s">
        <v>3323</v>
      </c>
      <c r="C87" t="s">
        <v>3367</v>
      </c>
      <c r="D87" s="184"/>
      <c r="E87" s="184"/>
      <c r="F87">
        <v>0</v>
      </c>
      <c r="G87">
        <v>1</v>
      </c>
      <c r="H87">
        <v>1</v>
      </c>
      <c r="I87" s="370" t="s">
        <v>29</v>
      </c>
      <c r="J87" t="s">
        <v>3421</v>
      </c>
      <c r="K87" s="370" t="s">
        <v>241</v>
      </c>
      <c r="L87" s="314" t="s">
        <v>242</v>
      </c>
    </row>
    <row r="88" spans="1:14" x14ac:dyDescent="0.3">
      <c r="A88" s="317" t="s">
        <v>10</v>
      </c>
      <c r="B88" s="317" t="s">
        <v>2714</v>
      </c>
      <c r="C88" t="s">
        <v>2713</v>
      </c>
      <c r="D88" s="317" t="s">
        <v>2714</v>
      </c>
      <c r="E88" t="s">
        <v>2715</v>
      </c>
      <c r="F88">
        <v>0</v>
      </c>
      <c r="G88">
        <v>1</v>
      </c>
      <c r="H88">
        <v>1</v>
      </c>
      <c r="I88" s="370" t="s">
        <v>29</v>
      </c>
      <c r="J88" s="314"/>
    </row>
    <row r="89" spans="1:14" x14ac:dyDescent="0.3">
      <c r="A89" s="317" t="s">
        <v>10</v>
      </c>
      <c r="B89" s="317" t="s">
        <v>2756</v>
      </c>
      <c r="C89" t="s">
        <v>2756</v>
      </c>
      <c r="D89" s="317" t="s">
        <v>2756</v>
      </c>
      <c r="E89" s="317" t="s">
        <v>2757</v>
      </c>
      <c r="F89" s="386">
        <v>0</v>
      </c>
      <c r="G89" s="386">
        <v>1</v>
      </c>
      <c r="H89" s="386">
        <v>0.01</v>
      </c>
      <c r="I89" s="370" t="s">
        <v>2758</v>
      </c>
      <c r="J89" s="370" t="s">
        <v>3197</v>
      </c>
      <c r="K89" s="314" t="s">
        <v>2908</v>
      </c>
    </row>
    <row r="90" spans="1:14" x14ac:dyDescent="0.3">
      <c r="A90" t="s">
        <v>10</v>
      </c>
      <c r="B90" t="s">
        <v>3270</v>
      </c>
      <c r="C90" t="s">
        <v>3269</v>
      </c>
      <c r="D90" t="s">
        <v>3270</v>
      </c>
      <c r="E90" t="s">
        <v>2263</v>
      </c>
      <c r="F90" s="395">
        <v>-0.9</v>
      </c>
      <c r="G90" s="395">
        <v>0.9</v>
      </c>
      <c r="H90" s="386">
        <v>0.01</v>
      </c>
      <c r="I90" s="370" t="s">
        <v>142</v>
      </c>
      <c r="J90" s="370" t="s">
        <v>3271</v>
      </c>
      <c r="K90" s="314" t="s">
        <v>247</v>
      </c>
      <c r="L90" s="314" t="s">
        <v>248</v>
      </c>
      <c r="M90" s="397" t="s">
        <v>152</v>
      </c>
    </row>
    <row r="91" spans="1:14" x14ac:dyDescent="0.3">
      <c r="A91" t="s">
        <v>10</v>
      </c>
      <c r="B91" t="s">
        <v>3723</v>
      </c>
      <c r="C91" t="s">
        <v>3726</v>
      </c>
      <c r="D91" s="184"/>
      <c r="E91" s="184"/>
      <c r="F91">
        <v>0</v>
      </c>
      <c r="G91">
        <v>1</v>
      </c>
      <c r="H91">
        <v>1</v>
      </c>
      <c r="I91" s="370" t="s">
        <v>29</v>
      </c>
      <c r="J91" t="s">
        <v>3729</v>
      </c>
    </row>
    <row r="92" spans="1:14" x14ac:dyDescent="0.3">
      <c r="A92" t="s">
        <v>10</v>
      </c>
      <c r="B92" t="s">
        <v>3724</v>
      </c>
      <c r="C92" t="s">
        <v>3727</v>
      </c>
      <c r="D92" s="184"/>
      <c r="E92" s="184"/>
      <c r="F92">
        <v>0</v>
      </c>
      <c r="G92">
        <v>1</v>
      </c>
      <c r="H92">
        <v>1</v>
      </c>
      <c r="I92" s="370" t="s">
        <v>29</v>
      </c>
      <c r="J92" t="s">
        <v>3730</v>
      </c>
    </row>
    <row r="93" spans="1:14" x14ac:dyDescent="0.3">
      <c r="A93" t="s">
        <v>10</v>
      </c>
      <c r="B93" t="s">
        <v>3725</v>
      </c>
      <c r="C93" t="s">
        <v>3728</v>
      </c>
      <c r="D93" s="184"/>
      <c r="E93" s="184"/>
      <c r="F93">
        <v>0</v>
      </c>
      <c r="G93">
        <v>1</v>
      </c>
      <c r="H93">
        <v>1</v>
      </c>
      <c r="I93" s="370" t="s">
        <v>29</v>
      </c>
      <c r="J93" t="s">
        <v>3731</v>
      </c>
    </row>
    <row r="94" spans="1:14" x14ac:dyDescent="0.3">
      <c r="A94" t="s">
        <v>2659</v>
      </c>
      <c r="B94" s="184" t="s">
        <v>314</v>
      </c>
      <c r="C94" t="s">
        <v>288</v>
      </c>
      <c r="D94" t="s">
        <v>350</v>
      </c>
      <c r="E94" t="s">
        <v>2262</v>
      </c>
      <c r="F94" s="13">
        <v>0</v>
      </c>
      <c r="G94" s="13">
        <v>0.4</v>
      </c>
      <c r="H94" s="395">
        <v>0.01</v>
      </c>
      <c r="I94" s="370" t="s">
        <v>31</v>
      </c>
      <c r="J94" s="370" t="s">
        <v>3198</v>
      </c>
      <c r="K94" s="370" t="s">
        <v>249</v>
      </c>
      <c r="L94" s="314" t="s">
        <v>250</v>
      </c>
      <c r="M94" s="396"/>
    </row>
    <row r="95" spans="1:14" x14ac:dyDescent="0.3">
      <c r="A95" s="254" t="str">
        <f>A$94</f>
        <v>Research and Development</v>
      </c>
      <c r="B95" s="254" t="str">
        <f t="shared" ref="B95:B98" si="0">B$94</f>
        <v>Capital Cost Reduction</v>
      </c>
      <c r="C95" t="s">
        <v>289</v>
      </c>
      <c r="D95" s="254" t="str">
        <f t="shared" ref="D95:L98" si="1">D$94</f>
        <v>R&amp;D Capital Cost Reductions</v>
      </c>
      <c r="E95" t="s">
        <v>3213</v>
      </c>
      <c r="F95" s="403">
        <f t="shared" si="1"/>
        <v>0</v>
      </c>
      <c r="G95" s="403">
        <f t="shared" si="1"/>
        <v>0.4</v>
      </c>
      <c r="H95" s="403">
        <f t="shared" si="1"/>
        <v>0.01</v>
      </c>
      <c r="I95" s="254" t="str">
        <f t="shared" si="1"/>
        <v>% reduction in cost</v>
      </c>
      <c r="J95"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5" s="254" t="str">
        <f t="shared" si="1"/>
        <v>architectural-design.html#rnd</v>
      </c>
      <c r="L95" s="254" t="str">
        <f t="shared" si="1"/>
        <v>research-and-development.html</v>
      </c>
      <c r="M95" s="396"/>
    </row>
    <row r="96" spans="1:14" x14ac:dyDescent="0.3">
      <c r="A96" s="254" t="str">
        <f t="shared" ref="A96:A98" si="2">A$94</f>
        <v>Research and Development</v>
      </c>
      <c r="B96" s="254" t="str">
        <f t="shared" si="0"/>
        <v>Capital Cost Reduction</v>
      </c>
      <c r="C96" t="s">
        <v>290</v>
      </c>
      <c r="D96" s="254" t="str">
        <f t="shared" si="1"/>
        <v>R&amp;D Capital Cost Reductions</v>
      </c>
      <c r="E96" t="s">
        <v>3214</v>
      </c>
      <c r="F96" s="403">
        <f t="shared" si="1"/>
        <v>0</v>
      </c>
      <c r="G96" s="403">
        <f t="shared" si="1"/>
        <v>0.4</v>
      </c>
      <c r="H96" s="403">
        <f t="shared" si="1"/>
        <v>0.01</v>
      </c>
      <c r="I96" s="254" t="str">
        <f t="shared" si="1"/>
        <v>% reduction in cost</v>
      </c>
      <c r="J96"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6" s="254" t="str">
        <f t="shared" si="1"/>
        <v>architectural-design.html#rnd</v>
      </c>
      <c r="L96" s="254" t="str">
        <f t="shared" si="1"/>
        <v>research-and-development.html</v>
      </c>
      <c r="M96" s="396"/>
    </row>
    <row r="97" spans="1:13" x14ac:dyDescent="0.3">
      <c r="A97" s="254" t="str">
        <f t="shared" si="2"/>
        <v>Research and Development</v>
      </c>
      <c r="B97" s="254" t="str">
        <f t="shared" si="0"/>
        <v>Capital Cost Reduction</v>
      </c>
      <c r="C97" t="s">
        <v>291</v>
      </c>
      <c r="D97" s="254" t="str">
        <f t="shared" si="1"/>
        <v>R&amp;D Capital Cost Reductions</v>
      </c>
      <c r="E97" t="s">
        <v>3215</v>
      </c>
      <c r="F97" s="403">
        <f t="shared" si="1"/>
        <v>0</v>
      </c>
      <c r="G97" s="403">
        <f t="shared" si="1"/>
        <v>0.4</v>
      </c>
      <c r="H97" s="403">
        <f t="shared" si="1"/>
        <v>0.01</v>
      </c>
      <c r="I97" s="254" t="str">
        <f t="shared" si="1"/>
        <v>% reduction in cost</v>
      </c>
      <c r="J97"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7" s="254" t="str">
        <f t="shared" si="1"/>
        <v>architectural-design.html#rnd</v>
      </c>
      <c r="L97" s="254" t="str">
        <f t="shared" si="1"/>
        <v>research-and-development.html</v>
      </c>
      <c r="M97" s="396"/>
    </row>
    <row r="98" spans="1:13" x14ac:dyDescent="0.3">
      <c r="A98" s="254" t="str">
        <f t="shared" si="2"/>
        <v>Research and Development</v>
      </c>
      <c r="B98" s="254" t="str">
        <f t="shared" si="0"/>
        <v>Capital Cost Reduction</v>
      </c>
      <c r="C98" s="317" t="s">
        <v>292</v>
      </c>
      <c r="D98" s="254" t="str">
        <f t="shared" si="1"/>
        <v>R&amp;D Capital Cost Reductions</v>
      </c>
      <c r="E98" t="s">
        <v>3216</v>
      </c>
      <c r="F98" s="403">
        <f t="shared" si="1"/>
        <v>0</v>
      </c>
      <c r="G98" s="403">
        <f t="shared" si="1"/>
        <v>0.4</v>
      </c>
      <c r="H98" s="403">
        <f t="shared" si="1"/>
        <v>0.01</v>
      </c>
      <c r="I98" s="254" t="str">
        <f t="shared" si="1"/>
        <v>% reduction in cost</v>
      </c>
      <c r="J98" s="254"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98" s="254" t="str">
        <f t="shared" si="1"/>
        <v>architectural-design.html#rnd</v>
      </c>
      <c r="L98" s="254" t="str">
        <f t="shared" si="1"/>
        <v>research-and-development.html</v>
      </c>
      <c r="M98" s="396"/>
    </row>
    <row r="99" spans="1:13" x14ac:dyDescent="0.3">
      <c r="A99" s="317" t="s">
        <v>2659</v>
      </c>
      <c r="B99" s="317" t="s">
        <v>2801</v>
      </c>
      <c r="C99" t="s">
        <v>2802</v>
      </c>
      <c r="D99" s="317" t="s">
        <v>3776</v>
      </c>
      <c r="E99" s="391" t="s">
        <v>2804</v>
      </c>
      <c r="F99" s="13">
        <v>0</v>
      </c>
      <c r="G99" s="13">
        <v>1</v>
      </c>
      <c r="H99" s="395">
        <v>0.01</v>
      </c>
      <c r="I99" s="370" t="s">
        <v>33</v>
      </c>
      <c r="J99" s="370" t="s">
        <v>3389</v>
      </c>
      <c r="K99" s="314" t="s">
        <v>2807</v>
      </c>
      <c r="L99" s="314" t="s">
        <v>2806</v>
      </c>
      <c r="M99" s="397" t="s">
        <v>2805</v>
      </c>
    </row>
    <row r="100" spans="1:13" x14ac:dyDescent="0.3">
      <c r="A100" s="317" t="s">
        <v>2659</v>
      </c>
      <c r="B100" s="317" t="s">
        <v>3761</v>
      </c>
      <c r="C100" t="s">
        <v>3762</v>
      </c>
      <c r="D100" s="317" t="s">
        <v>3776</v>
      </c>
      <c r="E100" s="391" t="s">
        <v>3763</v>
      </c>
      <c r="F100" s="13">
        <v>0</v>
      </c>
      <c r="G100" s="13">
        <v>1</v>
      </c>
      <c r="H100" s="395">
        <v>0.01</v>
      </c>
      <c r="I100" s="370" t="s">
        <v>33</v>
      </c>
      <c r="J100" s="370" t="s">
        <v>3765</v>
      </c>
      <c r="K100" s="314"/>
      <c r="L100" s="314"/>
      <c r="M100" s="397" t="s">
        <v>3764</v>
      </c>
    </row>
    <row r="101" spans="1:13" x14ac:dyDescent="0.3">
      <c r="A101" t="s">
        <v>2659</v>
      </c>
      <c r="B101" s="184" t="s">
        <v>327</v>
      </c>
      <c r="C101" t="s">
        <v>293</v>
      </c>
      <c r="D101" t="s">
        <v>351</v>
      </c>
      <c r="E101" t="s">
        <v>2261</v>
      </c>
      <c r="F101" s="13">
        <v>0</v>
      </c>
      <c r="G101" s="13">
        <v>0.4</v>
      </c>
      <c r="H101" s="395">
        <v>0.01</v>
      </c>
      <c r="I101" s="370" t="s">
        <v>32</v>
      </c>
      <c r="J101" s="370" t="s">
        <v>3204</v>
      </c>
      <c r="K101" s="370" t="s">
        <v>249</v>
      </c>
      <c r="L101" s="314" t="s">
        <v>250</v>
      </c>
    </row>
    <row r="102" spans="1:13" x14ac:dyDescent="0.3">
      <c r="A102" s="254" t="str">
        <f>A$101</f>
        <v>Research and Development</v>
      </c>
      <c r="B102" s="254" t="str">
        <f>B$101</f>
        <v>Fuel Use Reduction</v>
      </c>
      <c r="C102" t="s">
        <v>294</v>
      </c>
      <c r="D102" s="254" t="str">
        <f t="shared" ref="D102:L105" si="3">D$101</f>
        <v>R&amp;D Fuel Use Reductions</v>
      </c>
      <c r="E102" t="s">
        <v>3217</v>
      </c>
      <c r="F102" s="261">
        <f t="shared" si="3"/>
        <v>0</v>
      </c>
      <c r="G102" s="261">
        <f t="shared" si="3"/>
        <v>0.4</v>
      </c>
      <c r="H102" s="261">
        <f t="shared" si="3"/>
        <v>0.01</v>
      </c>
      <c r="I102" s="254" t="str">
        <f t="shared" si="3"/>
        <v>% reduction in fuel use</v>
      </c>
      <c r="J102"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4" t="str">
        <f t="shared" si="3"/>
        <v>architectural-design.html#rnd</v>
      </c>
      <c r="L102" s="254" t="str">
        <f t="shared" si="3"/>
        <v>research-and-development.html</v>
      </c>
    </row>
    <row r="103" spans="1:13" x14ac:dyDescent="0.3">
      <c r="A103" s="254" t="str">
        <f t="shared" ref="A103:B105" si="4">A$101</f>
        <v>Research and Development</v>
      </c>
      <c r="B103" s="254" t="str">
        <f t="shared" si="4"/>
        <v>Fuel Use Reduction</v>
      </c>
      <c r="C103" t="s">
        <v>295</v>
      </c>
      <c r="D103" s="254" t="str">
        <f t="shared" si="3"/>
        <v>R&amp;D Fuel Use Reductions</v>
      </c>
      <c r="E103" t="s">
        <v>3218</v>
      </c>
      <c r="F103" s="261">
        <f t="shared" si="3"/>
        <v>0</v>
      </c>
      <c r="G103" s="261">
        <f t="shared" si="3"/>
        <v>0.4</v>
      </c>
      <c r="H103" s="261">
        <f t="shared" si="3"/>
        <v>0.01</v>
      </c>
      <c r="I103" s="254" t="str">
        <f t="shared" si="3"/>
        <v>% reduction in fuel use</v>
      </c>
      <c r="J103"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4" t="str">
        <f t="shared" si="3"/>
        <v>architectural-design.html#rnd</v>
      </c>
      <c r="L103" s="254" t="str">
        <f t="shared" si="3"/>
        <v>research-and-development.html</v>
      </c>
    </row>
    <row r="104" spans="1:13" x14ac:dyDescent="0.3">
      <c r="A104" s="254" t="str">
        <f t="shared" si="4"/>
        <v>Research and Development</v>
      </c>
      <c r="B104" s="254" t="str">
        <f t="shared" si="4"/>
        <v>Fuel Use Reduction</v>
      </c>
      <c r="C104" t="s">
        <v>296</v>
      </c>
      <c r="D104" s="254" t="str">
        <f t="shared" si="3"/>
        <v>R&amp;D Fuel Use Reductions</v>
      </c>
      <c r="E104" t="s">
        <v>3219</v>
      </c>
      <c r="F104" s="261">
        <f t="shared" si="3"/>
        <v>0</v>
      </c>
      <c r="G104" s="261">
        <f t="shared" si="3"/>
        <v>0.4</v>
      </c>
      <c r="H104" s="261">
        <f t="shared" si="3"/>
        <v>0.01</v>
      </c>
      <c r="I104" s="254" t="str">
        <f t="shared" si="3"/>
        <v>% reduction in fuel use</v>
      </c>
      <c r="J104"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4" t="str">
        <f t="shared" si="3"/>
        <v>architectural-design.html#rnd</v>
      </c>
      <c r="L104" s="254" t="str">
        <f t="shared" si="3"/>
        <v>research-and-development.html</v>
      </c>
    </row>
    <row r="105" spans="1:13" x14ac:dyDescent="0.3">
      <c r="A105" s="254" t="str">
        <f t="shared" si="4"/>
        <v>Research and Development</v>
      </c>
      <c r="B105" s="254" t="str">
        <f t="shared" si="4"/>
        <v>Fuel Use Reduction</v>
      </c>
      <c r="C105" t="s">
        <v>297</v>
      </c>
      <c r="D105" s="254" t="str">
        <f t="shared" si="3"/>
        <v>R&amp;D Fuel Use Reductions</v>
      </c>
      <c r="E105" t="s">
        <v>3220</v>
      </c>
      <c r="F105" s="261">
        <f t="shared" si="3"/>
        <v>0</v>
      </c>
      <c r="G105" s="261">
        <f t="shared" si="3"/>
        <v>0.4</v>
      </c>
      <c r="H105" s="261">
        <f t="shared" si="3"/>
        <v>0.01</v>
      </c>
      <c r="I105" s="254" t="str">
        <f t="shared" si="3"/>
        <v>% reduction in fuel use</v>
      </c>
      <c r="J105" s="254"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4" t="str">
        <f t="shared" si="3"/>
        <v>architectural-design.html#rnd</v>
      </c>
      <c r="L105" s="254" t="str">
        <f t="shared" si="3"/>
        <v>research-and-development.html</v>
      </c>
    </row>
    <row r="106" spans="1:13" x14ac:dyDescent="0.3">
      <c r="A106" t="s">
        <v>2943</v>
      </c>
      <c r="B106" t="s">
        <v>2944</v>
      </c>
      <c r="C106" t="s">
        <v>2951</v>
      </c>
      <c r="D106" s="184"/>
      <c r="E106" t="s">
        <v>2976</v>
      </c>
      <c r="F106">
        <v>0</v>
      </c>
      <c r="G106">
        <v>10</v>
      </c>
      <c r="H106">
        <v>1</v>
      </c>
      <c r="I106" t="s">
        <v>2921</v>
      </c>
      <c r="J106" t="s">
        <v>3205</v>
      </c>
      <c r="K106" t="s">
        <v>2922</v>
      </c>
    </row>
    <row r="107" spans="1:13" x14ac:dyDescent="0.3">
      <c r="A107" t="s">
        <v>2943</v>
      </c>
      <c r="B107" t="s">
        <v>2945</v>
      </c>
      <c r="C107" t="s">
        <v>2952</v>
      </c>
      <c r="D107" s="184"/>
      <c r="E107" t="s">
        <v>2977</v>
      </c>
      <c r="F107">
        <v>0</v>
      </c>
      <c r="G107">
        <v>10</v>
      </c>
      <c r="H107">
        <v>1</v>
      </c>
      <c r="I107" t="s">
        <v>2921</v>
      </c>
      <c r="J107" s="254" t="str">
        <f>J$106</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7" s="254" t="str">
        <f t="shared" ref="K107:K116" si="5">K$106</f>
        <v>io-model.html</v>
      </c>
    </row>
    <row r="108" spans="1:13" x14ac:dyDescent="0.3">
      <c r="A108" t="s">
        <v>2943</v>
      </c>
      <c r="B108" t="s">
        <v>3441</v>
      </c>
      <c r="C108" t="s">
        <v>3620</v>
      </c>
      <c r="D108" s="184"/>
      <c r="E108" t="s">
        <v>2978</v>
      </c>
      <c r="F108">
        <v>0</v>
      </c>
      <c r="G108">
        <v>10</v>
      </c>
      <c r="H108">
        <v>1</v>
      </c>
      <c r="I108" t="s">
        <v>2921</v>
      </c>
      <c r="J108" s="254" t="str">
        <f t="shared" ref="J108:J116" si="6">J$106</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8" s="254" t="str">
        <f t="shared" si="5"/>
        <v>io-model.html</v>
      </c>
    </row>
    <row r="109" spans="1:13" x14ac:dyDescent="0.3">
      <c r="A109" t="s">
        <v>2943</v>
      </c>
      <c r="B109" t="s">
        <v>3621</v>
      </c>
      <c r="C109" t="s">
        <v>3622</v>
      </c>
      <c r="D109" s="184"/>
      <c r="E109" t="s">
        <v>3623</v>
      </c>
      <c r="F109">
        <v>0</v>
      </c>
      <c r="G109">
        <v>10</v>
      </c>
      <c r="H109">
        <v>1</v>
      </c>
      <c r="I109" t="s">
        <v>2921</v>
      </c>
      <c r="J109"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09" s="254" t="str">
        <f t="shared" si="5"/>
        <v>io-model.html</v>
      </c>
    </row>
    <row r="110" spans="1:13" x14ac:dyDescent="0.3">
      <c r="A110" t="s">
        <v>2943</v>
      </c>
      <c r="B110" t="s">
        <v>2946</v>
      </c>
      <c r="C110" t="s">
        <v>2953</v>
      </c>
      <c r="D110" s="184"/>
      <c r="E110" t="s">
        <v>2979</v>
      </c>
      <c r="F110">
        <v>0</v>
      </c>
      <c r="G110">
        <v>10</v>
      </c>
      <c r="H110">
        <v>1</v>
      </c>
      <c r="I110" t="s">
        <v>2921</v>
      </c>
      <c r="J110"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0" s="254" t="str">
        <f t="shared" si="5"/>
        <v>io-model.html</v>
      </c>
    </row>
    <row r="111" spans="1:13" x14ac:dyDescent="0.3">
      <c r="A111" t="s">
        <v>2943</v>
      </c>
      <c r="B111" t="s">
        <v>2947</v>
      </c>
      <c r="C111" t="s">
        <v>2954</v>
      </c>
      <c r="D111" s="184"/>
      <c r="E111" t="s">
        <v>2980</v>
      </c>
      <c r="F111">
        <v>0</v>
      </c>
      <c r="G111">
        <v>10</v>
      </c>
      <c r="H111">
        <v>1</v>
      </c>
      <c r="I111" t="s">
        <v>2921</v>
      </c>
      <c r="J111"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1" s="254" t="str">
        <f t="shared" si="5"/>
        <v>io-model.html</v>
      </c>
    </row>
    <row r="112" spans="1:13" x14ac:dyDescent="0.3">
      <c r="A112" t="s">
        <v>2943</v>
      </c>
      <c r="B112" t="s">
        <v>263</v>
      </c>
      <c r="C112" t="s">
        <v>2955</v>
      </c>
      <c r="D112" s="184"/>
      <c r="E112" t="s">
        <v>2981</v>
      </c>
      <c r="F112">
        <v>0</v>
      </c>
      <c r="G112">
        <v>10</v>
      </c>
      <c r="H112">
        <v>1</v>
      </c>
      <c r="I112" t="s">
        <v>2921</v>
      </c>
      <c r="J112"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2" s="254" t="str">
        <f t="shared" si="5"/>
        <v>io-model.html</v>
      </c>
    </row>
    <row r="113" spans="1:13" x14ac:dyDescent="0.3">
      <c r="A113" t="s">
        <v>2943</v>
      </c>
      <c r="B113" t="s">
        <v>2948</v>
      </c>
      <c r="C113" t="s">
        <v>2956</v>
      </c>
      <c r="D113" s="184"/>
      <c r="E113" t="s">
        <v>2982</v>
      </c>
      <c r="F113">
        <v>0</v>
      </c>
      <c r="G113">
        <v>10</v>
      </c>
      <c r="H113">
        <v>1</v>
      </c>
      <c r="I113" t="s">
        <v>2921</v>
      </c>
      <c r="J113"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3" s="254" t="str">
        <f t="shared" si="5"/>
        <v>io-model.html</v>
      </c>
    </row>
    <row r="114" spans="1:13" x14ac:dyDescent="0.3">
      <c r="A114" t="s">
        <v>2943</v>
      </c>
      <c r="B114" t="s">
        <v>3624</v>
      </c>
      <c r="C114" t="s">
        <v>3625</v>
      </c>
      <c r="D114" s="184"/>
      <c r="E114" t="s">
        <v>3626</v>
      </c>
      <c r="F114">
        <v>0</v>
      </c>
      <c r="G114">
        <v>10</v>
      </c>
      <c r="H114">
        <v>1</v>
      </c>
      <c r="I114" t="s">
        <v>2921</v>
      </c>
      <c r="J114"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4" s="254" t="str">
        <f t="shared" si="5"/>
        <v>io-model.html</v>
      </c>
    </row>
    <row r="115" spans="1:13" x14ac:dyDescent="0.3">
      <c r="A115" t="s">
        <v>2943</v>
      </c>
      <c r="B115" t="s">
        <v>2949</v>
      </c>
      <c r="C115" t="s">
        <v>2957</v>
      </c>
      <c r="D115" s="184"/>
      <c r="E115" t="s">
        <v>2983</v>
      </c>
      <c r="F115">
        <v>0</v>
      </c>
      <c r="G115">
        <v>10</v>
      </c>
      <c r="H115">
        <v>1</v>
      </c>
      <c r="I115" t="s">
        <v>2921</v>
      </c>
      <c r="J115"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5" s="254" t="str">
        <f t="shared" si="5"/>
        <v>io-model.html</v>
      </c>
    </row>
    <row r="116" spans="1:13" x14ac:dyDescent="0.3">
      <c r="A116" t="s">
        <v>2943</v>
      </c>
      <c r="B116" t="s">
        <v>2950</v>
      </c>
      <c r="C116" t="s">
        <v>2958</v>
      </c>
      <c r="D116" s="184"/>
      <c r="E116" t="s">
        <v>2984</v>
      </c>
      <c r="F116">
        <v>0</v>
      </c>
      <c r="G116">
        <v>10</v>
      </c>
      <c r="H116">
        <v>1</v>
      </c>
      <c r="I116" t="s">
        <v>2921</v>
      </c>
      <c r="J116" s="254" t="str">
        <f t="shared" si="6"/>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K116" s="254" t="str">
        <f t="shared" si="5"/>
        <v>io-model.html</v>
      </c>
    </row>
    <row r="117" spans="1:13" x14ac:dyDescent="0.3">
      <c r="A117" t="s">
        <v>2822</v>
      </c>
      <c r="B117" t="s">
        <v>2823</v>
      </c>
      <c r="C117" t="s">
        <v>3419</v>
      </c>
      <c r="D117" s="184"/>
      <c r="E117" t="s">
        <v>2824</v>
      </c>
      <c r="F117">
        <v>0</v>
      </c>
      <c r="G117">
        <v>1</v>
      </c>
      <c r="H117">
        <v>1</v>
      </c>
      <c r="I117" s="370" t="s">
        <v>29</v>
      </c>
      <c r="J117" t="s">
        <v>3420</v>
      </c>
      <c r="M117" s="404"/>
    </row>
    <row r="118" spans="1:13" x14ac:dyDescent="0.3">
      <c r="A118" t="s">
        <v>2822</v>
      </c>
      <c r="B118" t="s">
        <v>3283</v>
      </c>
      <c r="C118" t="s">
        <v>3281</v>
      </c>
      <c r="D118" s="184"/>
      <c r="E118" s="184"/>
      <c r="F118">
        <v>0</v>
      </c>
      <c r="G118">
        <v>1</v>
      </c>
      <c r="H118">
        <v>1</v>
      </c>
      <c r="I118" s="370" t="s">
        <v>29</v>
      </c>
      <c r="J118" t="s">
        <v>3282</v>
      </c>
    </row>
  </sheetData>
  <phoneticPr fontId="113" type="noConversion"/>
  <hyperlinks>
    <hyperlink ref="N70" r:id="rId1" display="https://www.fas.org/sgp/crs/misc/R40562.pdf, p.3, paragraph 1" xr:uid="{7CF34F3F-CA8F-4028-84E1-41FC3F30186E}"/>
    <hyperlink ref="M35"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S1972"/>
  <sheetViews>
    <sheetView tabSelected="1" topLeftCell="A1922" workbookViewId="0">
      <selection activeCell="B1940" sqref="B1940"/>
    </sheetView>
  </sheetViews>
  <sheetFormatPr defaultColWidth="9.109375" defaultRowHeight="14.4" x14ac:dyDescent="0.3"/>
  <cols>
    <col min="1" max="1" width="30" style="1" customWidth="1"/>
    <col min="2" max="2" width="41.44140625" style="322" customWidth="1"/>
    <col min="3" max="3" width="59.88671875" customWidth="1"/>
    <col min="4" max="4" width="45.44140625" style="1" customWidth="1"/>
    <col min="5" max="5" width="38.44140625" style="1" customWidth="1"/>
    <col min="6" max="6" width="47.44140625" style="1" customWidth="1"/>
    <col min="7" max="7" width="46" style="1" customWidth="1"/>
    <col min="8" max="8" width="19.44140625" style="43" customWidth="1"/>
    <col min="9" max="9" width="21.44140625" style="322" customWidth="1"/>
    <col min="10" max="10" width="42.109375" style="256" bestFit="1" customWidth="1"/>
    <col min="11" max="11" width="29.109375" style="1" customWidth="1"/>
    <col min="12" max="12" width="19" style="1" customWidth="1"/>
    <col min="13" max="14" width="19.109375" style="1" customWidth="1"/>
    <col min="15" max="15" width="28.44140625" style="1" customWidth="1"/>
    <col min="16" max="16" width="113.33203125" style="1" customWidth="1"/>
    <col min="17" max="17" width="53.44140625" style="1" customWidth="1"/>
    <col min="18" max="18" width="45.44140625" style="2" customWidth="1"/>
    <col min="19" max="16384" width="9.109375" style="1"/>
  </cols>
  <sheetData>
    <row r="1" spans="1:18" x14ac:dyDescent="0.3">
      <c r="A1" s="259" t="s">
        <v>3</v>
      </c>
      <c r="B1" s="321" t="s">
        <v>0</v>
      </c>
      <c r="C1" s="316" t="s">
        <v>1</v>
      </c>
      <c r="D1" s="257" t="s">
        <v>35</v>
      </c>
      <c r="E1" s="257" t="s">
        <v>36</v>
      </c>
      <c r="F1" s="257" t="s">
        <v>82</v>
      </c>
      <c r="G1" s="257" t="s">
        <v>83</v>
      </c>
      <c r="H1" s="258" t="s">
        <v>456</v>
      </c>
      <c r="I1" s="323" t="s">
        <v>68</v>
      </c>
      <c r="J1" s="260" t="s">
        <v>343</v>
      </c>
      <c r="K1" s="259" t="s">
        <v>2260</v>
      </c>
      <c r="L1" s="259" t="s">
        <v>69</v>
      </c>
      <c r="M1" s="259" t="s">
        <v>70</v>
      </c>
      <c r="N1" s="259" t="s">
        <v>81</v>
      </c>
      <c r="O1" s="259" t="s">
        <v>28</v>
      </c>
      <c r="P1" s="259" t="s">
        <v>2</v>
      </c>
      <c r="Q1" s="259" t="s">
        <v>440</v>
      </c>
      <c r="R1" s="259" t="s">
        <v>189</v>
      </c>
    </row>
    <row r="2" spans="1:18" s="2" customFormat="1" ht="28.8" x14ac:dyDescent="0.3">
      <c r="A2" s="254" t="str">
        <f>IF(ISBLANK(INDEX('Policy Characteristics'!A:A,MATCH($C2,'Policy Characteristics'!$C:$C,0))),"",INDEX('Policy Characteristics'!A:A,MATCH($C2,'Policy Characteristics'!$C:$C,0)))</f>
        <v>Transportation</v>
      </c>
      <c r="B2" s="262" t="str">
        <f>IF(ISBLANK(INDEX('Policy Characteristics'!B:B,MATCH($C2,'Policy Characteristics'!$C:$C,0))),"",INDEX('Policy Characteristics'!B:B,MATCH($C2,'Policy Characteristics'!$C:$C,0)))</f>
        <v>Conventional Pollutant Standards</v>
      </c>
      <c r="C2" s="317" t="s">
        <v>2382</v>
      </c>
      <c r="D2" s="2" t="s">
        <v>37</v>
      </c>
      <c r="E2" s="2" t="s">
        <v>2221</v>
      </c>
      <c r="F2" s="2" t="s">
        <v>3456</v>
      </c>
      <c r="G2" s="2" t="s">
        <v>2426</v>
      </c>
      <c r="H2" s="47">
        <v>300</v>
      </c>
      <c r="I2" s="324" t="s">
        <v>43</v>
      </c>
      <c r="J2" s="255" t="str">
        <f>IF(ISBLANK(INDEX('Policy Characteristics'!D:D,MATCH($C2,'Policy Characteristics'!$C:$C,0))),"",INDEX('Policy Characteristics'!D:D,MATCH($C2,'Policy Characteristics'!$C:$C,0)))</f>
        <v>Conventional Pollutant Standard</v>
      </c>
      <c r="K2" s="254" t="str">
        <f>IF(ISBLANK(INDEX('Policy Characteristics'!E:E,MATCH($C2,'Policy Characteristics'!$C:$C,0))),"",INDEX('Policy Characteristics'!E:E,MATCH($C2,'Policy Characteristics'!$C:$C,0)))</f>
        <v>trans reduce regulated pollutants</v>
      </c>
      <c r="L2" s="261">
        <f>IF(ISBLANK(INDEX('Policy Characteristics'!F:F,MATCH($C2,'Policy Characteristics'!$C:$C,0))),"",INDEX('Policy Characteristics'!F:F,MATCH($C2,'Policy Characteristics'!$C:$C,0)))</f>
        <v>0</v>
      </c>
      <c r="M2" s="261">
        <f>IF(ISBLANK(INDEX('Policy Characteristics'!G:G,MATCH($C2,'Policy Characteristics'!$C:$C,0))),"",INDEX('Policy Characteristics'!G:G,MATCH($C2,'Policy Characteristics'!$C:$C,0)))</f>
        <v>1</v>
      </c>
      <c r="N2" s="261">
        <f>IF(ISBLANK(INDEX('Policy Characteristics'!H:H,MATCH($C2,'Policy Characteristics'!$C:$C,0))),"",INDEX('Policy Characteristics'!H:H,MATCH($C2,'Policy Characteristics'!$C:$C,0)))</f>
        <v>0.02</v>
      </c>
      <c r="O2" s="254" t="str">
        <f>IF(ISBLANK(INDEX('Policy Characteristics'!I:I,MATCH($C2,'Policy Characteristics'!$C:$C,0))),"",INDEX('Policy Characteristics'!I:I,MATCH($C2,'Policy Characteristics'!$C:$C,0)))</f>
        <v>% reduction in emissions</v>
      </c>
      <c r="P2" s="254"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4" t="str">
        <f>IF(ISBLANK(INDEX('Policy Characteristics'!K:K,MATCH($C2,'Policy Characteristics'!$C:$C,0))),"",INDEX('Policy Characteristics'!K:K,MATCH($C2,'Policy Characteristics'!$C:$C,0)))</f>
        <v>transportation-sector-main.html#conv-pol-stds</v>
      </c>
      <c r="R2" s="254" t="str">
        <f>IF(ISBLANK(INDEX('Policy Characteristics'!L:L,MATCH($C2,'Policy Characteristics'!$C:$C,0))),"",INDEX('Policy Characteristics'!L:L,MATCH($C2,'Policy Characteristics'!$C:$C,0)))</f>
        <v>conventional-pollutant-standards.html</v>
      </c>
    </row>
    <row r="3" spans="1:18" s="2" customFormat="1" ht="28.8" x14ac:dyDescent="0.3">
      <c r="A3" s="254" t="str">
        <f>IF(ISBLANK(INDEX('Policy Characteristics'!A:A,MATCH($C3,'Policy Characteristics'!$C:$C,0))),"",INDEX('Policy Characteristics'!A:A,MATCH($C3,'Policy Characteristics'!$C:$C,0)))</f>
        <v>Transportation</v>
      </c>
      <c r="B3" s="262" t="str">
        <f>IF(ISBLANK(INDEX('Policy Characteristics'!B:B,MATCH($C3,'Policy Characteristics'!$C:$C,0))),"",INDEX('Policy Characteristics'!B:B,MATCH($C3,'Policy Characteristics'!$C:$C,0)))</f>
        <v>Conventional Pollutant Standards</v>
      </c>
      <c r="C3" s="254" t="str">
        <f t="shared" ref="C3:C22" si="0">C$2</f>
        <v>Percentage Reduction of Separately Regulated Pollutants</v>
      </c>
      <c r="D3" s="2" t="s">
        <v>37</v>
      </c>
      <c r="E3" s="2" t="s">
        <v>484</v>
      </c>
      <c r="F3" s="2" t="s">
        <v>3456</v>
      </c>
      <c r="G3" s="2" t="s">
        <v>484</v>
      </c>
      <c r="H3" s="47">
        <v>301</v>
      </c>
      <c r="I3" s="324" t="s">
        <v>43</v>
      </c>
      <c r="J3" s="255" t="str">
        <f>IF(ISBLANK(INDEX('Policy Characteristics'!D:D,MATCH($C3,'Policy Characteristics'!$C:$C,0))),"",INDEX('Policy Characteristics'!D:D,MATCH($C3,'Policy Characteristics'!$C:$C,0)))</f>
        <v>Conventional Pollutant Standard</v>
      </c>
      <c r="K3" s="254" t="str">
        <f>IF(ISBLANK(INDEX('Policy Characteristics'!E:E,MATCH($C3,'Policy Characteristics'!$C:$C,0))),"",INDEX('Policy Characteristics'!E:E,MATCH($C3,'Policy Characteristics'!$C:$C,0)))</f>
        <v>trans reduce regulated pollutants</v>
      </c>
      <c r="L3" s="261">
        <f>IF(ISBLANK(INDEX('Policy Characteristics'!F:F,MATCH($C3,'Policy Characteristics'!$C:$C,0))),"",INDEX('Policy Characteristics'!F:F,MATCH($C3,'Policy Characteristics'!$C:$C,0)))</f>
        <v>0</v>
      </c>
      <c r="M3" s="261">
        <f>IF(ISBLANK(INDEX('Policy Characteristics'!G:G,MATCH($C3,'Policy Characteristics'!$C:$C,0))),"",INDEX('Policy Characteristics'!G:G,MATCH($C3,'Policy Characteristics'!$C:$C,0)))</f>
        <v>1</v>
      </c>
      <c r="N3" s="261">
        <f>IF(ISBLANK(INDEX('Policy Characteristics'!H:H,MATCH($C3,'Policy Characteristics'!$C:$C,0))),"",INDEX('Policy Characteristics'!H:H,MATCH($C3,'Policy Characteristics'!$C:$C,0)))</f>
        <v>0.02</v>
      </c>
      <c r="O3" s="254" t="str">
        <f>IF(ISBLANK(INDEX('Policy Characteristics'!I:I,MATCH($C3,'Policy Characteristics'!$C:$C,0))),"",INDEX('Policy Characteristics'!I:I,MATCH($C3,'Policy Characteristics'!$C:$C,0)))</f>
        <v>% reduction in emissions</v>
      </c>
      <c r="P3" s="254"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4" t="str">
        <f>IF(ISBLANK(INDEX('Policy Characteristics'!K:K,MATCH($C3,'Policy Characteristics'!$C:$C,0))),"",INDEX('Policy Characteristics'!K:K,MATCH($C3,'Policy Characteristics'!$C:$C,0)))</f>
        <v>transportation-sector-main.html#conv-pol-stds</v>
      </c>
      <c r="R3" s="254" t="str">
        <f>IF(ISBLANK(INDEX('Policy Characteristics'!L:L,MATCH($C3,'Policy Characteristics'!$C:$C,0))),"",INDEX('Policy Characteristics'!L:L,MATCH($C3,'Policy Characteristics'!$C:$C,0)))</f>
        <v>conventional-pollutant-standards.html</v>
      </c>
    </row>
    <row r="4" spans="1:18" s="2" customFormat="1" ht="28.8" x14ac:dyDescent="0.3">
      <c r="A4" s="254" t="str">
        <f>IF(ISBLANK(INDEX('Policy Characteristics'!A:A,MATCH($C4,'Policy Characteristics'!$C:$C,0))),"",INDEX('Policy Characteristics'!A:A,MATCH($C4,'Policy Characteristics'!$C:$C,0)))</f>
        <v>Transportation</v>
      </c>
      <c r="B4" s="262" t="str">
        <f>IF(ISBLANK(INDEX('Policy Characteristics'!B:B,MATCH($C4,'Policy Characteristics'!$C:$C,0))),"",INDEX('Policy Characteristics'!B:B,MATCH($C4,'Policy Characteristics'!$C:$C,0)))</f>
        <v>Conventional Pollutant Standards</v>
      </c>
      <c r="C4" s="254" t="str">
        <f t="shared" si="0"/>
        <v>Percentage Reduction of Separately Regulated Pollutants</v>
      </c>
      <c r="D4" s="2" t="s">
        <v>37</v>
      </c>
      <c r="E4" s="2" t="s">
        <v>2224</v>
      </c>
      <c r="F4" s="2" t="s">
        <v>3456</v>
      </c>
      <c r="G4" s="2" t="s">
        <v>2224</v>
      </c>
      <c r="H4" s="47">
        <v>302</v>
      </c>
      <c r="I4" s="324" t="s">
        <v>43</v>
      </c>
      <c r="J4" s="255" t="str">
        <f>IF(ISBLANK(INDEX('Policy Characteristics'!D:D,MATCH($C4,'Policy Characteristics'!$C:$C,0))),"",INDEX('Policy Characteristics'!D:D,MATCH($C4,'Policy Characteristics'!$C:$C,0)))</f>
        <v>Conventional Pollutant Standard</v>
      </c>
      <c r="K4" s="254" t="str">
        <f>IF(ISBLANK(INDEX('Policy Characteristics'!E:E,MATCH($C4,'Policy Characteristics'!$C:$C,0))),"",INDEX('Policy Characteristics'!E:E,MATCH($C4,'Policy Characteristics'!$C:$C,0)))</f>
        <v>trans reduce regulated pollutants</v>
      </c>
      <c r="L4" s="261">
        <f>IF(ISBLANK(INDEX('Policy Characteristics'!F:F,MATCH($C4,'Policy Characteristics'!$C:$C,0))),"",INDEX('Policy Characteristics'!F:F,MATCH($C4,'Policy Characteristics'!$C:$C,0)))</f>
        <v>0</v>
      </c>
      <c r="M4" s="261">
        <f>IF(ISBLANK(INDEX('Policy Characteristics'!G:G,MATCH($C4,'Policy Characteristics'!$C:$C,0))),"",INDEX('Policy Characteristics'!G:G,MATCH($C4,'Policy Characteristics'!$C:$C,0)))</f>
        <v>1</v>
      </c>
      <c r="N4" s="261">
        <f>IF(ISBLANK(INDEX('Policy Characteristics'!H:H,MATCH($C4,'Policy Characteristics'!$C:$C,0))),"",INDEX('Policy Characteristics'!H:H,MATCH($C4,'Policy Characteristics'!$C:$C,0)))</f>
        <v>0.02</v>
      </c>
      <c r="O4" s="254" t="str">
        <f>IF(ISBLANK(INDEX('Policy Characteristics'!I:I,MATCH($C4,'Policy Characteristics'!$C:$C,0))),"",INDEX('Policy Characteristics'!I:I,MATCH($C4,'Policy Characteristics'!$C:$C,0)))</f>
        <v>% reduction in emissions</v>
      </c>
      <c r="P4" s="254"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4" t="str">
        <f>IF(ISBLANK(INDEX('Policy Characteristics'!K:K,MATCH($C4,'Policy Characteristics'!$C:$C,0))),"",INDEX('Policy Characteristics'!K:K,MATCH($C4,'Policy Characteristics'!$C:$C,0)))</f>
        <v>transportation-sector-main.html#conv-pol-stds</v>
      </c>
      <c r="R4" s="254" t="str">
        <f>IF(ISBLANK(INDEX('Policy Characteristics'!L:L,MATCH($C4,'Policy Characteristics'!$C:$C,0))),"",INDEX('Policy Characteristics'!L:L,MATCH($C4,'Policy Characteristics'!$C:$C,0)))</f>
        <v>conventional-pollutant-standards.html</v>
      </c>
    </row>
    <row r="5" spans="1:18" s="2" customFormat="1" ht="28.8" x14ac:dyDescent="0.3">
      <c r="A5" s="254" t="str">
        <f>IF(ISBLANK(INDEX('Policy Characteristics'!A:A,MATCH($C5,'Policy Characteristics'!$C:$C,0))),"",INDEX('Policy Characteristics'!A:A,MATCH($C5,'Policy Characteristics'!$C:$C,0)))</f>
        <v>Transportation</v>
      </c>
      <c r="B5" s="262" t="str">
        <f>IF(ISBLANK(INDEX('Policy Characteristics'!B:B,MATCH($C5,'Policy Characteristics'!$C:$C,0))),"",INDEX('Policy Characteristics'!B:B,MATCH($C5,'Policy Characteristics'!$C:$C,0)))</f>
        <v>Conventional Pollutant Standards</v>
      </c>
      <c r="C5" s="254" t="str">
        <f t="shared" si="0"/>
        <v>Percentage Reduction of Separately Regulated Pollutants</v>
      </c>
      <c r="D5" s="2" t="s">
        <v>37</v>
      </c>
      <c r="E5" s="2" t="s">
        <v>2226</v>
      </c>
      <c r="F5" s="2" t="s">
        <v>3456</v>
      </c>
      <c r="G5" s="2" t="s">
        <v>2226</v>
      </c>
      <c r="H5" s="47">
        <v>303</v>
      </c>
      <c r="I5" s="324" t="s">
        <v>43</v>
      </c>
      <c r="J5" s="255" t="str">
        <f>IF(ISBLANK(INDEX('Policy Characteristics'!D:D,MATCH($C5,'Policy Characteristics'!$C:$C,0))),"",INDEX('Policy Characteristics'!D:D,MATCH($C5,'Policy Characteristics'!$C:$C,0)))</f>
        <v>Conventional Pollutant Standard</v>
      </c>
      <c r="K5" s="254" t="str">
        <f>IF(ISBLANK(INDEX('Policy Characteristics'!E:E,MATCH($C5,'Policy Characteristics'!$C:$C,0))),"",INDEX('Policy Characteristics'!E:E,MATCH($C5,'Policy Characteristics'!$C:$C,0)))</f>
        <v>trans reduce regulated pollutants</v>
      </c>
      <c r="L5" s="261">
        <f>IF(ISBLANK(INDEX('Policy Characteristics'!F:F,MATCH($C5,'Policy Characteristics'!$C:$C,0))),"",INDEX('Policy Characteristics'!F:F,MATCH($C5,'Policy Characteristics'!$C:$C,0)))</f>
        <v>0</v>
      </c>
      <c r="M5" s="261">
        <f>IF(ISBLANK(INDEX('Policy Characteristics'!G:G,MATCH($C5,'Policy Characteristics'!$C:$C,0))),"",INDEX('Policy Characteristics'!G:G,MATCH($C5,'Policy Characteristics'!$C:$C,0)))</f>
        <v>1</v>
      </c>
      <c r="N5" s="261">
        <f>IF(ISBLANK(INDEX('Policy Characteristics'!H:H,MATCH($C5,'Policy Characteristics'!$C:$C,0))),"",INDEX('Policy Characteristics'!H:H,MATCH($C5,'Policy Characteristics'!$C:$C,0)))</f>
        <v>0.02</v>
      </c>
      <c r="O5" s="254" t="str">
        <f>IF(ISBLANK(INDEX('Policy Characteristics'!I:I,MATCH($C5,'Policy Characteristics'!$C:$C,0))),"",INDEX('Policy Characteristics'!I:I,MATCH($C5,'Policy Characteristics'!$C:$C,0)))</f>
        <v>% reduction in emissions</v>
      </c>
      <c r="P5" s="254"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4" t="str">
        <f>IF(ISBLANK(INDEX('Policy Characteristics'!K:K,MATCH($C5,'Policy Characteristics'!$C:$C,0))),"",INDEX('Policy Characteristics'!K:K,MATCH($C5,'Policy Characteristics'!$C:$C,0)))</f>
        <v>transportation-sector-main.html#conv-pol-stds</v>
      </c>
      <c r="R5" s="254" t="str">
        <f>IF(ISBLANK(INDEX('Policy Characteristics'!L:L,MATCH($C5,'Policy Characteristics'!$C:$C,0))),"",INDEX('Policy Characteristics'!L:L,MATCH($C5,'Policy Characteristics'!$C:$C,0)))</f>
        <v>conventional-pollutant-standards.html</v>
      </c>
    </row>
    <row r="6" spans="1:18" s="2" customFormat="1" ht="28.8" x14ac:dyDescent="0.3">
      <c r="A6" s="254" t="str">
        <f>IF(ISBLANK(INDEX('Policy Characteristics'!A:A,MATCH($C6,'Policy Characteristics'!$C:$C,0))),"",INDEX('Policy Characteristics'!A:A,MATCH($C6,'Policy Characteristics'!$C:$C,0)))</f>
        <v>Transportation</v>
      </c>
      <c r="B6" s="262" t="str">
        <f>IF(ISBLANK(INDEX('Policy Characteristics'!B:B,MATCH($C6,'Policy Characteristics'!$C:$C,0))),"",INDEX('Policy Characteristics'!B:B,MATCH($C6,'Policy Characteristics'!$C:$C,0)))</f>
        <v>Conventional Pollutant Standards</v>
      </c>
      <c r="C6" s="254" t="str">
        <f t="shared" si="0"/>
        <v>Percentage Reduction of Separately Regulated Pollutants</v>
      </c>
      <c r="D6" s="2" t="s">
        <v>37</v>
      </c>
      <c r="E6" s="2" t="s">
        <v>2228</v>
      </c>
      <c r="F6" s="2" t="s">
        <v>3456</v>
      </c>
      <c r="G6" s="2" t="s">
        <v>2318</v>
      </c>
      <c r="H6" s="47">
        <v>304</v>
      </c>
      <c r="I6" s="324" t="s">
        <v>43</v>
      </c>
      <c r="J6" s="255" t="str">
        <f>IF(ISBLANK(INDEX('Policy Characteristics'!D:D,MATCH($C6,'Policy Characteristics'!$C:$C,0))),"",INDEX('Policy Characteristics'!D:D,MATCH($C6,'Policy Characteristics'!$C:$C,0)))</f>
        <v>Conventional Pollutant Standard</v>
      </c>
      <c r="K6" s="254" t="str">
        <f>IF(ISBLANK(INDEX('Policy Characteristics'!E:E,MATCH($C6,'Policy Characteristics'!$C:$C,0))),"",INDEX('Policy Characteristics'!E:E,MATCH($C6,'Policy Characteristics'!$C:$C,0)))</f>
        <v>trans reduce regulated pollutants</v>
      </c>
      <c r="L6" s="261">
        <f>IF(ISBLANK(INDEX('Policy Characteristics'!F:F,MATCH($C6,'Policy Characteristics'!$C:$C,0))),"",INDEX('Policy Characteristics'!F:F,MATCH($C6,'Policy Characteristics'!$C:$C,0)))</f>
        <v>0</v>
      </c>
      <c r="M6" s="261">
        <f>IF(ISBLANK(INDEX('Policy Characteristics'!G:G,MATCH($C6,'Policy Characteristics'!$C:$C,0))),"",INDEX('Policy Characteristics'!G:G,MATCH($C6,'Policy Characteristics'!$C:$C,0)))</f>
        <v>1</v>
      </c>
      <c r="N6" s="261">
        <f>IF(ISBLANK(INDEX('Policy Characteristics'!H:H,MATCH($C6,'Policy Characteristics'!$C:$C,0))),"",INDEX('Policy Characteristics'!H:H,MATCH($C6,'Policy Characteristics'!$C:$C,0)))</f>
        <v>0.02</v>
      </c>
      <c r="O6" s="254" t="str">
        <f>IF(ISBLANK(INDEX('Policy Characteristics'!I:I,MATCH($C6,'Policy Characteristics'!$C:$C,0))),"",INDEX('Policy Characteristics'!I:I,MATCH($C6,'Policy Characteristics'!$C:$C,0)))</f>
        <v>% reduction in emissions</v>
      </c>
      <c r="P6" s="254"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4" t="str">
        <f>IF(ISBLANK(INDEX('Policy Characteristics'!K:K,MATCH($C6,'Policy Characteristics'!$C:$C,0))),"",INDEX('Policy Characteristics'!K:K,MATCH($C6,'Policy Characteristics'!$C:$C,0)))</f>
        <v>transportation-sector-main.html#conv-pol-stds</v>
      </c>
      <c r="R6" s="254" t="str">
        <f>IF(ISBLANK(INDEX('Policy Characteristics'!L:L,MATCH($C6,'Policy Characteristics'!$C:$C,0))),"",INDEX('Policy Characteristics'!L:L,MATCH($C6,'Policy Characteristics'!$C:$C,0)))</f>
        <v>conventional-pollutant-standards.html</v>
      </c>
    </row>
    <row r="7" spans="1:18" s="2" customFormat="1" ht="28.8" x14ac:dyDescent="0.3">
      <c r="A7" s="254" t="str">
        <f>IF(ISBLANK(INDEX('Policy Characteristics'!A:A,MATCH($C7,'Policy Characteristics'!$C:$C,0))),"",INDEX('Policy Characteristics'!A:A,MATCH($C7,'Policy Characteristics'!$C:$C,0)))</f>
        <v>Transportation</v>
      </c>
      <c r="B7" s="262" t="str">
        <f>IF(ISBLANK(INDEX('Policy Characteristics'!B:B,MATCH($C7,'Policy Characteristics'!$C:$C,0))),"",INDEX('Policy Characteristics'!B:B,MATCH($C7,'Policy Characteristics'!$C:$C,0)))</f>
        <v>Conventional Pollutant Standards</v>
      </c>
      <c r="C7" s="254" t="str">
        <f t="shared" si="0"/>
        <v>Percentage Reduction of Separately Regulated Pollutants</v>
      </c>
      <c r="D7" s="2" t="s">
        <v>37</v>
      </c>
      <c r="E7" s="2" t="s">
        <v>2229</v>
      </c>
      <c r="F7" s="2" t="s">
        <v>3456</v>
      </c>
      <c r="G7" s="2" t="s">
        <v>2229</v>
      </c>
      <c r="H7" s="47">
        <v>305</v>
      </c>
      <c r="I7" s="324" t="s">
        <v>43</v>
      </c>
      <c r="J7" s="255" t="str">
        <f>IF(ISBLANK(INDEX('Policy Characteristics'!D:D,MATCH($C7,'Policy Characteristics'!$C:$C,0))),"",INDEX('Policy Characteristics'!D:D,MATCH($C7,'Policy Characteristics'!$C:$C,0)))</f>
        <v>Conventional Pollutant Standard</v>
      </c>
      <c r="K7" s="254" t="str">
        <f>IF(ISBLANK(INDEX('Policy Characteristics'!E:E,MATCH($C7,'Policy Characteristics'!$C:$C,0))),"",INDEX('Policy Characteristics'!E:E,MATCH($C7,'Policy Characteristics'!$C:$C,0)))</f>
        <v>trans reduce regulated pollutants</v>
      </c>
      <c r="L7" s="261">
        <f>IF(ISBLANK(INDEX('Policy Characteristics'!F:F,MATCH($C7,'Policy Characteristics'!$C:$C,0))),"",INDEX('Policy Characteristics'!F:F,MATCH($C7,'Policy Characteristics'!$C:$C,0)))</f>
        <v>0</v>
      </c>
      <c r="M7" s="261">
        <f>IF(ISBLANK(INDEX('Policy Characteristics'!G:G,MATCH($C7,'Policy Characteristics'!$C:$C,0))),"",INDEX('Policy Characteristics'!G:G,MATCH($C7,'Policy Characteristics'!$C:$C,0)))</f>
        <v>1</v>
      </c>
      <c r="N7" s="261">
        <f>IF(ISBLANK(INDEX('Policy Characteristics'!H:H,MATCH($C7,'Policy Characteristics'!$C:$C,0))),"",INDEX('Policy Characteristics'!H:H,MATCH($C7,'Policy Characteristics'!$C:$C,0)))</f>
        <v>0.02</v>
      </c>
      <c r="O7" s="254" t="str">
        <f>IF(ISBLANK(INDEX('Policy Characteristics'!I:I,MATCH($C7,'Policy Characteristics'!$C:$C,0))),"",INDEX('Policy Characteristics'!I:I,MATCH($C7,'Policy Characteristics'!$C:$C,0)))</f>
        <v>% reduction in emissions</v>
      </c>
      <c r="P7" s="254"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4" t="str">
        <f>IF(ISBLANK(INDEX('Policy Characteristics'!K:K,MATCH($C7,'Policy Characteristics'!$C:$C,0))),"",INDEX('Policy Characteristics'!K:K,MATCH($C7,'Policy Characteristics'!$C:$C,0)))</f>
        <v>transportation-sector-main.html#conv-pol-stds</v>
      </c>
      <c r="R7" s="254" t="str">
        <f>IF(ISBLANK(INDEX('Policy Characteristics'!L:L,MATCH($C7,'Policy Characteristics'!$C:$C,0))),"",INDEX('Policy Characteristics'!L:L,MATCH($C7,'Policy Characteristics'!$C:$C,0)))</f>
        <v>conventional-pollutant-standards.html</v>
      </c>
    </row>
    <row r="8" spans="1:18" s="2" customFormat="1" ht="28.8" x14ac:dyDescent="0.3">
      <c r="A8" s="254" t="str">
        <f>IF(ISBLANK(INDEX('Policy Characteristics'!A:A,MATCH($C8,'Policy Characteristics'!$C:$C,0))),"",INDEX('Policy Characteristics'!A:A,MATCH($C8,'Policy Characteristics'!$C:$C,0)))</f>
        <v>Transportation</v>
      </c>
      <c r="B8" s="262" t="str">
        <f>IF(ISBLANK(INDEX('Policy Characteristics'!B:B,MATCH($C8,'Policy Characteristics'!$C:$C,0))),"",INDEX('Policy Characteristics'!B:B,MATCH($C8,'Policy Characteristics'!$C:$C,0)))</f>
        <v>Conventional Pollutant Standards</v>
      </c>
      <c r="C8" s="254" t="str">
        <f t="shared" si="0"/>
        <v>Percentage Reduction of Separately Regulated Pollutants</v>
      </c>
      <c r="D8" s="2" t="s">
        <v>37</v>
      </c>
      <c r="E8" s="2" t="s">
        <v>2231</v>
      </c>
      <c r="F8" s="2" t="s">
        <v>3456</v>
      </c>
      <c r="G8" s="2" t="s">
        <v>2231</v>
      </c>
      <c r="H8" s="47">
        <v>306</v>
      </c>
      <c r="I8" s="324" t="s">
        <v>43</v>
      </c>
      <c r="J8" s="255" t="str">
        <f>IF(ISBLANK(INDEX('Policy Characteristics'!D:D,MATCH($C8,'Policy Characteristics'!$C:$C,0))),"",INDEX('Policy Characteristics'!D:D,MATCH($C8,'Policy Characteristics'!$C:$C,0)))</f>
        <v>Conventional Pollutant Standard</v>
      </c>
      <c r="K8" s="254" t="str">
        <f>IF(ISBLANK(INDEX('Policy Characteristics'!E:E,MATCH($C8,'Policy Characteristics'!$C:$C,0))),"",INDEX('Policy Characteristics'!E:E,MATCH($C8,'Policy Characteristics'!$C:$C,0)))</f>
        <v>trans reduce regulated pollutants</v>
      </c>
      <c r="L8" s="261">
        <f>IF(ISBLANK(INDEX('Policy Characteristics'!F:F,MATCH($C8,'Policy Characteristics'!$C:$C,0))),"",INDEX('Policy Characteristics'!F:F,MATCH($C8,'Policy Characteristics'!$C:$C,0)))</f>
        <v>0</v>
      </c>
      <c r="M8" s="261">
        <f>IF(ISBLANK(INDEX('Policy Characteristics'!G:G,MATCH($C8,'Policy Characteristics'!$C:$C,0))),"",INDEX('Policy Characteristics'!G:G,MATCH($C8,'Policy Characteristics'!$C:$C,0)))</f>
        <v>1</v>
      </c>
      <c r="N8" s="261">
        <f>IF(ISBLANK(INDEX('Policy Characteristics'!H:H,MATCH($C8,'Policy Characteristics'!$C:$C,0))),"",INDEX('Policy Characteristics'!H:H,MATCH($C8,'Policy Characteristics'!$C:$C,0)))</f>
        <v>0.02</v>
      </c>
      <c r="O8" s="254" t="str">
        <f>IF(ISBLANK(INDEX('Policy Characteristics'!I:I,MATCH($C8,'Policy Characteristics'!$C:$C,0))),"",INDEX('Policy Characteristics'!I:I,MATCH($C8,'Policy Characteristics'!$C:$C,0)))</f>
        <v>% reduction in emissions</v>
      </c>
      <c r="P8" s="254"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4" t="str">
        <f>IF(ISBLANK(INDEX('Policy Characteristics'!K:K,MATCH($C8,'Policy Characteristics'!$C:$C,0))),"",INDEX('Policy Characteristics'!K:K,MATCH($C8,'Policy Characteristics'!$C:$C,0)))</f>
        <v>transportation-sector-main.html#conv-pol-stds</v>
      </c>
      <c r="R8" s="254" t="str">
        <f>IF(ISBLANK(INDEX('Policy Characteristics'!L:L,MATCH($C8,'Policy Characteristics'!$C:$C,0))),"",INDEX('Policy Characteristics'!L:L,MATCH($C8,'Policy Characteristics'!$C:$C,0)))</f>
        <v>conventional-pollutant-standards.html</v>
      </c>
    </row>
    <row r="9" spans="1:18" s="2" customFormat="1" ht="28.8" x14ac:dyDescent="0.3">
      <c r="A9" s="254" t="str">
        <f>IF(ISBLANK(INDEX('Policy Characteristics'!A:A,MATCH($C9,'Policy Characteristics'!$C:$C,0))),"",INDEX('Policy Characteristics'!A:A,MATCH($C9,'Policy Characteristics'!$C:$C,0)))</f>
        <v>Transportation</v>
      </c>
      <c r="B9" s="262" t="str">
        <f>IF(ISBLANK(INDEX('Policy Characteristics'!B:B,MATCH($C9,'Policy Characteristics'!$C:$C,0))),"",INDEX('Policy Characteristics'!B:B,MATCH($C9,'Policy Characteristics'!$C:$C,0)))</f>
        <v>Conventional Pollutant Standards</v>
      </c>
      <c r="C9" s="254" t="str">
        <f t="shared" si="0"/>
        <v>Percentage Reduction of Separately Regulated Pollutants</v>
      </c>
      <c r="D9" s="2" t="s">
        <v>37</v>
      </c>
      <c r="E9" s="2" t="s">
        <v>2233</v>
      </c>
      <c r="F9" s="2" t="s">
        <v>3456</v>
      </c>
      <c r="G9" s="2" t="s">
        <v>2233</v>
      </c>
      <c r="H9" s="47">
        <v>307</v>
      </c>
      <c r="I9" s="324" t="s">
        <v>43</v>
      </c>
      <c r="J9" s="255" t="str">
        <f>IF(ISBLANK(INDEX('Policy Characteristics'!D:D,MATCH($C9,'Policy Characteristics'!$C:$C,0))),"",INDEX('Policy Characteristics'!D:D,MATCH($C9,'Policy Characteristics'!$C:$C,0)))</f>
        <v>Conventional Pollutant Standard</v>
      </c>
      <c r="K9" s="254" t="str">
        <f>IF(ISBLANK(INDEX('Policy Characteristics'!E:E,MATCH($C9,'Policy Characteristics'!$C:$C,0))),"",INDEX('Policy Characteristics'!E:E,MATCH($C9,'Policy Characteristics'!$C:$C,0)))</f>
        <v>trans reduce regulated pollutants</v>
      </c>
      <c r="L9" s="261">
        <f>IF(ISBLANK(INDEX('Policy Characteristics'!F:F,MATCH($C9,'Policy Characteristics'!$C:$C,0))),"",INDEX('Policy Characteristics'!F:F,MATCH($C9,'Policy Characteristics'!$C:$C,0)))</f>
        <v>0</v>
      </c>
      <c r="M9" s="261">
        <f>IF(ISBLANK(INDEX('Policy Characteristics'!G:G,MATCH($C9,'Policy Characteristics'!$C:$C,0))),"",INDEX('Policy Characteristics'!G:G,MATCH($C9,'Policy Characteristics'!$C:$C,0)))</f>
        <v>1</v>
      </c>
      <c r="N9" s="261">
        <f>IF(ISBLANK(INDEX('Policy Characteristics'!H:H,MATCH($C9,'Policy Characteristics'!$C:$C,0))),"",INDEX('Policy Characteristics'!H:H,MATCH($C9,'Policy Characteristics'!$C:$C,0)))</f>
        <v>0.02</v>
      </c>
      <c r="O9" s="254" t="str">
        <f>IF(ISBLANK(INDEX('Policy Characteristics'!I:I,MATCH($C9,'Policy Characteristics'!$C:$C,0))),"",INDEX('Policy Characteristics'!I:I,MATCH($C9,'Policy Characteristics'!$C:$C,0)))</f>
        <v>% reduction in emissions</v>
      </c>
      <c r="P9" s="254"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4" t="str">
        <f>IF(ISBLANK(INDEX('Policy Characteristics'!K:K,MATCH($C9,'Policy Characteristics'!$C:$C,0))),"",INDEX('Policy Characteristics'!K:K,MATCH($C9,'Policy Characteristics'!$C:$C,0)))</f>
        <v>transportation-sector-main.html#conv-pol-stds</v>
      </c>
      <c r="R9" s="254" t="str">
        <f>IF(ISBLANK(INDEX('Policy Characteristics'!L:L,MATCH($C9,'Policy Characteristics'!$C:$C,0))),"",INDEX('Policy Characteristics'!L:L,MATCH($C9,'Policy Characteristics'!$C:$C,0)))</f>
        <v>conventional-pollutant-standards.html</v>
      </c>
    </row>
    <row r="10" spans="1:18" s="2" customFormat="1" ht="28.8" x14ac:dyDescent="0.3">
      <c r="A10" s="254" t="str">
        <f>IF(ISBLANK(INDEX('Policy Characteristics'!A:A,MATCH($C10,'Policy Characteristics'!$C:$C,0))),"",INDEX('Policy Characteristics'!A:A,MATCH($C10,'Policy Characteristics'!$C:$C,0)))</f>
        <v>Transportation</v>
      </c>
      <c r="B10" s="262" t="str">
        <f>IF(ISBLANK(INDEX('Policy Characteristics'!B:B,MATCH($C10,'Policy Characteristics'!$C:$C,0))),"",INDEX('Policy Characteristics'!B:B,MATCH($C10,'Policy Characteristics'!$C:$C,0)))</f>
        <v>Conventional Pollutant Standards</v>
      </c>
      <c r="C10" s="254" t="str">
        <f t="shared" si="0"/>
        <v>Percentage Reduction of Separately Regulated Pollutants</v>
      </c>
      <c r="D10" s="2" t="s">
        <v>37</v>
      </c>
      <c r="E10" s="2" t="s">
        <v>2235</v>
      </c>
      <c r="F10" s="2" t="s">
        <v>3456</v>
      </c>
      <c r="G10" s="2" t="s">
        <v>2235</v>
      </c>
      <c r="H10" s="47">
        <v>308</v>
      </c>
      <c r="I10" s="325" t="s">
        <v>44</v>
      </c>
      <c r="J10" s="255" t="str">
        <f>IF(ISBLANK(INDEX('Policy Characteristics'!D:D,MATCH($C10,'Policy Characteristics'!$C:$C,0))),"",INDEX('Policy Characteristics'!D:D,MATCH($C10,'Policy Characteristics'!$C:$C,0)))</f>
        <v>Conventional Pollutant Standard</v>
      </c>
      <c r="K10" s="254" t="str">
        <f>IF(ISBLANK(INDEX('Policy Characteristics'!E:E,MATCH($C10,'Policy Characteristics'!$C:$C,0))),"",INDEX('Policy Characteristics'!E:E,MATCH($C10,'Policy Characteristics'!$C:$C,0)))</f>
        <v>trans reduce regulated pollutants</v>
      </c>
      <c r="L10" s="261">
        <f>IF(ISBLANK(INDEX('Policy Characteristics'!F:F,MATCH($C10,'Policy Characteristics'!$C:$C,0))),"",INDEX('Policy Characteristics'!F:F,MATCH($C10,'Policy Characteristics'!$C:$C,0)))</f>
        <v>0</v>
      </c>
      <c r="M10" s="261">
        <f>IF(ISBLANK(INDEX('Policy Characteristics'!G:G,MATCH($C10,'Policy Characteristics'!$C:$C,0))),"",INDEX('Policy Characteristics'!G:G,MATCH($C10,'Policy Characteristics'!$C:$C,0)))</f>
        <v>1</v>
      </c>
      <c r="N10" s="261">
        <f>IF(ISBLANK(INDEX('Policy Characteristics'!H:H,MATCH($C10,'Policy Characteristics'!$C:$C,0))),"",INDEX('Policy Characteristics'!H:H,MATCH($C10,'Policy Characteristics'!$C:$C,0)))</f>
        <v>0.02</v>
      </c>
      <c r="O10" s="254" t="str">
        <f>IF(ISBLANK(INDEX('Policy Characteristics'!I:I,MATCH($C10,'Policy Characteristics'!$C:$C,0))),"",INDEX('Policy Characteristics'!I:I,MATCH($C10,'Policy Characteristics'!$C:$C,0)))</f>
        <v>% reduction in emissions</v>
      </c>
      <c r="P10" s="254"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4" t="str">
        <f>IF(ISBLANK(INDEX('Policy Characteristics'!K:K,MATCH($C10,'Policy Characteristics'!$C:$C,0))),"",INDEX('Policy Characteristics'!K:K,MATCH($C10,'Policy Characteristics'!$C:$C,0)))</f>
        <v>transportation-sector-main.html#conv-pol-stds</v>
      </c>
      <c r="R10" s="254" t="str">
        <f>IF(ISBLANK(INDEX('Policy Characteristics'!L:L,MATCH($C10,'Policy Characteristics'!$C:$C,0))),"",INDEX('Policy Characteristics'!L:L,MATCH($C10,'Policy Characteristics'!$C:$C,0)))</f>
        <v>conventional-pollutant-standards.html</v>
      </c>
    </row>
    <row r="11" spans="1:18" s="2" customFormat="1" ht="28.8" x14ac:dyDescent="0.3">
      <c r="A11" s="254" t="str">
        <f>IF(ISBLANK(INDEX('Policy Characteristics'!A:A,MATCH($C11,'Policy Characteristics'!$C:$C,0))),"",INDEX('Policy Characteristics'!A:A,MATCH($C11,'Policy Characteristics'!$C:$C,0)))</f>
        <v>Transportation</v>
      </c>
      <c r="B11" s="262" t="str">
        <f>IF(ISBLANK(INDEX('Policy Characteristics'!B:B,MATCH($C11,'Policy Characteristics'!$C:$C,0))),"",INDEX('Policy Characteristics'!B:B,MATCH($C11,'Policy Characteristics'!$C:$C,0)))</f>
        <v>Conventional Pollutant Standards</v>
      </c>
      <c r="C11" s="254" t="str">
        <f t="shared" si="0"/>
        <v>Percentage Reduction of Separately Regulated Pollutants</v>
      </c>
      <c r="D11" s="2" t="s">
        <v>37</v>
      </c>
      <c r="E11" s="2" t="s">
        <v>2237</v>
      </c>
      <c r="F11" s="2" t="s">
        <v>3456</v>
      </c>
      <c r="G11" s="2" t="s">
        <v>2237</v>
      </c>
      <c r="H11" s="47">
        <v>309</v>
      </c>
      <c r="I11" s="325" t="s">
        <v>44</v>
      </c>
      <c r="J11" s="255" t="str">
        <f>IF(ISBLANK(INDEX('Policy Characteristics'!D:D,MATCH($C11,'Policy Characteristics'!$C:$C,0))),"",INDEX('Policy Characteristics'!D:D,MATCH($C11,'Policy Characteristics'!$C:$C,0)))</f>
        <v>Conventional Pollutant Standard</v>
      </c>
      <c r="K11" s="254" t="str">
        <f>IF(ISBLANK(INDEX('Policy Characteristics'!E:E,MATCH($C11,'Policy Characteristics'!$C:$C,0))),"",INDEX('Policy Characteristics'!E:E,MATCH($C11,'Policy Characteristics'!$C:$C,0)))</f>
        <v>trans reduce regulated pollutants</v>
      </c>
      <c r="L11" s="261">
        <f>IF(ISBLANK(INDEX('Policy Characteristics'!F:F,MATCH($C11,'Policy Characteristics'!$C:$C,0))),"",INDEX('Policy Characteristics'!F:F,MATCH($C11,'Policy Characteristics'!$C:$C,0)))</f>
        <v>0</v>
      </c>
      <c r="M11" s="261">
        <f>IF(ISBLANK(INDEX('Policy Characteristics'!G:G,MATCH($C11,'Policy Characteristics'!$C:$C,0))),"",INDEX('Policy Characteristics'!G:G,MATCH($C11,'Policy Characteristics'!$C:$C,0)))</f>
        <v>1</v>
      </c>
      <c r="N11" s="261">
        <f>IF(ISBLANK(INDEX('Policy Characteristics'!H:H,MATCH($C11,'Policy Characteristics'!$C:$C,0))),"",INDEX('Policy Characteristics'!H:H,MATCH($C11,'Policy Characteristics'!$C:$C,0)))</f>
        <v>0.02</v>
      </c>
      <c r="O11" s="254" t="str">
        <f>IF(ISBLANK(INDEX('Policy Characteristics'!I:I,MATCH($C11,'Policy Characteristics'!$C:$C,0))),"",INDEX('Policy Characteristics'!I:I,MATCH($C11,'Policy Characteristics'!$C:$C,0)))</f>
        <v>% reduction in emissions</v>
      </c>
      <c r="P11" s="254"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4" t="str">
        <f>IF(ISBLANK(INDEX('Policy Characteristics'!K:K,MATCH($C11,'Policy Characteristics'!$C:$C,0))),"",INDEX('Policy Characteristics'!K:K,MATCH($C11,'Policy Characteristics'!$C:$C,0)))</f>
        <v>transportation-sector-main.html#conv-pol-stds</v>
      </c>
      <c r="R11" s="254" t="str">
        <f>IF(ISBLANK(INDEX('Policy Characteristics'!L:L,MATCH($C11,'Policy Characteristics'!$C:$C,0))),"",INDEX('Policy Characteristics'!L:L,MATCH($C11,'Policy Characteristics'!$C:$C,0)))</f>
        <v>conventional-pollutant-standards.html</v>
      </c>
    </row>
    <row r="12" spans="1:18" s="2" customFormat="1" x14ac:dyDescent="0.3">
      <c r="A12" s="254" t="str">
        <f>IF(ISBLANK(INDEX('Policy Characteristics'!A:A,MATCH($C12,'Policy Characteristics'!$C:$C,0))),"",INDEX('Policy Characteristics'!A:A,MATCH($C12,'Policy Characteristics'!$C:$C,0)))</f>
        <v>Transportation</v>
      </c>
      <c r="B12" s="262" t="str">
        <f>IF(ISBLANK(INDEX('Policy Characteristics'!B:B,MATCH($C12,'Policy Characteristics'!$C:$C,0))),"",INDEX('Policy Characteristics'!B:B,MATCH($C12,'Policy Characteristics'!$C:$C,0)))</f>
        <v>Conventional Pollutant Standards</v>
      </c>
      <c r="C12" s="254" t="str">
        <f t="shared" si="0"/>
        <v>Percentage Reduction of Separately Regulated Pollutants</v>
      </c>
      <c r="D12" s="2" t="s">
        <v>38</v>
      </c>
      <c r="E12" s="2" t="s">
        <v>2221</v>
      </c>
      <c r="F12" s="2" t="s">
        <v>3452</v>
      </c>
      <c r="G12" s="2" t="s">
        <v>2426</v>
      </c>
      <c r="H12" s="47">
        <v>310</v>
      </c>
      <c r="I12" s="324" t="s">
        <v>43</v>
      </c>
      <c r="J12" s="255" t="str">
        <f>IF(ISBLANK(INDEX('Policy Characteristics'!D:D,MATCH($C12,'Policy Characteristics'!$C:$C,0))),"",INDEX('Policy Characteristics'!D:D,MATCH($C12,'Policy Characteristics'!$C:$C,0)))</f>
        <v>Conventional Pollutant Standard</v>
      </c>
      <c r="K12" s="254" t="str">
        <f>IF(ISBLANK(INDEX('Policy Characteristics'!E:E,MATCH($C12,'Policy Characteristics'!$C:$C,0))),"",INDEX('Policy Characteristics'!E:E,MATCH($C12,'Policy Characteristics'!$C:$C,0)))</f>
        <v>trans reduce regulated pollutants</v>
      </c>
      <c r="L12" s="261">
        <f>IF(ISBLANK(INDEX('Policy Characteristics'!F:F,MATCH($C12,'Policy Characteristics'!$C:$C,0))),"",INDEX('Policy Characteristics'!F:F,MATCH($C12,'Policy Characteristics'!$C:$C,0)))</f>
        <v>0</v>
      </c>
      <c r="M12" s="261">
        <f>IF(ISBLANK(INDEX('Policy Characteristics'!G:G,MATCH($C12,'Policy Characteristics'!$C:$C,0))),"",INDEX('Policy Characteristics'!G:G,MATCH($C12,'Policy Characteristics'!$C:$C,0)))</f>
        <v>1</v>
      </c>
      <c r="N12" s="261">
        <f>IF(ISBLANK(INDEX('Policy Characteristics'!H:H,MATCH($C12,'Policy Characteristics'!$C:$C,0))),"",INDEX('Policy Characteristics'!H:H,MATCH($C12,'Policy Characteristics'!$C:$C,0)))</f>
        <v>0.02</v>
      </c>
      <c r="O12" s="254" t="str">
        <f>IF(ISBLANK(INDEX('Policy Characteristics'!I:I,MATCH($C12,'Policy Characteristics'!$C:$C,0))),"",INDEX('Policy Characteristics'!I:I,MATCH($C12,'Policy Characteristics'!$C:$C,0)))</f>
        <v>% reduction in emissions</v>
      </c>
      <c r="P12" s="254"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4" t="str">
        <f>IF(ISBLANK(INDEX('Policy Characteristics'!K:K,MATCH($C12,'Policy Characteristics'!$C:$C,0))),"",INDEX('Policy Characteristics'!K:K,MATCH($C12,'Policy Characteristics'!$C:$C,0)))</f>
        <v>transportation-sector-main.html#conv-pol-stds</v>
      </c>
      <c r="R12" s="254" t="str">
        <f>IF(ISBLANK(INDEX('Policy Characteristics'!L:L,MATCH($C12,'Policy Characteristics'!$C:$C,0))),"",INDEX('Policy Characteristics'!L:L,MATCH($C12,'Policy Characteristics'!$C:$C,0)))</f>
        <v>conventional-pollutant-standards.html</v>
      </c>
    </row>
    <row r="13" spans="1:18" s="2" customFormat="1" x14ac:dyDescent="0.3">
      <c r="A13" s="254" t="str">
        <f>IF(ISBLANK(INDEX('Policy Characteristics'!A:A,MATCH($C13,'Policy Characteristics'!$C:$C,0))),"",INDEX('Policy Characteristics'!A:A,MATCH($C13,'Policy Characteristics'!$C:$C,0)))</f>
        <v>Transportation</v>
      </c>
      <c r="B13" s="262" t="str">
        <f>IF(ISBLANK(INDEX('Policy Characteristics'!B:B,MATCH($C13,'Policy Characteristics'!$C:$C,0))),"",INDEX('Policy Characteristics'!B:B,MATCH($C13,'Policy Characteristics'!$C:$C,0)))</f>
        <v>Conventional Pollutant Standards</v>
      </c>
      <c r="C13" s="254" t="str">
        <f t="shared" si="0"/>
        <v>Percentage Reduction of Separately Regulated Pollutants</v>
      </c>
      <c r="D13" s="2" t="s">
        <v>38</v>
      </c>
      <c r="E13" s="2" t="s">
        <v>484</v>
      </c>
      <c r="F13" s="2" t="s">
        <v>3452</v>
      </c>
      <c r="G13" s="2" t="s">
        <v>484</v>
      </c>
      <c r="H13" s="47">
        <v>311</v>
      </c>
      <c r="I13" s="324" t="s">
        <v>43</v>
      </c>
      <c r="J13" s="255" t="str">
        <f>IF(ISBLANK(INDEX('Policy Characteristics'!D:D,MATCH($C13,'Policy Characteristics'!$C:$C,0))),"",INDEX('Policy Characteristics'!D:D,MATCH($C13,'Policy Characteristics'!$C:$C,0)))</f>
        <v>Conventional Pollutant Standard</v>
      </c>
      <c r="K13" s="254" t="str">
        <f>IF(ISBLANK(INDEX('Policy Characteristics'!E:E,MATCH($C13,'Policy Characteristics'!$C:$C,0))),"",INDEX('Policy Characteristics'!E:E,MATCH($C13,'Policy Characteristics'!$C:$C,0)))</f>
        <v>trans reduce regulated pollutants</v>
      </c>
      <c r="L13" s="261">
        <f>IF(ISBLANK(INDEX('Policy Characteristics'!F:F,MATCH($C13,'Policy Characteristics'!$C:$C,0))),"",INDEX('Policy Characteristics'!F:F,MATCH($C13,'Policy Characteristics'!$C:$C,0)))</f>
        <v>0</v>
      </c>
      <c r="M13" s="261">
        <f>IF(ISBLANK(INDEX('Policy Characteristics'!G:G,MATCH($C13,'Policy Characteristics'!$C:$C,0))),"",INDEX('Policy Characteristics'!G:G,MATCH($C13,'Policy Characteristics'!$C:$C,0)))</f>
        <v>1</v>
      </c>
      <c r="N13" s="261">
        <f>IF(ISBLANK(INDEX('Policy Characteristics'!H:H,MATCH($C13,'Policy Characteristics'!$C:$C,0))),"",INDEX('Policy Characteristics'!H:H,MATCH($C13,'Policy Characteristics'!$C:$C,0)))</f>
        <v>0.02</v>
      </c>
      <c r="O13" s="254" t="str">
        <f>IF(ISBLANK(INDEX('Policy Characteristics'!I:I,MATCH($C13,'Policy Characteristics'!$C:$C,0))),"",INDEX('Policy Characteristics'!I:I,MATCH($C13,'Policy Characteristics'!$C:$C,0)))</f>
        <v>% reduction in emissions</v>
      </c>
      <c r="P13" s="254"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4" t="str">
        <f>IF(ISBLANK(INDEX('Policy Characteristics'!K:K,MATCH($C13,'Policy Characteristics'!$C:$C,0))),"",INDEX('Policy Characteristics'!K:K,MATCH($C13,'Policy Characteristics'!$C:$C,0)))</f>
        <v>transportation-sector-main.html#conv-pol-stds</v>
      </c>
      <c r="R13" s="254" t="str">
        <f>IF(ISBLANK(INDEX('Policy Characteristics'!L:L,MATCH($C13,'Policy Characteristics'!$C:$C,0))),"",INDEX('Policy Characteristics'!L:L,MATCH($C13,'Policy Characteristics'!$C:$C,0)))</f>
        <v>conventional-pollutant-standards.html</v>
      </c>
    </row>
    <row r="14" spans="1:18" s="2" customFormat="1" x14ac:dyDescent="0.3">
      <c r="A14" s="254" t="str">
        <f>IF(ISBLANK(INDEX('Policy Characteristics'!A:A,MATCH($C14,'Policy Characteristics'!$C:$C,0))),"",INDEX('Policy Characteristics'!A:A,MATCH($C14,'Policy Characteristics'!$C:$C,0)))</f>
        <v>Transportation</v>
      </c>
      <c r="B14" s="262" t="str">
        <f>IF(ISBLANK(INDEX('Policy Characteristics'!B:B,MATCH($C14,'Policy Characteristics'!$C:$C,0))),"",INDEX('Policy Characteristics'!B:B,MATCH($C14,'Policy Characteristics'!$C:$C,0)))</f>
        <v>Conventional Pollutant Standards</v>
      </c>
      <c r="C14" s="254" t="str">
        <f t="shared" si="0"/>
        <v>Percentage Reduction of Separately Regulated Pollutants</v>
      </c>
      <c r="D14" s="2" t="s">
        <v>38</v>
      </c>
      <c r="E14" s="2" t="s">
        <v>2224</v>
      </c>
      <c r="F14" s="2" t="s">
        <v>3452</v>
      </c>
      <c r="G14" s="2" t="s">
        <v>2224</v>
      </c>
      <c r="H14" s="47">
        <v>312</v>
      </c>
      <c r="I14" s="324" t="s">
        <v>43</v>
      </c>
      <c r="J14" s="255" t="str">
        <f>IF(ISBLANK(INDEX('Policy Characteristics'!D:D,MATCH($C14,'Policy Characteristics'!$C:$C,0))),"",INDEX('Policy Characteristics'!D:D,MATCH($C14,'Policy Characteristics'!$C:$C,0)))</f>
        <v>Conventional Pollutant Standard</v>
      </c>
      <c r="K14" s="254" t="str">
        <f>IF(ISBLANK(INDEX('Policy Characteristics'!E:E,MATCH($C14,'Policy Characteristics'!$C:$C,0))),"",INDEX('Policy Characteristics'!E:E,MATCH($C14,'Policy Characteristics'!$C:$C,0)))</f>
        <v>trans reduce regulated pollutants</v>
      </c>
      <c r="L14" s="261">
        <f>IF(ISBLANK(INDEX('Policy Characteristics'!F:F,MATCH($C14,'Policy Characteristics'!$C:$C,0))),"",INDEX('Policy Characteristics'!F:F,MATCH($C14,'Policy Characteristics'!$C:$C,0)))</f>
        <v>0</v>
      </c>
      <c r="M14" s="261">
        <f>IF(ISBLANK(INDEX('Policy Characteristics'!G:G,MATCH($C14,'Policy Characteristics'!$C:$C,0))),"",INDEX('Policy Characteristics'!G:G,MATCH($C14,'Policy Characteristics'!$C:$C,0)))</f>
        <v>1</v>
      </c>
      <c r="N14" s="261">
        <f>IF(ISBLANK(INDEX('Policy Characteristics'!H:H,MATCH($C14,'Policy Characteristics'!$C:$C,0))),"",INDEX('Policy Characteristics'!H:H,MATCH($C14,'Policy Characteristics'!$C:$C,0)))</f>
        <v>0.02</v>
      </c>
      <c r="O14" s="254" t="str">
        <f>IF(ISBLANK(INDEX('Policy Characteristics'!I:I,MATCH($C14,'Policy Characteristics'!$C:$C,0))),"",INDEX('Policy Characteristics'!I:I,MATCH($C14,'Policy Characteristics'!$C:$C,0)))</f>
        <v>% reduction in emissions</v>
      </c>
      <c r="P14" s="254"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4" t="str">
        <f>IF(ISBLANK(INDEX('Policy Characteristics'!K:K,MATCH($C14,'Policy Characteristics'!$C:$C,0))),"",INDEX('Policy Characteristics'!K:K,MATCH($C14,'Policy Characteristics'!$C:$C,0)))</f>
        <v>transportation-sector-main.html#conv-pol-stds</v>
      </c>
      <c r="R14" s="254" t="str">
        <f>IF(ISBLANK(INDEX('Policy Characteristics'!L:L,MATCH($C14,'Policy Characteristics'!$C:$C,0))),"",INDEX('Policy Characteristics'!L:L,MATCH($C14,'Policy Characteristics'!$C:$C,0)))</f>
        <v>conventional-pollutant-standards.html</v>
      </c>
    </row>
    <row r="15" spans="1:18" s="2" customFormat="1" x14ac:dyDescent="0.3">
      <c r="A15" s="254" t="str">
        <f>IF(ISBLANK(INDEX('Policy Characteristics'!A:A,MATCH($C15,'Policy Characteristics'!$C:$C,0))),"",INDEX('Policy Characteristics'!A:A,MATCH($C15,'Policy Characteristics'!$C:$C,0)))</f>
        <v>Transportation</v>
      </c>
      <c r="B15" s="262" t="str">
        <f>IF(ISBLANK(INDEX('Policy Characteristics'!B:B,MATCH($C15,'Policy Characteristics'!$C:$C,0))),"",INDEX('Policy Characteristics'!B:B,MATCH($C15,'Policy Characteristics'!$C:$C,0)))</f>
        <v>Conventional Pollutant Standards</v>
      </c>
      <c r="C15" s="254" t="str">
        <f t="shared" si="0"/>
        <v>Percentage Reduction of Separately Regulated Pollutants</v>
      </c>
      <c r="D15" s="2" t="s">
        <v>38</v>
      </c>
      <c r="E15" s="2" t="s">
        <v>2226</v>
      </c>
      <c r="F15" s="2" t="s">
        <v>3452</v>
      </c>
      <c r="G15" s="2" t="s">
        <v>2226</v>
      </c>
      <c r="H15" s="47">
        <v>313</v>
      </c>
      <c r="I15" s="324" t="s">
        <v>43</v>
      </c>
      <c r="J15" s="255" t="str">
        <f>IF(ISBLANK(INDEX('Policy Characteristics'!D:D,MATCH($C15,'Policy Characteristics'!$C:$C,0))),"",INDEX('Policy Characteristics'!D:D,MATCH($C15,'Policy Characteristics'!$C:$C,0)))</f>
        <v>Conventional Pollutant Standard</v>
      </c>
      <c r="K15" s="254" t="str">
        <f>IF(ISBLANK(INDEX('Policy Characteristics'!E:E,MATCH($C15,'Policy Characteristics'!$C:$C,0))),"",INDEX('Policy Characteristics'!E:E,MATCH($C15,'Policy Characteristics'!$C:$C,0)))</f>
        <v>trans reduce regulated pollutants</v>
      </c>
      <c r="L15" s="261">
        <f>IF(ISBLANK(INDEX('Policy Characteristics'!F:F,MATCH($C15,'Policy Characteristics'!$C:$C,0))),"",INDEX('Policy Characteristics'!F:F,MATCH($C15,'Policy Characteristics'!$C:$C,0)))</f>
        <v>0</v>
      </c>
      <c r="M15" s="261">
        <f>IF(ISBLANK(INDEX('Policy Characteristics'!G:G,MATCH($C15,'Policy Characteristics'!$C:$C,0))),"",INDEX('Policy Characteristics'!G:G,MATCH($C15,'Policy Characteristics'!$C:$C,0)))</f>
        <v>1</v>
      </c>
      <c r="N15" s="261">
        <f>IF(ISBLANK(INDEX('Policy Characteristics'!H:H,MATCH($C15,'Policy Characteristics'!$C:$C,0))),"",INDEX('Policy Characteristics'!H:H,MATCH($C15,'Policy Characteristics'!$C:$C,0)))</f>
        <v>0.02</v>
      </c>
      <c r="O15" s="254" t="str">
        <f>IF(ISBLANK(INDEX('Policy Characteristics'!I:I,MATCH($C15,'Policy Characteristics'!$C:$C,0))),"",INDEX('Policy Characteristics'!I:I,MATCH($C15,'Policy Characteristics'!$C:$C,0)))</f>
        <v>% reduction in emissions</v>
      </c>
      <c r="P15" s="254"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4" t="str">
        <f>IF(ISBLANK(INDEX('Policy Characteristics'!K:K,MATCH($C15,'Policy Characteristics'!$C:$C,0))),"",INDEX('Policy Characteristics'!K:K,MATCH($C15,'Policy Characteristics'!$C:$C,0)))</f>
        <v>transportation-sector-main.html#conv-pol-stds</v>
      </c>
      <c r="R15" s="254" t="str">
        <f>IF(ISBLANK(INDEX('Policy Characteristics'!L:L,MATCH($C15,'Policy Characteristics'!$C:$C,0))),"",INDEX('Policy Characteristics'!L:L,MATCH($C15,'Policy Characteristics'!$C:$C,0)))</f>
        <v>conventional-pollutant-standards.html</v>
      </c>
    </row>
    <row r="16" spans="1:18" s="2" customFormat="1" x14ac:dyDescent="0.3">
      <c r="A16" s="254" t="str">
        <f>IF(ISBLANK(INDEX('Policy Characteristics'!A:A,MATCH($C16,'Policy Characteristics'!$C:$C,0))),"",INDEX('Policy Characteristics'!A:A,MATCH($C16,'Policy Characteristics'!$C:$C,0)))</f>
        <v>Transportation</v>
      </c>
      <c r="B16" s="262" t="str">
        <f>IF(ISBLANK(INDEX('Policy Characteristics'!B:B,MATCH($C16,'Policy Characteristics'!$C:$C,0))),"",INDEX('Policy Characteristics'!B:B,MATCH($C16,'Policy Characteristics'!$C:$C,0)))</f>
        <v>Conventional Pollutant Standards</v>
      </c>
      <c r="C16" s="254" t="str">
        <f t="shared" si="0"/>
        <v>Percentage Reduction of Separately Regulated Pollutants</v>
      </c>
      <c r="D16" s="2" t="s">
        <v>38</v>
      </c>
      <c r="E16" s="2" t="s">
        <v>2228</v>
      </c>
      <c r="F16" s="2" t="s">
        <v>3452</v>
      </c>
      <c r="G16" s="2" t="s">
        <v>2318</v>
      </c>
      <c r="H16" s="47">
        <v>314</v>
      </c>
      <c r="I16" s="324" t="s">
        <v>43</v>
      </c>
      <c r="J16" s="255" t="str">
        <f>IF(ISBLANK(INDEX('Policy Characteristics'!D:D,MATCH($C16,'Policy Characteristics'!$C:$C,0))),"",INDEX('Policy Characteristics'!D:D,MATCH($C16,'Policy Characteristics'!$C:$C,0)))</f>
        <v>Conventional Pollutant Standard</v>
      </c>
      <c r="K16" s="254" t="str">
        <f>IF(ISBLANK(INDEX('Policy Characteristics'!E:E,MATCH($C16,'Policy Characteristics'!$C:$C,0))),"",INDEX('Policy Characteristics'!E:E,MATCH($C16,'Policy Characteristics'!$C:$C,0)))</f>
        <v>trans reduce regulated pollutants</v>
      </c>
      <c r="L16" s="261">
        <f>IF(ISBLANK(INDEX('Policy Characteristics'!F:F,MATCH($C16,'Policy Characteristics'!$C:$C,0))),"",INDEX('Policy Characteristics'!F:F,MATCH($C16,'Policy Characteristics'!$C:$C,0)))</f>
        <v>0</v>
      </c>
      <c r="M16" s="261">
        <f>IF(ISBLANK(INDEX('Policy Characteristics'!G:G,MATCH($C16,'Policy Characteristics'!$C:$C,0))),"",INDEX('Policy Characteristics'!G:G,MATCH($C16,'Policy Characteristics'!$C:$C,0)))</f>
        <v>1</v>
      </c>
      <c r="N16" s="261">
        <f>IF(ISBLANK(INDEX('Policy Characteristics'!H:H,MATCH($C16,'Policy Characteristics'!$C:$C,0))),"",INDEX('Policy Characteristics'!H:H,MATCH($C16,'Policy Characteristics'!$C:$C,0)))</f>
        <v>0.02</v>
      </c>
      <c r="O16" s="254" t="str">
        <f>IF(ISBLANK(INDEX('Policy Characteristics'!I:I,MATCH($C16,'Policy Characteristics'!$C:$C,0))),"",INDEX('Policy Characteristics'!I:I,MATCH($C16,'Policy Characteristics'!$C:$C,0)))</f>
        <v>% reduction in emissions</v>
      </c>
      <c r="P16" s="254"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4" t="str">
        <f>IF(ISBLANK(INDEX('Policy Characteristics'!K:K,MATCH($C16,'Policy Characteristics'!$C:$C,0))),"",INDEX('Policy Characteristics'!K:K,MATCH($C16,'Policy Characteristics'!$C:$C,0)))</f>
        <v>transportation-sector-main.html#conv-pol-stds</v>
      </c>
      <c r="R16" s="254" t="str">
        <f>IF(ISBLANK(INDEX('Policy Characteristics'!L:L,MATCH($C16,'Policy Characteristics'!$C:$C,0))),"",INDEX('Policy Characteristics'!L:L,MATCH($C16,'Policy Characteristics'!$C:$C,0)))</f>
        <v>conventional-pollutant-standards.html</v>
      </c>
    </row>
    <row r="17" spans="1:18" s="2" customFormat="1" x14ac:dyDescent="0.3">
      <c r="A17" s="254" t="str">
        <f>IF(ISBLANK(INDEX('Policy Characteristics'!A:A,MATCH($C17,'Policy Characteristics'!$C:$C,0))),"",INDEX('Policy Characteristics'!A:A,MATCH($C17,'Policy Characteristics'!$C:$C,0)))</f>
        <v>Transportation</v>
      </c>
      <c r="B17" s="262" t="str">
        <f>IF(ISBLANK(INDEX('Policy Characteristics'!B:B,MATCH($C17,'Policy Characteristics'!$C:$C,0))),"",INDEX('Policy Characteristics'!B:B,MATCH($C17,'Policy Characteristics'!$C:$C,0)))</f>
        <v>Conventional Pollutant Standards</v>
      </c>
      <c r="C17" s="254" t="str">
        <f t="shared" si="0"/>
        <v>Percentage Reduction of Separately Regulated Pollutants</v>
      </c>
      <c r="D17" s="2" t="s">
        <v>38</v>
      </c>
      <c r="E17" s="2" t="s">
        <v>2229</v>
      </c>
      <c r="F17" s="2" t="s">
        <v>3452</v>
      </c>
      <c r="G17" s="2" t="s">
        <v>2229</v>
      </c>
      <c r="H17" s="47">
        <v>315</v>
      </c>
      <c r="I17" s="324" t="s">
        <v>43</v>
      </c>
      <c r="J17" s="255" t="str">
        <f>IF(ISBLANK(INDEX('Policy Characteristics'!D:D,MATCH($C17,'Policy Characteristics'!$C:$C,0))),"",INDEX('Policy Characteristics'!D:D,MATCH($C17,'Policy Characteristics'!$C:$C,0)))</f>
        <v>Conventional Pollutant Standard</v>
      </c>
      <c r="K17" s="254" t="str">
        <f>IF(ISBLANK(INDEX('Policy Characteristics'!E:E,MATCH($C17,'Policy Characteristics'!$C:$C,0))),"",INDEX('Policy Characteristics'!E:E,MATCH($C17,'Policy Characteristics'!$C:$C,0)))</f>
        <v>trans reduce regulated pollutants</v>
      </c>
      <c r="L17" s="261">
        <f>IF(ISBLANK(INDEX('Policy Characteristics'!F:F,MATCH($C17,'Policy Characteristics'!$C:$C,0))),"",INDEX('Policy Characteristics'!F:F,MATCH($C17,'Policy Characteristics'!$C:$C,0)))</f>
        <v>0</v>
      </c>
      <c r="M17" s="261">
        <f>IF(ISBLANK(INDEX('Policy Characteristics'!G:G,MATCH($C17,'Policy Characteristics'!$C:$C,0))),"",INDEX('Policy Characteristics'!G:G,MATCH($C17,'Policy Characteristics'!$C:$C,0)))</f>
        <v>1</v>
      </c>
      <c r="N17" s="261">
        <f>IF(ISBLANK(INDEX('Policy Characteristics'!H:H,MATCH($C17,'Policy Characteristics'!$C:$C,0))),"",INDEX('Policy Characteristics'!H:H,MATCH($C17,'Policy Characteristics'!$C:$C,0)))</f>
        <v>0.02</v>
      </c>
      <c r="O17" s="254" t="str">
        <f>IF(ISBLANK(INDEX('Policy Characteristics'!I:I,MATCH($C17,'Policy Characteristics'!$C:$C,0))),"",INDEX('Policy Characteristics'!I:I,MATCH($C17,'Policy Characteristics'!$C:$C,0)))</f>
        <v>% reduction in emissions</v>
      </c>
      <c r="P17" s="254"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4" t="str">
        <f>IF(ISBLANK(INDEX('Policy Characteristics'!K:K,MATCH($C17,'Policy Characteristics'!$C:$C,0))),"",INDEX('Policy Characteristics'!K:K,MATCH($C17,'Policy Characteristics'!$C:$C,0)))</f>
        <v>transportation-sector-main.html#conv-pol-stds</v>
      </c>
      <c r="R17" s="254" t="str">
        <f>IF(ISBLANK(INDEX('Policy Characteristics'!L:L,MATCH($C17,'Policy Characteristics'!$C:$C,0))),"",INDEX('Policy Characteristics'!L:L,MATCH($C17,'Policy Characteristics'!$C:$C,0)))</f>
        <v>conventional-pollutant-standards.html</v>
      </c>
    </row>
    <row r="18" spans="1:18" s="2" customFormat="1" x14ac:dyDescent="0.3">
      <c r="A18" s="254" t="str">
        <f>IF(ISBLANK(INDEX('Policy Characteristics'!A:A,MATCH($C18,'Policy Characteristics'!$C:$C,0))),"",INDEX('Policy Characteristics'!A:A,MATCH($C18,'Policy Characteristics'!$C:$C,0)))</f>
        <v>Transportation</v>
      </c>
      <c r="B18" s="262" t="str">
        <f>IF(ISBLANK(INDEX('Policy Characteristics'!B:B,MATCH($C18,'Policy Characteristics'!$C:$C,0))),"",INDEX('Policy Characteristics'!B:B,MATCH($C18,'Policy Characteristics'!$C:$C,0)))</f>
        <v>Conventional Pollutant Standards</v>
      </c>
      <c r="C18" s="254" t="str">
        <f t="shared" si="0"/>
        <v>Percentage Reduction of Separately Regulated Pollutants</v>
      </c>
      <c r="D18" s="2" t="s">
        <v>38</v>
      </c>
      <c r="E18" s="2" t="s">
        <v>2231</v>
      </c>
      <c r="F18" s="2" t="s">
        <v>3452</v>
      </c>
      <c r="G18" s="2" t="s">
        <v>2231</v>
      </c>
      <c r="H18" s="47">
        <v>316</v>
      </c>
      <c r="I18" s="324" t="s">
        <v>43</v>
      </c>
      <c r="J18" s="255" t="str">
        <f>IF(ISBLANK(INDEX('Policy Characteristics'!D:D,MATCH($C18,'Policy Characteristics'!$C:$C,0))),"",INDEX('Policy Characteristics'!D:D,MATCH($C18,'Policy Characteristics'!$C:$C,0)))</f>
        <v>Conventional Pollutant Standard</v>
      </c>
      <c r="K18" s="254" t="str">
        <f>IF(ISBLANK(INDEX('Policy Characteristics'!E:E,MATCH($C18,'Policy Characteristics'!$C:$C,0))),"",INDEX('Policy Characteristics'!E:E,MATCH($C18,'Policy Characteristics'!$C:$C,0)))</f>
        <v>trans reduce regulated pollutants</v>
      </c>
      <c r="L18" s="261">
        <f>IF(ISBLANK(INDEX('Policy Characteristics'!F:F,MATCH($C18,'Policy Characteristics'!$C:$C,0))),"",INDEX('Policy Characteristics'!F:F,MATCH($C18,'Policy Characteristics'!$C:$C,0)))</f>
        <v>0</v>
      </c>
      <c r="M18" s="261">
        <f>IF(ISBLANK(INDEX('Policy Characteristics'!G:G,MATCH($C18,'Policy Characteristics'!$C:$C,0))),"",INDEX('Policy Characteristics'!G:G,MATCH($C18,'Policy Characteristics'!$C:$C,0)))</f>
        <v>1</v>
      </c>
      <c r="N18" s="261">
        <f>IF(ISBLANK(INDEX('Policy Characteristics'!H:H,MATCH($C18,'Policy Characteristics'!$C:$C,0))),"",INDEX('Policy Characteristics'!H:H,MATCH($C18,'Policy Characteristics'!$C:$C,0)))</f>
        <v>0.02</v>
      </c>
      <c r="O18" s="254" t="str">
        <f>IF(ISBLANK(INDEX('Policy Characteristics'!I:I,MATCH($C18,'Policy Characteristics'!$C:$C,0))),"",INDEX('Policy Characteristics'!I:I,MATCH($C18,'Policy Characteristics'!$C:$C,0)))</f>
        <v>% reduction in emissions</v>
      </c>
      <c r="P18" s="254"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4" t="str">
        <f>IF(ISBLANK(INDEX('Policy Characteristics'!K:K,MATCH($C18,'Policy Characteristics'!$C:$C,0))),"",INDEX('Policy Characteristics'!K:K,MATCH($C18,'Policy Characteristics'!$C:$C,0)))</f>
        <v>transportation-sector-main.html#conv-pol-stds</v>
      </c>
      <c r="R18" s="254" t="str">
        <f>IF(ISBLANK(INDEX('Policy Characteristics'!L:L,MATCH($C18,'Policy Characteristics'!$C:$C,0))),"",INDEX('Policy Characteristics'!L:L,MATCH($C18,'Policy Characteristics'!$C:$C,0)))</f>
        <v>conventional-pollutant-standards.html</v>
      </c>
    </row>
    <row r="19" spans="1:18" s="2" customFormat="1" x14ac:dyDescent="0.3">
      <c r="A19" s="254" t="str">
        <f>IF(ISBLANK(INDEX('Policy Characteristics'!A:A,MATCH($C19,'Policy Characteristics'!$C:$C,0))),"",INDEX('Policy Characteristics'!A:A,MATCH($C19,'Policy Characteristics'!$C:$C,0)))</f>
        <v>Transportation</v>
      </c>
      <c r="B19" s="262" t="str">
        <f>IF(ISBLANK(INDEX('Policy Characteristics'!B:B,MATCH($C19,'Policy Characteristics'!$C:$C,0))),"",INDEX('Policy Characteristics'!B:B,MATCH($C19,'Policy Characteristics'!$C:$C,0)))</f>
        <v>Conventional Pollutant Standards</v>
      </c>
      <c r="C19" s="254" t="str">
        <f t="shared" si="0"/>
        <v>Percentage Reduction of Separately Regulated Pollutants</v>
      </c>
      <c r="D19" s="2" t="s">
        <v>38</v>
      </c>
      <c r="E19" s="2" t="s">
        <v>2233</v>
      </c>
      <c r="F19" s="2" t="s">
        <v>3452</v>
      </c>
      <c r="G19" s="2" t="s">
        <v>2233</v>
      </c>
      <c r="H19" s="47">
        <v>317</v>
      </c>
      <c r="I19" s="324" t="s">
        <v>43</v>
      </c>
      <c r="J19" s="255" t="str">
        <f>IF(ISBLANK(INDEX('Policy Characteristics'!D:D,MATCH($C19,'Policy Characteristics'!$C:$C,0))),"",INDEX('Policy Characteristics'!D:D,MATCH($C19,'Policy Characteristics'!$C:$C,0)))</f>
        <v>Conventional Pollutant Standard</v>
      </c>
      <c r="K19" s="254" t="str">
        <f>IF(ISBLANK(INDEX('Policy Characteristics'!E:E,MATCH($C19,'Policy Characteristics'!$C:$C,0))),"",INDEX('Policy Characteristics'!E:E,MATCH($C19,'Policy Characteristics'!$C:$C,0)))</f>
        <v>trans reduce regulated pollutants</v>
      </c>
      <c r="L19" s="261">
        <f>IF(ISBLANK(INDEX('Policy Characteristics'!F:F,MATCH($C19,'Policy Characteristics'!$C:$C,0))),"",INDEX('Policy Characteristics'!F:F,MATCH($C19,'Policy Characteristics'!$C:$C,0)))</f>
        <v>0</v>
      </c>
      <c r="M19" s="261">
        <f>IF(ISBLANK(INDEX('Policy Characteristics'!G:G,MATCH($C19,'Policy Characteristics'!$C:$C,0))),"",INDEX('Policy Characteristics'!G:G,MATCH($C19,'Policy Characteristics'!$C:$C,0)))</f>
        <v>1</v>
      </c>
      <c r="N19" s="261">
        <f>IF(ISBLANK(INDEX('Policy Characteristics'!H:H,MATCH($C19,'Policy Characteristics'!$C:$C,0))),"",INDEX('Policy Characteristics'!H:H,MATCH($C19,'Policy Characteristics'!$C:$C,0)))</f>
        <v>0.02</v>
      </c>
      <c r="O19" s="254" t="str">
        <f>IF(ISBLANK(INDEX('Policy Characteristics'!I:I,MATCH($C19,'Policy Characteristics'!$C:$C,0))),"",INDEX('Policy Characteristics'!I:I,MATCH($C19,'Policy Characteristics'!$C:$C,0)))</f>
        <v>% reduction in emissions</v>
      </c>
      <c r="P19" s="254"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4" t="str">
        <f>IF(ISBLANK(INDEX('Policy Characteristics'!K:K,MATCH($C19,'Policy Characteristics'!$C:$C,0))),"",INDEX('Policy Characteristics'!K:K,MATCH($C19,'Policy Characteristics'!$C:$C,0)))</f>
        <v>transportation-sector-main.html#conv-pol-stds</v>
      </c>
      <c r="R19" s="254" t="str">
        <f>IF(ISBLANK(INDEX('Policy Characteristics'!L:L,MATCH($C19,'Policy Characteristics'!$C:$C,0))),"",INDEX('Policy Characteristics'!L:L,MATCH($C19,'Policy Characteristics'!$C:$C,0)))</f>
        <v>conventional-pollutant-standards.html</v>
      </c>
    </row>
    <row r="20" spans="1:18" s="2" customFormat="1" x14ac:dyDescent="0.3">
      <c r="A20" s="254" t="str">
        <f>IF(ISBLANK(INDEX('Policy Characteristics'!A:A,MATCH($C20,'Policy Characteristics'!$C:$C,0))),"",INDEX('Policy Characteristics'!A:A,MATCH($C20,'Policy Characteristics'!$C:$C,0)))</f>
        <v>Transportation</v>
      </c>
      <c r="B20" s="262" t="str">
        <f>IF(ISBLANK(INDEX('Policy Characteristics'!B:B,MATCH($C20,'Policy Characteristics'!$C:$C,0))),"",INDEX('Policy Characteristics'!B:B,MATCH($C20,'Policy Characteristics'!$C:$C,0)))</f>
        <v>Conventional Pollutant Standards</v>
      </c>
      <c r="C20" s="254" t="str">
        <f t="shared" si="0"/>
        <v>Percentage Reduction of Separately Regulated Pollutants</v>
      </c>
      <c r="D20" s="2" t="s">
        <v>38</v>
      </c>
      <c r="E20" s="2" t="s">
        <v>2235</v>
      </c>
      <c r="F20" s="2" t="s">
        <v>3452</v>
      </c>
      <c r="G20" s="2" t="s">
        <v>2235</v>
      </c>
      <c r="H20" s="47">
        <v>318</v>
      </c>
      <c r="I20" s="325" t="s">
        <v>44</v>
      </c>
      <c r="J20" s="255" t="str">
        <f>IF(ISBLANK(INDEX('Policy Characteristics'!D:D,MATCH($C20,'Policy Characteristics'!$C:$C,0))),"",INDEX('Policy Characteristics'!D:D,MATCH($C20,'Policy Characteristics'!$C:$C,0)))</f>
        <v>Conventional Pollutant Standard</v>
      </c>
      <c r="K20" s="254" t="str">
        <f>IF(ISBLANK(INDEX('Policy Characteristics'!E:E,MATCH($C20,'Policy Characteristics'!$C:$C,0))),"",INDEX('Policy Characteristics'!E:E,MATCH($C20,'Policy Characteristics'!$C:$C,0)))</f>
        <v>trans reduce regulated pollutants</v>
      </c>
      <c r="L20" s="261">
        <f>IF(ISBLANK(INDEX('Policy Characteristics'!F:F,MATCH($C20,'Policy Characteristics'!$C:$C,0))),"",INDEX('Policy Characteristics'!F:F,MATCH($C20,'Policy Characteristics'!$C:$C,0)))</f>
        <v>0</v>
      </c>
      <c r="M20" s="261">
        <f>IF(ISBLANK(INDEX('Policy Characteristics'!G:G,MATCH($C20,'Policy Characteristics'!$C:$C,0))),"",INDEX('Policy Characteristics'!G:G,MATCH($C20,'Policy Characteristics'!$C:$C,0)))</f>
        <v>1</v>
      </c>
      <c r="N20" s="261">
        <f>IF(ISBLANK(INDEX('Policy Characteristics'!H:H,MATCH($C20,'Policy Characteristics'!$C:$C,0))),"",INDEX('Policy Characteristics'!H:H,MATCH($C20,'Policy Characteristics'!$C:$C,0)))</f>
        <v>0.02</v>
      </c>
      <c r="O20" s="254" t="str">
        <f>IF(ISBLANK(INDEX('Policy Characteristics'!I:I,MATCH($C20,'Policy Characteristics'!$C:$C,0))),"",INDEX('Policy Characteristics'!I:I,MATCH($C20,'Policy Characteristics'!$C:$C,0)))</f>
        <v>% reduction in emissions</v>
      </c>
      <c r="P20" s="254"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4" t="str">
        <f>IF(ISBLANK(INDEX('Policy Characteristics'!K:K,MATCH($C20,'Policy Characteristics'!$C:$C,0))),"",INDEX('Policy Characteristics'!K:K,MATCH($C20,'Policy Characteristics'!$C:$C,0)))</f>
        <v>transportation-sector-main.html#conv-pol-stds</v>
      </c>
      <c r="R20" s="254" t="str">
        <f>IF(ISBLANK(INDEX('Policy Characteristics'!L:L,MATCH($C20,'Policy Characteristics'!$C:$C,0))),"",INDEX('Policy Characteristics'!L:L,MATCH($C20,'Policy Characteristics'!$C:$C,0)))</f>
        <v>conventional-pollutant-standards.html</v>
      </c>
    </row>
    <row r="21" spans="1:18" s="2" customFormat="1" x14ac:dyDescent="0.3">
      <c r="A21" s="254" t="str">
        <f>IF(ISBLANK(INDEX('Policy Characteristics'!A:A,MATCH($C21,'Policy Characteristics'!$C:$C,0))),"",INDEX('Policy Characteristics'!A:A,MATCH($C21,'Policy Characteristics'!$C:$C,0)))</f>
        <v>Transportation</v>
      </c>
      <c r="B21" s="262" t="str">
        <f>IF(ISBLANK(INDEX('Policy Characteristics'!B:B,MATCH($C21,'Policy Characteristics'!$C:$C,0))),"",INDEX('Policy Characteristics'!B:B,MATCH($C21,'Policy Characteristics'!$C:$C,0)))</f>
        <v>Conventional Pollutant Standards</v>
      </c>
      <c r="C21" s="254" t="str">
        <f t="shared" si="0"/>
        <v>Percentage Reduction of Separately Regulated Pollutants</v>
      </c>
      <c r="D21" s="2" t="s">
        <v>38</v>
      </c>
      <c r="E21" s="2" t="s">
        <v>2237</v>
      </c>
      <c r="F21" s="2" t="s">
        <v>3452</v>
      </c>
      <c r="G21" s="2" t="s">
        <v>2237</v>
      </c>
      <c r="H21" s="47">
        <v>319</v>
      </c>
      <c r="I21" s="325" t="s">
        <v>44</v>
      </c>
      <c r="J21" s="255" t="str">
        <f>IF(ISBLANK(INDEX('Policy Characteristics'!D:D,MATCH($C21,'Policy Characteristics'!$C:$C,0))),"",INDEX('Policy Characteristics'!D:D,MATCH($C21,'Policy Characteristics'!$C:$C,0)))</f>
        <v>Conventional Pollutant Standard</v>
      </c>
      <c r="K21" s="254" t="str">
        <f>IF(ISBLANK(INDEX('Policy Characteristics'!E:E,MATCH($C21,'Policy Characteristics'!$C:$C,0))),"",INDEX('Policy Characteristics'!E:E,MATCH($C21,'Policy Characteristics'!$C:$C,0)))</f>
        <v>trans reduce regulated pollutants</v>
      </c>
      <c r="L21" s="261">
        <f>IF(ISBLANK(INDEX('Policy Characteristics'!F:F,MATCH($C21,'Policy Characteristics'!$C:$C,0))),"",INDEX('Policy Characteristics'!F:F,MATCH($C21,'Policy Characteristics'!$C:$C,0)))</f>
        <v>0</v>
      </c>
      <c r="M21" s="261">
        <f>IF(ISBLANK(INDEX('Policy Characteristics'!G:G,MATCH($C21,'Policy Characteristics'!$C:$C,0))),"",INDEX('Policy Characteristics'!G:G,MATCH($C21,'Policy Characteristics'!$C:$C,0)))</f>
        <v>1</v>
      </c>
      <c r="N21" s="261">
        <f>IF(ISBLANK(INDEX('Policy Characteristics'!H:H,MATCH($C21,'Policy Characteristics'!$C:$C,0))),"",INDEX('Policy Characteristics'!H:H,MATCH($C21,'Policy Characteristics'!$C:$C,0)))</f>
        <v>0.02</v>
      </c>
      <c r="O21" s="254" t="str">
        <f>IF(ISBLANK(INDEX('Policy Characteristics'!I:I,MATCH($C21,'Policy Characteristics'!$C:$C,0))),"",INDEX('Policy Characteristics'!I:I,MATCH($C21,'Policy Characteristics'!$C:$C,0)))</f>
        <v>% reduction in emissions</v>
      </c>
      <c r="P21" s="254"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4" t="str">
        <f>IF(ISBLANK(INDEX('Policy Characteristics'!K:K,MATCH($C21,'Policy Characteristics'!$C:$C,0))),"",INDEX('Policy Characteristics'!K:K,MATCH($C21,'Policy Characteristics'!$C:$C,0)))</f>
        <v>transportation-sector-main.html#conv-pol-stds</v>
      </c>
      <c r="R21" s="254" t="str">
        <f>IF(ISBLANK(INDEX('Policy Characteristics'!L:L,MATCH($C21,'Policy Characteristics'!$C:$C,0))),"",INDEX('Policy Characteristics'!L:L,MATCH($C21,'Policy Characteristics'!$C:$C,0)))</f>
        <v>conventional-pollutant-standards.html</v>
      </c>
    </row>
    <row r="22" spans="1:18" s="2" customFormat="1" x14ac:dyDescent="0.3">
      <c r="A22" s="254" t="str">
        <f>IF(ISBLANK(INDEX('Policy Characteristics'!A:A,MATCH($C22,'Policy Characteristics'!$C:$C,0))),"",INDEX('Policy Characteristics'!A:A,MATCH($C22,'Policy Characteristics'!$C:$C,0)))</f>
        <v>Transportation</v>
      </c>
      <c r="B22" s="262" t="str">
        <f>IF(ISBLANK(INDEX('Policy Characteristics'!B:B,MATCH($C22,'Policy Characteristics'!$C:$C,0))),"",INDEX('Policy Characteristics'!B:B,MATCH($C22,'Policy Characteristics'!$C:$C,0)))</f>
        <v>Conventional Pollutant Standards</v>
      </c>
      <c r="C22" s="254" t="str">
        <f t="shared" si="0"/>
        <v>Percentage Reduction of Separately Regulated Pollutants</v>
      </c>
      <c r="D22" s="2" t="s">
        <v>39</v>
      </c>
      <c r="E22" s="2" t="s">
        <v>2221</v>
      </c>
      <c r="F22" s="2" t="s">
        <v>3286</v>
      </c>
      <c r="G22" s="2" t="s">
        <v>2426</v>
      </c>
      <c r="H22" s="47">
        <v>320</v>
      </c>
      <c r="I22" s="324" t="s">
        <v>43</v>
      </c>
      <c r="J22" s="255" t="str">
        <f>IF(ISBLANK(INDEX('Policy Characteristics'!D:D,MATCH($C22,'Policy Characteristics'!$C:$C,0))),"",INDEX('Policy Characteristics'!D:D,MATCH($C22,'Policy Characteristics'!$C:$C,0)))</f>
        <v>Conventional Pollutant Standard</v>
      </c>
      <c r="K22" s="254" t="str">
        <f>IF(ISBLANK(INDEX('Policy Characteristics'!E:E,MATCH($C22,'Policy Characteristics'!$C:$C,0))),"",INDEX('Policy Characteristics'!E:E,MATCH($C22,'Policy Characteristics'!$C:$C,0)))</f>
        <v>trans reduce regulated pollutants</v>
      </c>
      <c r="L22" s="261">
        <f>IF(ISBLANK(INDEX('Policy Characteristics'!F:F,MATCH($C22,'Policy Characteristics'!$C:$C,0))),"",INDEX('Policy Characteristics'!F:F,MATCH($C22,'Policy Characteristics'!$C:$C,0)))</f>
        <v>0</v>
      </c>
      <c r="M22" s="261">
        <f>IF(ISBLANK(INDEX('Policy Characteristics'!G:G,MATCH($C22,'Policy Characteristics'!$C:$C,0))),"",INDEX('Policy Characteristics'!G:G,MATCH($C22,'Policy Characteristics'!$C:$C,0)))</f>
        <v>1</v>
      </c>
      <c r="N22" s="261">
        <f>IF(ISBLANK(INDEX('Policy Characteristics'!H:H,MATCH($C22,'Policy Characteristics'!$C:$C,0))),"",INDEX('Policy Characteristics'!H:H,MATCH($C22,'Policy Characteristics'!$C:$C,0)))</f>
        <v>0.02</v>
      </c>
      <c r="O22" s="254" t="str">
        <f>IF(ISBLANK(INDEX('Policy Characteristics'!I:I,MATCH($C22,'Policy Characteristics'!$C:$C,0))),"",INDEX('Policy Characteristics'!I:I,MATCH($C22,'Policy Characteristics'!$C:$C,0)))</f>
        <v>% reduction in emissions</v>
      </c>
      <c r="P22" s="254"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4" t="str">
        <f>IF(ISBLANK(INDEX('Policy Characteristics'!K:K,MATCH($C22,'Policy Characteristics'!$C:$C,0))),"",INDEX('Policy Characteristics'!K:K,MATCH($C22,'Policy Characteristics'!$C:$C,0)))</f>
        <v>transportation-sector-main.html#conv-pol-stds</v>
      </c>
      <c r="R22" s="254" t="str">
        <f>IF(ISBLANK(INDEX('Policy Characteristics'!L:L,MATCH($C22,'Policy Characteristics'!$C:$C,0))),"",INDEX('Policy Characteristics'!L:L,MATCH($C22,'Policy Characteristics'!$C:$C,0)))</f>
        <v>conventional-pollutant-standards.html</v>
      </c>
    </row>
    <row r="23" spans="1:18" s="2" customFormat="1" x14ac:dyDescent="0.3">
      <c r="A23" s="254" t="str">
        <f>IF(ISBLANK(INDEX('Policy Characteristics'!A:A,MATCH($C23,'Policy Characteristics'!$C:$C,0))),"",INDEX('Policy Characteristics'!A:A,MATCH($C23,'Policy Characteristics'!$C:$C,0)))</f>
        <v>Transportation</v>
      </c>
      <c r="B23" s="262" t="str">
        <f>IF(ISBLANK(INDEX('Policy Characteristics'!B:B,MATCH($C23,'Policy Characteristics'!$C:$C,0))),"",INDEX('Policy Characteristics'!B:B,MATCH($C23,'Policy Characteristics'!$C:$C,0)))</f>
        <v>Conventional Pollutant Standards</v>
      </c>
      <c r="C23" s="254" t="str">
        <f t="shared" ref="C23:C32" si="1">C$2</f>
        <v>Percentage Reduction of Separately Regulated Pollutants</v>
      </c>
      <c r="D23" s="2" t="s">
        <v>39</v>
      </c>
      <c r="E23" s="2" t="s">
        <v>484</v>
      </c>
      <c r="F23" s="2" t="s">
        <v>3286</v>
      </c>
      <c r="G23" s="2" t="s">
        <v>484</v>
      </c>
      <c r="H23" s="47">
        <v>321</v>
      </c>
      <c r="I23" s="325" t="s">
        <v>44</v>
      </c>
      <c r="J23" s="255" t="str">
        <f>IF(ISBLANK(INDEX('Policy Characteristics'!D:D,MATCH($C23,'Policy Characteristics'!$C:$C,0))),"",INDEX('Policy Characteristics'!D:D,MATCH($C23,'Policy Characteristics'!$C:$C,0)))</f>
        <v>Conventional Pollutant Standard</v>
      </c>
      <c r="K23" s="254" t="str">
        <f>IF(ISBLANK(INDEX('Policy Characteristics'!E:E,MATCH($C23,'Policy Characteristics'!$C:$C,0))),"",INDEX('Policy Characteristics'!E:E,MATCH($C23,'Policy Characteristics'!$C:$C,0)))</f>
        <v>trans reduce regulated pollutants</v>
      </c>
      <c r="L23" s="261">
        <f>IF(ISBLANK(INDEX('Policy Characteristics'!F:F,MATCH($C23,'Policy Characteristics'!$C:$C,0))),"",INDEX('Policy Characteristics'!F:F,MATCH($C23,'Policy Characteristics'!$C:$C,0)))</f>
        <v>0</v>
      </c>
      <c r="M23" s="261">
        <f>IF(ISBLANK(INDEX('Policy Characteristics'!G:G,MATCH($C23,'Policy Characteristics'!$C:$C,0))),"",INDEX('Policy Characteristics'!G:G,MATCH($C23,'Policy Characteristics'!$C:$C,0)))</f>
        <v>1</v>
      </c>
      <c r="N23" s="261">
        <f>IF(ISBLANK(INDEX('Policy Characteristics'!H:H,MATCH($C23,'Policy Characteristics'!$C:$C,0))),"",INDEX('Policy Characteristics'!H:H,MATCH($C23,'Policy Characteristics'!$C:$C,0)))</f>
        <v>0.02</v>
      </c>
      <c r="O23" s="254" t="str">
        <f>IF(ISBLANK(INDEX('Policy Characteristics'!I:I,MATCH($C23,'Policy Characteristics'!$C:$C,0))),"",INDEX('Policy Characteristics'!I:I,MATCH($C23,'Policy Characteristics'!$C:$C,0)))</f>
        <v>% reduction in emissions</v>
      </c>
      <c r="P23" s="254"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4" t="str">
        <f>IF(ISBLANK(INDEX('Policy Characteristics'!K:K,MATCH($C23,'Policy Characteristics'!$C:$C,0))),"",INDEX('Policy Characteristics'!K:K,MATCH($C23,'Policy Characteristics'!$C:$C,0)))</f>
        <v>transportation-sector-main.html#conv-pol-stds</v>
      </c>
      <c r="R23" s="254" t="str">
        <f>IF(ISBLANK(INDEX('Policy Characteristics'!L:L,MATCH($C23,'Policy Characteristics'!$C:$C,0))),"",INDEX('Policy Characteristics'!L:L,MATCH($C23,'Policy Characteristics'!$C:$C,0)))</f>
        <v>conventional-pollutant-standards.html</v>
      </c>
    </row>
    <row r="24" spans="1:18" s="2" customFormat="1" x14ac:dyDescent="0.3">
      <c r="A24" s="254" t="str">
        <f>IF(ISBLANK(INDEX('Policy Characteristics'!A:A,MATCH($C24,'Policy Characteristics'!$C:$C,0))),"",INDEX('Policy Characteristics'!A:A,MATCH($C24,'Policy Characteristics'!$C:$C,0)))</f>
        <v>Transportation</v>
      </c>
      <c r="B24" s="262" t="str">
        <f>IF(ISBLANK(INDEX('Policy Characteristics'!B:B,MATCH($C24,'Policy Characteristics'!$C:$C,0))),"",INDEX('Policy Characteristics'!B:B,MATCH($C24,'Policy Characteristics'!$C:$C,0)))</f>
        <v>Conventional Pollutant Standards</v>
      </c>
      <c r="C24" s="254" t="str">
        <f t="shared" si="1"/>
        <v>Percentage Reduction of Separately Regulated Pollutants</v>
      </c>
      <c r="D24" s="2" t="s">
        <v>39</v>
      </c>
      <c r="E24" s="2" t="s">
        <v>2224</v>
      </c>
      <c r="F24" s="2" t="s">
        <v>3286</v>
      </c>
      <c r="G24" s="2" t="s">
        <v>2224</v>
      </c>
      <c r="H24" s="47">
        <v>322</v>
      </c>
      <c r="I24" s="324" t="s">
        <v>43</v>
      </c>
      <c r="J24" s="255" t="str">
        <f>IF(ISBLANK(INDEX('Policy Characteristics'!D:D,MATCH($C24,'Policy Characteristics'!$C:$C,0))),"",INDEX('Policy Characteristics'!D:D,MATCH($C24,'Policy Characteristics'!$C:$C,0)))</f>
        <v>Conventional Pollutant Standard</v>
      </c>
      <c r="K24" s="254" t="str">
        <f>IF(ISBLANK(INDEX('Policy Characteristics'!E:E,MATCH($C24,'Policy Characteristics'!$C:$C,0))),"",INDEX('Policy Characteristics'!E:E,MATCH($C24,'Policy Characteristics'!$C:$C,0)))</f>
        <v>trans reduce regulated pollutants</v>
      </c>
      <c r="L24" s="261">
        <f>IF(ISBLANK(INDEX('Policy Characteristics'!F:F,MATCH($C24,'Policy Characteristics'!$C:$C,0))),"",INDEX('Policy Characteristics'!F:F,MATCH($C24,'Policy Characteristics'!$C:$C,0)))</f>
        <v>0</v>
      </c>
      <c r="M24" s="261">
        <f>IF(ISBLANK(INDEX('Policy Characteristics'!G:G,MATCH($C24,'Policy Characteristics'!$C:$C,0))),"",INDEX('Policy Characteristics'!G:G,MATCH($C24,'Policy Characteristics'!$C:$C,0)))</f>
        <v>1</v>
      </c>
      <c r="N24" s="261">
        <f>IF(ISBLANK(INDEX('Policy Characteristics'!H:H,MATCH($C24,'Policy Characteristics'!$C:$C,0))),"",INDEX('Policy Characteristics'!H:H,MATCH($C24,'Policy Characteristics'!$C:$C,0)))</f>
        <v>0.02</v>
      </c>
      <c r="O24" s="254" t="str">
        <f>IF(ISBLANK(INDEX('Policy Characteristics'!I:I,MATCH($C24,'Policy Characteristics'!$C:$C,0))),"",INDEX('Policy Characteristics'!I:I,MATCH($C24,'Policy Characteristics'!$C:$C,0)))</f>
        <v>% reduction in emissions</v>
      </c>
      <c r="P24" s="254"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4" t="str">
        <f>IF(ISBLANK(INDEX('Policy Characteristics'!K:K,MATCH($C24,'Policy Characteristics'!$C:$C,0))),"",INDEX('Policy Characteristics'!K:K,MATCH($C24,'Policy Characteristics'!$C:$C,0)))</f>
        <v>transportation-sector-main.html#conv-pol-stds</v>
      </c>
      <c r="R24" s="254" t="str">
        <f>IF(ISBLANK(INDEX('Policy Characteristics'!L:L,MATCH($C24,'Policy Characteristics'!$C:$C,0))),"",INDEX('Policy Characteristics'!L:L,MATCH($C24,'Policy Characteristics'!$C:$C,0)))</f>
        <v>conventional-pollutant-standards.html</v>
      </c>
    </row>
    <row r="25" spans="1:18" s="2" customFormat="1" x14ac:dyDescent="0.3">
      <c r="A25" s="254" t="str">
        <f>IF(ISBLANK(INDEX('Policy Characteristics'!A:A,MATCH($C25,'Policy Characteristics'!$C:$C,0))),"",INDEX('Policy Characteristics'!A:A,MATCH($C25,'Policy Characteristics'!$C:$C,0)))</f>
        <v>Transportation</v>
      </c>
      <c r="B25" s="262" t="str">
        <f>IF(ISBLANK(INDEX('Policy Characteristics'!B:B,MATCH($C25,'Policy Characteristics'!$C:$C,0))),"",INDEX('Policy Characteristics'!B:B,MATCH($C25,'Policy Characteristics'!$C:$C,0)))</f>
        <v>Conventional Pollutant Standards</v>
      </c>
      <c r="C25" s="254" t="str">
        <f t="shared" si="1"/>
        <v>Percentage Reduction of Separately Regulated Pollutants</v>
      </c>
      <c r="D25" s="2" t="s">
        <v>39</v>
      </c>
      <c r="E25" s="2" t="s">
        <v>2226</v>
      </c>
      <c r="F25" s="2" t="s">
        <v>3286</v>
      </c>
      <c r="G25" s="2" t="s">
        <v>2226</v>
      </c>
      <c r="H25" s="47">
        <v>323</v>
      </c>
      <c r="I25" s="325" t="s">
        <v>44</v>
      </c>
      <c r="J25" s="255" t="str">
        <f>IF(ISBLANK(INDEX('Policy Characteristics'!D:D,MATCH($C25,'Policy Characteristics'!$C:$C,0))),"",INDEX('Policy Characteristics'!D:D,MATCH($C25,'Policy Characteristics'!$C:$C,0)))</f>
        <v>Conventional Pollutant Standard</v>
      </c>
      <c r="K25" s="254" t="str">
        <f>IF(ISBLANK(INDEX('Policy Characteristics'!E:E,MATCH($C25,'Policy Characteristics'!$C:$C,0))),"",INDEX('Policy Characteristics'!E:E,MATCH($C25,'Policy Characteristics'!$C:$C,0)))</f>
        <v>trans reduce regulated pollutants</v>
      </c>
      <c r="L25" s="261">
        <f>IF(ISBLANK(INDEX('Policy Characteristics'!F:F,MATCH($C25,'Policy Characteristics'!$C:$C,0))),"",INDEX('Policy Characteristics'!F:F,MATCH($C25,'Policy Characteristics'!$C:$C,0)))</f>
        <v>0</v>
      </c>
      <c r="M25" s="261">
        <f>IF(ISBLANK(INDEX('Policy Characteristics'!G:G,MATCH($C25,'Policy Characteristics'!$C:$C,0))),"",INDEX('Policy Characteristics'!G:G,MATCH($C25,'Policy Characteristics'!$C:$C,0)))</f>
        <v>1</v>
      </c>
      <c r="N25" s="261">
        <f>IF(ISBLANK(INDEX('Policy Characteristics'!H:H,MATCH($C25,'Policy Characteristics'!$C:$C,0))),"",INDEX('Policy Characteristics'!H:H,MATCH($C25,'Policy Characteristics'!$C:$C,0)))</f>
        <v>0.02</v>
      </c>
      <c r="O25" s="254" t="str">
        <f>IF(ISBLANK(INDEX('Policy Characteristics'!I:I,MATCH($C25,'Policy Characteristics'!$C:$C,0))),"",INDEX('Policy Characteristics'!I:I,MATCH($C25,'Policy Characteristics'!$C:$C,0)))</f>
        <v>% reduction in emissions</v>
      </c>
      <c r="P25" s="254"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4" t="str">
        <f>IF(ISBLANK(INDEX('Policy Characteristics'!K:K,MATCH($C25,'Policy Characteristics'!$C:$C,0))),"",INDEX('Policy Characteristics'!K:K,MATCH($C25,'Policy Characteristics'!$C:$C,0)))</f>
        <v>transportation-sector-main.html#conv-pol-stds</v>
      </c>
      <c r="R25" s="254" t="str">
        <f>IF(ISBLANK(INDEX('Policy Characteristics'!L:L,MATCH($C25,'Policy Characteristics'!$C:$C,0))),"",INDEX('Policy Characteristics'!L:L,MATCH($C25,'Policy Characteristics'!$C:$C,0)))</f>
        <v>conventional-pollutant-standards.html</v>
      </c>
    </row>
    <row r="26" spans="1:18" s="2" customFormat="1" x14ac:dyDescent="0.3">
      <c r="A26" s="254" t="str">
        <f>IF(ISBLANK(INDEX('Policy Characteristics'!A:A,MATCH($C26,'Policy Characteristics'!$C:$C,0))),"",INDEX('Policy Characteristics'!A:A,MATCH($C26,'Policy Characteristics'!$C:$C,0)))</f>
        <v>Transportation</v>
      </c>
      <c r="B26" s="262" t="str">
        <f>IF(ISBLANK(INDEX('Policy Characteristics'!B:B,MATCH($C26,'Policy Characteristics'!$C:$C,0))),"",INDEX('Policy Characteristics'!B:B,MATCH($C26,'Policy Characteristics'!$C:$C,0)))</f>
        <v>Conventional Pollutant Standards</v>
      </c>
      <c r="C26" s="254" t="str">
        <f t="shared" si="1"/>
        <v>Percentage Reduction of Separately Regulated Pollutants</v>
      </c>
      <c r="D26" s="2" t="s">
        <v>39</v>
      </c>
      <c r="E26" s="2" t="s">
        <v>2228</v>
      </c>
      <c r="F26" s="2" t="s">
        <v>3286</v>
      </c>
      <c r="G26" s="2" t="s">
        <v>2318</v>
      </c>
      <c r="H26" s="47">
        <v>324</v>
      </c>
      <c r="I26" s="325" t="s">
        <v>44</v>
      </c>
      <c r="J26" s="255" t="str">
        <f>IF(ISBLANK(INDEX('Policy Characteristics'!D:D,MATCH($C26,'Policy Characteristics'!$C:$C,0))),"",INDEX('Policy Characteristics'!D:D,MATCH($C26,'Policy Characteristics'!$C:$C,0)))</f>
        <v>Conventional Pollutant Standard</v>
      </c>
      <c r="K26" s="254" t="str">
        <f>IF(ISBLANK(INDEX('Policy Characteristics'!E:E,MATCH($C26,'Policy Characteristics'!$C:$C,0))),"",INDEX('Policy Characteristics'!E:E,MATCH($C26,'Policy Characteristics'!$C:$C,0)))</f>
        <v>trans reduce regulated pollutants</v>
      </c>
      <c r="L26" s="261">
        <f>IF(ISBLANK(INDEX('Policy Characteristics'!F:F,MATCH($C26,'Policy Characteristics'!$C:$C,0))),"",INDEX('Policy Characteristics'!F:F,MATCH($C26,'Policy Characteristics'!$C:$C,0)))</f>
        <v>0</v>
      </c>
      <c r="M26" s="261">
        <f>IF(ISBLANK(INDEX('Policy Characteristics'!G:G,MATCH($C26,'Policy Characteristics'!$C:$C,0))),"",INDEX('Policy Characteristics'!G:G,MATCH($C26,'Policy Characteristics'!$C:$C,0)))</f>
        <v>1</v>
      </c>
      <c r="N26" s="261">
        <f>IF(ISBLANK(INDEX('Policy Characteristics'!H:H,MATCH($C26,'Policy Characteristics'!$C:$C,0))),"",INDEX('Policy Characteristics'!H:H,MATCH($C26,'Policy Characteristics'!$C:$C,0)))</f>
        <v>0.02</v>
      </c>
      <c r="O26" s="254" t="str">
        <f>IF(ISBLANK(INDEX('Policy Characteristics'!I:I,MATCH($C26,'Policy Characteristics'!$C:$C,0))),"",INDEX('Policy Characteristics'!I:I,MATCH($C26,'Policy Characteristics'!$C:$C,0)))</f>
        <v>% reduction in emissions</v>
      </c>
      <c r="P26" s="254"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4" t="str">
        <f>IF(ISBLANK(INDEX('Policy Characteristics'!K:K,MATCH($C26,'Policy Characteristics'!$C:$C,0))),"",INDEX('Policy Characteristics'!K:K,MATCH($C26,'Policy Characteristics'!$C:$C,0)))</f>
        <v>transportation-sector-main.html#conv-pol-stds</v>
      </c>
      <c r="R26" s="254" t="str">
        <f>IF(ISBLANK(INDEX('Policy Characteristics'!L:L,MATCH($C26,'Policy Characteristics'!$C:$C,0))),"",INDEX('Policy Characteristics'!L:L,MATCH($C26,'Policy Characteristics'!$C:$C,0)))</f>
        <v>conventional-pollutant-standards.html</v>
      </c>
    </row>
    <row r="27" spans="1:18" s="2" customFormat="1" x14ac:dyDescent="0.3">
      <c r="A27" s="254" t="str">
        <f>IF(ISBLANK(INDEX('Policy Characteristics'!A:A,MATCH($C27,'Policy Characteristics'!$C:$C,0))),"",INDEX('Policy Characteristics'!A:A,MATCH($C27,'Policy Characteristics'!$C:$C,0)))</f>
        <v>Transportation</v>
      </c>
      <c r="B27" s="262" t="str">
        <f>IF(ISBLANK(INDEX('Policy Characteristics'!B:B,MATCH($C27,'Policy Characteristics'!$C:$C,0))),"",INDEX('Policy Characteristics'!B:B,MATCH($C27,'Policy Characteristics'!$C:$C,0)))</f>
        <v>Conventional Pollutant Standards</v>
      </c>
      <c r="C27" s="254" t="str">
        <f t="shared" si="1"/>
        <v>Percentage Reduction of Separately Regulated Pollutants</v>
      </c>
      <c r="D27" s="2" t="s">
        <v>39</v>
      </c>
      <c r="E27" s="2" t="s">
        <v>2229</v>
      </c>
      <c r="F27" s="2" t="s">
        <v>3286</v>
      </c>
      <c r="G27" s="2" t="s">
        <v>2229</v>
      </c>
      <c r="H27" s="47">
        <v>325</v>
      </c>
      <c r="I27" s="325" t="s">
        <v>44</v>
      </c>
      <c r="J27" s="255" t="str">
        <f>IF(ISBLANK(INDEX('Policy Characteristics'!D:D,MATCH($C27,'Policy Characteristics'!$C:$C,0))),"",INDEX('Policy Characteristics'!D:D,MATCH($C27,'Policy Characteristics'!$C:$C,0)))</f>
        <v>Conventional Pollutant Standard</v>
      </c>
      <c r="K27" s="254" t="str">
        <f>IF(ISBLANK(INDEX('Policy Characteristics'!E:E,MATCH($C27,'Policy Characteristics'!$C:$C,0))),"",INDEX('Policy Characteristics'!E:E,MATCH($C27,'Policy Characteristics'!$C:$C,0)))</f>
        <v>trans reduce regulated pollutants</v>
      </c>
      <c r="L27" s="261">
        <f>IF(ISBLANK(INDEX('Policy Characteristics'!F:F,MATCH($C27,'Policy Characteristics'!$C:$C,0))),"",INDEX('Policy Characteristics'!F:F,MATCH($C27,'Policy Characteristics'!$C:$C,0)))</f>
        <v>0</v>
      </c>
      <c r="M27" s="261">
        <f>IF(ISBLANK(INDEX('Policy Characteristics'!G:G,MATCH($C27,'Policy Characteristics'!$C:$C,0))),"",INDEX('Policy Characteristics'!G:G,MATCH($C27,'Policy Characteristics'!$C:$C,0)))</f>
        <v>1</v>
      </c>
      <c r="N27" s="261">
        <f>IF(ISBLANK(INDEX('Policy Characteristics'!H:H,MATCH($C27,'Policy Characteristics'!$C:$C,0))),"",INDEX('Policy Characteristics'!H:H,MATCH($C27,'Policy Characteristics'!$C:$C,0)))</f>
        <v>0.02</v>
      </c>
      <c r="O27" s="254" t="str">
        <f>IF(ISBLANK(INDEX('Policy Characteristics'!I:I,MATCH($C27,'Policy Characteristics'!$C:$C,0))),"",INDEX('Policy Characteristics'!I:I,MATCH($C27,'Policy Characteristics'!$C:$C,0)))</f>
        <v>% reduction in emissions</v>
      </c>
      <c r="P27" s="254"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4" t="str">
        <f>IF(ISBLANK(INDEX('Policy Characteristics'!K:K,MATCH($C27,'Policy Characteristics'!$C:$C,0))),"",INDEX('Policy Characteristics'!K:K,MATCH($C27,'Policy Characteristics'!$C:$C,0)))</f>
        <v>transportation-sector-main.html#conv-pol-stds</v>
      </c>
      <c r="R27" s="254" t="str">
        <f>IF(ISBLANK(INDEX('Policy Characteristics'!L:L,MATCH($C27,'Policy Characteristics'!$C:$C,0))),"",INDEX('Policy Characteristics'!L:L,MATCH($C27,'Policy Characteristics'!$C:$C,0)))</f>
        <v>conventional-pollutant-standards.html</v>
      </c>
    </row>
    <row r="28" spans="1:18" s="2" customFormat="1" x14ac:dyDescent="0.3">
      <c r="A28" s="254" t="str">
        <f>IF(ISBLANK(INDEX('Policy Characteristics'!A:A,MATCH($C28,'Policy Characteristics'!$C:$C,0))),"",INDEX('Policy Characteristics'!A:A,MATCH($C28,'Policy Characteristics'!$C:$C,0)))</f>
        <v>Transportation</v>
      </c>
      <c r="B28" s="262" t="str">
        <f>IF(ISBLANK(INDEX('Policy Characteristics'!B:B,MATCH($C28,'Policy Characteristics'!$C:$C,0))),"",INDEX('Policy Characteristics'!B:B,MATCH($C28,'Policy Characteristics'!$C:$C,0)))</f>
        <v>Conventional Pollutant Standards</v>
      </c>
      <c r="C28" s="254" t="str">
        <f t="shared" si="1"/>
        <v>Percentage Reduction of Separately Regulated Pollutants</v>
      </c>
      <c r="D28" s="2" t="s">
        <v>39</v>
      </c>
      <c r="E28" s="2" t="s">
        <v>2231</v>
      </c>
      <c r="F28" s="2" t="s">
        <v>3286</v>
      </c>
      <c r="G28" s="2" t="s">
        <v>2231</v>
      </c>
      <c r="H28" s="47">
        <v>326</v>
      </c>
      <c r="I28" s="325" t="s">
        <v>44</v>
      </c>
      <c r="J28" s="255" t="str">
        <f>IF(ISBLANK(INDEX('Policy Characteristics'!D:D,MATCH($C28,'Policy Characteristics'!$C:$C,0))),"",INDEX('Policy Characteristics'!D:D,MATCH($C28,'Policy Characteristics'!$C:$C,0)))</f>
        <v>Conventional Pollutant Standard</v>
      </c>
      <c r="K28" s="254" t="str">
        <f>IF(ISBLANK(INDEX('Policy Characteristics'!E:E,MATCH($C28,'Policy Characteristics'!$C:$C,0))),"",INDEX('Policy Characteristics'!E:E,MATCH($C28,'Policy Characteristics'!$C:$C,0)))</f>
        <v>trans reduce regulated pollutants</v>
      </c>
      <c r="L28" s="261">
        <f>IF(ISBLANK(INDEX('Policy Characteristics'!F:F,MATCH($C28,'Policy Characteristics'!$C:$C,0))),"",INDEX('Policy Characteristics'!F:F,MATCH($C28,'Policy Characteristics'!$C:$C,0)))</f>
        <v>0</v>
      </c>
      <c r="M28" s="261">
        <f>IF(ISBLANK(INDEX('Policy Characteristics'!G:G,MATCH($C28,'Policy Characteristics'!$C:$C,0))),"",INDEX('Policy Characteristics'!G:G,MATCH($C28,'Policy Characteristics'!$C:$C,0)))</f>
        <v>1</v>
      </c>
      <c r="N28" s="261">
        <f>IF(ISBLANK(INDEX('Policy Characteristics'!H:H,MATCH($C28,'Policy Characteristics'!$C:$C,0))),"",INDEX('Policy Characteristics'!H:H,MATCH($C28,'Policy Characteristics'!$C:$C,0)))</f>
        <v>0.02</v>
      </c>
      <c r="O28" s="254" t="str">
        <f>IF(ISBLANK(INDEX('Policy Characteristics'!I:I,MATCH($C28,'Policy Characteristics'!$C:$C,0))),"",INDEX('Policy Characteristics'!I:I,MATCH($C28,'Policy Characteristics'!$C:$C,0)))</f>
        <v>% reduction in emissions</v>
      </c>
      <c r="P28" s="254"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4" t="str">
        <f>IF(ISBLANK(INDEX('Policy Characteristics'!K:K,MATCH($C28,'Policy Characteristics'!$C:$C,0))),"",INDEX('Policy Characteristics'!K:K,MATCH($C28,'Policy Characteristics'!$C:$C,0)))</f>
        <v>transportation-sector-main.html#conv-pol-stds</v>
      </c>
      <c r="R28" s="254" t="str">
        <f>IF(ISBLANK(INDEX('Policy Characteristics'!L:L,MATCH($C28,'Policy Characteristics'!$C:$C,0))),"",INDEX('Policy Characteristics'!L:L,MATCH($C28,'Policy Characteristics'!$C:$C,0)))</f>
        <v>conventional-pollutant-standards.html</v>
      </c>
    </row>
    <row r="29" spans="1:18" s="2" customFormat="1" x14ac:dyDescent="0.3">
      <c r="A29" s="254" t="str">
        <f>IF(ISBLANK(INDEX('Policy Characteristics'!A:A,MATCH($C29,'Policy Characteristics'!$C:$C,0))),"",INDEX('Policy Characteristics'!A:A,MATCH($C29,'Policy Characteristics'!$C:$C,0)))</f>
        <v>Transportation</v>
      </c>
      <c r="B29" s="262" t="str">
        <f>IF(ISBLANK(INDEX('Policy Characteristics'!B:B,MATCH($C29,'Policy Characteristics'!$C:$C,0))),"",INDEX('Policy Characteristics'!B:B,MATCH($C29,'Policy Characteristics'!$C:$C,0)))</f>
        <v>Conventional Pollutant Standards</v>
      </c>
      <c r="C29" s="254" t="str">
        <f t="shared" si="1"/>
        <v>Percentage Reduction of Separately Regulated Pollutants</v>
      </c>
      <c r="D29" s="2" t="s">
        <v>39</v>
      </c>
      <c r="E29" s="2" t="s">
        <v>2233</v>
      </c>
      <c r="F29" s="2" t="s">
        <v>3286</v>
      </c>
      <c r="G29" s="2" t="s">
        <v>2233</v>
      </c>
      <c r="H29" s="47">
        <v>327</v>
      </c>
      <c r="I29" s="325" t="s">
        <v>44</v>
      </c>
      <c r="J29" s="255" t="str">
        <f>IF(ISBLANK(INDEX('Policy Characteristics'!D:D,MATCH($C29,'Policy Characteristics'!$C:$C,0))),"",INDEX('Policy Characteristics'!D:D,MATCH($C29,'Policy Characteristics'!$C:$C,0)))</f>
        <v>Conventional Pollutant Standard</v>
      </c>
      <c r="K29" s="254" t="str">
        <f>IF(ISBLANK(INDEX('Policy Characteristics'!E:E,MATCH($C29,'Policy Characteristics'!$C:$C,0))),"",INDEX('Policy Characteristics'!E:E,MATCH($C29,'Policy Characteristics'!$C:$C,0)))</f>
        <v>trans reduce regulated pollutants</v>
      </c>
      <c r="L29" s="261">
        <f>IF(ISBLANK(INDEX('Policy Characteristics'!F:F,MATCH($C29,'Policy Characteristics'!$C:$C,0))),"",INDEX('Policy Characteristics'!F:F,MATCH($C29,'Policy Characteristics'!$C:$C,0)))</f>
        <v>0</v>
      </c>
      <c r="M29" s="261">
        <f>IF(ISBLANK(INDEX('Policy Characteristics'!G:G,MATCH($C29,'Policy Characteristics'!$C:$C,0))),"",INDEX('Policy Characteristics'!G:G,MATCH($C29,'Policy Characteristics'!$C:$C,0)))</f>
        <v>1</v>
      </c>
      <c r="N29" s="261">
        <f>IF(ISBLANK(INDEX('Policy Characteristics'!H:H,MATCH($C29,'Policy Characteristics'!$C:$C,0))),"",INDEX('Policy Characteristics'!H:H,MATCH($C29,'Policy Characteristics'!$C:$C,0)))</f>
        <v>0.02</v>
      </c>
      <c r="O29" s="254" t="str">
        <f>IF(ISBLANK(INDEX('Policy Characteristics'!I:I,MATCH($C29,'Policy Characteristics'!$C:$C,0))),"",INDEX('Policy Characteristics'!I:I,MATCH($C29,'Policy Characteristics'!$C:$C,0)))</f>
        <v>% reduction in emissions</v>
      </c>
      <c r="P29" s="254"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4" t="str">
        <f>IF(ISBLANK(INDEX('Policy Characteristics'!K:K,MATCH($C29,'Policy Characteristics'!$C:$C,0))),"",INDEX('Policy Characteristics'!K:K,MATCH($C29,'Policy Characteristics'!$C:$C,0)))</f>
        <v>transportation-sector-main.html#conv-pol-stds</v>
      </c>
      <c r="R29" s="254" t="str">
        <f>IF(ISBLANK(INDEX('Policy Characteristics'!L:L,MATCH($C29,'Policy Characteristics'!$C:$C,0))),"",INDEX('Policy Characteristics'!L:L,MATCH($C29,'Policy Characteristics'!$C:$C,0)))</f>
        <v>conventional-pollutant-standards.html</v>
      </c>
    </row>
    <row r="30" spans="1:18" s="2" customFormat="1" x14ac:dyDescent="0.3">
      <c r="A30" s="254" t="str">
        <f>IF(ISBLANK(INDEX('Policy Characteristics'!A:A,MATCH($C30,'Policy Characteristics'!$C:$C,0))),"",INDEX('Policy Characteristics'!A:A,MATCH($C30,'Policy Characteristics'!$C:$C,0)))</f>
        <v>Transportation</v>
      </c>
      <c r="B30" s="262" t="str">
        <f>IF(ISBLANK(INDEX('Policy Characteristics'!B:B,MATCH($C30,'Policy Characteristics'!$C:$C,0))),"",INDEX('Policy Characteristics'!B:B,MATCH($C30,'Policy Characteristics'!$C:$C,0)))</f>
        <v>Conventional Pollutant Standards</v>
      </c>
      <c r="C30" s="254" t="str">
        <f t="shared" si="1"/>
        <v>Percentage Reduction of Separately Regulated Pollutants</v>
      </c>
      <c r="D30" s="2" t="s">
        <v>39</v>
      </c>
      <c r="E30" s="2" t="s">
        <v>2235</v>
      </c>
      <c r="F30" s="2" t="s">
        <v>3286</v>
      </c>
      <c r="G30" s="2" t="s">
        <v>2235</v>
      </c>
      <c r="H30" s="47">
        <v>328</v>
      </c>
      <c r="I30" s="325" t="s">
        <v>44</v>
      </c>
      <c r="J30" s="255" t="str">
        <f>IF(ISBLANK(INDEX('Policy Characteristics'!D:D,MATCH($C30,'Policy Characteristics'!$C:$C,0))),"",INDEX('Policy Characteristics'!D:D,MATCH($C30,'Policy Characteristics'!$C:$C,0)))</f>
        <v>Conventional Pollutant Standard</v>
      </c>
      <c r="K30" s="254" t="str">
        <f>IF(ISBLANK(INDEX('Policy Characteristics'!E:E,MATCH($C30,'Policy Characteristics'!$C:$C,0))),"",INDEX('Policy Characteristics'!E:E,MATCH($C30,'Policy Characteristics'!$C:$C,0)))</f>
        <v>trans reduce regulated pollutants</v>
      </c>
      <c r="L30" s="261">
        <f>IF(ISBLANK(INDEX('Policy Characteristics'!F:F,MATCH($C30,'Policy Characteristics'!$C:$C,0))),"",INDEX('Policy Characteristics'!F:F,MATCH($C30,'Policy Characteristics'!$C:$C,0)))</f>
        <v>0</v>
      </c>
      <c r="M30" s="261">
        <f>IF(ISBLANK(INDEX('Policy Characteristics'!G:G,MATCH($C30,'Policy Characteristics'!$C:$C,0))),"",INDEX('Policy Characteristics'!G:G,MATCH($C30,'Policy Characteristics'!$C:$C,0)))</f>
        <v>1</v>
      </c>
      <c r="N30" s="261">
        <f>IF(ISBLANK(INDEX('Policy Characteristics'!H:H,MATCH($C30,'Policy Characteristics'!$C:$C,0))),"",INDEX('Policy Characteristics'!H:H,MATCH($C30,'Policy Characteristics'!$C:$C,0)))</f>
        <v>0.02</v>
      </c>
      <c r="O30" s="254" t="str">
        <f>IF(ISBLANK(INDEX('Policy Characteristics'!I:I,MATCH($C30,'Policy Characteristics'!$C:$C,0))),"",INDEX('Policy Characteristics'!I:I,MATCH($C30,'Policy Characteristics'!$C:$C,0)))</f>
        <v>% reduction in emissions</v>
      </c>
      <c r="P30" s="254"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4" t="str">
        <f>IF(ISBLANK(INDEX('Policy Characteristics'!K:K,MATCH($C30,'Policy Characteristics'!$C:$C,0))),"",INDEX('Policy Characteristics'!K:K,MATCH($C30,'Policy Characteristics'!$C:$C,0)))</f>
        <v>transportation-sector-main.html#conv-pol-stds</v>
      </c>
      <c r="R30" s="254" t="str">
        <f>IF(ISBLANK(INDEX('Policy Characteristics'!L:L,MATCH($C30,'Policy Characteristics'!$C:$C,0))),"",INDEX('Policy Characteristics'!L:L,MATCH($C30,'Policy Characteristics'!$C:$C,0)))</f>
        <v>conventional-pollutant-standards.html</v>
      </c>
    </row>
    <row r="31" spans="1:18" s="2" customFormat="1" x14ac:dyDescent="0.3">
      <c r="A31" s="254" t="str">
        <f>IF(ISBLANK(INDEX('Policy Characteristics'!A:A,MATCH($C31,'Policy Characteristics'!$C:$C,0))),"",INDEX('Policy Characteristics'!A:A,MATCH($C31,'Policy Characteristics'!$C:$C,0)))</f>
        <v>Transportation</v>
      </c>
      <c r="B31" s="262" t="str">
        <f>IF(ISBLANK(INDEX('Policy Characteristics'!B:B,MATCH($C31,'Policy Characteristics'!$C:$C,0))),"",INDEX('Policy Characteristics'!B:B,MATCH($C31,'Policy Characteristics'!$C:$C,0)))</f>
        <v>Conventional Pollutant Standards</v>
      </c>
      <c r="C31" s="254" t="str">
        <f t="shared" si="1"/>
        <v>Percentage Reduction of Separately Regulated Pollutants</v>
      </c>
      <c r="D31" s="2" t="s">
        <v>39</v>
      </c>
      <c r="E31" s="2" t="s">
        <v>2237</v>
      </c>
      <c r="F31" s="2" t="s">
        <v>3286</v>
      </c>
      <c r="G31" s="2" t="s">
        <v>2237</v>
      </c>
      <c r="H31" s="47">
        <v>329</v>
      </c>
      <c r="I31" s="325" t="s">
        <v>44</v>
      </c>
      <c r="J31" s="255" t="str">
        <f>IF(ISBLANK(INDEX('Policy Characteristics'!D:D,MATCH($C31,'Policy Characteristics'!$C:$C,0))),"",INDEX('Policy Characteristics'!D:D,MATCH($C31,'Policy Characteristics'!$C:$C,0)))</f>
        <v>Conventional Pollutant Standard</v>
      </c>
      <c r="K31" s="254" t="str">
        <f>IF(ISBLANK(INDEX('Policy Characteristics'!E:E,MATCH($C31,'Policy Characteristics'!$C:$C,0))),"",INDEX('Policy Characteristics'!E:E,MATCH($C31,'Policy Characteristics'!$C:$C,0)))</f>
        <v>trans reduce regulated pollutants</v>
      </c>
      <c r="L31" s="261">
        <f>IF(ISBLANK(INDEX('Policy Characteristics'!F:F,MATCH($C31,'Policy Characteristics'!$C:$C,0))),"",INDEX('Policy Characteristics'!F:F,MATCH($C31,'Policy Characteristics'!$C:$C,0)))</f>
        <v>0</v>
      </c>
      <c r="M31" s="261">
        <f>IF(ISBLANK(INDEX('Policy Characteristics'!G:G,MATCH($C31,'Policy Characteristics'!$C:$C,0))),"",INDEX('Policy Characteristics'!G:G,MATCH($C31,'Policy Characteristics'!$C:$C,0)))</f>
        <v>1</v>
      </c>
      <c r="N31" s="261">
        <f>IF(ISBLANK(INDEX('Policy Characteristics'!H:H,MATCH($C31,'Policy Characteristics'!$C:$C,0))),"",INDEX('Policy Characteristics'!H:H,MATCH($C31,'Policy Characteristics'!$C:$C,0)))</f>
        <v>0.02</v>
      </c>
      <c r="O31" s="254" t="str">
        <f>IF(ISBLANK(INDEX('Policy Characteristics'!I:I,MATCH($C31,'Policy Characteristics'!$C:$C,0))),"",INDEX('Policy Characteristics'!I:I,MATCH($C31,'Policy Characteristics'!$C:$C,0)))</f>
        <v>% reduction in emissions</v>
      </c>
      <c r="P31" s="254"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4" t="str">
        <f>IF(ISBLANK(INDEX('Policy Characteristics'!K:K,MATCH($C31,'Policy Characteristics'!$C:$C,0))),"",INDEX('Policy Characteristics'!K:K,MATCH($C31,'Policy Characteristics'!$C:$C,0)))</f>
        <v>transportation-sector-main.html#conv-pol-stds</v>
      </c>
      <c r="R31" s="254" t="str">
        <f>IF(ISBLANK(INDEX('Policy Characteristics'!L:L,MATCH($C31,'Policy Characteristics'!$C:$C,0))),"",INDEX('Policy Characteristics'!L:L,MATCH($C31,'Policy Characteristics'!$C:$C,0)))</f>
        <v>conventional-pollutant-standards.html</v>
      </c>
    </row>
    <row r="32" spans="1:18" s="2" customFormat="1" x14ac:dyDescent="0.3">
      <c r="A32" s="254" t="str">
        <f>IF(ISBLANK(INDEX('Policy Characteristics'!A:A,MATCH($C32,'Policy Characteristics'!$C:$C,0))),"",INDEX('Policy Characteristics'!A:A,MATCH($C32,'Policy Characteristics'!$C:$C,0)))</f>
        <v>Transportation</v>
      </c>
      <c r="B32" s="262" t="str">
        <f>IF(ISBLANK(INDEX('Policy Characteristics'!B:B,MATCH($C32,'Policy Characteristics'!$C:$C,0))),"",INDEX('Policy Characteristics'!B:B,MATCH($C32,'Policy Characteristics'!$C:$C,0)))</f>
        <v>Conventional Pollutant Standards</v>
      </c>
      <c r="C32" s="254" t="str">
        <f t="shared" si="1"/>
        <v>Percentage Reduction of Separately Regulated Pollutants</v>
      </c>
      <c r="D32" s="2" t="s">
        <v>40</v>
      </c>
      <c r="E32" s="2" t="s">
        <v>2221</v>
      </c>
      <c r="F32" s="2" t="s">
        <v>3287</v>
      </c>
      <c r="G32" s="2" t="s">
        <v>2426</v>
      </c>
      <c r="H32" s="47">
        <v>330</v>
      </c>
      <c r="I32" s="324" t="s">
        <v>43</v>
      </c>
      <c r="J32" s="255" t="str">
        <f>IF(ISBLANK(INDEX('Policy Characteristics'!D:D,MATCH($C32,'Policy Characteristics'!$C:$C,0))),"",INDEX('Policy Characteristics'!D:D,MATCH($C32,'Policy Characteristics'!$C:$C,0)))</f>
        <v>Conventional Pollutant Standard</v>
      </c>
      <c r="K32" s="254" t="str">
        <f>IF(ISBLANK(INDEX('Policy Characteristics'!E:E,MATCH($C32,'Policy Characteristics'!$C:$C,0))),"",INDEX('Policy Characteristics'!E:E,MATCH($C32,'Policy Characteristics'!$C:$C,0)))</f>
        <v>trans reduce regulated pollutants</v>
      </c>
      <c r="L32" s="261">
        <f>IF(ISBLANK(INDEX('Policy Characteristics'!F:F,MATCH($C32,'Policy Characteristics'!$C:$C,0))),"",INDEX('Policy Characteristics'!F:F,MATCH($C32,'Policy Characteristics'!$C:$C,0)))</f>
        <v>0</v>
      </c>
      <c r="M32" s="261">
        <f>IF(ISBLANK(INDEX('Policy Characteristics'!G:G,MATCH($C32,'Policy Characteristics'!$C:$C,0))),"",INDEX('Policy Characteristics'!G:G,MATCH($C32,'Policy Characteristics'!$C:$C,0)))</f>
        <v>1</v>
      </c>
      <c r="N32" s="261">
        <f>IF(ISBLANK(INDEX('Policy Characteristics'!H:H,MATCH($C32,'Policy Characteristics'!$C:$C,0))),"",INDEX('Policy Characteristics'!H:H,MATCH($C32,'Policy Characteristics'!$C:$C,0)))</f>
        <v>0.02</v>
      </c>
      <c r="O32" s="254" t="str">
        <f>IF(ISBLANK(INDEX('Policy Characteristics'!I:I,MATCH($C32,'Policy Characteristics'!$C:$C,0))),"",INDEX('Policy Characteristics'!I:I,MATCH($C32,'Policy Characteristics'!$C:$C,0)))</f>
        <v>% reduction in emissions</v>
      </c>
      <c r="P32" s="254"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4" t="str">
        <f>IF(ISBLANK(INDEX('Policy Characteristics'!K:K,MATCH($C32,'Policy Characteristics'!$C:$C,0))),"",INDEX('Policy Characteristics'!K:K,MATCH($C32,'Policy Characteristics'!$C:$C,0)))</f>
        <v>transportation-sector-main.html#conv-pol-stds</v>
      </c>
      <c r="R32" s="254" t="str">
        <f>IF(ISBLANK(INDEX('Policy Characteristics'!L:L,MATCH($C32,'Policy Characteristics'!$C:$C,0))),"",INDEX('Policy Characteristics'!L:L,MATCH($C32,'Policy Characteristics'!$C:$C,0)))</f>
        <v>conventional-pollutant-standards.html</v>
      </c>
    </row>
    <row r="33" spans="1:18" s="2" customFormat="1" x14ac:dyDescent="0.3">
      <c r="A33" s="254" t="str">
        <f>IF(ISBLANK(INDEX('Policy Characteristics'!A:A,MATCH($C33,'Policy Characteristics'!$C:$C,0))),"",INDEX('Policy Characteristics'!A:A,MATCH($C33,'Policy Characteristics'!$C:$C,0)))</f>
        <v>Transportation</v>
      </c>
      <c r="B33" s="262" t="str">
        <f>IF(ISBLANK(INDEX('Policy Characteristics'!B:B,MATCH($C33,'Policy Characteristics'!$C:$C,0))),"",INDEX('Policy Characteristics'!B:B,MATCH($C33,'Policy Characteristics'!$C:$C,0)))</f>
        <v>Conventional Pollutant Standards</v>
      </c>
      <c r="C33" s="254" t="str">
        <f t="shared" ref="C33:C61" si="2">C$2</f>
        <v>Percentage Reduction of Separately Regulated Pollutants</v>
      </c>
      <c r="D33" s="2" t="s">
        <v>40</v>
      </c>
      <c r="E33" s="2" t="s">
        <v>484</v>
      </c>
      <c r="F33" s="2" t="s">
        <v>3287</v>
      </c>
      <c r="G33" s="2" t="s">
        <v>484</v>
      </c>
      <c r="H33" s="47">
        <v>331</v>
      </c>
      <c r="I33" s="324" t="s">
        <v>43</v>
      </c>
      <c r="J33" s="255" t="str">
        <f>IF(ISBLANK(INDEX('Policy Characteristics'!D:D,MATCH($C33,'Policy Characteristics'!$C:$C,0))),"",INDEX('Policy Characteristics'!D:D,MATCH($C33,'Policy Characteristics'!$C:$C,0)))</f>
        <v>Conventional Pollutant Standard</v>
      </c>
      <c r="K33" s="254" t="str">
        <f>IF(ISBLANK(INDEX('Policy Characteristics'!E:E,MATCH($C33,'Policy Characteristics'!$C:$C,0))),"",INDEX('Policy Characteristics'!E:E,MATCH($C33,'Policy Characteristics'!$C:$C,0)))</f>
        <v>trans reduce regulated pollutants</v>
      </c>
      <c r="L33" s="261">
        <f>IF(ISBLANK(INDEX('Policy Characteristics'!F:F,MATCH($C33,'Policy Characteristics'!$C:$C,0))),"",INDEX('Policy Characteristics'!F:F,MATCH($C33,'Policy Characteristics'!$C:$C,0)))</f>
        <v>0</v>
      </c>
      <c r="M33" s="261">
        <f>IF(ISBLANK(INDEX('Policy Characteristics'!G:G,MATCH($C33,'Policy Characteristics'!$C:$C,0))),"",INDEX('Policy Characteristics'!G:G,MATCH($C33,'Policy Characteristics'!$C:$C,0)))</f>
        <v>1</v>
      </c>
      <c r="N33" s="261">
        <f>IF(ISBLANK(INDEX('Policy Characteristics'!H:H,MATCH($C33,'Policy Characteristics'!$C:$C,0))),"",INDEX('Policy Characteristics'!H:H,MATCH($C33,'Policy Characteristics'!$C:$C,0)))</f>
        <v>0.02</v>
      </c>
      <c r="O33" s="254" t="str">
        <f>IF(ISBLANK(INDEX('Policy Characteristics'!I:I,MATCH($C33,'Policy Characteristics'!$C:$C,0))),"",INDEX('Policy Characteristics'!I:I,MATCH($C33,'Policy Characteristics'!$C:$C,0)))</f>
        <v>% reduction in emissions</v>
      </c>
      <c r="P33" s="254"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4" t="str">
        <f>IF(ISBLANK(INDEX('Policy Characteristics'!K:K,MATCH($C33,'Policy Characteristics'!$C:$C,0))),"",INDEX('Policy Characteristics'!K:K,MATCH($C33,'Policy Characteristics'!$C:$C,0)))</f>
        <v>transportation-sector-main.html#conv-pol-stds</v>
      </c>
      <c r="R33" s="254" t="str">
        <f>IF(ISBLANK(INDEX('Policy Characteristics'!L:L,MATCH($C33,'Policy Characteristics'!$C:$C,0))),"",INDEX('Policy Characteristics'!L:L,MATCH($C33,'Policy Characteristics'!$C:$C,0)))</f>
        <v>conventional-pollutant-standards.html</v>
      </c>
    </row>
    <row r="34" spans="1:18" s="2" customFormat="1" x14ac:dyDescent="0.3">
      <c r="A34" s="254" t="str">
        <f>IF(ISBLANK(INDEX('Policy Characteristics'!A:A,MATCH($C34,'Policy Characteristics'!$C:$C,0))),"",INDEX('Policy Characteristics'!A:A,MATCH($C34,'Policy Characteristics'!$C:$C,0)))</f>
        <v>Transportation</v>
      </c>
      <c r="B34" s="262" t="str">
        <f>IF(ISBLANK(INDEX('Policy Characteristics'!B:B,MATCH($C34,'Policy Characteristics'!$C:$C,0))),"",INDEX('Policy Characteristics'!B:B,MATCH($C34,'Policy Characteristics'!$C:$C,0)))</f>
        <v>Conventional Pollutant Standards</v>
      </c>
      <c r="C34" s="254" t="str">
        <f t="shared" si="2"/>
        <v>Percentage Reduction of Separately Regulated Pollutants</v>
      </c>
      <c r="D34" s="2" t="s">
        <v>40</v>
      </c>
      <c r="E34" s="2" t="s">
        <v>2224</v>
      </c>
      <c r="F34" s="2" t="s">
        <v>3287</v>
      </c>
      <c r="G34" s="2" t="s">
        <v>2224</v>
      </c>
      <c r="H34" s="47">
        <v>332</v>
      </c>
      <c r="I34" s="324" t="s">
        <v>43</v>
      </c>
      <c r="J34" s="255" t="str">
        <f>IF(ISBLANK(INDEX('Policy Characteristics'!D:D,MATCH($C34,'Policy Characteristics'!$C:$C,0))),"",INDEX('Policy Characteristics'!D:D,MATCH($C34,'Policy Characteristics'!$C:$C,0)))</f>
        <v>Conventional Pollutant Standard</v>
      </c>
      <c r="K34" s="254" t="str">
        <f>IF(ISBLANK(INDEX('Policy Characteristics'!E:E,MATCH($C34,'Policy Characteristics'!$C:$C,0))),"",INDEX('Policy Characteristics'!E:E,MATCH($C34,'Policy Characteristics'!$C:$C,0)))</f>
        <v>trans reduce regulated pollutants</v>
      </c>
      <c r="L34" s="261">
        <f>IF(ISBLANK(INDEX('Policy Characteristics'!F:F,MATCH($C34,'Policy Characteristics'!$C:$C,0))),"",INDEX('Policy Characteristics'!F:F,MATCH($C34,'Policy Characteristics'!$C:$C,0)))</f>
        <v>0</v>
      </c>
      <c r="M34" s="261">
        <f>IF(ISBLANK(INDEX('Policy Characteristics'!G:G,MATCH($C34,'Policy Characteristics'!$C:$C,0))),"",INDEX('Policy Characteristics'!G:G,MATCH($C34,'Policy Characteristics'!$C:$C,0)))</f>
        <v>1</v>
      </c>
      <c r="N34" s="261">
        <f>IF(ISBLANK(INDEX('Policy Characteristics'!H:H,MATCH($C34,'Policy Characteristics'!$C:$C,0))),"",INDEX('Policy Characteristics'!H:H,MATCH($C34,'Policy Characteristics'!$C:$C,0)))</f>
        <v>0.02</v>
      </c>
      <c r="O34" s="254" t="str">
        <f>IF(ISBLANK(INDEX('Policy Characteristics'!I:I,MATCH($C34,'Policy Characteristics'!$C:$C,0))),"",INDEX('Policy Characteristics'!I:I,MATCH($C34,'Policy Characteristics'!$C:$C,0)))</f>
        <v>% reduction in emissions</v>
      </c>
      <c r="P34" s="254"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4" t="str">
        <f>IF(ISBLANK(INDEX('Policy Characteristics'!K:K,MATCH($C34,'Policy Characteristics'!$C:$C,0))),"",INDEX('Policy Characteristics'!K:K,MATCH($C34,'Policy Characteristics'!$C:$C,0)))</f>
        <v>transportation-sector-main.html#conv-pol-stds</v>
      </c>
      <c r="R34" s="254" t="str">
        <f>IF(ISBLANK(INDEX('Policy Characteristics'!L:L,MATCH($C34,'Policy Characteristics'!$C:$C,0))),"",INDEX('Policy Characteristics'!L:L,MATCH($C34,'Policy Characteristics'!$C:$C,0)))</f>
        <v>conventional-pollutant-standards.html</v>
      </c>
    </row>
    <row r="35" spans="1:18" s="2" customFormat="1" x14ac:dyDescent="0.3">
      <c r="A35" s="254" t="str">
        <f>IF(ISBLANK(INDEX('Policy Characteristics'!A:A,MATCH($C35,'Policy Characteristics'!$C:$C,0))),"",INDEX('Policy Characteristics'!A:A,MATCH($C35,'Policy Characteristics'!$C:$C,0)))</f>
        <v>Transportation</v>
      </c>
      <c r="B35" s="262" t="str">
        <f>IF(ISBLANK(INDEX('Policy Characteristics'!B:B,MATCH($C35,'Policy Characteristics'!$C:$C,0))),"",INDEX('Policy Characteristics'!B:B,MATCH($C35,'Policy Characteristics'!$C:$C,0)))</f>
        <v>Conventional Pollutant Standards</v>
      </c>
      <c r="C35" s="254" t="str">
        <f t="shared" si="2"/>
        <v>Percentage Reduction of Separately Regulated Pollutants</v>
      </c>
      <c r="D35" s="2" t="s">
        <v>40</v>
      </c>
      <c r="E35" s="2" t="s">
        <v>2226</v>
      </c>
      <c r="F35" s="2" t="s">
        <v>3287</v>
      </c>
      <c r="G35" s="2" t="s">
        <v>2226</v>
      </c>
      <c r="H35" s="47">
        <v>333</v>
      </c>
      <c r="I35" s="324" t="s">
        <v>43</v>
      </c>
      <c r="J35" s="255" t="str">
        <f>IF(ISBLANK(INDEX('Policy Characteristics'!D:D,MATCH($C35,'Policy Characteristics'!$C:$C,0))),"",INDEX('Policy Characteristics'!D:D,MATCH($C35,'Policy Characteristics'!$C:$C,0)))</f>
        <v>Conventional Pollutant Standard</v>
      </c>
      <c r="K35" s="254" t="str">
        <f>IF(ISBLANK(INDEX('Policy Characteristics'!E:E,MATCH($C35,'Policy Characteristics'!$C:$C,0))),"",INDEX('Policy Characteristics'!E:E,MATCH($C35,'Policy Characteristics'!$C:$C,0)))</f>
        <v>trans reduce regulated pollutants</v>
      </c>
      <c r="L35" s="261">
        <f>IF(ISBLANK(INDEX('Policy Characteristics'!F:F,MATCH($C35,'Policy Characteristics'!$C:$C,0))),"",INDEX('Policy Characteristics'!F:F,MATCH($C35,'Policy Characteristics'!$C:$C,0)))</f>
        <v>0</v>
      </c>
      <c r="M35" s="261">
        <f>IF(ISBLANK(INDEX('Policy Characteristics'!G:G,MATCH($C35,'Policy Characteristics'!$C:$C,0))),"",INDEX('Policy Characteristics'!G:G,MATCH($C35,'Policy Characteristics'!$C:$C,0)))</f>
        <v>1</v>
      </c>
      <c r="N35" s="261">
        <f>IF(ISBLANK(INDEX('Policy Characteristics'!H:H,MATCH($C35,'Policy Characteristics'!$C:$C,0))),"",INDEX('Policy Characteristics'!H:H,MATCH($C35,'Policy Characteristics'!$C:$C,0)))</f>
        <v>0.02</v>
      </c>
      <c r="O35" s="254" t="str">
        <f>IF(ISBLANK(INDEX('Policy Characteristics'!I:I,MATCH($C35,'Policy Characteristics'!$C:$C,0))),"",INDEX('Policy Characteristics'!I:I,MATCH($C35,'Policy Characteristics'!$C:$C,0)))</f>
        <v>% reduction in emissions</v>
      </c>
      <c r="P35" s="254"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4" t="str">
        <f>IF(ISBLANK(INDEX('Policy Characteristics'!K:K,MATCH($C35,'Policy Characteristics'!$C:$C,0))),"",INDEX('Policy Characteristics'!K:K,MATCH($C35,'Policy Characteristics'!$C:$C,0)))</f>
        <v>transportation-sector-main.html#conv-pol-stds</v>
      </c>
      <c r="R35" s="254" t="str">
        <f>IF(ISBLANK(INDEX('Policy Characteristics'!L:L,MATCH($C35,'Policy Characteristics'!$C:$C,0))),"",INDEX('Policy Characteristics'!L:L,MATCH($C35,'Policy Characteristics'!$C:$C,0)))</f>
        <v>conventional-pollutant-standards.html</v>
      </c>
    </row>
    <row r="36" spans="1:18" s="2" customFormat="1" x14ac:dyDescent="0.3">
      <c r="A36" s="254" t="str">
        <f>IF(ISBLANK(INDEX('Policy Characteristics'!A:A,MATCH($C36,'Policy Characteristics'!$C:$C,0))),"",INDEX('Policy Characteristics'!A:A,MATCH($C36,'Policy Characteristics'!$C:$C,0)))</f>
        <v>Transportation</v>
      </c>
      <c r="B36" s="262" t="str">
        <f>IF(ISBLANK(INDEX('Policy Characteristics'!B:B,MATCH($C36,'Policy Characteristics'!$C:$C,0))),"",INDEX('Policy Characteristics'!B:B,MATCH($C36,'Policy Characteristics'!$C:$C,0)))</f>
        <v>Conventional Pollutant Standards</v>
      </c>
      <c r="C36" s="254" t="str">
        <f t="shared" si="2"/>
        <v>Percentage Reduction of Separately Regulated Pollutants</v>
      </c>
      <c r="D36" s="2" t="s">
        <v>40</v>
      </c>
      <c r="E36" s="2" t="s">
        <v>2228</v>
      </c>
      <c r="F36" s="2" t="s">
        <v>3287</v>
      </c>
      <c r="G36" s="2" t="s">
        <v>2318</v>
      </c>
      <c r="H36" s="47">
        <v>334</v>
      </c>
      <c r="I36" s="324" t="s">
        <v>43</v>
      </c>
      <c r="J36" s="255" t="str">
        <f>IF(ISBLANK(INDEX('Policy Characteristics'!D:D,MATCH($C36,'Policy Characteristics'!$C:$C,0))),"",INDEX('Policy Characteristics'!D:D,MATCH($C36,'Policy Characteristics'!$C:$C,0)))</f>
        <v>Conventional Pollutant Standard</v>
      </c>
      <c r="K36" s="254" t="str">
        <f>IF(ISBLANK(INDEX('Policy Characteristics'!E:E,MATCH($C36,'Policy Characteristics'!$C:$C,0))),"",INDEX('Policy Characteristics'!E:E,MATCH($C36,'Policy Characteristics'!$C:$C,0)))</f>
        <v>trans reduce regulated pollutants</v>
      </c>
      <c r="L36" s="261">
        <f>IF(ISBLANK(INDEX('Policy Characteristics'!F:F,MATCH($C36,'Policy Characteristics'!$C:$C,0))),"",INDEX('Policy Characteristics'!F:F,MATCH($C36,'Policy Characteristics'!$C:$C,0)))</f>
        <v>0</v>
      </c>
      <c r="M36" s="261">
        <f>IF(ISBLANK(INDEX('Policy Characteristics'!G:G,MATCH($C36,'Policy Characteristics'!$C:$C,0))),"",INDEX('Policy Characteristics'!G:G,MATCH($C36,'Policy Characteristics'!$C:$C,0)))</f>
        <v>1</v>
      </c>
      <c r="N36" s="261">
        <f>IF(ISBLANK(INDEX('Policy Characteristics'!H:H,MATCH($C36,'Policy Characteristics'!$C:$C,0))),"",INDEX('Policy Characteristics'!H:H,MATCH($C36,'Policy Characteristics'!$C:$C,0)))</f>
        <v>0.02</v>
      </c>
      <c r="O36" s="254" t="str">
        <f>IF(ISBLANK(INDEX('Policy Characteristics'!I:I,MATCH($C36,'Policy Characteristics'!$C:$C,0))),"",INDEX('Policy Characteristics'!I:I,MATCH($C36,'Policy Characteristics'!$C:$C,0)))</f>
        <v>% reduction in emissions</v>
      </c>
      <c r="P36" s="254"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4" t="str">
        <f>IF(ISBLANK(INDEX('Policy Characteristics'!K:K,MATCH($C36,'Policy Characteristics'!$C:$C,0))),"",INDEX('Policy Characteristics'!K:K,MATCH($C36,'Policy Characteristics'!$C:$C,0)))</f>
        <v>transportation-sector-main.html#conv-pol-stds</v>
      </c>
      <c r="R36" s="254" t="str">
        <f>IF(ISBLANK(INDEX('Policy Characteristics'!L:L,MATCH($C36,'Policy Characteristics'!$C:$C,0))),"",INDEX('Policy Characteristics'!L:L,MATCH($C36,'Policy Characteristics'!$C:$C,0)))</f>
        <v>conventional-pollutant-standards.html</v>
      </c>
    </row>
    <row r="37" spans="1:18" s="2" customFormat="1" x14ac:dyDescent="0.3">
      <c r="A37" s="254" t="str">
        <f>IF(ISBLANK(INDEX('Policy Characteristics'!A:A,MATCH($C37,'Policy Characteristics'!$C:$C,0))),"",INDEX('Policy Characteristics'!A:A,MATCH($C37,'Policy Characteristics'!$C:$C,0)))</f>
        <v>Transportation</v>
      </c>
      <c r="B37" s="262" t="str">
        <f>IF(ISBLANK(INDEX('Policy Characteristics'!B:B,MATCH($C37,'Policy Characteristics'!$C:$C,0))),"",INDEX('Policy Characteristics'!B:B,MATCH($C37,'Policy Characteristics'!$C:$C,0)))</f>
        <v>Conventional Pollutant Standards</v>
      </c>
      <c r="C37" s="254" t="str">
        <f t="shared" si="2"/>
        <v>Percentage Reduction of Separately Regulated Pollutants</v>
      </c>
      <c r="D37" s="2" t="s">
        <v>40</v>
      </c>
      <c r="E37" s="2" t="s">
        <v>2229</v>
      </c>
      <c r="F37" s="2" t="s">
        <v>3287</v>
      </c>
      <c r="G37" s="2" t="s">
        <v>2229</v>
      </c>
      <c r="H37" s="47">
        <v>335</v>
      </c>
      <c r="I37" s="325" t="s">
        <v>44</v>
      </c>
      <c r="J37" s="255" t="str">
        <f>IF(ISBLANK(INDEX('Policy Characteristics'!D:D,MATCH($C37,'Policy Characteristics'!$C:$C,0))),"",INDEX('Policy Characteristics'!D:D,MATCH($C37,'Policy Characteristics'!$C:$C,0)))</f>
        <v>Conventional Pollutant Standard</v>
      </c>
      <c r="K37" s="254" t="str">
        <f>IF(ISBLANK(INDEX('Policy Characteristics'!E:E,MATCH($C37,'Policy Characteristics'!$C:$C,0))),"",INDEX('Policy Characteristics'!E:E,MATCH($C37,'Policy Characteristics'!$C:$C,0)))</f>
        <v>trans reduce regulated pollutants</v>
      </c>
      <c r="L37" s="261">
        <f>IF(ISBLANK(INDEX('Policy Characteristics'!F:F,MATCH($C37,'Policy Characteristics'!$C:$C,0))),"",INDEX('Policy Characteristics'!F:F,MATCH($C37,'Policy Characteristics'!$C:$C,0)))</f>
        <v>0</v>
      </c>
      <c r="M37" s="261">
        <f>IF(ISBLANK(INDEX('Policy Characteristics'!G:G,MATCH($C37,'Policy Characteristics'!$C:$C,0))),"",INDEX('Policy Characteristics'!G:G,MATCH($C37,'Policy Characteristics'!$C:$C,0)))</f>
        <v>1</v>
      </c>
      <c r="N37" s="261">
        <f>IF(ISBLANK(INDEX('Policy Characteristics'!H:H,MATCH($C37,'Policy Characteristics'!$C:$C,0))),"",INDEX('Policy Characteristics'!H:H,MATCH($C37,'Policy Characteristics'!$C:$C,0)))</f>
        <v>0.02</v>
      </c>
      <c r="O37" s="254" t="str">
        <f>IF(ISBLANK(INDEX('Policy Characteristics'!I:I,MATCH($C37,'Policy Characteristics'!$C:$C,0))),"",INDEX('Policy Characteristics'!I:I,MATCH($C37,'Policy Characteristics'!$C:$C,0)))</f>
        <v>% reduction in emissions</v>
      </c>
      <c r="P37" s="254"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4" t="str">
        <f>IF(ISBLANK(INDEX('Policy Characteristics'!K:K,MATCH($C37,'Policy Characteristics'!$C:$C,0))),"",INDEX('Policy Characteristics'!K:K,MATCH($C37,'Policy Characteristics'!$C:$C,0)))</f>
        <v>transportation-sector-main.html#conv-pol-stds</v>
      </c>
      <c r="R37" s="254" t="str">
        <f>IF(ISBLANK(INDEX('Policy Characteristics'!L:L,MATCH($C37,'Policy Characteristics'!$C:$C,0))),"",INDEX('Policy Characteristics'!L:L,MATCH($C37,'Policy Characteristics'!$C:$C,0)))</f>
        <v>conventional-pollutant-standards.html</v>
      </c>
    </row>
    <row r="38" spans="1:18" s="2" customFormat="1" x14ac:dyDescent="0.3">
      <c r="A38" s="254" t="str">
        <f>IF(ISBLANK(INDEX('Policy Characteristics'!A:A,MATCH($C38,'Policy Characteristics'!$C:$C,0))),"",INDEX('Policy Characteristics'!A:A,MATCH($C38,'Policy Characteristics'!$C:$C,0)))</f>
        <v>Transportation</v>
      </c>
      <c r="B38" s="262" t="str">
        <f>IF(ISBLANK(INDEX('Policy Characteristics'!B:B,MATCH($C38,'Policy Characteristics'!$C:$C,0))),"",INDEX('Policy Characteristics'!B:B,MATCH($C38,'Policy Characteristics'!$C:$C,0)))</f>
        <v>Conventional Pollutant Standards</v>
      </c>
      <c r="C38" s="254" t="str">
        <f t="shared" si="2"/>
        <v>Percentage Reduction of Separately Regulated Pollutants</v>
      </c>
      <c r="D38" s="2" t="s">
        <v>40</v>
      </c>
      <c r="E38" s="2" t="s">
        <v>2231</v>
      </c>
      <c r="F38" s="2" t="s">
        <v>3287</v>
      </c>
      <c r="G38" s="2" t="s">
        <v>2231</v>
      </c>
      <c r="H38" s="47">
        <v>336</v>
      </c>
      <c r="I38" s="324" t="s">
        <v>43</v>
      </c>
      <c r="J38" s="255" t="str">
        <f>IF(ISBLANK(INDEX('Policy Characteristics'!D:D,MATCH($C38,'Policy Characteristics'!$C:$C,0))),"",INDEX('Policy Characteristics'!D:D,MATCH($C38,'Policy Characteristics'!$C:$C,0)))</f>
        <v>Conventional Pollutant Standard</v>
      </c>
      <c r="K38" s="254" t="str">
        <f>IF(ISBLANK(INDEX('Policy Characteristics'!E:E,MATCH($C38,'Policy Characteristics'!$C:$C,0))),"",INDEX('Policy Characteristics'!E:E,MATCH($C38,'Policy Characteristics'!$C:$C,0)))</f>
        <v>trans reduce regulated pollutants</v>
      </c>
      <c r="L38" s="261">
        <f>IF(ISBLANK(INDEX('Policy Characteristics'!F:F,MATCH($C38,'Policy Characteristics'!$C:$C,0))),"",INDEX('Policy Characteristics'!F:F,MATCH($C38,'Policy Characteristics'!$C:$C,0)))</f>
        <v>0</v>
      </c>
      <c r="M38" s="261">
        <f>IF(ISBLANK(INDEX('Policy Characteristics'!G:G,MATCH($C38,'Policy Characteristics'!$C:$C,0))),"",INDEX('Policy Characteristics'!G:G,MATCH($C38,'Policy Characteristics'!$C:$C,0)))</f>
        <v>1</v>
      </c>
      <c r="N38" s="261">
        <f>IF(ISBLANK(INDEX('Policy Characteristics'!H:H,MATCH($C38,'Policy Characteristics'!$C:$C,0))),"",INDEX('Policy Characteristics'!H:H,MATCH($C38,'Policy Characteristics'!$C:$C,0)))</f>
        <v>0.02</v>
      </c>
      <c r="O38" s="254" t="str">
        <f>IF(ISBLANK(INDEX('Policy Characteristics'!I:I,MATCH($C38,'Policy Characteristics'!$C:$C,0))),"",INDEX('Policy Characteristics'!I:I,MATCH($C38,'Policy Characteristics'!$C:$C,0)))</f>
        <v>% reduction in emissions</v>
      </c>
      <c r="P38" s="254"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4" t="str">
        <f>IF(ISBLANK(INDEX('Policy Characteristics'!K:K,MATCH($C38,'Policy Characteristics'!$C:$C,0))),"",INDEX('Policy Characteristics'!K:K,MATCH($C38,'Policy Characteristics'!$C:$C,0)))</f>
        <v>transportation-sector-main.html#conv-pol-stds</v>
      </c>
      <c r="R38" s="254" t="str">
        <f>IF(ISBLANK(INDEX('Policy Characteristics'!L:L,MATCH($C38,'Policy Characteristics'!$C:$C,0))),"",INDEX('Policy Characteristics'!L:L,MATCH($C38,'Policy Characteristics'!$C:$C,0)))</f>
        <v>conventional-pollutant-standards.html</v>
      </c>
    </row>
    <row r="39" spans="1:18" s="2" customFormat="1" x14ac:dyDescent="0.3">
      <c r="A39" s="254" t="str">
        <f>IF(ISBLANK(INDEX('Policy Characteristics'!A:A,MATCH($C39,'Policy Characteristics'!$C:$C,0))),"",INDEX('Policy Characteristics'!A:A,MATCH($C39,'Policy Characteristics'!$C:$C,0)))</f>
        <v>Transportation</v>
      </c>
      <c r="B39" s="262" t="str">
        <f>IF(ISBLANK(INDEX('Policy Characteristics'!B:B,MATCH($C39,'Policy Characteristics'!$C:$C,0))),"",INDEX('Policy Characteristics'!B:B,MATCH($C39,'Policy Characteristics'!$C:$C,0)))</f>
        <v>Conventional Pollutant Standards</v>
      </c>
      <c r="C39" s="254" t="str">
        <f t="shared" si="2"/>
        <v>Percentage Reduction of Separately Regulated Pollutants</v>
      </c>
      <c r="D39" s="2" t="s">
        <v>40</v>
      </c>
      <c r="E39" s="2" t="s">
        <v>2233</v>
      </c>
      <c r="F39" s="2" t="s">
        <v>3287</v>
      </c>
      <c r="G39" s="2" t="s">
        <v>2233</v>
      </c>
      <c r="H39" s="47">
        <v>337</v>
      </c>
      <c r="I39" s="324" t="s">
        <v>43</v>
      </c>
      <c r="J39" s="255" t="str">
        <f>IF(ISBLANK(INDEX('Policy Characteristics'!D:D,MATCH($C39,'Policy Characteristics'!$C:$C,0))),"",INDEX('Policy Characteristics'!D:D,MATCH($C39,'Policy Characteristics'!$C:$C,0)))</f>
        <v>Conventional Pollutant Standard</v>
      </c>
      <c r="K39" s="254" t="str">
        <f>IF(ISBLANK(INDEX('Policy Characteristics'!E:E,MATCH($C39,'Policy Characteristics'!$C:$C,0))),"",INDEX('Policy Characteristics'!E:E,MATCH($C39,'Policy Characteristics'!$C:$C,0)))</f>
        <v>trans reduce regulated pollutants</v>
      </c>
      <c r="L39" s="261">
        <f>IF(ISBLANK(INDEX('Policy Characteristics'!F:F,MATCH($C39,'Policy Characteristics'!$C:$C,0))),"",INDEX('Policy Characteristics'!F:F,MATCH($C39,'Policy Characteristics'!$C:$C,0)))</f>
        <v>0</v>
      </c>
      <c r="M39" s="261">
        <f>IF(ISBLANK(INDEX('Policy Characteristics'!G:G,MATCH($C39,'Policy Characteristics'!$C:$C,0))),"",INDEX('Policy Characteristics'!G:G,MATCH($C39,'Policy Characteristics'!$C:$C,0)))</f>
        <v>1</v>
      </c>
      <c r="N39" s="261">
        <f>IF(ISBLANK(INDEX('Policy Characteristics'!H:H,MATCH($C39,'Policy Characteristics'!$C:$C,0))),"",INDEX('Policy Characteristics'!H:H,MATCH($C39,'Policy Characteristics'!$C:$C,0)))</f>
        <v>0.02</v>
      </c>
      <c r="O39" s="254" t="str">
        <f>IF(ISBLANK(INDEX('Policy Characteristics'!I:I,MATCH($C39,'Policy Characteristics'!$C:$C,0))),"",INDEX('Policy Characteristics'!I:I,MATCH($C39,'Policy Characteristics'!$C:$C,0)))</f>
        <v>% reduction in emissions</v>
      </c>
      <c r="P39" s="254"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4" t="str">
        <f>IF(ISBLANK(INDEX('Policy Characteristics'!K:K,MATCH($C39,'Policy Characteristics'!$C:$C,0))),"",INDEX('Policy Characteristics'!K:K,MATCH($C39,'Policy Characteristics'!$C:$C,0)))</f>
        <v>transportation-sector-main.html#conv-pol-stds</v>
      </c>
      <c r="R39" s="254" t="str">
        <f>IF(ISBLANK(INDEX('Policy Characteristics'!L:L,MATCH($C39,'Policy Characteristics'!$C:$C,0))),"",INDEX('Policy Characteristics'!L:L,MATCH($C39,'Policy Characteristics'!$C:$C,0)))</f>
        <v>conventional-pollutant-standards.html</v>
      </c>
    </row>
    <row r="40" spans="1:18" s="2" customFormat="1" x14ac:dyDescent="0.3">
      <c r="A40" s="254" t="str">
        <f>IF(ISBLANK(INDEX('Policy Characteristics'!A:A,MATCH($C40,'Policy Characteristics'!$C:$C,0))),"",INDEX('Policy Characteristics'!A:A,MATCH($C40,'Policy Characteristics'!$C:$C,0)))</f>
        <v>Transportation</v>
      </c>
      <c r="B40" s="262" t="str">
        <f>IF(ISBLANK(INDEX('Policy Characteristics'!B:B,MATCH($C40,'Policy Characteristics'!$C:$C,0))),"",INDEX('Policy Characteristics'!B:B,MATCH($C40,'Policy Characteristics'!$C:$C,0)))</f>
        <v>Conventional Pollutant Standards</v>
      </c>
      <c r="C40" s="254" t="str">
        <f t="shared" si="2"/>
        <v>Percentage Reduction of Separately Regulated Pollutants</v>
      </c>
      <c r="D40" s="2" t="s">
        <v>40</v>
      </c>
      <c r="E40" s="2" t="s">
        <v>2235</v>
      </c>
      <c r="F40" s="2" t="s">
        <v>3287</v>
      </c>
      <c r="G40" s="2" t="s">
        <v>2235</v>
      </c>
      <c r="H40" s="47">
        <v>338</v>
      </c>
      <c r="I40" s="325" t="s">
        <v>44</v>
      </c>
      <c r="J40" s="255" t="str">
        <f>IF(ISBLANK(INDEX('Policy Characteristics'!D:D,MATCH($C40,'Policy Characteristics'!$C:$C,0))),"",INDEX('Policy Characteristics'!D:D,MATCH($C40,'Policy Characteristics'!$C:$C,0)))</f>
        <v>Conventional Pollutant Standard</v>
      </c>
      <c r="K40" s="254" t="str">
        <f>IF(ISBLANK(INDEX('Policy Characteristics'!E:E,MATCH($C40,'Policy Characteristics'!$C:$C,0))),"",INDEX('Policy Characteristics'!E:E,MATCH($C40,'Policy Characteristics'!$C:$C,0)))</f>
        <v>trans reduce regulated pollutants</v>
      </c>
      <c r="L40" s="261">
        <f>IF(ISBLANK(INDEX('Policy Characteristics'!F:F,MATCH($C40,'Policy Characteristics'!$C:$C,0))),"",INDEX('Policy Characteristics'!F:F,MATCH($C40,'Policy Characteristics'!$C:$C,0)))</f>
        <v>0</v>
      </c>
      <c r="M40" s="261">
        <f>IF(ISBLANK(INDEX('Policy Characteristics'!G:G,MATCH($C40,'Policy Characteristics'!$C:$C,0))),"",INDEX('Policy Characteristics'!G:G,MATCH($C40,'Policy Characteristics'!$C:$C,0)))</f>
        <v>1</v>
      </c>
      <c r="N40" s="261">
        <f>IF(ISBLANK(INDEX('Policy Characteristics'!H:H,MATCH($C40,'Policy Characteristics'!$C:$C,0))),"",INDEX('Policy Characteristics'!H:H,MATCH($C40,'Policy Characteristics'!$C:$C,0)))</f>
        <v>0.02</v>
      </c>
      <c r="O40" s="254" t="str">
        <f>IF(ISBLANK(INDEX('Policy Characteristics'!I:I,MATCH($C40,'Policy Characteristics'!$C:$C,0))),"",INDEX('Policy Characteristics'!I:I,MATCH($C40,'Policy Characteristics'!$C:$C,0)))</f>
        <v>% reduction in emissions</v>
      </c>
      <c r="P40" s="254"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4" t="str">
        <f>IF(ISBLANK(INDEX('Policy Characteristics'!K:K,MATCH($C40,'Policy Characteristics'!$C:$C,0))),"",INDEX('Policy Characteristics'!K:K,MATCH($C40,'Policy Characteristics'!$C:$C,0)))</f>
        <v>transportation-sector-main.html#conv-pol-stds</v>
      </c>
      <c r="R40" s="254" t="str">
        <f>IF(ISBLANK(INDEX('Policy Characteristics'!L:L,MATCH($C40,'Policy Characteristics'!$C:$C,0))),"",INDEX('Policy Characteristics'!L:L,MATCH($C40,'Policy Characteristics'!$C:$C,0)))</f>
        <v>conventional-pollutant-standards.html</v>
      </c>
    </row>
    <row r="41" spans="1:18" s="2" customFormat="1" x14ac:dyDescent="0.3">
      <c r="A41" s="254" t="str">
        <f>IF(ISBLANK(INDEX('Policy Characteristics'!A:A,MATCH($C41,'Policy Characteristics'!$C:$C,0))),"",INDEX('Policy Characteristics'!A:A,MATCH($C41,'Policy Characteristics'!$C:$C,0)))</f>
        <v>Transportation</v>
      </c>
      <c r="B41" s="262" t="str">
        <f>IF(ISBLANK(INDEX('Policy Characteristics'!B:B,MATCH($C41,'Policy Characteristics'!$C:$C,0))),"",INDEX('Policy Characteristics'!B:B,MATCH($C41,'Policy Characteristics'!$C:$C,0)))</f>
        <v>Conventional Pollutant Standards</v>
      </c>
      <c r="C41" s="254" t="str">
        <f t="shared" si="2"/>
        <v>Percentage Reduction of Separately Regulated Pollutants</v>
      </c>
      <c r="D41" s="2" t="s">
        <v>40</v>
      </c>
      <c r="E41" s="2" t="s">
        <v>2237</v>
      </c>
      <c r="F41" s="2" t="s">
        <v>3287</v>
      </c>
      <c r="G41" s="2" t="s">
        <v>2237</v>
      </c>
      <c r="H41" s="47">
        <v>339</v>
      </c>
      <c r="I41" s="325" t="s">
        <v>44</v>
      </c>
      <c r="J41" s="255" t="str">
        <f>IF(ISBLANK(INDEX('Policy Characteristics'!D:D,MATCH($C41,'Policy Characteristics'!$C:$C,0))),"",INDEX('Policy Characteristics'!D:D,MATCH($C41,'Policy Characteristics'!$C:$C,0)))</f>
        <v>Conventional Pollutant Standard</v>
      </c>
      <c r="K41" s="254" t="str">
        <f>IF(ISBLANK(INDEX('Policy Characteristics'!E:E,MATCH($C41,'Policy Characteristics'!$C:$C,0))),"",INDEX('Policy Characteristics'!E:E,MATCH($C41,'Policy Characteristics'!$C:$C,0)))</f>
        <v>trans reduce regulated pollutants</v>
      </c>
      <c r="L41" s="261">
        <f>IF(ISBLANK(INDEX('Policy Characteristics'!F:F,MATCH($C41,'Policy Characteristics'!$C:$C,0))),"",INDEX('Policy Characteristics'!F:F,MATCH($C41,'Policy Characteristics'!$C:$C,0)))</f>
        <v>0</v>
      </c>
      <c r="M41" s="261">
        <f>IF(ISBLANK(INDEX('Policy Characteristics'!G:G,MATCH($C41,'Policy Characteristics'!$C:$C,0))),"",INDEX('Policy Characteristics'!G:G,MATCH($C41,'Policy Characteristics'!$C:$C,0)))</f>
        <v>1</v>
      </c>
      <c r="N41" s="261">
        <f>IF(ISBLANK(INDEX('Policy Characteristics'!H:H,MATCH($C41,'Policy Characteristics'!$C:$C,0))),"",INDEX('Policy Characteristics'!H:H,MATCH($C41,'Policy Characteristics'!$C:$C,0)))</f>
        <v>0.02</v>
      </c>
      <c r="O41" s="254" t="str">
        <f>IF(ISBLANK(INDEX('Policy Characteristics'!I:I,MATCH($C41,'Policy Characteristics'!$C:$C,0))),"",INDEX('Policy Characteristics'!I:I,MATCH($C41,'Policy Characteristics'!$C:$C,0)))</f>
        <v>% reduction in emissions</v>
      </c>
      <c r="P41" s="254"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4" t="str">
        <f>IF(ISBLANK(INDEX('Policy Characteristics'!K:K,MATCH($C41,'Policy Characteristics'!$C:$C,0))),"",INDEX('Policy Characteristics'!K:K,MATCH($C41,'Policy Characteristics'!$C:$C,0)))</f>
        <v>transportation-sector-main.html#conv-pol-stds</v>
      </c>
      <c r="R41" s="254" t="str">
        <f>IF(ISBLANK(INDEX('Policy Characteristics'!L:L,MATCH($C41,'Policy Characteristics'!$C:$C,0))),"",INDEX('Policy Characteristics'!L:L,MATCH($C41,'Policy Characteristics'!$C:$C,0)))</f>
        <v>conventional-pollutant-standards.html</v>
      </c>
    </row>
    <row r="42" spans="1:18" s="2" customFormat="1" x14ac:dyDescent="0.3">
      <c r="A42" s="254" t="str">
        <f>IF(ISBLANK(INDEX('Policy Characteristics'!A:A,MATCH($C42,'Policy Characteristics'!$C:$C,0))),"",INDEX('Policy Characteristics'!A:A,MATCH($C42,'Policy Characteristics'!$C:$C,0)))</f>
        <v>Transportation</v>
      </c>
      <c r="B42" s="262" t="str">
        <f>IF(ISBLANK(INDEX('Policy Characteristics'!B:B,MATCH($C42,'Policy Characteristics'!$C:$C,0))),"",INDEX('Policy Characteristics'!B:B,MATCH($C42,'Policy Characteristics'!$C:$C,0)))</f>
        <v>Conventional Pollutant Standards</v>
      </c>
      <c r="C42" s="254" t="str">
        <f t="shared" si="2"/>
        <v>Percentage Reduction of Separately Regulated Pollutants</v>
      </c>
      <c r="D42" s="2" t="s">
        <v>41</v>
      </c>
      <c r="E42" s="2" t="s">
        <v>2221</v>
      </c>
      <c r="F42" s="2" t="s">
        <v>3288</v>
      </c>
      <c r="G42" s="2" t="s">
        <v>2426</v>
      </c>
      <c r="H42" s="47">
        <v>340</v>
      </c>
      <c r="I42" s="324" t="s">
        <v>43</v>
      </c>
      <c r="J42" s="255" t="str">
        <f>IF(ISBLANK(INDEX('Policy Characteristics'!D:D,MATCH($C42,'Policy Characteristics'!$C:$C,0))),"",INDEX('Policy Characteristics'!D:D,MATCH($C42,'Policy Characteristics'!$C:$C,0)))</f>
        <v>Conventional Pollutant Standard</v>
      </c>
      <c r="K42" s="254" t="str">
        <f>IF(ISBLANK(INDEX('Policy Characteristics'!E:E,MATCH($C42,'Policy Characteristics'!$C:$C,0))),"",INDEX('Policy Characteristics'!E:E,MATCH($C42,'Policy Characteristics'!$C:$C,0)))</f>
        <v>trans reduce regulated pollutants</v>
      </c>
      <c r="L42" s="261">
        <f>IF(ISBLANK(INDEX('Policy Characteristics'!F:F,MATCH($C42,'Policy Characteristics'!$C:$C,0))),"",INDEX('Policy Characteristics'!F:F,MATCH($C42,'Policy Characteristics'!$C:$C,0)))</f>
        <v>0</v>
      </c>
      <c r="M42" s="261">
        <f>IF(ISBLANK(INDEX('Policy Characteristics'!G:G,MATCH($C42,'Policy Characteristics'!$C:$C,0))),"",INDEX('Policy Characteristics'!G:G,MATCH($C42,'Policy Characteristics'!$C:$C,0)))</f>
        <v>1</v>
      </c>
      <c r="N42" s="261">
        <f>IF(ISBLANK(INDEX('Policy Characteristics'!H:H,MATCH($C42,'Policy Characteristics'!$C:$C,0))),"",INDEX('Policy Characteristics'!H:H,MATCH($C42,'Policy Characteristics'!$C:$C,0)))</f>
        <v>0.02</v>
      </c>
      <c r="O42" s="254" t="str">
        <f>IF(ISBLANK(INDEX('Policy Characteristics'!I:I,MATCH($C42,'Policy Characteristics'!$C:$C,0))),"",INDEX('Policy Characteristics'!I:I,MATCH($C42,'Policy Characteristics'!$C:$C,0)))</f>
        <v>% reduction in emissions</v>
      </c>
      <c r="P42" s="254"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4" t="str">
        <f>IF(ISBLANK(INDEX('Policy Characteristics'!K:K,MATCH($C42,'Policy Characteristics'!$C:$C,0))),"",INDEX('Policy Characteristics'!K:K,MATCH($C42,'Policy Characteristics'!$C:$C,0)))</f>
        <v>transportation-sector-main.html#conv-pol-stds</v>
      </c>
      <c r="R42" s="254" t="str">
        <f>IF(ISBLANK(INDEX('Policy Characteristics'!L:L,MATCH($C42,'Policy Characteristics'!$C:$C,0))),"",INDEX('Policy Characteristics'!L:L,MATCH($C42,'Policy Characteristics'!$C:$C,0)))</f>
        <v>conventional-pollutant-standards.html</v>
      </c>
    </row>
    <row r="43" spans="1:18" s="2" customFormat="1" x14ac:dyDescent="0.3">
      <c r="A43" s="254" t="str">
        <f>IF(ISBLANK(INDEX('Policy Characteristics'!A:A,MATCH($C43,'Policy Characteristics'!$C:$C,0))),"",INDEX('Policy Characteristics'!A:A,MATCH($C43,'Policy Characteristics'!$C:$C,0)))</f>
        <v>Transportation</v>
      </c>
      <c r="B43" s="262" t="str">
        <f>IF(ISBLANK(INDEX('Policy Characteristics'!B:B,MATCH($C43,'Policy Characteristics'!$C:$C,0))),"",INDEX('Policy Characteristics'!B:B,MATCH($C43,'Policy Characteristics'!$C:$C,0)))</f>
        <v>Conventional Pollutant Standards</v>
      </c>
      <c r="C43" s="254" t="str">
        <f t="shared" si="2"/>
        <v>Percentage Reduction of Separately Regulated Pollutants</v>
      </c>
      <c r="D43" s="2" t="s">
        <v>41</v>
      </c>
      <c r="E43" s="2" t="s">
        <v>484</v>
      </c>
      <c r="F43" s="2" t="s">
        <v>3288</v>
      </c>
      <c r="G43" s="2" t="s">
        <v>484</v>
      </c>
      <c r="H43" s="47">
        <v>341</v>
      </c>
      <c r="I43" s="324" t="s">
        <v>43</v>
      </c>
      <c r="J43" s="255" t="str">
        <f>IF(ISBLANK(INDEX('Policy Characteristics'!D:D,MATCH($C43,'Policy Characteristics'!$C:$C,0))),"",INDEX('Policy Characteristics'!D:D,MATCH($C43,'Policy Characteristics'!$C:$C,0)))</f>
        <v>Conventional Pollutant Standard</v>
      </c>
      <c r="K43" s="254" t="str">
        <f>IF(ISBLANK(INDEX('Policy Characteristics'!E:E,MATCH($C43,'Policy Characteristics'!$C:$C,0))),"",INDEX('Policy Characteristics'!E:E,MATCH($C43,'Policy Characteristics'!$C:$C,0)))</f>
        <v>trans reduce regulated pollutants</v>
      </c>
      <c r="L43" s="261">
        <f>IF(ISBLANK(INDEX('Policy Characteristics'!F:F,MATCH($C43,'Policy Characteristics'!$C:$C,0))),"",INDEX('Policy Characteristics'!F:F,MATCH($C43,'Policy Characteristics'!$C:$C,0)))</f>
        <v>0</v>
      </c>
      <c r="M43" s="261">
        <f>IF(ISBLANK(INDEX('Policy Characteristics'!G:G,MATCH($C43,'Policy Characteristics'!$C:$C,0))),"",INDEX('Policy Characteristics'!G:G,MATCH($C43,'Policy Characteristics'!$C:$C,0)))</f>
        <v>1</v>
      </c>
      <c r="N43" s="261">
        <f>IF(ISBLANK(INDEX('Policy Characteristics'!H:H,MATCH($C43,'Policy Characteristics'!$C:$C,0))),"",INDEX('Policy Characteristics'!H:H,MATCH($C43,'Policy Characteristics'!$C:$C,0)))</f>
        <v>0.02</v>
      </c>
      <c r="O43" s="254" t="str">
        <f>IF(ISBLANK(INDEX('Policy Characteristics'!I:I,MATCH($C43,'Policy Characteristics'!$C:$C,0))),"",INDEX('Policy Characteristics'!I:I,MATCH($C43,'Policy Characteristics'!$C:$C,0)))</f>
        <v>% reduction in emissions</v>
      </c>
      <c r="P43" s="254"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4" t="str">
        <f>IF(ISBLANK(INDEX('Policy Characteristics'!K:K,MATCH($C43,'Policy Characteristics'!$C:$C,0))),"",INDEX('Policy Characteristics'!K:K,MATCH($C43,'Policy Characteristics'!$C:$C,0)))</f>
        <v>transportation-sector-main.html#conv-pol-stds</v>
      </c>
      <c r="R43" s="254" t="str">
        <f>IF(ISBLANK(INDEX('Policy Characteristics'!L:L,MATCH($C43,'Policy Characteristics'!$C:$C,0))),"",INDEX('Policy Characteristics'!L:L,MATCH($C43,'Policy Characteristics'!$C:$C,0)))</f>
        <v>conventional-pollutant-standards.html</v>
      </c>
    </row>
    <row r="44" spans="1:18" s="2" customFormat="1" x14ac:dyDescent="0.3">
      <c r="A44" s="254" t="str">
        <f>IF(ISBLANK(INDEX('Policy Characteristics'!A:A,MATCH($C44,'Policy Characteristics'!$C:$C,0))),"",INDEX('Policy Characteristics'!A:A,MATCH($C44,'Policy Characteristics'!$C:$C,0)))</f>
        <v>Transportation</v>
      </c>
      <c r="B44" s="262" t="str">
        <f>IF(ISBLANK(INDEX('Policy Characteristics'!B:B,MATCH($C44,'Policy Characteristics'!$C:$C,0))),"",INDEX('Policy Characteristics'!B:B,MATCH($C44,'Policy Characteristics'!$C:$C,0)))</f>
        <v>Conventional Pollutant Standards</v>
      </c>
      <c r="C44" s="254" t="str">
        <f t="shared" si="2"/>
        <v>Percentage Reduction of Separately Regulated Pollutants</v>
      </c>
      <c r="D44" s="2" t="s">
        <v>41</v>
      </c>
      <c r="E44" s="2" t="s">
        <v>2224</v>
      </c>
      <c r="F44" s="2" t="s">
        <v>3288</v>
      </c>
      <c r="G44" s="2" t="s">
        <v>2224</v>
      </c>
      <c r="H44" s="47">
        <v>342</v>
      </c>
      <c r="I44" s="324" t="s">
        <v>43</v>
      </c>
      <c r="J44" s="255" t="str">
        <f>IF(ISBLANK(INDEX('Policy Characteristics'!D:D,MATCH($C44,'Policy Characteristics'!$C:$C,0))),"",INDEX('Policy Characteristics'!D:D,MATCH($C44,'Policy Characteristics'!$C:$C,0)))</f>
        <v>Conventional Pollutant Standard</v>
      </c>
      <c r="K44" s="254" t="str">
        <f>IF(ISBLANK(INDEX('Policy Characteristics'!E:E,MATCH($C44,'Policy Characteristics'!$C:$C,0))),"",INDEX('Policy Characteristics'!E:E,MATCH($C44,'Policy Characteristics'!$C:$C,0)))</f>
        <v>trans reduce regulated pollutants</v>
      </c>
      <c r="L44" s="261">
        <f>IF(ISBLANK(INDEX('Policy Characteristics'!F:F,MATCH($C44,'Policy Characteristics'!$C:$C,0))),"",INDEX('Policy Characteristics'!F:F,MATCH($C44,'Policy Characteristics'!$C:$C,0)))</f>
        <v>0</v>
      </c>
      <c r="M44" s="261">
        <f>IF(ISBLANK(INDEX('Policy Characteristics'!G:G,MATCH($C44,'Policy Characteristics'!$C:$C,0))),"",INDEX('Policy Characteristics'!G:G,MATCH($C44,'Policy Characteristics'!$C:$C,0)))</f>
        <v>1</v>
      </c>
      <c r="N44" s="261">
        <f>IF(ISBLANK(INDEX('Policy Characteristics'!H:H,MATCH($C44,'Policy Characteristics'!$C:$C,0))),"",INDEX('Policy Characteristics'!H:H,MATCH($C44,'Policy Characteristics'!$C:$C,0)))</f>
        <v>0.02</v>
      </c>
      <c r="O44" s="254" t="str">
        <f>IF(ISBLANK(INDEX('Policy Characteristics'!I:I,MATCH($C44,'Policy Characteristics'!$C:$C,0))),"",INDEX('Policy Characteristics'!I:I,MATCH($C44,'Policy Characteristics'!$C:$C,0)))</f>
        <v>% reduction in emissions</v>
      </c>
      <c r="P44" s="254"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4" t="str">
        <f>IF(ISBLANK(INDEX('Policy Characteristics'!K:K,MATCH($C44,'Policy Characteristics'!$C:$C,0))),"",INDEX('Policy Characteristics'!K:K,MATCH($C44,'Policy Characteristics'!$C:$C,0)))</f>
        <v>transportation-sector-main.html#conv-pol-stds</v>
      </c>
      <c r="R44" s="254" t="str">
        <f>IF(ISBLANK(INDEX('Policy Characteristics'!L:L,MATCH($C44,'Policy Characteristics'!$C:$C,0))),"",INDEX('Policy Characteristics'!L:L,MATCH($C44,'Policy Characteristics'!$C:$C,0)))</f>
        <v>conventional-pollutant-standards.html</v>
      </c>
    </row>
    <row r="45" spans="1:18" s="2" customFormat="1" x14ac:dyDescent="0.3">
      <c r="A45" s="254" t="str">
        <f>IF(ISBLANK(INDEX('Policy Characteristics'!A:A,MATCH($C45,'Policy Characteristics'!$C:$C,0))),"",INDEX('Policy Characteristics'!A:A,MATCH($C45,'Policy Characteristics'!$C:$C,0)))</f>
        <v>Transportation</v>
      </c>
      <c r="B45" s="262" t="str">
        <f>IF(ISBLANK(INDEX('Policy Characteristics'!B:B,MATCH($C45,'Policy Characteristics'!$C:$C,0))),"",INDEX('Policy Characteristics'!B:B,MATCH($C45,'Policy Characteristics'!$C:$C,0)))</f>
        <v>Conventional Pollutant Standards</v>
      </c>
      <c r="C45" s="254" t="str">
        <f t="shared" si="2"/>
        <v>Percentage Reduction of Separately Regulated Pollutants</v>
      </c>
      <c r="D45" s="2" t="s">
        <v>41</v>
      </c>
      <c r="E45" s="2" t="s">
        <v>2226</v>
      </c>
      <c r="F45" s="2" t="s">
        <v>3288</v>
      </c>
      <c r="G45" s="2" t="s">
        <v>2226</v>
      </c>
      <c r="H45" s="47">
        <v>343</v>
      </c>
      <c r="I45" s="324" t="s">
        <v>43</v>
      </c>
      <c r="J45" s="255" t="str">
        <f>IF(ISBLANK(INDEX('Policy Characteristics'!D:D,MATCH($C45,'Policy Characteristics'!$C:$C,0))),"",INDEX('Policy Characteristics'!D:D,MATCH($C45,'Policy Characteristics'!$C:$C,0)))</f>
        <v>Conventional Pollutant Standard</v>
      </c>
      <c r="K45" s="254" t="str">
        <f>IF(ISBLANK(INDEX('Policy Characteristics'!E:E,MATCH($C45,'Policy Characteristics'!$C:$C,0))),"",INDEX('Policy Characteristics'!E:E,MATCH($C45,'Policy Characteristics'!$C:$C,0)))</f>
        <v>trans reduce regulated pollutants</v>
      </c>
      <c r="L45" s="261">
        <f>IF(ISBLANK(INDEX('Policy Characteristics'!F:F,MATCH($C45,'Policy Characteristics'!$C:$C,0))),"",INDEX('Policy Characteristics'!F:F,MATCH($C45,'Policy Characteristics'!$C:$C,0)))</f>
        <v>0</v>
      </c>
      <c r="M45" s="261">
        <f>IF(ISBLANK(INDEX('Policy Characteristics'!G:G,MATCH($C45,'Policy Characteristics'!$C:$C,0))),"",INDEX('Policy Characteristics'!G:G,MATCH($C45,'Policy Characteristics'!$C:$C,0)))</f>
        <v>1</v>
      </c>
      <c r="N45" s="261">
        <f>IF(ISBLANK(INDEX('Policy Characteristics'!H:H,MATCH($C45,'Policy Characteristics'!$C:$C,0))),"",INDEX('Policy Characteristics'!H:H,MATCH($C45,'Policy Characteristics'!$C:$C,0)))</f>
        <v>0.02</v>
      </c>
      <c r="O45" s="254" t="str">
        <f>IF(ISBLANK(INDEX('Policy Characteristics'!I:I,MATCH($C45,'Policy Characteristics'!$C:$C,0))),"",INDEX('Policy Characteristics'!I:I,MATCH($C45,'Policy Characteristics'!$C:$C,0)))</f>
        <v>% reduction in emissions</v>
      </c>
      <c r="P45" s="254"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4" t="str">
        <f>IF(ISBLANK(INDEX('Policy Characteristics'!K:K,MATCH($C45,'Policy Characteristics'!$C:$C,0))),"",INDEX('Policy Characteristics'!K:K,MATCH($C45,'Policy Characteristics'!$C:$C,0)))</f>
        <v>transportation-sector-main.html#conv-pol-stds</v>
      </c>
      <c r="R45" s="254" t="str">
        <f>IF(ISBLANK(INDEX('Policy Characteristics'!L:L,MATCH($C45,'Policy Characteristics'!$C:$C,0))),"",INDEX('Policy Characteristics'!L:L,MATCH($C45,'Policy Characteristics'!$C:$C,0)))</f>
        <v>conventional-pollutant-standards.html</v>
      </c>
    </row>
    <row r="46" spans="1:18" s="2" customFormat="1" x14ac:dyDescent="0.3">
      <c r="A46" s="254" t="str">
        <f>IF(ISBLANK(INDEX('Policy Characteristics'!A:A,MATCH($C46,'Policy Characteristics'!$C:$C,0))),"",INDEX('Policy Characteristics'!A:A,MATCH($C46,'Policy Characteristics'!$C:$C,0)))</f>
        <v>Transportation</v>
      </c>
      <c r="B46" s="262" t="str">
        <f>IF(ISBLANK(INDEX('Policy Characteristics'!B:B,MATCH($C46,'Policy Characteristics'!$C:$C,0))),"",INDEX('Policy Characteristics'!B:B,MATCH($C46,'Policy Characteristics'!$C:$C,0)))</f>
        <v>Conventional Pollutant Standards</v>
      </c>
      <c r="C46" s="254" t="str">
        <f t="shared" si="2"/>
        <v>Percentage Reduction of Separately Regulated Pollutants</v>
      </c>
      <c r="D46" s="2" t="s">
        <v>41</v>
      </c>
      <c r="E46" s="2" t="s">
        <v>2228</v>
      </c>
      <c r="F46" s="2" t="s">
        <v>3288</v>
      </c>
      <c r="G46" s="2" t="s">
        <v>2318</v>
      </c>
      <c r="H46" s="47">
        <v>344</v>
      </c>
      <c r="I46" s="324" t="s">
        <v>43</v>
      </c>
      <c r="J46" s="255" t="str">
        <f>IF(ISBLANK(INDEX('Policy Characteristics'!D:D,MATCH($C46,'Policy Characteristics'!$C:$C,0))),"",INDEX('Policy Characteristics'!D:D,MATCH($C46,'Policy Characteristics'!$C:$C,0)))</f>
        <v>Conventional Pollutant Standard</v>
      </c>
      <c r="K46" s="254" t="str">
        <f>IF(ISBLANK(INDEX('Policy Characteristics'!E:E,MATCH($C46,'Policy Characteristics'!$C:$C,0))),"",INDEX('Policy Characteristics'!E:E,MATCH($C46,'Policy Characteristics'!$C:$C,0)))</f>
        <v>trans reduce regulated pollutants</v>
      </c>
      <c r="L46" s="261">
        <f>IF(ISBLANK(INDEX('Policy Characteristics'!F:F,MATCH($C46,'Policy Characteristics'!$C:$C,0))),"",INDEX('Policy Characteristics'!F:F,MATCH($C46,'Policy Characteristics'!$C:$C,0)))</f>
        <v>0</v>
      </c>
      <c r="M46" s="261">
        <f>IF(ISBLANK(INDEX('Policy Characteristics'!G:G,MATCH($C46,'Policy Characteristics'!$C:$C,0))),"",INDEX('Policy Characteristics'!G:G,MATCH($C46,'Policy Characteristics'!$C:$C,0)))</f>
        <v>1</v>
      </c>
      <c r="N46" s="261">
        <f>IF(ISBLANK(INDEX('Policy Characteristics'!H:H,MATCH($C46,'Policy Characteristics'!$C:$C,0))),"",INDEX('Policy Characteristics'!H:H,MATCH($C46,'Policy Characteristics'!$C:$C,0)))</f>
        <v>0.02</v>
      </c>
      <c r="O46" s="254" t="str">
        <f>IF(ISBLANK(INDEX('Policy Characteristics'!I:I,MATCH($C46,'Policy Characteristics'!$C:$C,0))),"",INDEX('Policy Characteristics'!I:I,MATCH($C46,'Policy Characteristics'!$C:$C,0)))</f>
        <v>% reduction in emissions</v>
      </c>
      <c r="P46" s="254"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4" t="str">
        <f>IF(ISBLANK(INDEX('Policy Characteristics'!K:K,MATCH($C46,'Policy Characteristics'!$C:$C,0))),"",INDEX('Policy Characteristics'!K:K,MATCH($C46,'Policy Characteristics'!$C:$C,0)))</f>
        <v>transportation-sector-main.html#conv-pol-stds</v>
      </c>
      <c r="R46" s="254" t="str">
        <f>IF(ISBLANK(INDEX('Policy Characteristics'!L:L,MATCH($C46,'Policy Characteristics'!$C:$C,0))),"",INDEX('Policy Characteristics'!L:L,MATCH($C46,'Policy Characteristics'!$C:$C,0)))</f>
        <v>conventional-pollutant-standards.html</v>
      </c>
    </row>
    <row r="47" spans="1:18" s="2" customFormat="1" x14ac:dyDescent="0.3">
      <c r="A47" s="254" t="str">
        <f>IF(ISBLANK(INDEX('Policy Characteristics'!A:A,MATCH($C47,'Policy Characteristics'!$C:$C,0))),"",INDEX('Policy Characteristics'!A:A,MATCH($C47,'Policy Characteristics'!$C:$C,0)))</f>
        <v>Transportation</v>
      </c>
      <c r="B47" s="262" t="str">
        <f>IF(ISBLANK(INDEX('Policy Characteristics'!B:B,MATCH($C47,'Policy Characteristics'!$C:$C,0))),"",INDEX('Policy Characteristics'!B:B,MATCH($C47,'Policy Characteristics'!$C:$C,0)))</f>
        <v>Conventional Pollutant Standards</v>
      </c>
      <c r="C47" s="254" t="str">
        <f t="shared" si="2"/>
        <v>Percentage Reduction of Separately Regulated Pollutants</v>
      </c>
      <c r="D47" s="2" t="s">
        <v>41</v>
      </c>
      <c r="E47" s="2" t="s">
        <v>2229</v>
      </c>
      <c r="F47" s="2" t="s">
        <v>3288</v>
      </c>
      <c r="G47" s="2" t="s">
        <v>2229</v>
      </c>
      <c r="H47" s="47">
        <v>345</v>
      </c>
      <c r="I47" s="325" t="s">
        <v>44</v>
      </c>
      <c r="J47" s="255" t="str">
        <f>IF(ISBLANK(INDEX('Policy Characteristics'!D:D,MATCH($C47,'Policy Characteristics'!$C:$C,0))),"",INDEX('Policy Characteristics'!D:D,MATCH($C47,'Policy Characteristics'!$C:$C,0)))</f>
        <v>Conventional Pollutant Standard</v>
      </c>
      <c r="K47" s="254" t="str">
        <f>IF(ISBLANK(INDEX('Policy Characteristics'!E:E,MATCH($C47,'Policy Characteristics'!$C:$C,0))),"",INDEX('Policy Characteristics'!E:E,MATCH($C47,'Policy Characteristics'!$C:$C,0)))</f>
        <v>trans reduce regulated pollutants</v>
      </c>
      <c r="L47" s="261">
        <f>IF(ISBLANK(INDEX('Policy Characteristics'!F:F,MATCH($C47,'Policy Characteristics'!$C:$C,0))),"",INDEX('Policy Characteristics'!F:F,MATCH($C47,'Policy Characteristics'!$C:$C,0)))</f>
        <v>0</v>
      </c>
      <c r="M47" s="261">
        <f>IF(ISBLANK(INDEX('Policy Characteristics'!G:G,MATCH($C47,'Policy Characteristics'!$C:$C,0))),"",INDEX('Policy Characteristics'!G:G,MATCH($C47,'Policy Characteristics'!$C:$C,0)))</f>
        <v>1</v>
      </c>
      <c r="N47" s="261">
        <f>IF(ISBLANK(INDEX('Policy Characteristics'!H:H,MATCH($C47,'Policy Characteristics'!$C:$C,0))),"",INDEX('Policy Characteristics'!H:H,MATCH($C47,'Policy Characteristics'!$C:$C,0)))</f>
        <v>0.02</v>
      </c>
      <c r="O47" s="254" t="str">
        <f>IF(ISBLANK(INDEX('Policy Characteristics'!I:I,MATCH($C47,'Policy Characteristics'!$C:$C,0))),"",INDEX('Policy Characteristics'!I:I,MATCH($C47,'Policy Characteristics'!$C:$C,0)))</f>
        <v>% reduction in emissions</v>
      </c>
      <c r="P47" s="254"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4" t="str">
        <f>IF(ISBLANK(INDEX('Policy Characteristics'!K:K,MATCH($C47,'Policy Characteristics'!$C:$C,0))),"",INDEX('Policy Characteristics'!K:K,MATCH($C47,'Policy Characteristics'!$C:$C,0)))</f>
        <v>transportation-sector-main.html#conv-pol-stds</v>
      </c>
      <c r="R47" s="254" t="str">
        <f>IF(ISBLANK(INDEX('Policy Characteristics'!L:L,MATCH($C47,'Policy Characteristics'!$C:$C,0))),"",INDEX('Policy Characteristics'!L:L,MATCH($C47,'Policy Characteristics'!$C:$C,0)))</f>
        <v>conventional-pollutant-standards.html</v>
      </c>
    </row>
    <row r="48" spans="1:18" s="2" customFormat="1" x14ac:dyDescent="0.3">
      <c r="A48" s="254" t="str">
        <f>IF(ISBLANK(INDEX('Policy Characteristics'!A:A,MATCH($C48,'Policy Characteristics'!$C:$C,0))),"",INDEX('Policy Characteristics'!A:A,MATCH($C48,'Policy Characteristics'!$C:$C,0)))</f>
        <v>Transportation</v>
      </c>
      <c r="B48" s="262" t="str">
        <f>IF(ISBLANK(INDEX('Policy Characteristics'!B:B,MATCH($C48,'Policy Characteristics'!$C:$C,0))),"",INDEX('Policy Characteristics'!B:B,MATCH($C48,'Policy Characteristics'!$C:$C,0)))</f>
        <v>Conventional Pollutant Standards</v>
      </c>
      <c r="C48" s="254" t="str">
        <f t="shared" si="2"/>
        <v>Percentage Reduction of Separately Regulated Pollutants</v>
      </c>
      <c r="D48" s="2" t="s">
        <v>41</v>
      </c>
      <c r="E48" s="2" t="s">
        <v>2231</v>
      </c>
      <c r="F48" s="2" t="s">
        <v>3288</v>
      </c>
      <c r="G48" s="2" t="s">
        <v>2231</v>
      </c>
      <c r="H48" s="47">
        <v>346</v>
      </c>
      <c r="I48" s="324" t="s">
        <v>43</v>
      </c>
      <c r="J48" s="255" t="str">
        <f>IF(ISBLANK(INDEX('Policy Characteristics'!D:D,MATCH($C48,'Policy Characteristics'!$C:$C,0))),"",INDEX('Policy Characteristics'!D:D,MATCH($C48,'Policy Characteristics'!$C:$C,0)))</f>
        <v>Conventional Pollutant Standard</v>
      </c>
      <c r="K48" s="254" t="str">
        <f>IF(ISBLANK(INDEX('Policy Characteristics'!E:E,MATCH($C48,'Policy Characteristics'!$C:$C,0))),"",INDEX('Policy Characteristics'!E:E,MATCH($C48,'Policy Characteristics'!$C:$C,0)))</f>
        <v>trans reduce regulated pollutants</v>
      </c>
      <c r="L48" s="261">
        <f>IF(ISBLANK(INDEX('Policy Characteristics'!F:F,MATCH($C48,'Policy Characteristics'!$C:$C,0))),"",INDEX('Policy Characteristics'!F:F,MATCH($C48,'Policy Characteristics'!$C:$C,0)))</f>
        <v>0</v>
      </c>
      <c r="M48" s="261">
        <f>IF(ISBLANK(INDEX('Policy Characteristics'!G:G,MATCH($C48,'Policy Characteristics'!$C:$C,0))),"",INDEX('Policy Characteristics'!G:G,MATCH($C48,'Policy Characteristics'!$C:$C,0)))</f>
        <v>1</v>
      </c>
      <c r="N48" s="261">
        <f>IF(ISBLANK(INDEX('Policy Characteristics'!H:H,MATCH($C48,'Policy Characteristics'!$C:$C,0))),"",INDEX('Policy Characteristics'!H:H,MATCH($C48,'Policy Characteristics'!$C:$C,0)))</f>
        <v>0.02</v>
      </c>
      <c r="O48" s="254" t="str">
        <f>IF(ISBLANK(INDEX('Policy Characteristics'!I:I,MATCH($C48,'Policy Characteristics'!$C:$C,0))),"",INDEX('Policy Characteristics'!I:I,MATCH($C48,'Policy Characteristics'!$C:$C,0)))</f>
        <v>% reduction in emissions</v>
      </c>
      <c r="P48" s="254"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4" t="str">
        <f>IF(ISBLANK(INDEX('Policy Characteristics'!K:K,MATCH($C48,'Policy Characteristics'!$C:$C,0))),"",INDEX('Policy Characteristics'!K:K,MATCH($C48,'Policy Characteristics'!$C:$C,0)))</f>
        <v>transportation-sector-main.html#conv-pol-stds</v>
      </c>
      <c r="R48" s="254" t="str">
        <f>IF(ISBLANK(INDEX('Policy Characteristics'!L:L,MATCH($C48,'Policy Characteristics'!$C:$C,0))),"",INDEX('Policy Characteristics'!L:L,MATCH($C48,'Policy Characteristics'!$C:$C,0)))</f>
        <v>conventional-pollutant-standards.html</v>
      </c>
    </row>
    <row r="49" spans="1:18" s="2" customFormat="1" x14ac:dyDescent="0.3">
      <c r="A49" s="254" t="str">
        <f>IF(ISBLANK(INDEX('Policy Characteristics'!A:A,MATCH($C49,'Policy Characteristics'!$C:$C,0))),"",INDEX('Policy Characteristics'!A:A,MATCH($C49,'Policy Characteristics'!$C:$C,0)))</f>
        <v>Transportation</v>
      </c>
      <c r="B49" s="262" t="str">
        <f>IF(ISBLANK(INDEX('Policy Characteristics'!B:B,MATCH($C49,'Policy Characteristics'!$C:$C,0))),"",INDEX('Policy Characteristics'!B:B,MATCH($C49,'Policy Characteristics'!$C:$C,0)))</f>
        <v>Conventional Pollutant Standards</v>
      </c>
      <c r="C49" s="254" t="str">
        <f t="shared" si="2"/>
        <v>Percentage Reduction of Separately Regulated Pollutants</v>
      </c>
      <c r="D49" s="2" t="s">
        <v>41</v>
      </c>
      <c r="E49" s="2" t="s">
        <v>2233</v>
      </c>
      <c r="F49" s="2" t="s">
        <v>3288</v>
      </c>
      <c r="G49" s="2" t="s">
        <v>2233</v>
      </c>
      <c r="H49" s="47">
        <v>347</v>
      </c>
      <c r="I49" s="324" t="s">
        <v>43</v>
      </c>
      <c r="J49" s="255" t="str">
        <f>IF(ISBLANK(INDEX('Policy Characteristics'!D:D,MATCH($C49,'Policy Characteristics'!$C:$C,0))),"",INDEX('Policy Characteristics'!D:D,MATCH($C49,'Policy Characteristics'!$C:$C,0)))</f>
        <v>Conventional Pollutant Standard</v>
      </c>
      <c r="K49" s="254" t="str">
        <f>IF(ISBLANK(INDEX('Policy Characteristics'!E:E,MATCH($C49,'Policy Characteristics'!$C:$C,0))),"",INDEX('Policy Characteristics'!E:E,MATCH($C49,'Policy Characteristics'!$C:$C,0)))</f>
        <v>trans reduce regulated pollutants</v>
      </c>
      <c r="L49" s="261">
        <f>IF(ISBLANK(INDEX('Policy Characteristics'!F:F,MATCH($C49,'Policy Characteristics'!$C:$C,0))),"",INDEX('Policy Characteristics'!F:F,MATCH($C49,'Policy Characteristics'!$C:$C,0)))</f>
        <v>0</v>
      </c>
      <c r="M49" s="261">
        <f>IF(ISBLANK(INDEX('Policy Characteristics'!G:G,MATCH($C49,'Policy Characteristics'!$C:$C,0))),"",INDEX('Policy Characteristics'!G:G,MATCH($C49,'Policy Characteristics'!$C:$C,0)))</f>
        <v>1</v>
      </c>
      <c r="N49" s="261">
        <f>IF(ISBLANK(INDEX('Policy Characteristics'!H:H,MATCH($C49,'Policy Characteristics'!$C:$C,0))),"",INDEX('Policy Characteristics'!H:H,MATCH($C49,'Policy Characteristics'!$C:$C,0)))</f>
        <v>0.02</v>
      </c>
      <c r="O49" s="254" t="str">
        <f>IF(ISBLANK(INDEX('Policy Characteristics'!I:I,MATCH($C49,'Policy Characteristics'!$C:$C,0))),"",INDEX('Policy Characteristics'!I:I,MATCH($C49,'Policy Characteristics'!$C:$C,0)))</f>
        <v>% reduction in emissions</v>
      </c>
      <c r="P49" s="254"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4" t="str">
        <f>IF(ISBLANK(INDEX('Policy Characteristics'!K:K,MATCH($C49,'Policy Characteristics'!$C:$C,0))),"",INDEX('Policy Characteristics'!K:K,MATCH($C49,'Policy Characteristics'!$C:$C,0)))</f>
        <v>transportation-sector-main.html#conv-pol-stds</v>
      </c>
      <c r="R49" s="254" t="str">
        <f>IF(ISBLANK(INDEX('Policy Characteristics'!L:L,MATCH($C49,'Policy Characteristics'!$C:$C,0))),"",INDEX('Policy Characteristics'!L:L,MATCH($C49,'Policy Characteristics'!$C:$C,0)))</f>
        <v>conventional-pollutant-standards.html</v>
      </c>
    </row>
    <row r="50" spans="1:18" s="2" customFormat="1" x14ac:dyDescent="0.3">
      <c r="A50" s="254" t="str">
        <f>IF(ISBLANK(INDEX('Policy Characteristics'!A:A,MATCH($C50,'Policy Characteristics'!$C:$C,0))),"",INDEX('Policy Characteristics'!A:A,MATCH($C50,'Policy Characteristics'!$C:$C,0)))</f>
        <v>Transportation</v>
      </c>
      <c r="B50" s="262" t="str">
        <f>IF(ISBLANK(INDEX('Policy Characteristics'!B:B,MATCH($C50,'Policy Characteristics'!$C:$C,0))),"",INDEX('Policy Characteristics'!B:B,MATCH($C50,'Policy Characteristics'!$C:$C,0)))</f>
        <v>Conventional Pollutant Standards</v>
      </c>
      <c r="C50" s="254" t="str">
        <f t="shared" si="2"/>
        <v>Percentage Reduction of Separately Regulated Pollutants</v>
      </c>
      <c r="D50" s="2" t="s">
        <v>41</v>
      </c>
      <c r="E50" s="2" t="s">
        <v>2235</v>
      </c>
      <c r="F50" s="2" t="s">
        <v>3288</v>
      </c>
      <c r="G50" s="2" t="s">
        <v>2235</v>
      </c>
      <c r="H50" s="47">
        <v>348</v>
      </c>
      <c r="I50" s="325" t="s">
        <v>44</v>
      </c>
      <c r="J50" s="255" t="str">
        <f>IF(ISBLANK(INDEX('Policy Characteristics'!D:D,MATCH($C50,'Policy Characteristics'!$C:$C,0))),"",INDEX('Policy Characteristics'!D:D,MATCH($C50,'Policy Characteristics'!$C:$C,0)))</f>
        <v>Conventional Pollutant Standard</v>
      </c>
      <c r="K50" s="254" t="str">
        <f>IF(ISBLANK(INDEX('Policy Characteristics'!E:E,MATCH($C50,'Policy Characteristics'!$C:$C,0))),"",INDEX('Policy Characteristics'!E:E,MATCH($C50,'Policy Characteristics'!$C:$C,0)))</f>
        <v>trans reduce regulated pollutants</v>
      </c>
      <c r="L50" s="261">
        <f>IF(ISBLANK(INDEX('Policy Characteristics'!F:F,MATCH($C50,'Policy Characteristics'!$C:$C,0))),"",INDEX('Policy Characteristics'!F:F,MATCH($C50,'Policy Characteristics'!$C:$C,0)))</f>
        <v>0</v>
      </c>
      <c r="M50" s="261">
        <f>IF(ISBLANK(INDEX('Policy Characteristics'!G:G,MATCH($C50,'Policy Characteristics'!$C:$C,0))),"",INDEX('Policy Characteristics'!G:G,MATCH($C50,'Policy Characteristics'!$C:$C,0)))</f>
        <v>1</v>
      </c>
      <c r="N50" s="261">
        <f>IF(ISBLANK(INDEX('Policy Characteristics'!H:H,MATCH($C50,'Policy Characteristics'!$C:$C,0))),"",INDEX('Policy Characteristics'!H:H,MATCH($C50,'Policy Characteristics'!$C:$C,0)))</f>
        <v>0.02</v>
      </c>
      <c r="O50" s="254" t="str">
        <f>IF(ISBLANK(INDEX('Policy Characteristics'!I:I,MATCH($C50,'Policy Characteristics'!$C:$C,0))),"",INDEX('Policy Characteristics'!I:I,MATCH($C50,'Policy Characteristics'!$C:$C,0)))</f>
        <v>% reduction in emissions</v>
      </c>
      <c r="P50" s="254"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4" t="str">
        <f>IF(ISBLANK(INDEX('Policy Characteristics'!K:K,MATCH($C50,'Policy Characteristics'!$C:$C,0))),"",INDEX('Policy Characteristics'!K:K,MATCH($C50,'Policy Characteristics'!$C:$C,0)))</f>
        <v>transportation-sector-main.html#conv-pol-stds</v>
      </c>
      <c r="R50" s="254" t="str">
        <f>IF(ISBLANK(INDEX('Policy Characteristics'!L:L,MATCH($C50,'Policy Characteristics'!$C:$C,0))),"",INDEX('Policy Characteristics'!L:L,MATCH($C50,'Policy Characteristics'!$C:$C,0)))</f>
        <v>conventional-pollutant-standards.html</v>
      </c>
    </row>
    <row r="51" spans="1:18" s="2" customFormat="1" x14ac:dyDescent="0.3">
      <c r="A51" s="254" t="str">
        <f>IF(ISBLANK(INDEX('Policy Characteristics'!A:A,MATCH($C51,'Policy Characteristics'!$C:$C,0))),"",INDEX('Policy Characteristics'!A:A,MATCH($C51,'Policy Characteristics'!$C:$C,0)))</f>
        <v>Transportation</v>
      </c>
      <c r="B51" s="262" t="str">
        <f>IF(ISBLANK(INDEX('Policy Characteristics'!B:B,MATCH($C51,'Policy Characteristics'!$C:$C,0))),"",INDEX('Policy Characteristics'!B:B,MATCH($C51,'Policy Characteristics'!$C:$C,0)))</f>
        <v>Conventional Pollutant Standards</v>
      </c>
      <c r="C51" s="254" t="str">
        <f t="shared" si="2"/>
        <v>Percentage Reduction of Separately Regulated Pollutants</v>
      </c>
      <c r="D51" s="2" t="s">
        <v>41</v>
      </c>
      <c r="E51" s="2" t="s">
        <v>2237</v>
      </c>
      <c r="F51" s="2" t="s">
        <v>3288</v>
      </c>
      <c r="G51" s="2" t="s">
        <v>2237</v>
      </c>
      <c r="H51" s="47">
        <v>349</v>
      </c>
      <c r="I51" s="325" t="s">
        <v>44</v>
      </c>
      <c r="J51" s="255" t="str">
        <f>IF(ISBLANK(INDEX('Policy Characteristics'!D:D,MATCH($C51,'Policy Characteristics'!$C:$C,0))),"",INDEX('Policy Characteristics'!D:D,MATCH($C51,'Policy Characteristics'!$C:$C,0)))</f>
        <v>Conventional Pollutant Standard</v>
      </c>
      <c r="K51" s="254" t="str">
        <f>IF(ISBLANK(INDEX('Policy Characteristics'!E:E,MATCH($C51,'Policy Characteristics'!$C:$C,0))),"",INDEX('Policy Characteristics'!E:E,MATCH($C51,'Policy Characteristics'!$C:$C,0)))</f>
        <v>trans reduce regulated pollutants</v>
      </c>
      <c r="L51" s="261">
        <f>IF(ISBLANK(INDEX('Policy Characteristics'!F:F,MATCH($C51,'Policy Characteristics'!$C:$C,0))),"",INDEX('Policy Characteristics'!F:F,MATCH($C51,'Policy Characteristics'!$C:$C,0)))</f>
        <v>0</v>
      </c>
      <c r="M51" s="261">
        <f>IF(ISBLANK(INDEX('Policy Characteristics'!G:G,MATCH($C51,'Policy Characteristics'!$C:$C,0))),"",INDEX('Policy Characteristics'!G:G,MATCH($C51,'Policy Characteristics'!$C:$C,0)))</f>
        <v>1</v>
      </c>
      <c r="N51" s="261">
        <f>IF(ISBLANK(INDEX('Policy Characteristics'!H:H,MATCH($C51,'Policy Characteristics'!$C:$C,0))),"",INDEX('Policy Characteristics'!H:H,MATCH($C51,'Policy Characteristics'!$C:$C,0)))</f>
        <v>0.02</v>
      </c>
      <c r="O51" s="254" t="str">
        <f>IF(ISBLANK(INDEX('Policy Characteristics'!I:I,MATCH($C51,'Policy Characteristics'!$C:$C,0))),"",INDEX('Policy Characteristics'!I:I,MATCH($C51,'Policy Characteristics'!$C:$C,0)))</f>
        <v>% reduction in emissions</v>
      </c>
      <c r="P51" s="254"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4" t="str">
        <f>IF(ISBLANK(INDEX('Policy Characteristics'!K:K,MATCH($C51,'Policy Characteristics'!$C:$C,0))),"",INDEX('Policy Characteristics'!K:K,MATCH($C51,'Policy Characteristics'!$C:$C,0)))</f>
        <v>transportation-sector-main.html#conv-pol-stds</v>
      </c>
      <c r="R51" s="254" t="str">
        <f>IF(ISBLANK(INDEX('Policy Characteristics'!L:L,MATCH($C51,'Policy Characteristics'!$C:$C,0))),"",INDEX('Policy Characteristics'!L:L,MATCH($C51,'Policy Characteristics'!$C:$C,0)))</f>
        <v>conventional-pollutant-standards.html</v>
      </c>
    </row>
    <row r="52" spans="1:18" s="2" customFormat="1" x14ac:dyDescent="0.3">
      <c r="A52" s="254" t="str">
        <f>IF(ISBLANK(INDEX('Policy Characteristics'!A:A,MATCH($C52,'Policy Characteristics'!$C:$C,0))),"",INDEX('Policy Characteristics'!A:A,MATCH($C52,'Policy Characteristics'!$C:$C,0)))</f>
        <v>Transportation</v>
      </c>
      <c r="B52" s="262" t="str">
        <f>IF(ISBLANK(INDEX('Policy Characteristics'!B:B,MATCH($C52,'Policy Characteristics'!$C:$C,0))),"",INDEX('Policy Characteristics'!B:B,MATCH($C52,'Policy Characteristics'!$C:$C,0)))</f>
        <v>Conventional Pollutant Standards</v>
      </c>
      <c r="C52" s="254" t="str">
        <f t="shared" si="2"/>
        <v>Percentage Reduction of Separately Regulated Pollutants</v>
      </c>
      <c r="D52" s="2" t="s">
        <v>113</v>
      </c>
      <c r="E52" s="2" t="s">
        <v>2221</v>
      </c>
      <c r="F52" s="2" t="s">
        <v>3289</v>
      </c>
      <c r="G52" s="2" t="s">
        <v>2426</v>
      </c>
      <c r="H52" s="47">
        <v>350</v>
      </c>
      <c r="I52" s="324" t="s">
        <v>43</v>
      </c>
      <c r="J52" s="255" t="str">
        <f>IF(ISBLANK(INDEX('Policy Characteristics'!D:D,MATCH($C52,'Policy Characteristics'!$C:$C,0))),"",INDEX('Policy Characteristics'!D:D,MATCH($C52,'Policy Characteristics'!$C:$C,0)))</f>
        <v>Conventional Pollutant Standard</v>
      </c>
      <c r="K52" s="254" t="str">
        <f>IF(ISBLANK(INDEX('Policy Characteristics'!E:E,MATCH($C52,'Policy Characteristics'!$C:$C,0))),"",INDEX('Policy Characteristics'!E:E,MATCH($C52,'Policy Characteristics'!$C:$C,0)))</f>
        <v>trans reduce regulated pollutants</v>
      </c>
      <c r="L52" s="261">
        <f>IF(ISBLANK(INDEX('Policy Characteristics'!F:F,MATCH($C52,'Policy Characteristics'!$C:$C,0))),"",INDEX('Policy Characteristics'!F:F,MATCH($C52,'Policy Characteristics'!$C:$C,0)))</f>
        <v>0</v>
      </c>
      <c r="M52" s="261">
        <f>IF(ISBLANK(INDEX('Policy Characteristics'!G:G,MATCH($C52,'Policy Characteristics'!$C:$C,0))),"",INDEX('Policy Characteristics'!G:G,MATCH($C52,'Policy Characteristics'!$C:$C,0)))</f>
        <v>1</v>
      </c>
      <c r="N52" s="261">
        <f>IF(ISBLANK(INDEX('Policy Characteristics'!H:H,MATCH($C52,'Policy Characteristics'!$C:$C,0))),"",INDEX('Policy Characteristics'!H:H,MATCH($C52,'Policy Characteristics'!$C:$C,0)))</f>
        <v>0.02</v>
      </c>
      <c r="O52" s="254" t="str">
        <f>IF(ISBLANK(INDEX('Policy Characteristics'!I:I,MATCH($C52,'Policy Characteristics'!$C:$C,0))),"",INDEX('Policy Characteristics'!I:I,MATCH($C52,'Policy Characteristics'!$C:$C,0)))</f>
        <v>% reduction in emissions</v>
      </c>
      <c r="P52" s="254"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4" t="str">
        <f>IF(ISBLANK(INDEX('Policy Characteristics'!K:K,MATCH($C52,'Policy Characteristics'!$C:$C,0))),"",INDEX('Policy Characteristics'!K:K,MATCH($C52,'Policy Characteristics'!$C:$C,0)))</f>
        <v>transportation-sector-main.html#conv-pol-stds</v>
      </c>
      <c r="R52" s="254" t="str">
        <f>IF(ISBLANK(INDEX('Policy Characteristics'!L:L,MATCH($C52,'Policy Characteristics'!$C:$C,0))),"",INDEX('Policy Characteristics'!L:L,MATCH($C52,'Policy Characteristics'!$C:$C,0)))</f>
        <v>conventional-pollutant-standards.html</v>
      </c>
    </row>
    <row r="53" spans="1:18" s="2" customFormat="1" x14ac:dyDescent="0.3">
      <c r="A53" s="254" t="str">
        <f>IF(ISBLANK(INDEX('Policy Characteristics'!A:A,MATCH($C53,'Policy Characteristics'!$C:$C,0))),"",INDEX('Policy Characteristics'!A:A,MATCH($C53,'Policy Characteristics'!$C:$C,0)))</f>
        <v>Transportation</v>
      </c>
      <c r="B53" s="262" t="str">
        <f>IF(ISBLANK(INDEX('Policy Characteristics'!B:B,MATCH($C53,'Policy Characteristics'!$C:$C,0))),"",INDEX('Policy Characteristics'!B:B,MATCH($C53,'Policy Characteristics'!$C:$C,0)))</f>
        <v>Conventional Pollutant Standards</v>
      </c>
      <c r="C53" s="254" t="str">
        <f t="shared" si="2"/>
        <v>Percentage Reduction of Separately Regulated Pollutants</v>
      </c>
      <c r="D53" s="2" t="s">
        <v>113</v>
      </c>
      <c r="E53" s="2" t="s">
        <v>484</v>
      </c>
      <c r="F53" s="2" t="s">
        <v>3289</v>
      </c>
      <c r="G53" s="2" t="s">
        <v>484</v>
      </c>
      <c r="H53" s="47">
        <v>351</v>
      </c>
      <c r="I53" s="324" t="s">
        <v>43</v>
      </c>
      <c r="J53" s="255" t="str">
        <f>IF(ISBLANK(INDEX('Policy Characteristics'!D:D,MATCH($C53,'Policy Characteristics'!$C:$C,0))),"",INDEX('Policy Characteristics'!D:D,MATCH($C53,'Policy Characteristics'!$C:$C,0)))</f>
        <v>Conventional Pollutant Standard</v>
      </c>
      <c r="K53" s="254" t="str">
        <f>IF(ISBLANK(INDEX('Policy Characteristics'!E:E,MATCH($C53,'Policy Characteristics'!$C:$C,0))),"",INDEX('Policy Characteristics'!E:E,MATCH($C53,'Policy Characteristics'!$C:$C,0)))</f>
        <v>trans reduce regulated pollutants</v>
      </c>
      <c r="L53" s="261">
        <f>IF(ISBLANK(INDEX('Policy Characteristics'!F:F,MATCH($C53,'Policy Characteristics'!$C:$C,0))),"",INDEX('Policy Characteristics'!F:F,MATCH($C53,'Policy Characteristics'!$C:$C,0)))</f>
        <v>0</v>
      </c>
      <c r="M53" s="261">
        <f>IF(ISBLANK(INDEX('Policy Characteristics'!G:G,MATCH($C53,'Policy Characteristics'!$C:$C,0))),"",INDEX('Policy Characteristics'!G:G,MATCH($C53,'Policy Characteristics'!$C:$C,0)))</f>
        <v>1</v>
      </c>
      <c r="N53" s="261">
        <f>IF(ISBLANK(INDEX('Policy Characteristics'!H:H,MATCH($C53,'Policy Characteristics'!$C:$C,0))),"",INDEX('Policy Characteristics'!H:H,MATCH($C53,'Policy Characteristics'!$C:$C,0)))</f>
        <v>0.02</v>
      </c>
      <c r="O53" s="254" t="str">
        <f>IF(ISBLANK(INDEX('Policy Characteristics'!I:I,MATCH($C53,'Policy Characteristics'!$C:$C,0))),"",INDEX('Policy Characteristics'!I:I,MATCH($C53,'Policy Characteristics'!$C:$C,0)))</f>
        <v>% reduction in emissions</v>
      </c>
      <c r="P53" s="254"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4" t="str">
        <f>IF(ISBLANK(INDEX('Policy Characteristics'!K:K,MATCH($C53,'Policy Characteristics'!$C:$C,0))),"",INDEX('Policy Characteristics'!K:K,MATCH($C53,'Policy Characteristics'!$C:$C,0)))</f>
        <v>transportation-sector-main.html#conv-pol-stds</v>
      </c>
      <c r="R53" s="254" t="str">
        <f>IF(ISBLANK(INDEX('Policy Characteristics'!L:L,MATCH($C53,'Policy Characteristics'!$C:$C,0))),"",INDEX('Policy Characteristics'!L:L,MATCH($C53,'Policy Characteristics'!$C:$C,0)))</f>
        <v>conventional-pollutant-standards.html</v>
      </c>
    </row>
    <row r="54" spans="1:18" s="2" customFormat="1" x14ac:dyDescent="0.3">
      <c r="A54" s="254" t="str">
        <f>IF(ISBLANK(INDEX('Policy Characteristics'!A:A,MATCH($C54,'Policy Characteristics'!$C:$C,0))),"",INDEX('Policy Characteristics'!A:A,MATCH($C54,'Policy Characteristics'!$C:$C,0)))</f>
        <v>Transportation</v>
      </c>
      <c r="B54" s="262" t="str">
        <f>IF(ISBLANK(INDEX('Policy Characteristics'!B:B,MATCH($C54,'Policy Characteristics'!$C:$C,0))),"",INDEX('Policy Characteristics'!B:B,MATCH($C54,'Policy Characteristics'!$C:$C,0)))</f>
        <v>Conventional Pollutant Standards</v>
      </c>
      <c r="C54" s="254" t="str">
        <f t="shared" si="2"/>
        <v>Percentage Reduction of Separately Regulated Pollutants</v>
      </c>
      <c r="D54" s="2" t="s">
        <v>113</v>
      </c>
      <c r="E54" s="2" t="s">
        <v>2224</v>
      </c>
      <c r="F54" s="2" t="s">
        <v>3289</v>
      </c>
      <c r="G54" s="2" t="s">
        <v>2224</v>
      </c>
      <c r="H54" s="47">
        <v>352</v>
      </c>
      <c r="I54" s="324" t="s">
        <v>43</v>
      </c>
      <c r="J54" s="255" t="str">
        <f>IF(ISBLANK(INDEX('Policy Characteristics'!D:D,MATCH($C54,'Policy Characteristics'!$C:$C,0))),"",INDEX('Policy Characteristics'!D:D,MATCH($C54,'Policy Characteristics'!$C:$C,0)))</f>
        <v>Conventional Pollutant Standard</v>
      </c>
      <c r="K54" s="254" t="str">
        <f>IF(ISBLANK(INDEX('Policy Characteristics'!E:E,MATCH($C54,'Policy Characteristics'!$C:$C,0))),"",INDEX('Policy Characteristics'!E:E,MATCH($C54,'Policy Characteristics'!$C:$C,0)))</f>
        <v>trans reduce regulated pollutants</v>
      </c>
      <c r="L54" s="261">
        <f>IF(ISBLANK(INDEX('Policy Characteristics'!F:F,MATCH($C54,'Policy Characteristics'!$C:$C,0))),"",INDEX('Policy Characteristics'!F:F,MATCH($C54,'Policy Characteristics'!$C:$C,0)))</f>
        <v>0</v>
      </c>
      <c r="M54" s="261">
        <f>IF(ISBLANK(INDEX('Policy Characteristics'!G:G,MATCH($C54,'Policy Characteristics'!$C:$C,0))),"",INDEX('Policy Characteristics'!G:G,MATCH($C54,'Policy Characteristics'!$C:$C,0)))</f>
        <v>1</v>
      </c>
      <c r="N54" s="261">
        <f>IF(ISBLANK(INDEX('Policy Characteristics'!H:H,MATCH($C54,'Policy Characteristics'!$C:$C,0))),"",INDEX('Policy Characteristics'!H:H,MATCH($C54,'Policy Characteristics'!$C:$C,0)))</f>
        <v>0.02</v>
      </c>
      <c r="O54" s="254" t="str">
        <f>IF(ISBLANK(INDEX('Policy Characteristics'!I:I,MATCH($C54,'Policy Characteristics'!$C:$C,0))),"",INDEX('Policy Characteristics'!I:I,MATCH($C54,'Policy Characteristics'!$C:$C,0)))</f>
        <v>% reduction in emissions</v>
      </c>
      <c r="P54" s="254"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4" t="str">
        <f>IF(ISBLANK(INDEX('Policy Characteristics'!K:K,MATCH($C54,'Policy Characteristics'!$C:$C,0))),"",INDEX('Policy Characteristics'!K:K,MATCH($C54,'Policy Characteristics'!$C:$C,0)))</f>
        <v>transportation-sector-main.html#conv-pol-stds</v>
      </c>
      <c r="R54" s="254" t="str">
        <f>IF(ISBLANK(INDEX('Policy Characteristics'!L:L,MATCH($C54,'Policy Characteristics'!$C:$C,0))),"",INDEX('Policy Characteristics'!L:L,MATCH($C54,'Policy Characteristics'!$C:$C,0)))</f>
        <v>conventional-pollutant-standards.html</v>
      </c>
    </row>
    <row r="55" spans="1:18" s="2" customFormat="1" x14ac:dyDescent="0.3">
      <c r="A55" s="254" t="str">
        <f>IF(ISBLANK(INDEX('Policy Characteristics'!A:A,MATCH($C55,'Policy Characteristics'!$C:$C,0))),"",INDEX('Policy Characteristics'!A:A,MATCH($C55,'Policy Characteristics'!$C:$C,0)))</f>
        <v>Transportation</v>
      </c>
      <c r="B55" s="262" t="str">
        <f>IF(ISBLANK(INDEX('Policy Characteristics'!B:B,MATCH($C55,'Policy Characteristics'!$C:$C,0))),"",INDEX('Policy Characteristics'!B:B,MATCH($C55,'Policy Characteristics'!$C:$C,0)))</f>
        <v>Conventional Pollutant Standards</v>
      </c>
      <c r="C55" s="254" t="str">
        <f t="shared" si="2"/>
        <v>Percentage Reduction of Separately Regulated Pollutants</v>
      </c>
      <c r="D55" s="2" t="s">
        <v>113</v>
      </c>
      <c r="E55" s="2" t="s">
        <v>2226</v>
      </c>
      <c r="F55" s="2" t="s">
        <v>3289</v>
      </c>
      <c r="G55" s="2" t="s">
        <v>2226</v>
      </c>
      <c r="H55" s="47">
        <v>353</v>
      </c>
      <c r="I55" s="324" t="s">
        <v>43</v>
      </c>
      <c r="J55" s="255" t="str">
        <f>IF(ISBLANK(INDEX('Policy Characteristics'!D:D,MATCH($C55,'Policy Characteristics'!$C:$C,0))),"",INDEX('Policy Characteristics'!D:D,MATCH($C55,'Policy Characteristics'!$C:$C,0)))</f>
        <v>Conventional Pollutant Standard</v>
      </c>
      <c r="K55" s="254" t="str">
        <f>IF(ISBLANK(INDEX('Policy Characteristics'!E:E,MATCH($C55,'Policy Characteristics'!$C:$C,0))),"",INDEX('Policy Characteristics'!E:E,MATCH($C55,'Policy Characteristics'!$C:$C,0)))</f>
        <v>trans reduce regulated pollutants</v>
      </c>
      <c r="L55" s="261">
        <f>IF(ISBLANK(INDEX('Policy Characteristics'!F:F,MATCH($C55,'Policy Characteristics'!$C:$C,0))),"",INDEX('Policy Characteristics'!F:F,MATCH($C55,'Policy Characteristics'!$C:$C,0)))</f>
        <v>0</v>
      </c>
      <c r="M55" s="261">
        <f>IF(ISBLANK(INDEX('Policy Characteristics'!G:G,MATCH($C55,'Policy Characteristics'!$C:$C,0))),"",INDEX('Policy Characteristics'!G:G,MATCH($C55,'Policy Characteristics'!$C:$C,0)))</f>
        <v>1</v>
      </c>
      <c r="N55" s="261">
        <f>IF(ISBLANK(INDEX('Policy Characteristics'!H:H,MATCH($C55,'Policy Characteristics'!$C:$C,0))),"",INDEX('Policy Characteristics'!H:H,MATCH($C55,'Policy Characteristics'!$C:$C,0)))</f>
        <v>0.02</v>
      </c>
      <c r="O55" s="254" t="str">
        <f>IF(ISBLANK(INDEX('Policy Characteristics'!I:I,MATCH($C55,'Policy Characteristics'!$C:$C,0))),"",INDEX('Policy Characteristics'!I:I,MATCH($C55,'Policy Characteristics'!$C:$C,0)))</f>
        <v>% reduction in emissions</v>
      </c>
      <c r="P55" s="254"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4" t="str">
        <f>IF(ISBLANK(INDEX('Policy Characteristics'!K:K,MATCH($C55,'Policy Characteristics'!$C:$C,0))),"",INDEX('Policy Characteristics'!K:K,MATCH($C55,'Policy Characteristics'!$C:$C,0)))</f>
        <v>transportation-sector-main.html#conv-pol-stds</v>
      </c>
      <c r="R55" s="254" t="str">
        <f>IF(ISBLANK(INDEX('Policy Characteristics'!L:L,MATCH($C55,'Policy Characteristics'!$C:$C,0))),"",INDEX('Policy Characteristics'!L:L,MATCH($C55,'Policy Characteristics'!$C:$C,0)))</f>
        <v>conventional-pollutant-standards.html</v>
      </c>
    </row>
    <row r="56" spans="1:18" s="2" customFormat="1" x14ac:dyDescent="0.3">
      <c r="A56" s="254" t="str">
        <f>IF(ISBLANK(INDEX('Policy Characteristics'!A:A,MATCH($C56,'Policy Characteristics'!$C:$C,0))),"",INDEX('Policy Characteristics'!A:A,MATCH($C56,'Policy Characteristics'!$C:$C,0)))</f>
        <v>Transportation</v>
      </c>
      <c r="B56" s="262" t="str">
        <f>IF(ISBLANK(INDEX('Policy Characteristics'!B:B,MATCH($C56,'Policy Characteristics'!$C:$C,0))),"",INDEX('Policy Characteristics'!B:B,MATCH($C56,'Policy Characteristics'!$C:$C,0)))</f>
        <v>Conventional Pollutant Standards</v>
      </c>
      <c r="C56" s="254" t="str">
        <f t="shared" si="2"/>
        <v>Percentage Reduction of Separately Regulated Pollutants</v>
      </c>
      <c r="D56" s="2" t="s">
        <v>113</v>
      </c>
      <c r="E56" s="2" t="s">
        <v>2228</v>
      </c>
      <c r="F56" s="2" t="s">
        <v>3289</v>
      </c>
      <c r="G56" s="2" t="s">
        <v>2318</v>
      </c>
      <c r="H56" s="47">
        <v>354</v>
      </c>
      <c r="I56" s="324" t="s">
        <v>43</v>
      </c>
      <c r="J56" s="255" t="str">
        <f>IF(ISBLANK(INDEX('Policy Characteristics'!D:D,MATCH($C56,'Policy Characteristics'!$C:$C,0))),"",INDEX('Policy Characteristics'!D:D,MATCH($C56,'Policy Characteristics'!$C:$C,0)))</f>
        <v>Conventional Pollutant Standard</v>
      </c>
      <c r="K56" s="254" t="str">
        <f>IF(ISBLANK(INDEX('Policy Characteristics'!E:E,MATCH($C56,'Policy Characteristics'!$C:$C,0))),"",INDEX('Policy Characteristics'!E:E,MATCH($C56,'Policy Characteristics'!$C:$C,0)))</f>
        <v>trans reduce regulated pollutants</v>
      </c>
      <c r="L56" s="261">
        <f>IF(ISBLANK(INDEX('Policy Characteristics'!F:F,MATCH($C56,'Policy Characteristics'!$C:$C,0))),"",INDEX('Policy Characteristics'!F:F,MATCH($C56,'Policy Characteristics'!$C:$C,0)))</f>
        <v>0</v>
      </c>
      <c r="M56" s="261">
        <f>IF(ISBLANK(INDEX('Policy Characteristics'!G:G,MATCH($C56,'Policy Characteristics'!$C:$C,0))),"",INDEX('Policy Characteristics'!G:G,MATCH($C56,'Policy Characteristics'!$C:$C,0)))</f>
        <v>1</v>
      </c>
      <c r="N56" s="261">
        <f>IF(ISBLANK(INDEX('Policy Characteristics'!H:H,MATCH($C56,'Policy Characteristics'!$C:$C,0))),"",INDEX('Policy Characteristics'!H:H,MATCH($C56,'Policy Characteristics'!$C:$C,0)))</f>
        <v>0.02</v>
      </c>
      <c r="O56" s="254" t="str">
        <f>IF(ISBLANK(INDEX('Policy Characteristics'!I:I,MATCH($C56,'Policy Characteristics'!$C:$C,0))),"",INDEX('Policy Characteristics'!I:I,MATCH($C56,'Policy Characteristics'!$C:$C,0)))</f>
        <v>% reduction in emissions</v>
      </c>
      <c r="P56" s="254"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4" t="str">
        <f>IF(ISBLANK(INDEX('Policy Characteristics'!K:K,MATCH($C56,'Policy Characteristics'!$C:$C,0))),"",INDEX('Policy Characteristics'!K:K,MATCH($C56,'Policy Characteristics'!$C:$C,0)))</f>
        <v>transportation-sector-main.html#conv-pol-stds</v>
      </c>
      <c r="R56" s="254" t="str">
        <f>IF(ISBLANK(INDEX('Policy Characteristics'!L:L,MATCH($C56,'Policy Characteristics'!$C:$C,0))),"",INDEX('Policy Characteristics'!L:L,MATCH($C56,'Policy Characteristics'!$C:$C,0)))</f>
        <v>conventional-pollutant-standards.html</v>
      </c>
    </row>
    <row r="57" spans="1:18" s="2" customFormat="1" x14ac:dyDescent="0.3">
      <c r="A57" s="254" t="str">
        <f>IF(ISBLANK(INDEX('Policy Characteristics'!A:A,MATCH($C57,'Policy Characteristics'!$C:$C,0))),"",INDEX('Policy Characteristics'!A:A,MATCH($C57,'Policy Characteristics'!$C:$C,0)))</f>
        <v>Transportation</v>
      </c>
      <c r="B57" s="262" t="str">
        <f>IF(ISBLANK(INDEX('Policy Characteristics'!B:B,MATCH($C57,'Policy Characteristics'!$C:$C,0))),"",INDEX('Policy Characteristics'!B:B,MATCH($C57,'Policy Characteristics'!$C:$C,0)))</f>
        <v>Conventional Pollutant Standards</v>
      </c>
      <c r="C57" s="254" t="str">
        <f t="shared" si="2"/>
        <v>Percentage Reduction of Separately Regulated Pollutants</v>
      </c>
      <c r="D57" s="2" t="s">
        <v>113</v>
      </c>
      <c r="E57" s="2" t="s">
        <v>2229</v>
      </c>
      <c r="F57" s="2" t="s">
        <v>3289</v>
      </c>
      <c r="G57" s="2" t="s">
        <v>2229</v>
      </c>
      <c r="H57" s="47">
        <v>355</v>
      </c>
      <c r="I57" s="324" t="s">
        <v>43</v>
      </c>
      <c r="J57" s="255" t="str">
        <f>IF(ISBLANK(INDEX('Policy Characteristics'!D:D,MATCH($C57,'Policy Characteristics'!$C:$C,0))),"",INDEX('Policy Characteristics'!D:D,MATCH($C57,'Policy Characteristics'!$C:$C,0)))</f>
        <v>Conventional Pollutant Standard</v>
      </c>
      <c r="K57" s="254" t="str">
        <f>IF(ISBLANK(INDEX('Policy Characteristics'!E:E,MATCH($C57,'Policy Characteristics'!$C:$C,0))),"",INDEX('Policy Characteristics'!E:E,MATCH($C57,'Policy Characteristics'!$C:$C,0)))</f>
        <v>trans reduce regulated pollutants</v>
      </c>
      <c r="L57" s="261">
        <f>IF(ISBLANK(INDEX('Policy Characteristics'!F:F,MATCH($C57,'Policy Characteristics'!$C:$C,0))),"",INDEX('Policy Characteristics'!F:F,MATCH($C57,'Policy Characteristics'!$C:$C,0)))</f>
        <v>0</v>
      </c>
      <c r="M57" s="261">
        <f>IF(ISBLANK(INDEX('Policy Characteristics'!G:G,MATCH($C57,'Policy Characteristics'!$C:$C,0))),"",INDEX('Policy Characteristics'!G:G,MATCH($C57,'Policy Characteristics'!$C:$C,0)))</f>
        <v>1</v>
      </c>
      <c r="N57" s="261">
        <f>IF(ISBLANK(INDEX('Policy Characteristics'!H:H,MATCH($C57,'Policy Characteristics'!$C:$C,0))),"",INDEX('Policy Characteristics'!H:H,MATCH($C57,'Policy Characteristics'!$C:$C,0)))</f>
        <v>0.02</v>
      </c>
      <c r="O57" s="254" t="str">
        <f>IF(ISBLANK(INDEX('Policy Characteristics'!I:I,MATCH($C57,'Policy Characteristics'!$C:$C,0))),"",INDEX('Policy Characteristics'!I:I,MATCH($C57,'Policy Characteristics'!$C:$C,0)))</f>
        <v>% reduction in emissions</v>
      </c>
      <c r="P57" s="254"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4" t="str">
        <f>IF(ISBLANK(INDEX('Policy Characteristics'!K:K,MATCH($C57,'Policy Characteristics'!$C:$C,0))),"",INDEX('Policy Characteristics'!K:K,MATCH($C57,'Policy Characteristics'!$C:$C,0)))</f>
        <v>transportation-sector-main.html#conv-pol-stds</v>
      </c>
      <c r="R57" s="254" t="str">
        <f>IF(ISBLANK(INDEX('Policy Characteristics'!L:L,MATCH($C57,'Policy Characteristics'!$C:$C,0))),"",INDEX('Policy Characteristics'!L:L,MATCH($C57,'Policy Characteristics'!$C:$C,0)))</f>
        <v>conventional-pollutant-standards.html</v>
      </c>
    </row>
    <row r="58" spans="1:18" s="2" customFormat="1" x14ac:dyDescent="0.3">
      <c r="A58" s="254" t="str">
        <f>IF(ISBLANK(INDEX('Policy Characteristics'!A:A,MATCH($C58,'Policy Characteristics'!$C:$C,0))),"",INDEX('Policy Characteristics'!A:A,MATCH($C58,'Policy Characteristics'!$C:$C,0)))</f>
        <v>Transportation</v>
      </c>
      <c r="B58" s="262" t="str">
        <f>IF(ISBLANK(INDEX('Policy Characteristics'!B:B,MATCH($C58,'Policy Characteristics'!$C:$C,0))),"",INDEX('Policy Characteristics'!B:B,MATCH($C58,'Policy Characteristics'!$C:$C,0)))</f>
        <v>Conventional Pollutant Standards</v>
      </c>
      <c r="C58" s="254" t="str">
        <f t="shared" si="2"/>
        <v>Percentage Reduction of Separately Regulated Pollutants</v>
      </c>
      <c r="D58" s="2" t="s">
        <v>113</v>
      </c>
      <c r="E58" s="2" t="s">
        <v>2231</v>
      </c>
      <c r="F58" s="2" t="s">
        <v>3289</v>
      </c>
      <c r="G58" s="2" t="s">
        <v>2231</v>
      </c>
      <c r="H58" s="47">
        <v>356</v>
      </c>
      <c r="I58" s="324" t="s">
        <v>43</v>
      </c>
      <c r="J58" s="255" t="str">
        <f>IF(ISBLANK(INDEX('Policy Characteristics'!D:D,MATCH($C58,'Policy Characteristics'!$C:$C,0))),"",INDEX('Policy Characteristics'!D:D,MATCH($C58,'Policy Characteristics'!$C:$C,0)))</f>
        <v>Conventional Pollutant Standard</v>
      </c>
      <c r="K58" s="254" t="str">
        <f>IF(ISBLANK(INDEX('Policy Characteristics'!E:E,MATCH($C58,'Policy Characteristics'!$C:$C,0))),"",INDEX('Policy Characteristics'!E:E,MATCH($C58,'Policy Characteristics'!$C:$C,0)))</f>
        <v>trans reduce regulated pollutants</v>
      </c>
      <c r="L58" s="261">
        <f>IF(ISBLANK(INDEX('Policy Characteristics'!F:F,MATCH($C58,'Policy Characteristics'!$C:$C,0))),"",INDEX('Policy Characteristics'!F:F,MATCH($C58,'Policy Characteristics'!$C:$C,0)))</f>
        <v>0</v>
      </c>
      <c r="M58" s="261">
        <f>IF(ISBLANK(INDEX('Policy Characteristics'!G:G,MATCH($C58,'Policy Characteristics'!$C:$C,0))),"",INDEX('Policy Characteristics'!G:G,MATCH($C58,'Policy Characteristics'!$C:$C,0)))</f>
        <v>1</v>
      </c>
      <c r="N58" s="261">
        <f>IF(ISBLANK(INDEX('Policy Characteristics'!H:H,MATCH($C58,'Policy Characteristics'!$C:$C,0))),"",INDEX('Policy Characteristics'!H:H,MATCH($C58,'Policy Characteristics'!$C:$C,0)))</f>
        <v>0.02</v>
      </c>
      <c r="O58" s="254" t="str">
        <f>IF(ISBLANK(INDEX('Policy Characteristics'!I:I,MATCH($C58,'Policy Characteristics'!$C:$C,0))),"",INDEX('Policy Characteristics'!I:I,MATCH($C58,'Policy Characteristics'!$C:$C,0)))</f>
        <v>% reduction in emissions</v>
      </c>
      <c r="P58" s="254"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4" t="str">
        <f>IF(ISBLANK(INDEX('Policy Characteristics'!K:K,MATCH($C58,'Policy Characteristics'!$C:$C,0))),"",INDEX('Policy Characteristics'!K:K,MATCH($C58,'Policy Characteristics'!$C:$C,0)))</f>
        <v>transportation-sector-main.html#conv-pol-stds</v>
      </c>
      <c r="R58" s="254" t="str">
        <f>IF(ISBLANK(INDEX('Policy Characteristics'!L:L,MATCH($C58,'Policy Characteristics'!$C:$C,0))),"",INDEX('Policy Characteristics'!L:L,MATCH($C58,'Policy Characteristics'!$C:$C,0)))</f>
        <v>conventional-pollutant-standards.html</v>
      </c>
    </row>
    <row r="59" spans="1:18" s="2" customFormat="1" x14ac:dyDescent="0.3">
      <c r="A59" s="254" t="str">
        <f>IF(ISBLANK(INDEX('Policy Characteristics'!A:A,MATCH($C59,'Policy Characteristics'!$C:$C,0))),"",INDEX('Policy Characteristics'!A:A,MATCH($C59,'Policy Characteristics'!$C:$C,0)))</f>
        <v>Transportation</v>
      </c>
      <c r="B59" s="262" t="str">
        <f>IF(ISBLANK(INDEX('Policy Characteristics'!B:B,MATCH($C59,'Policy Characteristics'!$C:$C,0))),"",INDEX('Policy Characteristics'!B:B,MATCH($C59,'Policy Characteristics'!$C:$C,0)))</f>
        <v>Conventional Pollutant Standards</v>
      </c>
      <c r="C59" s="254" t="str">
        <f t="shared" si="2"/>
        <v>Percentage Reduction of Separately Regulated Pollutants</v>
      </c>
      <c r="D59" s="2" t="s">
        <v>113</v>
      </c>
      <c r="E59" s="2" t="s">
        <v>2233</v>
      </c>
      <c r="F59" s="2" t="s">
        <v>3289</v>
      </c>
      <c r="G59" s="2" t="s">
        <v>2233</v>
      </c>
      <c r="H59" s="47">
        <v>357</v>
      </c>
      <c r="I59" s="324" t="s">
        <v>43</v>
      </c>
      <c r="J59" s="255" t="str">
        <f>IF(ISBLANK(INDEX('Policy Characteristics'!D:D,MATCH($C59,'Policy Characteristics'!$C:$C,0))),"",INDEX('Policy Characteristics'!D:D,MATCH($C59,'Policy Characteristics'!$C:$C,0)))</f>
        <v>Conventional Pollutant Standard</v>
      </c>
      <c r="K59" s="254" t="str">
        <f>IF(ISBLANK(INDEX('Policy Characteristics'!E:E,MATCH($C59,'Policy Characteristics'!$C:$C,0))),"",INDEX('Policy Characteristics'!E:E,MATCH($C59,'Policy Characteristics'!$C:$C,0)))</f>
        <v>trans reduce regulated pollutants</v>
      </c>
      <c r="L59" s="261">
        <f>IF(ISBLANK(INDEX('Policy Characteristics'!F:F,MATCH($C59,'Policy Characteristics'!$C:$C,0))),"",INDEX('Policy Characteristics'!F:F,MATCH($C59,'Policy Characteristics'!$C:$C,0)))</f>
        <v>0</v>
      </c>
      <c r="M59" s="261">
        <f>IF(ISBLANK(INDEX('Policy Characteristics'!G:G,MATCH($C59,'Policy Characteristics'!$C:$C,0))),"",INDEX('Policy Characteristics'!G:G,MATCH($C59,'Policy Characteristics'!$C:$C,0)))</f>
        <v>1</v>
      </c>
      <c r="N59" s="261">
        <f>IF(ISBLANK(INDEX('Policy Characteristics'!H:H,MATCH($C59,'Policy Characteristics'!$C:$C,0))),"",INDEX('Policy Characteristics'!H:H,MATCH($C59,'Policy Characteristics'!$C:$C,0)))</f>
        <v>0.02</v>
      </c>
      <c r="O59" s="254" t="str">
        <f>IF(ISBLANK(INDEX('Policy Characteristics'!I:I,MATCH($C59,'Policy Characteristics'!$C:$C,0))),"",INDEX('Policy Characteristics'!I:I,MATCH($C59,'Policy Characteristics'!$C:$C,0)))</f>
        <v>% reduction in emissions</v>
      </c>
      <c r="P59" s="254"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4" t="str">
        <f>IF(ISBLANK(INDEX('Policy Characteristics'!K:K,MATCH($C59,'Policy Characteristics'!$C:$C,0))),"",INDEX('Policy Characteristics'!K:K,MATCH($C59,'Policy Characteristics'!$C:$C,0)))</f>
        <v>transportation-sector-main.html#conv-pol-stds</v>
      </c>
      <c r="R59" s="254" t="str">
        <f>IF(ISBLANK(INDEX('Policy Characteristics'!L:L,MATCH($C59,'Policy Characteristics'!$C:$C,0))),"",INDEX('Policy Characteristics'!L:L,MATCH($C59,'Policy Characteristics'!$C:$C,0)))</f>
        <v>conventional-pollutant-standards.html</v>
      </c>
    </row>
    <row r="60" spans="1:18" s="2" customFormat="1" x14ac:dyDescent="0.3">
      <c r="A60" s="254" t="str">
        <f>IF(ISBLANK(INDEX('Policy Characteristics'!A:A,MATCH($C60,'Policy Characteristics'!$C:$C,0))),"",INDEX('Policy Characteristics'!A:A,MATCH($C60,'Policy Characteristics'!$C:$C,0)))</f>
        <v>Transportation</v>
      </c>
      <c r="B60" s="262" t="str">
        <f>IF(ISBLANK(INDEX('Policy Characteristics'!B:B,MATCH($C60,'Policy Characteristics'!$C:$C,0))),"",INDEX('Policy Characteristics'!B:B,MATCH($C60,'Policy Characteristics'!$C:$C,0)))</f>
        <v>Conventional Pollutant Standards</v>
      </c>
      <c r="C60" s="254" t="str">
        <f t="shared" si="2"/>
        <v>Percentage Reduction of Separately Regulated Pollutants</v>
      </c>
      <c r="D60" s="2" t="s">
        <v>113</v>
      </c>
      <c r="E60" s="2" t="s">
        <v>2235</v>
      </c>
      <c r="F60" s="2" t="s">
        <v>3289</v>
      </c>
      <c r="G60" s="2" t="s">
        <v>2235</v>
      </c>
      <c r="H60" s="47">
        <v>358</v>
      </c>
      <c r="I60" s="325" t="s">
        <v>44</v>
      </c>
      <c r="J60" s="255" t="str">
        <f>IF(ISBLANK(INDEX('Policy Characteristics'!D:D,MATCH($C60,'Policy Characteristics'!$C:$C,0))),"",INDEX('Policy Characteristics'!D:D,MATCH($C60,'Policy Characteristics'!$C:$C,0)))</f>
        <v>Conventional Pollutant Standard</v>
      </c>
      <c r="K60" s="254" t="str">
        <f>IF(ISBLANK(INDEX('Policy Characteristics'!E:E,MATCH($C60,'Policy Characteristics'!$C:$C,0))),"",INDEX('Policy Characteristics'!E:E,MATCH($C60,'Policy Characteristics'!$C:$C,0)))</f>
        <v>trans reduce regulated pollutants</v>
      </c>
      <c r="L60" s="261">
        <f>IF(ISBLANK(INDEX('Policy Characteristics'!F:F,MATCH($C60,'Policy Characteristics'!$C:$C,0))),"",INDEX('Policy Characteristics'!F:F,MATCH($C60,'Policy Characteristics'!$C:$C,0)))</f>
        <v>0</v>
      </c>
      <c r="M60" s="261">
        <f>IF(ISBLANK(INDEX('Policy Characteristics'!G:G,MATCH($C60,'Policy Characteristics'!$C:$C,0))),"",INDEX('Policy Characteristics'!G:G,MATCH($C60,'Policy Characteristics'!$C:$C,0)))</f>
        <v>1</v>
      </c>
      <c r="N60" s="261">
        <f>IF(ISBLANK(INDEX('Policy Characteristics'!H:H,MATCH($C60,'Policy Characteristics'!$C:$C,0))),"",INDEX('Policy Characteristics'!H:H,MATCH($C60,'Policy Characteristics'!$C:$C,0)))</f>
        <v>0.02</v>
      </c>
      <c r="O60" s="254" t="str">
        <f>IF(ISBLANK(INDEX('Policy Characteristics'!I:I,MATCH($C60,'Policy Characteristics'!$C:$C,0))),"",INDEX('Policy Characteristics'!I:I,MATCH($C60,'Policy Characteristics'!$C:$C,0)))</f>
        <v>% reduction in emissions</v>
      </c>
      <c r="P60" s="254"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4" t="str">
        <f>IF(ISBLANK(INDEX('Policy Characteristics'!K:K,MATCH($C60,'Policy Characteristics'!$C:$C,0))),"",INDEX('Policy Characteristics'!K:K,MATCH($C60,'Policy Characteristics'!$C:$C,0)))</f>
        <v>transportation-sector-main.html#conv-pol-stds</v>
      </c>
      <c r="R60" s="254" t="str">
        <f>IF(ISBLANK(INDEX('Policy Characteristics'!L:L,MATCH($C60,'Policy Characteristics'!$C:$C,0))),"",INDEX('Policy Characteristics'!L:L,MATCH($C60,'Policy Characteristics'!$C:$C,0)))</f>
        <v>conventional-pollutant-standards.html</v>
      </c>
    </row>
    <row r="61" spans="1:18" s="2" customFormat="1" x14ac:dyDescent="0.3">
      <c r="A61" s="254" t="str">
        <f>IF(ISBLANK(INDEX('Policy Characteristics'!A:A,MATCH($C61,'Policy Characteristics'!$C:$C,0))),"",INDEX('Policy Characteristics'!A:A,MATCH($C61,'Policy Characteristics'!$C:$C,0)))</f>
        <v>Transportation</v>
      </c>
      <c r="B61" s="262" t="str">
        <f>IF(ISBLANK(INDEX('Policy Characteristics'!B:B,MATCH($C61,'Policy Characteristics'!$C:$C,0))),"",INDEX('Policy Characteristics'!B:B,MATCH($C61,'Policy Characteristics'!$C:$C,0)))</f>
        <v>Conventional Pollutant Standards</v>
      </c>
      <c r="C61" s="254" t="str">
        <f t="shared" si="2"/>
        <v>Percentage Reduction of Separately Regulated Pollutants</v>
      </c>
      <c r="D61" s="2" t="s">
        <v>113</v>
      </c>
      <c r="E61" s="2" t="s">
        <v>2237</v>
      </c>
      <c r="F61" s="2" t="s">
        <v>3289</v>
      </c>
      <c r="G61" s="2" t="s">
        <v>2237</v>
      </c>
      <c r="H61" s="47">
        <v>359</v>
      </c>
      <c r="I61" s="325" t="s">
        <v>44</v>
      </c>
      <c r="J61" s="255" t="str">
        <f>IF(ISBLANK(INDEX('Policy Characteristics'!D:D,MATCH($C61,'Policy Characteristics'!$C:$C,0))),"",INDEX('Policy Characteristics'!D:D,MATCH($C61,'Policy Characteristics'!$C:$C,0)))</f>
        <v>Conventional Pollutant Standard</v>
      </c>
      <c r="K61" s="254" t="str">
        <f>IF(ISBLANK(INDEX('Policy Characteristics'!E:E,MATCH($C61,'Policy Characteristics'!$C:$C,0))),"",INDEX('Policy Characteristics'!E:E,MATCH($C61,'Policy Characteristics'!$C:$C,0)))</f>
        <v>trans reduce regulated pollutants</v>
      </c>
      <c r="L61" s="261">
        <f>IF(ISBLANK(INDEX('Policy Characteristics'!F:F,MATCH($C61,'Policy Characteristics'!$C:$C,0))),"",INDEX('Policy Characteristics'!F:F,MATCH($C61,'Policy Characteristics'!$C:$C,0)))</f>
        <v>0</v>
      </c>
      <c r="M61" s="261">
        <f>IF(ISBLANK(INDEX('Policy Characteristics'!G:G,MATCH($C61,'Policy Characteristics'!$C:$C,0))),"",INDEX('Policy Characteristics'!G:G,MATCH($C61,'Policy Characteristics'!$C:$C,0)))</f>
        <v>1</v>
      </c>
      <c r="N61" s="261">
        <f>IF(ISBLANK(INDEX('Policy Characteristics'!H:H,MATCH($C61,'Policy Characteristics'!$C:$C,0))),"",INDEX('Policy Characteristics'!H:H,MATCH($C61,'Policy Characteristics'!$C:$C,0)))</f>
        <v>0.02</v>
      </c>
      <c r="O61" s="254" t="str">
        <f>IF(ISBLANK(INDEX('Policy Characteristics'!I:I,MATCH($C61,'Policy Characteristics'!$C:$C,0))),"",INDEX('Policy Characteristics'!I:I,MATCH($C61,'Policy Characteristics'!$C:$C,0)))</f>
        <v>% reduction in emissions</v>
      </c>
      <c r="P61" s="254"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4" t="str">
        <f>IF(ISBLANK(INDEX('Policy Characteristics'!K:K,MATCH($C61,'Policy Characteristics'!$C:$C,0))),"",INDEX('Policy Characteristics'!K:K,MATCH($C61,'Policy Characteristics'!$C:$C,0)))</f>
        <v>transportation-sector-main.html#conv-pol-stds</v>
      </c>
      <c r="R61" s="254" t="str">
        <f>IF(ISBLANK(INDEX('Policy Characteristics'!L:L,MATCH($C61,'Policy Characteristics'!$C:$C,0))),"",INDEX('Policy Characteristics'!L:L,MATCH($C61,'Policy Characteristics'!$C:$C,0)))</f>
        <v>conventional-pollutant-standards.html</v>
      </c>
    </row>
    <row r="62" spans="1:18" s="2" customFormat="1" x14ac:dyDescent="0.3">
      <c r="A62" s="254" t="str">
        <f>IF(ISBLANK(INDEX('Policy Characteristics'!A:A,MATCH($C62,'Policy Characteristics'!$C:$C,0))),"",INDEX('Policy Characteristics'!A:A,MATCH($C62,'Policy Characteristics'!$C:$C,0)))</f>
        <v>Transportation</v>
      </c>
      <c r="B62" s="262" t="str">
        <f>IF(ISBLANK(INDEX('Policy Characteristics'!B:B,MATCH($C62,'Policy Characteristics'!$C:$C,0))),"",INDEX('Policy Characteristics'!B:B,MATCH($C62,'Policy Characteristics'!$C:$C,0)))</f>
        <v>Electric Vehicle Charger Deployment</v>
      </c>
      <c r="C62" s="1" t="s">
        <v>3463</v>
      </c>
      <c r="H62" s="47">
        <v>360</v>
      </c>
      <c r="I62" s="325" t="s">
        <v>43</v>
      </c>
      <c r="J62" s="255" t="str">
        <f>IF(ISBLANK(INDEX('Policy Characteristics'!D:D,MATCH($C62,'Policy Characteristics'!$C:$C,0))),"",INDEX('Policy Characteristics'!D:D,MATCH($C62,'Policy Characteristics'!$C:$C,0)))</f>
        <v>EV Charger Deployment</v>
      </c>
      <c r="K62" s="254" t="str">
        <f>IF(ISBLANK(INDEX('Policy Characteristics'!E:E,MATCH($C62,'Policy Characteristics'!$C:$C,0))),"",INDEX('Policy Characteristics'!E:E,MATCH($C62,'Policy Characteristics'!$C:$C,0)))</f>
        <v>trans EV charger deployment</v>
      </c>
      <c r="L62" s="254">
        <f>IF(ISBLANK(INDEX('Policy Characteristics'!F:F,MATCH($C62,'Policy Characteristics'!$C:$C,0))),"",INDEX('Policy Characteristics'!F:F,MATCH($C62,'Policy Characteristics'!$C:$C,0)))</f>
        <v>0</v>
      </c>
      <c r="M62" s="254">
        <f>IF(ISBLANK(INDEX('Policy Characteristics'!G:G,MATCH($C62,'Policy Characteristics'!$C:$C,0))),"",INDEX('Policy Characteristics'!G:G,MATCH($C62,'Policy Characteristics'!$C:$C,0)))</f>
        <v>3</v>
      </c>
      <c r="N62" s="254">
        <f>IF(ISBLANK(INDEX('Policy Characteristics'!H:H,MATCH($C62,'Policy Characteristics'!$C:$C,0))),"",INDEX('Policy Characteristics'!H:H,MATCH($C62,'Policy Characteristics'!$C:$C,0)))</f>
        <v>0.1</v>
      </c>
      <c r="O62" s="254" t="str">
        <f>IF(ISBLANK(INDEX('Policy Characteristics'!I:I,MATCH($C62,'Policy Characteristics'!$C:$C,0))),"",INDEX('Policy Characteristics'!I:I,MATCH($C62,'Policy Characteristics'!$C:$C,0)))</f>
        <v>% increase</v>
      </c>
      <c r="P62" s="254" t="str">
        <f>IF(ISBLANK(INDEX('Policy Characteristics'!J:J,MATCH($C62,'Policy Characteristics'!$C:$C,0))),"",INDEX('Policy Characteristics'!J:J,MATCH($C62,'Policy Characteristics'!$C:$C,0)))</f>
        <v>**Description:** This policy represents increasing the deployment of EV charging stations, including DC Fast and Level 2 charging stations.   // **Guidance for setting values:** This policy affects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4" t="str">
        <f>IF(ISBLANK(INDEX('Policy Characteristics'!K:K,MATCH($C62,'Policy Characteristics'!$C:$C,0))),"",INDEX('Policy Characteristics'!K:K,MATCH($C62,'Policy Characteristics'!$C:$C,0)))</f>
        <v/>
      </c>
      <c r="R62" s="254" t="str">
        <f>IF(ISBLANK(INDEX('Policy Characteristics'!L:L,MATCH($C62,'Policy Characteristics'!$C:$C,0))),"",INDEX('Policy Characteristics'!L:L,MATCH($C62,'Policy Characteristics'!$C:$C,0)))</f>
        <v>ev-charger-deployment.html</v>
      </c>
    </row>
    <row r="63" spans="1:18" s="2" customFormat="1" x14ac:dyDescent="0.3">
      <c r="A63" s="254" t="str">
        <f>IF(ISBLANK(INDEX('Policy Characteristics'!A:A,MATCH($C63,'Policy Characteristics'!$C:$C,0))),"",INDEX('Policy Characteristics'!A:A,MATCH($C63,'Policy Characteristics'!$C:$C,0)))</f>
        <v>Transportation</v>
      </c>
      <c r="B63" s="262" t="str">
        <f>IF(ISBLANK(INDEX('Policy Characteristics'!B:B,MATCH($C63,'Policy Characteristics'!$C:$C,0))),"",INDEX('Policy Characteristics'!B:B,MATCH($C63,'Policy Characteristics'!$C:$C,0)))</f>
        <v>Passenger Vehicle Subsidy</v>
      </c>
      <c r="C63" s="1" t="s">
        <v>3439</v>
      </c>
      <c r="D63" s="45" t="s">
        <v>37</v>
      </c>
      <c r="E63" s="45" t="s">
        <v>2245</v>
      </c>
      <c r="F63" s="2" t="s">
        <v>3293</v>
      </c>
      <c r="G63" s="45" t="s">
        <v>3445</v>
      </c>
      <c r="H63" s="47">
        <v>189</v>
      </c>
      <c r="I63" s="324" t="s">
        <v>43</v>
      </c>
      <c r="J63" s="255" t="str">
        <f>IF(ISBLANK(INDEX('Policy Characteristics'!D:D,MATCH($C63,'Policy Characteristics'!$C:$C,0))),"",INDEX('Policy Characteristics'!D:D,MATCH($C63,'Policy Characteristics'!$C:$C,0)))</f>
        <v>Vehicle Subsidy</v>
      </c>
      <c r="K63" s="254" t="str">
        <f>IF(ISBLANK(INDEX('Policy Characteristics'!E:E,MATCH($C63,'Policy Characteristics'!$C:$C,0))),"",INDEX('Policy Characteristics'!E:E,MATCH($C63,'Policy Characteristics'!$C:$C,0)))</f>
        <v>trans psgr subsidy</v>
      </c>
      <c r="L63" s="261">
        <f>IF(ISBLANK(INDEX('Policy Characteristics'!F:F,MATCH($C63,'Policy Characteristics'!$C:$C,0))),"",INDEX('Policy Characteristics'!F:F,MATCH($C63,'Policy Characteristics'!$C:$C,0)))</f>
        <v>0</v>
      </c>
      <c r="M63" s="261">
        <f>IF(ISBLANK(INDEX('Policy Characteristics'!G:G,MATCH($C63,'Policy Characteristics'!$C:$C,0))),"",INDEX('Policy Characteristics'!G:G,MATCH($C63,'Policy Characteristics'!$C:$C,0)))</f>
        <v>50000</v>
      </c>
      <c r="N63" s="261">
        <f>IF(ISBLANK(INDEX('Policy Characteristics'!H:H,MATCH($C63,'Policy Characteristics'!$C:$C,0))),"",INDEX('Policy Characteristics'!H:H,MATCH($C63,'Policy Characteristics'!$C:$C,0)))</f>
        <v>100</v>
      </c>
      <c r="O63" s="254" t="str">
        <f>IF(ISBLANK(INDEX('Policy Characteristics'!I:I,MATCH($C63,'Policy Characteristics'!$C:$C,0))),"",INDEX('Policy Characteristics'!I:I,MATCH($C63,'Policy Characteristics'!$C:$C,0)))</f>
        <v>$ / vehicle</v>
      </c>
      <c r="P63" s="254" t="str">
        <f>IF(ISBLANK(INDEX('Policy Characteristics'!J:J,MATCH($C63,'Policy Characteristics'!$C:$C,0))),"",INDEX('Policy Characteristics'!J:J,MATCH($C63,'Policy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3" s="254" t="str">
        <f>IF(ISBLANK(INDEX('Policy Characteristics'!K:K,MATCH($C63,'Policy Characteristics'!$C:$C,0))),"",INDEX('Policy Characteristics'!K:K,MATCH($C63,'Policy Characteristics'!$C:$C,0)))</f>
        <v>transportation-sector-main.html#ev-subsidy</v>
      </c>
      <c r="R63" s="254" t="str">
        <f>IF(ISBLANK(INDEX('Policy Characteristics'!L:L,MATCH($C63,'Policy Characteristics'!$C:$C,0))),"",INDEX('Policy Characteristics'!L:L,MATCH($C63,'Policy Characteristics'!$C:$C,0)))</f>
        <v>ev-subsidy.html</v>
      </c>
    </row>
    <row r="64" spans="1:18" ht="14.4" customHeight="1" x14ac:dyDescent="0.3">
      <c r="A64" s="254" t="str">
        <f>IF(ISBLANK(INDEX('Policy Characteristics'!A:A,MATCH($C64,'Policy Characteristics'!$C:$C,0))),"",INDEX('Policy Characteristics'!A:A,MATCH($C64,'Policy Characteristics'!$C:$C,0)))</f>
        <v>Transportation</v>
      </c>
      <c r="B64" s="262" t="str">
        <f>IF(ISBLANK(INDEX('Policy Characteristics'!B:B,MATCH($C64,'Policy Characteristics'!$C:$C,0))),"",INDEX('Policy Characteristics'!B:B,MATCH($C64,'Policy Characteristics'!$C:$C,0)))</f>
        <v>Passenger Vehicle Subsidy</v>
      </c>
      <c r="C64" s="254" t="str">
        <f t="shared" ref="C64:C104" si="3">C$63</f>
        <v>Additional Passenger Vehicle Subsidy</v>
      </c>
      <c r="D64" s="45" t="s">
        <v>37</v>
      </c>
      <c r="E64" s="2" t="s">
        <v>2246</v>
      </c>
      <c r="F64" s="2" t="s">
        <v>3293</v>
      </c>
      <c r="G64" s="2" t="s">
        <v>3446</v>
      </c>
      <c r="H64" s="43">
        <v>592</v>
      </c>
      <c r="I64" s="325" t="s">
        <v>44</v>
      </c>
      <c r="J64" s="255" t="str">
        <f>IF(ISBLANK(INDEX('Policy Characteristics'!D:D,MATCH($C64,'Policy Characteristics'!$C:$C,0))),"",INDEX('Policy Characteristics'!D:D,MATCH($C64,'Policy Characteristics'!$C:$C,0)))</f>
        <v>Vehicle Subsidy</v>
      </c>
      <c r="K64" s="254" t="str">
        <f>IF(ISBLANK(INDEX('Policy Characteristics'!E:E,MATCH($C64,'Policy Characteristics'!$C:$C,0))),"",INDEX('Policy Characteristics'!E:E,MATCH($C64,'Policy Characteristics'!$C:$C,0)))</f>
        <v>trans psgr subsidy</v>
      </c>
      <c r="L64" s="261">
        <f>IF(ISBLANK(INDEX('Policy Characteristics'!F:F,MATCH($C64,'Policy Characteristics'!$C:$C,0))),"",INDEX('Policy Characteristics'!F:F,MATCH($C64,'Policy Characteristics'!$C:$C,0)))</f>
        <v>0</v>
      </c>
      <c r="M64" s="261">
        <f>IF(ISBLANK(INDEX('Policy Characteristics'!G:G,MATCH($C64,'Policy Characteristics'!$C:$C,0))),"",INDEX('Policy Characteristics'!G:G,MATCH($C64,'Policy Characteristics'!$C:$C,0)))</f>
        <v>50000</v>
      </c>
      <c r="N64" s="261">
        <f>IF(ISBLANK(INDEX('Policy Characteristics'!H:H,MATCH($C64,'Policy Characteristics'!$C:$C,0))),"",INDEX('Policy Characteristics'!H:H,MATCH($C64,'Policy Characteristics'!$C:$C,0)))</f>
        <v>100</v>
      </c>
      <c r="O64" s="254" t="str">
        <f>IF(ISBLANK(INDEX('Policy Characteristics'!I:I,MATCH($C64,'Policy Characteristics'!$C:$C,0))),"",INDEX('Policy Characteristics'!I:I,MATCH($C64,'Policy Characteristics'!$C:$C,0)))</f>
        <v>$ / vehicle</v>
      </c>
      <c r="P64" s="254" t="str">
        <f>IF(ISBLANK(INDEX('Policy Characteristics'!J:J,MATCH($C64,'Policy Characteristics'!$C:$C,0))),"",INDEX('Policy Characteristics'!J:J,MATCH($C64,'Policy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4" s="254" t="str">
        <f>IF(ISBLANK(INDEX('Policy Characteristics'!K:K,MATCH($C64,'Policy Characteristics'!$C:$C,0))),"",INDEX('Policy Characteristics'!K:K,MATCH($C64,'Policy Characteristics'!$C:$C,0)))</f>
        <v>transportation-sector-main.html#ev-subsidy</v>
      </c>
      <c r="R64" s="254" t="str">
        <f>IF(ISBLANK(INDEX('Policy Characteristics'!L:L,MATCH($C64,'Policy Characteristics'!$C:$C,0))),"",INDEX('Policy Characteristics'!L:L,MATCH($C64,'Policy Characteristics'!$C:$C,0)))</f>
        <v>ev-subsidy.html</v>
      </c>
    </row>
    <row r="65" spans="1:18" x14ac:dyDescent="0.3">
      <c r="A65" s="254" t="str">
        <f>IF(ISBLANK(INDEX('Policy Characteristics'!A:A,MATCH($C65,'Policy Characteristics'!$C:$C,0))),"",INDEX('Policy Characteristics'!A:A,MATCH($C65,'Policy Characteristics'!$C:$C,0)))</f>
        <v>Transportation</v>
      </c>
      <c r="B65" s="262" t="str">
        <f>IF(ISBLANK(INDEX('Policy Characteristics'!B:B,MATCH($C65,'Policy Characteristics'!$C:$C,0))),"",INDEX('Policy Characteristics'!B:B,MATCH($C65,'Policy Characteristics'!$C:$C,0)))</f>
        <v>Passenger Vehicle Subsidy</v>
      </c>
      <c r="C65" s="254" t="str">
        <f t="shared" si="3"/>
        <v>Additional Passenger Vehicle Subsidy</v>
      </c>
      <c r="D65" s="45" t="s">
        <v>37</v>
      </c>
      <c r="E65" s="2" t="s">
        <v>2247</v>
      </c>
      <c r="F65" s="2" t="s">
        <v>3293</v>
      </c>
      <c r="G65" s="2" t="s">
        <v>3447</v>
      </c>
      <c r="H65" s="43">
        <v>593</v>
      </c>
      <c r="I65" s="325" t="s">
        <v>44</v>
      </c>
      <c r="J65" s="255" t="str">
        <f>IF(ISBLANK(INDEX('Policy Characteristics'!D:D,MATCH($C65,'Policy Characteristics'!$C:$C,0))),"",INDEX('Policy Characteristics'!D:D,MATCH($C65,'Policy Characteristics'!$C:$C,0)))</f>
        <v>Vehicle Subsidy</v>
      </c>
      <c r="K65" s="254" t="str">
        <f>IF(ISBLANK(INDEX('Policy Characteristics'!E:E,MATCH($C65,'Policy Characteristics'!$C:$C,0))),"",INDEX('Policy Characteristics'!E:E,MATCH($C65,'Policy Characteristics'!$C:$C,0)))</f>
        <v>trans psgr subsidy</v>
      </c>
      <c r="L65" s="261">
        <f>IF(ISBLANK(INDEX('Policy Characteristics'!F:F,MATCH($C65,'Policy Characteristics'!$C:$C,0))),"",INDEX('Policy Characteristics'!F:F,MATCH($C65,'Policy Characteristics'!$C:$C,0)))</f>
        <v>0</v>
      </c>
      <c r="M65" s="261">
        <f>IF(ISBLANK(INDEX('Policy Characteristics'!G:G,MATCH($C65,'Policy Characteristics'!$C:$C,0))),"",INDEX('Policy Characteristics'!G:G,MATCH($C65,'Policy Characteristics'!$C:$C,0)))</f>
        <v>50000</v>
      </c>
      <c r="N65" s="261">
        <f>IF(ISBLANK(INDEX('Policy Characteristics'!H:H,MATCH($C65,'Policy Characteristics'!$C:$C,0))),"",INDEX('Policy Characteristics'!H:H,MATCH($C65,'Policy Characteristics'!$C:$C,0)))</f>
        <v>100</v>
      </c>
      <c r="O65" s="254" t="str">
        <f>IF(ISBLANK(INDEX('Policy Characteristics'!I:I,MATCH($C65,'Policy Characteristics'!$C:$C,0))),"",INDEX('Policy Characteristics'!I:I,MATCH($C65,'Policy Characteristics'!$C:$C,0)))</f>
        <v>$ / vehicle</v>
      </c>
      <c r="P65" s="254" t="str">
        <f>IF(ISBLANK(INDEX('Policy Characteristics'!J:J,MATCH($C65,'Policy Characteristics'!$C:$C,0))),"",INDEX('Policy Characteristics'!J:J,MATCH($C65,'Policy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5" s="254" t="str">
        <f>IF(ISBLANK(INDEX('Policy Characteristics'!K:K,MATCH($C65,'Policy Characteristics'!$C:$C,0))),"",INDEX('Policy Characteristics'!K:K,MATCH($C65,'Policy Characteristics'!$C:$C,0)))</f>
        <v>transportation-sector-main.html#ev-subsidy</v>
      </c>
      <c r="R65" s="254" t="str">
        <f>IF(ISBLANK(INDEX('Policy Characteristics'!L:L,MATCH($C65,'Policy Characteristics'!$C:$C,0))),"",INDEX('Policy Characteristics'!L:L,MATCH($C65,'Policy Characteristics'!$C:$C,0)))</f>
        <v>ev-subsidy.html</v>
      </c>
    </row>
    <row r="66" spans="1:18" x14ac:dyDescent="0.3">
      <c r="A66" s="254" t="str">
        <f>IF(ISBLANK(INDEX('Policy Characteristics'!A:A,MATCH($C66,'Policy Characteristics'!$C:$C,0))),"",INDEX('Policy Characteristics'!A:A,MATCH($C66,'Policy Characteristics'!$C:$C,0)))</f>
        <v>Transportation</v>
      </c>
      <c r="B66" s="262" t="str">
        <f>IF(ISBLANK(INDEX('Policy Characteristics'!B:B,MATCH($C66,'Policy Characteristics'!$C:$C,0))),"",INDEX('Policy Characteristics'!B:B,MATCH($C66,'Policy Characteristics'!$C:$C,0)))</f>
        <v>Passenger Vehicle Subsidy</v>
      </c>
      <c r="C66" s="254" t="str">
        <f t="shared" si="3"/>
        <v>Additional Passenger Vehicle Subsidy</v>
      </c>
      <c r="D66" s="45" t="s">
        <v>37</v>
      </c>
      <c r="E66" s="2" t="s">
        <v>2248</v>
      </c>
      <c r="F66" s="2" t="s">
        <v>3293</v>
      </c>
      <c r="G66" s="2" t="s">
        <v>3448</v>
      </c>
      <c r="H66" s="43">
        <v>594</v>
      </c>
      <c r="I66" s="325" t="s">
        <v>44</v>
      </c>
      <c r="J66" s="255" t="str">
        <f>IF(ISBLANK(INDEX('Policy Characteristics'!D:D,MATCH($C66,'Policy Characteristics'!$C:$C,0))),"",INDEX('Policy Characteristics'!D:D,MATCH($C66,'Policy Characteristics'!$C:$C,0)))</f>
        <v>Vehicle Subsidy</v>
      </c>
      <c r="K66" s="254" t="str">
        <f>IF(ISBLANK(INDEX('Policy Characteristics'!E:E,MATCH($C66,'Policy Characteristics'!$C:$C,0))),"",INDEX('Policy Characteristics'!E:E,MATCH($C66,'Policy Characteristics'!$C:$C,0)))</f>
        <v>trans psgr subsidy</v>
      </c>
      <c r="L66" s="261">
        <f>IF(ISBLANK(INDEX('Policy Characteristics'!F:F,MATCH($C66,'Policy Characteristics'!$C:$C,0))),"",INDEX('Policy Characteristics'!F:F,MATCH($C66,'Policy Characteristics'!$C:$C,0)))</f>
        <v>0</v>
      </c>
      <c r="M66" s="261">
        <f>IF(ISBLANK(INDEX('Policy Characteristics'!G:G,MATCH($C66,'Policy Characteristics'!$C:$C,0))),"",INDEX('Policy Characteristics'!G:G,MATCH($C66,'Policy Characteristics'!$C:$C,0)))</f>
        <v>50000</v>
      </c>
      <c r="N66" s="261">
        <f>IF(ISBLANK(INDEX('Policy Characteristics'!H:H,MATCH($C66,'Policy Characteristics'!$C:$C,0))),"",INDEX('Policy Characteristics'!H:H,MATCH($C66,'Policy Characteristics'!$C:$C,0)))</f>
        <v>100</v>
      </c>
      <c r="O66" s="254" t="str">
        <f>IF(ISBLANK(INDEX('Policy Characteristics'!I:I,MATCH($C66,'Policy Characteristics'!$C:$C,0))),"",INDEX('Policy Characteristics'!I:I,MATCH($C66,'Policy Characteristics'!$C:$C,0)))</f>
        <v>$ / vehicle</v>
      </c>
      <c r="P66" s="254" t="str">
        <f>IF(ISBLANK(INDEX('Policy Characteristics'!J:J,MATCH($C66,'Policy Characteristics'!$C:$C,0))),"",INDEX('Policy Characteristics'!J:J,MATCH($C66,'Policy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6" s="254" t="str">
        <f>IF(ISBLANK(INDEX('Policy Characteristics'!K:K,MATCH($C66,'Policy Characteristics'!$C:$C,0))),"",INDEX('Policy Characteristics'!K:K,MATCH($C66,'Policy Characteristics'!$C:$C,0)))</f>
        <v>transportation-sector-main.html#ev-subsidy</v>
      </c>
      <c r="R66" s="254" t="str">
        <f>IF(ISBLANK(INDEX('Policy Characteristics'!L:L,MATCH($C66,'Policy Characteristics'!$C:$C,0))),"",INDEX('Policy Characteristics'!L:L,MATCH($C66,'Policy Characteristics'!$C:$C,0)))</f>
        <v>ev-subsidy.html</v>
      </c>
    </row>
    <row r="67" spans="1:18" x14ac:dyDescent="0.3">
      <c r="A67" s="254" t="str">
        <f>IF(ISBLANK(INDEX('Policy Characteristics'!A:A,MATCH($C67,'Policy Characteristics'!$C:$C,0))),"",INDEX('Policy Characteristics'!A:A,MATCH($C67,'Policy Characteristics'!$C:$C,0)))</f>
        <v>Transportation</v>
      </c>
      <c r="B67" s="262" t="str">
        <f>IF(ISBLANK(INDEX('Policy Characteristics'!B:B,MATCH($C67,'Policy Characteristics'!$C:$C,0))),"",INDEX('Policy Characteristics'!B:B,MATCH($C67,'Policy Characteristics'!$C:$C,0)))</f>
        <v>Passenger Vehicle Subsidy</v>
      </c>
      <c r="C67" s="254" t="str">
        <f t="shared" si="3"/>
        <v>Additional Passenger Vehicle Subsidy</v>
      </c>
      <c r="D67" s="45" t="s">
        <v>37</v>
      </c>
      <c r="E67" s="2" t="s">
        <v>2249</v>
      </c>
      <c r="F67" s="2" t="s">
        <v>3293</v>
      </c>
      <c r="G67" s="2" t="s">
        <v>3449</v>
      </c>
      <c r="H67" s="43">
        <v>595</v>
      </c>
      <c r="I67" s="324" t="s">
        <v>43</v>
      </c>
      <c r="J67" s="255" t="str">
        <f>IF(ISBLANK(INDEX('Policy Characteristics'!D:D,MATCH($C67,'Policy Characteristics'!$C:$C,0))),"",INDEX('Policy Characteristics'!D:D,MATCH($C67,'Policy Characteristics'!$C:$C,0)))</f>
        <v>Vehicle Subsidy</v>
      </c>
      <c r="K67" s="254" t="str">
        <f>IF(ISBLANK(INDEX('Policy Characteristics'!E:E,MATCH($C67,'Policy Characteristics'!$C:$C,0))),"",INDEX('Policy Characteristics'!E:E,MATCH($C67,'Policy Characteristics'!$C:$C,0)))</f>
        <v>trans psgr subsidy</v>
      </c>
      <c r="L67" s="261">
        <f>IF(ISBLANK(INDEX('Policy Characteristics'!F:F,MATCH($C67,'Policy Characteristics'!$C:$C,0))),"",INDEX('Policy Characteristics'!F:F,MATCH($C67,'Policy Characteristics'!$C:$C,0)))</f>
        <v>0</v>
      </c>
      <c r="M67" s="261">
        <f>IF(ISBLANK(INDEX('Policy Characteristics'!G:G,MATCH($C67,'Policy Characteristics'!$C:$C,0))),"",INDEX('Policy Characteristics'!G:G,MATCH($C67,'Policy Characteristics'!$C:$C,0)))</f>
        <v>50000</v>
      </c>
      <c r="N67" s="261">
        <f>IF(ISBLANK(INDEX('Policy Characteristics'!H:H,MATCH($C67,'Policy Characteristics'!$C:$C,0))),"",INDEX('Policy Characteristics'!H:H,MATCH($C67,'Policy Characteristics'!$C:$C,0)))</f>
        <v>100</v>
      </c>
      <c r="O67" s="254" t="str">
        <f>IF(ISBLANK(INDEX('Policy Characteristics'!I:I,MATCH($C67,'Policy Characteristics'!$C:$C,0))),"",INDEX('Policy Characteristics'!I:I,MATCH($C67,'Policy Characteristics'!$C:$C,0)))</f>
        <v>$ / vehicle</v>
      </c>
      <c r="P67" s="254" t="str">
        <f>IF(ISBLANK(INDEX('Policy Characteristics'!J:J,MATCH($C67,'Policy Characteristics'!$C:$C,0))),"",INDEX('Policy Characteristics'!J:J,MATCH($C67,'Policy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7" s="254" t="str">
        <f>IF(ISBLANK(INDEX('Policy Characteristics'!K:K,MATCH($C67,'Policy Characteristics'!$C:$C,0))),"",INDEX('Policy Characteristics'!K:K,MATCH($C67,'Policy Characteristics'!$C:$C,0)))</f>
        <v>transportation-sector-main.html#ev-subsidy</v>
      </c>
      <c r="R67" s="254" t="str">
        <f>IF(ISBLANK(INDEX('Policy Characteristics'!L:L,MATCH($C67,'Policy Characteristics'!$C:$C,0))),"",INDEX('Policy Characteristics'!L:L,MATCH($C67,'Policy Characteristics'!$C:$C,0)))</f>
        <v>ev-subsidy.html</v>
      </c>
    </row>
    <row r="68" spans="1:18" x14ac:dyDescent="0.3">
      <c r="A68" s="254" t="str">
        <f>IF(ISBLANK(INDEX('Policy Characteristics'!A:A,MATCH($C68,'Policy Characteristics'!$C:$C,0))),"",INDEX('Policy Characteristics'!A:A,MATCH($C68,'Policy Characteristics'!$C:$C,0)))</f>
        <v>Transportation</v>
      </c>
      <c r="B68" s="262" t="str">
        <f>IF(ISBLANK(INDEX('Policy Characteristics'!B:B,MATCH($C68,'Policy Characteristics'!$C:$C,0))),"",INDEX('Policy Characteristics'!B:B,MATCH($C68,'Policy Characteristics'!$C:$C,0)))</f>
        <v>Passenger Vehicle Subsidy</v>
      </c>
      <c r="C68" s="254" t="str">
        <f t="shared" si="3"/>
        <v>Additional Passenger Vehicle Subsidy</v>
      </c>
      <c r="D68" s="45" t="s">
        <v>37</v>
      </c>
      <c r="E68" s="2" t="s">
        <v>2509</v>
      </c>
      <c r="F68" s="2" t="s">
        <v>3293</v>
      </c>
      <c r="G68" s="2" t="s">
        <v>2509</v>
      </c>
      <c r="H68" s="43">
        <v>596</v>
      </c>
      <c r="I68" s="325" t="s">
        <v>44</v>
      </c>
      <c r="J68" s="255" t="str">
        <f>IF(ISBLANK(INDEX('Policy Characteristics'!D:D,MATCH($C68,'Policy Characteristics'!$C:$C,0))),"",INDEX('Policy Characteristics'!D:D,MATCH($C68,'Policy Characteristics'!$C:$C,0)))</f>
        <v>Vehicle Subsidy</v>
      </c>
      <c r="K68" s="254" t="str">
        <f>IF(ISBLANK(INDEX('Policy Characteristics'!E:E,MATCH($C68,'Policy Characteristics'!$C:$C,0))),"",INDEX('Policy Characteristics'!E:E,MATCH($C68,'Policy Characteristics'!$C:$C,0)))</f>
        <v>trans psgr subsidy</v>
      </c>
      <c r="L68" s="261">
        <f>IF(ISBLANK(INDEX('Policy Characteristics'!F:F,MATCH($C68,'Policy Characteristics'!$C:$C,0))),"",INDEX('Policy Characteristics'!F:F,MATCH($C68,'Policy Characteristics'!$C:$C,0)))</f>
        <v>0</v>
      </c>
      <c r="M68" s="261">
        <f>IF(ISBLANK(INDEX('Policy Characteristics'!G:G,MATCH($C68,'Policy Characteristics'!$C:$C,0))),"",INDEX('Policy Characteristics'!G:G,MATCH($C68,'Policy Characteristics'!$C:$C,0)))</f>
        <v>50000</v>
      </c>
      <c r="N68" s="261">
        <f>IF(ISBLANK(INDEX('Policy Characteristics'!H:H,MATCH($C68,'Policy Characteristics'!$C:$C,0))),"",INDEX('Policy Characteristics'!H:H,MATCH($C68,'Policy Characteristics'!$C:$C,0)))</f>
        <v>100</v>
      </c>
      <c r="O68" s="254" t="str">
        <f>IF(ISBLANK(INDEX('Policy Characteristics'!I:I,MATCH($C68,'Policy Characteristics'!$C:$C,0))),"",INDEX('Policy Characteristics'!I:I,MATCH($C68,'Policy Characteristics'!$C:$C,0)))</f>
        <v>$ / vehicle</v>
      </c>
      <c r="P68" s="254" t="str">
        <f>IF(ISBLANK(INDEX('Policy Characteristics'!J:J,MATCH($C68,'Policy Characteristics'!$C:$C,0))),"",INDEX('Policy Characteristics'!J:J,MATCH($C68,'Policy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8" s="254" t="str">
        <f>IF(ISBLANK(INDEX('Policy Characteristics'!K:K,MATCH($C68,'Policy Characteristics'!$C:$C,0))),"",INDEX('Policy Characteristics'!K:K,MATCH($C68,'Policy Characteristics'!$C:$C,0)))</f>
        <v>transportation-sector-main.html#ev-subsidy</v>
      </c>
      <c r="R68" s="254" t="str">
        <f>IF(ISBLANK(INDEX('Policy Characteristics'!L:L,MATCH($C68,'Policy Characteristics'!$C:$C,0))),"",INDEX('Policy Characteristics'!L:L,MATCH($C68,'Policy Characteristics'!$C:$C,0)))</f>
        <v>ev-subsidy.html</v>
      </c>
    </row>
    <row r="69" spans="1:18" x14ac:dyDescent="0.3">
      <c r="A69" s="254" t="str">
        <f>IF(ISBLANK(INDEX('Policy Characteristics'!A:A,MATCH($C69,'Policy Characteristics'!$C:$C,0))),"",INDEX('Policy Characteristics'!A:A,MATCH($C69,'Policy Characteristics'!$C:$C,0)))</f>
        <v>Transportation</v>
      </c>
      <c r="B69" s="262" t="str">
        <f>IF(ISBLANK(INDEX('Policy Characteristics'!B:B,MATCH($C69,'Policy Characteristics'!$C:$C,0))),"",INDEX('Policy Characteristics'!B:B,MATCH($C69,'Policy Characteristics'!$C:$C,0)))</f>
        <v>Passenger Vehicle Subsidy</v>
      </c>
      <c r="C69" s="254" t="str">
        <f t="shared" si="3"/>
        <v>Additional Passenger Vehicle Subsidy</v>
      </c>
      <c r="D69" s="45" t="s">
        <v>37</v>
      </c>
      <c r="E69" s="2" t="s">
        <v>2508</v>
      </c>
      <c r="F69" s="2" t="s">
        <v>3293</v>
      </c>
      <c r="G69" s="2" t="s">
        <v>3450</v>
      </c>
      <c r="H69" s="43">
        <v>597</v>
      </c>
      <c r="I69" s="324" t="s">
        <v>43</v>
      </c>
      <c r="J69" s="255" t="str">
        <f>IF(ISBLANK(INDEX('Policy Characteristics'!D:D,MATCH($C69,'Policy Characteristics'!$C:$C,0))),"",INDEX('Policy Characteristics'!D:D,MATCH($C69,'Policy Characteristics'!$C:$C,0)))</f>
        <v>Vehicle Subsidy</v>
      </c>
      <c r="K69" s="254" t="str">
        <f>IF(ISBLANK(INDEX('Policy Characteristics'!E:E,MATCH($C69,'Policy Characteristics'!$C:$C,0))),"",INDEX('Policy Characteristics'!E:E,MATCH($C69,'Policy Characteristics'!$C:$C,0)))</f>
        <v>trans psgr subsidy</v>
      </c>
      <c r="L69" s="261">
        <f>IF(ISBLANK(INDEX('Policy Characteristics'!F:F,MATCH($C69,'Policy Characteristics'!$C:$C,0))),"",INDEX('Policy Characteristics'!F:F,MATCH($C69,'Policy Characteristics'!$C:$C,0)))</f>
        <v>0</v>
      </c>
      <c r="M69" s="261">
        <f>IF(ISBLANK(INDEX('Policy Characteristics'!G:G,MATCH($C69,'Policy Characteristics'!$C:$C,0))),"",INDEX('Policy Characteristics'!G:G,MATCH($C69,'Policy Characteristics'!$C:$C,0)))</f>
        <v>50000</v>
      </c>
      <c r="N69" s="261">
        <f>IF(ISBLANK(INDEX('Policy Characteristics'!H:H,MATCH($C69,'Policy Characteristics'!$C:$C,0))),"",INDEX('Policy Characteristics'!H:H,MATCH($C69,'Policy Characteristics'!$C:$C,0)))</f>
        <v>100</v>
      </c>
      <c r="O69" s="254" t="str">
        <f>IF(ISBLANK(INDEX('Policy Characteristics'!I:I,MATCH($C69,'Policy Characteristics'!$C:$C,0))),"",INDEX('Policy Characteristics'!I:I,MATCH($C69,'Policy Characteristics'!$C:$C,0)))</f>
        <v>$ / vehicle</v>
      </c>
      <c r="P69" s="254" t="str">
        <f>IF(ISBLANK(INDEX('Policy Characteristics'!J:J,MATCH($C69,'Policy Characteristics'!$C:$C,0))),"",INDEX('Policy Characteristics'!J:J,MATCH($C69,'Policy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69" s="254" t="str">
        <f>IF(ISBLANK(INDEX('Policy Characteristics'!K:K,MATCH($C69,'Policy Characteristics'!$C:$C,0))),"",INDEX('Policy Characteristics'!K:K,MATCH($C69,'Policy Characteristics'!$C:$C,0)))</f>
        <v>transportation-sector-main.html#ev-subsidy</v>
      </c>
      <c r="R69" s="254" t="str">
        <f>IF(ISBLANK(INDEX('Policy Characteristics'!L:L,MATCH($C69,'Policy Characteristics'!$C:$C,0))),"",INDEX('Policy Characteristics'!L:L,MATCH($C69,'Policy Characteristics'!$C:$C,0)))</f>
        <v>ev-subsidy.html</v>
      </c>
    </row>
    <row r="70" spans="1:18" x14ac:dyDescent="0.3">
      <c r="A70" s="254" t="str">
        <f>IF(ISBLANK(INDEX('Policy Characteristics'!A:A,MATCH($C70,'Policy Characteristics'!$C:$C,0))),"",INDEX('Policy Characteristics'!A:A,MATCH($C70,'Policy Characteristics'!$C:$C,0)))</f>
        <v>Transportation</v>
      </c>
      <c r="B70" s="262" t="str">
        <f>IF(ISBLANK(INDEX('Policy Characteristics'!B:B,MATCH($C70,'Policy Characteristics'!$C:$C,0))),"",INDEX('Policy Characteristics'!B:B,MATCH($C70,'Policy Characteristics'!$C:$C,0)))</f>
        <v>Passenger Vehicle Subsidy</v>
      </c>
      <c r="C70" s="254" t="str">
        <f t="shared" si="3"/>
        <v>Additional Passenger Vehicle Subsidy</v>
      </c>
      <c r="D70" s="45" t="s">
        <v>38</v>
      </c>
      <c r="E70" s="45" t="s">
        <v>2245</v>
      </c>
      <c r="F70" s="2" t="s">
        <v>2344</v>
      </c>
      <c r="G70" s="45" t="s">
        <v>3445</v>
      </c>
      <c r="H70" s="43">
        <v>598</v>
      </c>
      <c r="I70" s="324" t="s">
        <v>43</v>
      </c>
      <c r="J70" s="255" t="str">
        <f>IF(ISBLANK(INDEX('Policy Characteristics'!D:D,MATCH($C70,'Policy Characteristics'!$C:$C,0))),"",INDEX('Policy Characteristics'!D:D,MATCH($C70,'Policy Characteristics'!$C:$C,0)))</f>
        <v>Vehicle Subsidy</v>
      </c>
      <c r="K70" s="254" t="str">
        <f>IF(ISBLANK(INDEX('Policy Characteristics'!E:E,MATCH($C70,'Policy Characteristics'!$C:$C,0))),"",INDEX('Policy Characteristics'!E:E,MATCH($C70,'Policy Characteristics'!$C:$C,0)))</f>
        <v>trans psgr subsidy</v>
      </c>
      <c r="L70" s="261">
        <f>IF(ISBLANK(INDEX('Policy Characteristics'!F:F,MATCH($C70,'Policy Characteristics'!$C:$C,0))),"",INDEX('Policy Characteristics'!F:F,MATCH($C70,'Policy Characteristics'!$C:$C,0)))</f>
        <v>0</v>
      </c>
      <c r="M70" s="261">
        <f>IF(ISBLANK(INDEX('Policy Characteristics'!G:G,MATCH($C70,'Policy Characteristics'!$C:$C,0))),"",INDEX('Policy Characteristics'!G:G,MATCH($C70,'Policy Characteristics'!$C:$C,0)))</f>
        <v>50000</v>
      </c>
      <c r="N70" s="261">
        <f>IF(ISBLANK(INDEX('Policy Characteristics'!H:H,MATCH($C70,'Policy Characteristics'!$C:$C,0))),"",INDEX('Policy Characteristics'!H:H,MATCH($C70,'Policy Characteristics'!$C:$C,0)))</f>
        <v>100</v>
      </c>
      <c r="O70" s="254" t="str">
        <f>IF(ISBLANK(INDEX('Policy Characteristics'!I:I,MATCH($C70,'Policy Characteristics'!$C:$C,0))),"",INDEX('Policy Characteristics'!I:I,MATCH($C70,'Policy Characteristics'!$C:$C,0)))</f>
        <v>$ / vehicle</v>
      </c>
      <c r="P70" s="254" t="str">
        <f>IF(ISBLANK(INDEX('Policy Characteristics'!J:J,MATCH($C70,'Policy Characteristics'!$C:$C,0))),"",INDEX('Policy Characteristics'!J:J,MATCH($C70,'Policy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0" s="254" t="str">
        <f>IF(ISBLANK(INDEX('Policy Characteristics'!K:K,MATCH($C70,'Policy Characteristics'!$C:$C,0))),"",INDEX('Policy Characteristics'!K:K,MATCH($C70,'Policy Characteristics'!$C:$C,0)))</f>
        <v>transportation-sector-main.html#ev-subsidy</v>
      </c>
      <c r="R70" s="254" t="str">
        <f>IF(ISBLANK(INDEX('Policy Characteristics'!L:L,MATCH($C70,'Policy Characteristics'!$C:$C,0))),"",INDEX('Policy Characteristics'!L:L,MATCH($C70,'Policy Characteristics'!$C:$C,0)))</f>
        <v>ev-subsidy.html</v>
      </c>
    </row>
    <row r="71" spans="1:18" x14ac:dyDescent="0.3">
      <c r="A71" s="254" t="str">
        <f>IF(ISBLANK(INDEX('Policy Characteristics'!A:A,MATCH($C71,'Policy Characteristics'!$C:$C,0))),"",INDEX('Policy Characteristics'!A:A,MATCH($C71,'Policy Characteristics'!$C:$C,0)))</f>
        <v>Transportation</v>
      </c>
      <c r="B71" s="262" t="str">
        <f>IF(ISBLANK(INDEX('Policy Characteristics'!B:B,MATCH($C71,'Policy Characteristics'!$C:$C,0))),"",INDEX('Policy Characteristics'!B:B,MATCH($C71,'Policy Characteristics'!$C:$C,0)))</f>
        <v>Passenger Vehicle Subsidy</v>
      </c>
      <c r="C71" s="254" t="str">
        <f t="shared" si="3"/>
        <v>Additional Passenger Vehicle Subsidy</v>
      </c>
      <c r="D71" s="45" t="s">
        <v>38</v>
      </c>
      <c r="E71" s="2" t="s">
        <v>2246</v>
      </c>
      <c r="F71" s="2" t="s">
        <v>2344</v>
      </c>
      <c r="G71" s="2" t="s">
        <v>3446</v>
      </c>
      <c r="H71" s="43">
        <v>599</v>
      </c>
      <c r="I71" s="325" t="s">
        <v>44</v>
      </c>
      <c r="J71" s="255" t="str">
        <f>IF(ISBLANK(INDEX('Policy Characteristics'!D:D,MATCH($C71,'Policy Characteristics'!$C:$C,0))),"",INDEX('Policy Characteristics'!D:D,MATCH($C71,'Policy Characteristics'!$C:$C,0)))</f>
        <v>Vehicle Subsidy</v>
      </c>
      <c r="K71" s="254" t="str">
        <f>IF(ISBLANK(INDEX('Policy Characteristics'!E:E,MATCH($C71,'Policy Characteristics'!$C:$C,0))),"",INDEX('Policy Characteristics'!E:E,MATCH($C71,'Policy Characteristics'!$C:$C,0)))</f>
        <v>trans psgr subsidy</v>
      </c>
      <c r="L71" s="261">
        <f>IF(ISBLANK(INDEX('Policy Characteristics'!F:F,MATCH($C71,'Policy Characteristics'!$C:$C,0))),"",INDEX('Policy Characteristics'!F:F,MATCH($C71,'Policy Characteristics'!$C:$C,0)))</f>
        <v>0</v>
      </c>
      <c r="M71" s="261">
        <f>IF(ISBLANK(INDEX('Policy Characteristics'!G:G,MATCH($C71,'Policy Characteristics'!$C:$C,0))),"",INDEX('Policy Characteristics'!G:G,MATCH($C71,'Policy Characteristics'!$C:$C,0)))</f>
        <v>50000</v>
      </c>
      <c r="N71" s="261">
        <f>IF(ISBLANK(INDEX('Policy Characteristics'!H:H,MATCH($C71,'Policy Characteristics'!$C:$C,0))),"",INDEX('Policy Characteristics'!H:H,MATCH($C71,'Policy Characteristics'!$C:$C,0)))</f>
        <v>100</v>
      </c>
      <c r="O71" s="254" t="str">
        <f>IF(ISBLANK(INDEX('Policy Characteristics'!I:I,MATCH($C71,'Policy Characteristics'!$C:$C,0))),"",INDEX('Policy Characteristics'!I:I,MATCH($C71,'Policy Characteristics'!$C:$C,0)))</f>
        <v>$ / vehicle</v>
      </c>
      <c r="P71" s="254" t="str">
        <f>IF(ISBLANK(INDEX('Policy Characteristics'!J:J,MATCH($C71,'Policy Characteristics'!$C:$C,0))),"",INDEX('Policy Characteristics'!J:J,MATCH($C71,'Policy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1" s="254" t="str">
        <f>IF(ISBLANK(INDEX('Policy Characteristics'!K:K,MATCH($C71,'Policy Characteristics'!$C:$C,0))),"",INDEX('Policy Characteristics'!K:K,MATCH($C71,'Policy Characteristics'!$C:$C,0)))</f>
        <v>transportation-sector-main.html#ev-subsidy</v>
      </c>
      <c r="R71" s="254" t="str">
        <f>IF(ISBLANK(INDEX('Policy Characteristics'!L:L,MATCH($C71,'Policy Characteristics'!$C:$C,0))),"",INDEX('Policy Characteristics'!L:L,MATCH($C71,'Policy Characteristics'!$C:$C,0)))</f>
        <v>ev-subsidy.html</v>
      </c>
    </row>
    <row r="72" spans="1:18" x14ac:dyDescent="0.3">
      <c r="A72" s="254" t="str">
        <f>IF(ISBLANK(INDEX('Policy Characteristics'!A:A,MATCH($C72,'Policy Characteristics'!$C:$C,0))),"",INDEX('Policy Characteristics'!A:A,MATCH($C72,'Policy Characteristics'!$C:$C,0)))</f>
        <v>Transportation</v>
      </c>
      <c r="B72" s="262" t="str">
        <f>IF(ISBLANK(INDEX('Policy Characteristics'!B:B,MATCH($C72,'Policy Characteristics'!$C:$C,0))),"",INDEX('Policy Characteristics'!B:B,MATCH($C72,'Policy Characteristics'!$C:$C,0)))</f>
        <v>Passenger Vehicle Subsidy</v>
      </c>
      <c r="C72" s="254" t="str">
        <f t="shared" si="3"/>
        <v>Additional Passenger Vehicle Subsidy</v>
      </c>
      <c r="D72" s="45" t="s">
        <v>38</v>
      </c>
      <c r="E72" s="2" t="s">
        <v>2247</v>
      </c>
      <c r="F72" s="2" t="s">
        <v>2344</v>
      </c>
      <c r="G72" s="2" t="s">
        <v>3447</v>
      </c>
      <c r="H72" s="43">
        <v>600</v>
      </c>
      <c r="I72" s="325" t="s">
        <v>44</v>
      </c>
      <c r="J72" s="255" t="str">
        <f>IF(ISBLANK(INDEX('Policy Characteristics'!D:D,MATCH($C72,'Policy Characteristics'!$C:$C,0))),"",INDEX('Policy Characteristics'!D:D,MATCH($C72,'Policy Characteristics'!$C:$C,0)))</f>
        <v>Vehicle Subsidy</v>
      </c>
      <c r="K72" s="254" t="str">
        <f>IF(ISBLANK(INDEX('Policy Characteristics'!E:E,MATCH($C72,'Policy Characteristics'!$C:$C,0))),"",INDEX('Policy Characteristics'!E:E,MATCH($C72,'Policy Characteristics'!$C:$C,0)))</f>
        <v>trans psgr subsidy</v>
      </c>
      <c r="L72" s="261">
        <f>IF(ISBLANK(INDEX('Policy Characteristics'!F:F,MATCH($C72,'Policy Characteristics'!$C:$C,0))),"",INDEX('Policy Characteristics'!F:F,MATCH($C72,'Policy Characteristics'!$C:$C,0)))</f>
        <v>0</v>
      </c>
      <c r="M72" s="261">
        <f>IF(ISBLANK(INDEX('Policy Characteristics'!G:G,MATCH($C72,'Policy Characteristics'!$C:$C,0))),"",INDEX('Policy Characteristics'!G:G,MATCH($C72,'Policy Characteristics'!$C:$C,0)))</f>
        <v>50000</v>
      </c>
      <c r="N72" s="261">
        <f>IF(ISBLANK(INDEX('Policy Characteristics'!H:H,MATCH($C72,'Policy Characteristics'!$C:$C,0))),"",INDEX('Policy Characteristics'!H:H,MATCH($C72,'Policy Characteristics'!$C:$C,0)))</f>
        <v>100</v>
      </c>
      <c r="O72" s="254" t="str">
        <f>IF(ISBLANK(INDEX('Policy Characteristics'!I:I,MATCH($C72,'Policy Characteristics'!$C:$C,0))),"",INDEX('Policy Characteristics'!I:I,MATCH($C72,'Policy Characteristics'!$C:$C,0)))</f>
        <v>$ / vehicle</v>
      </c>
      <c r="P72" s="254" t="str">
        <f>IF(ISBLANK(INDEX('Policy Characteristics'!J:J,MATCH($C72,'Policy Characteristics'!$C:$C,0))),"",INDEX('Policy Characteristics'!J:J,MATCH($C72,'Policy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2" s="254" t="str">
        <f>IF(ISBLANK(INDEX('Policy Characteristics'!K:K,MATCH($C72,'Policy Characteristics'!$C:$C,0))),"",INDEX('Policy Characteristics'!K:K,MATCH($C72,'Policy Characteristics'!$C:$C,0)))</f>
        <v>transportation-sector-main.html#ev-subsidy</v>
      </c>
      <c r="R72" s="254" t="str">
        <f>IF(ISBLANK(INDEX('Policy Characteristics'!L:L,MATCH($C72,'Policy Characteristics'!$C:$C,0))),"",INDEX('Policy Characteristics'!L:L,MATCH($C72,'Policy Characteristics'!$C:$C,0)))</f>
        <v>ev-subsidy.html</v>
      </c>
    </row>
    <row r="73" spans="1:18" x14ac:dyDescent="0.3">
      <c r="A73" s="254" t="str">
        <f>IF(ISBLANK(INDEX('Policy Characteristics'!A:A,MATCH($C73,'Policy Characteristics'!$C:$C,0))),"",INDEX('Policy Characteristics'!A:A,MATCH($C73,'Policy Characteristics'!$C:$C,0)))</f>
        <v>Transportation</v>
      </c>
      <c r="B73" s="262" t="str">
        <f>IF(ISBLANK(INDEX('Policy Characteristics'!B:B,MATCH($C73,'Policy Characteristics'!$C:$C,0))),"",INDEX('Policy Characteristics'!B:B,MATCH($C73,'Policy Characteristics'!$C:$C,0)))</f>
        <v>Passenger Vehicle Subsidy</v>
      </c>
      <c r="C73" s="254" t="str">
        <f t="shared" si="3"/>
        <v>Additional Passenger Vehicle Subsidy</v>
      </c>
      <c r="D73" s="45" t="s">
        <v>38</v>
      </c>
      <c r="E73" s="2" t="s">
        <v>2248</v>
      </c>
      <c r="F73" s="2" t="s">
        <v>2344</v>
      </c>
      <c r="G73" s="2" t="s">
        <v>3448</v>
      </c>
      <c r="H73" s="43">
        <v>601</v>
      </c>
      <c r="I73" s="325" t="s">
        <v>44</v>
      </c>
      <c r="J73" s="255" t="str">
        <f>IF(ISBLANK(INDEX('Policy Characteristics'!D:D,MATCH($C73,'Policy Characteristics'!$C:$C,0))),"",INDEX('Policy Characteristics'!D:D,MATCH($C73,'Policy Characteristics'!$C:$C,0)))</f>
        <v>Vehicle Subsidy</v>
      </c>
      <c r="K73" s="254" t="str">
        <f>IF(ISBLANK(INDEX('Policy Characteristics'!E:E,MATCH($C73,'Policy Characteristics'!$C:$C,0))),"",INDEX('Policy Characteristics'!E:E,MATCH($C73,'Policy Characteristics'!$C:$C,0)))</f>
        <v>trans psgr subsidy</v>
      </c>
      <c r="L73" s="261">
        <f>IF(ISBLANK(INDEX('Policy Characteristics'!F:F,MATCH($C73,'Policy Characteristics'!$C:$C,0))),"",INDEX('Policy Characteristics'!F:F,MATCH($C73,'Policy Characteristics'!$C:$C,0)))</f>
        <v>0</v>
      </c>
      <c r="M73" s="261">
        <f>IF(ISBLANK(INDEX('Policy Characteristics'!G:G,MATCH($C73,'Policy Characteristics'!$C:$C,0))),"",INDEX('Policy Characteristics'!G:G,MATCH($C73,'Policy Characteristics'!$C:$C,0)))</f>
        <v>50000</v>
      </c>
      <c r="N73" s="261">
        <f>IF(ISBLANK(INDEX('Policy Characteristics'!H:H,MATCH($C73,'Policy Characteristics'!$C:$C,0))),"",INDEX('Policy Characteristics'!H:H,MATCH($C73,'Policy Characteristics'!$C:$C,0)))</f>
        <v>100</v>
      </c>
      <c r="O73" s="254" t="str">
        <f>IF(ISBLANK(INDEX('Policy Characteristics'!I:I,MATCH($C73,'Policy Characteristics'!$C:$C,0))),"",INDEX('Policy Characteristics'!I:I,MATCH($C73,'Policy Characteristics'!$C:$C,0)))</f>
        <v>$ / vehicle</v>
      </c>
      <c r="P73" s="254" t="str">
        <f>IF(ISBLANK(INDEX('Policy Characteristics'!J:J,MATCH($C73,'Policy Characteristics'!$C:$C,0))),"",INDEX('Policy Characteristics'!J:J,MATCH($C73,'Policy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3" s="254" t="str">
        <f>IF(ISBLANK(INDEX('Policy Characteristics'!K:K,MATCH($C73,'Policy Characteristics'!$C:$C,0))),"",INDEX('Policy Characteristics'!K:K,MATCH($C73,'Policy Characteristics'!$C:$C,0)))</f>
        <v>transportation-sector-main.html#ev-subsidy</v>
      </c>
      <c r="R73" s="254" t="str">
        <f>IF(ISBLANK(INDEX('Policy Characteristics'!L:L,MATCH($C73,'Policy Characteristics'!$C:$C,0))),"",INDEX('Policy Characteristics'!L:L,MATCH($C73,'Policy Characteristics'!$C:$C,0)))</f>
        <v>ev-subsidy.html</v>
      </c>
    </row>
    <row r="74" spans="1:18" x14ac:dyDescent="0.3">
      <c r="A74" s="254" t="str">
        <f>IF(ISBLANK(INDEX('Policy Characteristics'!A:A,MATCH($C74,'Policy Characteristics'!$C:$C,0))),"",INDEX('Policy Characteristics'!A:A,MATCH($C74,'Policy Characteristics'!$C:$C,0)))</f>
        <v>Transportation</v>
      </c>
      <c r="B74" s="262" t="str">
        <f>IF(ISBLANK(INDEX('Policy Characteristics'!B:B,MATCH($C74,'Policy Characteristics'!$C:$C,0))),"",INDEX('Policy Characteristics'!B:B,MATCH($C74,'Policy Characteristics'!$C:$C,0)))</f>
        <v>Passenger Vehicle Subsidy</v>
      </c>
      <c r="C74" s="254" t="str">
        <f t="shared" si="3"/>
        <v>Additional Passenger Vehicle Subsidy</v>
      </c>
      <c r="D74" s="45" t="s">
        <v>38</v>
      </c>
      <c r="E74" s="2" t="s">
        <v>2249</v>
      </c>
      <c r="F74" s="2" t="s">
        <v>2344</v>
      </c>
      <c r="G74" s="2" t="s">
        <v>3449</v>
      </c>
      <c r="H74" s="43">
        <v>602</v>
      </c>
      <c r="I74" s="324" t="s">
        <v>43</v>
      </c>
      <c r="J74" s="255" t="str">
        <f>IF(ISBLANK(INDEX('Policy Characteristics'!D:D,MATCH($C74,'Policy Characteristics'!$C:$C,0))),"",INDEX('Policy Characteristics'!D:D,MATCH($C74,'Policy Characteristics'!$C:$C,0)))</f>
        <v>Vehicle Subsidy</v>
      </c>
      <c r="K74" s="254" t="str">
        <f>IF(ISBLANK(INDEX('Policy Characteristics'!E:E,MATCH($C74,'Policy Characteristics'!$C:$C,0))),"",INDEX('Policy Characteristics'!E:E,MATCH($C74,'Policy Characteristics'!$C:$C,0)))</f>
        <v>trans psgr subsidy</v>
      </c>
      <c r="L74" s="261">
        <f>IF(ISBLANK(INDEX('Policy Characteristics'!F:F,MATCH($C74,'Policy Characteristics'!$C:$C,0))),"",INDEX('Policy Characteristics'!F:F,MATCH($C74,'Policy Characteristics'!$C:$C,0)))</f>
        <v>0</v>
      </c>
      <c r="M74" s="261">
        <f>IF(ISBLANK(INDEX('Policy Characteristics'!G:G,MATCH($C74,'Policy Characteristics'!$C:$C,0))),"",INDEX('Policy Characteristics'!G:G,MATCH($C74,'Policy Characteristics'!$C:$C,0)))</f>
        <v>50000</v>
      </c>
      <c r="N74" s="261">
        <f>IF(ISBLANK(INDEX('Policy Characteristics'!H:H,MATCH($C74,'Policy Characteristics'!$C:$C,0))),"",INDEX('Policy Characteristics'!H:H,MATCH($C74,'Policy Characteristics'!$C:$C,0)))</f>
        <v>100</v>
      </c>
      <c r="O74" s="254" t="str">
        <f>IF(ISBLANK(INDEX('Policy Characteristics'!I:I,MATCH($C74,'Policy Characteristics'!$C:$C,0))),"",INDEX('Policy Characteristics'!I:I,MATCH($C74,'Policy Characteristics'!$C:$C,0)))</f>
        <v>$ / vehicle</v>
      </c>
      <c r="P74" s="254" t="str">
        <f>IF(ISBLANK(INDEX('Policy Characteristics'!J:J,MATCH($C74,'Policy Characteristics'!$C:$C,0))),"",INDEX('Policy Characteristics'!J:J,MATCH($C74,'Policy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4" s="254" t="str">
        <f>IF(ISBLANK(INDEX('Policy Characteristics'!K:K,MATCH($C74,'Policy Characteristics'!$C:$C,0))),"",INDEX('Policy Characteristics'!K:K,MATCH($C74,'Policy Characteristics'!$C:$C,0)))</f>
        <v>transportation-sector-main.html#ev-subsidy</v>
      </c>
      <c r="R74" s="254" t="str">
        <f>IF(ISBLANK(INDEX('Policy Characteristics'!L:L,MATCH($C74,'Policy Characteristics'!$C:$C,0))),"",INDEX('Policy Characteristics'!L:L,MATCH($C74,'Policy Characteristics'!$C:$C,0)))</f>
        <v>ev-subsidy.html</v>
      </c>
    </row>
    <row r="75" spans="1:18" x14ac:dyDescent="0.3">
      <c r="A75" s="254" t="str">
        <f>IF(ISBLANK(INDEX('Policy Characteristics'!A:A,MATCH($C75,'Policy Characteristics'!$C:$C,0))),"",INDEX('Policy Characteristics'!A:A,MATCH($C75,'Policy Characteristics'!$C:$C,0)))</f>
        <v>Transportation</v>
      </c>
      <c r="B75" s="262" t="str">
        <f>IF(ISBLANK(INDEX('Policy Characteristics'!B:B,MATCH($C75,'Policy Characteristics'!$C:$C,0))),"",INDEX('Policy Characteristics'!B:B,MATCH($C75,'Policy Characteristics'!$C:$C,0)))</f>
        <v>Passenger Vehicle Subsidy</v>
      </c>
      <c r="C75" s="254" t="str">
        <f t="shared" si="3"/>
        <v>Additional Passenger Vehicle Subsidy</v>
      </c>
      <c r="D75" s="45" t="s">
        <v>38</v>
      </c>
      <c r="E75" s="2" t="s">
        <v>2509</v>
      </c>
      <c r="F75" s="2" t="s">
        <v>2344</v>
      </c>
      <c r="G75" s="2" t="s">
        <v>2509</v>
      </c>
      <c r="H75" s="43">
        <v>1656</v>
      </c>
      <c r="I75" s="325" t="s">
        <v>44</v>
      </c>
      <c r="J75" s="255" t="str">
        <f>IF(ISBLANK(INDEX('Policy Characteristics'!D:D,MATCH($C75,'Policy Characteristics'!$C:$C,0))),"",INDEX('Policy Characteristics'!D:D,MATCH($C75,'Policy Characteristics'!$C:$C,0)))</f>
        <v>Vehicle Subsidy</v>
      </c>
      <c r="K75" s="254" t="str">
        <f>IF(ISBLANK(INDEX('Policy Characteristics'!E:E,MATCH($C75,'Policy Characteristics'!$C:$C,0))),"",INDEX('Policy Characteristics'!E:E,MATCH($C75,'Policy Characteristics'!$C:$C,0)))</f>
        <v>trans psgr subsidy</v>
      </c>
      <c r="L75" s="261">
        <f>IF(ISBLANK(INDEX('Policy Characteristics'!F:F,MATCH($C75,'Policy Characteristics'!$C:$C,0))),"",INDEX('Policy Characteristics'!F:F,MATCH($C75,'Policy Characteristics'!$C:$C,0)))</f>
        <v>0</v>
      </c>
      <c r="M75" s="261">
        <f>IF(ISBLANK(INDEX('Policy Characteristics'!G:G,MATCH($C75,'Policy Characteristics'!$C:$C,0))),"",INDEX('Policy Characteristics'!G:G,MATCH($C75,'Policy Characteristics'!$C:$C,0)))</f>
        <v>50000</v>
      </c>
      <c r="N75" s="261">
        <f>IF(ISBLANK(INDEX('Policy Characteristics'!H:H,MATCH($C75,'Policy Characteristics'!$C:$C,0))),"",INDEX('Policy Characteristics'!H:H,MATCH($C75,'Policy Characteristics'!$C:$C,0)))</f>
        <v>100</v>
      </c>
      <c r="O75" s="254" t="str">
        <f>IF(ISBLANK(INDEX('Policy Characteristics'!I:I,MATCH($C75,'Policy Characteristics'!$C:$C,0))),"",INDEX('Policy Characteristics'!I:I,MATCH($C75,'Policy Characteristics'!$C:$C,0)))</f>
        <v>$ / vehicle</v>
      </c>
      <c r="P75" s="254" t="str">
        <f>IF(ISBLANK(INDEX('Policy Characteristics'!J:J,MATCH($C75,'Policy Characteristics'!$C:$C,0))),"",INDEX('Policy Characteristics'!J:J,MATCH($C75,'Policy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5" s="254" t="str">
        <f>IF(ISBLANK(INDEX('Policy Characteristics'!K:K,MATCH($C75,'Policy Characteristics'!$C:$C,0))),"",INDEX('Policy Characteristics'!K:K,MATCH($C75,'Policy Characteristics'!$C:$C,0)))</f>
        <v>transportation-sector-main.html#ev-subsidy</v>
      </c>
      <c r="R75" s="254" t="str">
        <f>IF(ISBLANK(INDEX('Policy Characteristics'!L:L,MATCH($C75,'Policy Characteristics'!$C:$C,0))),"",INDEX('Policy Characteristics'!L:L,MATCH($C75,'Policy Characteristics'!$C:$C,0)))</f>
        <v>ev-subsidy.html</v>
      </c>
    </row>
    <row r="76" spans="1:18" x14ac:dyDescent="0.3">
      <c r="A76" s="254" t="str">
        <f>IF(ISBLANK(INDEX('Policy Characteristics'!A:A,MATCH($C76,'Policy Characteristics'!$C:$C,0))),"",INDEX('Policy Characteristics'!A:A,MATCH($C76,'Policy Characteristics'!$C:$C,0)))</f>
        <v>Transportation</v>
      </c>
      <c r="B76" s="262" t="str">
        <f>IF(ISBLANK(INDEX('Policy Characteristics'!B:B,MATCH($C76,'Policy Characteristics'!$C:$C,0))),"",INDEX('Policy Characteristics'!B:B,MATCH($C76,'Policy Characteristics'!$C:$C,0)))</f>
        <v>Passenger Vehicle Subsidy</v>
      </c>
      <c r="C76" s="254" t="str">
        <f t="shared" si="3"/>
        <v>Additional Passenger Vehicle Subsidy</v>
      </c>
      <c r="D76" s="45" t="s">
        <v>38</v>
      </c>
      <c r="E76" s="2" t="s">
        <v>2508</v>
      </c>
      <c r="F76" s="2" t="s">
        <v>2344</v>
      </c>
      <c r="G76" s="2" t="s">
        <v>3450</v>
      </c>
      <c r="H76" s="43">
        <v>1657</v>
      </c>
      <c r="I76" s="324" t="s">
        <v>43</v>
      </c>
      <c r="J76" s="255" t="str">
        <f>IF(ISBLANK(INDEX('Policy Characteristics'!D:D,MATCH($C76,'Policy Characteristics'!$C:$C,0))),"",INDEX('Policy Characteristics'!D:D,MATCH($C76,'Policy Characteristics'!$C:$C,0)))</f>
        <v>Vehicle Subsidy</v>
      </c>
      <c r="K76" s="254" t="str">
        <f>IF(ISBLANK(INDEX('Policy Characteristics'!E:E,MATCH($C76,'Policy Characteristics'!$C:$C,0))),"",INDEX('Policy Characteristics'!E:E,MATCH($C76,'Policy Characteristics'!$C:$C,0)))</f>
        <v>trans psgr subsidy</v>
      </c>
      <c r="L76" s="261">
        <f>IF(ISBLANK(INDEX('Policy Characteristics'!F:F,MATCH($C76,'Policy Characteristics'!$C:$C,0))),"",INDEX('Policy Characteristics'!F:F,MATCH($C76,'Policy Characteristics'!$C:$C,0)))</f>
        <v>0</v>
      </c>
      <c r="M76" s="261">
        <f>IF(ISBLANK(INDEX('Policy Characteristics'!G:G,MATCH($C76,'Policy Characteristics'!$C:$C,0))),"",INDEX('Policy Characteristics'!G:G,MATCH($C76,'Policy Characteristics'!$C:$C,0)))</f>
        <v>50000</v>
      </c>
      <c r="N76" s="261">
        <f>IF(ISBLANK(INDEX('Policy Characteristics'!H:H,MATCH($C76,'Policy Characteristics'!$C:$C,0))),"",INDEX('Policy Characteristics'!H:H,MATCH($C76,'Policy Characteristics'!$C:$C,0)))</f>
        <v>100</v>
      </c>
      <c r="O76" s="254" t="str">
        <f>IF(ISBLANK(INDEX('Policy Characteristics'!I:I,MATCH($C76,'Policy Characteristics'!$C:$C,0))),"",INDEX('Policy Characteristics'!I:I,MATCH($C76,'Policy Characteristics'!$C:$C,0)))</f>
        <v>$ / vehicle</v>
      </c>
      <c r="P76" s="254" t="str">
        <f>IF(ISBLANK(INDEX('Policy Characteristics'!J:J,MATCH($C76,'Policy Characteristics'!$C:$C,0))),"",INDEX('Policy Characteristics'!J:J,MATCH($C76,'Policy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6" s="254" t="str">
        <f>IF(ISBLANK(INDEX('Policy Characteristics'!K:K,MATCH($C76,'Policy Characteristics'!$C:$C,0))),"",INDEX('Policy Characteristics'!K:K,MATCH($C76,'Policy Characteristics'!$C:$C,0)))</f>
        <v>transportation-sector-main.html#ev-subsidy</v>
      </c>
      <c r="R76" s="254" t="str">
        <f>IF(ISBLANK(INDEX('Policy Characteristics'!L:L,MATCH($C76,'Policy Characteristics'!$C:$C,0))),"",INDEX('Policy Characteristics'!L:L,MATCH($C76,'Policy Characteristics'!$C:$C,0)))</f>
        <v>ev-subsidy.html</v>
      </c>
    </row>
    <row r="77" spans="1:18" x14ac:dyDescent="0.3">
      <c r="A77" s="254" t="str">
        <f>IF(ISBLANK(INDEX('Policy Characteristics'!A:A,MATCH($C77,'Policy Characteristics'!$C:$C,0))),"",INDEX('Policy Characteristics'!A:A,MATCH($C77,'Policy Characteristics'!$C:$C,0)))</f>
        <v>Transportation</v>
      </c>
      <c r="B77" s="262" t="str">
        <f>IF(ISBLANK(INDEX('Policy Characteristics'!B:B,MATCH($C77,'Policy Characteristics'!$C:$C,0))),"",INDEX('Policy Characteristics'!B:B,MATCH($C77,'Policy Characteristics'!$C:$C,0)))</f>
        <v>Passenger Vehicle Subsidy</v>
      </c>
      <c r="C77" s="254" t="str">
        <f t="shared" si="3"/>
        <v>Additional Passenger Vehicle Subsidy</v>
      </c>
      <c r="D77" s="2" t="s">
        <v>39</v>
      </c>
      <c r="E77" s="45" t="s">
        <v>2245</v>
      </c>
      <c r="F77" s="2" t="s">
        <v>3290</v>
      </c>
      <c r="G77" s="45" t="s">
        <v>3445</v>
      </c>
      <c r="H77" s="43">
        <v>1658</v>
      </c>
      <c r="I77" s="325" t="s">
        <v>44</v>
      </c>
      <c r="J77" s="255" t="str">
        <f>IF(ISBLANK(INDEX('Policy Characteristics'!D:D,MATCH($C77,'Policy Characteristics'!$C:$C,0))),"",INDEX('Policy Characteristics'!D:D,MATCH($C77,'Policy Characteristics'!$C:$C,0)))</f>
        <v>Vehicle Subsidy</v>
      </c>
      <c r="K77" s="254" t="str">
        <f>IF(ISBLANK(INDEX('Policy Characteristics'!E:E,MATCH($C77,'Policy Characteristics'!$C:$C,0))),"",INDEX('Policy Characteristics'!E:E,MATCH($C77,'Policy Characteristics'!$C:$C,0)))</f>
        <v>trans psgr subsidy</v>
      </c>
      <c r="L77" s="261">
        <f>IF(ISBLANK(INDEX('Policy Characteristics'!F:F,MATCH($C77,'Policy Characteristics'!$C:$C,0))),"",INDEX('Policy Characteristics'!F:F,MATCH($C77,'Policy Characteristics'!$C:$C,0)))</f>
        <v>0</v>
      </c>
      <c r="M77" s="261">
        <f>IF(ISBLANK(INDEX('Policy Characteristics'!G:G,MATCH($C77,'Policy Characteristics'!$C:$C,0))),"",INDEX('Policy Characteristics'!G:G,MATCH($C77,'Policy Characteristics'!$C:$C,0)))</f>
        <v>50000</v>
      </c>
      <c r="N77" s="261">
        <f>IF(ISBLANK(INDEX('Policy Characteristics'!H:H,MATCH($C77,'Policy Characteristics'!$C:$C,0))),"",INDEX('Policy Characteristics'!H:H,MATCH($C77,'Policy Characteristics'!$C:$C,0)))</f>
        <v>100</v>
      </c>
      <c r="O77" s="254" t="str">
        <f>IF(ISBLANK(INDEX('Policy Characteristics'!I:I,MATCH($C77,'Policy Characteristics'!$C:$C,0))),"",INDEX('Policy Characteristics'!I:I,MATCH($C77,'Policy Characteristics'!$C:$C,0)))</f>
        <v>$ / vehicle</v>
      </c>
      <c r="P77" s="254" t="str">
        <f>IF(ISBLANK(INDEX('Policy Characteristics'!J:J,MATCH($C77,'Policy Characteristics'!$C:$C,0))),"",INDEX('Policy Characteristics'!J:J,MATCH($C77,'Policy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7" s="254" t="str">
        <f>IF(ISBLANK(INDEX('Policy Characteristics'!K:K,MATCH($C77,'Policy Characteristics'!$C:$C,0))),"",INDEX('Policy Characteristics'!K:K,MATCH($C77,'Policy Characteristics'!$C:$C,0)))</f>
        <v>transportation-sector-main.html#ev-subsidy</v>
      </c>
      <c r="R77" s="254" t="str">
        <f>IF(ISBLANK(INDEX('Policy Characteristics'!L:L,MATCH($C77,'Policy Characteristics'!$C:$C,0))),"",INDEX('Policy Characteristics'!L:L,MATCH($C77,'Policy Characteristics'!$C:$C,0)))</f>
        <v>ev-subsidy.html</v>
      </c>
    </row>
    <row r="78" spans="1:18" x14ac:dyDescent="0.3">
      <c r="A78" s="254" t="str">
        <f>IF(ISBLANK(INDEX('Policy Characteristics'!A:A,MATCH($C78,'Policy Characteristics'!$C:$C,0))),"",INDEX('Policy Characteristics'!A:A,MATCH($C78,'Policy Characteristics'!$C:$C,0)))</f>
        <v>Transportation</v>
      </c>
      <c r="B78" s="262" t="str">
        <f>IF(ISBLANK(INDEX('Policy Characteristics'!B:B,MATCH($C78,'Policy Characteristics'!$C:$C,0))),"",INDEX('Policy Characteristics'!B:B,MATCH($C78,'Policy Characteristics'!$C:$C,0)))</f>
        <v>Passenger Vehicle Subsidy</v>
      </c>
      <c r="C78" s="254" t="str">
        <f t="shared" si="3"/>
        <v>Additional Passenger Vehicle Subsidy</v>
      </c>
      <c r="D78" s="2" t="s">
        <v>39</v>
      </c>
      <c r="E78" s="2" t="s">
        <v>2246</v>
      </c>
      <c r="F78" s="2" t="s">
        <v>3290</v>
      </c>
      <c r="G78" s="2" t="s">
        <v>3446</v>
      </c>
      <c r="H78" s="43">
        <v>1659</v>
      </c>
      <c r="I78" s="325" t="s">
        <v>44</v>
      </c>
      <c r="J78" s="255" t="str">
        <f>IF(ISBLANK(INDEX('Policy Characteristics'!D:D,MATCH($C78,'Policy Characteristics'!$C:$C,0))),"",INDEX('Policy Characteristics'!D:D,MATCH($C78,'Policy Characteristics'!$C:$C,0)))</f>
        <v>Vehicle Subsidy</v>
      </c>
      <c r="K78" s="254" t="str">
        <f>IF(ISBLANK(INDEX('Policy Characteristics'!E:E,MATCH($C78,'Policy Characteristics'!$C:$C,0))),"",INDEX('Policy Characteristics'!E:E,MATCH($C78,'Policy Characteristics'!$C:$C,0)))</f>
        <v>trans psgr subsidy</v>
      </c>
      <c r="L78" s="261">
        <f>IF(ISBLANK(INDEX('Policy Characteristics'!F:F,MATCH($C78,'Policy Characteristics'!$C:$C,0))),"",INDEX('Policy Characteristics'!F:F,MATCH($C78,'Policy Characteristics'!$C:$C,0)))</f>
        <v>0</v>
      </c>
      <c r="M78" s="261">
        <f>IF(ISBLANK(INDEX('Policy Characteristics'!G:G,MATCH($C78,'Policy Characteristics'!$C:$C,0))),"",INDEX('Policy Characteristics'!G:G,MATCH($C78,'Policy Characteristics'!$C:$C,0)))</f>
        <v>50000</v>
      </c>
      <c r="N78" s="261">
        <f>IF(ISBLANK(INDEX('Policy Characteristics'!H:H,MATCH($C78,'Policy Characteristics'!$C:$C,0))),"",INDEX('Policy Characteristics'!H:H,MATCH($C78,'Policy Characteristics'!$C:$C,0)))</f>
        <v>100</v>
      </c>
      <c r="O78" s="254" t="str">
        <f>IF(ISBLANK(INDEX('Policy Characteristics'!I:I,MATCH($C78,'Policy Characteristics'!$C:$C,0))),"",INDEX('Policy Characteristics'!I:I,MATCH($C78,'Policy Characteristics'!$C:$C,0)))</f>
        <v>$ / vehicle</v>
      </c>
      <c r="P78" s="254" t="str">
        <f>IF(ISBLANK(INDEX('Policy Characteristics'!J:J,MATCH($C78,'Policy Characteristics'!$C:$C,0))),"",INDEX('Policy Characteristics'!J:J,MATCH($C78,'Policy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8" s="254" t="str">
        <f>IF(ISBLANK(INDEX('Policy Characteristics'!K:K,MATCH($C78,'Policy Characteristics'!$C:$C,0))),"",INDEX('Policy Characteristics'!K:K,MATCH($C78,'Policy Characteristics'!$C:$C,0)))</f>
        <v>transportation-sector-main.html#ev-subsidy</v>
      </c>
      <c r="R78" s="254" t="str">
        <f>IF(ISBLANK(INDEX('Policy Characteristics'!L:L,MATCH($C78,'Policy Characteristics'!$C:$C,0))),"",INDEX('Policy Characteristics'!L:L,MATCH($C78,'Policy Characteristics'!$C:$C,0)))</f>
        <v>ev-subsidy.html</v>
      </c>
    </row>
    <row r="79" spans="1:18" x14ac:dyDescent="0.3">
      <c r="A79" s="254" t="str">
        <f>IF(ISBLANK(INDEX('Policy Characteristics'!A:A,MATCH($C79,'Policy Characteristics'!$C:$C,0))),"",INDEX('Policy Characteristics'!A:A,MATCH($C79,'Policy Characteristics'!$C:$C,0)))</f>
        <v>Transportation</v>
      </c>
      <c r="B79" s="262" t="str">
        <f>IF(ISBLANK(INDEX('Policy Characteristics'!B:B,MATCH($C79,'Policy Characteristics'!$C:$C,0))),"",INDEX('Policy Characteristics'!B:B,MATCH($C79,'Policy Characteristics'!$C:$C,0)))</f>
        <v>Passenger Vehicle Subsidy</v>
      </c>
      <c r="C79" s="254" t="str">
        <f t="shared" si="3"/>
        <v>Additional Passenger Vehicle Subsidy</v>
      </c>
      <c r="D79" s="2" t="s">
        <v>39</v>
      </c>
      <c r="E79" s="2" t="s">
        <v>2247</v>
      </c>
      <c r="F79" s="2" t="s">
        <v>3290</v>
      </c>
      <c r="G79" s="2" t="s">
        <v>3447</v>
      </c>
      <c r="H79" s="43">
        <v>1660</v>
      </c>
      <c r="I79" s="325" t="s">
        <v>44</v>
      </c>
      <c r="J79" s="255" t="str">
        <f>IF(ISBLANK(INDEX('Policy Characteristics'!D:D,MATCH($C79,'Policy Characteristics'!$C:$C,0))),"",INDEX('Policy Characteristics'!D:D,MATCH($C79,'Policy Characteristics'!$C:$C,0)))</f>
        <v>Vehicle Subsidy</v>
      </c>
      <c r="K79" s="254" t="str">
        <f>IF(ISBLANK(INDEX('Policy Characteristics'!E:E,MATCH($C79,'Policy Characteristics'!$C:$C,0))),"",INDEX('Policy Characteristics'!E:E,MATCH($C79,'Policy Characteristics'!$C:$C,0)))</f>
        <v>trans psgr subsidy</v>
      </c>
      <c r="L79" s="261">
        <f>IF(ISBLANK(INDEX('Policy Characteristics'!F:F,MATCH($C79,'Policy Characteristics'!$C:$C,0))),"",INDEX('Policy Characteristics'!F:F,MATCH($C79,'Policy Characteristics'!$C:$C,0)))</f>
        <v>0</v>
      </c>
      <c r="M79" s="261">
        <f>IF(ISBLANK(INDEX('Policy Characteristics'!G:G,MATCH($C79,'Policy Characteristics'!$C:$C,0))),"",INDEX('Policy Characteristics'!G:G,MATCH($C79,'Policy Characteristics'!$C:$C,0)))</f>
        <v>50000</v>
      </c>
      <c r="N79" s="261">
        <f>IF(ISBLANK(INDEX('Policy Characteristics'!H:H,MATCH($C79,'Policy Characteristics'!$C:$C,0))),"",INDEX('Policy Characteristics'!H:H,MATCH($C79,'Policy Characteristics'!$C:$C,0)))</f>
        <v>100</v>
      </c>
      <c r="O79" s="254" t="str">
        <f>IF(ISBLANK(INDEX('Policy Characteristics'!I:I,MATCH($C79,'Policy Characteristics'!$C:$C,0))),"",INDEX('Policy Characteristics'!I:I,MATCH($C79,'Policy Characteristics'!$C:$C,0)))</f>
        <v>$ / vehicle</v>
      </c>
      <c r="P79" s="254" t="str">
        <f>IF(ISBLANK(INDEX('Policy Characteristics'!J:J,MATCH($C79,'Policy Characteristics'!$C:$C,0))),"",INDEX('Policy Characteristics'!J:J,MATCH($C79,'Policy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79" s="254" t="str">
        <f>IF(ISBLANK(INDEX('Policy Characteristics'!K:K,MATCH($C79,'Policy Characteristics'!$C:$C,0))),"",INDEX('Policy Characteristics'!K:K,MATCH($C79,'Policy Characteristics'!$C:$C,0)))</f>
        <v>transportation-sector-main.html#ev-subsidy</v>
      </c>
      <c r="R79" s="254" t="str">
        <f>IF(ISBLANK(INDEX('Policy Characteristics'!L:L,MATCH($C79,'Policy Characteristics'!$C:$C,0))),"",INDEX('Policy Characteristics'!L:L,MATCH($C79,'Policy Characteristics'!$C:$C,0)))</f>
        <v>ev-subsidy.html</v>
      </c>
    </row>
    <row r="80" spans="1:18" x14ac:dyDescent="0.3">
      <c r="A80" s="254" t="str">
        <f>IF(ISBLANK(INDEX('Policy Characteristics'!A:A,MATCH($C80,'Policy Characteristics'!$C:$C,0))),"",INDEX('Policy Characteristics'!A:A,MATCH($C80,'Policy Characteristics'!$C:$C,0)))</f>
        <v>Transportation</v>
      </c>
      <c r="B80" s="262" t="str">
        <f>IF(ISBLANK(INDEX('Policy Characteristics'!B:B,MATCH($C80,'Policy Characteristics'!$C:$C,0))),"",INDEX('Policy Characteristics'!B:B,MATCH($C80,'Policy Characteristics'!$C:$C,0)))</f>
        <v>Passenger Vehicle Subsidy</v>
      </c>
      <c r="C80" s="254" t="str">
        <f t="shared" si="3"/>
        <v>Additional Passenger Vehicle Subsidy</v>
      </c>
      <c r="D80" s="2" t="s">
        <v>39</v>
      </c>
      <c r="E80" s="2" t="s">
        <v>2248</v>
      </c>
      <c r="F80" s="2" t="s">
        <v>3290</v>
      </c>
      <c r="G80" s="2" t="s">
        <v>3448</v>
      </c>
      <c r="H80" s="43">
        <v>1661</v>
      </c>
      <c r="I80" s="325" t="s">
        <v>44</v>
      </c>
      <c r="J80" s="255" t="str">
        <f>IF(ISBLANK(INDEX('Policy Characteristics'!D:D,MATCH($C80,'Policy Characteristics'!$C:$C,0))),"",INDEX('Policy Characteristics'!D:D,MATCH($C80,'Policy Characteristics'!$C:$C,0)))</f>
        <v>Vehicle Subsidy</v>
      </c>
      <c r="K80" s="254" t="str">
        <f>IF(ISBLANK(INDEX('Policy Characteristics'!E:E,MATCH($C80,'Policy Characteristics'!$C:$C,0))),"",INDEX('Policy Characteristics'!E:E,MATCH($C80,'Policy Characteristics'!$C:$C,0)))</f>
        <v>trans psgr subsidy</v>
      </c>
      <c r="L80" s="261">
        <f>IF(ISBLANK(INDEX('Policy Characteristics'!F:F,MATCH($C80,'Policy Characteristics'!$C:$C,0))),"",INDEX('Policy Characteristics'!F:F,MATCH($C80,'Policy Characteristics'!$C:$C,0)))</f>
        <v>0</v>
      </c>
      <c r="M80" s="261">
        <f>IF(ISBLANK(INDEX('Policy Characteristics'!G:G,MATCH($C80,'Policy Characteristics'!$C:$C,0))),"",INDEX('Policy Characteristics'!G:G,MATCH($C80,'Policy Characteristics'!$C:$C,0)))</f>
        <v>50000</v>
      </c>
      <c r="N80" s="261">
        <f>IF(ISBLANK(INDEX('Policy Characteristics'!H:H,MATCH($C80,'Policy Characteristics'!$C:$C,0))),"",INDEX('Policy Characteristics'!H:H,MATCH($C80,'Policy Characteristics'!$C:$C,0)))</f>
        <v>100</v>
      </c>
      <c r="O80" s="254" t="str">
        <f>IF(ISBLANK(INDEX('Policy Characteristics'!I:I,MATCH($C80,'Policy Characteristics'!$C:$C,0))),"",INDEX('Policy Characteristics'!I:I,MATCH($C80,'Policy Characteristics'!$C:$C,0)))</f>
        <v>$ / vehicle</v>
      </c>
      <c r="P80" s="254" t="str">
        <f>IF(ISBLANK(INDEX('Policy Characteristics'!J:J,MATCH($C80,'Policy Characteristics'!$C:$C,0))),"",INDEX('Policy Characteristics'!J:J,MATCH($C80,'Policy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0" s="254" t="str">
        <f>IF(ISBLANK(INDEX('Policy Characteristics'!K:K,MATCH($C80,'Policy Characteristics'!$C:$C,0))),"",INDEX('Policy Characteristics'!K:K,MATCH($C80,'Policy Characteristics'!$C:$C,0)))</f>
        <v>transportation-sector-main.html#ev-subsidy</v>
      </c>
      <c r="R80" s="254" t="str">
        <f>IF(ISBLANK(INDEX('Policy Characteristics'!L:L,MATCH($C80,'Policy Characteristics'!$C:$C,0))),"",INDEX('Policy Characteristics'!L:L,MATCH($C80,'Policy Characteristics'!$C:$C,0)))</f>
        <v>ev-subsidy.html</v>
      </c>
    </row>
    <row r="81" spans="1:18" x14ac:dyDescent="0.3">
      <c r="A81" s="254" t="str">
        <f>IF(ISBLANK(INDEX('Policy Characteristics'!A:A,MATCH($C81,'Policy Characteristics'!$C:$C,0))),"",INDEX('Policy Characteristics'!A:A,MATCH($C81,'Policy Characteristics'!$C:$C,0)))</f>
        <v>Transportation</v>
      </c>
      <c r="B81" s="262" t="str">
        <f>IF(ISBLANK(INDEX('Policy Characteristics'!B:B,MATCH($C81,'Policy Characteristics'!$C:$C,0))),"",INDEX('Policy Characteristics'!B:B,MATCH($C81,'Policy Characteristics'!$C:$C,0)))</f>
        <v>Passenger Vehicle Subsidy</v>
      </c>
      <c r="C81" s="254" t="str">
        <f t="shared" si="3"/>
        <v>Additional Passenger Vehicle Subsidy</v>
      </c>
      <c r="D81" s="2" t="s">
        <v>39</v>
      </c>
      <c r="E81" s="2" t="s">
        <v>2249</v>
      </c>
      <c r="F81" s="2" t="s">
        <v>3290</v>
      </c>
      <c r="G81" s="2" t="s">
        <v>3449</v>
      </c>
      <c r="H81" s="43">
        <v>1662</v>
      </c>
      <c r="I81" s="325" t="s">
        <v>44</v>
      </c>
      <c r="J81" s="255" t="str">
        <f>IF(ISBLANK(INDEX('Policy Characteristics'!D:D,MATCH($C81,'Policy Characteristics'!$C:$C,0))),"",INDEX('Policy Characteristics'!D:D,MATCH($C81,'Policy Characteristics'!$C:$C,0)))</f>
        <v>Vehicle Subsidy</v>
      </c>
      <c r="K81" s="254" t="str">
        <f>IF(ISBLANK(INDEX('Policy Characteristics'!E:E,MATCH($C81,'Policy Characteristics'!$C:$C,0))),"",INDEX('Policy Characteristics'!E:E,MATCH($C81,'Policy Characteristics'!$C:$C,0)))</f>
        <v>trans psgr subsidy</v>
      </c>
      <c r="L81" s="261">
        <f>IF(ISBLANK(INDEX('Policy Characteristics'!F:F,MATCH($C81,'Policy Characteristics'!$C:$C,0))),"",INDEX('Policy Characteristics'!F:F,MATCH($C81,'Policy Characteristics'!$C:$C,0)))</f>
        <v>0</v>
      </c>
      <c r="M81" s="261">
        <f>IF(ISBLANK(INDEX('Policy Characteristics'!G:G,MATCH($C81,'Policy Characteristics'!$C:$C,0))),"",INDEX('Policy Characteristics'!G:G,MATCH($C81,'Policy Characteristics'!$C:$C,0)))</f>
        <v>50000</v>
      </c>
      <c r="N81" s="261">
        <f>IF(ISBLANK(INDEX('Policy Characteristics'!H:H,MATCH($C81,'Policy Characteristics'!$C:$C,0))),"",INDEX('Policy Characteristics'!H:H,MATCH($C81,'Policy Characteristics'!$C:$C,0)))</f>
        <v>100</v>
      </c>
      <c r="O81" s="254" t="str">
        <f>IF(ISBLANK(INDEX('Policy Characteristics'!I:I,MATCH($C81,'Policy Characteristics'!$C:$C,0))),"",INDEX('Policy Characteristics'!I:I,MATCH($C81,'Policy Characteristics'!$C:$C,0)))</f>
        <v>$ / vehicle</v>
      </c>
      <c r="P81" s="254" t="str">
        <f>IF(ISBLANK(INDEX('Policy Characteristics'!J:J,MATCH($C81,'Policy Characteristics'!$C:$C,0))),"",INDEX('Policy Characteristics'!J:J,MATCH($C81,'Policy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1" s="254" t="str">
        <f>IF(ISBLANK(INDEX('Policy Characteristics'!K:K,MATCH($C81,'Policy Characteristics'!$C:$C,0))),"",INDEX('Policy Characteristics'!K:K,MATCH($C81,'Policy Characteristics'!$C:$C,0)))</f>
        <v>transportation-sector-main.html#ev-subsidy</v>
      </c>
      <c r="R81" s="254" t="str">
        <f>IF(ISBLANK(INDEX('Policy Characteristics'!L:L,MATCH($C81,'Policy Characteristics'!$C:$C,0))),"",INDEX('Policy Characteristics'!L:L,MATCH($C81,'Policy Characteristics'!$C:$C,0)))</f>
        <v>ev-subsidy.html</v>
      </c>
    </row>
    <row r="82" spans="1:18" x14ac:dyDescent="0.3">
      <c r="A82" s="254" t="str">
        <f>IF(ISBLANK(INDEX('Policy Characteristics'!A:A,MATCH($C82,'Policy Characteristics'!$C:$C,0))),"",INDEX('Policy Characteristics'!A:A,MATCH($C82,'Policy Characteristics'!$C:$C,0)))</f>
        <v>Transportation</v>
      </c>
      <c r="B82" s="262" t="str">
        <f>IF(ISBLANK(INDEX('Policy Characteristics'!B:B,MATCH($C82,'Policy Characteristics'!$C:$C,0))),"",INDEX('Policy Characteristics'!B:B,MATCH($C82,'Policy Characteristics'!$C:$C,0)))</f>
        <v>Passenger Vehicle Subsidy</v>
      </c>
      <c r="C82" s="254" t="str">
        <f t="shared" si="3"/>
        <v>Additional Passenger Vehicle Subsidy</v>
      </c>
      <c r="D82" s="2" t="s">
        <v>39</v>
      </c>
      <c r="E82" s="2" t="s">
        <v>2509</v>
      </c>
      <c r="F82" s="2" t="s">
        <v>3290</v>
      </c>
      <c r="G82" s="2" t="s">
        <v>2509</v>
      </c>
      <c r="H82" s="43">
        <v>1663</v>
      </c>
      <c r="I82" s="325" t="s">
        <v>44</v>
      </c>
      <c r="J82" s="255" t="str">
        <f>IF(ISBLANK(INDEX('Policy Characteristics'!D:D,MATCH($C82,'Policy Characteristics'!$C:$C,0))),"",INDEX('Policy Characteristics'!D:D,MATCH($C82,'Policy Characteristics'!$C:$C,0)))</f>
        <v>Vehicle Subsidy</v>
      </c>
      <c r="K82" s="254" t="str">
        <f>IF(ISBLANK(INDEX('Policy Characteristics'!E:E,MATCH($C82,'Policy Characteristics'!$C:$C,0))),"",INDEX('Policy Characteristics'!E:E,MATCH($C82,'Policy Characteristics'!$C:$C,0)))</f>
        <v>trans psgr subsidy</v>
      </c>
      <c r="L82" s="261">
        <f>IF(ISBLANK(INDEX('Policy Characteristics'!F:F,MATCH($C82,'Policy Characteristics'!$C:$C,0))),"",INDEX('Policy Characteristics'!F:F,MATCH($C82,'Policy Characteristics'!$C:$C,0)))</f>
        <v>0</v>
      </c>
      <c r="M82" s="261">
        <f>IF(ISBLANK(INDEX('Policy Characteristics'!G:G,MATCH($C82,'Policy Characteristics'!$C:$C,0))),"",INDEX('Policy Characteristics'!G:G,MATCH($C82,'Policy Characteristics'!$C:$C,0)))</f>
        <v>50000</v>
      </c>
      <c r="N82" s="261">
        <f>IF(ISBLANK(INDEX('Policy Characteristics'!H:H,MATCH($C82,'Policy Characteristics'!$C:$C,0))),"",INDEX('Policy Characteristics'!H:H,MATCH($C82,'Policy Characteristics'!$C:$C,0)))</f>
        <v>100</v>
      </c>
      <c r="O82" s="254" t="str">
        <f>IF(ISBLANK(INDEX('Policy Characteristics'!I:I,MATCH($C82,'Policy Characteristics'!$C:$C,0))),"",INDEX('Policy Characteristics'!I:I,MATCH($C82,'Policy Characteristics'!$C:$C,0)))</f>
        <v>$ / vehicle</v>
      </c>
      <c r="P82" s="254" t="str">
        <f>IF(ISBLANK(INDEX('Policy Characteristics'!J:J,MATCH($C82,'Policy Characteristics'!$C:$C,0))),"",INDEX('Policy Characteristics'!J:J,MATCH($C82,'Policy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2" s="254" t="str">
        <f>IF(ISBLANK(INDEX('Policy Characteristics'!K:K,MATCH($C82,'Policy Characteristics'!$C:$C,0))),"",INDEX('Policy Characteristics'!K:K,MATCH($C82,'Policy Characteristics'!$C:$C,0)))</f>
        <v>transportation-sector-main.html#ev-subsidy</v>
      </c>
      <c r="R82" s="254" t="str">
        <f>IF(ISBLANK(INDEX('Policy Characteristics'!L:L,MATCH($C82,'Policy Characteristics'!$C:$C,0))),"",INDEX('Policy Characteristics'!L:L,MATCH($C82,'Policy Characteristics'!$C:$C,0)))</f>
        <v>ev-subsidy.html</v>
      </c>
    </row>
    <row r="83" spans="1:18" x14ac:dyDescent="0.3">
      <c r="A83" s="254" t="str">
        <f>IF(ISBLANK(INDEX('Policy Characteristics'!A:A,MATCH($C83,'Policy Characteristics'!$C:$C,0))),"",INDEX('Policy Characteristics'!A:A,MATCH($C83,'Policy Characteristics'!$C:$C,0)))</f>
        <v>Transportation</v>
      </c>
      <c r="B83" s="262" t="str">
        <f>IF(ISBLANK(INDEX('Policy Characteristics'!B:B,MATCH($C83,'Policy Characteristics'!$C:$C,0))),"",INDEX('Policy Characteristics'!B:B,MATCH($C83,'Policy Characteristics'!$C:$C,0)))</f>
        <v>Passenger Vehicle Subsidy</v>
      </c>
      <c r="C83" s="254" t="str">
        <f t="shared" si="3"/>
        <v>Additional Passenger Vehicle Subsidy</v>
      </c>
      <c r="D83" s="2" t="s">
        <v>39</v>
      </c>
      <c r="E83" s="2" t="s">
        <v>2508</v>
      </c>
      <c r="F83" s="2" t="s">
        <v>3290</v>
      </c>
      <c r="G83" s="2" t="s">
        <v>3450</v>
      </c>
      <c r="H83" s="43">
        <v>1664</v>
      </c>
      <c r="I83" s="325" t="s">
        <v>44</v>
      </c>
      <c r="J83" s="255" t="str">
        <f>IF(ISBLANK(INDEX('Policy Characteristics'!D:D,MATCH($C83,'Policy Characteristics'!$C:$C,0))),"",INDEX('Policy Characteristics'!D:D,MATCH($C83,'Policy Characteristics'!$C:$C,0)))</f>
        <v>Vehicle Subsidy</v>
      </c>
      <c r="K83" s="254" t="str">
        <f>IF(ISBLANK(INDEX('Policy Characteristics'!E:E,MATCH($C83,'Policy Characteristics'!$C:$C,0))),"",INDEX('Policy Characteristics'!E:E,MATCH($C83,'Policy Characteristics'!$C:$C,0)))</f>
        <v>trans psgr subsidy</v>
      </c>
      <c r="L83" s="261">
        <f>IF(ISBLANK(INDEX('Policy Characteristics'!F:F,MATCH($C83,'Policy Characteristics'!$C:$C,0))),"",INDEX('Policy Characteristics'!F:F,MATCH($C83,'Policy Characteristics'!$C:$C,0)))</f>
        <v>0</v>
      </c>
      <c r="M83" s="261">
        <f>IF(ISBLANK(INDEX('Policy Characteristics'!G:G,MATCH($C83,'Policy Characteristics'!$C:$C,0))),"",INDEX('Policy Characteristics'!G:G,MATCH($C83,'Policy Characteristics'!$C:$C,0)))</f>
        <v>50000</v>
      </c>
      <c r="N83" s="261">
        <f>IF(ISBLANK(INDEX('Policy Characteristics'!H:H,MATCH($C83,'Policy Characteristics'!$C:$C,0))),"",INDEX('Policy Characteristics'!H:H,MATCH($C83,'Policy Characteristics'!$C:$C,0)))</f>
        <v>100</v>
      </c>
      <c r="O83" s="254" t="str">
        <f>IF(ISBLANK(INDEX('Policy Characteristics'!I:I,MATCH($C83,'Policy Characteristics'!$C:$C,0))),"",INDEX('Policy Characteristics'!I:I,MATCH($C83,'Policy Characteristics'!$C:$C,0)))</f>
        <v>$ / vehicle</v>
      </c>
      <c r="P83" s="254" t="str">
        <f>IF(ISBLANK(INDEX('Policy Characteristics'!J:J,MATCH($C83,'Policy Characteristics'!$C:$C,0))),"",INDEX('Policy Characteristics'!J:J,MATCH($C83,'Policy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3" s="254" t="str">
        <f>IF(ISBLANK(INDEX('Policy Characteristics'!K:K,MATCH($C83,'Policy Characteristics'!$C:$C,0))),"",INDEX('Policy Characteristics'!K:K,MATCH($C83,'Policy Characteristics'!$C:$C,0)))</f>
        <v>transportation-sector-main.html#ev-subsidy</v>
      </c>
      <c r="R83" s="254" t="str">
        <f>IF(ISBLANK(INDEX('Policy Characteristics'!L:L,MATCH($C83,'Policy Characteristics'!$C:$C,0))),"",INDEX('Policy Characteristics'!L:L,MATCH($C83,'Policy Characteristics'!$C:$C,0)))</f>
        <v>ev-subsidy.html</v>
      </c>
    </row>
    <row r="84" spans="1:18" x14ac:dyDescent="0.3">
      <c r="A84" s="254" t="str">
        <f>IF(ISBLANK(INDEX('Policy Characteristics'!A:A,MATCH($C84,'Policy Characteristics'!$C:$C,0))),"",INDEX('Policy Characteristics'!A:A,MATCH($C84,'Policy Characteristics'!$C:$C,0)))</f>
        <v>Transportation</v>
      </c>
      <c r="B84" s="262" t="str">
        <f>IF(ISBLANK(INDEX('Policy Characteristics'!B:B,MATCH($C84,'Policy Characteristics'!$C:$C,0))),"",INDEX('Policy Characteristics'!B:B,MATCH($C84,'Policy Characteristics'!$C:$C,0)))</f>
        <v>Passenger Vehicle Subsidy</v>
      </c>
      <c r="C84" s="254" t="str">
        <f t="shared" si="3"/>
        <v>Additional Passenger Vehicle Subsidy</v>
      </c>
      <c r="D84" s="45" t="s">
        <v>40</v>
      </c>
      <c r="E84" s="45" t="s">
        <v>2245</v>
      </c>
      <c r="F84" s="2" t="s">
        <v>86</v>
      </c>
      <c r="G84" s="45" t="s">
        <v>3445</v>
      </c>
      <c r="H84" s="43">
        <v>1665</v>
      </c>
      <c r="I84" s="325" t="s">
        <v>44</v>
      </c>
      <c r="J84" s="255" t="str">
        <f>IF(ISBLANK(INDEX('Policy Characteristics'!D:D,MATCH($C84,'Policy Characteristics'!$C:$C,0))),"",INDEX('Policy Characteristics'!D:D,MATCH($C84,'Policy Characteristics'!$C:$C,0)))</f>
        <v>Vehicle Subsidy</v>
      </c>
      <c r="K84" s="254" t="str">
        <f>IF(ISBLANK(INDEX('Policy Characteristics'!E:E,MATCH($C84,'Policy Characteristics'!$C:$C,0))),"",INDEX('Policy Characteristics'!E:E,MATCH($C84,'Policy Characteristics'!$C:$C,0)))</f>
        <v>trans psgr subsidy</v>
      </c>
      <c r="L84" s="261">
        <f>IF(ISBLANK(INDEX('Policy Characteristics'!F:F,MATCH($C84,'Policy Characteristics'!$C:$C,0))),"",INDEX('Policy Characteristics'!F:F,MATCH($C84,'Policy Characteristics'!$C:$C,0)))</f>
        <v>0</v>
      </c>
      <c r="M84" s="261">
        <f>IF(ISBLANK(INDEX('Policy Characteristics'!G:G,MATCH($C84,'Policy Characteristics'!$C:$C,0))),"",INDEX('Policy Characteristics'!G:G,MATCH($C84,'Policy Characteristics'!$C:$C,0)))</f>
        <v>50000</v>
      </c>
      <c r="N84" s="261">
        <f>IF(ISBLANK(INDEX('Policy Characteristics'!H:H,MATCH($C84,'Policy Characteristics'!$C:$C,0))),"",INDEX('Policy Characteristics'!H:H,MATCH($C84,'Policy Characteristics'!$C:$C,0)))</f>
        <v>100</v>
      </c>
      <c r="O84" s="254" t="str">
        <f>IF(ISBLANK(INDEX('Policy Characteristics'!I:I,MATCH($C84,'Policy Characteristics'!$C:$C,0))),"",INDEX('Policy Characteristics'!I:I,MATCH($C84,'Policy Characteristics'!$C:$C,0)))</f>
        <v>$ / vehicle</v>
      </c>
      <c r="P84" s="254" t="str">
        <f>IF(ISBLANK(INDEX('Policy Characteristics'!J:J,MATCH($C84,'Policy Characteristics'!$C:$C,0))),"",INDEX('Policy Characteristics'!J:J,MATCH($C84,'Policy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4" s="254" t="str">
        <f>IF(ISBLANK(INDEX('Policy Characteristics'!K:K,MATCH($C84,'Policy Characteristics'!$C:$C,0))),"",INDEX('Policy Characteristics'!K:K,MATCH($C84,'Policy Characteristics'!$C:$C,0)))</f>
        <v>transportation-sector-main.html#ev-subsidy</v>
      </c>
      <c r="R84" s="254" t="str">
        <f>IF(ISBLANK(INDEX('Policy Characteristics'!L:L,MATCH($C84,'Policy Characteristics'!$C:$C,0))),"",INDEX('Policy Characteristics'!L:L,MATCH($C84,'Policy Characteristics'!$C:$C,0)))</f>
        <v>ev-subsidy.html</v>
      </c>
    </row>
    <row r="85" spans="1:18" x14ac:dyDescent="0.3">
      <c r="A85" s="254" t="str">
        <f>IF(ISBLANK(INDEX('Policy Characteristics'!A:A,MATCH($C85,'Policy Characteristics'!$C:$C,0))),"",INDEX('Policy Characteristics'!A:A,MATCH($C85,'Policy Characteristics'!$C:$C,0)))</f>
        <v>Transportation</v>
      </c>
      <c r="B85" s="262" t="str">
        <f>IF(ISBLANK(INDEX('Policy Characteristics'!B:B,MATCH($C85,'Policy Characteristics'!$C:$C,0))),"",INDEX('Policy Characteristics'!B:B,MATCH($C85,'Policy Characteristics'!$C:$C,0)))</f>
        <v>Passenger Vehicle Subsidy</v>
      </c>
      <c r="C85" s="254" t="str">
        <f t="shared" si="3"/>
        <v>Additional Passenger Vehicle Subsidy</v>
      </c>
      <c r="D85" s="45" t="s">
        <v>40</v>
      </c>
      <c r="E85" s="2" t="s">
        <v>2246</v>
      </c>
      <c r="F85" s="2" t="s">
        <v>86</v>
      </c>
      <c r="G85" s="2" t="s">
        <v>3446</v>
      </c>
      <c r="H85" s="43">
        <v>1666</v>
      </c>
      <c r="I85" s="325" t="s">
        <v>44</v>
      </c>
      <c r="J85" s="255" t="str">
        <f>IF(ISBLANK(INDEX('Policy Characteristics'!D:D,MATCH($C85,'Policy Characteristics'!$C:$C,0))),"",INDEX('Policy Characteristics'!D:D,MATCH($C85,'Policy Characteristics'!$C:$C,0)))</f>
        <v>Vehicle Subsidy</v>
      </c>
      <c r="K85" s="254" t="str">
        <f>IF(ISBLANK(INDEX('Policy Characteristics'!E:E,MATCH($C85,'Policy Characteristics'!$C:$C,0))),"",INDEX('Policy Characteristics'!E:E,MATCH($C85,'Policy Characteristics'!$C:$C,0)))</f>
        <v>trans psgr subsidy</v>
      </c>
      <c r="L85" s="261">
        <f>IF(ISBLANK(INDEX('Policy Characteristics'!F:F,MATCH($C85,'Policy Characteristics'!$C:$C,0))),"",INDEX('Policy Characteristics'!F:F,MATCH($C85,'Policy Characteristics'!$C:$C,0)))</f>
        <v>0</v>
      </c>
      <c r="M85" s="261">
        <f>IF(ISBLANK(INDEX('Policy Characteristics'!G:G,MATCH($C85,'Policy Characteristics'!$C:$C,0))),"",INDEX('Policy Characteristics'!G:G,MATCH($C85,'Policy Characteristics'!$C:$C,0)))</f>
        <v>50000</v>
      </c>
      <c r="N85" s="261">
        <f>IF(ISBLANK(INDEX('Policy Characteristics'!H:H,MATCH($C85,'Policy Characteristics'!$C:$C,0))),"",INDEX('Policy Characteristics'!H:H,MATCH($C85,'Policy Characteristics'!$C:$C,0)))</f>
        <v>100</v>
      </c>
      <c r="O85" s="254" t="str">
        <f>IF(ISBLANK(INDEX('Policy Characteristics'!I:I,MATCH($C85,'Policy Characteristics'!$C:$C,0))),"",INDEX('Policy Characteristics'!I:I,MATCH($C85,'Policy Characteristics'!$C:$C,0)))</f>
        <v>$ / vehicle</v>
      </c>
      <c r="P85" s="254" t="str">
        <f>IF(ISBLANK(INDEX('Policy Characteristics'!J:J,MATCH($C85,'Policy Characteristics'!$C:$C,0))),"",INDEX('Policy Characteristics'!J:J,MATCH($C85,'Policy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5" s="254" t="str">
        <f>IF(ISBLANK(INDEX('Policy Characteristics'!K:K,MATCH($C85,'Policy Characteristics'!$C:$C,0))),"",INDEX('Policy Characteristics'!K:K,MATCH($C85,'Policy Characteristics'!$C:$C,0)))</f>
        <v>transportation-sector-main.html#ev-subsidy</v>
      </c>
      <c r="R85" s="254" t="str">
        <f>IF(ISBLANK(INDEX('Policy Characteristics'!L:L,MATCH($C85,'Policy Characteristics'!$C:$C,0))),"",INDEX('Policy Characteristics'!L:L,MATCH($C85,'Policy Characteristics'!$C:$C,0)))</f>
        <v>ev-subsidy.html</v>
      </c>
    </row>
    <row r="86" spans="1:18" x14ac:dyDescent="0.3">
      <c r="A86" s="254" t="str">
        <f>IF(ISBLANK(INDEX('Policy Characteristics'!A:A,MATCH($C86,'Policy Characteristics'!$C:$C,0))),"",INDEX('Policy Characteristics'!A:A,MATCH($C86,'Policy Characteristics'!$C:$C,0)))</f>
        <v>Transportation</v>
      </c>
      <c r="B86" s="262" t="str">
        <f>IF(ISBLANK(INDEX('Policy Characteristics'!B:B,MATCH($C86,'Policy Characteristics'!$C:$C,0))),"",INDEX('Policy Characteristics'!B:B,MATCH($C86,'Policy Characteristics'!$C:$C,0)))</f>
        <v>Passenger Vehicle Subsidy</v>
      </c>
      <c r="C86" s="254" t="str">
        <f t="shared" si="3"/>
        <v>Additional Passenger Vehicle Subsidy</v>
      </c>
      <c r="D86" s="45" t="s">
        <v>40</v>
      </c>
      <c r="E86" s="2" t="s">
        <v>2247</v>
      </c>
      <c r="F86" s="2" t="s">
        <v>86</v>
      </c>
      <c r="G86" s="2" t="s">
        <v>3447</v>
      </c>
      <c r="H86" s="43">
        <v>1667</v>
      </c>
      <c r="I86" s="325" t="s">
        <v>44</v>
      </c>
      <c r="J86" s="255" t="str">
        <f>IF(ISBLANK(INDEX('Policy Characteristics'!D:D,MATCH($C86,'Policy Characteristics'!$C:$C,0))),"",INDEX('Policy Characteristics'!D:D,MATCH($C86,'Policy Characteristics'!$C:$C,0)))</f>
        <v>Vehicle Subsidy</v>
      </c>
      <c r="K86" s="254" t="str">
        <f>IF(ISBLANK(INDEX('Policy Characteristics'!E:E,MATCH($C86,'Policy Characteristics'!$C:$C,0))),"",INDEX('Policy Characteristics'!E:E,MATCH($C86,'Policy Characteristics'!$C:$C,0)))</f>
        <v>trans psgr subsidy</v>
      </c>
      <c r="L86" s="261">
        <f>IF(ISBLANK(INDEX('Policy Characteristics'!F:F,MATCH($C86,'Policy Characteristics'!$C:$C,0))),"",INDEX('Policy Characteristics'!F:F,MATCH($C86,'Policy Characteristics'!$C:$C,0)))</f>
        <v>0</v>
      </c>
      <c r="M86" s="261">
        <f>IF(ISBLANK(INDEX('Policy Characteristics'!G:G,MATCH($C86,'Policy Characteristics'!$C:$C,0))),"",INDEX('Policy Characteristics'!G:G,MATCH($C86,'Policy Characteristics'!$C:$C,0)))</f>
        <v>50000</v>
      </c>
      <c r="N86" s="261">
        <f>IF(ISBLANK(INDEX('Policy Characteristics'!H:H,MATCH($C86,'Policy Characteristics'!$C:$C,0))),"",INDEX('Policy Characteristics'!H:H,MATCH($C86,'Policy Characteristics'!$C:$C,0)))</f>
        <v>100</v>
      </c>
      <c r="O86" s="254" t="str">
        <f>IF(ISBLANK(INDEX('Policy Characteristics'!I:I,MATCH($C86,'Policy Characteristics'!$C:$C,0))),"",INDEX('Policy Characteristics'!I:I,MATCH($C86,'Policy Characteristics'!$C:$C,0)))</f>
        <v>$ / vehicle</v>
      </c>
      <c r="P86" s="254" t="str">
        <f>IF(ISBLANK(INDEX('Policy Characteristics'!J:J,MATCH($C86,'Policy Characteristics'!$C:$C,0))),"",INDEX('Policy Characteristics'!J:J,MATCH($C86,'Policy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6" s="254" t="str">
        <f>IF(ISBLANK(INDEX('Policy Characteristics'!K:K,MATCH($C86,'Policy Characteristics'!$C:$C,0))),"",INDEX('Policy Characteristics'!K:K,MATCH($C86,'Policy Characteristics'!$C:$C,0)))</f>
        <v>transportation-sector-main.html#ev-subsidy</v>
      </c>
      <c r="R86" s="254" t="str">
        <f>IF(ISBLANK(INDEX('Policy Characteristics'!L:L,MATCH($C86,'Policy Characteristics'!$C:$C,0))),"",INDEX('Policy Characteristics'!L:L,MATCH($C86,'Policy Characteristics'!$C:$C,0)))</f>
        <v>ev-subsidy.html</v>
      </c>
    </row>
    <row r="87" spans="1:18" x14ac:dyDescent="0.3">
      <c r="A87" s="254" t="str">
        <f>IF(ISBLANK(INDEX('Policy Characteristics'!A:A,MATCH($C87,'Policy Characteristics'!$C:$C,0))),"",INDEX('Policy Characteristics'!A:A,MATCH($C87,'Policy Characteristics'!$C:$C,0)))</f>
        <v>Transportation</v>
      </c>
      <c r="B87" s="262" t="str">
        <f>IF(ISBLANK(INDEX('Policy Characteristics'!B:B,MATCH($C87,'Policy Characteristics'!$C:$C,0))),"",INDEX('Policy Characteristics'!B:B,MATCH($C87,'Policy Characteristics'!$C:$C,0)))</f>
        <v>Passenger Vehicle Subsidy</v>
      </c>
      <c r="C87" s="254" t="str">
        <f t="shared" si="3"/>
        <v>Additional Passenger Vehicle Subsidy</v>
      </c>
      <c r="D87" s="45" t="s">
        <v>40</v>
      </c>
      <c r="E87" s="2" t="s">
        <v>2248</v>
      </c>
      <c r="F87" s="2" t="s">
        <v>86</v>
      </c>
      <c r="G87" s="2" t="s">
        <v>3448</v>
      </c>
      <c r="H87" s="43">
        <v>1668</v>
      </c>
      <c r="I87" s="325" t="s">
        <v>44</v>
      </c>
      <c r="J87" s="255" t="str">
        <f>IF(ISBLANK(INDEX('Policy Characteristics'!D:D,MATCH($C87,'Policy Characteristics'!$C:$C,0))),"",INDEX('Policy Characteristics'!D:D,MATCH($C87,'Policy Characteristics'!$C:$C,0)))</f>
        <v>Vehicle Subsidy</v>
      </c>
      <c r="K87" s="254" t="str">
        <f>IF(ISBLANK(INDEX('Policy Characteristics'!E:E,MATCH($C87,'Policy Characteristics'!$C:$C,0))),"",INDEX('Policy Characteristics'!E:E,MATCH($C87,'Policy Characteristics'!$C:$C,0)))</f>
        <v>trans psgr subsidy</v>
      </c>
      <c r="L87" s="261">
        <f>IF(ISBLANK(INDEX('Policy Characteristics'!F:F,MATCH($C87,'Policy Characteristics'!$C:$C,0))),"",INDEX('Policy Characteristics'!F:F,MATCH($C87,'Policy Characteristics'!$C:$C,0)))</f>
        <v>0</v>
      </c>
      <c r="M87" s="261">
        <f>IF(ISBLANK(INDEX('Policy Characteristics'!G:G,MATCH($C87,'Policy Characteristics'!$C:$C,0))),"",INDEX('Policy Characteristics'!G:G,MATCH($C87,'Policy Characteristics'!$C:$C,0)))</f>
        <v>50000</v>
      </c>
      <c r="N87" s="261">
        <f>IF(ISBLANK(INDEX('Policy Characteristics'!H:H,MATCH($C87,'Policy Characteristics'!$C:$C,0))),"",INDEX('Policy Characteristics'!H:H,MATCH($C87,'Policy Characteristics'!$C:$C,0)))</f>
        <v>100</v>
      </c>
      <c r="O87" s="254" t="str">
        <f>IF(ISBLANK(INDEX('Policy Characteristics'!I:I,MATCH($C87,'Policy Characteristics'!$C:$C,0))),"",INDEX('Policy Characteristics'!I:I,MATCH($C87,'Policy Characteristics'!$C:$C,0)))</f>
        <v>$ / vehicle</v>
      </c>
      <c r="P87" s="254" t="str">
        <f>IF(ISBLANK(INDEX('Policy Characteristics'!J:J,MATCH($C87,'Policy Characteristics'!$C:$C,0))),"",INDEX('Policy Characteristics'!J:J,MATCH($C87,'Policy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7" s="254" t="str">
        <f>IF(ISBLANK(INDEX('Policy Characteristics'!K:K,MATCH($C87,'Policy Characteristics'!$C:$C,0))),"",INDEX('Policy Characteristics'!K:K,MATCH($C87,'Policy Characteristics'!$C:$C,0)))</f>
        <v>transportation-sector-main.html#ev-subsidy</v>
      </c>
      <c r="R87" s="254" t="str">
        <f>IF(ISBLANK(INDEX('Policy Characteristics'!L:L,MATCH($C87,'Policy Characteristics'!$C:$C,0))),"",INDEX('Policy Characteristics'!L:L,MATCH($C87,'Policy Characteristics'!$C:$C,0)))</f>
        <v>ev-subsidy.html</v>
      </c>
    </row>
    <row r="88" spans="1:18" x14ac:dyDescent="0.3">
      <c r="A88" s="254" t="str">
        <f>IF(ISBLANK(INDEX('Policy Characteristics'!A:A,MATCH($C88,'Policy Characteristics'!$C:$C,0))),"",INDEX('Policy Characteristics'!A:A,MATCH($C88,'Policy Characteristics'!$C:$C,0)))</f>
        <v>Transportation</v>
      </c>
      <c r="B88" s="262" t="str">
        <f>IF(ISBLANK(INDEX('Policy Characteristics'!B:B,MATCH($C88,'Policy Characteristics'!$C:$C,0))),"",INDEX('Policy Characteristics'!B:B,MATCH($C88,'Policy Characteristics'!$C:$C,0)))</f>
        <v>Passenger Vehicle Subsidy</v>
      </c>
      <c r="C88" s="254" t="str">
        <f t="shared" si="3"/>
        <v>Additional Passenger Vehicle Subsidy</v>
      </c>
      <c r="D88" s="45" t="s">
        <v>40</v>
      </c>
      <c r="E88" s="2" t="s">
        <v>2249</v>
      </c>
      <c r="F88" s="2" t="s">
        <v>86</v>
      </c>
      <c r="G88" s="2" t="s">
        <v>3449</v>
      </c>
      <c r="H88" s="43">
        <v>1669</v>
      </c>
      <c r="I88" s="325" t="s">
        <v>44</v>
      </c>
      <c r="J88" s="255" t="str">
        <f>IF(ISBLANK(INDEX('Policy Characteristics'!D:D,MATCH($C88,'Policy Characteristics'!$C:$C,0))),"",INDEX('Policy Characteristics'!D:D,MATCH($C88,'Policy Characteristics'!$C:$C,0)))</f>
        <v>Vehicle Subsidy</v>
      </c>
      <c r="K88" s="254" t="str">
        <f>IF(ISBLANK(INDEX('Policy Characteristics'!E:E,MATCH($C88,'Policy Characteristics'!$C:$C,0))),"",INDEX('Policy Characteristics'!E:E,MATCH($C88,'Policy Characteristics'!$C:$C,0)))</f>
        <v>trans psgr subsidy</v>
      </c>
      <c r="L88" s="261">
        <f>IF(ISBLANK(INDEX('Policy Characteristics'!F:F,MATCH($C88,'Policy Characteristics'!$C:$C,0))),"",INDEX('Policy Characteristics'!F:F,MATCH($C88,'Policy Characteristics'!$C:$C,0)))</f>
        <v>0</v>
      </c>
      <c r="M88" s="261">
        <f>IF(ISBLANK(INDEX('Policy Characteristics'!G:G,MATCH($C88,'Policy Characteristics'!$C:$C,0))),"",INDEX('Policy Characteristics'!G:G,MATCH($C88,'Policy Characteristics'!$C:$C,0)))</f>
        <v>50000</v>
      </c>
      <c r="N88" s="261">
        <f>IF(ISBLANK(INDEX('Policy Characteristics'!H:H,MATCH($C88,'Policy Characteristics'!$C:$C,0))),"",INDEX('Policy Characteristics'!H:H,MATCH($C88,'Policy Characteristics'!$C:$C,0)))</f>
        <v>100</v>
      </c>
      <c r="O88" s="254" t="str">
        <f>IF(ISBLANK(INDEX('Policy Characteristics'!I:I,MATCH($C88,'Policy Characteristics'!$C:$C,0))),"",INDEX('Policy Characteristics'!I:I,MATCH($C88,'Policy Characteristics'!$C:$C,0)))</f>
        <v>$ / vehicle</v>
      </c>
      <c r="P88" s="254" t="str">
        <f>IF(ISBLANK(INDEX('Policy Characteristics'!J:J,MATCH($C88,'Policy Characteristics'!$C:$C,0))),"",INDEX('Policy Characteristics'!J:J,MATCH($C88,'Policy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8" s="254" t="str">
        <f>IF(ISBLANK(INDEX('Policy Characteristics'!K:K,MATCH($C88,'Policy Characteristics'!$C:$C,0))),"",INDEX('Policy Characteristics'!K:K,MATCH($C88,'Policy Characteristics'!$C:$C,0)))</f>
        <v>transportation-sector-main.html#ev-subsidy</v>
      </c>
      <c r="R88" s="254" t="str">
        <f>IF(ISBLANK(INDEX('Policy Characteristics'!L:L,MATCH($C88,'Policy Characteristics'!$C:$C,0))),"",INDEX('Policy Characteristics'!L:L,MATCH($C88,'Policy Characteristics'!$C:$C,0)))</f>
        <v>ev-subsidy.html</v>
      </c>
    </row>
    <row r="89" spans="1:18" x14ac:dyDescent="0.3">
      <c r="A89" s="254" t="str">
        <f>IF(ISBLANK(INDEX('Policy Characteristics'!A:A,MATCH($C89,'Policy Characteristics'!$C:$C,0))),"",INDEX('Policy Characteristics'!A:A,MATCH($C89,'Policy Characteristics'!$C:$C,0)))</f>
        <v>Transportation</v>
      </c>
      <c r="B89" s="262" t="str">
        <f>IF(ISBLANK(INDEX('Policy Characteristics'!B:B,MATCH($C89,'Policy Characteristics'!$C:$C,0))),"",INDEX('Policy Characteristics'!B:B,MATCH($C89,'Policy Characteristics'!$C:$C,0)))</f>
        <v>Passenger Vehicle Subsidy</v>
      </c>
      <c r="C89" s="254" t="str">
        <f t="shared" si="3"/>
        <v>Additional Passenger Vehicle Subsidy</v>
      </c>
      <c r="D89" s="45" t="s">
        <v>40</v>
      </c>
      <c r="E89" s="2" t="s">
        <v>2509</v>
      </c>
      <c r="F89" s="2" t="s">
        <v>86</v>
      </c>
      <c r="G89" s="2" t="s">
        <v>2509</v>
      </c>
      <c r="H89" s="43">
        <v>1670</v>
      </c>
      <c r="I89" s="325" t="s">
        <v>44</v>
      </c>
      <c r="J89" s="255" t="str">
        <f>IF(ISBLANK(INDEX('Policy Characteristics'!D:D,MATCH($C89,'Policy Characteristics'!$C:$C,0))),"",INDEX('Policy Characteristics'!D:D,MATCH($C89,'Policy Characteristics'!$C:$C,0)))</f>
        <v>Vehicle Subsidy</v>
      </c>
      <c r="K89" s="254" t="str">
        <f>IF(ISBLANK(INDEX('Policy Characteristics'!E:E,MATCH($C89,'Policy Characteristics'!$C:$C,0))),"",INDEX('Policy Characteristics'!E:E,MATCH($C89,'Policy Characteristics'!$C:$C,0)))</f>
        <v>trans psgr subsidy</v>
      </c>
      <c r="L89" s="261">
        <f>IF(ISBLANK(INDEX('Policy Characteristics'!F:F,MATCH($C89,'Policy Characteristics'!$C:$C,0))),"",INDEX('Policy Characteristics'!F:F,MATCH($C89,'Policy Characteristics'!$C:$C,0)))</f>
        <v>0</v>
      </c>
      <c r="M89" s="261">
        <f>IF(ISBLANK(INDEX('Policy Characteristics'!G:G,MATCH($C89,'Policy Characteristics'!$C:$C,0))),"",INDEX('Policy Characteristics'!G:G,MATCH($C89,'Policy Characteristics'!$C:$C,0)))</f>
        <v>50000</v>
      </c>
      <c r="N89" s="261">
        <f>IF(ISBLANK(INDEX('Policy Characteristics'!H:H,MATCH($C89,'Policy Characteristics'!$C:$C,0))),"",INDEX('Policy Characteristics'!H:H,MATCH($C89,'Policy Characteristics'!$C:$C,0)))</f>
        <v>100</v>
      </c>
      <c r="O89" s="254" t="str">
        <f>IF(ISBLANK(INDEX('Policy Characteristics'!I:I,MATCH($C89,'Policy Characteristics'!$C:$C,0))),"",INDEX('Policy Characteristics'!I:I,MATCH($C89,'Policy Characteristics'!$C:$C,0)))</f>
        <v>$ / vehicle</v>
      </c>
      <c r="P89" s="254" t="str">
        <f>IF(ISBLANK(INDEX('Policy Characteristics'!J:J,MATCH($C89,'Policy Characteristics'!$C:$C,0))),"",INDEX('Policy Characteristics'!J:J,MATCH($C89,'Policy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89" s="254" t="str">
        <f>IF(ISBLANK(INDEX('Policy Characteristics'!K:K,MATCH($C89,'Policy Characteristics'!$C:$C,0))),"",INDEX('Policy Characteristics'!K:K,MATCH($C89,'Policy Characteristics'!$C:$C,0)))</f>
        <v>transportation-sector-main.html#ev-subsidy</v>
      </c>
      <c r="R89" s="254" t="str">
        <f>IF(ISBLANK(INDEX('Policy Characteristics'!L:L,MATCH($C89,'Policy Characteristics'!$C:$C,0))),"",INDEX('Policy Characteristics'!L:L,MATCH($C89,'Policy Characteristics'!$C:$C,0)))</f>
        <v>ev-subsidy.html</v>
      </c>
    </row>
    <row r="90" spans="1:18" x14ac:dyDescent="0.3">
      <c r="A90" s="254" t="str">
        <f>IF(ISBLANK(INDEX('Policy Characteristics'!A:A,MATCH($C90,'Policy Characteristics'!$C:$C,0))),"",INDEX('Policy Characteristics'!A:A,MATCH($C90,'Policy Characteristics'!$C:$C,0)))</f>
        <v>Transportation</v>
      </c>
      <c r="B90" s="262" t="str">
        <f>IF(ISBLANK(INDEX('Policy Characteristics'!B:B,MATCH($C90,'Policy Characteristics'!$C:$C,0))),"",INDEX('Policy Characteristics'!B:B,MATCH($C90,'Policy Characteristics'!$C:$C,0)))</f>
        <v>Passenger Vehicle Subsidy</v>
      </c>
      <c r="C90" s="254" t="str">
        <f t="shared" si="3"/>
        <v>Additional Passenger Vehicle Subsidy</v>
      </c>
      <c r="D90" s="45" t="s">
        <v>40</v>
      </c>
      <c r="E90" s="2" t="s">
        <v>2508</v>
      </c>
      <c r="F90" s="2" t="s">
        <v>86</v>
      </c>
      <c r="G90" s="2" t="s">
        <v>3450</v>
      </c>
      <c r="H90" s="43">
        <v>1671</v>
      </c>
      <c r="I90" s="325" t="s">
        <v>44</v>
      </c>
      <c r="J90" s="255" t="str">
        <f>IF(ISBLANK(INDEX('Policy Characteristics'!D:D,MATCH($C90,'Policy Characteristics'!$C:$C,0))),"",INDEX('Policy Characteristics'!D:D,MATCH($C90,'Policy Characteristics'!$C:$C,0)))</f>
        <v>Vehicle Subsidy</v>
      </c>
      <c r="K90" s="254" t="str">
        <f>IF(ISBLANK(INDEX('Policy Characteristics'!E:E,MATCH($C90,'Policy Characteristics'!$C:$C,0))),"",INDEX('Policy Characteristics'!E:E,MATCH($C90,'Policy Characteristics'!$C:$C,0)))</f>
        <v>trans psgr subsidy</v>
      </c>
      <c r="L90" s="261">
        <f>IF(ISBLANK(INDEX('Policy Characteristics'!F:F,MATCH($C90,'Policy Characteristics'!$C:$C,0))),"",INDEX('Policy Characteristics'!F:F,MATCH($C90,'Policy Characteristics'!$C:$C,0)))</f>
        <v>0</v>
      </c>
      <c r="M90" s="261">
        <f>IF(ISBLANK(INDEX('Policy Characteristics'!G:G,MATCH($C90,'Policy Characteristics'!$C:$C,0))),"",INDEX('Policy Characteristics'!G:G,MATCH($C90,'Policy Characteristics'!$C:$C,0)))</f>
        <v>50000</v>
      </c>
      <c r="N90" s="261">
        <f>IF(ISBLANK(INDEX('Policy Characteristics'!H:H,MATCH($C90,'Policy Characteristics'!$C:$C,0))),"",INDEX('Policy Characteristics'!H:H,MATCH($C90,'Policy Characteristics'!$C:$C,0)))</f>
        <v>100</v>
      </c>
      <c r="O90" s="254" t="str">
        <f>IF(ISBLANK(INDEX('Policy Characteristics'!I:I,MATCH($C90,'Policy Characteristics'!$C:$C,0))),"",INDEX('Policy Characteristics'!I:I,MATCH($C90,'Policy Characteristics'!$C:$C,0)))</f>
        <v>$ / vehicle</v>
      </c>
      <c r="P90" s="254" t="str">
        <f>IF(ISBLANK(INDEX('Policy Characteristics'!J:J,MATCH($C90,'Policy Characteristics'!$C:$C,0))),"",INDEX('Policy Characteristics'!J:J,MATCH($C90,'Policy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0" s="254" t="str">
        <f>IF(ISBLANK(INDEX('Policy Characteristics'!K:K,MATCH($C90,'Policy Characteristics'!$C:$C,0))),"",INDEX('Policy Characteristics'!K:K,MATCH($C90,'Policy Characteristics'!$C:$C,0)))</f>
        <v>transportation-sector-main.html#ev-subsidy</v>
      </c>
      <c r="R90" s="254" t="str">
        <f>IF(ISBLANK(INDEX('Policy Characteristics'!L:L,MATCH($C90,'Policy Characteristics'!$C:$C,0))),"",INDEX('Policy Characteristics'!L:L,MATCH($C90,'Policy Characteristics'!$C:$C,0)))</f>
        <v>ev-subsidy.html</v>
      </c>
    </row>
    <row r="91" spans="1:18" x14ac:dyDescent="0.3">
      <c r="A91" s="254" t="str">
        <f>IF(ISBLANK(INDEX('Policy Characteristics'!A:A,MATCH($C91,'Policy Characteristics'!$C:$C,0))),"",INDEX('Policy Characteristics'!A:A,MATCH($C91,'Policy Characteristics'!$C:$C,0)))</f>
        <v>Transportation</v>
      </c>
      <c r="B91" s="262" t="str">
        <f>IF(ISBLANK(INDEX('Policy Characteristics'!B:B,MATCH($C91,'Policy Characteristics'!$C:$C,0))),"",INDEX('Policy Characteristics'!B:B,MATCH($C91,'Policy Characteristics'!$C:$C,0)))</f>
        <v>Passenger Vehicle Subsidy</v>
      </c>
      <c r="C91" s="254" t="str">
        <f t="shared" si="3"/>
        <v>Additional Passenger Vehicle Subsidy</v>
      </c>
      <c r="D91" s="45" t="s">
        <v>41</v>
      </c>
      <c r="E91" s="45" t="s">
        <v>2245</v>
      </c>
      <c r="F91" s="2" t="s">
        <v>3291</v>
      </c>
      <c r="G91" s="45" t="s">
        <v>3445</v>
      </c>
      <c r="H91" s="43">
        <v>1672</v>
      </c>
      <c r="I91" s="325" t="s">
        <v>44</v>
      </c>
      <c r="J91" s="255" t="str">
        <f>IF(ISBLANK(INDEX('Policy Characteristics'!D:D,MATCH($C91,'Policy Characteristics'!$C:$C,0))),"",INDEX('Policy Characteristics'!D:D,MATCH($C91,'Policy Characteristics'!$C:$C,0)))</f>
        <v>Vehicle Subsidy</v>
      </c>
      <c r="K91" s="254" t="str">
        <f>IF(ISBLANK(INDEX('Policy Characteristics'!E:E,MATCH($C91,'Policy Characteristics'!$C:$C,0))),"",INDEX('Policy Characteristics'!E:E,MATCH($C91,'Policy Characteristics'!$C:$C,0)))</f>
        <v>trans psgr subsidy</v>
      </c>
      <c r="L91" s="261">
        <f>IF(ISBLANK(INDEX('Policy Characteristics'!F:F,MATCH($C91,'Policy Characteristics'!$C:$C,0))),"",INDEX('Policy Characteristics'!F:F,MATCH($C91,'Policy Characteristics'!$C:$C,0)))</f>
        <v>0</v>
      </c>
      <c r="M91" s="261">
        <f>IF(ISBLANK(INDEX('Policy Characteristics'!G:G,MATCH($C91,'Policy Characteristics'!$C:$C,0))),"",INDEX('Policy Characteristics'!G:G,MATCH($C91,'Policy Characteristics'!$C:$C,0)))</f>
        <v>50000</v>
      </c>
      <c r="N91" s="261">
        <f>IF(ISBLANK(INDEX('Policy Characteristics'!H:H,MATCH($C91,'Policy Characteristics'!$C:$C,0))),"",INDEX('Policy Characteristics'!H:H,MATCH($C91,'Policy Characteristics'!$C:$C,0)))</f>
        <v>100</v>
      </c>
      <c r="O91" s="254" t="str">
        <f>IF(ISBLANK(INDEX('Policy Characteristics'!I:I,MATCH($C91,'Policy Characteristics'!$C:$C,0))),"",INDEX('Policy Characteristics'!I:I,MATCH($C91,'Policy Characteristics'!$C:$C,0)))</f>
        <v>$ / vehicle</v>
      </c>
      <c r="P91" s="254" t="str">
        <f>IF(ISBLANK(INDEX('Policy Characteristics'!J:J,MATCH($C91,'Policy Characteristics'!$C:$C,0))),"",INDEX('Policy Characteristics'!J:J,MATCH($C91,'Policy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1" s="254" t="str">
        <f>IF(ISBLANK(INDEX('Policy Characteristics'!K:K,MATCH($C91,'Policy Characteristics'!$C:$C,0))),"",INDEX('Policy Characteristics'!K:K,MATCH($C91,'Policy Characteristics'!$C:$C,0)))</f>
        <v>transportation-sector-main.html#ev-subsidy</v>
      </c>
      <c r="R91" s="254" t="str">
        <f>IF(ISBLANK(INDEX('Policy Characteristics'!L:L,MATCH($C91,'Policy Characteristics'!$C:$C,0))),"",INDEX('Policy Characteristics'!L:L,MATCH($C91,'Policy Characteristics'!$C:$C,0)))</f>
        <v>ev-subsidy.html</v>
      </c>
    </row>
    <row r="92" spans="1:18" x14ac:dyDescent="0.3">
      <c r="A92" s="254" t="str">
        <f>IF(ISBLANK(INDEX('Policy Characteristics'!A:A,MATCH($C92,'Policy Characteristics'!$C:$C,0))),"",INDEX('Policy Characteristics'!A:A,MATCH($C92,'Policy Characteristics'!$C:$C,0)))</f>
        <v>Transportation</v>
      </c>
      <c r="B92" s="262" t="str">
        <f>IF(ISBLANK(INDEX('Policy Characteristics'!B:B,MATCH($C92,'Policy Characteristics'!$C:$C,0))),"",INDEX('Policy Characteristics'!B:B,MATCH($C92,'Policy Characteristics'!$C:$C,0)))</f>
        <v>Passenger Vehicle Subsidy</v>
      </c>
      <c r="C92" s="254" t="str">
        <f t="shared" si="3"/>
        <v>Additional Passenger Vehicle Subsidy</v>
      </c>
      <c r="D92" s="45" t="s">
        <v>41</v>
      </c>
      <c r="E92" s="2" t="s">
        <v>2246</v>
      </c>
      <c r="F92" s="2" t="s">
        <v>3291</v>
      </c>
      <c r="G92" s="2" t="s">
        <v>3446</v>
      </c>
      <c r="H92" s="43">
        <v>1673</v>
      </c>
      <c r="I92" s="325" t="s">
        <v>44</v>
      </c>
      <c r="J92" s="255" t="str">
        <f>IF(ISBLANK(INDEX('Policy Characteristics'!D:D,MATCH($C92,'Policy Characteristics'!$C:$C,0))),"",INDEX('Policy Characteristics'!D:D,MATCH($C92,'Policy Characteristics'!$C:$C,0)))</f>
        <v>Vehicle Subsidy</v>
      </c>
      <c r="K92" s="254" t="str">
        <f>IF(ISBLANK(INDEX('Policy Characteristics'!E:E,MATCH($C92,'Policy Characteristics'!$C:$C,0))),"",INDEX('Policy Characteristics'!E:E,MATCH($C92,'Policy Characteristics'!$C:$C,0)))</f>
        <v>trans psgr subsidy</v>
      </c>
      <c r="L92" s="261">
        <f>IF(ISBLANK(INDEX('Policy Characteristics'!F:F,MATCH($C92,'Policy Characteristics'!$C:$C,0))),"",INDEX('Policy Characteristics'!F:F,MATCH($C92,'Policy Characteristics'!$C:$C,0)))</f>
        <v>0</v>
      </c>
      <c r="M92" s="261">
        <f>IF(ISBLANK(INDEX('Policy Characteristics'!G:G,MATCH($C92,'Policy Characteristics'!$C:$C,0))),"",INDEX('Policy Characteristics'!G:G,MATCH($C92,'Policy Characteristics'!$C:$C,0)))</f>
        <v>50000</v>
      </c>
      <c r="N92" s="261">
        <f>IF(ISBLANK(INDEX('Policy Characteristics'!H:H,MATCH($C92,'Policy Characteristics'!$C:$C,0))),"",INDEX('Policy Characteristics'!H:H,MATCH($C92,'Policy Characteristics'!$C:$C,0)))</f>
        <v>100</v>
      </c>
      <c r="O92" s="254" t="str">
        <f>IF(ISBLANK(INDEX('Policy Characteristics'!I:I,MATCH($C92,'Policy Characteristics'!$C:$C,0))),"",INDEX('Policy Characteristics'!I:I,MATCH($C92,'Policy Characteristics'!$C:$C,0)))</f>
        <v>$ / vehicle</v>
      </c>
      <c r="P92" s="254" t="str">
        <f>IF(ISBLANK(INDEX('Policy Characteristics'!J:J,MATCH($C92,'Policy Characteristics'!$C:$C,0))),"",INDEX('Policy Characteristics'!J:J,MATCH($C92,'Policy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2" s="254" t="str">
        <f>IF(ISBLANK(INDEX('Policy Characteristics'!K:K,MATCH($C92,'Policy Characteristics'!$C:$C,0))),"",INDEX('Policy Characteristics'!K:K,MATCH($C92,'Policy Characteristics'!$C:$C,0)))</f>
        <v>transportation-sector-main.html#ev-subsidy</v>
      </c>
      <c r="R92" s="254" t="str">
        <f>IF(ISBLANK(INDEX('Policy Characteristics'!L:L,MATCH($C92,'Policy Characteristics'!$C:$C,0))),"",INDEX('Policy Characteristics'!L:L,MATCH($C92,'Policy Characteristics'!$C:$C,0)))</f>
        <v>ev-subsidy.html</v>
      </c>
    </row>
    <row r="93" spans="1:18" x14ac:dyDescent="0.3">
      <c r="A93" s="254" t="str">
        <f>IF(ISBLANK(INDEX('Policy Characteristics'!A:A,MATCH($C93,'Policy Characteristics'!$C:$C,0))),"",INDEX('Policy Characteristics'!A:A,MATCH($C93,'Policy Characteristics'!$C:$C,0)))</f>
        <v>Transportation</v>
      </c>
      <c r="B93" s="262" t="str">
        <f>IF(ISBLANK(INDEX('Policy Characteristics'!B:B,MATCH($C93,'Policy Characteristics'!$C:$C,0))),"",INDEX('Policy Characteristics'!B:B,MATCH($C93,'Policy Characteristics'!$C:$C,0)))</f>
        <v>Passenger Vehicle Subsidy</v>
      </c>
      <c r="C93" s="254" t="str">
        <f t="shared" si="3"/>
        <v>Additional Passenger Vehicle Subsidy</v>
      </c>
      <c r="D93" s="45" t="s">
        <v>41</v>
      </c>
      <c r="E93" s="2" t="s">
        <v>2247</v>
      </c>
      <c r="F93" s="2" t="s">
        <v>3291</v>
      </c>
      <c r="G93" s="2" t="s">
        <v>3447</v>
      </c>
      <c r="H93" s="43">
        <v>1674</v>
      </c>
      <c r="I93" s="325" t="s">
        <v>44</v>
      </c>
      <c r="J93" s="255" t="str">
        <f>IF(ISBLANK(INDEX('Policy Characteristics'!D:D,MATCH($C93,'Policy Characteristics'!$C:$C,0))),"",INDEX('Policy Characteristics'!D:D,MATCH($C93,'Policy Characteristics'!$C:$C,0)))</f>
        <v>Vehicle Subsidy</v>
      </c>
      <c r="K93" s="254" t="str">
        <f>IF(ISBLANK(INDEX('Policy Characteristics'!E:E,MATCH($C93,'Policy Characteristics'!$C:$C,0))),"",INDEX('Policy Characteristics'!E:E,MATCH($C93,'Policy Characteristics'!$C:$C,0)))</f>
        <v>trans psgr subsidy</v>
      </c>
      <c r="L93" s="261">
        <f>IF(ISBLANK(INDEX('Policy Characteristics'!F:F,MATCH($C93,'Policy Characteristics'!$C:$C,0))),"",INDEX('Policy Characteristics'!F:F,MATCH($C93,'Policy Characteristics'!$C:$C,0)))</f>
        <v>0</v>
      </c>
      <c r="M93" s="261">
        <f>IF(ISBLANK(INDEX('Policy Characteristics'!G:G,MATCH($C93,'Policy Characteristics'!$C:$C,0))),"",INDEX('Policy Characteristics'!G:G,MATCH($C93,'Policy Characteristics'!$C:$C,0)))</f>
        <v>50000</v>
      </c>
      <c r="N93" s="261">
        <f>IF(ISBLANK(INDEX('Policy Characteristics'!H:H,MATCH($C93,'Policy Characteristics'!$C:$C,0))),"",INDEX('Policy Characteristics'!H:H,MATCH($C93,'Policy Characteristics'!$C:$C,0)))</f>
        <v>100</v>
      </c>
      <c r="O93" s="254" t="str">
        <f>IF(ISBLANK(INDEX('Policy Characteristics'!I:I,MATCH($C93,'Policy Characteristics'!$C:$C,0))),"",INDEX('Policy Characteristics'!I:I,MATCH($C93,'Policy Characteristics'!$C:$C,0)))</f>
        <v>$ / vehicle</v>
      </c>
      <c r="P93" s="254" t="str">
        <f>IF(ISBLANK(INDEX('Policy Characteristics'!J:J,MATCH($C93,'Policy Characteristics'!$C:$C,0))),"",INDEX('Policy Characteristics'!J:J,MATCH($C93,'Policy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3" s="254" t="str">
        <f>IF(ISBLANK(INDEX('Policy Characteristics'!K:K,MATCH($C93,'Policy Characteristics'!$C:$C,0))),"",INDEX('Policy Characteristics'!K:K,MATCH($C93,'Policy Characteristics'!$C:$C,0)))</f>
        <v>transportation-sector-main.html#ev-subsidy</v>
      </c>
      <c r="R93" s="254" t="str">
        <f>IF(ISBLANK(INDEX('Policy Characteristics'!L:L,MATCH($C93,'Policy Characteristics'!$C:$C,0))),"",INDEX('Policy Characteristics'!L:L,MATCH($C93,'Policy Characteristics'!$C:$C,0)))</f>
        <v>ev-subsidy.html</v>
      </c>
    </row>
    <row r="94" spans="1:18" x14ac:dyDescent="0.3">
      <c r="A94" s="254" t="str">
        <f>IF(ISBLANK(INDEX('Policy Characteristics'!A:A,MATCH($C94,'Policy Characteristics'!$C:$C,0))),"",INDEX('Policy Characteristics'!A:A,MATCH($C94,'Policy Characteristics'!$C:$C,0)))</f>
        <v>Transportation</v>
      </c>
      <c r="B94" s="262" t="str">
        <f>IF(ISBLANK(INDEX('Policy Characteristics'!B:B,MATCH($C94,'Policy Characteristics'!$C:$C,0))),"",INDEX('Policy Characteristics'!B:B,MATCH($C94,'Policy Characteristics'!$C:$C,0)))</f>
        <v>Passenger Vehicle Subsidy</v>
      </c>
      <c r="C94" s="254" t="str">
        <f t="shared" si="3"/>
        <v>Additional Passenger Vehicle Subsidy</v>
      </c>
      <c r="D94" s="45" t="s">
        <v>41</v>
      </c>
      <c r="E94" s="2" t="s">
        <v>2248</v>
      </c>
      <c r="F94" s="2" t="s">
        <v>3291</v>
      </c>
      <c r="G94" s="2" t="s">
        <v>3448</v>
      </c>
      <c r="H94" s="43">
        <v>1675</v>
      </c>
      <c r="I94" s="325" t="s">
        <v>44</v>
      </c>
      <c r="J94" s="255" t="str">
        <f>IF(ISBLANK(INDEX('Policy Characteristics'!D:D,MATCH($C94,'Policy Characteristics'!$C:$C,0))),"",INDEX('Policy Characteristics'!D:D,MATCH($C94,'Policy Characteristics'!$C:$C,0)))</f>
        <v>Vehicle Subsidy</v>
      </c>
      <c r="K94" s="254" t="str">
        <f>IF(ISBLANK(INDEX('Policy Characteristics'!E:E,MATCH($C94,'Policy Characteristics'!$C:$C,0))),"",INDEX('Policy Characteristics'!E:E,MATCH($C94,'Policy Characteristics'!$C:$C,0)))</f>
        <v>trans psgr subsidy</v>
      </c>
      <c r="L94" s="261">
        <f>IF(ISBLANK(INDEX('Policy Characteristics'!F:F,MATCH($C94,'Policy Characteristics'!$C:$C,0))),"",INDEX('Policy Characteristics'!F:F,MATCH($C94,'Policy Characteristics'!$C:$C,0)))</f>
        <v>0</v>
      </c>
      <c r="M94" s="261">
        <f>IF(ISBLANK(INDEX('Policy Characteristics'!G:G,MATCH($C94,'Policy Characteristics'!$C:$C,0))),"",INDEX('Policy Characteristics'!G:G,MATCH($C94,'Policy Characteristics'!$C:$C,0)))</f>
        <v>50000</v>
      </c>
      <c r="N94" s="261">
        <f>IF(ISBLANK(INDEX('Policy Characteristics'!H:H,MATCH($C94,'Policy Characteristics'!$C:$C,0))),"",INDEX('Policy Characteristics'!H:H,MATCH($C94,'Policy Characteristics'!$C:$C,0)))</f>
        <v>100</v>
      </c>
      <c r="O94" s="254" t="str">
        <f>IF(ISBLANK(INDEX('Policy Characteristics'!I:I,MATCH($C94,'Policy Characteristics'!$C:$C,0))),"",INDEX('Policy Characteristics'!I:I,MATCH($C94,'Policy Characteristics'!$C:$C,0)))</f>
        <v>$ / vehicle</v>
      </c>
      <c r="P94" s="254" t="str">
        <f>IF(ISBLANK(INDEX('Policy Characteristics'!J:J,MATCH($C94,'Policy Characteristics'!$C:$C,0))),"",INDEX('Policy Characteristics'!J:J,MATCH($C94,'Policy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4" s="254" t="str">
        <f>IF(ISBLANK(INDEX('Policy Characteristics'!K:K,MATCH($C94,'Policy Characteristics'!$C:$C,0))),"",INDEX('Policy Characteristics'!K:K,MATCH($C94,'Policy Characteristics'!$C:$C,0)))</f>
        <v>transportation-sector-main.html#ev-subsidy</v>
      </c>
      <c r="R94" s="254" t="str">
        <f>IF(ISBLANK(INDEX('Policy Characteristics'!L:L,MATCH($C94,'Policy Characteristics'!$C:$C,0))),"",INDEX('Policy Characteristics'!L:L,MATCH($C94,'Policy Characteristics'!$C:$C,0)))</f>
        <v>ev-subsidy.html</v>
      </c>
    </row>
    <row r="95" spans="1:18" x14ac:dyDescent="0.3">
      <c r="A95" s="254" t="str">
        <f>IF(ISBLANK(INDEX('Policy Characteristics'!A:A,MATCH($C95,'Policy Characteristics'!$C:$C,0))),"",INDEX('Policy Characteristics'!A:A,MATCH($C95,'Policy Characteristics'!$C:$C,0)))</f>
        <v>Transportation</v>
      </c>
      <c r="B95" s="262" t="str">
        <f>IF(ISBLANK(INDEX('Policy Characteristics'!B:B,MATCH($C95,'Policy Characteristics'!$C:$C,0))),"",INDEX('Policy Characteristics'!B:B,MATCH($C95,'Policy Characteristics'!$C:$C,0)))</f>
        <v>Passenger Vehicle Subsidy</v>
      </c>
      <c r="C95" s="254" t="str">
        <f t="shared" si="3"/>
        <v>Additional Passenger Vehicle Subsidy</v>
      </c>
      <c r="D95" s="45" t="s">
        <v>41</v>
      </c>
      <c r="E95" s="2" t="s">
        <v>2249</v>
      </c>
      <c r="F95" s="2" t="s">
        <v>3291</v>
      </c>
      <c r="G95" s="2" t="s">
        <v>3449</v>
      </c>
      <c r="H95" s="43">
        <v>1676</v>
      </c>
      <c r="I95" s="325" t="s">
        <v>44</v>
      </c>
      <c r="J95" s="255" t="str">
        <f>IF(ISBLANK(INDEX('Policy Characteristics'!D:D,MATCH($C95,'Policy Characteristics'!$C:$C,0))),"",INDEX('Policy Characteristics'!D:D,MATCH($C95,'Policy Characteristics'!$C:$C,0)))</f>
        <v>Vehicle Subsidy</v>
      </c>
      <c r="K95" s="254" t="str">
        <f>IF(ISBLANK(INDEX('Policy Characteristics'!E:E,MATCH($C95,'Policy Characteristics'!$C:$C,0))),"",INDEX('Policy Characteristics'!E:E,MATCH($C95,'Policy Characteristics'!$C:$C,0)))</f>
        <v>trans psgr subsidy</v>
      </c>
      <c r="L95" s="261">
        <f>IF(ISBLANK(INDEX('Policy Characteristics'!F:F,MATCH($C95,'Policy Characteristics'!$C:$C,0))),"",INDEX('Policy Characteristics'!F:F,MATCH($C95,'Policy Characteristics'!$C:$C,0)))</f>
        <v>0</v>
      </c>
      <c r="M95" s="261">
        <f>IF(ISBLANK(INDEX('Policy Characteristics'!G:G,MATCH($C95,'Policy Characteristics'!$C:$C,0))),"",INDEX('Policy Characteristics'!G:G,MATCH($C95,'Policy Characteristics'!$C:$C,0)))</f>
        <v>50000</v>
      </c>
      <c r="N95" s="261">
        <f>IF(ISBLANK(INDEX('Policy Characteristics'!H:H,MATCH($C95,'Policy Characteristics'!$C:$C,0))),"",INDEX('Policy Characteristics'!H:H,MATCH($C95,'Policy Characteristics'!$C:$C,0)))</f>
        <v>100</v>
      </c>
      <c r="O95" s="254" t="str">
        <f>IF(ISBLANK(INDEX('Policy Characteristics'!I:I,MATCH($C95,'Policy Characteristics'!$C:$C,0))),"",INDEX('Policy Characteristics'!I:I,MATCH($C95,'Policy Characteristics'!$C:$C,0)))</f>
        <v>$ / vehicle</v>
      </c>
      <c r="P95" s="254" t="str">
        <f>IF(ISBLANK(INDEX('Policy Characteristics'!J:J,MATCH($C95,'Policy Characteristics'!$C:$C,0))),"",INDEX('Policy Characteristics'!J:J,MATCH($C95,'Policy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5" s="254" t="str">
        <f>IF(ISBLANK(INDEX('Policy Characteristics'!K:K,MATCH($C95,'Policy Characteristics'!$C:$C,0))),"",INDEX('Policy Characteristics'!K:K,MATCH($C95,'Policy Characteristics'!$C:$C,0)))</f>
        <v>transportation-sector-main.html#ev-subsidy</v>
      </c>
      <c r="R95" s="254" t="str">
        <f>IF(ISBLANK(INDEX('Policy Characteristics'!L:L,MATCH($C95,'Policy Characteristics'!$C:$C,0))),"",INDEX('Policy Characteristics'!L:L,MATCH($C95,'Policy Characteristics'!$C:$C,0)))</f>
        <v>ev-subsidy.html</v>
      </c>
    </row>
    <row r="96" spans="1:18" x14ac:dyDescent="0.3">
      <c r="A96" s="254" t="str">
        <f>IF(ISBLANK(INDEX('Policy Characteristics'!A:A,MATCH($C96,'Policy Characteristics'!$C:$C,0))),"",INDEX('Policy Characteristics'!A:A,MATCH($C96,'Policy Characteristics'!$C:$C,0)))</f>
        <v>Transportation</v>
      </c>
      <c r="B96" s="262" t="str">
        <f>IF(ISBLANK(INDEX('Policy Characteristics'!B:B,MATCH($C96,'Policy Characteristics'!$C:$C,0))),"",INDEX('Policy Characteristics'!B:B,MATCH($C96,'Policy Characteristics'!$C:$C,0)))</f>
        <v>Passenger Vehicle Subsidy</v>
      </c>
      <c r="C96" s="254" t="str">
        <f t="shared" si="3"/>
        <v>Additional Passenger Vehicle Subsidy</v>
      </c>
      <c r="D96" s="45" t="s">
        <v>41</v>
      </c>
      <c r="E96" s="2" t="s">
        <v>2509</v>
      </c>
      <c r="F96" s="2" t="s">
        <v>3291</v>
      </c>
      <c r="G96" s="2" t="s">
        <v>2509</v>
      </c>
      <c r="H96" s="43">
        <v>1677</v>
      </c>
      <c r="I96" s="325" t="s">
        <v>44</v>
      </c>
      <c r="J96" s="255" t="str">
        <f>IF(ISBLANK(INDEX('Policy Characteristics'!D:D,MATCH($C96,'Policy Characteristics'!$C:$C,0))),"",INDEX('Policy Characteristics'!D:D,MATCH($C96,'Policy Characteristics'!$C:$C,0)))</f>
        <v>Vehicle Subsidy</v>
      </c>
      <c r="K96" s="254" t="str">
        <f>IF(ISBLANK(INDEX('Policy Characteristics'!E:E,MATCH($C96,'Policy Characteristics'!$C:$C,0))),"",INDEX('Policy Characteristics'!E:E,MATCH($C96,'Policy Characteristics'!$C:$C,0)))</f>
        <v>trans psgr subsidy</v>
      </c>
      <c r="L96" s="261">
        <f>IF(ISBLANK(INDEX('Policy Characteristics'!F:F,MATCH($C96,'Policy Characteristics'!$C:$C,0))),"",INDEX('Policy Characteristics'!F:F,MATCH($C96,'Policy Characteristics'!$C:$C,0)))</f>
        <v>0</v>
      </c>
      <c r="M96" s="261">
        <f>IF(ISBLANK(INDEX('Policy Characteristics'!G:G,MATCH($C96,'Policy Characteristics'!$C:$C,0))),"",INDEX('Policy Characteristics'!G:G,MATCH($C96,'Policy Characteristics'!$C:$C,0)))</f>
        <v>50000</v>
      </c>
      <c r="N96" s="261">
        <f>IF(ISBLANK(INDEX('Policy Characteristics'!H:H,MATCH($C96,'Policy Characteristics'!$C:$C,0))),"",INDEX('Policy Characteristics'!H:H,MATCH($C96,'Policy Characteristics'!$C:$C,0)))</f>
        <v>100</v>
      </c>
      <c r="O96" s="254" t="str">
        <f>IF(ISBLANK(INDEX('Policy Characteristics'!I:I,MATCH($C96,'Policy Characteristics'!$C:$C,0))),"",INDEX('Policy Characteristics'!I:I,MATCH($C96,'Policy Characteristics'!$C:$C,0)))</f>
        <v>$ / vehicle</v>
      </c>
      <c r="P96" s="254" t="str">
        <f>IF(ISBLANK(INDEX('Policy Characteristics'!J:J,MATCH($C96,'Policy Characteristics'!$C:$C,0))),"",INDEX('Policy Characteristics'!J:J,MATCH($C96,'Policy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6" s="254" t="str">
        <f>IF(ISBLANK(INDEX('Policy Characteristics'!K:K,MATCH($C96,'Policy Characteristics'!$C:$C,0))),"",INDEX('Policy Characteristics'!K:K,MATCH($C96,'Policy Characteristics'!$C:$C,0)))</f>
        <v>transportation-sector-main.html#ev-subsidy</v>
      </c>
      <c r="R96" s="254" t="str">
        <f>IF(ISBLANK(INDEX('Policy Characteristics'!L:L,MATCH($C96,'Policy Characteristics'!$C:$C,0))),"",INDEX('Policy Characteristics'!L:L,MATCH($C96,'Policy Characteristics'!$C:$C,0)))</f>
        <v>ev-subsidy.html</v>
      </c>
    </row>
    <row r="97" spans="1:18" x14ac:dyDescent="0.3">
      <c r="A97" s="254" t="str">
        <f>IF(ISBLANK(INDEX('Policy Characteristics'!A:A,MATCH($C97,'Policy Characteristics'!$C:$C,0))),"",INDEX('Policy Characteristics'!A:A,MATCH($C97,'Policy Characteristics'!$C:$C,0)))</f>
        <v>Transportation</v>
      </c>
      <c r="B97" s="262" t="str">
        <f>IF(ISBLANK(INDEX('Policy Characteristics'!B:B,MATCH($C97,'Policy Characteristics'!$C:$C,0))),"",INDEX('Policy Characteristics'!B:B,MATCH($C97,'Policy Characteristics'!$C:$C,0)))</f>
        <v>Passenger Vehicle Subsidy</v>
      </c>
      <c r="C97" s="254" t="str">
        <f t="shared" si="3"/>
        <v>Additional Passenger Vehicle Subsidy</v>
      </c>
      <c r="D97" s="45" t="s">
        <v>41</v>
      </c>
      <c r="E97" s="2" t="s">
        <v>2508</v>
      </c>
      <c r="F97" s="2" t="s">
        <v>3291</v>
      </c>
      <c r="G97" s="2" t="s">
        <v>3450</v>
      </c>
      <c r="H97" s="43">
        <v>1678</v>
      </c>
      <c r="I97" s="325" t="s">
        <v>44</v>
      </c>
      <c r="J97" s="255" t="str">
        <f>IF(ISBLANK(INDEX('Policy Characteristics'!D:D,MATCH($C97,'Policy Characteristics'!$C:$C,0))),"",INDEX('Policy Characteristics'!D:D,MATCH($C97,'Policy Characteristics'!$C:$C,0)))</f>
        <v>Vehicle Subsidy</v>
      </c>
      <c r="K97" s="254" t="str">
        <f>IF(ISBLANK(INDEX('Policy Characteristics'!E:E,MATCH($C97,'Policy Characteristics'!$C:$C,0))),"",INDEX('Policy Characteristics'!E:E,MATCH($C97,'Policy Characteristics'!$C:$C,0)))</f>
        <v>trans psgr subsidy</v>
      </c>
      <c r="L97" s="261">
        <f>IF(ISBLANK(INDEX('Policy Characteristics'!F:F,MATCH($C97,'Policy Characteristics'!$C:$C,0))),"",INDEX('Policy Characteristics'!F:F,MATCH($C97,'Policy Characteristics'!$C:$C,0)))</f>
        <v>0</v>
      </c>
      <c r="M97" s="261">
        <f>IF(ISBLANK(INDEX('Policy Characteristics'!G:G,MATCH($C97,'Policy Characteristics'!$C:$C,0))),"",INDEX('Policy Characteristics'!G:G,MATCH($C97,'Policy Characteristics'!$C:$C,0)))</f>
        <v>50000</v>
      </c>
      <c r="N97" s="261">
        <f>IF(ISBLANK(INDEX('Policy Characteristics'!H:H,MATCH($C97,'Policy Characteristics'!$C:$C,0))),"",INDEX('Policy Characteristics'!H:H,MATCH($C97,'Policy Characteristics'!$C:$C,0)))</f>
        <v>100</v>
      </c>
      <c r="O97" s="254" t="str">
        <f>IF(ISBLANK(INDEX('Policy Characteristics'!I:I,MATCH($C97,'Policy Characteristics'!$C:$C,0))),"",INDEX('Policy Characteristics'!I:I,MATCH($C97,'Policy Characteristics'!$C:$C,0)))</f>
        <v>$ / vehicle</v>
      </c>
      <c r="P97" s="254" t="str">
        <f>IF(ISBLANK(INDEX('Policy Characteristics'!J:J,MATCH($C97,'Policy Characteristics'!$C:$C,0))),"",INDEX('Policy Characteristics'!J:J,MATCH($C97,'Policy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7" s="254" t="str">
        <f>IF(ISBLANK(INDEX('Policy Characteristics'!K:K,MATCH($C97,'Policy Characteristics'!$C:$C,0))),"",INDEX('Policy Characteristics'!K:K,MATCH($C97,'Policy Characteristics'!$C:$C,0)))</f>
        <v>transportation-sector-main.html#ev-subsidy</v>
      </c>
      <c r="R97" s="254" t="str">
        <f>IF(ISBLANK(INDEX('Policy Characteristics'!L:L,MATCH($C97,'Policy Characteristics'!$C:$C,0))),"",INDEX('Policy Characteristics'!L:L,MATCH($C97,'Policy Characteristics'!$C:$C,0)))</f>
        <v>ev-subsidy.html</v>
      </c>
    </row>
    <row r="98" spans="1:18" x14ac:dyDescent="0.3">
      <c r="A98" s="254" t="str">
        <f>IF(ISBLANK(INDEX('Policy Characteristics'!A:A,MATCH($C98,'Policy Characteristics'!$C:$C,0))),"",INDEX('Policy Characteristics'!A:A,MATCH($C98,'Policy Characteristics'!$C:$C,0)))</f>
        <v>Transportation</v>
      </c>
      <c r="B98" s="262" t="str">
        <f>IF(ISBLANK(INDEX('Policy Characteristics'!B:B,MATCH($C98,'Policy Characteristics'!$C:$C,0))),"",INDEX('Policy Characteristics'!B:B,MATCH($C98,'Policy Characteristics'!$C:$C,0)))</f>
        <v>Passenger Vehicle Subsidy</v>
      </c>
      <c r="C98" s="254" t="str">
        <f t="shared" si="3"/>
        <v>Additional Passenger Vehicle Subsidy</v>
      </c>
      <c r="D98" s="45" t="s">
        <v>113</v>
      </c>
      <c r="E98" s="45" t="s">
        <v>2245</v>
      </c>
      <c r="F98" s="2" t="s">
        <v>143</v>
      </c>
      <c r="G98" s="45" t="s">
        <v>3445</v>
      </c>
      <c r="H98" s="43">
        <v>1679</v>
      </c>
      <c r="I98" s="324" t="s">
        <v>43</v>
      </c>
      <c r="J98" s="255" t="str">
        <f>IF(ISBLANK(INDEX('Policy Characteristics'!D:D,MATCH($C98,'Policy Characteristics'!$C:$C,0))),"",INDEX('Policy Characteristics'!D:D,MATCH($C98,'Policy Characteristics'!$C:$C,0)))</f>
        <v>Vehicle Subsidy</v>
      </c>
      <c r="K98" s="254" t="str">
        <f>IF(ISBLANK(INDEX('Policy Characteristics'!E:E,MATCH($C98,'Policy Characteristics'!$C:$C,0))),"",INDEX('Policy Characteristics'!E:E,MATCH($C98,'Policy Characteristics'!$C:$C,0)))</f>
        <v>trans psgr subsidy</v>
      </c>
      <c r="L98" s="261">
        <f>IF(ISBLANK(INDEX('Policy Characteristics'!F:F,MATCH($C98,'Policy Characteristics'!$C:$C,0))),"",INDEX('Policy Characteristics'!F:F,MATCH($C98,'Policy Characteristics'!$C:$C,0)))</f>
        <v>0</v>
      </c>
      <c r="M98" s="261">
        <f>IF(ISBLANK(INDEX('Policy Characteristics'!G:G,MATCH($C98,'Policy Characteristics'!$C:$C,0))),"",INDEX('Policy Characteristics'!G:G,MATCH($C98,'Policy Characteristics'!$C:$C,0)))</f>
        <v>50000</v>
      </c>
      <c r="N98" s="261">
        <f>IF(ISBLANK(INDEX('Policy Characteristics'!H:H,MATCH($C98,'Policy Characteristics'!$C:$C,0))),"",INDEX('Policy Characteristics'!H:H,MATCH($C98,'Policy Characteristics'!$C:$C,0)))</f>
        <v>100</v>
      </c>
      <c r="O98" s="254" t="str">
        <f>IF(ISBLANK(INDEX('Policy Characteristics'!I:I,MATCH($C98,'Policy Characteristics'!$C:$C,0))),"",INDEX('Policy Characteristics'!I:I,MATCH($C98,'Policy Characteristics'!$C:$C,0)))</f>
        <v>$ / vehicle</v>
      </c>
      <c r="P98" s="254" t="str">
        <f>IF(ISBLANK(INDEX('Policy Characteristics'!J:J,MATCH($C98,'Policy Characteristics'!$C:$C,0))),"",INDEX('Policy Characteristics'!J:J,MATCH($C98,'Policy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8" s="254" t="str">
        <f>IF(ISBLANK(INDEX('Policy Characteristics'!K:K,MATCH($C98,'Policy Characteristics'!$C:$C,0))),"",INDEX('Policy Characteristics'!K:K,MATCH($C98,'Policy Characteristics'!$C:$C,0)))</f>
        <v>transportation-sector-main.html#ev-subsidy</v>
      </c>
      <c r="R98" s="254" t="str">
        <f>IF(ISBLANK(INDEX('Policy Characteristics'!L:L,MATCH($C98,'Policy Characteristics'!$C:$C,0))),"",INDEX('Policy Characteristics'!L:L,MATCH($C98,'Policy Characteristics'!$C:$C,0)))</f>
        <v>ev-subsidy.html</v>
      </c>
    </row>
    <row r="99" spans="1:18" x14ac:dyDescent="0.3">
      <c r="A99" s="254" t="str">
        <f>IF(ISBLANK(INDEX('Policy Characteristics'!A:A,MATCH($C99,'Policy Characteristics'!$C:$C,0))),"",INDEX('Policy Characteristics'!A:A,MATCH($C99,'Policy Characteristics'!$C:$C,0)))</f>
        <v>Transportation</v>
      </c>
      <c r="B99" s="262" t="str">
        <f>IF(ISBLANK(INDEX('Policy Characteristics'!B:B,MATCH($C99,'Policy Characteristics'!$C:$C,0))),"",INDEX('Policy Characteristics'!B:B,MATCH($C99,'Policy Characteristics'!$C:$C,0)))</f>
        <v>Passenger Vehicle Subsidy</v>
      </c>
      <c r="C99" s="254" t="str">
        <f t="shared" si="3"/>
        <v>Additional Passenger Vehicle Subsidy</v>
      </c>
      <c r="D99" s="45" t="s">
        <v>113</v>
      </c>
      <c r="E99" s="2" t="s">
        <v>2246</v>
      </c>
      <c r="F99" s="2" t="s">
        <v>143</v>
      </c>
      <c r="G99" s="2" t="s">
        <v>3446</v>
      </c>
      <c r="H99" s="43">
        <v>1680</v>
      </c>
      <c r="I99" s="325" t="s">
        <v>44</v>
      </c>
      <c r="J99" s="255" t="str">
        <f>IF(ISBLANK(INDEX('Policy Characteristics'!D:D,MATCH($C99,'Policy Characteristics'!$C:$C,0))),"",INDEX('Policy Characteristics'!D:D,MATCH($C99,'Policy Characteristics'!$C:$C,0)))</f>
        <v>Vehicle Subsidy</v>
      </c>
      <c r="K99" s="254" t="str">
        <f>IF(ISBLANK(INDEX('Policy Characteristics'!E:E,MATCH($C99,'Policy Characteristics'!$C:$C,0))),"",INDEX('Policy Characteristics'!E:E,MATCH($C99,'Policy Characteristics'!$C:$C,0)))</f>
        <v>trans psgr subsidy</v>
      </c>
      <c r="L99" s="261">
        <f>IF(ISBLANK(INDEX('Policy Characteristics'!F:F,MATCH($C99,'Policy Characteristics'!$C:$C,0))),"",INDEX('Policy Characteristics'!F:F,MATCH($C99,'Policy Characteristics'!$C:$C,0)))</f>
        <v>0</v>
      </c>
      <c r="M99" s="261">
        <f>IF(ISBLANK(INDEX('Policy Characteristics'!G:G,MATCH($C99,'Policy Characteristics'!$C:$C,0))),"",INDEX('Policy Characteristics'!G:G,MATCH($C99,'Policy Characteristics'!$C:$C,0)))</f>
        <v>50000</v>
      </c>
      <c r="N99" s="261">
        <f>IF(ISBLANK(INDEX('Policy Characteristics'!H:H,MATCH($C99,'Policy Characteristics'!$C:$C,0))),"",INDEX('Policy Characteristics'!H:H,MATCH($C99,'Policy Characteristics'!$C:$C,0)))</f>
        <v>100</v>
      </c>
      <c r="O99" s="254" t="str">
        <f>IF(ISBLANK(INDEX('Policy Characteristics'!I:I,MATCH($C99,'Policy Characteristics'!$C:$C,0))),"",INDEX('Policy Characteristics'!I:I,MATCH($C99,'Policy Characteristics'!$C:$C,0)))</f>
        <v>$ / vehicle</v>
      </c>
      <c r="P99" s="254" t="str">
        <f>IF(ISBLANK(INDEX('Policy Characteristics'!J:J,MATCH($C99,'Policy Characteristics'!$C:$C,0))),"",INDEX('Policy Characteristics'!J:J,MATCH($C99,'Policy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99" s="254" t="str">
        <f>IF(ISBLANK(INDEX('Policy Characteristics'!K:K,MATCH($C99,'Policy Characteristics'!$C:$C,0))),"",INDEX('Policy Characteristics'!K:K,MATCH($C99,'Policy Characteristics'!$C:$C,0)))</f>
        <v>transportation-sector-main.html#ev-subsidy</v>
      </c>
      <c r="R99" s="254" t="str">
        <f>IF(ISBLANK(INDEX('Policy Characteristics'!L:L,MATCH($C99,'Policy Characteristics'!$C:$C,0))),"",INDEX('Policy Characteristics'!L:L,MATCH($C99,'Policy Characteristics'!$C:$C,0)))</f>
        <v>ev-subsidy.html</v>
      </c>
    </row>
    <row r="100" spans="1:18" x14ac:dyDescent="0.3">
      <c r="A100" s="254" t="str">
        <f>IF(ISBLANK(INDEX('Policy Characteristics'!A:A,MATCH($C100,'Policy Characteristics'!$C:$C,0))),"",INDEX('Policy Characteristics'!A:A,MATCH($C100,'Policy Characteristics'!$C:$C,0)))</f>
        <v>Transportation</v>
      </c>
      <c r="B100" s="262" t="str">
        <f>IF(ISBLANK(INDEX('Policy Characteristics'!B:B,MATCH($C100,'Policy Characteristics'!$C:$C,0))),"",INDEX('Policy Characteristics'!B:B,MATCH($C100,'Policy Characteristics'!$C:$C,0)))</f>
        <v>Passenger Vehicle Subsidy</v>
      </c>
      <c r="C100" s="254" t="str">
        <f t="shared" si="3"/>
        <v>Additional Passenger Vehicle Subsidy</v>
      </c>
      <c r="D100" s="45" t="s">
        <v>113</v>
      </c>
      <c r="E100" s="2" t="s">
        <v>2247</v>
      </c>
      <c r="F100" s="2" t="s">
        <v>143</v>
      </c>
      <c r="G100" s="2" t="s">
        <v>3447</v>
      </c>
      <c r="H100" s="43">
        <v>1681</v>
      </c>
      <c r="I100" s="325" t="s">
        <v>44</v>
      </c>
      <c r="J100" s="255" t="str">
        <f>IF(ISBLANK(INDEX('Policy Characteristics'!D:D,MATCH($C100,'Policy Characteristics'!$C:$C,0))),"",INDEX('Policy Characteristics'!D:D,MATCH($C100,'Policy Characteristics'!$C:$C,0)))</f>
        <v>Vehicle Subsidy</v>
      </c>
      <c r="K100" s="254" t="str">
        <f>IF(ISBLANK(INDEX('Policy Characteristics'!E:E,MATCH($C100,'Policy Characteristics'!$C:$C,0))),"",INDEX('Policy Characteristics'!E:E,MATCH($C100,'Policy Characteristics'!$C:$C,0)))</f>
        <v>trans psgr subsidy</v>
      </c>
      <c r="L100" s="261">
        <f>IF(ISBLANK(INDEX('Policy Characteristics'!F:F,MATCH($C100,'Policy Characteristics'!$C:$C,0))),"",INDEX('Policy Characteristics'!F:F,MATCH($C100,'Policy Characteristics'!$C:$C,0)))</f>
        <v>0</v>
      </c>
      <c r="M100" s="261">
        <f>IF(ISBLANK(INDEX('Policy Characteristics'!G:G,MATCH($C100,'Policy Characteristics'!$C:$C,0))),"",INDEX('Policy Characteristics'!G:G,MATCH($C100,'Policy Characteristics'!$C:$C,0)))</f>
        <v>50000</v>
      </c>
      <c r="N100" s="261">
        <f>IF(ISBLANK(INDEX('Policy Characteristics'!H:H,MATCH($C100,'Policy Characteristics'!$C:$C,0))),"",INDEX('Policy Characteristics'!H:H,MATCH($C100,'Policy Characteristics'!$C:$C,0)))</f>
        <v>100</v>
      </c>
      <c r="O100" s="254" t="str">
        <f>IF(ISBLANK(INDEX('Policy Characteristics'!I:I,MATCH($C100,'Policy Characteristics'!$C:$C,0))),"",INDEX('Policy Characteristics'!I:I,MATCH($C100,'Policy Characteristics'!$C:$C,0)))</f>
        <v>$ / vehicle</v>
      </c>
      <c r="P100" s="254" t="str">
        <f>IF(ISBLANK(INDEX('Policy Characteristics'!J:J,MATCH($C100,'Policy Characteristics'!$C:$C,0))),"",INDEX('Policy Characteristics'!J:J,MATCH($C100,'Policy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0" s="254" t="str">
        <f>IF(ISBLANK(INDEX('Policy Characteristics'!K:K,MATCH($C100,'Policy Characteristics'!$C:$C,0))),"",INDEX('Policy Characteristics'!K:K,MATCH($C100,'Policy Characteristics'!$C:$C,0)))</f>
        <v>transportation-sector-main.html#ev-subsidy</v>
      </c>
      <c r="R100" s="254" t="str">
        <f>IF(ISBLANK(INDEX('Policy Characteristics'!L:L,MATCH($C100,'Policy Characteristics'!$C:$C,0))),"",INDEX('Policy Characteristics'!L:L,MATCH($C100,'Policy Characteristics'!$C:$C,0)))</f>
        <v>ev-subsidy.html</v>
      </c>
    </row>
    <row r="101" spans="1:18" x14ac:dyDescent="0.3">
      <c r="A101" s="254" t="str">
        <f>IF(ISBLANK(INDEX('Policy Characteristics'!A:A,MATCH($C101,'Policy Characteristics'!$C:$C,0))),"",INDEX('Policy Characteristics'!A:A,MATCH($C101,'Policy Characteristics'!$C:$C,0)))</f>
        <v>Transportation</v>
      </c>
      <c r="B101" s="262" t="str">
        <f>IF(ISBLANK(INDEX('Policy Characteristics'!B:B,MATCH($C101,'Policy Characteristics'!$C:$C,0))),"",INDEX('Policy Characteristics'!B:B,MATCH($C101,'Policy Characteristics'!$C:$C,0)))</f>
        <v>Passenger Vehicle Subsidy</v>
      </c>
      <c r="C101" s="254" t="str">
        <f t="shared" si="3"/>
        <v>Additional Passenger Vehicle Subsidy</v>
      </c>
      <c r="D101" s="45" t="s">
        <v>113</v>
      </c>
      <c r="E101" s="2" t="s">
        <v>2248</v>
      </c>
      <c r="F101" s="2" t="s">
        <v>143</v>
      </c>
      <c r="G101" s="2" t="s">
        <v>3448</v>
      </c>
      <c r="H101" s="43">
        <v>1682</v>
      </c>
      <c r="I101" s="325" t="s">
        <v>44</v>
      </c>
      <c r="J101" s="255" t="str">
        <f>IF(ISBLANK(INDEX('Policy Characteristics'!D:D,MATCH($C101,'Policy Characteristics'!$C:$C,0))),"",INDEX('Policy Characteristics'!D:D,MATCH($C101,'Policy Characteristics'!$C:$C,0)))</f>
        <v>Vehicle Subsidy</v>
      </c>
      <c r="K101" s="254" t="str">
        <f>IF(ISBLANK(INDEX('Policy Characteristics'!E:E,MATCH($C101,'Policy Characteristics'!$C:$C,0))),"",INDEX('Policy Characteristics'!E:E,MATCH($C101,'Policy Characteristics'!$C:$C,0)))</f>
        <v>trans psgr subsidy</v>
      </c>
      <c r="L101" s="261">
        <f>IF(ISBLANK(INDEX('Policy Characteristics'!F:F,MATCH($C101,'Policy Characteristics'!$C:$C,0))),"",INDEX('Policy Characteristics'!F:F,MATCH($C101,'Policy Characteristics'!$C:$C,0)))</f>
        <v>0</v>
      </c>
      <c r="M101" s="261">
        <f>IF(ISBLANK(INDEX('Policy Characteristics'!G:G,MATCH($C101,'Policy Characteristics'!$C:$C,0))),"",INDEX('Policy Characteristics'!G:G,MATCH($C101,'Policy Characteristics'!$C:$C,0)))</f>
        <v>50000</v>
      </c>
      <c r="N101" s="261">
        <f>IF(ISBLANK(INDEX('Policy Characteristics'!H:H,MATCH($C101,'Policy Characteristics'!$C:$C,0))),"",INDEX('Policy Characteristics'!H:H,MATCH($C101,'Policy Characteristics'!$C:$C,0)))</f>
        <v>100</v>
      </c>
      <c r="O101" s="254" t="str">
        <f>IF(ISBLANK(INDEX('Policy Characteristics'!I:I,MATCH($C101,'Policy Characteristics'!$C:$C,0))),"",INDEX('Policy Characteristics'!I:I,MATCH($C101,'Policy Characteristics'!$C:$C,0)))</f>
        <v>$ / vehicle</v>
      </c>
      <c r="P101" s="254" t="str">
        <f>IF(ISBLANK(INDEX('Policy Characteristics'!J:J,MATCH($C101,'Policy Characteristics'!$C:$C,0))),"",INDEX('Policy Characteristics'!J:J,MATCH($C101,'Policy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1" s="254" t="str">
        <f>IF(ISBLANK(INDEX('Policy Characteristics'!K:K,MATCH($C101,'Policy Characteristics'!$C:$C,0))),"",INDEX('Policy Characteristics'!K:K,MATCH($C101,'Policy Characteristics'!$C:$C,0)))</f>
        <v>transportation-sector-main.html#ev-subsidy</v>
      </c>
      <c r="R101" s="254" t="str">
        <f>IF(ISBLANK(INDEX('Policy Characteristics'!L:L,MATCH($C101,'Policy Characteristics'!$C:$C,0))),"",INDEX('Policy Characteristics'!L:L,MATCH($C101,'Policy Characteristics'!$C:$C,0)))</f>
        <v>ev-subsidy.html</v>
      </c>
    </row>
    <row r="102" spans="1:18" x14ac:dyDescent="0.3">
      <c r="A102" s="254" t="str">
        <f>IF(ISBLANK(INDEX('Policy Characteristics'!A:A,MATCH($C102,'Policy Characteristics'!$C:$C,0))),"",INDEX('Policy Characteristics'!A:A,MATCH($C102,'Policy Characteristics'!$C:$C,0)))</f>
        <v>Transportation</v>
      </c>
      <c r="B102" s="262" t="str">
        <f>IF(ISBLANK(INDEX('Policy Characteristics'!B:B,MATCH($C102,'Policy Characteristics'!$C:$C,0))),"",INDEX('Policy Characteristics'!B:B,MATCH($C102,'Policy Characteristics'!$C:$C,0)))</f>
        <v>Passenger Vehicle Subsidy</v>
      </c>
      <c r="C102" s="254" t="str">
        <f t="shared" si="3"/>
        <v>Additional Passenger Vehicle Subsidy</v>
      </c>
      <c r="D102" s="45" t="s">
        <v>113</v>
      </c>
      <c r="E102" s="2" t="s">
        <v>2249</v>
      </c>
      <c r="F102" s="2" t="s">
        <v>143</v>
      </c>
      <c r="G102" s="2" t="s">
        <v>3449</v>
      </c>
      <c r="H102" s="43">
        <v>1683</v>
      </c>
      <c r="I102" s="324" t="s">
        <v>43</v>
      </c>
      <c r="J102" s="255" t="str">
        <f>IF(ISBLANK(INDEX('Policy Characteristics'!D:D,MATCH($C102,'Policy Characteristics'!$C:$C,0))),"",INDEX('Policy Characteristics'!D:D,MATCH($C102,'Policy Characteristics'!$C:$C,0)))</f>
        <v>Vehicle Subsidy</v>
      </c>
      <c r="K102" s="254" t="str">
        <f>IF(ISBLANK(INDEX('Policy Characteristics'!E:E,MATCH($C102,'Policy Characteristics'!$C:$C,0))),"",INDEX('Policy Characteristics'!E:E,MATCH($C102,'Policy Characteristics'!$C:$C,0)))</f>
        <v>trans psgr subsidy</v>
      </c>
      <c r="L102" s="261">
        <f>IF(ISBLANK(INDEX('Policy Characteristics'!F:F,MATCH($C102,'Policy Characteristics'!$C:$C,0))),"",INDEX('Policy Characteristics'!F:F,MATCH($C102,'Policy Characteristics'!$C:$C,0)))</f>
        <v>0</v>
      </c>
      <c r="M102" s="261">
        <f>IF(ISBLANK(INDEX('Policy Characteristics'!G:G,MATCH($C102,'Policy Characteristics'!$C:$C,0))),"",INDEX('Policy Characteristics'!G:G,MATCH($C102,'Policy Characteristics'!$C:$C,0)))</f>
        <v>50000</v>
      </c>
      <c r="N102" s="261">
        <f>IF(ISBLANK(INDEX('Policy Characteristics'!H:H,MATCH($C102,'Policy Characteristics'!$C:$C,0))),"",INDEX('Policy Characteristics'!H:H,MATCH($C102,'Policy Characteristics'!$C:$C,0)))</f>
        <v>100</v>
      </c>
      <c r="O102" s="254" t="str">
        <f>IF(ISBLANK(INDEX('Policy Characteristics'!I:I,MATCH($C102,'Policy Characteristics'!$C:$C,0))),"",INDEX('Policy Characteristics'!I:I,MATCH($C102,'Policy Characteristics'!$C:$C,0)))</f>
        <v>$ / vehicle</v>
      </c>
      <c r="P102" s="254" t="str">
        <f>IF(ISBLANK(INDEX('Policy Characteristics'!J:J,MATCH($C102,'Policy Characteristics'!$C:$C,0))),"",INDEX('Policy Characteristics'!J:J,MATCH($C102,'Policy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2" s="254" t="str">
        <f>IF(ISBLANK(INDEX('Policy Characteristics'!K:K,MATCH($C102,'Policy Characteristics'!$C:$C,0))),"",INDEX('Policy Characteristics'!K:K,MATCH($C102,'Policy Characteristics'!$C:$C,0)))</f>
        <v>transportation-sector-main.html#ev-subsidy</v>
      </c>
      <c r="R102" s="254" t="str">
        <f>IF(ISBLANK(INDEX('Policy Characteristics'!L:L,MATCH($C102,'Policy Characteristics'!$C:$C,0))),"",INDEX('Policy Characteristics'!L:L,MATCH($C102,'Policy Characteristics'!$C:$C,0)))</f>
        <v>ev-subsidy.html</v>
      </c>
    </row>
    <row r="103" spans="1:18" x14ac:dyDescent="0.3">
      <c r="A103" s="254" t="str">
        <f>IF(ISBLANK(INDEX('Policy Characteristics'!A:A,MATCH($C103,'Policy Characteristics'!$C:$C,0))),"",INDEX('Policy Characteristics'!A:A,MATCH($C103,'Policy Characteristics'!$C:$C,0)))</f>
        <v>Transportation</v>
      </c>
      <c r="B103" s="262" t="str">
        <f>IF(ISBLANK(INDEX('Policy Characteristics'!B:B,MATCH($C103,'Policy Characteristics'!$C:$C,0))),"",INDEX('Policy Characteristics'!B:B,MATCH($C103,'Policy Characteristics'!$C:$C,0)))</f>
        <v>Passenger Vehicle Subsidy</v>
      </c>
      <c r="C103" s="254" t="str">
        <f t="shared" si="3"/>
        <v>Additional Passenger Vehicle Subsidy</v>
      </c>
      <c r="D103" s="45" t="s">
        <v>113</v>
      </c>
      <c r="E103" s="2" t="s">
        <v>2509</v>
      </c>
      <c r="F103" s="2" t="s">
        <v>143</v>
      </c>
      <c r="G103" s="2" t="s">
        <v>2509</v>
      </c>
      <c r="H103" s="43">
        <v>1684</v>
      </c>
      <c r="I103" s="325" t="s">
        <v>44</v>
      </c>
      <c r="J103" s="255" t="str">
        <f>IF(ISBLANK(INDEX('Policy Characteristics'!D:D,MATCH($C103,'Policy Characteristics'!$C:$C,0))),"",INDEX('Policy Characteristics'!D:D,MATCH($C103,'Policy Characteristics'!$C:$C,0)))</f>
        <v>Vehicle Subsidy</v>
      </c>
      <c r="K103" s="254" t="str">
        <f>IF(ISBLANK(INDEX('Policy Characteristics'!E:E,MATCH($C103,'Policy Characteristics'!$C:$C,0))),"",INDEX('Policy Characteristics'!E:E,MATCH($C103,'Policy Characteristics'!$C:$C,0)))</f>
        <v>trans psgr subsidy</v>
      </c>
      <c r="L103" s="261">
        <f>IF(ISBLANK(INDEX('Policy Characteristics'!F:F,MATCH($C103,'Policy Characteristics'!$C:$C,0))),"",INDEX('Policy Characteristics'!F:F,MATCH($C103,'Policy Characteristics'!$C:$C,0)))</f>
        <v>0</v>
      </c>
      <c r="M103" s="261">
        <f>IF(ISBLANK(INDEX('Policy Characteristics'!G:G,MATCH($C103,'Policy Characteristics'!$C:$C,0))),"",INDEX('Policy Characteristics'!G:G,MATCH($C103,'Policy Characteristics'!$C:$C,0)))</f>
        <v>50000</v>
      </c>
      <c r="N103" s="261">
        <f>IF(ISBLANK(INDEX('Policy Characteristics'!H:H,MATCH($C103,'Policy Characteristics'!$C:$C,0))),"",INDEX('Policy Characteristics'!H:H,MATCH($C103,'Policy Characteristics'!$C:$C,0)))</f>
        <v>100</v>
      </c>
      <c r="O103" s="254" t="str">
        <f>IF(ISBLANK(INDEX('Policy Characteristics'!I:I,MATCH($C103,'Policy Characteristics'!$C:$C,0))),"",INDEX('Policy Characteristics'!I:I,MATCH($C103,'Policy Characteristics'!$C:$C,0)))</f>
        <v>$ / vehicle</v>
      </c>
      <c r="P103" s="254" t="str">
        <f>IF(ISBLANK(INDEX('Policy Characteristics'!J:J,MATCH($C103,'Policy Characteristics'!$C:$C,0))),"",INDEX('Policy Characteristics'!J:J,MATCH($C103,'Policy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3" s="254" t="str">
        <f>IF(ISBLANK(INDEX('Policy Characteristics'!K:K,MATCH($C103,'Policy Characteristics'!$C:$C,0))),"",INDEX('Policy Characteristics'!K:K,MATCH($C103,'Policy Characteristics'!$C:$C,0)))</f>
        <v>transportation-sector-main.html#ev-subsidy</v>
      </c>
      <c r="R103" s="254" t="str">
        <f>IF(ISBLANK(INDEX('Policy Characteristics'!L:L,MATCH($C103,'Policy Characteristics'!$C:$C,0))),"",INDEX('Policy Characteristics'!L:L,MATCH($C103,'Policy Characteristics'!$C:$C,0)))</f>
        <v>ev-subsidy.html</v>
      </c>
    </row>
    <row r="104" spans="1:18" x14ac:dyDescent="0.3">
      <c r="A104" s="254" t="str">
        <f>IF(ISBLANK(INDEX('Policy Characteristics'!A:A,MATCH($C104,'Policy Characteristics'!$C:$C,0))),"",INDEX('Policy Characteristics'!A:A,MATCH($C104,'Policy Characteristics'!$C:$C,0)))</f>
        <v>Transportation</v>
      </c>
      <c r="B104" s="262" t="str">
        <f>IF(ISBLANK(INDEX('Policy Characteristics'!B:B,MATCH($C104,'Policy Characteristics'!$C:$C,0))),"",INDEX('Policy Characteristics'!B:B,MATCH($C104,'Policy Characteristics'!$C:$C,0)))</f>
        <v>Passenger Vehicle Subsidy</v>
      </c>
      <c r="C104" s="254" t="str">
        <f t="shared" si="3"/>
        <v>Additional Passenger Vehicle Subsidy</v>
      </c>
      <c r="D104" s="45" t="s">
        <v>113</v>
      </c>
      <c r="E104" s="2" t="s">
        <v>2508</v>
      </c>
      <c r="F104" s="2" t="s">
        <v>143</v>
      </c>
      <c r="G104" s="2" t="s">
        <v>3450</v>
      </c>
      <c r="H104" s="43">
        <v>1685</v>
      </c>
      <c r="I104" s="324" t="s">
        <v>43</v>
      </c>
      <c r="J104" s="255" t="str">
        <f>IF(ISBLANK(INDEX('Policy Characteristics'!D:D,MATCH($C104,'Policy Characteristics'!$C:$C,0))),"",INDEX('Policy Characteristics'!D:D,MATCH($C104,'Policy Characteristics'!$C:$C,0)))</f>
        <v>Vehicle Subsidy</v>
      </c>
      <c r="K104" s="254" t="str">
        <f>IF(ISBLANK(INDEX('Policy Characteristics'!E:E,MATCH($C104,'Policy Characteristics'!$C:$C,0))),"",INDEX('Policy Characteristics'!E:E,MATCH($C104,'Policy Characteristics'!$C:$C,0)))</f>
        <v>trans psgr subsidy</v>
      </c>
      <c r="L104" s="261">
        <f>IF(ISBLANK(INDEX('Policy Characteristics'!F:F,MATCH($C104,'Policy Characteristics'!$C:$C,0))),"",INDEX('Policy Characteristics'!F:F,MATCH($C104,'Policy Characteristics'!$C:$C,0)))</f>
        <v>0</v>
      </c>
      <c r="M104" s="261">
        <f>IF(ISBLANK(INDEX('Policy Characteristics'!G:G,MATCH($C104,'Policy Characteristics'!$C:$C,0))),"",INDEX('Policy Characteristics'!G:G,MATCH($C104,'Policy Characteristics'!$C:$C,0)))</f>
        <v>50000</v>
      </c>
      <c r="N104" s="261">
        <f>IF(ISBLANK(INDEX('Policy Characteristics'!H:H,MATCH($C104,'Policy Characteristics'!$C:$C,0))),"",INDEX('Policy Characteristics'!H:H,MATCH($C104,'Policy Characteristics'!$C:$C,0)))</f>
        <v>100</v>
      </c>
      <c r="O104" s="254" t="str">
        <f>IF(ISBLANK(INDEX('Policy Characteristics'!I:I,MATCH($C104,'Policy Characteristics'!$C:$C,0))),"",INDEX('Policy Characteristics'!I:I,MATCH($C104,'Policy Characteristics'!$C:$C,0)))</f>
        <v>$ / vehicle</v>
      </c>
      <c r="P104" s="254" t="str">
        <f>IF(ISBLANK(INDEX('Policy Characteristics'!J:J,MATCH($C104,'Policy Characteristics'!$C:$C,0))),"",INDEX('Policy Characteristics'!J:J,MATCH($C104,'Policy Characteristics'!$C:$C,0)))</f>
        <v>**Description:** This policy causes government to pay for the specified dollar amount off the purchase price of new passenger vehicle.  This is in addition to subsidies that exist in the BAU case.  // **Guidance for setting values:** The U.S. currently offers a federal tax credit for up to $7,500 for qualifying clean passenger light-duty vehicles as part of the Inflation Reduction Act. The BAU scenario includes an estimated average credit for new vehicles, accounting for the fact many vehicles will not be eligible starting in 2025 due to requirements for critical minerals sourcing.</v>
      </c>
      <c r="Q104" s="254" t="str">
        <f>IF(ISBLANK(INDEX('Policy Characteristics'!K:K,MATCH($C104,'Policy Characteristics'!$C:$C,0))),"",INDEX('Policy Characteristics'!K:K,MATCH($C104,'Policy Characteristics'!$C:$C,0)))</f>
        <v>transportation-sector-main.html#ev-subsidy</v>
      </c>
      <c r="R104" s="254" t="str">
        <f>IF(ISBLANK(INDEX('Policy Characteristics'!L:L,MATCH($C104,'Policy Characteristics'!$C:$C,0))),"",INDEX('Policy Characteristics'!L:L,MATCH($C104,'Policy Characteristics'!$C:$C,0)))</f>
        <v>ev-subsidy.html</v>
      </c>
    </row>
    <row r="105" spans="1:18" s="2" customFormat="1" x14ac:dyDescent="0.3">
      <c r="A105" s="254" t="str">
        <f>IF(ISBLANK(INDEX('Policy Characteristics'!A:A,MATCH($C105,'Policy Characteristics'!$C:$C,0))),"",INDEX('Policy Characteristics'!A:A,MATCH($C105,'Policy Characteristics'!$C:$C,0)))</f>
        <v>Transportation</v>
      </c>
      <c r="B105" s="262" t="str">
        <f>IF(ISBLANK(INDEX('Policy Characteristics'!B:B,MATCH($C105,'Policy Characteristics'!$C:$C,0))),"",INDEX('Policy Characteristics'!B:B,MATCH($C105,'Policy Characteristics'!$C:$C,0)))</f>
        <v>Freight Vehicle Subsidy</v>
      </c>
      <c r="C105" s="1" t="s">
        <v>3440</v>
      </c>
      <c r="D105" s="45" t="s">
        <v>37</v>
      </c>
      <c r="E105" s="45" t="s">
        <v>2245</v>
      </c>
      <c r="F105" s="2" t="s">
        <v>3457</v>
      </c>
      <c r="G105" s="45" t="s">
        <v>3445</v>
      </c>
      <c r="H105" s="43">
        <v>1686</v>
      </c>
      <c r="I105" s="324" t="s">
        <v>43</v>
      </c>
      <c r="J105" s="255" t="str">
        <f>IF(ISBLANK(INDEX('Policy Characteristics'!D:D,MATCH($C105,'Policy Characteristics'!$C:$C,0))),"",INDEX('Policy Characteristics'!D:D,MATCH($C105,'Policy Characteristics'!$C:$C,0)))</f>
        <v>Vehicle Subsidy</v>
      </c>
      <c r="K105" s="254" t="str">
        <f>IF(ISBLANK(INDEX('Policy Characteristics'!E:E,MATCH($C105,'Policy Characteristics'!$C:$C,0))),"",INDEX('Policy Characteristics'!E:E,MATCH($C105,'Policy Characteristics'!$C:$C,0)))</f>
        <v>trans frgt subsidy</v>
      </c>
      <c r="L105" s="261">
        <f>IF(ISBLANK(INDEX('Policy Characteristics'!F:F,MATCH($C105,'Policy Characteristics'!$C:$C,0))),"",INDEX('Policy Characteristics'!F:F,MATCH($C105,'Policy Characteristics'!$C:$C,0)))</f>
        <v>0</v>
      </c>
      <c r="M105" s="261">
        <f>IF(ISBLANK(INDEX('Policy Characteristics'!G:G,MATCH($C105,'Policy Characteristics'!$C:$C,0))),"",INDEX('Policy Characteristics'!G:G,MATCH($C105,'Policy Characteristics'!$C:$C,0)))</f>
        <v>50000</v>
      </c>
      <c r="N105" s="261">
        <f>IF(ISBLANK(INDEX('Policy Characteristics'!H:H,MATCH($C105,'Policy Characteristics'!$C:$C,0))),"",INDEX('Policy Characteristics'!H:H,MATCH($C105,'Policy Characteristics'!$C:$C,0)))</f>
        <v>100</v>
      </c>
      <c r="O105" s="254" t="str">
        <f>IF(ISBLANK(INDEX('Policy Characteristics'!I:I,MATCH($C105,'Policy Characteristics'!$C:$C,0))),"",INDEX('Policy Characteristics'!I:I,MATCH($C105,'Policy Characteristics'!$C:$C,0)))</f>
        <v>$ / vehicle</v>
      </c>
      <c r="P105" s="254" t="str">
        <f>IF(ISBLANK(INDEX('Policy Characteristics'!J:J,MATCH($C105,'Policy Characteristics'!$C:$C,0))),"",INDEX('Policy Characteristics'!J:J,MATCH($C105,'Policy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5" s="254" t="str">
        <f>IF(ISBLANK(INDEX('Policy Characteristics'!K:K,MATCH($C105,'Policy Characteristics'!$C:$C,0))),"",INDEX('Policy Characteristics'!K:K,MATCH($C105,'Policy Characteristics'!$C:$C,0)))</f>
        <v>transportation-sector-main.html#ev-subsidy</v>
      </c>
      <c r="R105" s="254" t="str">
        <f>IF(ISBLANK(INDEX('Policy Characteristics'!L:L,MATCH($C105,'Policy Characteristics'!$C:$C,0))),"",INDEX('Policy Characteristics'!L:L,MATCH($C105,'Policy Characteristics'!$C:$C,0)))</f>
        <v>ev-subsidy.html</v>
      </c>
    </row>
    <row r="106" spans="1:18" ht="14.4" customHeight="1" x14ac:dyDescent="0.3">
      <c r="A106" s="254" t="str">
        <f>IF(ISBLANK(INDEX('Policy Characteristics'!A:A,MATCH($C106,'Policy Characteristics'!$C:$C,0))),"",INDEX('Policy Characteristics'!A:A,MATCH($C106,'Policy Characteristics'!$C:$C,0)))</f>
        <v>Transportation</v>
      </c>
      <c r="B106" s="262" t="str">
        <f>IF(ISBLANK(INDEX('Policy Characteristics'!B:B,MATCH($C106,'Policy Characteristics'!$C:$C,0))),"",INDEX('Policy Characteristics'!B:B,MATCH($C106,'Policy Characteristics'!$C:$C,0)))</f>
        <v>Freight Vehicle Subsidy</v>
      </c>
      <c r="C106" s="254" t="str">
        <f>C$105</f>
        <v>Additional Freight Vehicle Subsidy</v>
      </c>
      <c r="D106" s="45" t="s">
        <v>37</v>
      </c>
      <c r="E106" s="2" t="s">
        <v>2246</v>
      </c>
      <c r="F106" s="2" t="s">
        <v>3457</v>
      </c>
      <c r="G106" s="2" t="s">
        <v>3446</v>
      </c>
      <c r="H106" s="43">
        <v>1687</v>
      </c>
      <c r="I106" s="324" t="s">
        <v>43</v>
      </c>
      <c r="J106" s="255" t="str">
        <f>IF(ISBLANK(INDEX('Policy Characteristics'!D:D,MATCH($C106,'Policy Characteristics'!$C:$C,0))),"",INDEX('Policy Characteristics'!D:D,MATCH($C106,'Policy Characteristics'!$C:$C,0)))</f>
        <v>Vehicle Subsidy</v>
      </c>
      <c r="K106" s="254" t="str">
        <f>IF(ISBLANK(INDEX('Policy Characteristics'!E:E,MATCH($C106,'Policy Characteristics'!$C:$C,0))),"",INDEX('Policy Characteristics'!E:E,MATCH($C106,'Policy Characteristics'!$C:$C,0)))</f>
        <v>trans frgt subsidy</v>
      </c>
      <c r="L106" s="261">
        <f>IF(ISBLANK(INDEX('Policy Characteristics'!F:F,MATCH($C106,'Policy Characteristics'!$C:$C,0))),"",INDEX('Policy Characteristics'!F:F,MATCH($C106,'Policy Characteristics'!$C:$C,0)))</f>
        <v>0</v>
      </c>
      <c r="M106" s="261">
        <f>IF(ISBLANK(INDEX('Policy Characteristics'!G:G,MATCH($C106,'Policy Characteristics'!$C:$C,0))),"",INDEX('Policy Characteristics'!G:G,MATCH($C106,'Policy Characteristics'!$C:$C,0)))</f>
        <v>50000</v>
      </c>
      <c r="N106" s="261">
        <f>IF(ISBLANK(INDEX('Policy Characteristics'!H:H,MATCH($C106,'Policy Characteristics'!$C:$C,0))),"",INDEX('Policy Characteristics'!H:H,MATCH($C106,'Policy Characteristics'!$C:$C,0)))</f>
        <v>100</v>
      </c>
      <c r="O106" s="254" t="str">
        <f>IF(ISBLANK(INDEX('Policy Characteristics'!I:I,MATCH($C106,'Policy Characteristics'!$C:$C,0))),"",INDEX('Policy Characteristics'!I:I,MATCH($C106,'Policy Characteristics'!$C:$C,0)))</f>
        <v>$ / vehicle</v>
      </c>
      <c r="P106" s="254" t="str">
        <f>IF(ISBLANK(INDEX('Policy Characteristics'!J:J,MATCH($C106,'Policy Characteristics'!$C:$C,0))),"",INDEX('Policy Characteristics'!J:J,MATCH($C106,'Policy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6" s="254" t="str">
        <f>IF(ISBLANK(INDEX('Policy Characteristics'!K:K,MATCH($C106,'Policy Characteristics'!$C:$C,0))),"",INDEX('Policy Characteristics'!K:K,MATCH($C106,'Policy Characteristics'!$C:$C,0)))</f>
        <v>transportation-sector-main.html#ev-subsidy</v>
      </c>
      <c r="R106" s="254" t="str">
        <f>IF(ISBLANK(INDEX('Policy Characteristics'!L:L,MATCH($C106,'Policy Characteristics'!$C:$C,0))),"",INDEX('Policy Characteristics'!L:L,MATCH($C106,'Policy Characteristics'!$C:$C,0)))</f>
        <v>ev-subsidy.html</v>
      </c>
    </row>
    <row r="107" spans="1:18" x14ac:dyDescent="0.3">
      <c r="A107" s="254" t="str">
        <f>IF(ISBLANK(INDEX('Policy Characteristics'!A:A,MATCH($C107,'Policy Characteristics'!$C:$C,0))),"",INDEX('Policy Characteristics'!A:A,MATCH($C107,'Policy Characteristics'!$C:$C,0)))</f>
        <v>Transportation</v>
      </c>
      <c r="B107" s="262" t="str">
        <f>IF(ISBLANK(INDEX('Policy Characteristics'!B:B,MATCH($C107,'Policy Characteristics'!$C:$C,0))),"",INDEX('Policy Characteristics'!B:B,MATCH($C107,'Policy Characteristics'!$C:$C,0)))</f>
        <v>Freight Vehicle Subsidy</v>
      </c>
      <c r="C107" s="254" t="str">
        <f t="shared" ref="C107:C146" si="4">C$105</f>
        <v>Additional Freight Vehicle Subsidy</v>
      </c>
      <c r="D107" s="45" t="s">
        <v>37</v>
      </c>
      <c r="E107" s="2" t="s">
        <v>2247</v>
      </c>
      <c r="F107" s="2" t="s">
        <v>3457</v>
      </c>
      <c r="G107" s="2" t="s">
        <v>3447</v>
      </c>
      <c r="H107" s="43">
        <v>1688</v>
      </c>
      <c r="I107" s="325" t="s">
        <v>44</v>
      </c>
      <c r="J107" s="255" t="str">
        <f>IF(ISBLANK(INDEX('Policy Characteristics'!D:D,MATCH($C107,'Policy Characteristics'!$C:$C,0))),"",INDEX('Policy Characteristics'!D:D,MATCH($C107,'Policy Characteristics'!$C:$C,0)))</f>
        <v>Vehicle Subsidy</v>
      </c>
      <c r="K107" s="254" t="str">
        <f>IF(ISBLANK(INDEX('Policy Characteristics'!E:E,MATCH($C107,'Policy Characteristics'!$C:$C,0))),"",INDEX('Policy Characteristics'!E:E,MATCH($C107,'Policy Characteristics'!$C:$C,0)))</f>
        <v>trans frgt subsidy</v>
      </c>
      <c r="L107" s="261">
        <f>IF(ISBLANK(INDEX('Policy Characteristics'!F:F,MATCH($C107,'Policy Characteristics'!$C:$C,0))),"",INDEX('Policy Characteristics'!F:F,MATCH($C107,'Policy Characteristics'!$C:$C,0)))</f>
        <v>0</v>
      </c>
      <c r="M107" s="261">
        <f>IF(ISBLANK(INDEX('Policy Characteristics'!G:G,MATCH($C107,'Policy Characteristics'!$C:$C,0))),"",INDEX('Policy Characteristics'!G:G,MATCH($C107,'Policy Characteristics'!$C:$C,0)))</f>
        <v>50000</v>
      </c>
      <c r="N107" s="261">
        <f>IF(ISBLANK(INDEX('Policy Characteristics'!H:H,MATCH($C107,'Policy Characteristics'!$C:$C,0))),"",INDEX('Policy Characteristics'!H:H,MATCH($C107,'Policy Characteristics'!$C:$C,0)))</f>
        <v>100</v>
      </c>
      <c r="O107" s="254" t="str">
        <f>IF(ISBLANK(INDEX('Policy Characteristics'!I:I,MATCH($C107,'Policy Characteristics'!$C:$C,0))),"",INDEX('Policy Characteristics'!I:I,MATCH($C107,'Policy Characteristics'!$C:$C,0)))</f>
        <v>$ / vehicle</v>
      </c>
      <c r="P107" s="254" t="str">
        <f>IF(ISBLANK(INDEX('Policy Characteristics'!J:J,MATCH($C107,'Policy Characteristics'!$C:$C,0))),"",INDEX('Policy Characteristics'!J:J,MATCH($C107,'Policy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7" s="254" t="str">
        <f>IF(ISBLANK(INDEX('Policy Characteristics'!K:K,MATCH($C107,'Policy Characteristics'!$C:$C,0))),"",INDEX('Policy Characteristics'!K:K,MATCH($C107,'Policy Characteristics'!$C:$C,0)))</f>
        <v>transportation-sector-main.html#ev-subsidy</v>
      </c>
      <c r="R107" s="254" t="str">
        <f>IF(ISBLANK(INDEX('Policy Characteristics'!L:L,MATCH($C107,'Policy Characteristics'!$C:$C,0))),"",INDEX('Policy Characteristics'!L:L,MATCH($C107,'Policy Characteristics'!$C:$C,0)))</f>
        <v>ev-subsidy.html</v>
      </c>
    </row>
    <row r="108" spans="1:18" x14ac:dyDescent="0.3">
      <c r="A108" s="254" t="str">
        <f>IF(ISBLANK(INDEX('Policy Characteristics'!A:A,MATCH($C108,'Policy Characteristics'!$C:$C,0))),"",INDEX('Policy Characteristics'!A:A,MATCH($C108,'Policy Characteristics'!$C:$C,0)))</f>
        <v>Transportation</v>
      </c>
      <c r="B108" s="262" t="str">
        <f>IF(ISBLANK(INDEX('Policy Characteristics'!B:B,MATCH($C108,'Policy Characteristics'!$C:$C,0))),"",INDEX('Policy Characteristics'!B:B,MATCH($C108,'Policy Characteristics'!$C:$C,0)))</f>
        <v>Freight Vehicle Subsidy</v>
      </c>
      <c r="C108" s="254" t="str">
        <f t="shared" si="4"/>
        <v>Additional Freight Vehicle Subsidy</v>
      </c>
      <c r="D108" s="45" t="s">
        <v>37</v>
      </c>
      <c r="E108" s="2" t="s">
        <v>2248</v>
      </c>
      <c r="F108" s="2" t="s">
        <v>3457</v>
      </c>
      <c r="G108" s="2" t="s">
        <v>3448</v>
      </c>
      <c r="H108" s="43">
        <v>1689</v>
      </c>
      <c r="I108" s="325" t="s">
        <v>44</v>
      </c>
      <c r="J108" s="255" t="str">
        <f>IF(ISBLANK(INDEX('Policy Characteristics'!D:D,MATCH($C108,'Policy Characteristics'!$C:$C,0))),"",INDEX('Policy Characteristics'!D:D,MATCH($C108,'Policy Characteristics'!$C:$C,0)))</f>
        <v>Vehicle Subsidy</v>
      </c>
      <c r="K108" s="254" t="str">
        <f>IF(ISBLANK(INDEX('Policy Characteristics'!E:E,MATCH($C108,'Policy Characteristics'!$C:$C,0))),"",INDEX('Policy Characteristics'!E:E,MATCH($C108,'Policy Characteristics'!$C:$C,0)))</f>
        <v>trans frgt subsidy</v>
      </c>
      <c r="L108" s="261">
        <f>IF(ISBLANK(INDEX('Policy Characteristics'!F:F,MATCH($C108,'Policy Characteristics'!$C:$C,0))),"",INDEX('Policy Characteristics'!F:F,MATCH($C108,'Policy Characteristics'!$C:$C,0)))</f>
        <v>0</v>
      </c>
      <c r="M108" s="261">
        <f>IF(ISBLANK(INDEX('Policy Characteristics'!G:G,MATCH($C108,'Policy Characteristics'!$C:$C,0))),"",INDEX('Policy Characteristics'!G:G,MATCH($C108,'Policy Characteristics'!$C:$C,0)))</f>
        <v>50000</v>
      </c>
      <c r="N108" s="261">
        <f>IF(ISBLANK(INDEX('Policy Characteristics'!H:H,MATCH($C108,'Policy Characteristics'!$C:$C,0))),"",INDEX('Policy Characteristics'!H:H,MATCH($C108,'Policy Characteristics'!$C:$C,0)))</f>
        <v>100</v>
      </c>
      <c r="O108" s="254" t="str">
        <f>IF(ISBLANK(INDEX('Policy Characteristics'!I:I,MATCH($C108,'Policy Characteristics'!$C:$C,0))),"",INDEX('Policy Characteristics'!I:I,MATCH($C108,'Policy Characteristics'!$C:$C,0)))</f>
        <v>$ / vehicle</v>
      </c>
      <c r="P108" s="254" t="str">
        <f>IF(ISBLANK(INDEX('Policy Characteristics'!J:J,MATCH($C108,'Policy Characteristics'!$C:$C,0))),"",INDEX('Policy Characteristics'!J:J,MATCH($C108,'Policy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8" s="254" t="str">
        <f>IF(ISBLANK(INDEX('Policy Characteristics'!K:K,MATCH($C108,'Policy Characteristics'!$C:$C,0))),"",INDEX('Policy Characteristics'!K:K,MATCH($C108,'Policy Characteristics'!$C:$C,0)))</f>
        <v>transportation-sector-main.html#ev-subsidy</v>
      </c>
      <c r="R108" s="254" t="str">
        <f>IF(ISBLANK(INDEX('Policy Characteristics'!L:L,MATCH($C108,'Policy Characteristics'!$C:$C,0))),"",INDEX('Policy Characteristics'!L:L,MATCH($C108,'Policy Characteristics'!$C:$C,0)))</f>
        <v>ev-subsidy.html</v>
      </c>
    </row>
    <row r="109" spans="1:18" x14ac:dyDescent="0.3">
      <c r="A109" s="254" t="str">
        <f>IF(ISBLANK(INDEX('Policy Characteristics'!A:A,MATCH($C109,'Policy Characteristics'!$C:$C,0))),"",INDEX('Policy Characteristics'!A:A,MATCH($C109,'Policy Characteristics'!$C:$C,0)))</f>
        <v>Transportation</v>
      </c>
      <c r="B109" s="262" t="str">
        <f>IF(ISBLANK(INDEX('Policy Characteristics'!B:B,MATCH($C109,'Policy Characteristics'!$C:$C,0))),"",INDEX('Policy Characteristics'!B:B,MATCH($C109,'Policy Characteristics'!$C:$C,0)))</f>
        <v>Freight Vehicle Subsidy</v>
      </c>
      <c r="C109" s="254" t="str">
        <f t="shared" si="4"/>
        <v>Additional Freight Vehicle Subsidy</v>
      </c>
      <c r="D109" s="45" t="s">
        <v>37</v>
      </c>
      <c r="E109" s="2" t="s">
        <v>2249</v>
      </c>
      <c r="F109" s="2" t="s">
        <v>3457</v>
      </c>
      <c r="G109" s="2" t="s">
        <v>3449</v>
      </c>
      <c r="H109" s="43">
        <v>1690</v>
      </c>
      <c r="I109" s="325" t="s">
        <v>43</v>
      </c>
      <c r="J109" s="255" t="str">
        <f>IF(ISBLANK(INDEX('Policy Characteristics'!D:D,MATCH($C109,'Policy Characteristics'!$C:$C,0))),"",INDEX('Policy Characteristics'!D:D,MATCH($C109,'Policy Characteristics'!$C:$C,0)))</f>
        <v>Vehicle Subsidy</v>
      </c>
      <c r="K109" s="254" t="str">
        <f>IF(ISBLANK(INDEX('Policy Characteristics'!E:E,MATCH($C109,'Policy Characteristics'!$C:$C,0))),"",INDEX('Policy Characteristics'!E:E,MATCH($C109,'Policy Characteristics'!$C:$C,0)))</f>
        <v>trans frgt subsidy</v>
      </c>
      <c r="L109" s="261">
        <f>IF(ISBLANK(INDEX('Policy Characteristics'!F:F,MATCH($C109,'Policy Characteristics'!$C:$C,0))),"",INDEX('Policy Characteristics'!F:F,MATCH($C109,'Policy Characteristics'!$C:$C,0)))</f>
        <v>0</v>
      </c>
      <c r="M109" s="261">
        <f>IF(ISBLANK(INDEX('Policy Characteristics'!G:G,MATCH($C109,'Policy Characteristics'!$C:$C,0))),"",INDEX('Policy Characteristics'!G:G,MATCH($C109,'Policy Characteristics'!$C:$C,0)))</f>
        <v>50000</v>
      </c>
      <c r="N109" s="261">
        <f>IF(ISBLANK(INDEX('Policy Characteristics'!H:H,MATCH($C109,'Policy Characteristics'!$C:$C,0))),"",INDEX('Policy Characteristics'!H:H,MATCH($C109,'Policy Characteristics'!$C:$C,0)))</f>
        <v>100</v>
      </c>
      <c r="O109" s="254" t="str">
        <f>IF(ISBLANK(INDEX('Policy Characteristics'!I:I,MATCH($C109,'Policy Characteristics'!$C:$C,0))),"",INDEX('Policy Characteristics'!I:I,MATCH($C109,'Policy Characteristics'!$C:$C,0)))</f>
        <v>$ / vehicle</v>
      </c>
      <c r="P109" s="254" t="str">
        <f>IF(ISBLANK(INDEX('Policy Characteristics'!J:J,MATCH($C109,'Policy Characteristics'!$C:$C,0))),"",INDEX('Policy Characteristics'!J:J,MATCH($C109,'Policy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09" s="254" t="str">
        <f>IF(ISBLANK(INDEX('Policy Characteristics'!K:K,MATCH($C109,'Policy Characteristics'!$C:$C,0))),"",INDEX('Policy Characteristics'!K:K,MATCH($C109,'Policy Characteristics'!$C:$C,0)))</f>
        <v>transportation-sector-main.html#ev-subsidy</v>
      </c>
      <c r="R109" s="254" t="str">
        <f>IF(ISBLANK(INDEX('Policy Characteristics'!L:L,MATCH($C109,'Policy Characteristics'!$C:$C,0))),"",INDEX('Policy Characteristics'!L:L,MATCH($C109,'Policy Characteristics'!$C:$C,0)))</f>
        <v>ev-subsidy.html</v>
      </c>
    </row>
    <row r="110" spans="1:18" x14ac:dyDescent="0.3">
      <c r="A110" s="254" t="str">
        <f>IF(ISBLANK(INDEX('Policy Characteristics'!A:A,MATCH($C110,'Policy Characteristics'!$C:$C,0))),"",INDEX('Policy Characteristics'!A:A,MATCH($C110,'Policy Characteristics'!$C:$C,0)))</f>
        <v>Transportation</v>
      </c>
      <c r="B110" s="262" t="str">
        <f>IF(ISBLANK(INDEX('Policy Characteristics'!B:B,MATCH($C110,'Policy Characteristics'!$C:$C,0))),"",INDEX('Policy Characteristics'!B:B,MATCH($C110,'Policy Characteristics'!$C:$C,0)))</f>
        <v>Freight Vehicle Subsidy</v>
      </c>
      <c r="C110" s="254" t="str">
        <f t="shared" si="4"/>
        <v>Additional Freight Vehicle Subsidy</v>
      </c>
      <c r="D110" s="45" t="s">
        <v>37</v>
      </c>
      <c r="E110" s="2" t="s">
        <v>2509</v>
      </c>
      <c r="F110" s="2" t="s">
        <v>3457</v>
      </c>
      <c r="G110" s="2" t="s">
        <v>2509</v>
      </c>
      <c r="H110" s="43">
        <v>1691</v>
      </c>
      <c r="I110" s="324" t="s">
        <v>43</v>
      </c>
      <c r="J110" s="255" t="str">
        <f>IF(ISBLANK(INDEX('Policy Characteristics'!D:D,MATCH($C110,'Policy Characteristics'!$C:$C,0))),"",INDEX('Policy Characteristics'!D:D,MATCH($C110,'Policy Characteristics'!$C:$C,0)))</f>
        <v>Vehicle Subsidy</v>
      </c>
      <c r="K110" s="254" t="str">
        <f>IF(ISBLANK(INDEX('Policy Characteristics'!E:E,MATCH($C110,'Policy Characteristics'!$C:$C,0))),"",INDEX('Policy Characteristics'!E:E,MATCH($C110,'Policy Characteristics'!$C:$C,0)))</f>
        <v>trans frgt subsidy</v>
      </c>
      <c r="L110" s="261">
        <f>IF(ISBLANK(INDEX('Policy Characteristics'!F:F,MATCH($C110,'Policy Characteristics'!$C:$C,0))),"",INDEX('Policy Characteristics'!F:F,MATCH($C110,'Policy Characteristics'!$C:$C,0)))</f>
        <v>0</v>
      </c>
      <c r="M110" s="261">
        <f>IF(ISBLANK(INDEX('Policy Characteristics'!G:G,MATCH($C110,'Policy Characteristics'!$C:$C,0))),"",INDEX('Policy Characteristics'!G:G,MATCH($C110,'Policy Characteristics'!$C:$C,0)))</f>
        <v>50000</v>
      </c>
      <c r="N110" s="261">
        <f>IF(ISBLANK(INDEX('Policy Characteristics'!H:H,MATCH($C110,'Policy Characteristics'!$C:$C,0))),"",INDEX('Policy Characteristics'!H:H,MATCH($C110,'Policy Characteristics'!$C:$C,0)))</f>
        <v>100</v>
      </c>
      <c r="O110" s="254" t="str">
        <f>IF(ISBLANK(INDEX('Policy Characteristics'!I:I,MATCH($C110,'Policy Characteristics'!$C:$C,0))),"",INDEX('Policy Characteristics'!I:I,MATCH($C110,'Policy Characteristics'!$C:$C,0)))</f>
        <v>$ / vehicle</v>
      </c>
      <c r="P110" s="254" t="str">
        <f>IF(ISBLANK(INDEX('Policy Characteristics'!J:J,MATCH($C110,'Policy Characteristics'!$C:$C,0))),"",INDEX('Policy Characteristics'!J:J,MATCH($C110,'Policy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0" s="254" t="str">
        <f>IF(ISBLANK(INDEX('Policy Characteristics'!K:K,MATCH($C110,'Policy Characteristics'!$C:$C,0))),"",INDEX('Policy Characteristics'!K:K,MATCH($C110,'Policy Characteristics'!$C:$C,0)))</f>
        <v>transportation-sector-main.html#ev-subsidy</v>
      </c>
      <c r="R110" s="254" t="str">
        <f>IF(ISBLANK(INDEX('Policy Characteristics'!L:L,MATCH($C110,'Policy Characteristics'!$C:$C,0))),"",INDEX('Policy Characteristics'!L:L,MATCH($C110,'Policy Characteristics'!$C:$C,0)))</f>
        <v>ev-subsidy.html</v>
      </c>
    </row>
    <row r="111" spans="1:18" x14ac:dyDescent="0.3">
      <c r="A111" s="254" t="str">
        <f>IF(ISBLANK(INDEX('Policy Characteristics'!A:A,MATCH($C111,'Policy Characteristics'!$C:$C,0))),"",INDEX('Policy Characteristics'!A:A,MATCH($C111,'Policy Characteristics'!$C:$C,0)))</f>
        <v>Transportation</v>
      </c>
      <c r="B111" s="262" t="str">
        <f>IF(ISBLANK(INDEX('Policy Characteristics'!B:B,MATCH($C111,'Policy Characteristics'!$C:$C,0))),"",INDEX('Policy Characteristics'!B:B,MATCH($C111,'Policy Characteristics'!$C:$C,0)))</f>
        <v>Freight Vehicle Subsidy</v>
      </c>
      <c r="C111" s="254" t="str">
        <f t="shared" si="4"/>
        <v>Additional Freight Vehicle Subsidy</v>
      </c>
      <c r="D111" s="45" t="s">
        <v>37</v>
      </c>
      <c r="E111" s="2" t="s">
        <v>2508</v>
      </c>
      <c r="F111" s="2" t="s">
        <v>3457</v>
      </c>
      <c r="G111" s="2" t="s">
        <v>3450</v>
      </c>
      <c r="H111" s="43">
        <v>1692</v>
      </c>
      <c r="I111" s="325" t="s">
        <v>43</v>
      </c>
      <c r="J111" s="255" t="str">
        <f>IF(ISBLANK(INDEX('Policy Characteristics'!D:D,MATCH($C111,'Policy Characteristics'!$C:$C,0))),"",INDEX('Policy Characteristics'!D:D,MATCH($C111,'Policy Characteristics'!$C:$C,0)))</f>
        <v>Vehicle Subsidy</v>
      </c>
      <c r="K111" s="254" t="str">
        <f>IF(ISBLANK(INDEX('Policy Characteristics'!E:E,MATCH($C111,'Policy Characteristics'!$C:$C,0))),"",INDEX('Policy Characteristics'!E:E,MATCH($C111,'Policy Characteristics'!$C:$C,0)))</f>
        <v>trans frgt subsidy</v>
      </c>
      <c r="L111" s="261">
        <f>IF(ISBLANK(INDEX('Policy Characteristics'!F:F,MATCH($C111,'Policy Characteristics'!$C:$C,0))),"",INDEX('Policy Characteristics'!F:F,MATCH($C111,'Policy Characteristics'!$C:$C,0)))</f>
        <v>0</v>
      </c>
      <c r="M111" s="261">
        <f>IF(ISBLANK(INDEX('Policy Characteristics'!G:G,MATCH($C111,'Policy Characteristics'!$C:$C,0))),"",INDEX('Policy Characteristics'!G:G,MATCH($C111,'Policy Characteristics'!$C:$C,0)))</f>
        <v>50000</v>
      </c>
      <c r="N111" s="261">
        <f>IF(ISBLANK(INDEX('Policy Characteristics'!H:H,MATCH($C111,'Policy Characteristics'!$C:$C,0))),"",INDEX('Policy Characteristics'!H:H,MATCH($C111,'Policy Characteristics'!$C:$C,0)))</f>
        <v>100</v>
      </c>
      <c r="O111" s="254" t="str">
        <f>IF(ISBLANK(INDEX('Policy Characteristics'!I:I,MATCH($C111,'Policy Characteristics'!$C:$C,0))),"",INDEX('Policy Characteristics'!I:I,MATCH($C111,'Policy Characteristics'!$C:$C,0)))</f>
        <v>$ / vehicle</v>
      </c>
      <c r="P111" s="254" t="str">
        <f>IF(ISBLANK(INDEX('Policy Characteristics'!J:J,MATCH($C111,'Policy Characteristics'!$C:$C,0))),"",INDEX('Policy Characteristics'!J:J,MATCH($C111,'Policy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1" s="254" t="str">
        <f>IF(ISBLANK(INDEX('Policy Characteristics'!K:K,MATCH($C111,'Policy Characteristics'!$C:$C,0))),"",INDEX('Policy Characteristics'!K:K,MATCH($C111,'Policy Characteristics'!$C:$C,0)))</f>
        <v>transportation-sector-main.html#ev-subsidy</v>
      </c>
      <c r="R111" s="254" t="str">
        <f>IF(ISBLANK(INDEX('Policy Characteristics'!L:L,MATCH($C111,'Policy Characteristics'!$C:$C,0))),"",INDEX('Policy Characteristics'!L:L,MATCH($C111,'Policy Characteristics'!$C:$C,0)))</f>
        <v>ev-subsidy.html</v>
      </c>
    </row>
    <row r="112" spans="1:18" x14ac:dyDescent="0.3">
      <c r="A112" s="254" t="str">
        <f>IF(ISBLANK(INDEX('Policy Characteristics'!A:A,MATCH($C112,'Policy Characteristics'!$C:$C,0))),"",INDEX('Policy Characteristics'!A:A,MATCH($C112,'Policy Characteristics'!$C:$C,0)))</f>
        <v>Transportation</v>
      </c>
      <c r="B112" s="262" t="str">
        <f>IF(ISBLANK(INDEX('Policy Characteristics'!B:B,MATCH($C112,'Policy Characteristics'!$C:$C,0))),"",INDEX('Policy Characteristics'!B:B,MATCH($C112,'Policy Characteristics'!$C:$C,0)))</f>
        <v>Freight Vehicle Subsidy</v>
      </c>
      <c r="C112" s="254" t="str">
        <f t="shared" si="4"/>
        <v>Additional Freight Vehicle Subsidy</v>
      </c>
      <c r="D112" s="45" t="s">
        <v>38</v>
      </c>
      <c r="E112" s="45" t="s">
        <v>2245</v>
      </c>
      <c r="F112" s="2" t="s">
        <v>3453</v>
      </c>
      <c r="G112" s="45" t="s">
        <v>3445</v>
      </c>
      <c r="H112" s="43">
        <v>1693</v>
      </c>
      <c r="I112" s="324" t="s">
        <v>43</v>
      </c>
      <c r="J112" s="255" t="str">
        <f>IF(ISBLANK(INDEX('Policy Characteristics'!D:D,MATCH($C112,'Policy Characteristics'!$C:$C,0))),"",INDEX('Policy Characteristics'!D:D,MATCH($C112,'Policy Characteristics'!$C:$C,0)))</f>
        <v>Vehicle Subsidy</v>
      </c>
      <c r="K112" s="254" t="str">
        <f>IF(ISBLANK(INDEX('Policy Characteristics'!E:E,MATCH($C112,'Policy Characteristics'!$C:$C,0))),"",INDEX('Policy Characteristics'!E:E,MATCH($C112,'Policy Characteristics'!$C:$C,0)))</f>
        <v>trans frgt subsidy</v>
      </c>
      <c r="L112" s="261">
        <f>IF(ISBLANK(INDEX('Policy Characteristics'!F:F,MATCH($C112,'Policy Characteristics'!$C:$C,0))),"",INDEX('Policy Characteristics'!F:F,MATCH($C112,'Policy Characteristics'!$C:$C,0)))</f>
        <v>0</v>
      </c>
      <c r="M112" s="261">
        <f>IF(ISBLANK(INDEX('Policy Characteristics'!G:G,MATCH($C112,'Policy Characteristics'!$C:$C,0))),"",INDEX('Policy Characteristics'!G:G,MATCH($C112,'Policy Characteristics'!$C:$C,0)))</f>
        <v>50000</v>
      </c>
      <c r="N112" s="261">
        <f>IF(ISBLANK(INDEX('Policy Characteristics'!H:H,MATCH($C112,'Policy Characteristics'!$C:$C,0))),"",INDEX('Policy Characteristics'!H:H,MATCH($C112,'Policy Characteristics'!$C:$C,0)))</f>
        <v>100</v>
      </c>
      <c r="O112" s="254" t="str">
        <f>IF(ISBLANK(INDEX('Policy Characteristics'!I:I,MATCH($C112,'Policy Characteristics'!$C:$C,0))),"",INDEX('Policy Characteristics'!I:I,MATCH($C112,'Policy Characteristics'!$C:$C,0)))</f>
        <v>$ / vehicle</v>
      </c>
      <c r="P112" s="254" t="str">
        <f>IF(ISBLANK(INDEX('Policy Characteristics'!J:J,MATCH($C112,'Policy Characteristics'!$C:$C,0))),"",INDEX('Policy Characteristics'!J:J,MATCH($C112,'Policy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2" s="254" t="str">
        <f>IF(ISBLANK(INDEX('Policy Characteristics'!K:K,MATCH($C112,'Policy Characteristics'!$C:$C,0))),"",INDEX('Policy Characteristics'!K:K,MATCH($C112,'Policy Characteristics'!$C:$C,0)))</f>
        <v>transportation-sector-main.html#ev-subsidy</v>
      </c>
      <c r="R112" s="254" t="str">
        <f>IF(ISBLANK(INDEX('Policy Characteristics'!L:L,MATCH($C112,'Policy Characteristics'!$C:$C,0))),"",INDEX('Policy Characteristics'!L:L,MATCH($C112,'Policy Characteristics'!$C:$C,0)))</f>
        <v>ev-subsidy.html</v>
      </c>
    </row>
    <row r="113" spans="1:18" x14ac:dyDescent="0.3">
      <c r="A113" s="254" t="str">
        <f>IF(ISBLANK(INDEX('Policy Characteristics'!A:A,MATCH($C113,'Policy Characteristics'!$C:$C,0))),"",INDEX('Policy Characteristics'!A:A,MATCH($C113,'Policy Characteristics'!$C:$C,0)))</f>
        <v>Transportation</v>
      </c>
      <c r="B113" s="262" t="str">
        <f>IF(ISBLANK(INDEX('Policy Characteristics'!B:B,MATCH($C113,'Policy Characteristics'!$C:$C,0))),"",INDEX('Policy Characteristics'!B:B,MATCH($C113,'Policy Characteristics'!$C:$C,0)))</f>
        <v>Freight Vehicle Subsidy</v>
      </c>
      <c r="C113" s="254" t="str">
        <f t="shared" si="4"/>
        <v>Additional Freight Vehicle Subsidy</v>
      </c>
      <c r="D113" s="45" t="s">
        <v>38</v>
      </c>
      <c r="E113" s="2" t="s">
        <v>2246</v>
      </c>
      <c r="F113" s="2" t="s">
        <v>3453</v>
      </c>
      <c r="G113" s="2" t="s">
        <v>3446</v>
      </c>
      <c r="H113" s="43">
        <v>1694</v>
      </c>
      <c r="I113" s="325" t="s">
        <v>44</v>
      </c>
      <c r="J113" s="255" t="str">
        <f>IF(ISBLANK(INDEX('Policy Characteristics'!D:D,MATCH($C113,'Policy Characteristics'!$C:$C,0))),"",INDEX('Policy Characteristics'!D:D,MATCH($C113,'Policy Characteristics'!$C:$C,0)))</f>
        <v>Vehicle Subsidy</v>
      </c>
      <c r="K113" s="254" t="str">
        <f>IF(ISBLANK(INDEX('Policy Characteristics'!E:E,MATCH($C113,'Policy Characteristics'!$C:$C,0))),"",INDEX('Policy Characteristics'!E:E,MATCH($C113,'Policy Characteristics'!$C:$C,0)))</f>
        <v>trans frgt subsidy</v>
      </c>
      <c r="L113" s="261">
        <f>IF(ISBLANK(INDEX('Policy Characteristics'!F:F,MATCH($C113,'Policy Characteristics'!$C:$C,0))),"",INDEX('Policy Characteristics'!F:F,MATCH($C113,'Policy Characteristics'!$C:$C,0)))</f>
        <v>0</v>
      </c>
      <c r="M113" s="261">
        <f>IF(ISBLANK(INDEX('Policy Characteristics'!G:G,MATCH($C113,'Policy Characteristics'!$C:$C,0))),"",INDEX('Policy Characteristics'!G:G,MATCH($C113,'Policy Characteristics'!$C:$C,0)))</f>
        <v>50000</v>
      </c>
      <c r="N113" s="261">
        <f>IF(ISBLANK(INDEX('Policy Characteristics'!H:H,MATCH($C113,'Policy Characteristics'!$C:$C,0))),"",INDEX('Policy Characteristics'!H:H,MATCH($C113,'Policy Characteristics'!$C:$C,0)))</f>
        <v>100</v>
      </c>
      <c r="O113" s="254" t="str">
        <f>IF(ISBLANK(INDEX('Policy Characteristics'!I:I,MATCH($C113,'Policy Characteristics'!$C:$C,0))),"",INDEX('Policy Characteristics'!I:I,MATCH($C113,'Policy Characteristics'!$C:$C,0)))</f>
        <v>$ / vehicle</v>
      </c>
      <c r="P113" s="254" t="str">
        <f>IF(ISBLANK(INDEX('Policy Characteristics'!J:J,MATCH($C113,'Policy Characteristics'!$C:$C,0))),"",INDEX('Policy Characteristics'!J:J,MATCH($C113,'Policy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3" s="254" t="str">
        <f>IF(ISBLANK(INDEX('Policy Characteristics'!K:K,MATCH($C113,'Policy Characteristics'!$C:$C,0))),"",INDEX('Policy Characteristics'!K:K,MATCH($C113,'Policy Characteristics'!$C:$C,0)))</f>
        <v>transportation-sector-main.html#ev-subsidy</v>
      </c>
      <c r="R113" s="254" t="str">
        <f>IF(ISBLANK(INDEX('Policy Characteristics'!L:L,MATCH($C113,'Policy Characteristics'!$C:$C,0))),"",INDEX('Policy Characteristics'!L:L,MATCH($C113,'Policy Characteristics'!$C:$C,0)))</f>
        <v>ev-subsidy.html</v>
      </c>
    </row>
    <row r="114" spans="1:18" x14ac:dyDescent="0.3">
      <c r="A114" s="254" t="str">
        <f>IF(ISBLANK(INDEX('Policy Characteristics'!A:A,MATCH($C114,'Policy Characteristics'!$C:$C,0))),"",INDEX('Policy Characteristics'!A:A,MATCH($C114,'Policy Characteristics'!$C:$C,0)))</f>
        <v>Transportation</v>
      </c>
      <c r="B114" s="262" t="str">
        <f>IF(ISBLANK(INDEX('Policy Characteristics'!B:B,MATCH($C114,'Policy Characteristics'!$C:$C,0))),"",INDEX('Policy Characteristics'!B:B,MATCH($C114,'Policy Characteristics'!$C:$C,0)))</f>
        <v>Freight Vehicle Subsidy</v>
      </c>
      <c r="C114" s="254" t="str">
        <f t="shared" si="4"/>
        <v>Additional Freight Vehicle Subsidy</v>
      </c>
      <c r="D114" s="45" t="s">
        <v>38</v>
      </c>
      <c r="E114" s="2" t="s">
        <v>2247</v>
      </c>
      <c r="F114" s="2" t="s">
        <v>3453</v>
      </c>
      <c r="G114" s="2" t="s">
        <v>3447</v>
      </c>
      <c r="H114" s="43">
        <v>1695</v>
      </c>
      <c r="I114" s="325" t="s">
        <v>44</v>
      </c>
      <c r="J114" s="255" t="str">
        <f>IF(ISBLANK(INDEX('Policy Characteristics'!D:D,MATCH($C114,'Policy Characteristics'!$C:$C,0))),"",INDEX('Policy Characteristics'!D:D,MATCH($C114,'Policy Characteristics'!$C:$C,0)))</f>
        <v>Vehicle Subsidy</v>
      </c>
      <c r="K114" s="254" t="str">
        <f>IF(ISBLANK(INDEX('Policy Characteristics'!E:E,MATCH($C114,'Policy Characteristics'!$C:$C,0))),"",INDEX('Policy Characteristics'!E:E,MATCH($C114,'Policy Characteristics'!$C:$C,0)))</f>
        <v>trans frgt subsidy</v>
      </c>
      <c r="L114" s="261">
        <f>IF(ISBLANK(INDEX('Policy Characteristics'!F:F,MATCH($C114,'Policy Characteristics'!$C:$C,0))),"",INDEX('Policy Characteristics'!F:F,MATCH($C114,'Policy Characteristics'!$C:$C,0)))</f>
        <v>0</v>
      </c>
      <c r="M114" s="261">
        <f>IF(ISBLANK(INDEX('Policy Characteristics'!G:G,MATCH($C114,'Policy Characteristics'!$C:$C,0))),"",INDEX('Policy Characteristics'!G:G,MATCH($C114,'Policy Characteristics'!$C:$C,0)))</f>
        <v>50000</v>
      </c>
      <c r="N114" s="261">
        <f>IF(ISBLANK(INDEX('Policy Characteristics'!H:H,MATCH($C114,'Policy Characteristics'!$C:$C,0))),"",INDEX('Policy Characteristics'!H:H,MATCH($C114,'Policy Characteristics'!$C:$C,0)))</f>
        <v>100</v>
      </c>
      <c r="O114" s="254" t="str">
        <f>IF(ISBLANK(INDEX('Policy Characteristics'!I:I,MATCH($C114,'Policy Characteristics'!$C:$C,0))),"",INDEX('Policy Characteristics'!I:I,MATCH($C114,'Policy Characteristics'!$C:$C,0)))</f>
        <v>$ / vehicle</v>
      </c>
      <c r="P114" s="254" t="str">
        <f>IF(ISBLANK(INDEX('Policy Characteristics'!J:J,MATCH($C114,'Policy Characteristics'!$C:$C,0))),"",INDEX('Policy Characteristics'!J:J,MATCH($C114,'Policy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4" s="254" t="str">
        <f>IF(ISBLANK(INDEX('Policy Characteristics'!K:K,MATCH($C114,'Policy Characteristics'!$C:$C,0))),"",INDEX('Policy Characteristics'!K:K,MATCH($C114,'Policy Characteristics'!$C:$C,0)))</f>
        <v>transportation-sector-main.html#ev-subsidy</v>
      </c>
      <c r="R114" s="254" t="str">
        <f>IF(ISBLANK(INDEX('Policy Characteristics'!L:L,MATCH($C114,'Policy Characteristics'!$C:$C,0))),"",INDEX('Policy Characteristics'!L:L,MATCH($C114,'Policy Characteristics'!$C:$C,0)))</f>
        <v>ev-subsidy.html</v>
      </c>
    </row>
    <row r="115" spans="1:18" x14ac:dyDescent="0.3">
      <c r="A115" s="254" t="str">
        <f>IF(ISBLANK(INDEX('Policy Characteristics'!A:A,MATCH($C115,'Policy Characteristics'!$C:$C,0))),"",INDEX('Policy Characteristics'!A:A,MATCH($C115,'Policy Characteristics'!$C:$C,0)))</f>
        <v>Transportation</v>
      </c>
      <c r="B115" s="262" t="str">
        <f>IF(ISBLANK(INDEX('Policy Characteristics'!B:B,MATCH($C115,'Policy Characteristics'!$C:$C,0))),"",INDEX('Policy Characteristics'!B:B,MATCH($C115,'Policy Characteristics'!$C:$C,0)))</f>
        <v>Freight Vehicle Subsidy</v>
      </c>
      <c r="C115" s="254" t="str">
        <f t="shared" si="4"/>
        <v>Additional Freight Vehicle Subsidy</v>
      </c>
      <c r="D115" s="45" t="s">
        <v>38</v>
      </c>
      <c r="E115" s="2" t="s">
        <v>2248</v>
      </c>
      <c r="F115" s="2" t="s">
        <v>3453</v>
      </c>
      <c r="G115" s="2" t="s">
        <v>3448</v>
      </c>
      <c r="H115" s="43">
        <v>1696</v>
      </c>
      <c r="I115" s="325" t="s">
        <v>44</v>
      </c>
      <c r="J115" s="255" t="str">
        <f>IF(ISBLANK(INDEX('Policy Characteristics'!D:D,MATCH($C115,'Policy Characteristics'!$C:$C,0))),"",INDEX('Policy Characteristics'!D:D,MATCH($C115,'Policy Characteristics'!$C:$C,0)))</f>
        <v>Vehicle Subsidy</v>
      </c>
      <c r="K115" s="254" t="str">
        <f>IF(ISBLANK(INDEX('Policy Characteristics'!E:E,MATCH($C115,'Policy Characteristics'!$C:$C,0))),"",INDEX('Policy Characteristics'!E:E,MATCH($C115,'Policy Characteristics'!$C:$C,0)))</f>
        <v>trans frgt subsidy</v>
      </c>
      <c r="L115" s="261">
        <f>IF(ISBLANK(INDEX('Policy Characteristics'!F:F,MATCH($C115,'Policy Characteristics'!$C:$C,0))),"",INDEX('Policy Characteristics'!F:F,MATCH($C115,'Policy Characteristics'!$C:$C,0)))</f>
        <v>0</v>
      </c>
      <c r="M115" s="261">
        <f>IF(ISBLANK(INDEX('Policy Characteristics'!G:G,MATCH($C115,'Policy Characteristics'!$C:$C,0))),"",INDEX('Policy Characteristics'!G:G,MATCH($C115,'Policy Characteristics'!$C:$C,0)))</f>
        <v>50000</v>
      </c>
      <c r="N115" s="261">
        <f>IF(ISBLANK(INDEX('Policy Characteristics'!H:H,MATCH($C115,'Policy Characteristics'!$C:$C,0))),"",INDEX('Policy Characteristics'!H:H,MATCH($C115,'Policy Characteristics'!$C:$C,0)))</f>
        <v>100</v>
      </c>
      <c r="O115" s="254" t="str">
        <f>IF(ISBLANK(INDEX('Policy Characteristics'!I:I,MATCH($C115,'Policy Characteristics'!$C:$C,0))),"",INDEX('Policy Characteristics'!I:I,MATCH($C115,'Policy Characteristics'!$C:$C,0)))</f>
        <v>$ / vehicle</v>
      </c>
      <c r="P115" s="254" t="str">
        <f>IF(ISBLANK(INDEX('Policy Characteristics'!J:J,MATCH($C115,'Policy Characteristics'!$C:$C,0))),"",INDEX('Policy Characteristics'!J:J,MATCH($C115,'Policy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5" s="254" t="str">
        <f>IF(ISBLANK(INDEX('Policy Characteristics'!K:K,MATCH($C115,'Policy Characteristics'!$C:$C,0))),"",INDEX('Policy Characteristics'!K:K,MATCH($C115,'Policy Characteristics'!$C:$C,0)))</f>
        <v>transportation-sector-main.html#ev-subsidy</v>
      </c>
      <c r="R115" s="254" t="str">
        <f>IF(ISBLANK(INDEX('Policy Characteristics'!L:L,MATCH($C115,'Policy Characteristics'!$C:$C,0))),"",INDEX('Policy Characteristics'!L:L,MATCH($C115,'Policy Characteristics'!$C:$C,0)))</f>
        <v>ev-subsidy.html</v>
      </c>
    </row>
    <row r="116" spans="1:18" x14ac:dyDescent="0.3">
      <c r="A116" s="254" t="str">
        <f>IF(ISBLANK(INDEX('Policy Characteristics'!A:A,MATCH($C116,'Policy Characteristics'!$C:$C,0))),"",INDEX('Policy Characteristics'!A:A,MATCH($C116,'Policy Characteristics'!$C:$C,0)))</f>
        <v>Transportation</v>
      </c>
      <c r="B116" s="262" t="str">
        <f>IF(ISBLANK(INDEX('Policy Characteristics'!B:B,MATCH($C116,'Policy Characteristics'!$C:$C,0))),"",INDEX('Policy Characteristics'!B:B,MATCH($C116,'Policy Characteristics'!$C:$C,0)))</f>
        <v>Freight Vehicle Subsidy</v>
      </c>
      <c r="C116" s="254" t="str">
        <f t="shared" si="4"/>
        <v>Additional Freight Vehicle Subsidy</v>
      </c>
      <c r="D116" s="45" t="s">
        <v>38</v>
      </c>
      <c r="E116" s="2" t="s">
        <v>2249</v>
      </c>
      <c r="F116" s="2" t="s">
        <v>3453</v>
      </c>
      <c r="G116" s="2" t="s">
        <v>3449</v>
      </c>
      <c r="H116" s="43">
        <v>1697</v>
      </c>
      <c r="I116" s="324" t="s">
        <v>43</v>
      </c>
      <c r="J116" s="255" t="str">
        <f>IF(ISBLANK(INDEX('Policy Characteristics'!D:D,MATCH($C116,'Policy Characteristics'!$C:$C,0))),"",INDEX('Policy Characteristics'!D:D,MATCH($C116,'Policy Characteristics'!$C:$C,0)))</f>
        <v>Vehicle Subsidy</v>
      </c>
      <c r="K116" s="254" t="str">
        <f>IF(ISBLANK(INDEX('Policy Characteristics'!E:E,MATCH($C116,'Policy Characteristics'!$C:$C,0))),"",INDEX('Policy Characteristics'!E:E,MATCH($C116,'Policy Characteristics'!$C:$C,0)))</f>
        <v>trans frgt subsidy</v>
      </c>
      <c r="L116" s="261">
        <f>IF(ISBLANK(INDEX('Policy Characteristics'!F:F,MATCH($C116,'Policy Characteristics'!$C:$C,0))),"",INDEX('Policy Characteristics'!F:F,MATCH($C116,'Policy Characteristics'!$C:$C,0)))</f>
        <v>0</v>
      </c>
      <c r="M116" s="261">
        <f>IF(ISBLANK(INDEX('Policy Characteristics'!G:G,MATCH($C116,'Policy Characteristics'!$C:$C,0))),"",INDEX('Policy Characteristics'!G:G,MATCH($C116,'Policy Characteristics'!$C:$C,0)))</f>
        <v>50000</v>
      </c>
      <c r="N116" s="261">
        <f>IF(ISBLANK(INDEX('Policy Characteristics'!H:H,MATCH($C116,'Policy Characteristics'!$C:$C,0))),"",INDEX('Policy Characteristics'!H:H,MATCH($C116,'Policy Characteristics'!$C:$C,0)))</f>
        <v>100</v>
      </c>
      <c r="O116" s="254" t="str">
        <f>IF(ISBLANK(INDEX('Policy Characteristics'!I:I,MATCH($C116,'Policy Characteristics'!$C:$C,0))),"",INDEX('Policy Characteristics'!I:I,MATCH($C116,'Policy Characteristics'!$C:$C,0)))</f>
        <v>$ / vehicle</v>
      </c>
      <c r="P116" s="254" t="str">
        <f>IF(ISBLANK(INDEX('Policy Characteristics'!J:J,MATCH($C116,'Policy Characteristics'!$C:$C,0))),"",INDEX('Policy Characteristics'!J:J,MATCH($C116,'Policy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6" s="254" t="str">
        <f>IF(ISBLANK(INDEX('Policy Characteristics'!K:K,MATCH($C116,'Policy Characteristics'!$C:$C,0))),"",INDEX('Policy Characteristics'!K:K,MATCH($C116,'Policy Characteristics'!$C:$C,0)))</f>
        <v>transportation-sector-main.html#ev-subsidy</v>
      </c>
      <c r="R116" s="254" t="str">
        <f>IF(ISBLANK(INDEX('Policy Characteristics'!L:L,MATCH($C116,'Policy Characteristics'!$C:$C,0))),"",INDEX('Policy Characteristics'!L:L,MATCH($C116,'Policy Characteristics'!$C:$C,0)))</f>
        <v>ev-subsidy.html</v>
      </c>
    </row>
    <row r="117" spans="1:18" x14ac:dyDescent="0.3">
      <c r="A117" s="254" t="str">
        <f>IF(ISBLANK(INDEX('Policy Characteristics'!A:A,MATCH($C117,'Policy Characteristics'!$C:$C,0))),"",INDEX('Policy Characteristics'!A:A,MATCH($C117,'Policy Characteristics'!$C:$C,0)))</f>
        <v>Transportation</v>
      </c>
      <c r="B117" s="262" t="str">
        <f>IF(ISBLANK(INDEX('Policy Characteristics'!B:B,MATCH($C117,'Policy Characteristics'!$C:$C,0))),"",INDEX('Policy Characteristics'!B:B,MATCH($C117,'Policy Characteristics'!$C:$C,0)))</f>
        <v>Freight Vehicle Subsidy</v>
      </c>
      <c r="C117" s="254" t="str">
        <f t="shared" si="4"/>
        <v>Additional Freight Vehicle Subsidy</v>
      </c>
      <c r="D117" s="45" t="s">
        <v>38</v>
      </c>
      <c r="E117" s="2" t="s">
        <v>2509</v>
      </c>
      <c r="F117" s="2" t="s">
        <v>3453</v>
      </c>
      <c r="G117" s="2" t="s">
        <v>2509</v>
      </c>
      <c r="H117" s="43">
        <v>1698</v>
      </c>
      <c r="I117" s="325" t="s">
        <v>44</v>
      </c>
      <c r="J117" s="255" t="str">
        <f>IF(ISBLANK(INDEX('Policy Characteristics'!D:D,MATCH($C117,'Policy Characteristics'!$C:$C,0))),"",INDEX('Policy Characteristics'!D:D,MATCH($C117,'Policy Characteristics'!$C:$C,0)))</f>
        <v>Vehicle Subsidy</v>
      </c>
      <c r="K117" s="254" t="str">
        <f>IF(ISBLANK(INDEX('Policy Characteristics'!E:E,MATCH($C117,'Policy Characteristics'!$C:$C,0))),"",INDEX('Policy Characteristics'!E:E,MATCH($C117,'Policy Characteristics'!$C:$C,0)))</f>
        <v>trans frgt subsidy</v>
      </c>
      <c r="L117" s="261">
        <f>IF(ISBLANK(INDEX('Policy Characteristics'!F:F,MATCH($C117,'Policy Characteristics'!$C:$C,0))),"",INDEX('Policy Characteristics'!F:F,MATCH($C117,'Policy Characteristics'!$C:$C,0)))</f>
        <v>0</v>
      </c>
      <c r="M117" s="261">
        <f>IF(ISBLANK(INDEX('Policy Characteristics'!G:G,MATCH($C117,'Policy Characteristics'!$C:$C,0))),"",INDEX('Policy Characteristics'!G:G,MATCH($C117,'Policy Characteristics'!$C:$C,0)))</f>
        <v>50000</v>
      </c>
      <c r="N117" s="261">
        <f>IF(ISBLANK(INDEX('Policy Characteristics'!H:H,MATCH($C117,'Policy Characteristics'!$C:$C,0))),"",INDEX('Policy Characteristics'!H:H,MATCH($C117,'Policy Characteristics'!$C:$C,0)))</f>
        <v>100</v>
      </c>
      <c r="O117" s="254" t="str">
        <f>IF(ISBLANK(INDEX('Policy Characteristics'!I:I,MATCH($C117,'Policy Characteristics'!$C:$C,0))),"",INDEX('Policy Characteristics'!I:I,MATCH($C117,'Policy Characteristics'!$C:$C,0)))</f>
        <v>$ / vehicle</v>
      </c>
      <c r="P117" s="254" t="str">
        <f>IF(ISBLANK(INDEX('Policy Characteristics'!J:J,MATCH($C117,'Policy Characteristics'!$C:$C,0))),"",INDEX('Policy Characteristics'!J:J,MATCH($C117,'Policy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7" s="254" t="str">
        <f>IF(ISBLANK(INDEX('Policy Characteristics'!K:K,MATCH($C117,'Policy Characteristics'!$C:$C,0))),"",INDEX('Policy Characteristics'!K:K,MATCH($C117,'Policy Characteristics'!$C:$C,0)))</f>
        <v>transportation-sector-main.html#ev-subsidy</v>
      </c>
      <c r="R117" s="254" t="str">
        <f>IF(ISBLANK(INDEX('Policy Characteristics'!L:L,MATCH($C117,'Policy Characteristics'!$C:$C,0))),"",INDEX('Policy Characteristics'!L:L,MATCH($C117,'Policy Characteristics'!$C:$C,0)))</f>
        <v>ev-subsidy.html</v>
      </c>
    </row>
    <row r="118" spans="1:18" x14ac:dyDescent="0.3">
      <c r="A118" s="254" t="str">
        <f>IF(ISBLANK(INDEX('Policy Characteristics'!A:A,MATCH($C118,'Policy Characteristics'!$C:$C,0))),"",INDEX('Policy Characteristics'!A:A,MATCH($C118,'Policy Characteristics'!$C:$C,0)))</f>
        <v>Transportation</v>
      </c>
      <c r="B118" s="262" t="str">
        <f>IF(ISBLANK(INDEX('Policy Characteristics'!B:B,MATCH($C118,'Policy Characteristics'!$C:$C,0))),"",INDEX('Policy Characteristics'!B:B,MATCH($C118,'Policy Characteristics'!$C:$C,0)))</f>
        <v>Freight Vehicle Subsidy</v>
      </c>
      <c r="C118" s="254" t="str">
        <f t="shared" si="4"/>
        <v>Additional Freight Vehicle Subsidy</v>
      </c>
      <c r="D118" s="45" t="s">
        <v>38</v>
      </c>
      <c r="E118" s="2" t="s">
        <v>2508</v>
      </c>
      <c r="F118" s="2" t="s">
        <v>3453</v>
      </c>
      <c r="G118" s="2" t="s">
        <v>3450</v>
      </c>
      <c r="H118" s="43">
        <v>1699</v>
      </c>
      <c r="I118" s="324" t="s">
        <v>43</v>
      </c>
      <c r="J118" s="255" t="str">
        <f>IF(ISBLANK(INDEX('Policy Characteristics'!D:D,MATCH($C118,'Policy Characteristics'!$C:$C,0))),"",INDEX('Policy Characteristics'!D:D,MATCH($C118,'Policy Characteristics'!$C:$C,0)))</f>
        <v>Vehicle Subsidy</v>
      </c>
      <c r="K118" s="254" t="str">
        <f>IF(ISBLANK(INDEX('Policy Characteristics'!E:E,MATCH($C118,'Policy Characteristics'!$C:$C,0))),"",INDEX('Policy Characteristics'!E:E,MATCH($C118,'Policy Characteristics'!$C:$C,0)))</f>
        <v>trans frgt subsidy</v>
      </c>
      <c r="L118" s="261">
        <f>IF(ISBLANK(INDEX('Policy Characteristics'!F:F,MATCH($C118,'Policy Characteristics'!$C:$C,0))),"",INDEX('Policy Characteristics'!F:F,MATCH($C118,'Policy Characteristics'!$C:$C,0)))</f>
        <v>0</v>
      </c>
      <c r="M118" s="261">
        <f>IF(ISBLANK(INDEX('Policy Characteristics'!G:G,MATCH($C118,'Policy Characteristics'!$C:$C,0))),"",INDEX('Policy Characteristics'!G:G,MATCH($C118,'Policy Characteristics'!$C:$C,0)))</f>
        <v>50000</v>
      </c>
      <c r="N118" s="261">
        <f>IF(ISBLANK(INDEX('Policy Characteristics'!H:H,MATCH($C118,'Policy Characteristics'!$C:$C,0))),"",INDEX('Policy Characteristics'!H:H,MATCH($C118,'Policy Characteristics'!$C:$C,0)))</f>
        <v>100</v>
      </c>
      <c r="O118" s="254" t="str">
        <f>IF(ISBLANK(INDEX('Policy Characteristics'!I:I,MATCH($C118,'Policy Characteristics'!$C:$C,0))),"",INDEX('Policy Characteristics'!I:I,MATCH($C118,'Policy Characteristics'!$C:$C,0)))</f>
        <v>$ / vehicle</v>
      </c>
      <c r="P118" s="254" t="str">
        <f>IF(ISBLANK(INDEX('Policy Characteristics'!J:J,MATCH($C118,'Policy Characteristics'!$C:$C,0))),"",INDEX('Policy Characteristics'!J:J,MATCH($C118,'Policy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8" s="254" t="str">
        <f>IF(ISBLANK(INDEX('Policy Characteristics'!K:K,MATCH($C118,'Policy Characteristics'!$C:$C,0))),"",INDEX('Policy Characteristics'!K:K,MATCH($C118,'Policy Characteristics'!$C:$C,0)))</f>
        <v>transportation-sector-main.html#ev-subsidy</v>
      </c>
      <c r="R118" s="254" t="str">
        <f>IF(ISBLANK(INDEX('Policy Characteristics'!L:L,MATCH($C118,'Policy Characteristics'!$C:$C,0))),"",INDEX('Policy Characteristics'!L:L,MATCH($C118,'Policy Characteristics'!$C:$C,0)))</f>
        <v>ev-subsidy.html</v>
      </c>
    </row>
    <row r="119" spans="1:18" x14ac:dyDescent="0.3">
      <c r="A119" s="254" t="str">
        <f>IF(ISBLANK(INDEX('Policy Characteristics'!A:A,MATCH($C119,'Policy Characteristics'!$C:$C,0))),"",INDEX('Policy Characteristics'!A:A,MATCH($C119,'Policy Characteristics'!$C:$C,0)))</f>
        <v>Transportation</v>
      </c>
      <c r="B119" s="262" t="str">
        <f>IF(ISBLANK(INDEX('Policy Characteristics'!B:B,MATCH($C119,'Policy Characteristics'!$C:$C,0))),"",INDEX('Policy Characteristics'!B:B,MATCH($C119,'Policy Characteristics'!$C:$C,0)))</f>
        <v>Freight Vehicle Subsidy</v>
      </c>
      <c r="C119" s="254" t="str">
        <f t="shared" si="4"/>
        <v>Additional Freight Vehicle Subsidy</v>
      </c>
      <c r="D119" s="2" t="s">
        <v>39</v>
      </c>
      <c r="E119" s="45" t="s">
        <v>2245</v>
      </c>
      <c r="F119" s="2" t="s">
        <v>3290</v>
      </c>
      <c r="G119" s="45" t="s">
        <v>3445</v>
      </c>
      <c r="H119" s="43">
        <v>1700</v>
      </c>
      <c r="I119" s="325" t="s">
        <v>44</v>
      </c>
      <c r="J119" s="255" t="str">
        <f>IF(ISBLANK(INDEX('Policy Characteristics'!D:D,MATCH($C119,'Policy Characteristics'!$C:$C,0))),"",INDEX('Policy Characteristics'!D:D,MATCH($C119,'Policy Characteristics'!$C:$C,0)))</f>
        <v>Vehicle Subsidy</v>
      </c>
      <c r="K119" s="254" t="str">
        <f>IF(ISBLANK(INDEX('Policy Characteristics'!E:E,MATCH($C119,'Policy Characteristics'!$C:$C,0))),"",INDEX('Policy Characteristics'!E:E,MATCH($C119,'Policy Characteristics'!$C:$C,0)))</f>
        <v>trans frgt subsidy</v>
      </c>
      <c r="L119" s="261">
        <f>IF(ISBLANK(INDEX('Policy Characteristics'!F:F,MATCH($C119,'Policy Characteristics'!$C:$C,0))),"",INDEX('Policy Characteristics'!F:F,MATCH($C119,'Policy Characteristics'!$C:$C,0)))</f>
        <v>0</v>
      </c>
      <c r="M119" s="261">
        <f>IF(ISBLANK(INDEX('Policy Characteristics'!G:G,MATCH($C119,'Policy Characteristics'!$C:$C,0))),"",INDEX('Policy Characteristics'!G:G,MATCH($C119,'Policy Characteristics'!$C:$C,0)))</f>
        <v>50000</v>
      </c>
      <c r="N119" s="261">
        <f>IF(ISBLANK(INDEX('Policy Characteristics'!H:H,MATCH($C119,'Policy Characteristics'!$C:$C,0))),"",INDEX('Policy Characteristics'!H:H,MATCH($C119,'Policy Characteristics'!$C:$C,0)))</f>
        <v>100</v>
      </c>
      <c r="O119" s="254" t="str">
        <f>IF(ISBLANK(INDEX('Policy Characteristics'!I:I,MATCH($C119,'Policy Characteristics'!$C:$C,0))),"",INDEX('Policy Characteristics'!I:I,MATCH($C119,'Policy Characteristics'!$C:$C,0)))</f>
        <v>$ / vehicle</v>
      </c>
      <c r="P119" s="254" t="str">
        <f>IF(ISBLANK(INDEX('Policy Characteristics'!J:J,MATCH($C119,'Policy Characteristics'!$C:$C,0))),"",INDEX('Policy Characteristics'!J:J,MATCH($C119,'Policy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19" s="254" t="str">
        <f>IF(ISBLANK(INDEX('Policy Characteristics'!K:K,MATCH($C119,'Policy Characteristics'!$C:$C,0))),"",INDEX('Policy Characteristics'!K:K,MATCH($C119,'Policy Characteristics'!$C:$C,0)))</f>
        <v>transportation-sector-main.html#ev-subsidy</v>
      </c>
      <c r="R119" s="254" t="str">
        <f>IF(ISBLANK(INDEX('Policy Characteristics'!L:L,MATCH($C119,'Policy Characteristics'!$C:$C,0))),"",INDEX('Policy Characteristics'!L:L,MATCH($C119,'Policy Characteristics'!$C:$C,0)))</f>
        <v>ev-subsidy.html</v>
      </c>
    </row>
    <row r="120" spans="1:18" x14ac:dyDescent="0.3">
      <c r="A120" s="254" t="str">
        <f>IF(ISBLANK(INDEX('Policy Characteristics'!A:A,MATCH($C120,'Policy Characteristics'!$C:$C,0))),"",INDEX('Policy Characteristics'!A:A,MATCH($C120,'Policy Characteristics'!$C:$C,0)))</f>
        <v>Transportation</v>
      </c>
      <c r="B120" s="262" t="str">
        <f>IF(ISBLANK(INDEX('Policy Characteristics'!B:B,MATCH($C120,'Policy Characteristics'!$C:$C,0))),"",INDEX('Policy Characteristics'!B:B,MATCH($C120,'Policy Characteristics'!$C:$C,0)))</f>
        <v>Freight Vehicle Subsidy</v>
      </c>
      <c r="C120" s="254" t="str">
        <f t="shared" si="4"/>
        <v>Additional Freight Vehicle Subsidy</v>
      </c>
      <c r="D120" s="2" t="s">
        <v>39</v>
      </c>
      <c r="E120" s="2" t="s">
        <v>2246</v>
      </c>
      <c r="F120" s="2" t="s">
        <v>3290</v>
      </c>
      <c r="G120" s="2" t="s">
        <v>3446</v>
      </c>
      <c r="H120" s="43">
        <v>1701</v>
      </c>
      <c r="I120" s="325" t="s">
        <v>44</v>
      </c>
      <c r="J120" s="255" t="str">
        <f>IF(ISBLANK(INDEX('Policy Characteristics'!D:D,MATCH($C120,'Policy Characteristics'!$C:$C,0))),"",INDEX('Policy Characteristics'!D:D,MATCH($C120,'Policy Characteristics'!$C:$C,0)))</f>
        <v>Vehicle Subsidy</v>
      </c>
      <c r="K120" s="254" t="str">
        <f>IF(ISBLANK(INDEX('Policy Characteristics'!E:E,MATCH($C120,'Policy Characteristics'!$C:$C,0))),"",INDEX('Policy Characteristics'!E:E,MATCH($C120,'Policy Characteristics'!$C:$C,0)))</f>
        <v>trans frgt subsidy</v>
      </c>
      <c r="L120" s="261">
        <f>IF(ISBLANK(INDEX('Policy Characteristics'!F:F,MATCH($C120,'Policy Characteristics'!$C:$C,0))),"",INDEX('Policy Characteristics'!F:F,MATCH($C120,'Policy Characteristics'!$C:$C,0)))</f>
        <v>0</v>
      </c>
      <c r="M120" s="261">
        <f>IF(ISBLANK(INDEX('Policy Characteristics'!G:G,MATCH($C120,'Policy Characteristics'!$C:$C,0))),"",INDEX('Policy Characteristics'!G:G,MATCH($C120,'Policy Characteristics'!$C:$C,0)))</f>
        <v>50000</v>
      </c>
      <c r="N120" s="261">
        <f>IF(ISBLANK(INDEX('Policy Characteristics'!H:H,MATCH($C120,'Policy Characteristics'!$C:$C,0))),"",INDEX('Policy Characteristics'!H:H,MATCH($C120,'Policy Characteristics'!$C:$C,0)))</f>
        <v>100</v>
      </c>
      <c r="O120" s="254" t="str">
        <f>IF(ISBLANK(INDEX('Policy Characteristics'!I:I,MATCH($C120,'Policy Characteristics'!$C:$C,0))),"",INDEX('Policy Characteristics'!I:I,MATCH($C120,'Policy Characteristics'!$C:$C,0)))</f>
        <v>$ / vehicle</v>
      </c>
      <c r="P120" s="254" t="str">
        <f>IF(ISBLANK(INDEX('Policy Characteristics'!J:J,MATCH($C120,'Policy Characteristics'!$C:$C,0))),"",INDEX('Policy Characteristics'!J:J,MATCH($C120,'Policy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0" s="254" t="str">
        <f>IF(ISBLANK(INDEX('Policy Characteristics'!K:K,MATCH($C120,'Policy Characteristics'!$C:$C,0))),"",INDEX('Policy Characteristics'!K:K,MATCH($C120,'Policy Characteristics'!$C:$C,0)))</f>
        <v>transportation-sector-main.html#ev-subsidy</v>
      </c>
      <c r="R120" s="254" t="str">
        <f>IF(ISBLANK(INDEX('Policy Characteristics'!L:L,MATCH($C120,'Policy Characteristics'!$C:$C,0))),"",INDEX('Policy Characteristics'!L:L,MATCH($C120,'Policy Characteristics'!$C:$C,0)))</f>
        <v>ev-subsidy.html</v>
      </c>
    </row>
    <row r="121" spans="1:18" x14ac:dyDescent="0.3">
      <c r="A121" s="254" t="str">
        <f>IF(ISBLANK(INDEX('Policy Characteristics'!A:A,MATCH($C121,'Policy Characteristics'!$C:$C,0))),"",INDEX('Policy Characteristics'!A:A,MATCH($C121,'Policy Characteristics'!$C:$C,0)))</f>
        <v>Transportation</v>
      </c>
      <c r="B121" s="262" t="str">
        <f>IF(ISBLANK(INDEX('Policy Characteristics'!B:B,MATCH($C121,'Policy Characteristics'!$C:$C,0))),"",INDEX('Policy Characteristics'!B:B,MATCH($C121,'Policy Characteristics'!$C:$C,0)))</f>
        <v>Freight Vehicle Subsidy</v>
      </c>
      <c r="C121" s="254" t="str">
        <f t="shared" si="4"/>
        <v>Additional Freight Vehicle Subsidy</v>
      </c>
      <c r="D121" s="2" t="s">
        <v>39</v>
      </c>
      <c r="E121" s="2" t="s">
        <v>2247</v>
      </c>
      <c r="F121" s="2" t="s">
        <v>3290</v>
      </c>
      <c r="G121" s="2" t="s">
        <v>3447</v>
      </c>
      <c r="H121" s="43">
        <v>1702</v>
      </c>
      <c r="I121" s="325" t="s">
        <v>44</v>
      </c>
      <c r="J121" s="255" t="str">
        <f>IF(ISBLANK(INDEX('Policy Characteristics'!D:D,MATCH($C121,'Policy Characteristics'!$C:$C,0))),"",INDEX('Policy Characteristics'!D:D,MATCH($C121,'Policy Characteristics'!$C:$C,0)))</f>
        <v>Vehicle Subsidy</v>
      </c>
      <c r="K121" s="254" t="str">
        <f>IF(ISBLANK(INDEX('Policy Characteristics'!E:E,MATCH($C121,'Policy Characteristics'!$C:$C,0))),"",INDEX('Policy Characteristics'!E:E,MATCH($C121,'Policy Characteristics'!$C:$C,0)))</f>
        <v>trans frgt subsidy</v>
      </c>
      <c r="L121" s="261">
        <f>IF(ISBLANK(INDEX('Policy Characteristics'!F:F,MATCH($C121,'Policy Characteristics'!$C:$C,0))),"",INDEX('Policy Characteristics'!F:F,MATCH($C121,'Policy Characteristics'!$C:$C,0)))</f>
        <v>0</v>
      </c>
      <c r="M121" s="261">
        <f>IF(ISBLANK(INDEX('Policy Characteristics'!G:G,MATCH($C121,'Policy Characteristics'!$C:$C,0))),"",INDEX('Policy Characteristics'!G:G,MATCH($C121,'Policy Characteristics'!$C:$C,0)))</f>
        <v>50000</v>
      </c>
      <c r="N121" s="261">
        <f>IF(ISBLANK(INDEX('Policy Characteristics'!H:H,MATCH($C121,'Policy Characteristics'!$C:$C,0))),"",INDEX('Policy Characteristics'!H:H,MATCH($C121,'Policy Characteristics'!$C:$C,0)))</f>
        <v>100</v>
      </c>
      <c r="O121" s="254" t="str">
        <f>IF(ISBLANK(INDEX('Policy Characteristics'!I:I,MATCH($C121,'Policy Characteristics'!$C:$C,0))),"",INDEX('Policy Characteristics'!I:I,MATCH($C121,'Policy Characteristics'!$C:$C,0)))</f>
        <v>$ / vehicle</v>
      </c>
      <c r="P121" s="254" t="str">
        <f>IF(ISBLANK(INDEX('Policy Characteristics'!J:J,MATCH($C121,'Policy Characteristics'!$C:$C,0))),"",INDEX('Policy Characteristics'!J:J,MATCH($C121,'Policy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1" s="254" t="str">
        <f>IF(ISBLANK(INDEX('Policy Characteristics'!K:K,MATCH($C121,'Policy Characteristics'!$C:$C,0))),"",INDEX('Policy Characteristics'!K:K,MATCH($C121,'Policy Characteristics'!$C:$C,0)))</f>
        <v>transportation-sector-main.html#ev-subsidy</v>
      </c>
      <c r="R121" s="254" t="str">
        <f>IF(ISBLANK(INDEX('Policy Characteristics'!L:L,MATCH($C121,'Policy Characteristics'!$C:$C,0))),"",INDEX('Policy Characteristics'!L:L,MATCH($C121,'Policy Characteristics'!$C:$C,0)))</f>
        <v>ev-subsidy.html</v>
      </c>
    </row>
    <row r="122" spans="1:18" x14ac:dyDescent="0.3">
      <c r="A122" s="254" t="str">
        <f>IF(ISBLANK(INDEX('Policy Characteristics'!A:A,MATCH($C122,'Policy Characteristics'!$C:$C,0))),"",INDEX('Policy Characteristics'!A:A,MATCH($C122,'Policy Characteristics'!$C:$C,0)))</f>
        <v>Transportation</v>
      </c>
      <c r="B122" s="262" t="str">
        <f>IF(ISBLANK(INDEX('Policy Characteristics'!B:B,MATCH($C122,'Policy Characteristics'!$C:$C,0))),"",INDEX('Policy Characteristics'!B:B,MATCH($C122,'Policy Characteristics'!$C:$C,0)))</f>
        <v>Freight Vehicle Subsidy</v>
      </c>
      <c r="C122" s="254" t="str">
        <f t="shared" si="4"/>
        <v>Additional Freight Vehicle Subsidy</v>
      </c>
      <c r="D122" s="2" t="s">
        <v>39</v>
      </c>
      <c r="E122" s="2" t="s">
        <v>2248</v>
      </c>
      <c r="F122" s="2" t="s">
        <v>3290</v>
      </c>
      <c r="G122" s="2" t="s">
        <v>3448</v>
      </c>
      <c r="H122" s="43">
        <v>1703</v>
      </c>
      <c r="I122" s="325" t="s">
        <v>44</v>
      </c>
      <c r="J122" s="255" t="str">
        <f>IF(ISBLANK(INDEX('Policy Characteristics'!D:D,MATCH($C122,'Policy Characteristics'!$C:$C,0))),"",INDEX('Policy Characteristics'!D:D,MATCH($C122,'Policy Characteristics'!$C:$C,0)))</f>
        <v>Vehicle Subsidy</v>
      </c>
      <c r="K122" s="254" t="str">
        <f>IF(ISBLANK(INDEX('Policy Characteristics'!E:E,MATCH($C122,'Policy Characteristics'!$C:$C,0))),"",INDEX('Policy Characteristics'!E:E,MATCH($C122,'Policy Characteristics'!$C:$C,0)))</f>
        <v>trans frgt subsidy</v>
      </c>
      <c r="L122" s="261">
        <f>IF(ISBLANK(INDEX('Policy Characteristics'!F:F,MATCH($C122,'Policy Characteristics'!$C:$C,0))),"",INDEX('Policy Characteristics'!F:F,MATCH($C122,'Policy Characteristics'!$C:$C,0)))</f>
        <v>0</v>
      </c>
      <c r="M122" s="261">
        <f>IF(ISBLANK(INDEX('Policy Characteristics'!G:G,MATCH($C122,'Policy Characteristics'!$C:$C,0))),"",INDEX('Policy Characteristics'!G:G,MATCH($C122,'Policy Characteristics'!$C:$C,0)))</f>
        <v>50000</v>
      </c>
      <c r="N122" s="261">
        <f>IF(ISBLANK(INDEX('Policy Characteristics'!H:H,MATCH($C122,'Policy Characteristics'!$C:$C,0))),"",INDEX('Policy Characteristics'!H:H,MATCH($C122,'Policy Characteristics'!$C:$C,0)))</f>
        <v>100</v>
      </c>
      <c r="O122" s="254" t="str">
        <f>IF(ISBLANK(INDEX('Policy Characteristics'!I:I,MATCH($C122,'Policy Characteristics'!$C:$C,0))),"",INDEX('Policy Characteristics'!I:I,MATCH($C122,'Policy Characteristics'!$C:$C,0)))</f>
        <v>$ / vehicle</v>
      </c>
      <c r="P122" s="254" t="str">
        <f>IF(ISBLANK(INDEX('Policy Characteristics'!J:J,MATCH($C122,'Policy Characteristics'!$C:$C,0))),"",INDEX('Policy Characteristics'!J:J,MATCH($C122,'Policy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2" s="254" t="str">
        <f>IF(ISBLANK(INDEX('Policy Characteristics'!K:K,MATCH($C122,'Policy Characteristics'!$C:$C,0))),"",INDEX('Policy Characteristics'!K:K,MATCH($C122,'Policy Characteristics'!$C:$C,0)))</f>
        <v>transportation-sector-main.html#ev-subsidy</v>
      </c>
      <c r="R122" s="254" t="str">
        <f>IF(ISBLANK(INDEX('Policy Characteristics'!L:L,MATCH($C122,'Policy Characteristics'!$C:$C,0))),"",INDEX('Policy Characteristics'!L:L,MATCH($C122,'Policy Characteristics'!$C:$C,0)))</f>
        <v>ev-subsidy.html</v>
      </c>
    </row>
    <row r="123" spans="1:18" x14ac:dyDescent="0.3">
      <c r="A123" s="254" t="str">
        <f>IF(ISBLANK(INDEX('Policy Characteristics'!A:A,MATCH($C123,'Policy Characteristics'!$C:$C,0))),"",INDEX('Policy Characteristics'!A:A,MATCH($C123,'Policy Characteristics'!$C:$C,0)))</f>
        <v>Transportation</v>
      </c>
      <c r="B123" s="262" t="str">
        <f>IF(ISBLANK(INDEX('Policy Characteristics'!B:B,MATCH($C123,'Policy Characteristics'!$C:$C,0))),"",INDEX('Policy Characteristics'!B:B,MATCH($C123,'Policy Characteristics'!$C:$C,0)))</f>
        <v>Freight Vehicle Subsidy</v>
      </c>
      <c r="C123" s="254" t="str">
        <f t="shared" si="4"/>
        <v>Additional Freight Vehicle Subsidy</v>
      </c>
      <c r="D123" s="2" t="s">
        <v>39</v>
      </c>
      <c r="E123" s="2" t="s">
        <v>2249</v>
      </c>
      <c r="F123" s="2" t="s">
        <v>3290</v>
      </c>
      <c r="G123" s="2" t="s">
        <v>3449</v>
      </c>
      <c r="H123" s="43">
        <v>1704</v>
      </c>
      <c r="I123" s="325" t="s">
        <v>44</v>
      </c>
      <c r="J123" s="255" t="str">
        <f>IF(ISBLANK(INDEX('Policy Characteristics'!D:D,MATCH($C123,'Policy Characteristics'!$C:$C,0))),"",INDEX('Policy Characteristics'!D:D,MATCH($C123,'Policy Characteristics'!$C:$C,0)))</f>
        <v>Vehicle Subsidy</v>
      </c>
      <c r="K123" s="254" t="str">
        <f>IF(ISBLANK(INDEX('Policy Characteristics'!E:E,MATCH($C123,'Policy Characteristics'!$C:$C,0))),"",INDEX('Policy Characteristics'!E:E,MATCH($C123,'Policy Characteristics'!$C:$C,0)))</f>
        <v>trans frgt subsidy</v>
      </c>
      <c r="L123" s="261">
        <f>IF(ISBLANK(INDEX('Policy Characteristics'!F:F,MATCH($C123,'Policy Characteristics'!$C:$C,0))),"",INDEX('Policy Characteristics'!F:F,MATCH($C123,'Policy Characteristics'!$C:$C,0)))</f>
        <v>0</v>
      </c>
      <c r="M123" s="261">
        <f>IF(ISBLANK(INDEX('Policy Characteristics'!G:G,MATCH($C123,'Policy Characteristics'!$C:$C,0))),"",INDEX('Policy Characteristics'!G:G,MATCH($C123,'Policy Characteristics'!$C:$C,0)))</f>
        <v>50000</v>
      </c>
      <c r="N123" s="261">
        <f>IF(ISBLANK(INDEX('Policy Characteristics'!H:H,MATCH($C123,'Policy Characteristics'!$C:$C,0))),"",INDEX('Policy Characteristics'!H:H,MATCH($C123,'Policy Characteristics'!$C:$C,0)))</f>
        <v>100</v>
      </c>
      <c r="O123" s="254" t="str">
        <f>IF(ISBLANK(INDEX('Policy Characteristics'!I:I,MATCH($C123,'Policy Characteristics'!$C:$C,0))),"",INDEX('Policy Characteristics'!I:I,MATCH($C123,'Policy Characteristics'!$C:$C,0)))</f>
        <v>$ / vehicle</v>
      </c>
      <c r="P123" s="254" t="str">
        <f>IF(ISBLANK(INDEX('Policy Characteristics'!J:J,MATCH($C123,'Policy Characteristics'!$C:$C,0))),"",INDEX('Policy Characteristics'!J:J,MATCH($C123,'Policy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3" s="254" t="str">
        <f>IF(ISBLANK(INDEX('Policy Characteristics'!K:K,MATCH($C123,'Policy Characteristics'!$C:$C,0))),"",INDEX('Policy Characteristics'!K:K,MATCH($C123,'Policy Characteristics'!$C:$C,0)))</f>
        <v>transportation-sector-main.html#ev-subsidy</v>
      </c>
      <c r="R123" s="254" t="str">
        <f>IF(ISBLANK(INDEX('Policy Characteristics'!L:L,MATCH($C123,'Policy Characteristics'!$C:$C,0))),"",INDEX('Policy Characteristics'!L:L,MATCH($C123,'Policy Characteristics'!$C:$C,0)))</f>
        <v>ev-subsidy.html</v>
      </c>
    </row>
    <row r="124" spans="1:18" x14ac:dyDescent="0.3">
      <c r="A124" s="254" t="str">
        <f>IF(ISBLANK(INDEX('Policy Characteristics'!A:A,MATCH($C124,'Policy Characteristics'!$C:$C,0))),"",INDEX('Policy Characteristics'!A:A,MATCH($C124,'Policy Characteristics'!$C:$C,0)))</f>
        <v>Transportation</v>
      </c>
      <c r="B124" s="262" t="str">
        <f>IF(ISBLANK(INDEX('Policy Characteristics'!B:B,MATCH($C124,'Policy Characteristics'!$C:$C,0))),"",INDEX('Policy Characteristics'!B:B,MATCH($C124,'Policy Characteristics'!$C:$C,0)))</f>
        <v>Freight Vehicle Subsidy</v>
      </c>
      <c r="C124" s="254" t="str">
        <f t="shared" si="4"/>
        <v>Additional Freight Vehicle Subsidy</v>
      </c>
      <c r="D124" s="2" t="s">
        <v>39</v>
      </c>
      <c r="E124" s="2" t="s">
        <v>2509</v>
      </c>
      <c r="F124" s="2" t="s">
        <v>3290</v>
      </c>
      <c r="G124" s="2" t="s">
        <v>2509</v>
      </c>
      <c r="H124" s="43">
        <v>1705</v>
      </c>
      <c r="I124" s="325" t="s">
        <v>44</v>
      </c>
      <c r="J124" s="255" t="str">
        <f>IF(ISBLANK(INDEX('Policy Characteristics'!D:D,MATCH($C124,'Policy Characteristics'!$C:$C,0))),"",INDEX('Policy Characteristics'!D:D,MATCH($C124,'Policy Characteristics'!$C:$C,0)))</f>
        <v>Vehicle Subsidy</v>
      </c>
      <c r="K124" s="254" t="str">
        <f>IF(ISBLANK(INDEX('Policy Characteristics'!E:E,MATCH($C124,'Policy Characteristics'!$C:$C,0))),"",INDEX('Policy Characteristics'!E:E,MATCH($C124,'Policy Characteristics'!$C:$C,0)))</f>
        <v>trans frgt subsidy</v>
      </c>
      <c r="L124" s="261">
        <f>IF(ISBLANK(INDEX('Policy Characteristics'!F:F,MATCH($C124,'Policy Characteristics'!$C:$C,0))),"",INDEX('Policy Characteristics'!F:F,MATCH($C124,'Policy Characteristics'!$C:$C,0)))</f>
        <v>0</v>
      </c>
      <c r="M124" s="261">
        <f>IF(ISBLANK(INDEX('Policy Characteristics'!G:G,MATCH($C124,'Policy Characteristics'!$C:$C,0))),"",INDEX('Policy Characteristics'!G:G,MATCH($C124,'Policy Characteristics'!$C:$C,0)))</f>
        <v>50000</v>
      </c>
      <c r="N124" s="261">
        <f>IF(ISBLANK(INDEX('Policy Characteristics'!H:H,MATCH($C124,'Policy Characteristics'!$C:$C,0))),"",INDEX('Policy Characteristics'!H:H,MATCH($C124,'Policy Characteristics'!$C:$C,0)))</f>
        <v>100</v>
      </c>
      <c r="O124" s="254" t="str">
        <f>IF(ISBLANK(INDEX('Policy Characteristics'!I:I,MATCH($C124,'Policy Characteristics'!$C:$C,0))),"",INDEX('Policy Characteristics'!I:I,MATCH($C124,'Policy Characteristics'!$C:$C,0)))</f>
        <v>$ / vehicle</v>
      </c>
      <c r="P124" s="254" t="str">
        <f>IF(ISBLANK(INDEX('Policy Characteristics'!J:J,MATCH($C124,'Policy Characteristics'!$C:$C,0))),"",INDEX('Policy Characteristics'!J:J,MATCH($C124,'Policy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4" s="254" t="str">
        <f>IF(ISBLANK(INDEX('Policy Characteristics'!K:K,MATCH($C124,'Policy Characteristics'!$C:$C,0))),"",INDEX('Policy Characteristics'!K:K,MATCH($C124,'Policy Characteristics'!$C:$C,0)))</f>
        <v>transportation-sector-main.html#ev-subsidy</v>
      </c>
      <c r="R124" s="254" t="str">
        <f>IF(ISBLANK(INDEX('Policy Characteristics'!L:L,MATCH($C124,'Policy Characteristics'!$C:$C,0))),"",INDEX('Policy Characteristics'!L:L,MATCH($C124,'Policy Characteristics'!$C:$C,0)))</f>
        <v>ev-subsidy.html</v>
      </c>
    </row>
    <row r="125" spans="1:18" x14ac:dyDescent="0.3">
      <c r="A125" s="254" t="str">
        <f>IF(ISBLANK(INDEX('Policy Characteristics'!A:A,MATCH($C125,'Policy Characteristics'!$C:$C,0))),"",INDEX('Policy Characteristics'!A:A,MATCH($C125,'Policy Characteristics'!$C:$C,0)))</f>
        <v>Transportation</v>
      </c>
      <c r="B125" s="262" t="str">
        <f>IF(ISBLANK(INDEX('Policy Characteristics'!B:B,MATCH($C125,'Policy Characteristics'!$C:$C,0))),"",INDEX('Policy Characteristics'!B:B,MATCH($C125,'Policy Characteristics'!$C:$C,0)))</f>
        <v>Freight Vehicle Subsidy</v>
      </c>
      <c r="C125" s="254" t="str">
        <f t="shared" si="4"/>
        <v>Additional Freight Vehicle Subsidy</v>
      </c>
      <c r="D125" s="2" t="s">
        <v>39</v>
      </c>
      <c r="E125" s="2" t="s">
        <v>2508</v>
      </c>
      <c r="F125" s="2" t="s">
        <v>3290</v>
      </c>
      <c r="G125" s="2" t="s">
        <v>3450</v>
      </c>
      <c r="H125" s="43">
        <v>1706</v>
      </c>
      <c r="I125" s="325" t="s">
        <v>44</v>
      </c>
      <c r="J125" s="255" t="str">
        <f>IF(ISBLANK(INDEX('Policy Characteristics'!D:D,MATCH($C125,'Policy Characteristics'!$C:$C,0))),"",INDEX('Policy Characteristics'!D:D,MATCH($C125,'Policy Characteristics'!$C:$C,0)))</f>
        <v>Vehicle Subsidy</v>
      </c>
      <c r="K125" s="254" t="str">
        <f>IF(ISBLANK(INDEX('Policy Characteristics'!E:E,MATCH($C125,'Policy Characteristics'!$C:$C,0))),"",INDEX('Policy Characteristics'!E:E,MATCH($C125,'Policy Characteristics'!$C:$C,0)))</f>
        <v>trans frgt subsidy</v>
      </c>
      <c r="L125" s="261">
        <f>IF(ISBLANK(INDEX('Policy Characteristics'!F:F,MATCH($C125,'Policy Characteristics'!$C:$C,0))),"",INDEX('Policy Characteristics'!F:F,MATCH($C125,'Policy Characteristics'!$C:$C,0)))</f>
        <v>0</v>
      </c>
      <c r="M125" s="261">
        <f>IF(ISBLANK(INDEX('Policy Characteristics'!G:G,MATCH($C125,'Policy Characteristics'!$C:$C,0))),"",INDEX('Policy Characteristics'!G:G,MATCH($C125,'Policy Characteristics'!$C:$C,0)))</f>
        <v>50000</v>
      </c>
      <c r="N125" s="261">
        <f>IF(ISBLANK(INDEX('Policy Characteristics'!H:H,MATCH($C125,'Policy Characteristics'!$C:$C,0))),"",INDEX('Policy Characteristics'!H:H,MATCH($C125,'Policy Characteristics'!$C:$C,0)))</f>
        <v>100</v>
      </c>
      <c r="O125" s="254" t="str">
        <f>IF(ISBLANK(INDEX('Policy Characteristics'!I:I,MATCH($C125,'Policy Characteristics'!$C:$C,0))),"",INDEX('Policy Characteristics'!I:I,MATCH($C125,'Policy Characteristics'!$C:$C,0)))</f>
        <v>$ / vehicle</v>
      </c>
      <c r="P125" s="254" t="str">
        <f>IF(ISBLANK(INDEX('Policy Characteristics'!J:J,MATCH($C125,'Policy Characteristics'!$C:$C,0))),"",INDEX('Policy Characteristics'!J:J,MATCH($C125,'Policy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5" s="254" t="str">
        <f>IF(ISBLANK(INDEX('Policy Characteristics'!K:K,MATCH($C125,'Policy Characteristics'!$C:$C,0))),"",INDEX('Policy Characteristics'!K:K,MATCH($C125,'Policy Characteristics'!$C:$C,0)))</f>
        <v>transportation-sector-main.html#ev-subsidy</v>
      </c>
      <c r="R125" s="254" t="str">
        <f>IF(ISBLANK(INDEX('Policy Characteristics'!L:L,MATCH($C125,'Policy Characteristics'!$C:$C,0))),"",INDEX('Policy Characteristics'!L:L,MATCH($C125,'Policy Characteristics'!$C:$C,0)))</f>
        <v>ev-subsidy.html</v>
      </c>
    </row>
    <row r="126" spans="1:18" x14ac:dyDescent="0.3">
      <c r="A126" s="254" t="str">
        <f>IF(ISBLANK(INDEX('Policy Characteristics'!A:A,MATCH($C126,'Policy Characteristics'!$C:$C,0))),"",INDEX('Policy Characteristics'!A:A,MATCH($C126,'Policy Characteristics'!$C:$C,0)))</f>
        <v>Transportation</v>
      </c>
      <c r="B126" s="262" t="str">
        <f>IF(ISBLANK(INDEX('Policy Characteristics'!B:B,MATCH($C126,'Policy Characteristics'!$C:$C,0))),"",INDEX('Policy Characteristics'!B:B,MATCH($C126,'Policy Characteristics'!$C:$C,0)))</f>
        <v>Freight Vehicle Subsidy</v>
      </c>
      <c r="C126" s="254" t="str">
        <f t="shared" si="4"/>
        <v>Additional Freight Vehicle Subsidy</v>
      </c>
      <c r="D126" s="45" t="s">
        <v>40</v>
      </c>
      <c r="E126" s="45" t="s">
        <v>2245</v>
      </c>
      <c r="F126" s="2" t="s">
        <v>86</v>
      </c>
      <c r="G126" s="45" t="s">
        <v>3445</v>
      </c>
      <c r="H126" s="43">
        <v>1707</v>
      </c>
      <c r="I126" s="325" t="s">
        <v>44</v>
      </c>
      <c r="J126" s="255" t="str">
        <f>IF(ISBLANK(INDEX('Policy Characteristics'!D:D,MATCH($C126,'Policy Characteristics'!$C:$C,0))),"",INDEX('Policy Characteristics'!D:D,MATCH($C126,'Policy Characteristics'!$C:$C,0)))</f>
        <v>Vehicle Subsidy</v>
      </c>
      <c r="K126" s="254" t="str">
        <f>IF(ISBLANK(INDEX('Policy Characteristics'!E:E,MATCH($C126,'Policy Characteristics'!$C:$C,0))),"",INDEX('Policy Characteristics'!E:E,MATCH($C126,'Policy Characteristics'!$C:$C,0)))</f>
        <v>trans frgt subsidy</v>
      </c>
      <c r="L126" s="261">
        <f>IF(ISBLANK(INDEX('Policy Characteristics'!F:F,MATCH($C126,'Policy Characteristics'!$C:$C,0))),"",INDEX('Policy Characteristics'!F:F,MATCH($C126,'Policy Characteristics'!$C:$C,0)))</f>
        <v>0</v>
      </c>
      <c r="M126" s="261">
        <f>IF(ISBLANK(INDEX('Policy Characteristics'!G:G,MATCH($C126,'Policy Characteristics'!$C:$C,0))),"",INDEX('Policy Characteristics'!G:G,MATCH($C126,'Policy Characteristics'!$C:$C,0)))</f>
        <v>50000</v>
      </c>
      <c r="N126" s="261">
        <f>IF(ISBLANK(INDEX('Policy Characteristics'!H:H,MATCH($C126,'Policy Characteristics'!$C:$C,0))),"",INDEX('Policy Characteristics'!H:H,MATCH($C126,'Policy Characteristics'!$C:$C,0)))</f>
        <v>100</v>
      </c>
      <c r="O126" s="254" t="str">
        <f>IF(ISBLANK(INDEX('Policy Characteristics'!I:I,MATCH($C126,'Policy Characteristics'!$C:$C,0))),"",INDEX('Policy Characteristics'!I:I,MATCH($C126,'Policy Characteristics'!$C:$C,0)))</f>
        <v>$ / vehicle</v>
      </c>
      <c r="P126" s="254" t="str">
        <f>IF(ISBLANK(INDEX('Policy Characteristics'!J:J,MATCH($C126,'Policy Characteristics'!$C:$C,0))),"",INDEX('Policy Characteristics'!J:J,MATCH($C126,'Policy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6" s="254" t="str">
        <f>IF(ISBLANK(INDEX('Policy Characteristics'!K:K,MATCH($C126,'Policy Characteristics'!$C:$C,0))),"",INDEX('Policy Characteristics'!K:K,MATCH($C126,'Policy Characteristics'!$C:$C,0)))</f>
        <v>transportation-sector-main.html#ev-subsidy</v>
      </c>
      <c r="R126" s="254" t="str">
        <f>IF(ISBLANK(INDEX('Policy Characteristics'!L:L,MATCH($C126,'Policy Characteristics'!$C:$C,0))),"",INDEX('Policy Characteristics'!L:L,MATCH($C126,'Policy Characteristics'!$C:$C,0)))</f>
        <v>ev-subsidy.html</v>
      </c>
    </row>
    <row r="127" spans="1:18" x14ac:dyDescent="0.3">
      <c r="A127" s="254" t="str">
        <f>IF(ISBLANK(INDEX('Policy Characteristics'!A:A,MATCH($C127,'Policy Characteristics'!$C:$C,0))),"",INDEX('Policy Characteristics'!A:A,MATCH($C127,'Policy Characteristics'!$C:$C,0)))</f>
        <v>Transportation</v>
      </c>
      <c r="B127" s="262" t="str">
        <f>IF(ISBLANK(INDEX('Policy Characteristics'!B:B,MATCH($C127,'Policy Characteristics'!$C:$C,0))),"",INDEX('Policy Characteristics'!B:B,MATCH($C127,'Policy Characteristics'!$C:$C,0)))</f>
        <v>Freight Vehicle Subsidy</v>
      </c>
      <c r="C127" s="254" t="str">
        <f t="shared" si="4"/>
        <v>Additional Freight Vehicle Subsidy</v>
      </c>
      <c r="D127" s="45" t="s">
        <v>40</v>
      </c>
      <c r="E127" s="2" t="s">
        <v>2246</v>
      </c>
      <c r="F127" s="2" t="s">
        <v>86</v>
      </c>
      <c r="G127" s="2" t="s">
        <v>3446</v>
      </c>
      <c r="H127" s="43">
        <v>1708</v>
      </c>
      <c r="I127" s="325" t="s">
        <v>44</v>
      </c>
      <c r="J127" s="255" t="str">
        <f>IF(ISBLANK(INDEX('Policy Characteristics'!D:D,MATCH($C127,'Policy Characteristics'!$C:$C,0))),"",INDEX('Policy Characteristics'!D:D,MATCH($C127,'Policy Characteristics'!$C:$C,0)))</f>
        <v>Vehicle Subsidy</v>
      </c>
      <c r="K127" s="254" t="str">
        <f>IF(ISBLANK(INDEX('Policy Characteristics'!E:E,MATCH($C127,'Policy Characteristics'!$C:$C,0))),"",INDEX('Policy Characteristics'!E:E,MATCH($C127,'Policy Characteristics'!$C:$C,0)))</f>
        <v>trans frgt subsidy</v>
      </c>
      <c r="L127" s="261">
        <f>IF(ISBLANK(INDEX('Policy Characteristics'!F:F,MATCH($C127,'Policy Characteristics'!$C:$C,0))),"",INDEX('Policy Characteristics'!F:F,MATCH($C127,'Policy Characteristics'!$C:$C,0)))</f>
        <v>0</v>
      </c>
      <c r="M127" s="261">
        <f>IF(ISBLANK(INDEX('Policy Characteristics'!G:G,MATCH($C127,'Policy Characteristics'!$C:$C,0))),"",INDEX('Policy Characteristics'!G:G,MATCH($C127,'Policy Characteristics'!$C:$C,0)))</f>
        <v>50000</v>
      </c>
      <c r="N127" s="261">
        <f>IF(ISBLANK(INDEX('Policy Characteristics'!H:H,MATCH($C127,'Policy Characteristics'!$C:$C,0))),"",INDEX('Policy Characteristics'!H:H,MATCH($C127,'Policy Characteristics'!$C:$C,0)))</f>
        <v>100</v>
      </c>
      <c r="O127" s="254" t="str">
        <f>IF(ISBLANK(INDEX('Policy Characteristics'!I:I,MATCH($C127,'Policy Characteristics'!$C:$C,0))),"",INDEX('Policy Characteristics'!I:I,MATCH($C127,'Policy Characteristics'!$C:$C,0)))</f>
        <v>$ / vehicle</v>
      </c>
      <c r="P127" s="254" t="str">
        <f>IF(ISBLANK(INDEX('Policy Characteristics'!J:J,MATCH($C127,'Policy Characteristics'!$C:$C,0))),"",INDEX('Policy Characteristics'!J:J,MATCH($C127,'Policy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7" s="254" t="str">
        <f>IF(ISBLANK(INDEX('Policy Characteristics'!K:K,MATCH($C127,'Policy Characteristics'!$C:$C,0))),"",INDEX('Policy Characteristics'!K:K,MATCH($C127,'Policy Characteristics'!$C:$C,0)))</f>
        <v>transportation-sector-main.html#ev-subsidy</v>
      </c>
      <c r="R127" s="254" t="str">
        <f>IF(ISBLANK(INDEX('Policy Characteristics'!L:L,MATCH($C127,'Policy Characteristics'!$C:$C,0))),"",INDEX('Policy Characteristics'!L:L,MATCH($C127,'Policy Characteristics'!$C:$C,0)))</f>
        <v>ev-subsidy.html</v>
      </c>
    </row>
    <row r="128" spans="1:18" x14ac:dyDescent="0.3">
      <c r="A128" s="254" t="str">
        <f>IF(ISBLANK(INDEX('Policy Characteristics'!A:A,MATCH($C128,'Policy Characteristics'!$C:$C,0))),"",INDEX('Policy Characteristics'!A:A,MATCH($C128,'Policy Characteristics'!$C:$C,0)))</f>
        <v>Transportation</v>
      </c>
      <c r="B128" s="262" t="str">
        <f>IF(ISBLANK(INDEX('Policy Characteristics'!B:B,MATCH($C128,'Policy Characteristics'!$C:$C,0))),"",INDEX('Policy Characteristics'!B:B,MATCH($C128,'Policy Characteristics'!$C:$C,0)))</f>
        <v>Freight Vehicle Subsidy</v>
      </c>
      <c r="C128" s="254" t="str">
        <f t="shared" si="4"/>
        <v>Additional Freight Vehicle Subsidy</v>
      </c>
      <c r="D128" s="45" t="s">
        <v>40</v>
      </c>
      <c r="E128" s="2" t="s">
        <v>2247</v>
      </c>
      <c r="F128" s="2" t="s">
        <v>86</v>
      </c>
      <c r="G128" s="2" t="s">
        <v>3447</v>
      </c>
      <c r="H128" s="43">
        <v>1709</v>
      </c>
      <c r="I128" s="325" t="s">
        <v>44</v>
      </c>
      <c r="J128" s="255" t="str">
        <f>IF(ISBLANK(INDEX('Policy Characteristics'!D:D,MATCH($C128,'Policy Characteristics'!$C:$C,0))),"",INDEX('Policy Characteristics'!D:D,MATCH($C128,'Policy Characteristics'!$C:$C,0)))</f>
        <v>Vehicle Subsidy</v>
      </c>
      <c r="K128" s="254" t="str">
        <f>IF(ISBLANK(INDEX('Policy Characteristics'!E:E,MATCH($C128,'Policy Characteristics'!$C:$C,0))),"",INDEX('Policy Characteristics'!E:E,MATCH($C128,'Policy Characteristics'!$C:$C,0)))</f>
        <v>trans frgt subsidy</v>
      </c>
      <c r="L128" s="261">
        <f>IF(ISBLANK(INDEX('Policy Characteristics'!F:F,MATCH($C128,'Policy Characteristics'!$C:$C,0))),"",INDEX('Policy Characteristics'!F:F,MATCH($C128,'Policy Characteristics'!$C:$C,0)))</f>
        <v>0</v>
      </c>
      <c r="M128" s="261">
        <f>IF(ISBLANK(INDEX('Policy Characteristics'!G:G,MATCH($C128,'Policy Characteristics'!$C:$C,0))),"",INDEX('Policy Characteristics'!G:G,MATCH($C128,'Policy Characteristics'!$C:$C,0)))</f>
        <v>50000</v>
      </c>
      <c r="N128" s="261">
        <f>IF(ISBLANK(INDEX('Policy Characteristics'!H:H,MATCH($C128,'Policy Characteristics'!$C:$C,0))),"",INDEX('Policy Characteristics'!H:H,MATCH($C128,'Policy Characteristics'!$C:$C,0)))</f>
        <v>100</v>
      </c>
      <c r="O128" s="254" t="str">
        <f>IF(ISBLANK(INDEX('Policy Characteristics'!I:I,MATCH($C128,'Policy Characteristics'!$C:$C,0))),"",INDEX('Policy Characteristics'!I:I,MATCH($C128,'Policy Characteristics'!$C:$C,0)))</f>
        <v>$ / vehicle</v>
      </c>
      <c r="P128" s="254" t="str">
        <f>IF(ISBLANK(INDEX('Policy Characteristics'!J:J,MATCH($C128,'Policy Characteristics'!$C:$C,0))),"",INDEX('Policy Characteristics'!J:J,MATCH($C128,'Policy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8" s="254" t="str">
        <f>IF(ISBLANK(INDEX('Policy Characteristics'!K:K,MATCH($C128,'Policy Characteristics'!$C:$C,0))),"",INDEX('Policy Characteristics'!K:K,MATCH($C128,'Policy Characteristics'!$C:$C,0)))</f>
        <v>transportation-sector-main.html#ev-subsidy</v>
      </c>
      <c r="R128" s="254" t="str">
        <f>IF(ISBLANK(INDEX('Policy Characteristics'!L:L,MATCH($C128,'Policy Characteristics'!$C:$C,0))),"",INDEX('Policy Characteristics'!L:L,MATCH($C128,'Policy Characteristics'!$C:$C,0)))</f>
        <v>ev-subsidy.html</v>
      </c>
    </row>
    <row r="129" spans="1:18" x14ac:dyDescent="0.3">
      <c r="A129" s="254" t="str">
        <f>IF(ISBLANK(INDEX('Policy Characteristics'!A:A,MATCH($C129,'Policy Characteristics'!$C:$C,0))),"",INDEX('Policy Characteristics'!A:A,MATCH($C129,'Policy Characteristics'!$C:$C,0)))</f>
        <v>Transportation</v>
      </c>
      <c r="B129" s="262" t="str">
        <f>IF(ISBLANK(INDEX('Policy Characteristics'!B:B,MATCH($C129,'Policy Characteristics'!$C:$C,0))),"",INDEX('Policy Characteristics'!B:B,MATCH($C129,'Policy Characteristics'!$C:$C,0)))</f>
        <v>Freight Vehicle Subsidy</v>
      </c>
      <c r="C129" s="254" t="str">
        <f t="shared" si="4"/>
        <v>Additional Freight Vehicle Subsidy</v>
      </c>
      <c r="D129" s="45" t="s">
        <v>40</v>
      </c>
      <c r="E129" s="2" t="s">
        <v>2248</v>
      </c>
      <c r="F129" s="2" t="s">
        <v>86</v>
      </c>
      <c r="G129" s="2" t="s">
        <v>3448</v>
      </c>
      <c r="H129" s="43">
        <v>1710</v>
      </c>
      <c r="I129" s="325" t="s">
        <v>44</v>
      </c>
      <c r="J129" s="255" t="str">
        <f>IF(ISBLANK(INDEX('Policy Characteristics'!D:D,MATCH($C129,'Policy Characteristics'!$C:$C,0))),"",INDEX('Policy Characteristics'!D:D,MATCH($C129,'Policy Characteristics'!$C:$C,0)))</f>
        <v>Vehicle Subsidy</v>
      </c>
      <c r="K129" s="254" t="str">
        <f>IF(ISBLANK(INDEX('Policy Characteristics'!E:E,MATCH($C129,'Policy Characteristics'!$C:$C,0))),"",INDEX('Policy Characteristics'!E:E,MATCH($C129,'Policy Characteristics'!$C:$C,0)))</f>
        <v>trans frgt subsidy</v>
      </c>
      <c r="L129" s="261">
        <f>IF(ISBLANK(INDEX('Policy Characteristics'!F:F,MATCH($C129,'Policy Characteristics'!$C:$C,0))),"",INDEX('Policy Characteristics'!F:F,MATCH($C129,'Policy Characteristics'!$C:$C,0)))</f>
        <v>0</v>
      </c>
      <c r="M129" s="261">
        <f>IF(ISBLANK(INDEX('Policy Characteristics'!G:G,MATCH($C129,'Policy Characteristics'!$C:$C,0))),"",INDEX('Policy Characteristics'!G:G,MATCH($C129,'Policy Characteristics'!$C:$C,0)))</f>
        <v>50000</v>
      </c>
      <c r="N129" s="261">
        <f>IF(ISBLANK(INDEX('Policy Characteristics'!H:H,MATCH($C129,'Policy Characteristics'!$C:$C,0))),"",INDEX('Policy Characteristics'!H:H,MATCH($C129,'Policy Characteristics'!$C:$C,0)))</f>
        <v>100</v>
      </c>
      <c r="O129" s="254" t="str">
        <f>IF(ISBLANK(INDEX('Policy Characteristics'!I:I,MATCH($C129,'Policy Characteristics'!$C:$C,0))),"",INDEX('Policy Characteristics'!I:I,MATCH($C129,'Policy Characteristics'!$C:$C,0)))</f>
        <v>$ / vehicle</v>
      </c>
      <c r="P129" s="254" t="str">
        <f>IF(ISBLANK(INDEX('Policy Characteristics'!J:J,MATCH($C129,'Policy Characteristics'!$C:$C,0))),"",INDEX('Policy Characteristics'!J:J,MATCH($C129,'Policy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29" s="254" t="str">
        <f>IF(ISBLANK(INDEX('Policy Characteristics'!K:K,MATCH($C129,'Policy Characteristics'!$C:$C,0))),"",INDEX('Policy Characteristics'!K:K,MATCH($C129,'Policy Characteristics'!$C:$C,0)))</f>
        <v>transportation-sector-main.html#ev-subsidy</v>
      </c>
      <c r="R129" s="254" t="str">
        <f>IF(ISBLANK(INDEX('Policy Characteristics'!L:L,MATCH($C129,'Policy Characteristics'!$C:$C,0))),"",INDEX('Policy Characteristics'!L:L,MATCH($C129,'Policy Characteristics'!$C:$C,0)))</f>
        <v>ev-subsidy.html</v>
      </c>
    </row>
    <row r="130" spans="1:18" x14ac:dyDescent="0.3">
      <c r="A130" s="254" t="str">
        <f>IF(ISBLANK(INDEX('Policy Characteristics'!A:A,MATCH($C130,'Policy Characteristics'!$C:$C,0))),"",INDEX('Policy Characteristics'!A:A,MATCH($C130,'Policy Characteristics'!$C:$C,0)))</f>
        <v>Transportation</v>
      </c>
      <c r="B130" s="262" t="str">
        <f>IF(ISBLANK(INDEX('Policy Characteristics'!B:B,MATCH($C130,'Policy Characteristics'!$C:$C,0))),"",INDEX('Policy Characteristics'!B:B,MATCH($C130,'Policy Characteristics'!$C:$C,0)))</f>
        <v>Freight Vehicle Subsidy</v>
      </c>
      <c r="C130" s="254" t="str">
        <f t="shared" si="4"/>
        <v>Additional Freight Vehicle Subsidy</v>
      </c>
      <c r="D130" s="45" t="s">
        <v>40</v>
      </c>
      <c r="E130" s="2" t="s">
        <v>2249</v>
      </c>
      <c r="F130" s="2" t="s">
        <v>86</v>
      </c>
      <c r="G130" s="2" t="s">
        <v>3449</v>
      </c>
      <c r="H130" s="43">
        <v>1711</v>
      </c>
      <c r="I130" s="325" t="s">
        <v>44</v>
      </c>
      <c r="J130" s="255" t="str">
        <f>IF(ISBLANK(INDEX('Policy Characteristics'!D:D,MATCH($C130,'Policy Characteristics'!$C:$C,0))),"",INDEX('Policy Characteristics'!D:D,MATCH($C130,'Policy Characteristics'!$C:$C,0)))</f>
        <v>Vehicle Subsidy</v>
      </c>
      <c r="K130" s="254" t="str">
        <f>IF(ISBLANK(INDEX('Policy Characteristics'!E:E,MATCH($C130,'Policy Characteristics'!$C:$C,0))),"",INDEX('Policy Characteristics'!E:E,MATCH($C130,'Policy Characteristics'!$C:$C,0)))</f>
        <v>trans frgt subsidy</v>
      </c>
      <c r="L130" s="261">
        <f>IF(ISBLANK(INDEX('Policy Characteristics'!F:F,MATCH($C130,'Policy Characteristics'!$C:$C,0))),"",INDEX('Policy Characteristics'!F:F,MATCH($C130,'Policy Characteristics'!$C:$C,0)))</f>
        <v>0</v>
      </c>
      <c r="M130" s="261">
        <f>IF(ISBLANK(INDEX('Policy Characteristics'!G:G,MATCH($C130,'Policy Characteristics'!$C:$C,0))),"",INDEX('Policy Characteristics'!G:G,MATCH($C130,'Policy Characteristics'!$C:$C,0)))</f>
        <v>50000</v>
      </c>
      <c r="N130" s="261">
        <f>IF(ISBLANK(INDEX('Policy Characteristics'!H:H,MATCH($C130,'Policy Characteristics'!$C:$C,0))),"",INDEX('Policy Characteristics'!H:H,MATCH($C130,'Policy Characteristics'!$C:$C,0)))</f>
        <v>100</v>
      </c>
      <c r="O130" s="254" t="str">
        <f>IF(ISBLANK(INDEX('Policy Characteristics'!I:I,MATCH($C130,'Policy Characteristics'!$C:$C,0))),"",INDEX('Policy Characteristics'!I:I,MATCH($C130,'Policy Characteristics'!$C:$C,0)))</f>
        <v>$ / vehicle</v>
      </c>
      <c r="P130" s="254" t="str">
        <f>IF(ISBLANK(INDEX('Policy Characteristics'!J:J,MATCH($C130,'Policy Characteristics'!$C:$C,0))),"",INDEX('Policy Characteristics'!J:J,MATCH($C130,'Policy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0" s="254" t="str">
        <f>IF(ISBLANK(INDEX('Policy Characteristics'!K:K,MATCH($C130,'Policy Characteristics'!$C:$C,0))),"",INDEX('Policy Characteristics'!K:K,MATCH($C130,'Policy Characteristics'!$C:$C,0)))</f>
        <v>transportation-sector-main.html#ev-subsidy</v>
      </c>
      <c r="R130" s="254" t="str">
        <f>IF(ISBLANK(INDEX('Policy Characteristics'!L:L,MATCH($C130,'Policy Characteristics'!$C:$C,0))),"",INDEX('Policy Characteristics'!L:L,MATCH($C130,'Policy Characteristics'!$C:$C,0)))</f>
        <v>ev-subsidy.html</v>
      </c>
    </row>
    <row r="131" spans="1:18" x14ac:dyDescent="0.3">
      <c r="A131" s="254" t="str">
        <f>IF(ISBLANK(INDEX('Policy Characteristics'!A:A,MATCH($C131,'Policy Characteristics'!$C:$C,0))),"",INDEX('Policy Characteristics'!A:A,MATCH($C131,'Policy Characteristics'!$C:$C,0)))</f>
        <v>Transportation</v>
      </c>
      <c r="B131" s="262" t="str">
        <f>IF(ISBLANK(INDEX('Policy Characteristics'!B:B,MATCH($C131,'Policy Characteristics'!$C:$C,0))),"",INDEX('Policy Characteristics'!B:B,MATCH($C131,'Policy Characteristics'!$C:$C,0)))</f>
        <v>Freight Vehicle Subsidy</v>
      </c>
      <c r="C131" s="254" t="str">
        <f t="shared" si="4"/>
        <v>Additional Freight Vehicle Subsidy</v>
      </c>
      <c r="D131" s="45" t="s">
        <v>40</v>
      </c>
      <c r="E131" s="2" t="s">
        <v>2509</v>
      </c>
      <c r="F131" s="2" t="s">
        <v>86</v>
      </c>
      <c r="G131" s="2" t="s">
        <v>2509</v>
      </c>
      <c r="H131" s="43">
        <v>1712</v>
      </c>
      <c r="I131" s="325" t="s">
        <v>44</v>
      </c>
      <c r="J131" s="255" t="str">
        <f>IF(ISBLANK(INDEX('Policy Characteristics'!D:D,MATCH($C131,'Policy Characteristics'!$C:$C,0))),"",INDEX('Policy Characteristics'!D:D,MATCH($C131,'Policy Characteristics'!$C:$C,0)))</f>
        <v>Vehicle Subsidy</v>
      </c>
      <c r="K131" s="254" t="str">
        <f>IF(ISBLANK(INDEX('Policy Characteristics'!E:E,MATCH($C131,'Policy Characteristics'!$C:$C,0))),"",INDEX('Policy Characteristics'!E:E,MATCH($C131,'Policy Characteristics'!$C:$C,0)))</f>
        <v>trans frgt subsidy</v>
      </c>
      <c r="L131" s="261">
        <f>IF(ISBLANK(INDEX('Policy Characteristics'!F:F,MATCH($C131,'Policy Characteristics'!$C:$C,0))),"",INDEX('Policy Characteristics'!F:F,MATCH($C131,'Policy Characteristics'!$C:$C,0)))</f>
        <v>0</v>
      </c>
      <c r="M131" s="261">
        <f>IF(ISBLANK(INDEX('Policy Characteristics'!G:G,MATCH($C131,'Policy Characteristics'!$C:$C,0))),"",INDEX('Policy Characteristics'!G:G,MATCH($C131,'Policy Characteristics'!$C:$C,0)))</f>
        <v>50000</v>
      </c>
      <c r="N131" s="261">
        <f>IF(ISBLANK(INDEX('Policy Characteristics'!H:H,MATCH($C131,'Policy Characteristics'!$C:$C,0))),"",INDEX('Policy Characteristics'!H:H,MATCH($C131,'Policy Characteristics'!$C:$C,0)))</f>
        <v>100</v>
      </c>
      <c r="O131" s="254" t="str">
        <f>IF(ISBLANK(INDEX('Policy Characteristics'!I:I,MATCH($C131,'Policy Characteristics'!$C:$C,0))),"",INDEX('Policy Characteristics'!I:I,MATCH($C131,'Policy Characteristics'!$C:$C,0)))</f>
        <v>$ / vehicle</v>
      </c>
      <c r="P131" s="254" t="str">
        <f>IF(ISBLANK(INDEX('Policy Characteristics'!J:J,MATCH($C131,'Policy Characteristics'!$C:$C,0))),"",INDEX('Policy Characteristics'!J:J,MATCH($C131,'Policy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1" s="254" t="str">
        <f>IF(ISBLANK(INDEX('Policy Characteristics'!K:K,MATCH($C131,'Policy Characteristics'!$C:$C,0))),"",INDEX('Policy Characteristics'!K:K,MATCH($C131,'Policy Characteristics'!$C:$C,0)))</f>
        <v>transportation-sector-main.html#ev-subsidy</v>
      </c>
      <c r="R131" s="254" t="str">
        <f>IF(ISBLANK(INDEX('Policy Characteristics'!L:L,MATCH($C131,'Policy Characteristics'!$C:$C,0))),"",INDEX('Policy Characteristics'!L:L,MATCH($C131,'Policy Characteristics'!$C:$C,0)))</f>
        <v>ev-subsidy.html</v>
      </c>
    </row>
    <row r="132" spans="1:18" x14ac:dyDescent="0.3">
      <c r="A132" s="254" t="str">
        <f>IF(ISBLANK(INDEX('Policy Characteristics'!A:A,MATCH($C132,'Policy Characteristics'!$C:$C,0))),"",INDEX('Policy Characteristics'!A:A,MATCH($C132,'Policy Characteristics'!$C:$C,0)))</f>
        <v>Transportation</v>
      </c>
      <c r="B132" s="262" t="str">
        <f>IF(ISBLANK(INDEX('Policy Characteristics'!B:B,MATCH($C132,'Policy Characteristics'!$C:$C,0))),"",INDEX('Policy Characteristics'!B:B,MATCH($C132,'Policy Characteristics'!$C:$C,0)))</f>
        <v>Freight Vehicle Subsidy</v>
      </c>
      <c r="C132" s="254" t="str">
        <f t="shared" si="4"/>
        <v>Additional Freight Vehicle Subsidy</v>
      </c>
      <c r="D132" s="45" t="s">
        <v>40</v>
      </c>
      <c r="E132" s="2" t="s">
        <v>2508</v>
      </c>
      <c r="F132" s="2" t="s">
        <v>86</v>
      </c>
      <c r="G132" s="2" t="s">
        <v>3450</v>
      </c>
      <c r="H132" s="43">
        <v>1713</v>
      </c>
      <c r="I132" s="325" t="s">
        <v>44</v>
      </c>
      <c r="J132" s="255" t="str">
        <f>IF(ISBLANK(INDEX('Policy Characteristics'!D:D,MATCH($C132,'Policy Characteristics'!$C:$C,0))),"",INDEX('Policy Characteristics'!D:D,MATCH($C132,'Policy Characteristics'!$C:$C,0)))</f>
        <v>Vehicle Subsidy</v>
      </c>
      <c r="K132" s="254" t="str">
        <f>IF(ISBLANK(INDEX('Policy Characteristics'!E:E,MATCH($C132,'Policy Characteristics'!$C:$C,0))),"",INDEX('Policy Characteristics'!E:E,MATCH($C132,'Policy Characteristics'!$C:$C,0)))</f>
        <v>trans frgt subsidy</v>
      </c>
      <c r="L132" s="261">
        <f>IF(ISBLANK(INDEX('Policy Characteristics'!F:F,MATCH($C132,'Policy Characteristics'!$C:$C,0))),"",INDEX('Policy Characteristics'!F:F,MATCH($C132,'Policy Characteristics'!$C:$C,0)))</f>
        <v>0</v>
      </c>
      <c r="M132" s="261">
        <f>IF(ISBLANK(INDEX('Policy Characteristics'!G:G,MATCH($C132,'Policy Characteristics'!$C:$C,0))),"",INDEX('Policy Characteristics'!G:G,MATCH($C132,'Policy Characteristics'!$C:$C,0)))</f>
        <v>50000</v>
      </c>
      <c r="N132" s="261">
        <f>IF(ISBLANK(INDEX('Policy Characteristics'!H:H,MATCH($C132,'Policy Characteristics'!$C:$C,0))),"",INDEX('Policy Characteristics'!H:H,MATCH($C132,'Policy Characteristics'!$C:$C,0)))</f>
        <v>100</v>
      </c>
      <c r="O132" s="254" t="str">
        <f>IF(ISBLANK(INDEX('Policy Characteristics'!I:I,MATCH($C132,'Policy Characteristics'!$C:$C,0))),"",INDEX('Policy Characteristics'!I:I,MATCH($C132,'Policy Characteristics'!$C:$C,0)))</f>
        <v>$ / vehicle</v>
      </c>
      <c r="P132" s="254" t="str">
        <f>IF(ISBLANK(INDEX('Policy Characteristics'!J:J,MATCH($C132,'Policy Characteristics'!$C:$C,0))),"",INDEX('Policy Characteristics'!J:J,MATCH($C132,'Policy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2" s="254" t="str">
        <f>IF(ISBLANK(INDEX('Policy Characteristics'!K:K,MATCH($C132,'Policy Characteristics'!$C:$C,0))),"",INDEX('Policy Characteristics'!K:K,MATCH($C132,'Policy Characteristics'!$C:$C,0)))</f>
        <v>transportation-sector-main.html#ev-subsidy</v>
      </c>
      <c r="R132" s="254" t="str">
        <f>IF(ISBLANK(INDEX('Policy Characteristics'!L:L,MATCH($C132,'Policy Characteristics'!$C:$C,0))),"",INDEX('Policy Characteristics'!L:L,MATCH($C132,'Policy Characteristics'!$C:$C,0)))</f>
        <v>ev-subsidy.html</v>
      </c>
    </row>
    <row r="133" spans="1:18" x14ac:dyDescent="0.3">
      <c r="A133" s="254" t="str">
        <f>IF(ISBLANK(INDEX('Policy Characteristics'!A:A,MATCH($C133,'Policy Characteristics'!$C:$C,0))),"",INDEX('Policy Characteristics'!A:A,MATCH($C133,'Policy Characteristics'!$C:$C,0)))</f>
        <v>Transportation</v>
      </c>
      <c r="B133" s="262" t="str">
        <f>IF(ISBLANK(INDEX('Policy Characteristics'!B:B,MATCH($C133,'Policy Characteristics'!$C:$C,0))),"",INDEX('Policy Characteristics'!B:B,MATCH($C133,'Policy Characteristics'!$C:$C,0)))</f>
        <v>Freight Vehicle Subsidy</v>
      </c>
      <c r="C133" s="254" t="str">
        <f t="shared" si="4"/>
        <v>Additional Freight Vehicle Subsidy</v>
      </c>
      <c r="D133" s="45" t="s">
        <v>41</v>
      </c>
      <c r="E133" s="45" t="s">
        <v>2245</v>
      </c>
      <c r="F133" s="2" t="s">
        <v>3292</v>
      </c>
      <c r="G133" s="45" t="s">
        <v>3445</v>
      </c>
      <c r="H133" s="43">
        <v>1714</v>
      </c>
      <c r="I133" s="325" t="s">
        <v>44</v>
      </c>
      <c r="J133" s="255" t="str">
        <f>IF(ISBLANK(INDEX('Policy Characteristics'!D:D,MATCH($C133,'Policy Characteristics'!$C:$C,0))),"",INDEX('Policy Characteristics'!D:D,MATCH($C133,'Policy Characteristics'!$C:$C,0)))</f>
        <v>Vehicle Subsidy</v>
      </c>
      <c r="K133" s="254" t="str">
        <f>IF(ISBLANK(INDEX('Policy Characteristics'!E:E,MATCH($C133,'Policy Characteristics'!$C:$C,0))),"",INDEX('Policy Characteristics'!E:E,MATCH($C133,'Policy Characteristics'!$C:$C,0)))</f>
        <v>trans frgt subsidy</v>
      </c>
      <c r="L133" s="261">
        <f>IF(ISBLANK(INDEX('Policy Characteristics'!F:F,MATCH($C133,'Policy Characteristics'!$C:$C,0))),"",INDEX('Policy Characteristics'!F:F,MATCH($C133,'Policy Characteristics'!$C:$C,0)))</f>
        <v>0</v>
      </c>
      <c r="M133" s="261">
        <f>IF(ISBLANK(INDEX('Policy Characteristics'!G:G,MATCH($C133,'Policy Characteristics'!$C:$C,0))),"",INDEX('Policy Characteristics'!G:G,MATCH($C133,'Policy Characteristics'!$C:$C,0)))</f>
        <v>50000</v>
      </c>
      <c r="N133" s="261">
        <f>IF(ISBLANK(INDEX('Policy Characteristics'!H:H,MATCH($C133,'Policy Characteristics'!$C:$C,0))),"",INDEX('Policy Characteristics'!H:H,MATCH($C133,'Policy Characteristics'!$C:$C,0)))</f>
        <v>100</v>
      </c>
      <c r="O133" s="254" t="str">
        <f>IF(ISBLANK(INDEX('Policy Characteristics'!I:I,MATCH($C133,'Policy Characteristics'!$C:$C,0))),"",INDEX('Policy Characteristics'!I:I,MATCH($C133,'Policy Characteristics'!$C:$C,0)))</f>
        <v>$ / vehicle</v>
      </c>
      <c r="P133" s="254" t="str">
        <f>IF(ISBLANK(INDEX('Policy Characteristics'!J:J,MATCH($C133,'Policy Characteristics'!$C:$C,0))),"",INDEX('Policy Characteristics'!J:J,MATCH($C133,'Policy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3" s="254" t="str">
        <f>IF(ISBLANK(INDEX('Policy Characteristics'!K:K,MATCH($C133,'Policy Characteristics'!$C:$C,0))),"",INDEX('Policy Characteristics'!K:K,MATCH($C133,'Policy Characteristics'!$C:$C,0)))</f>
        <v>transportation-sector-main.html#ev-subsidy</v>
      </c>
      <c r="R133" s="254" t="str">
        <f>IF(ISBLANK(INDEX('Policy Characteristics'!L:L,MATCH($C133,'Policy Characteristics'!$C:$C,0))),"",INDEX('Policy Characteristics'!L:L,MATCH($C133,'Policy Characteristics'!$C:$C,0)))</f>
        <v>ev-subsidy.html</v>
      </c>
    </row>
    <row r="134" spans="1:18" x14ac:dyDescent="0.3">
      <c r="A134" s="254" t="str">
        <f>IF(ISBLANK(INDEX('Policy Characteristics'!A:A,MATCH($C134,'Policy Characteristics'!$C:$C,0))),"",INDEX('Policy Characteristics'!A:A,MATCH($C134,'Policy Characteristics'!$C:$C,0)))</f>
        <v>Transportation</v>
      </c>
      <c r="B134" s="262" t="str">
        <f>IF(ISBLANK(INDEX('Policy Characteristics'!B:B,MATCH($C134,'Policy Characteristics'!$C:$C,0))),"",INDEX('Policy Characteristics'!B:B,MATCH($C134,'Policy Characteristics'!$C:$C,0)))</f>
        <v>Freight Vehicle Subsidy</v>
      </c>
      <c r="C134" s="254" t="str">
        <f t="shared" si="4"/>
        <v>Additional Freight Vehicle Subsidy</v>
      </c>
      <c r="D134" s="45" t="s">
        <v>41</v>
      </c>
      <c r="E134" s="2" t="s">
        <v>2246</v>
      </c>
      <c r="F134" s="2" t="s">
        <v>3292</v>
      </c>
      <c r="G134" s="2" t="s">
        <v>3446</v>
      </c>
      <c r="H134" s="43">
        <v>1715</v>
      </c>
      <c r="I134" s="325" t="s">
        <v>44</v>
      </c>
      <c r="J134" s="255" t="str">
        <f>IF(ISBLANK(INDEX('Policy Characteristics'!D:D,MATCH($C134,'Policy Characteristics'!$C:$C,0))),"",INDEX('Policy Characteristics'!D:D,MATCH($C134,'Policy Characteristics'!$C:$C,0)))</f>
        <v>Vehicle Subsidy</v>
      </c>
      <c r="K134" s="254" t="str">
        <f>IF(ISBLANK(INDEX('Policy Characteristics'!E:E,MATCH($C134,'Policy Characteristics'!$C:$C,0))),"",INDEX('Policy Characteristics'!E:E,MATCH($C134,'Policy Characteristics'!$C:$C,0)))</f>
        <v>trans frgt subsidy</v>
      </c>
      <c r="L134" s="261">
        <f>IF(ISBLANK(INDEX('Policy Characteristics'!F:F,MATCH($C134,'Policy Characteristics'!$C:$C,0))),"",INDEX('Policy Characteristics'!F:F,MATCH($C134,'Policy Characteristics'!$C:$C,0)))</f>
        <v>0</v>
      </c>
      <c r="M134" s="261">
        <f>IF(ISBLANK(INDEX('Policy Characteristics'!G:G,MATCH($C134,'Policy Characteristics'!$C:$C,0))),"",INDEX('Policy Characteristics'!G:G,MATCH($C134,'Policy Characteristics'!$C:$C,0)))</f>
        <v>50000</v>
      </c>
      <c r="N134" s="261">
        <f>IF(ISBLANK(INDEX('Policy Characteristics'!H:H,MATCH($C134,'Policy Characteristics'!$C:$C,0))),"",INDEX('Policy Characteristics'!H:H,MATCH($C134,'Policy Characteristics'!$C:$C,0)))</f>
        <v>100</v>
      </c>
      <c r="O134" s="254" t="str">
        <f>IF(ISBLANK(INDEX('Policy Characteristics'!I:I,MATCH($C134,'Policy Characteristics'!$C:$C,0))),"",INDEX('Policy Characteristics'!I:I,MATCH($C134,'Policy Characteristics'!$C:$C,0)))</f>
        <v>$ / vehicle</v>
      </c>
      <c r="P134" s="254" t="str">
        <f>IF(ISBLANK(INDEX('Policy Characteristics'!J:J,MATCH($C134,'Policy Characteristics'!$C:$C,0))),"",INDEX('Policy Characteristics'!J:J,MATCH($C134,'Policy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4" s="254" t="str">
        <f>IF(ISBLANK(INDEX('Policy Characteristics'!K:K,MATCH($C134,'Policy Characteristics'!$C:$C,0))),"",INDEX('Policy Characteristics'!K:K,MATCH($C134,'Policy Characteristics'!$C:$C,0)))</f>
        <v>transportation-sector-main.html#ev-subsidy</v>
      </c>
      <c r="R134" s="254" t="str">
        <f>IF(ISBLANK(INDEX('Policy Characteristics'!L:L,MATCH($C134,'Policy Characteristics'!$C:$C,0))),"",INDEX('Policy Characteristics'!L:L,MATCH($C134,'Policy Characteristics'!$C:$C,0)))</f>
        <v>ev-subsidy.html</v>
      </c>
    </row>
    <row r="135" spans="1:18" x14ac:dyDescent="0.3">
      <c r="A135" s="254" t="str">
        <f>IF(ISBLANK(INDEX('Policy Characteristics'!A:A,MATCH($C135,'Policy Characteristics'!$C:$C,0))),"",INDEX('Policy Characteristics'!A:A,MATCH($C135,'Policy Characteristics'!$C:$C,0)))</f>
        <v>Transportation</v>
      </c>
      <c r="B135" s="262" t="str">
        <f>IF(ISBLANK(INDEX('Policy Characteristics'!B:B,MATCH($C135,'Policy Characteristics'!$C:$C,0))),"",INDEX('Policy Characteristics'!B:B,MATCH($C135,'Policy Characteristics'!$C:$C,0)))</f>
        <v>Freight Vehicle Subsidy</v>
      </c>
      <c r="C135" s="254" t="str">
        <f t="shared" si="4"/>
        <v>Additional Freight Vehicle Subsidy</v>
      </c>
      <c r="D135" s="45" t="s">
        <v>41</v>
      </c>
      <c r="E135" s="2" t="s">
        <v>2247</v>
      </c>
      <c r="F135" s="2" t="s">
        <v>3292</v>
      </c>
      <c r="G135" s="2" t="s">
        <v>3447</v>
      </c>
      <c r="H135" s="43">
        <v>1716</v>
      </c>
      <c r="I135" s="325" t="s">
        <v>44</v>
      </c>
      <c r="J135" s="255" t="str">
        <f>IF(ISBLANK(INDEX('Policy Characteristics'!D:D,MATCH($C135,'Policy Characteristics'!$C:$C,0))),"",INDEX('Policy Characteristics'!D:D,MATCH($C135,'Policy Characteristics'!$C:$C,0)))</f>
        <v>Vehicle Subsidy</v>
      </c>
      <c r="K135" s="254" t="str">
        <f>IF(ISBLANK(INDEX('Policy Characteristics'!E:E,MATCH($C135,'Policy Characteristics'!$C:$C,0))),"",INDEX('Policy Characteristics'!E:E,MATCH($C135,'Policy Characteristics'!$C:$C,0)))</f>
        <v>trans frgt subsidy</v>
      </c>
      <c r="L135" s="261">
        <f>IF(ISBLANK(INDEX('Policy Characteristics'!F:F,MATCH($C135,'Policy Characteristics'!$C:$C,0))),"",INDEX('Policy Characteristics'!F:F,MATCH($C135,'Policy Characteristics'!$C:$C,0)))</f>
        <v>0</v>
      </c>
      <c r="M135" s="261">
        <f>IF(ISBLANK(INDEX('Policy Characteristics'!G:G,MATCH($C135,'Policy Characteristics'!$C:$C,0))),"",INDEX('Policy Characteristics'!G:G,MATCH($C135,'Policy Characteristics'!$C:$C,0)))</f>
        <v>50000</v>
      </c>
      <c r="N135" s="261">
        <f>IF(ISBLANK(INDEX('Policy Characteristics'!H:H,MATCH($C135,'Policy Characteristics'!$C:$C,0))),"",INDEX('Policy Characteristics'!H:H,MATCH($C135,'Policy Characteristics'!$C:$C,0)))</f>
        <v>100</v>
      </c>
      <c r="O135" s="254" t="str">
        <f>IF(ISBLANK(INDEX('Policy Characteristics'!I:I,MATCH($C135,'Policy Characteristics'!$C:$C,0))),"",INDEX('Policy Characteristics'!I:I,MATCH($C135,'Policy Characteristics'!$C:$C,0)))</f>
        <v>$ / vehicle</v>
      </c>
      <c r="P135" s="254" t="str">
        <f>IF(ISBLANK(INDEX('Policy Characteristics'!J:J,MATCH($C135,'Policy Characteristics'!$C:$C,0))),"",INDEX('Policy Characteristics'!J:J,MATCH($C135,'Policy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5" s="254" t="str">
        <f>IF(ISBLANK(INDEX('Policy Characteristics'!K:K,MATCH($C135,'Policy Characteristics'!$C:$C,0))),"",INDEX('Policy Characteristics'!K:K,MATCH($C135,'Policy Characteristics'!$C:$C,0)))</f>
        <v>transportation-sector-main.html#ev-subsidy</v>
      </c>
      <c r="R135" s="254" t="str">
        <f>IF(ISBLANK(INDEX('Policy Characteristics'!L:L,MATCH($C135,'Policy Characteristics'!$C:$C,0))),"",INDEX('Policy Characteristics'!L:L,MATCH($C135,'Policy Characteristics'!$C:$C,0)))</f>
        <v>ev-subsidy.html</v>
      </c>
    </row>
    <row r="136" spans="1:18" x14ac:dyDescent="0.3">
      <c r="A136" s="254" t="str">
        <f>IF(ISBLANK(INDEX('Policy Characteristics'!A:A,MATCH($C136,'Policy Characteristics'!$C:$C,0))),"",INDEX('Policy Characteristics'!A:A,MATCH($C136,'Policy Characteristics'!$C:$C,0)))</f>
        <v>Transportation</v>
      </c>
      <c r="B136" s="262" t="str">
        <f>IF(ISBLANK(INDEX('Policy Characteristics'!B:B,MATCH($C136,'Policy Characteristics'!$C:$C,0))),"",INDEX('Policy Characteristics'!B:B,MATCH($C136,'Policy Characteristics'!$C:$C,0)))</f>
        <v>Freight Vehicle Subsidy</v>
      </c>
      <c r="C136" s="254" t="str">
        <f t="shared" si="4"/>
        <v>Additional Freight Vehicle Subsidy</v>
      </c>
      <c r="D136" s="45" t="s">
        <v>41</v>
      </c>
      <c r="E136" s="2" t="s">
        <v>2248</v>
      </c>
      <c r="F136" s="2" t="s">
        <v>3292</v>
      </c>
      <c r="G136" s="2" t="s">
        <v>3448</v>
      </c>
      <c r="H136" s="43">
        <v>1717</v>
      </c>
      <c r="I136" s="325" t="s">
        <v>44</v>
      </c>
      <c r="J136" s="255" t="str">
        <f>IF(ISBLANK(INDEX('Policy Characteristics'!D:D,MATCH($C136,'Policy Characteristics'!$C:$C,0))),"",INDEX('Policy Characteristics'!D:D,MATCH($C136,'Policy Characteristics'!$C:$C,0)))</f>
        <v>Vehicle Subsidy</v>
      </c>
      <c r="K136" s="254" t="str">
        <f>IF(ISBLANK(INDEX('Policy Characteristics'!E:E,MATCH($C136,'Policy Characteristics'!$C:$C,0))),"",INDEX('Policy Characteristics'!E:E,MATCH($C136,'Policy Characteristics'!$C:$C,0)))</f>
        <v>trans frgt subsidy</v>
      </c>
      <c r="L136" s="261">
        <f>IF(ISBLANK(INDEX('Policy Characteristics'!F:F,MATCH($C136,'Policy Characteristics'!$C:$C,0))),"",INDEX('Policy Characteristics'!F:F,MATCH($C136,'Policy Characteristics'!$C:$C,0)))</f>
        <v>0</v>
      </c>
      <c r="M136" s="261">
        <f>IF(ISBLANK(INDEX('Policy Characteristics'!G:G,MATCH($C136,'Policy Characteristics'!$C:$C,0))),"",INDEX('Policy Characteristics'!G:G,MATCH($C136,'Policy Characteristics'!$C:$C,0)))</f>
        <v>50000</v>
      </c>
      <c r="N136" s="261">
        <f>IF(ISBLANK(INDEX('Policy Characteristics'!H:H,MATCH($C136,'Policy Characteristics'!$C:$C,0))),"",INDEX('Policy Characteristics'!H:H,MATCH($C136,'Policy Characteristics'!$C:$C,0)))</f>
        <v>100</v>
      </c>
      <c r="O136" s="254" t="str">
        <f>IF(ISBLANK(INDEX('Policy Characteristics'!I:I,MATCH($C136,'Policy Characteristics'!$C:$C,0))),"",INDEX('Policy Characteristics'!I:I,MATCH($C136,'Policy Characteristics'!$C:$C,0)))</f>
        <v>$ / vehicle</v>
      </c>
      <c r="P136" s="254" t="str">
        <f>IF(ISBLANK(INDEX('Policy Characteristics'!J:J,MATCH($C136,'Policy Characteristics'!$C:$C,0))),"",INDEX('Policy Characteristics'!J:J,MATCH($C136,'Policy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6" s="254" t="str">
        <f>IF(ISBLANK(INDEX('Policy Characteristics'!K:K,MATCH($C136,'Policy Characteristics'!$C:$C,0))),"",INDEX('Policy Characteristics'!K:K,MATCH($C136,'Policy Characteristics'!$C:$C,0)))</f>
        <v>transportation-sector-main.html#ev-subsidy</v>
      </c>
      <c r="R136" s="254" t="str">
        <f>IF(ISBLANK(INDEX('Policy Characteristics'!L:L,MATCH($C136,'Policy Characteristics'!$C:$C,0))),"",INDEX('Policy Characteristics'!L:L,MATCH($C136,'Policy Characteristics'!$C:$C,0)))</f>
        <v>ev-subsidy.html</v>
      </c>
    </row>
    <row r="137" spans="1:18" x14ac:dyDescent="0.3">
      <c r="A137" s="254" t="str">
        <f>IF(ISBLANK(INDEX('Policy Characteristics'!A:A,MATCH($C137,'Policy Characteristics'!$C:$C,0))),"",INDEX('Policy Characteristics'!A:A,MATCH($C137,'Policy Characteristics'!$C:$C,0)))</f>
        <v>Transportation</v>
      </c>
      <c r="B137" s="262" t="str">
        <f>IF(ISBLANK(INDEX('Policy Characteristics'!B:B,MATCH($C137,'Policy Characteristics'!$C:$C,0))),"",INDEX('Policy Characteristics'!B:B,MATCH($C137,'Policy Characteristics'!$C:$C,0)))</f>
        <v>Freight Vehicle Subsidy</v>
      </c>
      <c r="C137" s="254" t="str">
        <f t="shared" si="4"/>
        <v>Additional Freight Vehicle Subsidy</v>
      </c>
      <c r="D137" s="45" t="s">
        <v>41</v>
      </c>
      <c r="E137" s="2" t="s">
        <v>2249</v>
      </c>
      <c r="F137" s="2" t="s">
        <v>3292</v>
      </c>
      <c r="G137" s="2" t="s">
        <v>3449</v>
      </c>
      <c r="H137" s="43">
        <v>1718</v>
      </c>
      <c r="I137" s="325" t="s">
        <v>44</v>
      </c>
      <c r="J137" s="255" t="str">
        <f>IF(ISBLANK(INDEX('Policy Characteristics'!D:D,MATCH($C137,'Policy Characteristics'!$C:$C,0))),"",INDEX('Policy Characteristics'!D:D,MATCH($C137,'Policy Characteristics'!$C:$C,0)))</f>
        <v>Vehicle Subsidy</v>
      </c>
      <c r="K137" s="254" t="str">
        <f>IF(ISBLANK(INDEX('Policy Characteristics'!E:E,MATCH($C137,'Policy Characteristics'!$C:$C,0))),"",INDEX('Policy Characteristics'!E:E,MATCH($C137,'Policy Characteristics'!$C:$C,0)))</f>
        <v>trans frgt subsidy</v>
      </c>
      <c r="L137" s="261">
        <f>IF(ISBLANK(INDEX('Policy Characteristics'!F:F,MATCH($C137,'Policy Characteristics'!$C:$C,0))),"",INDEX('Policy Characteristics'!F:F,MATCH($C137,'Policy Characteristics'!$C:$C,0)))</f>
        <v>0</v>
      </c>
      <c r="M137" s="261">
        <f>IF(ISBLANK(INDEX('Policy Characteristics'!G:G,MATCH($C137,'Policy Characteristics'!$C:$C,0))),"",INDEX('Policy Characteristics'!G:G,MATCH($C137,'Policy Characteristics'!$C:$C,0)))</f>
        <v>50000</v>
      </c>
      <c r="N137" s="261">
        <f>IF(ISBLANK(INDEX('Policy Characteristics'!H:H,MATCH($C137,'Policy Characteristics'!$C:$C,0))),"",INDEX('Policy Characteristics'!H:H,MATCH($C137,'Policy Characteristics'!$C:$C,0)))</f>
        <v>100</v>
      </c>
      <c r="O137" s="254" t="str">
        <f>IF(ISBLANK(INDEX('Policy Characteristics'!I:I,MATCH($C137,'Policy Characteristics'!$C:$C,0))),"",INDEX('Policy Characteristics'!I:I,MATCH($C137,'Policy Characteristics'!$C:$C,0)))</f>
        <v>$ / vehicle</v>
      </c>
      <c r="P137" s="254" t="str">
        <f>IF(ISBLANK(INDEX('Policy Characteristics'!J:J,MATCH($C137,'Policy Characteristics'!$C:$C,0))),"",INDEX('Policy Characteristics'!J:J,MATCH($C137,'Policy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7" s="254" t="str">
        <f>IF(ISBLANK(INDEX('Policy Characteristics'!K:K,MATCH($C137,'Policy Characteristics'!$C:$C,0))),"",INDEX('Policy Characteristics'!K:K,MATCH($C137,'Policy Characteristics'!$C:$C,0)))</f>
        <v>transportation-sector-main.html#ev-subsidy</v>
      </c>
      <c r="R137" s="254" t="str">
        <f>IF(ISBLANK(INDEX('Policy Characteristics'!L:L,MATCH($C137,'Policy Characteristics'!$C:$C,0))),"",INDEX('Policy Characteristics'!L:L,MATCH($C137,'Policy Characteristics'!$C:$C,0)))</f>
        <v>ev-subsidy.html</v>
      </c>
    </row>
    <row r="138" spans="1:18" x14ac:dyDescent="0.3">
      <c r="A138" s="254" t="str">
        <f>IF(ISBLANK(INDEX('Policy Characteristics'!A:A,MATCH($C138,'Policy Characteristics'!$C:$C,0))),"",INDEX('Policy Characteristics'!A:A,MATCH($C138,'Policy Characteristics'!$C:$C,0)))</f>
        <v>Transportation</v>
      </c>
      <c r="B138" s="262" t="str">
        <f>IF(ISBLANK(INDEX('Policy Characteristics'!B:B,MATCH($C138,'Policy Characteristics'!$C:$C,0))),"",INDEX('Policy Characteristics'!B:B,MATCH($C138,'Policy Characteristics'!$C:$C,0)))</f>
        <v>Freight Vehicle Subsidy</v>
      </c>
      <c r="C138" s="254" t="str">
        <f t="shared" si="4"/>
        <v>Additional Freight Vehicle Subsidy</v>
      </c>
      <c r="D138" s="45" t="s">
        <v>41</v>
      </c>
      <c r="E138" s="2" t="s">
        <v>2509</v>
      </c>
      <c r="F138" s="2" t="s">
        <v>3292</v>
      </c>
      <c r="G138" s="2" t="s">
        <v>2509</v>
      </c>
      <c r="H138" s="43">
        <v>1719</v>
      </c>
      <c r="I138" s="325" t="s">
        <v>44</v>
      </c>
      <c r="J138" s="255" t="str">
        <f>IF(ISBLANK(INDEX('Policy Characteristics'!D:D,MATCH($C138,'Policy Characteristics'!$C:$C,0))),"",INDEX('Policy Characteristics'!D:D,MATCH($C138,'Policy Characteristics'!$C:$C,0)))</f>
        <v>Vehicle Subsidy</v>
      </c>
      <c r="K138" s="254" t="str">
        <f>IF(ISBLANK(INDEX('Policy Characteristics'!E:E,MATCH($C138,'Policy Characteristics'!$C:$C,0))),"",INDEX('Policy Characteristics'!E:E,MATCH($C138,'Policy Characteristics'!$C:$C,0)))</f>
        <v>trans frgt subsidy</v>
      </c>
      <c r="L138" s="261">
        <f>IF(ISBLANK(INDEX('Policy Characteristics'!F:F,MATCH($C138,'Policy Characteristics'!$C:$C,0))),"",INDEX('Policy Characteristics'!F:F,MATCH($C138,'Policy Characteristics'!$C:$C,0)))</f>
        <v>0</v>
      </c>
      <c r="M138" s="261">
        <f>IF(ISBLANK(INDEX('Policy Characteristics'!G:G,MATCH($C138,'Policy Characteristics'!$C:$C,0))),"",INDEX('Policy Characteristics'!G:G,MATCH($C138,'Policy Characteristics'!$C:$C,0)))</f>
        <v>50000</v>
      </c>
      <c r="N138" s="261">
        <f>IF(ISBLANK(INDEX('Policy Characteristics'!H:H,MATCH($C138,'Policy Characteristics'!$C:$C,0))),"",INDEX('Policy Characteristics'!H:H,MATCH($C138,'Policy Characteristics'!$C:$C,0)))</f>
        <v>100</v>
      </c>
      <c r="O138" s="254" t="str">
        <f>IF(ISBLANK(INDEX('Policy Characteristics'!I:I,MATCH($C138,'Policy Characteristics'!$C:$C,0))),"",INDEX('Policy Characteristics'!I:I,MATCH($C138,'Policy Characteristics'!$C:$C,0)))</f>
        <v>$ / vehicle</v>
      </c>
      <c r="P138" s="254" t="str">
        <f>IF(ISBLANK(INDEX('Policy Characteristics'!J:J,MATCH($C138,'Policy Characteristics'!$C:$C,0))),"",INDEX('Policy Characteristics'!J:J,MATCH($C138,'Policy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8" s="254" t="str">
        <f>IF(ISBLANK(INDEX('Policy Characteristics'!K:K,MATCH($C138,'Policy Characteristics'!$C:$C,0))),"",INDEX('Policy Characteristics'!K:K,MATCH($C138,'Policy Characteristics'!$C:$C,0)))</f>
        <v>transportation-sector-main.html#ev-subsidy</v>
      </c>
      <c r="R138" s="254" t="str">
        <f>IF(ISBLANK(INDEX('Policy Characteristics'!L:L,MATCH($C138,'Policy Characteristics'!$C:$C,0))),"",INDEX('Policy Characteristics'!L:L,MATCH($C138,'Policy Characteristics'!$C:$C,0)))</f>
        <v>ev-subsidy.html</v>
      </c>
    </row>
    <row r="139" spans="1:18" x14ac:dyDescent="0.3">
      <c r="A139" s="254" t="str">
        <f>IF(ISBLANK(INDEX('Policy Characteristics'!A:A,MATCH($C139,'Policy Characteristics'!$C:$C,0))),"",INDEX('Policy Characteristics'!A:A,MATCH($C139,'Policy Characteristics'!$C:$C,0)))</f>
        <v>Transportation</v>
      </c>
      <c r="B139" s="262" t="str">
        <f>IF(ISBLANK(INDEX('Policy Characteristics'!B:B,MATCH($C139,'Policy Characteristics'!$C:$C,0))),"",INDEX('Policy Characteristics'!B:B,MATCH($C139,'Policy Characteristics'!$C:$C,0)))</f>
        <v>Freight Vehicle Subsidy</v>
      </c>
      <c r="C139" s="254" t="str">
        <f t="shared" si="4"/>
        <v>Additional Freight Vehicle Subsidy</v>
      </c>
      <c r="D139" s="45" t="s">
        <v>41</v>
      </c>
      <c r="E139" s="2" t="s">
        <v>2508</v>
      </c>
      <c r="F139" s="2" t="s">
        <v>3292</v>
      </c>
      <c r="G139" s="2" t="s">
        <v>3450</v>
      </c>
      <c r="H139" s="43">
        <v>1720</v>
      </c>
      <c r="I139" s="325" t="s">
        <v>44</v>
      </c>
      <c r="J139" s="255" t="str">
        <f>IF(ISBLANK(INDEX('Policy Characteristics'!D:D,MATCH($C139,'Policy Characteristics'!$C:$C,0))),"",INDEX('Policy Characteristics'!D:D,MATCH($C139,'Policy Characteristics'!$C:$C,0)))</f>
        <v>Vehicle Subsidy</v>
      </c>
      <c r="K139" s="254" t="str">
        <f>IF(ISBLANK(INDEX('Policy Characteristics'!E:E,MATCH($C139,'Policy Characteristics'!$C:$C,0))),"",INDEX('Policy Characteristics'!E:E,MATCH($C139,'Policy Characteristics'!$C:$C,0)))</f>
        <v>trans frgt subsidy</v>
      </c>
      <c r="L139" s="261">
        <f>IF(ISBLANK(INDEX('Policy Characteristics'!F:F,MATCH($C139,'Policy Characteristics'!$C:$C,0))),"",INDEX('Policy Characteristics'!F:F,MATCH($C139,'Policy Characteristics'!$C:$C,0)))</f>
        <v>0</v>
      </c>
      <c r="M139" s="261">
        <f>IF(ISBLANK(INDEX('Policy Characteristics'!G:G,MATCH($C139,'Policy Characteristics'!$C:$C,0))),"",INDEX('Policy Characteristics'!G:G,MATCH($C139,'Policy Characteristics'!$C:$C,0)))</f>
        <v>50000</v>
      </c>
      <c r="N139" s="261">
        <f>IF(ISBLANK(INDEX('Policy Characteristics'!H:H,MATCH($C139,'Policy Characteristics'!$C:$C,0))),"",INDEX('Policy Characteristics'!H:H,MATCH($C139,'Policy Characteristics'!$C:$C,0)))</f>
        <v>100</v>
      </c>
      <c r="O139" s="254" t="str">
        <f>IF(ISBLANK(INDEX('Policy Characteristics'!I:I,MATCH($C139,'Policy Characteristics'!$C:$C,0))),"",INDEX('Policy Characteristics'!I:I,MATCH($C139,'Policy Characteristics'!$C:$C,0)))</f>
        <v>$ / vehicle</v>
      </c>
      <c r="P139" s="254" t="str">
        <f>IF(ISBLANK(INDEX('Policy Characteristics'!J:J,MATCH($C139,'Policy Characteristics'!$C:$C,0))),"",INDEX('Policy Characteristics'!J:J,MATCH($C139,'Policy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39" s="254" t="str">
        <f>IF(ISBLANK(INDEX('Policy Characteristics'!K:K,MATCH($C139,'Policy Characteristics'!$C:$C,0))),"",INDEX('Policy Characteristics'!K:K,MATCH($C139,'Policy Characteristics'!$C:$C,0)))</f>
        <v>transportation-sector-main.html#ev-subsidy</v>
      </c>
      <c r="R139" s="254" t="str">
        <f>IF(ISBLANK(INDEX('Policy Characteristics'!L:L,MATCH($C139,'Policy Characteristics'!$C:$C,0))),"",INDEX('Policy Characteristics'!L:L,MATCH($C139,'Policy Characteristics'!$C:$C,0)))</f>
        <v>ev-subsidy.html</v>
      </c>
    </row>
    <row r="140" spans="1:18" x14ac:dyDescent="0.3">
      <c r="A140" s="254" t="str">
        <f>IF(ISBLANK(INDEX('Policy Characteristics'!A:A,MATCH($C140,'Policy Characteristics'!$C:$C,0))),"",INDEX('Policy Characteristics'!A:A,MATCH($C140,'Policy Characteristics'!$C:$C,0)))</f>
        <v>Transportation</v>
      </c>
      <c r="B140" s="262" t="str">
        <f>IF(ISBLANK(INDEX('Policy Characteristics'!B:B,MATCH($C140,'Policy Characteristics'!$C:$C,0))),"",INDEX('Policy Characteristics'!B:B,MATCH($C140,'Policy Characteristics'!$C:$C,0)))</f>
        <v>Freight Vehicle Subsidy</v>
      </c>
      <c r="C140" s="254" t="str">
        <f t="shared" si="4"/>
        <v>Additional Freight Vehicle Subsidy</v>
      </c>
      <c r="D140" s="45" t="s">
        <v>113</v>
      </c>
      <c r="E140" s="45" t="s">
        <v>2245</v>
      </c>
      <c r="F140" s="2" t="s">
        <v>143</v>
      </c>
      <c r="G140" s="45" t="s">
        <v>3445</v>
      </c>
      <c r="H140" s="43">
        <v>1721</v>
      </c>
      <c r="I140" s="325" t="s">
        <v>44</v>
      </c>
      <c r="J140" s="255" t="str">
        <f>IF(ISBLANK(INDEX('Policy Characteristics'!D:D,MATCH($C140,'Policy Characteristics'!$C:$C,0))),"",INDEX('Policy Characteristics'!D:D,MATCH($C140,'Policy Characteristics'!$C:$C,0)))</f>
        <v>Vehicle Subsidy</v>
      </c>
      <c r="K140" s="254" t="str">
        <f>IF(ISBLANK(INDEX('Policy Characteristics'!E:E,MATCH($C140,'Policy Characteristics'!$C:$C,0))),"",INDEX('Policy Characteristics'!E:E,MATCH($C140,'Policy Characteristics'!$C:$C,0)))</f>
        <v>trans frgt subsidy</v>
      </c>
      <c r="L140" s="261">
        <f>IF(ISBLANK(INDEX('Policy Characteristics'!F:F,MATCH($C140,'Policy Characteristics'!$C:$C,0))),"",INDEX('Policy Characteristics'!F:F,MATCH($C140,'Policy Characteristics'!$C:$C,0)))</f>
        <v>0</v>
      </c>
      <c r="M140" s="261">
        <f>IF(ISBLANK(INDEX('Policy Characteristics'!G:G,MATCH($C140,'Policy Characteristics'!$C:$C,0))),"",INDEX('Policy Characteristics'!G:G,MATCH($C140,'Policy Characteristics'!$C:$C,0)))</f>
        <v>50000</v>
      </c>
      <c r="N140" s="261">
        <f>IF(ISBLANK(INDEX('Policy Characteristics'!H:H,MATCH($C140,'Policy Characteristics'!$C:$C,0))),"",INDEX('Policy Characteristics'!H:H,MATCH($C140,'Policy Characteristics'!$C:$C,0)))</f>
        <v>100</v>
      </c>
      <c r="O140" s="254" t="str">
        <f>IF(ISBLANK(INDEX('Policy Characteristics'!I:I,MATCH($C140,'Policy Characteristics'!$C:$C,0))),"",INDEX('Policy Characteristics'!I:I,MATCH($C140,'Policy Characteristics'!$C:$C,0)))</f>
        <v>$ / vehicle</v>
      </c>
      <c r="P140" s="254" t="str">
        <f>IF(ISBLANK(INDEX('Policy Characteristics'!J:J,MATCH($C140,'Policy Characteristics'!$C:$C,0))),"",INDEX('Policy Characteristics'!J:J,MATCH($C140,'Policy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0" s="254" t="str">
        <f>IF(ISBLANK(INDEX('Policy Characteristics'!K:K,MATCH($C140,'Policy Characteristics'!$C:$C,0))),"",INDEX('Policy Characteristics'!K:K,MATCH($C140,'Policy Characteristics'!$C:$C,0)))</f>
        <v>transportation-sector-main.html#ev-subsidy</v>
      </c>
      <c r="R140" s="254" t="str">
        <f>IF(ISBLANK(INDEX('Policy Characteristics'!L:L,MATCH($C140,'Policy Characteristics'!$C:$C,0))),"",INDEX('Policy Characteristics'!L:L,MATCH($C140,'Policy Characteristics'!$C:$C,0)))</f>
        <v>ev-subsidy.html</v>
      </c>
    </row>
    <row r="141" spans="1:18" x14ac:dyDescent="0.3">
      <c r="A141" s="254" t="str">
        <f>IF(ISBLANK(INDEX('Policy Characteristics'!A:A,MATCH($C141,'Policy Characteristics'!$C:$C,0))),"",INDEX('Policy Characteristics'!A:A,MATCH($C141,'Policy Characteristics'!$C:$C,0)))</f>
        <v>Transportation</v>
      </c>
      <c r="B141" s="262" t="str">
        <f>IF(ISBLANK(INDEX('Policy Characteristics'!B:B,MATCH($C141,'Policy Characteristics'!$C:$C,0))),"",INDEX('Policy Characteristics'!B:B,MATCH($C141,'Policy Characteristics'!$C:$C,0)))</f>
        <v>Freight Vehicle Subsidy</v>
      </c>
      <c r="C141" s="254" t="str">
        <f t="shared" si="4"/>
        <v>Additional Freight Vehicle Subsidy</v>
      </c>
      <c r="D141" s="45" t="s">
        <v>113</v>
      </c>
      <c r="E141" s="2" t="s">
        <v>2246</v>
      </c>
      <c r="F141" s="2" t="s">
        <v>143</v>
      </c>
      <c r="G141" s="2" t="s">
        <v>3446</v>
      </c>
      <c r="H141" s="43">
        <v>1722</v>
      </c>
      <c r="I141" s="325" t="s">
        <v>44</v>
      </c>
      <c r="J141" s="255" t="str">
        <f>IF(ISBLANK(INDEX('Policy Characteristics'!D:D,MATCH($C141,'Policy Characteristics'!$C:$C,0))),"",INDEX('Policy Characteristics'!D:D,MATCH($C141,'Policy Characteristics'!$C:$C,0)))</f>
        <v>Vehicle Subsidy</v>
      </c>
      <c r="K141" s="254" t="str">
        <f>IF(ISBLANK(INDEX('Policy Characteristics'!E:E,MATCH($C141,'Policy Characteristics'!$C:$C,0))),"",INDEX('Policy Characteristics'!E:E,MATCH($C141,'Policy Characteristics'!$C:$C,0)))</f>
        <v>trans frgt subsidy</v>
      </c>
      <c r="L141" s="261">
        <f>IF(ISBLANK(INDEX('Policy Characteristics'!F:F,MATCH($C141,'Policy Characteristics'!$C:$C,0))),"",INDEX('Policy Characteristics'!F:F,MATCH($C141,'Policy Characteristics'!$C:$C,0)))</f>
        <v>0</v>
      </c>
      <c r="M141" s="261">
        <f>IF(ISBLANK(INDEX('Policy Characteristics'!G:G,MATCH($C141,'Policy Characteristics'!$C:$C,0))),"",INDEX('Policy Characteristics'!G:G,MATCH($C141,'Policy Characteristics'!$C:$C,0)))</f>
        <v>50000</v>
      </c>
      <c r="N141" s="261">
        <f>IF(ISBLANK(INDEX('Policy Characteristics'!H:H,MATCH($C141,'Policy Characteristics'!$C:$C,0))),"",INDEX('Policy Characteristics'!H:H,MATCH($C141,'Policy Characteristics'!$C:$C,0)))</f>
        <v>100</v>
      </c>
      <c r="O141" s="254" t="str">
        <f>IF(ISBLANK(INDEX('Policy Characteristics'!I:I,MATCH($C141,'Policy Characteristics'!$C:$C,0))),"",INDEX('Policy Characteristics'!I:I,MATCH($C141,'Policy Characteristics'!$C:$C,0)))</f>
        <v>$ / vehicle</v>
      </c>
      <c r="P141" s="254" t="str">
        <f>IF(ISBLANK(INDEX('Policy Characteristics'!J:J,MATCH($C141,'Policy Characteristics'!$C:$C,0))),"",INDEX('Policy Characteristics'!J:J,MATCH($C141,'Policy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1" s="254" t="str">
        <f>IF(ISBLANK(INDEX('Policy Characteristics'!K:K,MATCH($C141,'Policy Characteristics'!$C:$C,0))),"",INDEX('Policy Characteristics'!K:K,MATCH($C141,'Policy Characteristics'!$C:$C,0)))</f>
        <v>transportation-sector-main.html#ev-subsidy</v>
      </c>
      <c r="R141" s="254" t="str">
        <f>IF(ISBLANK(INDEX('Policy Characteristics'!L:L,MATCH($C141,'Policy Characteristics'!$C:$C,0))),"",INDEX('Policy Characteristics'!L:L,MATCH($C141,'Policy Characteristics'!$C:$C,0)))</f>
        <v>ev-subsidy.html</v>
      </c>
    </row>
    <row r="142" spans="1:18" x14ac:dyDescent="0.3">
      <c r="A142" s="254" t="str">
        <f>IF(ISBLANK(INDEX('Policy Characteristics'!A:A,MATCH($C142,'Policy Characteristics'!$C:$C,0))),"",INDEX('Policy Characteristics'!A:A,MATCH($C142,'Policy Characteristics'!$C:$C,0)))</f>
        <v>Transportation</v>
      </c>
      <c r="B142" s="262" t="str">
        <f>IF(ISBLANK(INDEX('Policy Characteristics'!B:B,MATCH($C142,'Policy Characteristics'!$C:$C,0))),"",INDEX('Policy Characteristics'!B:B,MATCH($C142,'Policy Characteristics'!$C:$C,0)))</f>
        <v>Freight Vehicle Subsidy</v>
      </c>
      <c r="C142" s="254" t="str">
        <f t="shared" si="4"/>
        <v>Additional Freight Vehicle Subsidy</v>
      </c>
      <c r="D142" s="45" t="s">
        <v>113</v>
      </c>
      <c r="E142" s="2" t="s">
        <v>2247</v>
      </c>
      <c r="F142" s="2" t="s">
        <v>143</v>
      </c>
      <c r="G142" s="2" t="s">
        <v>3447</v>
      </c>
      <c r="H142" s="43">
        <v>1723</v>
      </c>
      <c r="I142" s="325" t="s">
        <v>44</v>
      </c>
      <c r="J142" s="255" t="str">
        <f>IF(ISBLANK(INDEX('Policy Characteristics'!D:D,MATCH($C142,'Policy Characteristics'!$C:$C,0))),"",INDEX('Policy Characteristics'!D:D,MATCH($C142,'Policy Characteristics'!$C:$C,0)))</f>
        <v>Vehicle Subsidy</v>
      </c>
      <c r="K142" s="254" t="str">
        <f>IF(ISBLANK(INDEX('Policy Characteristics'!E:E,MATCH($C142,'Policy Characteristics'!$C:$C,0))),"",INDEX('Policy Characteristics'!E:E,MATCH($C142,'Policy Characteristics'!$C:$C,0)))</f>
        <v>trans frgt subsidy</v>
      </c>
      <c r="L142" s="261">
        <f>IF(ISBLANK(INDEX('Policy Characteristics'!F:F,MATCH($C142,'Policy Characteristics'!$C:$C,0))),"",INDEX('Policy Characteristics'!F:F,MATCH($C142,'Policy Characteristics'!$C:$C,0)))</f>
        <v>0</v>
      </c>
      <c r="M142" s="261">
        <f>IF(ISBLANK(INDEX('Policy Characteristics'!G:G,MATCH($C142,'Policy Characteristics'!$C:$C,0))),"",INDEX('Policy Characteristics'!G:G,MATCH($C142,'Policy Characteristics'!$C:$C,0)))</f>
        <v>50000</v>
      </c>
      <c r="N142" s="261">
        <f>IF(ISBLANK(INDEX('Policy Characteristics'!H:H,MATCH($C142,'Policy Characteristics'!$C:$C,0))),"",INDEX('Policy Characteristics'!H:H,MATCH($C142,'Policy Characteristics'!$C:$C,0)))</f>
        <v>100</v>
      </c>
      <c r="O142" s="254" t="str">
        <f>IF(ISBLANK(INDEX('Policy Characteristics'!I:I,MATCH($C142,'Policy Characteristics'!$C:$C,0))),"",INDEX('Policy Characteristics'!I:I,MATCH($C142,'Policy Characteristics'!$C:$C,0)))</f>
        <v>$ / vehicle</v>
      </c>
      <c r="P142" s="254" t="str">
        <f>IF(ISBLANK(INDEX('Policy Characteristics'!J:J,MATCH($C142,'Policy Characteristics'!$C:$C,0))),"",INDEX('Policy Characteristics'!J:J,MATCH($C142,'Policy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2" s="254" t="str">
        <f>IF(ISBLANK(INDEX('Policy Characteristics'!K:K,MATCH($C142,'Policy Characteristics'!$C:$C,0))),"",INDEX('Policy Characteristics'!K:K,MATCH($C142,'Policy Characteristics'!$C:$C,0)))</f>
        <v>transportation-sector-main.html#ev-subsidy</v>
      </c>
      <c r="R142" s="254" t="str">
        <f>IF(ISBLANK(INDEX('Policy Characteristics'!L:L,MATCH($C142,'Policy Characteristics'!$C:$C,0))),"",INDEX('Policy Characteristics'!L:L,MATCH($C142,'Policy Characteristics'!$C:$C,0)))</f>
        <v>ev-subsidy.html</v>
      </c>
    </row>
    <row r="143" spans="1:18" x14ac:dyDescent="0.3">
      <c r="A143" s="254" t="str">
        <f>IF(ISBLANK(INDEX('Policy Characteristics'!A:A,MATCH($C143,'Policy Characteristics'!$C:$C,0))),"",INDEX('Policy Characteristics'!A:A,MATCH($C143,'Policy Characteristics'!$C:$C,0)))</f>
        <v>Transportation</v>
      </c>
      <c r="B143" s="262" t="str">
        <f>IF(ISBLANK(INDEX('Policy Characteristics'!B:B,MATCH($C143,'Policy Characteristics'!$C:$C,0))),"",INDEX('Policy Characteristics'!B:B,MATCH($C143,'Policy Characteristics'!$C:$C,0)))</f>
        <v>Freight Vehicle Subsidy</v>
      </c>
      <c r="C143" s="254" t="str">
        <f t="shared" si="4"/>
        <v>Additional Freight Vehicle Subsidy</v>
      </c>
      <c r="D143" s="45" t="s">
        <v>113</v>
      </c>
      <c r="E143" s="2" t="s">
        <v>2248</v>
      </c>
      <c r="F143" s="2" t="s">
        <v>143</v>
      </c>
      <c r="G143" s="2" t="s">
        <v>3448</v>
      </c>
      <c r="H143" s="43">
        <v>1724</v>
      </c>
      <c r="I143" s="325" t="s">
        <v>44</v>
      </c>
      <c r="J143" s="255" t="str">
        <f>IF(ISBLANK(INDEX('Policy Characteristics'!D:D,MATCH($C143,'Policy Characteristics'!$C:$C,0))),"",INDEX('Policy Characteristics'!D:D,MATCH($C143,'Policy Characteristics'!$C:$C,0)))</f>
        <v>Vehicle Subsidy</v>
      </c>
      <c r="K143" s="254" t="str">
        <f>IF(ISBLANK(INDEX('Policy Characteristics'!E:E,MATCH($C143,'Policy Characteristics'!$C:$C,0))),"",INDEX('Policy Characteristics'!E:E,MATCH($C143,'Policy Characteristics'!$C:$C,0)))</f>
        <v>trans frgt subsidy</v>
      </c>
      <c r="L143" s="261">
        <f>IF(ISBLANK(INDEX('Policy Characteristics'!F:F,MATCH($C143,'Policy Characteristics'!$C:$C,0))),"",INDEX('Policy Characteristics'!F:F,MATCH($C143,'Policy Characteristics'!$C:$C,0)))</f>
        <v>0</v>
      </c>
      <c r="M143" s="261">
        <f>IF(ISBLANK(INDEX('Policy Characteristics'!G:G,MATCH($C143,'Policy Characteristics'!$C:$C,0))),"",INDEX('Policy Characteristics'!G:G,MATCH($C143,'Policy Characteristics'!$C:$C,0)))</f>
        <v>50000</v>
      </c>
      <c r="N143" s="261">
        <f>IF(ISBLANK(INDEX('Policy Characteristics'!H:H,MATCH($C143,'Policy Characteristics'!$C:$C,0))),"",INDEX('Policy Characteristics'!H:H,MATCH($C143,'Policy Characteristics'!$C:$C,0)))</f>
        <v>100</v>
      </c>
      <c r="O143" s="254" t="str">
        <f>IF(ISBLANK(INDEX('Policy Characteristics'!I:I,MATCH($C143,'Policy Characteristics'!$C:$C,0))),"",INDEX('Policy Characteristics'!I:I,MATCH($C143,'Policy Characteristics'!$C:$C,0)))</f>
        <v>$ / vehicle</v>
      </c>
      <c r="P143" s="254" t="str">
        <f>IF(ISBLANK(INDEX('Policy Characteristics'!J:J,MATCH($C143,'Policy Characteristics'!$C:$C,0))),"",INDEX('Policy Characteristics'!J:J,MATCH($C143,'Policy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3" s="254" t="str">
        <f>IF(ISBLANK(INDEX('Policy Characteristics'!K:K,MATCH($C143,'Policy Characteristics'!$C:$C,0))),"",INDEX('Policy Characteristics'!K:K,MATCH($C143,'Policy Characteristics'!$C:$C,0)))</f>
        <v>transportation-sector-main.html#ev-subsidy</v>
      </c>
      <c r="R143" s="254" t="str">
        <f>IF(ISBLANK(INDEX('Policy Characteristics'!L:L,MATCH($C143,'Policy Characteristics'!$C:$C,0))),"",INDEX('Policy Characteristics'!L:L,MATCH($C143,'Policy Characteristics'!$C:$C,0)))</f>
        <v>ev-subsidy.html</v>
      </c>
    </row>
    <row r="144" spans="1:18" x14ac:dyDescent="0.3">
      <c r="A144" s="254" t="str">
        <f>IF(ISBLANK(INDEX('Policy Characteristics'!A:A,MATCH($C144,'Policy Characteristics'!$C:$C,0))),"",INDEX('Policy Characteristics'!A:A,MATCH($C144,'Policy Characteristics'!$C:$C,0)))</f>
        <v>Transportation</v>
      </c>
      <c r="B144" s="262" t="str">
        <f>IF(ISBLANK(INDEX('Policy Characteristics'!B:B,MATCH($C144,'Policy Characteristics'!$C:$C,0))),"",INDEX('Policy Characteristics'!B:B,MATCH($C144,'Policy Characteristics'!$C:$C,0)))</f>
        <v>Freight Vehicle Subsidy</v>
      </c>
      <c r="C144" s="254" t="str">
        <f t="shared" si="4"/>
        <v>Additional Freight Vehicle Subsidy</v>
      </c>
      <c r="D144" s="45" t="s">
        <v>113</v>
      </c>
      <c r="E144" s="2" t="s">
        <v>2249</v>
      </c>
      <c r="F144" s="2" t="s">
        <v>143</v>
      </c>
      <c r="G144" s="2" t="s">
        <v>3449</v>
      </c>
      <c r="H144" s="43">
        <v>1725</v>
      </c>
      <c r="I144" s="325" t="s">
        <v>44</v>
      </c>
      <c r="J144" s="255" t="str">
        <f>IF(ISBLANK(INDEX('Policy Characteristics'!D:D,MATCH($C144,'Policy Characteristics'!$C:$C,0))),"",INDEX('Policy Characteristics'!D:D,MATCH($C144,'Policy Characteristics'!$C:$C,0)))</f>
        <v>Vehicle Subsidy</v>
      </c>
      <c r="K144" s="254" t="str">
        <f>IF(ISBLANK(INDEX('Policy Characteristics'!E:E,MATCH($C144,'Policy Characteristics'!$C:$C,0))),"",INDEX('Policy Characteristics'!E:E,MATCH($C144,'Policy Characteristics'!$C:$C,0)))</f>
        <v>trans frgt subsidy</v>
      </c>
      <c r="L144" s="261">
        <f>IF(ISBLANK(INDEX('Policy Characteristics'!F:F,MATCH($C144,'Policy Characteristics'!$C:$C,0))),"",INDEX('Policy Characteristics'!F:F,MATCH($C144,'Policy Characteristics'!$C:$C,0)))</f>
        <v>0</v>
      </c>
      <c r="M144" s="261">
        <f>IF(ISBLANK(INDEX('Policy Characteristics'!G:G,MATCH($C144,'Policy Characteristics'!$C:$C,0))),"",INDEX('Policy Characteristics'!G:G,MATCH($C144,'Policy Characteristics'!$C:$C,0)))</f>
        <v>50000</v>
      </c>
      <c r="N144" s="261">
        <f>IF(ISBLANK(INDEX('Policy Characteristics'!H:H,MATCH($C144,'Policy Characteristics'!$C:$C,0))),"",INDEX('Policy Characteristics'!H:H,MATCH($C144,'Policy Characteristics'!$C:$C,0)))</f>
        <v>100</v>
      </c>
      <c r="O144" s="254" t="str">
        <f>IF(ISBLANK(INDEX('Policy Characteristics'!I:I,MATCH($C144,'Policy Characteristics'!$C:$C,0))),"",INDEX('Policy Characteristics'!I:I,MATCH($C144,'Policy Characteristics'!$C:$C,0)))</f>
        <v>$ / vehicle</v>
      </c>
      <c r="P144" s="254" t="str">
        <f>IF(ISBLANK(INDEX('Policy Characteristics'!J:J,MATCH($C144,'Policy Characteristics'!$C:$C,0))),"",INDEX('Policy Characteristics'!J:J,MATCH($C144,'Policy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4" s="254" t="str">
        <f>IF(ISBLANK(INDEX('Policy Characteristics'!K:K,MATCH($C144,'Policy Characteristics'!$C:$C,0))),"",INDEX('Policy Characteristics'!K:K,MATCH($C144,'Policy Characteristics'!$C:$C,0)))</f>
        <v>transportation-sector-main.html#ev-subsidy</v>
      </c>
      <c r="R144" s="254" t="str">
        <f>IF(ISBLANK(INDEX('Policy Characteristics'!L:L,MATCH($C144,'Policy Characteristics'!$C:$C,0))),"",INDEX('Policy Characteristics'!L:L,MATCH($C144,'Policy Characteristics'!$C:$C,0)))</f>
        <v>ev-subsidy.html</v>
      </c>
    </row>
    <row r="145" spans="1:18" x14ac:dyDescent="0.3">
      <c r="A145" s="254" t="str">
        <f>IF(ISBLANK(INDEX('Policy Characteristics'!A:A,MATCH($C145,'Policy Characteristics'!$C:$C,0))),"",INDEX('Policy Characteristics'!A:A,MATCH($C145,'Policy Characteristics'!$C:$C,0)))</f>
        <v>Transportation</v>
      </c>
      <c r="B145" s="262" t="str">
        <f>IF(ISBLANK(INDEX('Policy Characteristics'!B:B,MATCH($C145,'Policy Characteristics'!$C:$C,0))),"",INDEX('Policy Characteristics'!B:B,MATCH($C145,'Policy Characteristics'!$C:$C,0)))</f>
        <v>Freight Vehicle Subsidy</v>
      </c>
      <c r="C145" s="254" t="str">
        <f t="shared" si="4"/>
        <v>Additional Freight Vehicle Subsidy</v>
      </c>
      <c r="D145" s="45" t="s">
        <v>113</v>
      </c>
      <c r="E145" s="2" t="s">
        <v>2509</v>
      </c>
      <c r="F145" s="2" t="s">
        <v>143</v>
      </c>
      <c r="G145" s="2" t="s">
        <v>2509</v>
      </c>
      <c r="H145" s="43">
        <v>1726</v>
      </c>
      <c r="I145" s="325" t="s">
        <v>44</v>
      </c>
      <c r="J145" s="255" t="str">
        <f>IF(ISBLANK(INDEX('Policy Characteristics'!D:D,MATCH($C145,'Policy Characteristics'!$C:$C,0))),"",INDEX('Policy Characteristics'!D:D,MATCH($C145,'Policy Characteristics'!$C:$C,0)))</f>
        <v>Vehicle Subsidy</v>
      </c>
      <c r="K145" s="254" t="str">
        <f>IF(ISBLANK(INDEX('Policy Characteristics'!E:E,MATCH($C145,'Policy Characteristics'!$C:$C,0))),"",INDEX('Policy Characteristics'!E:E,MATCH($C145,'Policy Characteristics'!$C:$C,0)))</f>
        <v>trans frgt subsidy</v>
      </c>
      <c r="L145" s="261">
        <f>IF(ISBLANK(INDEX('Policy Characteristics'!F:F,MATCH($C145,'Policy Characteristics'!$C:$C,0))),"",INDEX('Policy Characteristics'!F:F,MATCH($C145,'Policy Characteristics'!$C:$C,0)))</f>
        <v>0</v>
      </c>
      <c r="M145" s="261">
        <f>IF(ISBLANK(INDEX('Policy Characteristics'!G:G,MATCH($C145,'Policy Characteristics'!$C:$C,0))),"",INDEX('Policy Characteristics'!G:G,MATCH($C145,'Policy Characteristics'!$C:$C,0)))</f>
        <v>50000</v>
      </c>
      <c r="N145" s="261">
        <f>IF(ISBLANK(INDEX('Policy Characteristics'!H:H,MATCH($C145,'Policy Characteristics'!$C:$C,0))),"",INDEX('Policy Characteristics'!H:H,MATCH($C145,'Policy Characteristics'!$C:$C,0)))</f>
        <v>100</v>
      </c>
      <c r="O145" s="254" t="str">
        <f>IF(ISBLANK(INDEX('Policy Characteristics'!I:I,MATCH($C145,'Policy Characteristics'!$C:$C,0))),"",INDEX('Policy Characteristics'!I:I,MATCH($C145,'Policy Characteristics'!$C:$C,0)))</f>
        <v>$ / vehicle</v>
      </c>
      <c r="P145" s="254" t="str">
        <f>IF(ISBLANK(INDEX('Policy Characteristics'!J:J,MATCH($C145,'Policy Characteristics'!$C:$C,0))),"",INDEX('Policy Characteristics'!J:J,MATCH($C145,'Policy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5" s="254" t="str">
        <f>IF(ISBLANK(INDEX('Policy Characteristics'!K:K,MATCH($C145,'Policy Characteristics'!$C:$C,0))),"",INDEX('Policy Characteristics'!K:K,MATCH($C145,'Policy Characteristics'!$C:$C,0)))</f>
        <v>transportation-sector-main.html#ev-subsidy</v>
      </c>
      <c r="R145" s="254" t="str">
        <f>IF(ISBLANK(INDEX('Policy Characteristics'!L:L,MATCH($C145,'Policy Characteristics'!$C:$C,0))),"",INDEX('Policy Characteristics'!L:L,MATCH($C145,'Policy Characteristics'!$C:$C,0)))</f>
        <v>ev-subsidy.html</v>
      </c>
    </row>
    <row r="146" spans="1:18" x14ac:dyDescent="0.3">
      <c r="A146" s="254" t="str">
        <f>IF(ISBLANK(INDEX('Policy Characteristics'!A:A,MATCH($C146,'Policy Characteristics'!$C:$C,0))),"",INDEX('Policy Characteristics'!A:A,MATCH($C146,'Policy Characteristics'!$C:$C,0)))</f>
        <v>Transportation</v>
      </c>
      <c r="B146" s="262" t="str">
        <f>IF(ISBLANK(INDEX('Policy Characteristics'!B:B,MATCH($C146,'Policy Characteristics'!$C:$C,0))),"",INDEX('Policy Characteristics'!B:B,MATCH($C146,'Policy Characteristics'!$C:$C,0)))</f>
        <v>Freight Vehicle Subsidy</v>
      </c>
      <c r="C146" s="254" t="str">
        <f t="shared" si="4"/>
        <v>Additional Freight Vehicle Subsidy</v>
      </c>
      <c r="D146" s="45" t="s">
        <v>113</v>
      </c>
      <c r="E146" s="2" t="s">
        <v>2508</v>
      </c>
      <c r="F146" s="2" t="s">
        <v>143</v>
      </c>
      <c r="G146" s="2" t="s">
        <v>3450</v>
      </c>
      <c r="H146" s="43">
        <v>1727</v>
      </c>
      <c r="I146" s="325" t="s">
        <v>44</v>
      </c>
      <c r="J146" s="255" t="str">
        <f>IF(ISBLANK(INDEX('Policy Characteristics'!D:D,MATCH($C146,'Policy Characteristics'!$C:$C,0))),"",INDEX('Policy Characteristics'!D:D,MATCH($C146,'Policy Characteristics'!$C:$C,0)))</f>
        <v>Vehicle Subsidy</v>
      </c>
      <c r="K146" s="254" t="str">
        <f>IF(ISBLANK(INDEX('Policy Characteristics'!E:E,MATCH($C146,'Policy Characteristics'!$C:$C,0))),"",INDEX('Policy Characteristics'!E:E,MATCH($C146,'Policy Characteristics'!$C:$C,0)))</f>
        <v>trans frgt subsidy</v>
      </c>
      <c r="L146" s="261">
        <f>IF(ISBLANK(INDEX('Policy Characteristics'!F:F,MATCH($C146,'Policy Characteristics'!$C:$C,0))),"",INDEX('Policy Characteristics'!F:F,MATCH($C146,'Policy Characteristics'!$C:$C,0)))</f>
        <v>0</v>
      </c>
      <c r="M146" s="261">
        <f>IF(ISBLANK(INDEX('Policy Characteristics'!G:G,MATCH($C146,'Policy Characteristics'!$C:$C,0))),"",INDEX('Policy Characteristics'!G:G,MATCH($C146,'Policy Characteristics'!$C:$C,0)))</f>
        <v>50000</v>
      </c>
      <c r="N146" s="261">
        <f>IF(ISBLANK(INDEX('Policy Characteristics'!H:H,MATCH($C146,'Policy Characteristics'!$C:$C,0))),"",INDEX('Policy Characteristics'!H:H,MATCH($C146,'Policy Characteristics'!$C:$C,0)))</f>
        <v>100</v>
      </c>
      <c r="O146" s="254" t="str">
        <f>IF(ISBLANK(INDEX('Policy Characteristics'!I:I,MATCH($C146,'Policy Characteristics'!$C:$C,0))),"",INDEX('Policy Characteristics'!I:I,MATCH($C146,'Policy Characteristics'!$C:$C,0)))</f>
        <v>$ / vehicle</v>
      </c>
      <c r="P146" s="254" t="str">
        <f>IF(ISBLANK(INDEX('Policy Characteristics'!J:J,MATCH($C146,'Policy Characteristics'!$C:$C,0))),"",INDEX('Policy Characteristics'!J:J,MATCH($C146,'Policy Characteristics'!$C:$C,0)))</f>
        <v>**Description:** This policy causes government to pay for the specified percentage of the purchase price of new freight vehicle.  This is in addition to subsidies that exist in the BAU case.  // **Guidance for setting values:** The U.S. currently offers a federal tax credit for up to $40,500 for qualifying clean commercial vehicles, which is incorporated in the BAU.</v>
      </c>
      <c r="Q146" s="254" t="str">
        <f>IF(ISBLANK(INDEX('Policy Characteristics'!K:K,MATCH($C146,'Policy Characteristics'!$C:$C,0))),"",INDEX('Policy Characteristics'!K:K,MATCH($C146,'Policy Characteristics'!$C:$C,0)))</f>
        <v>transportation-sector-main.html#ev-subsidy</v>
      </c>
      <c r="R146" s="254" t="str">
        <f>IF(ISBLANK(INDEX('Policy Characteristics'!L:L,MATCH($C146,'Policy Characteristics'!$C:$C,0))),"",INDEX('Policy Characteristics'!L:L,MATCH($C146,'Policy Characteristics'!$C:$C,0)))</f>
        <v>ev-subsidy.html</v>
      </c>
    </row>
    <row r="147" spans="1:18" x14ac:dyDescent="0.3">
      <c r="A147" s="254" t="str">
        <f>IF(ISBLANK(INDEX('Policy Characteristics'!A:A,MATCH($C147,'Policy Characteristics'!$C:$C,0))),"",INDEX('Policy Characteristics'!A:A,MATCH($C147,'Policy Characteristics'!$C:$C,0)))</f>
        <v>Transportation</v>
      </c>
      <c r="B147" s="262" t="str">
        <f>IF(ISBLANK(INDEX('Policy Characteristics'!B:B,MATCH($C147,'Policy Characteristics'!$C:$C,0))),"",INDEX('Policy Characteristics'!B:B,MATCH($C147,'Policy Characteristics'!$C:$C,0)))</f>
        <v>Feebate</v>
      </c>
      <c r="C147" t="s">
        <v>111</v>
      </c>
      <c r="D147" s="45"/>
      <c r="E147" s="45"/>
      <c r="F147" s="45"/>
      <c r="G147" s="45"/>
      <c r="H147" s="43">
        <v>1</v>
      </c>
      <c r="I147" s="324" t="s">
        <v>43</v>
      </c>
      <c r="J147" s="255" t="str">
        <f>IF(ISBLANK(INDEX('Policy Characteristics'!D:D,MATCH($C147,'Policy Characteristics'!$C:$C,0))),"",INDEX('Policy Characteristics'!D:D,MATCH($C147,'Policy Characteristics'!$C:$C,0)))</f>
        <v>Feebate</v>
      </c>
      <c r="K147" s="254" t="str">
        <f>IF(ISBLANK(INDEX('Policy Characteristics'!E:E,MATCH($C147,'Policy Characteristics'!$C:$C,0))),"",INDEX('Policy Characteristics'!E:E,MATCH($C147,'Policy Characteristics'!$C:$C,0)))</f>
        <v>trans LDVs feebate</v>
      </c>
      <c r="L147" s="261">
        <f>IF(ISBLANK(INDEX('Policy Characteristics'!F:F,MATCH($C147,'Policy Characteristics'!$C:$C,0))),"",INDEX('Policy Characteristics'!F:F,MATCH($C147,'Policy Characteristics'!$C:$C,0)))</f>
        <v>0</v>
      </c>
      <c r="M147" s="261">
        <f>IF(ISBLANK(INDEX('Policy Characteristics'!G:G,MATCH($C147,'Policy Characteristics'!$C:$C,0))),"",INDEX('Policy Characteristics'!G:G,MATCH($C147,'Policy Characteristics'!$C:$C,0)))</f>
        <v>1</v>
      </c>
      <c r="N147" s="261">
        <f>IF(ISBLANK(INDEX('Policy Characteristics'!H:H,MATCH($C147,'Policy Characteristics'!$C:$C,0))),"",INDEX('Policy Characteristics'!H:H,MATCH($C147,'Policy Characteristics'!$C:$C,0)))</f>
        <v>0.02</v>
      </c>
      <c r="O147" s="254" t="str">
        <f>IF(ISBLANK(INDEX('Policy Characteristics'!I:I,MATCH($C147,'Policy Characteristics'!$C:$C,0))),"",INDEX('Policy Characteristics'!I:I,MATCH($C147,'Policy Characteristics'!$C:$C,0)))</f>
        <v>% of global best practice rate</v>
      </c>
      <c r="P147" s="254"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4" t="str">
        <f>IF(ISBLANK(INDEX('Policy Characteristics'!K:K,MATCH($C147,'Policy Characteristics'!$C:$C,0))),"",INDEX('Policy Characteristics'!K:K,MATCH($C147,'Policy Characteristics'!$C:$C,0)))</f>
        <v>transportation-sector-main.html#feebate</v>
      </c>
      <c r="R147" s="254" t="str">
        <f>IF(ISBLANK(INDEX('Policy Characteristics'!L:L,MATCH($C147,'Policy Characteristics'!$C:$C,0))),"",INDEX('Policy Characteristics'!L:L,MATCH($C147,'Policy Characteristics'!$C:$C,0)))</f>
        <v>feebate.html</v>
      </c>
    </row>
    <row r="148" spans="1:18" x14ac:dyDescent="0.3">
      <c r="A148" s="254" t="str">
        <f>IF(ISBLANK(INDEX('Policy Characteristics'!A:A,MATCH($C148,'Policy Characteristics'!$C:$C,0))),"",INDEX('Policy Characteristics'!A:A,MATCH($C148,'Policy Characteristics'!$C:$C,0)))</f>
        <v>Transportation</v>
      </c>
      <c r="B148" s="262" t="str">
        <f>IF(ISBLANK(INDEX('Policy Characteristics'!B:B,MATCH($C148,'Policy Characteristics'!$C:$C,0))),"",INDEX('Policy Characteristics'!B:B,MATCH($C148,'Policy Characteristics'!$C:$C,0)))</f>
        <v>Fuel Economy Standard</v>
      </c>
      <c r="C148" t="s">
        <v>298</v>
      </c>
      <c r="D148" s="45" t="s">
        <v>45</v>
      </c>
      <c r="E148" s="45" t="s">
        <v>37</v>
      </c>
      <c r="F148" s="45" t="s">
        <v>84</v>
      </c>
      <c r="G148" s="2" t="s">
        <v>3293</v>
      </c>
      <c r="H148" s="43">
        <v>362</v>
      </c>
      <c r="I148" s="325" t="s">
        <v>43</v>
      </c>
      <c r="J148" s="255" t="str">
        <f>IF(ISBLANK(INDEX('Policy Characteristics'!D:D,MATCH($C148,'Policy Characteristics'!$C:$C,0))),"",INDEX('Policy Characteristics'!D:D,MATCH($C148,'Policy Characteristics'!$C:$C,0)))</f>
        <v>Vehicle Fuel Economy Standards</v>
      </c>
      <c r="K148" s="254" t="str">
        <f>IF(ISBLANK(INDEX('Policy Characteristics'!E:E,MATCH($C148,'Policy Characteristics'!$C:$C,0))),"",INDEX('Policy Characteristics'!E:E,MATCH($C148,'Policy Characteristics'!$C:$C,0)))</f>
        <v>trans fuel economy standards</v>
      </c>
      <c r="L148" s="261">
        <f>IF(ISBLANK(INDEX('Policy Characteristics'!F:F,MATCH($C148,'Policy Characteristics'!$C:$C,0))),"",INDEX('Policy Characteristics'!F:F,MATCH($C148,'Policy Characteristics'!$C:$C,0)))</f>
        <v>0</v>
      </c>
      <c r="M148" s="261">
        <f>IF(ISBLANK(INDEX('Policy Characteristics'!G:G,MATCH($C148,'Policy Characteristics'!$C:$C,0))),"",INDEX('Policy Characteristics'!G:G,MATCH($C148,'Policy Characteristics'!$C:$C,0)))</f>
        <v>1</v>
      </c>
      <c r="N148" s="261">
        <f>IF(ISBLANK(INDEX('Policy Characteristics'!H:H,MATCH($C148,'Policy Characteristics'!$C:$C,0))),"",INDEX('Policy Characteristics'!H:H,MATCH($C148,'Policy Characteristics'!$C:$C,0)))</f>
        <v>0.01</v>
      </c>
      <c r="O148" s="254" t="str">
        <f>IF(ISBLANK(INDEX('Policy Characteristics'!I:I,MATCH($C148,'Policy Characteristics'!$C:$C,0))),"",INDEX('Policy Characteristics'!I:I,MATCH($C148,'Policy Characteristics'!$C:$C,0)))</f>
        <v>% increase in miles/gal</v>
      </c>
      <c r="P148" s="254"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4" t="str">
        <f>IF(ISBLANK(INDEX('Policy Characteristics'!K:K,MATCH($C148,'Policy Characteristics'!$C:$C,0))),"",INDEX('Policy Characteristics'!K:K,MATCH($C148,'Policy Characteristics'!$C:$C,0)))</f>
        <v>transportation-sector-main.html#fuel-econ-std</v>
      </c>
      <c r="R148" s="254" t="str">
        <f>IF(ISBLANK(INDEX('Policy Characteristics'!L:L,MATCH($C148,'Policy Characteristics'!$C:$C,0))),"",INDEX('Policy Characteristics'!L:L,MATCH($C148,'Policy Characteristics'!$C:$C,0)))</f>
        <v>fuel-economy-standard.html</v>
      </c>
    </row>
    <row r="149" spans="1:18" x14ac:dyDescent="0.3">
      <c r="A149" s="254" t="str">
        <f>IF(ISBLANK(INDEX('Policy Characteristics'!A:A,MATCH($C149,'Policy Characteristics'!$C:$C,0))),"",INDEX('Policy Characteristics'!A:A,MATCH($C149,'Policy Characteristics'!$C:$C,0)))</f>
        <v>Transportation</v>
      </c>
      <c r="B149" s="262" t="str">
        <f>IF(ISBLANK(INDEX('Policy Characteristics'!B:B,MATCH($C149,'Policy Characteristics'!$C:$C,0))),"",INDEX('Policy Characteristics'!B:B,MATCH($C149,'Policy Characteristics'!$C:$C,0)))</f>
        <v>Fuel Economy Standard</v>
      </c>
      <c r="C149" s="254" t="str">
        <f t="shared" ref="C149:C152" si="5">C$148</f>
        <v>Percentage Additional Improvement of Fuel Economy Std</v>
      </c>
      <c r="D149" s="45" t="s">
        <v>42</v>
      </c>
      <c r="E149" s="45" t="s">
        <v>37</v>
      </c>
      <c r="F149" s="45" t="s">
        <v>85</v>
      </c>
      <c r="G149" s="2" t="s">
        <v>3457</v>
      </c>
      <c r="H149" s="43">
        <v>363</v>
      </c>
      <c r="I149" s="325" t="s">
        <v>43</v>
      </c>
      <c r="J149" s="255" t="str">
        <f>IF(ISBLANK(INDEX('Policy Characteristics'!D:D,MATCH($C149,'Policy Characteristics'!$C:$C,0))),"",INDEX('Policy Characteristics'!D:D,MATCH($C149,'Policy Characteristics'!$C:$C,0)))</f>
        <v>Vehicle Fuel Economy Standards</v>
      </c>
      <c r="K149" s="254" t="str">
        <f>IF(ISBLANK(INDEX('Policy Characteristics'!E:E,MATCH($C149,'Policy Characteristics'!$C:$C,0))),"",INDEX('Policy Characteristics'!E:E,MATCH($C149,'Policy Characteristics'!$C:$C,0)))</f>
        <v>trans fuel economy standards</v>
      </c>
      <c r="L149" s="261">
        <f>IF(ISBLANK(INDEX('Policy Characteristics'!F:F,MATCH($C149,'Policy Characteristics'!$C:$C,0))),"",INDEX('Policy Characteristics'!F:F,MATCH($C149,'Policy Characteristics'!$C:$C,0)))</f>
        <v>0</v>
      </c>
      <c r="M149" s="261">
        <f>IF(ISBLANK(INDEX('Policy Characteristics'!G:G,MATCH($C149,'Policy Characteristics'!$C:$C,0))),"",INDEX('Policy Characteristics'!G:G,MATCH($C149,'Policy Characteristics'!$C:$C,0)))</f>
        <v>1</v>
      </c>
      <c r="N149" s="261">
        <f>IF(ISBLANK(INDEX('Policy Characteristics'!H:H,MATCH($C149,'Policy Characteristics'!$C:$C,0))),"",INDEX('Policy Characteristics'!H:H,MATCH($C149,'Policy Characteristics'!$C:$C,0)))</f>
        <v>0.01</v>
      </c>
      <c r="O149" s="254" t="str">
        <f>IF(ISBLANK(INDEX('Policy Characteristics'!I:I,MATCH($C149,'Policy Characteristics'!$C:$C,0))),"",INDEX('Policy Characteristics'!I:I,MATCH($C149,'Policy Characteristics'!$C:$C,0)))</f>
        <v>% increase in miles/gal</v>
      </c>
      <c r="P149" s="254"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4" t="str">
        <f>IF(ISBLANK(INDEX('Policy Characteristics'!K:K,MATCH($C149,'Policy Characteristics'!$C:$C,0))),"",INDEX('Policy Characteristics'!K:K,MATCH($C149,'Policy Characteristics'!$C:$C,0)))</f>
        <v>transportation-sector-main.html#fuel-econ-std</v>
      </c>
      <c r="R149" s="254" t="str">
        <f>IF(ISBLANK(INDEX('Policy Characteristics'!L:L,MATCH($C149,'Policy Characteristics'!$C:$C,0))),"",INDEX('Policy Characteristics'!L:L,MATCH($C149,'Policy Characteristics'!$C:$C,0)))</f>
        <v>fuel-economy-standard.html</v>
      </c>
    </row>
    <row r="150" spans="1:18" x14ac:dyDescent="0.3">
      <c r="A150" s="254" t="str">
        <f>IF(ISBLANK(INDEX('Policy Characteristics'!A:A,MATCH($C150,'Policy Characteristics'!$C:$C,0))),"",INDEX('Policy Characteristics'!A:A,MATCH($C150,'Policy Characteristics'!$C:$C,0)))</f>
        <v>Transportation</v>
      </c>
      <c r="B150" s="262" t="str">
        <f>IF(ISBLANK(INDEX('Policy Characteristics'!B:B,MATCH($C150,'Policy Characteristics'!$C:$C,0))),"",INDEX('Policy Characteristics'!B:B,MATCH($C150,'Policy Characteristics'!$C:$C,0)))</f>
        <v>Fuel Economy Standard</v>
      </c>
      <c r="C150" s="254" t="str">
        <f t="shared" ref="C150:C153" si="6">C$148</f>
        <v>Percentage Additional Improvement of Fuel Economy Std</v>
      </c>
      <c r="D150" s="45" t="s">
        <v>45</v>
      </c>
      <c r="E150" s="45" t="s">
        <v>38</v>
      </c>
      <c r="F150" s="45" t="s">
        <v>84</v>
      </c>
      <c r="G150" s="2" t="s">
        <v>2344</v>
      </c>
      <c r="H150" s="43">
        <v>364</v>
      </c>
      <c r="I150" s="325" t="s">
        <v>43</v>
      </c>
      <c r="J150" s="255" t="str">
        <f>IF(ISBLANK(INDEX('Policy Characteristics'!D:D,MATCH($C150,'Policy Characteristics'!$C:$C,0))),"",INDEX('Policy Characteristics'!D:D,MATCH($C150,'Policy Characteristics'!$C:$C,0)))</f>
        <v>Vehicle Fuel Economy Standards</v>
      </c>
      <c r="K150" s="254" t="str">
        <f>IF(ISBLANK(INDEX('Policy Characteristics'!E:E,MATCH($C150,'Policy Characteristics'!$C:$C,0))),"",INDEX('Policy Characteristics'!E:E,MATCH($C150,'Policy Characteristics'!$C:$C,0)))</f>
        <v>trans fuel economy standards</v>
      </c>
      <c r="L150" s="261">
        <f>IF(ISBLANK(INDEX('Policy Characteristics'!F:F,MATCH($C150,'Policy Characteristics'!$C:$C,0))),"",INDEX('Policy Characteristics'!F:F,MATCH($C150,'Policy Characteristics'!$C:$C,0)))</f>
        <v>0</v>
      </c>
      <c r="M150" s="261">
        <f>IF(ISBLANK(INDEX('Policy Characteristics'!G:G,MATCH($C150,'Policy Characteristics'!$C:$C,0))),"",INDEX('Policy Characteristics'!G:G,MATCH($C150,'Policy Characteristics'!$C:$C,0)))</f>
        <v>1</v>
      </c>
      <c r="N150" s="261">
        <f>IF(ISBLANK(INDEX('Policy Characteristics'!H:H,MATCH($C150,'Policy Characteristics'!$C:$C,0))),"",INDEX('Policy Characteristics'!H:H,MATCH($C150,'Policy Characteristics'!$C:$C,0)))</f>
        <v>0.01</v>
      </c>
      <c r="O150" s="254" t="str">
        <f>IF(ISBLANK(INDEX('Policy Characteristics'!I:I,MATCH($C150,'Policy Characteristics'!$C:$C,0))),"",INDEX('Policy Characteristics'!I:I,MATCH($C150,'Policy Characteristics'!$C:$C,0)))</f>
        <v>% increase in miles/gal</v>
      </c>
      <c r="P150" s="254"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4" t="str">
        <f>IF(ISBLANK(INDEX('Policy Characteristics'!K:K,MATCH($C150,'Policy Characteristics'!$C:$C,0))),"",INDEX('Policy Characteristics'!K:K,MATCH($C150,'Policy Characteristics'!$C:$C,0)))</f>
        <v>transportation-sector-main.html#fuel-econ-std</v>
      </c>
      <c r="R150" s="254" t="str">
        <f>IF(ISBLANK(INDEX('Policy Characteristics'!L:L,MATCH($C150,'Policy Characteristics'!$C:$C,0))),"",INDEX('Policy Characteristics'!L:L,MATCH($C150,'Policy Characteristics'!$C:$C,0)))</f>
        <v>fuel-economy-standard.html</v>
      </c>
    </row>
    <row r="151" spans="1:18" x14ac:dyDescent="0.3">
      <c r="A151" s="254" t="str">
        <f>IF(ISBLANK(INDEX('Policy Characteristics'!A:A,MATCH($C151,'Policy Characteristics'!$C:$C,0))),"",INDEX('Policy Characteristics'!A:A,MATCH($C151,'Policy Characteristics'!$C:$C,0)))</f>
        <v>Transportation</v>
      </c>
      <c r="B151" s="262" t="str">
        <f>IF(ISBLANK(INDEX('Policy Characteristics'!B:B,MATCH($C151,'Policy Characteristics'!$C:$C,0))),"",INDEX('Policy Characteristics'!B:B,MATCH($C151,'Policy Characteristics'!$C:$C,0)))</f>
        <v>Fuel Economy Standard</v>
      </c>
      <c r="C151" s="254" t="str">
        <f t="shared" si="5"/>
        <v>Percentage Additional Improvement of Fuel Economy Std</v>
      </c>
      <c r="D151" s="45" t="s">
        <v>42</v>
      </c>
      <c r="E151" s="45" t="s">
        <v>38</v>
      </c>
      <c r="F151" s="45" t="s">
        <v>85</v>
      </c>
      <c r="G151" s="2" t="s">
        <v>3453</v>
      </c>
      <c r="H151" s="43">
        <v>365</v>
      </c>
      <c r="I151" s="325" t="s">
        <v>43</v>
      </c>
      <c r="J151" s="255" t="str">
        <f>IF(ISBLANK(INDEX('Policy Characteristics'!D:D,MATCH($C151,'Policy Characteristics'!$C:$C,0))),"",INDEX('Policy Characteristics'!D:D,MATCH($C151,'Policy Characteristics'!$C:$C,0)))</f>
        <v>Vehicle Fuel Economy Standards</v>
      </c>
      <c r="K151" s="254" t="str">
        <f>IF(ISBLANK(INDEX('Policy Characteristics'!E:E,MATCH($C151,'Policy Characteristics'!$C:$C,0))),"",INDEX('Policy Characteristics'!E:E,MATCH($C151,'Policy Characteristics'!$C:$C,0)))</f>
        <v>trans fuel economy standards</v>
      </c>
      <c r="L151" s="261">
        <f>IF(ISBLANK(INDEX('Policy Characteristics'!F:F,MATCH($C151,'Policy Characteristics'!$C:$C,0))),"",INDEX('Policy Characteristics'!F:F,MATCH($C151,'Policy Characteristics'!$C:$C,0)))</f>
        <v>0</v>
      </c>
      <c r="M151" s="261">
        <f>IF(ISBLANK(INDEX('Policy Characteristics'!G:G,MATCH($C151,'Policy Characteristics'!$C:$C,0))),"",INDEX('Policy Characteristics'!G:G,MATCH($C151,'Policy Characteristics'!$C:$C,0)))</f>
        <v>1</v>
      </c>
      <c r="N151" s="261">
        <f>IF(ISBLANK(INDEX('Policy Characteristics'!H:H,MATCH($C151,'Policy Characteristics'!$C:$C,0))),"",INDEX('Policy Characteristics'!H:H,MATCH($C151,'Policy Characteristics'!$C:$C,0)))</f>
        <v>0.01</v>
      </c>
      <c r="O151" s="254" t="str">
        <f>IF(ISBLANK(INDEX('Policy Characteristics'!I:I,MATCH($C151,'Policy Characteristics'!$C:$C,0))),"",INDEX('Policy Characteristics'!I:I,MATCH($C151,'Policy Characteristics'!$C:$C,0)))</f>
        <v>% increase in miles/gal</v>
      </c>
      <c r="P151" s="254"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4" t="str">
        <f>IF(ISBLANK(INDEX('Policy Characteristics'!K:K,MATCH($C151,'Policy Characteristics'!$C:$C,0))),"",INDEX('Policy Characteristics'!K:K,MATCH($C151,'Policy Characteristics'!$C:$C,0)))</f>
        <v>transportation-sector-main.html#fuel-econ-std</v>
      </c>
      <c r="R151" s="254" t="str">
        <f>IF(ISBLANK(INDEX('Policy Characteristics'!L:L,MATCH($C151,'Policy Characteristics'!$C:$C,0))),"",INDEX('Policy Characteristics'!L:L,MATCH($C151,'Policy Characteristics'!$C:$C,0)))</f>
        <v>fuel-economy-standard.html</v>
      </c>
    </row>
    <row r="152" spans="1:18" x14ac:dyDescent="0.3">
      <c r="A152" s="254" t="str">
        <f>IF(ISBLANK(INDEX('Policy Characteristics'!A:A,MATCH($C152,'Policy Characteristics'!$C:$C,0))),"",INDEX('Policy Characteristics'!A:A,MATCH($C152,'Policy Characteristics'!$C:$C,0)))</f>
        <v>Transportation</v>
      </c>
      <c r="B152" s="262" t="str">
        <f>IF(ISBLANK(INDEX('Policy Characteristics'!B:B,MATCH($C152,'Policy Characteristics'!$C:$C,0))),"",INDEX('Policy Characteristics'!B:B,MATCH($C152,'Policy Characteristics'!$C:$C,0)))</f>
        <v>Fuel Economy Standard</v>
      </c>
      <c r="C152" s="254" t="str">
        <f t="shared" si="5"/>
        <v>Percentage Additional Improvement of Fuel Economy Std</v>
      </c>
      <c r="D152" s="45" t="s">
        <v>45</v>
      </c>
      <c r="E152" s="45" t="s">
        <v>39</v>
      </c>
      <c r="F152" s="45" t="s">
        <v>84</v>
      </c>
      <c r="G152" s="2" t="s">
        <v>3290</v>
      </c>
      <c r="H152" s="43">
        <v>366</v>
      </c>
      <c r="I152" s="325" t="s">
        <v>43</v>
      </c>
      <c r="J152" s="255" t="str">
        <f>IF(ISBLANK(INDEX('Policy Characteristics'!D:D,MATCH($C152,'Policy Characteristics'!$C:$C,0))),"",INDEX('Policy Characteristics'!D:D,MATCH($C152,'Policy Characteristics'!$C:$C,0)))</f>
        <v>Vehicle Fuel Economy Standards</v>
      </c>
      <c r="K152" s="254" t="str">
        <f>IF(ISBLANK(INDEX('Policy Characteristics'!E:E,MATCH($C152,'Policy Characteristics'!$C:$C,0))),"",INDEX('Policy Characteristics'!E:E,MATCH($C152,'Policy Characteristics'!$C:$C,0)))</f>
        <v>trans fuel economy standards</v>
      </c>
      <c r="L152" s="261">
        <f>IF(ISBLANK(INDEX('Policy Characteristics'!F:F,MATCH($C152,'Policy Characteristics'!$C:$C,0))),"",INDEX('Policy Characteristics'!F:F,MATCH($C152,'Policy Characteristics'!$C:$C,0)))</f>
        <v>0</v>
      </c>
      <c r="M152" s="261">
        <f>IF(ISBLANK(INDEX('Policy Characteristics'!G:G,MATCH($C152,'Policy Characteristics'!$C:$C,0))),"",INDEX('Policy Characteristics'!G:G,MATCH($C152,'Policy Characteristics'!$C:$C,0)))</f>
        <v>1</v>
      </c>
      <c r="N152" s="261">
        <f>IF(ISBLANK(INDEX('Policy Characteristics'!H:H,MATCH($C152,'Policy Characteristics'!$C:$C,0))),"",INDEX('Policy Characteristics'!H:H,MATCH($C152,'Policy Characteristics'!$C:$C,0)))</f>
        <v>0.01</v>
      </c>
      <c r="O152" s="254" t="str">
        <f>IF(ISBLANK(INDEX('Policy Characteristics'!I:I,MATCH($C152,'Policy Characteristics'!$C:$C,0))),"",INDEX('Policy Characteristics'!I:I,MATCH($C152,'Policy Characteristics'!$C:$C,0)))</f>
        <v>% increase in miles/gal</v>
      </c>
      <c r="P152" s="254"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4" t="str">
        <f>IF(ISBLANK(INDEX('Policy Characteristics'!K:K,MATCH($C152,'Policy Characteristics'!$C:$C,0))),"",INDEX('Policy Characteristics'!K:K,MATCH($C152,'Policy Characteristics'!$C:$C,0)))</f>
        <v>transportation-sector-main.html#fuel-econ-std</v>
      </c>
      <c r="R152" s="254" t="str">
        <f>IF(ISBLANK(INDEX('Policy Characteristics'!L:L,MATCH($C152,'Policy Characteristics'!$C:$C,0))),"",INDEX('Policy Characteristics'!L:L,MATCH($C152,'Policy Characteristics'!$C:$C,0)))</f>
        <v>fuel-economy-standard.html</v>
      </c>
    </row>
    <row r="153" spans="1:18" x14ac:dyDescent="0.3">
      <c r="A153" s="254" t="str">
        <f>IF(ISBLANK(INDEX('Policy Characteristics'!A:A,MATCH($C153,'Policy Characteristics'!$C:$C,0))),"",INDEX('Policy Characteristics'!A:A,MATCH($C153,'Policy Characteristics'!$C:$C,0)))</f>
        <v>Transportation</v>
      </c>
      <c r="B153" s="262" t="str">
        <f>IF(ISBLANK(INDEX('Policy Characteristics'!B:B,MATCH($C153,'Policy Characteristics'!$C:$C,0))),"",INDEX('Policy Characteristics'!B:B,MATCH($C153,'Policy Characteristics'!$C:$C,0)))</f>
        <v>Fuel Economy Standard</v>
      </c>
      <c r="C153" s="254" t="str">
        <f t="shared" si="6"/>
        <v>Percentage Additional Improvement of Fuel Economy Std</v>
      </c>
      <c r="D153" s="45" t="s">
        <v>42</v>
      </c>
      <c r="E153" s="45" t="s">
        <v>39</v>
      </c>
      <c r="F153" s="45" t="s">
        <v>85</v>
      </c>
      <c r="G153" s="2" t="s">
        <v>3290</v>
      </c>
      <c r="H153" s="43">
        <v>367</v>
      </c>
      <c r="I153" s="325" t="s">
        <v>43</v>
      </c>
      <c r="J153" s="255" t="str">
        <f>IF(ISBLANK(INDEX('Policy Characteristics'!D:D,MATCH($C153,'Policy Characteristics'!$C:$C,0))),"",INDEX('Policy Characteristics'!D:D,MATCH($C153,'Policy Characteristics'!$C:$C,0)))</f>
        <v>Vehicle Fuel Economy Standards</v>
      </c>
      <c r="K153" s="254" t="str">
        <f>IF(ISBLANK(INDEX('Policy Characteristics'!E:E,MATCH($C153,'Policy Characteristics'!$C:$C,0))),"",INDEX('Policy Characteristics'!E:E,MATCH($C153,'Policy Characteristics'!$C:$C,0)))</f>
        <v>trans fuel economy standards</v>
      </c>
      <c r="L153" s="261">
        <f>IF(ISBLANK(INDEX('Policy Characteristics'!F:F,MATCH($C153,'Policy Characteristics'!$C:$C,0))),"",INDEX('Policy Characteristics'!F:F,MATCH($C153,'Policy Characteristics'!$C:$C,0)))</f>
        <v>0</v>
      </c>
      <c r="M153" s="261">
        <f>IF(ISBLANK(INDEX('Policy Characteristics'!G:G,MATCH($C153,'Policy Characteristics'!$C:$C,0))),"",INDEX('Policy Characteristics'!G:G,MATCH($C153,'Policy Characteristics'!$C:$C,0)))</f>
        <v>1</v>
      </c>
      <c r="N153" s="261">
        <f>IF(ISBLANK(INDEX('Policy Characteristics'!H:H,MATCH($C153,'Policy Characteristics'!$C:$C,0))),"",INDEX('Policy Characteristics'!H:H,MATCH($C153,'Policy Characteristics'!$C:$C,0)))</f>
        <v>0.01</v>
      </c>
      <c r="O153" s="254" t="str">
        <f>IF(ISBLANK(INDEX('Policy Characteristics'!I:I,MATCH($C153,'Policy Characteristics'!$C:$C,0))),"",INDEX('Policy Characteristics'!I:I,MATCH($C153,'Policy Characteristics'!$C:$C,0)))</f>
        <v>% increase in miles/gal</v>
      </c>
      <c r="P153" s="254"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4" t="str">
        <f>IF(ISBLANK(INDEX('Policy Characteristics'!K:K,MATCH($C153,'Policy Characteristics'!$C:$C,0))),"",INDEX('Policy Characteristics'!K:K,MATCH($C153,'Policy Characteristics'!$C:$C,0)))</f>
        <v>transportation-sector-main.html#fuel-econ-std</v>
      </c>
      <c r="R153" s="254" t="str">
        <f>IF(ISBLANK(INDEX('Policy Characteristics'!L:L,MATCH($C153,'Policy Characteristics'!$C:$C,0))),"",INDEX('Policy Characteristics'!L:L,MATCH($C153,'Policy Characteristics'!$C:$C,0)))</f>
        <v>fuel-economy-standard.html</v>
      </c>
    </row>
    <row r="154" spans="1:18" x14ac:dyDescent="0.3">
      <c r="A154" s="254" t="str">
        <f>IF(ISBLANK(INDEX('Policy Characteristics'!A:A,MATCH($C154,'Policy Characteristics'!$C:$C,0))),"",INDEX('Policy Characteristics'!A:A,MATCH($C154,'Policy Characteristics'!$C:$C,0)))</f>
        <v>Transportation</v>
      </c>
      <c r="B154" s="262" t="str">
        <f>IF(ISBLANK(INDEX('Policy Characteristics'!B:B,MATCH($C154,'Policy Characteristics'!$C:$C,0))),"",INDEX('Policy Characteristics'!B:B,MATCH($C154,'Policy Characteristics'!$C:$C,0)))</f>
        <v>Fuel Economy Standard</v>
      </c>
      <c r="C154" s="254" t="str">
        <f t="shared" ref="C154:C159" si="7">C$148</f>
        <v>Percentage Additional Improvement of Fuel Economy Std</v>
      </c>
      <c r="D154" s="45" t="s">
        <v>45</v>
      </c>
      <c r="E154" s="45" t="s">
        <v>40</v>
      </c>
      <c r="F154" s="45" t="s">
        <v>84</v>
      </c>
      <c r="G154" s="2" t="s">
        <v>86</v>
      </c>
      <c r="H154" s="43">
        <v>368</v>
      </c>
      <c r="I154" s="325" t="s">
        <v>43</v>
      </c>
      <c r="J154" s="255" t="str">
        <f>IF(ISBLANK(INDEX('Policy Characteristics'!D:D,MATCH($C154,'Policy Characteristics'!$C:$C,0))),"",INDEX('Policy Characteristics'!D:D,MATCH($C154,'Policy Characteristics'!$C:$C,0)))</f>
        <v>Vehicle Fuel Economy Standards</v>
      </c>
      <c r="K154" s="254" t="str">
        <f>IF(ISBLANK(INDEX('Policy Characteristics'!E:E,MATCH($C154,'Policy Characteristics'!$C:$C,0))),"",INDEX('Policy Characteristics'!E:E,MATCH($C154,'Policy Characteristics'!$C:$C,0)))</f>
        <v>trans fuel economy standards</v>
      </c>
      <c r="L154" s="261">
        <f>IF(ISBLANK(INDEX('Policy Characteristics'!F:F,MATCH($C154,'Policy Characteristics'!$C:$C,0))),"",INDEX('Policy Characteristics'!F:F,MATCH($C154,'Policy Characteristics'!$C:$C,0)))</f>
        <v>0</v>
      </c>
      <c r="M154" s="261">
        <f>IF(ISBLANK(INDEX('Policy Characteristics'!G:G,MATCH($C154,'Policy Characteristics'!$C:$C,0))),"",INDEX('Policy Characteristics'!G:G,MATCH($C154,'Policy Characteristics'!$C:$C,0)))</f>
        <v>1</v>
      </c>
      <c r="N154" s="261">
        <f>IF(ISBLANK(INDEX('Policy Characteristics'!H:H,MATCH($C154,'Policy Characteristics'!$C:$C,0))),"",INDEX('Policy Characteristics'!H:H,MATCH($C154,'Policy Characteristics'!$C:$C,0)))</f>
        <v>0.01</v>
      </c>
      <c r="O154" s="254" t="str">
        <f>IF(ISBLANK(INDEX('Policy Characteristics'!I:I,MATCH($C154,'Policy Characteristics'!$C:$C,0))),"",INDEX('Policy Characteristics'!I:I,MATCH($C154,'Policy Characteristics'!$C:$C,0)))</f>
        <v>% increase in miles/gal</v>
      </c>
      <c r="P154" s="254"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4" t="str">
        <f>IF(ISBLANK(INDEX('Policy Characteristics'!K:K,MATCH($C154,'Policy Characteristics'!$C:$C,0))),"",INDEX('Policy Characteristics'!K:K,MATCH($C154,'Policy Characteristics'!$C:$C,0)))</f>
        <v>transportation-sector-main.html#fuel-econ-std</v>
      </c>
      <c r="R154" s="254" t="str">
        <f>IF(ISBLANK(INDEX('Policy Characteristics'!L:L,MATCH($C154,'Policy Characteristics'!$C:$C,0))),"",INDEX('Policy Characteristics'!L:L,MATCH($C154,'Policy Characteristics'!$C:$C,0)))</f>
        <v>fuel-economy-standard.html</v>
      </c>
    </row>
    <row r="155" spans="1:18" x14ac:dyDescent="0.3">
      <c r="A155" s="254" t="str">
        <f>IF(ISBLANK(INDEX('Policy Characteristics'!A:A,MATCH($C155,'Policy Characteristics'!$C:$C,0))),"",INDEX('Policy Characteristics'!A:A,MATCH($C155,'Policy Characteristics'!$C:$C,0)))</f>
        <v>Transportation</v>
      </c>
      <c r="B155" s="262" t="str">
        <f>IF(ISBLANK(INDEX('Policy Characteristics'!B:B,MATCH($C155,'Policy Characteristics'!$C:$C,0))),"",INDEX('Policy Characteristics'!B:B,MATCH($C155,'Policy Characteristics'!$C:$C,0)))</f>
        <v>Fuel Economy Standard</v>
      </c>
      <c r="C155" s="254" t="str">
        <f t="shared" si="7"/>
        <v>Percentage Additional Improvement of Fuel Economy Std</v>
      </c>
      <c r="D155" s="45" t="s">
        <v>42</v>
      </c>
      <c r="E155" s="45" t="s">
        <v>40</v>
      </c>
      <c r="F155" s="45" t="s">
        <v>85</v>
      </c>
      <c r="G155" s="2" t="s">
        <v>86</v>
      </c>
      <c r="H155" s="43">
        <v>369</v>
      </c>
      <c r="I155" s="325" t="s">
        <v>43</v>
      </c>
      <c r="J155" s="255" t="str">
        <f>IF(ISBLANK(INDEX('Policy Characteristics'!D:D,MATCH($C155,'Policy Characteristics'!$C:$C,0))),"",INDEX('Policy Characteristics'!D:D,MATCH($C155,'Policy Characteristics'!$C:$C,0)))</f>
        <v>Vehicle Fuel Economy Standards</v>
      </c>
      <c r="K155" s="254" t="str">
        <f>IF(ISBLANK(INDEX('Policy Characteristics'!E:E,MATCH($C155,'Policy Characteristics'!$C:$C,0))),"",INDEX('Policy Characteristics'!E:E,MATCH($C155,'Policy Characteristics'!$C:$C,0)))</f>
        <v>trans fuel economy standards</v>
      </c>
      <c r="L155" s="261">
        <f>IF(ISBLANK(INDEX('Policy Characteristics'!F:F,MATCH($C155,'Policy Characteristics'!$C:$C,0))),"",INDEX('Policy Characteristics'!F:F,MATCH($C155,'Policy Characteristics'!$C:$C,0)))</f>
        <v>0</v>
      </c>
      <c r="M155" s="261">
        <f>IF(ISBLANK(INDEX('Policy Characteristics'!G:G,MATCH($C155,'Policy Characteristics'!$C:$C,0))),"",INDEX('Policy Characteristics'!G:G,MATCH($C155,'Policy Characteristics'!$C:$C,0)))</f>
        <v>1</v>
      </c>
      <c r="N155" s="261">
        <f>IF(ISBLANK(INDEX('Policy Characteristics'!H:H,MATCH($C155,'Policy Characteristics'!$C:$C,0))),"",INDEX('Policy Characteristics'!H:H,MATCH($C155,'Policy Characteristics'!$C:$C,0)))</f>
        <v>0.01</v>
      </c>
      <c r="O155" s="254" t="str">
        <f>IF(ISBLANK(INDEX('Policy Characteristics'!I:I,MATCH($C155,'Policy Characteristics'!$C:$C,0))),"",INDEX('Policy Characteristics'!I:I,MATCH($C155,'Policy Characteristics'!$C:$C,0)))</f>
        <v>% increase in miles/gal</v>
      </c>
      <c r="P155" s="254"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4" t="str">
        <f>IF(ISBLANK(INDEX('Policy Characteristics'!K:K,MATCH($C155,'Policy Characteristics'!$C:$C,0))),"",INDEX('Policy Characteristics'!K:K,MATCH($C155,'Policy Characteristics'!$C:$C,0)))</f>
        <v>transportation-sector-main.html#fuel-econ-std</v>
      </c>
      <c r="R155" s="254" t="str">
        <f>IF(ISBLANK(INDEX('Policy Characteristics'!L:L,MATCH($C155,'Policy Characteristics'!$C:$C,0))),"",INDEX('Policy Characteristics'!L:L,MATCH($C155,'Policy Characteristics'!$C:$C,0)))</f>
        <v>fuel-economy-standard.html</v>
      </c>
    </row>
    <row r="156" spans="1:18" x14ac:dyDescent="0.3">
      <c r="A156" s="254" t="str">
        <f>IF(ISBLANK(INDEX('Policy Characteristics'!A:A,MATCH($C156,'Policy Characteristics'!$C:$C,0))),"",INDEX('Policy Characteristics'!A:A,MATCH($C156,'Policy Characteristics'!$C:$C,0)))</f>
        <v>Transportation</v>
      </c>
      <c r="B156" s="262" t="str">
        <f>IF(ISBLANK(INDEX('Policy Characteristics'!B:B,MATCH($C156,'Policy Characteristics'!$C:$C,0))),"",INDEX('Policy Characteristics'!B:B,MATCH($C156,'Policy Characteristics'!$C:$C,0)))</f>
        <v>Fuel Economy Standard</v>
      </c>
      <c r="C156" s="254" t="str">
        <f t="shared" si="7"/>
        <v>Percentage Additional Improvement of Fuel Economy Std</v>
      </c>
      <c r="D156" s="45" t="s">
        <v>45</v>
      </c>
      <c r="E156" s="45" t="s">
        <v>41</v>
      </c>
      <c r="F156" s="45" t="s">
        <v>84</v>
      </c>
      <c r="G156" s="2" t="s">
        <v>3291</v>
      </c>
      <c r="H156" s="43">
        <v>370</v>
      </c>
      <c r="I156" s="325" t="s">
        <v>43</v>
      </c>
      <c r="J156" s="255" t="str">
        <f>IF(ISBLANK(INDEX('Policy Characteristics'!D:D,MATCH($C156,'Policy Characteristics'!$C:$C,0))),"",INDEX('Policy Characteristics'!D:D,MATCH($C156,'Policy Characteristics'!$C:$C,0)))</f>
        <v>Vehicle Fuel Economy Standards</v>
      </c>
      <c r="K156" s="254" t="str">
        <f>IF(ISBLANK(INDEX('Policy Characteristics'!E:E,MATCH($C156,'Policy Characteristics'!$C:$C,0))),"",INDEX('Policy Characteristics'!E:E,MATCH($C156,'Policy Characteristics'!$C:$C,0)))</f>
        <v>trans fuel economy standards</v>
      </c>
      <c r="L156" s="261">
        <f>IF(ISBLANK(INDEX('Policy Characteristics'!F:F,MATCH($C156,'Policy Characteristics'!$C:$C,0))),"",INDEX('Policy Characteristics'!F:F,MATCH($C156,'Policy Characteristics'!$C:$C,0)))</f>
        <v>0</v>
      </c>
      <c r="M156" s="261">
        <f>IF(ISBLANK(INDEX('Policy Characteristics'!G:G,MATCH($C156,'Policy Characteristics'!$C:$C,0))),"",INDEX('Policy Characteristics'!G:G,MATCH($C156,'Policy Characteristics'!$C:$C,0)))</f>
        <v>1</v>
      </c>
      <c r="N156" s="261">
        <f>IF(ISBLANK(INDEX('Policy Characteristics'!H:H,MATCH($C156,'Policy Characteristics'!$C:$C,0))),"",INDEX('Policy Characteristics'!H:H,MATCH($C156,'Policy Characteristics'!$C:$C,0)))</f>
        <v>0.01</v>
      </c>
      <c r="O156" s="254" t="str">
        <f>IF(ISBLANK(INDEX('Policy Characteristics'!I:I,MATCH($C156,'Policy Characteristics'!$C:$C,0))),"",INDEX('Policy Characteristics'!I:I,MATCH($C156,'Policy Characteristics'!$C:$C,0)))</f>
        <v>% increase in miles/gal</v>
      </c>
      <c r="P156" s="254"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4" t="str">
        <f>IF(ISBLANK(INDEX('Policy Characteristics'!K:K,MATCH($C156,'Policy Characteristics'!$C:$C,0))),"",INDEX('Policy Characteristics'!K:K,MATCH($C156,'Policy Characteristics'!$C:$C,0)))</f>
        <v>transportation-sector-main.html#fuel-econ-std</v>
      </c>
      <c r="R156" s="254" t="str">
        <f>IF(ISBLANK(INDEX('Policy Characteristics'!L:L,MATCH($C156,'Policy Characteristics'!$C:$C,0))),"",INDEX('Policy Characteristics'!L:L,MATCH($C156,'Policy Characteristics'!$C:$C,0)))</f>
        <v>fuel-economy-standard.html</v>
      </c>
    </row>
    <row r="157" spans="1:18" x14ac:dyDescent="0.3">
      <c r="A157" s="254" t="str">
        <f>IF(ISBLANK(INDEX('Policy Characteristics'!A:A,MATCH($C157,'Policy Characteristics'!$C:$C,0))),"",INDEX('Policy Characteristics'!A:A,MATCH($C157,'Policy Characteristics'!$C:$C,0)))</f>
        <v>Transportation</v>
      </c>
      <c r="B157" s="262" t="str">
        <f>IF(ISBLANK(INDEX('Policy Characteristics'!B:B,MATCH($C157,'Policy Characteristics'!$C:$C,0))),"",INDEX('Policy Characteristics'!B:B,MATCH($C157,'Policy Characteristics'!$C:$C,0)))</f>
        <v>Fuel Economy Standard</v>
      </c>
      <c r="C157" s="254" t="str">
        <f t="shared" si="7"/>
        <v>Percentage Additional Improvement of Fuel Economy Std</v>
      </c>
      <c r="D157" s="45" t="s">
        <v>42</v>
      </c>
      <c r="E157" s="45" t="s">
        <v>41</v>
      </c>
      <c r="F157" s="45" t="s">
        <v>85</v>
      </c>
      <c r="G157" s="2" t="s">
        <v>3292</v>
      </c>
      <c r="H157" s="43">
        <v>371</v>
      </c>
      <c r="I157" s="325" t="s">
        <v>43</v>
      </c>
      <c r="J157" s="255" t="str">
        <f>IF(ISBLANK(INDEX('Policy Characteristics'!D:D,MATCH($C157,'Policy Characteristics'!$C:$C,0))),"",INDEX('Policy Characteristics'!D:D,MATCH($C157,'Policy Characteristics'!$C:$C,0)))</f>
        <v>Vehicle Fuel Economy Standards</v>
      </c>
      <c r="K157" s="254" t="str">
        <f>IF(ISBLANK(INDEX('Policy Characteristics'!E:E,MATCH($C157,'Policy Characteristics'!$C:$C,0))),"",INDEX('Policy Characteristics'!E:E,MATCH($C157,'Policy Characteristics'!$C:$C,0)))</f>
        <v>trans fuel economy standards</v>
      </c>
      <c r="L157" s="261">
        <f>IF(ISBLANK(INDEX('Policy Characteristics'!F:F,MATCH($C157,'Policy Characteristics'!$C:$C,0))),"",INDEX('Policy Characteristics'!F:F,MATCH($C157,'Policy Characteristics'!$C:$C,0)))</f>
        <v>0</v>
      </c>
      <c r="M157" s="261">
        <f>IF(ISBLANK(INDEX('Policy Characteristics'!G:G,MATCH($C157,'Policy Characteristics'!$C:$C,0))),"",INDEX('Policy Characteristics'!G:G,MATCH($C157,'Policy Characteristics'!$C:$C,0)))</f>
        <v>1</v>
      </c>
      <c r="N157" s="261">
        <f>IF(ISBLANK(INDEX('Policy Characteristics'!H:H,MATCH($C157,'Policy Characteristics'!$C:$C,0))),"",INDEX('Policy Characteristics'!H:H,MATCH($C157,'Policy Characteristics'!$C:$C,0)))</f>
        <v>0.01</v>
      </c>
      <c r="O157" s="254" t="str">
        <f>IF(ISBLANK(INDEX('Policy Characteristics'!I:I,MATCH($C157,'Policy Characteristics'!$C:$C,0))),"",INDEX('Policy Characteristics'!I:I,MATCH($C157,'Policy Characteristics'!$C:$C,0)))</f>
        <v>% increase in miles/gal</v>
      </c>
      <c r="P157" s="254"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4" t="str">
        <f>IF(ISBLANK(INDEX('Policy Characteristics'!K:K,MATCH($C157,'Policy Characteristics'!$C:$C,0))),"",INDEX('Policy Characteristics'!K:K,MATCH($C157,'Policy Characteristics'!$C:$C,0)))</f>
        <v>transportation-sector-main.html#fuel-econ-std</v>
      </c>
      <c r="R157" s="254" t="str">
        <f>IF(ISBLANK(INDEX('Policy Characteristics'!L:L,MATCH($C157,'Policy Characteristics'!$C:$C,0))),"",INDEX('Policy Characteristics'!L:L,MATCH($C157,'Policy Characteristics'!$C:$C,0)))</f>
        <v>fuel-economy-standard.html</v>
      </c>
    </row>
    <row r="158" spans="1:18" x14ac:dyDescent="0.3">
      <c r="A158" s="254" t="str">
        <f>IF(ISBLANK(INDEX('Policy Characteristics'!A:A,MATCH($C158,'Policy Characteristics'!$C:$C,0))),"",INDEX('Policy Characteristics'!A:A,MATCH($C158,'Policy Characteristics'!$C:$C,0)))</f>
        <v>Transportation</v>
      </c>
      <c r="B158" s="262" t="str">
        <f>IF(ISBLANK(INDEX('Policy Characteristics'!B:B,MATCH($C158,'Policy Characteristics'!$C:$C,0))),"",INDEX('Policy Characteristics'!B:B,MATCH($C158,'Policy Characteristics'!$C:$C,0)))</f>
        <v>Fuel Economy Standard</v>
      </c>
      <c r="C158" s="254" t="str">
        <f t="shared" si="7"/>
        <v>Percentage Additional Improvement of Fuel Economy Std</v>
      </c>
      <c r="D158" s="45" t="s">
        <v>45</v>
      </c>
      <c r="E158" s="45" t="s">
        <v>113</v>
      </c>
      <c r="F158" s="45" t="s">
        <v>84</v>
      </c>
      <c r="G158" s="2" t="s">
        <v>143</v>
      </c>
      <c r="H158" s="43">
        <v>372</v>
      </c>
      <c r="I158" s="325" t="s">
        <v>43</v>
      </c>
      <c r="J158" s="255" t="str">
        <f>IF(ISBLANK(INDEX('Policy Characteristics'!D:D,MATCH($C158,'Policy Characteristics'!$C:$C,0))),"",INDEX('Policy Characteristics'!D:D,MATCH($C158,'Policy Characteristics'!$C:$C,0)))</f>
        <v>Vehicle Fuel Economy Standards</v>
      </c>
      <c r="K158" s="254" t="str">
        <f>IF(ISBLANK(INDEX('Policy Characteristics'!E:E,MATCH($C158,'Policy Characteristics'!$C:$C,0))),"",INDEX('Policy Characteristics'!E:E,MATCH($C158,'Policy Characteristics'!$C:$C,0)))</f>
        <v>trans fuel economy standards</v>
      </c>
      <c r="L158" s="261">
        <f>IF(ISBLANK(INDEX('Policy Characteristics'!F:F,MATCH($C158,'Policy Characteristics'!$C:$C,0))),"",INDEX('Policy Characteristics'!F:F,MATCH($C158,'Policy Characteristics'!$C:$C,0)))</f>
        <v>0</v>
      </c>
      <c r="M158" s="261">
        <f>IF(ISBLANK(INDEX('Policy Characteristics'!G:G,MATCH($C158,'Policy Characteristics'!$C:$C,0))),"",INDEX('Policy Characteristics'!G:G,MATCH($C158,'Policy Characteristics'!$C:$C,0)))</f>
        <v>1</v>
      </c>
      <c r="N158" s="261">
        <f>IF(ISBLANK(INDEX('Policy Characteristics'!H:H,MATCH($C158,'Policy Characteristics'!$C:$C,0))),"",INDEX('Policy Characteristics'!H:H,MATCH($C158,'Policy Characteristics'!$C:$C,0)))</f>
        <v>0.01</v>
      </c>
      <c r="O158" s="254" t="str">
        <f>IF(ISBLANK(INDEX('Policy Characteristics'!I:I,MATCH($C158,'Policy Characteristics'!$C:$C,0))),"",INDEX('Policy Characteristics'!I:I,MATCH($C158,'Policy Characteristics'!$C:$C,0)))</f>
        <v>% increase in miles/gal</v>
      </c>
      <c r="P158" s="254"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4" t="str">
        <f>IF(ISBLANK(INDEX('Policy Characteristics'!K:K,MATCH($C158,'Policy Characteristics'!$C:$C,0))),"",INDEX('Policy Characteristics'!K:K,MATCH($C158,'Policy Characteristics'!$C:$C,0)))</f>
        <v>transportation-sector-main.html#fuel-econ-std</v>
      </c>
      <c r="R158" s="254" t="str">
        <f>IF(ISBLANK(INDEX('Policy Characteristics'!L:L,MATCH($C158,'Policy Characteristics'!$C:$C,0))),"",INDEX('Policy Characteristics'!L:L,MATCH($C158,'Policy Characteristics'!$C:$C,0)))</f>
        <v>fuel-economy-standard.html</v>
      </c>
    </row>
    <row r="159" spans="1:18" x14ac:dyDescent="0.3">
      <c r="A159" s="254" t="str">
        <f>IF(ISBLANK(INDEX('Policy Characteristics'!A:A,MATCH($C159,'Policy Characteristics'!$C:$C,0))),"",INDEX('Policy Characteristics'!A:A,MATCH($C159,'Policy Characteristics'!$C:$C,0)))</f>
        <v>Transportation</v>
      </c>
      <c r="B159" s="262" t="str">
        <f>IF(ISBLANK(INDEX('Policy Characteristics'!B:B,MATCH($C159,'Policy Characteristics'!$C:$C,0))),"",INDEX('Policy Characteristics'!B:B,MATCH($C159,'Policy Characteristics'!$C:$C,0)))</f>
        <v>Fuel Economy Standard</v>
      </c>
      <c r="C159" s="254" t="str">
        <f t="shared" si="7"/>
        <v>Percentage Additional Improvement of Fuel Economy Std</v>
      </c>
      <c r="D159" s="45" t="s">
        <v>42</v>
      </c>
      <c r="E159" s="45" t="s">
        <v>113</v>
      </c>
      <c r="F159" s="45" t="s">
        <v>85</v>
      </c>
      <c r="G159" s="2" t="s">
        <v>143</v>
      </c>
      <c r="H159" s="43">
        <v>373</v>
      </c>
      <c r="I159" s="325" t="s">
        <v>44</v>
      </c>
      <c r="J159" s="255" t="str">
        <f>IF(ISBLANK(INDEX('Policy Characteristics'!D:D,MATCH($C159,'Policy Characteristics'!$C:$C,0))),"",INDEX('Policy Characteristics'!D:D,MATCH($C159,'Policy Characteristics'!$C:$C,0)))</f>
        <v>Vehicle Fuel Economy Standards</v>
      </c>
      <c r="K159" s="254" t="str">
        <f>IF(ISBLANK(INDEX('Policy Characteristics'!E:E,MATCH($C159,'Policy Characteristics'!$C:$C,0))),"",INDEX('Policy Characteristics'!E:E,MATCH($C159,'Policy Characteristics'!$C:$C,0)))</f>
        <v>trans fuel economy standards</v>
      </c>
      <c r="L159" s="261">
        <f>IF(ISBLANK(INDEX('Policy Characteristics'!F:F,MATCH($C159,'Policy Characteristics'!$C:$C,0))),"",INDEX('Policy Characteristics'!F:F,MATCH($C159,'Policy Characteristics'!$C:$C,0)))</f>
        <v>0</v>
      </c>
      <c r="M159" s="261">
        <f>IF(ISBLANK(INDEX('Policy Characteristics'!G:G,MATCH($C159,'Policy Characteristics'!$C:$C,0))),"",INDEX('Policy Characteristics'!G:G,MATCH($C159,'Policy Characteristics'!$C:$C,0)))</f>
        <v>1</v>
      </c>
      <c r="N159" s="261">
        <f>IF(ISBLANK(INDEX('Policy Characteristics'!H:H,MATCH($C159,'Policy Characteristics'!$C:$C,0))),"",INDEX('Policy Characteristics'!H:H,MATCH($C159,'Policy Characteristics'!$C:$C,0)))</f>
        <v>0.01</v>
      </c>
      <c r="O159" s="254" t="str">
        <f>IF(ISBLANK(INDEX('Policy Characteristics'!I:I,MATCH($C159,'Policy Characteristics'!$C:$C,0))),"",INDEX('Policy Characteristics'!I:I,MATCH($C159,'Policy Characteristics'!$C:$C,0)))</f>
        <v>% increase in miles/gal</v>
      </c>
      <c r="P159" s="254"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4" t="str">
        <f>IF(ISBLANK(INDEX('Policy Characteristics'!K:K,MATCH($C159,'Policy Characteristics'!$C:$C,0))),"",INDEX('Policy Characteristics'!K:K,MATCH($C159,'Policy Characteristics'!$C:$C,0)))</f>
        <v>transportation-sector-main.html#fuel-econ-std</v>
      </c>
      <c r="R159" s="254" t="str">
        <f>IF(ISBLANK(INDEX('Policy Characteristics'!L:L,MATCH($C159,'Policy Characteristics'!$C:$C,0))),"",INDEX('Policy Characteristics'!L:L,MATCH($C159,'Policy Characteristics'!$C:$C,0)))</f>
        <v>fuel-economy-standard.html</v>
      </c>
    </row>
    <row r="160" spans="1:18" s="2" customFormat="1" x14ac:dyDescent="0.3">
      <c r="A160" s="254" t="str">
        <f>IF(ISBLANK(INDEX('Policy Characteristics'!A:A,MATCH($C160,'Policy Characteristics'!$C:$C,0))),"",INDEX('Policy Characteristics'!A:A,MATCH($C160,'Policy Characteristics'!$C:$C,0)))</f>
        <v>Transportation</v>
      </c>
      <c r="B160" s="262" t="str">
        <f>IF(ISBLANK(INDEX('Policy Characteristics'!B:B,MATCH($C160,'Policy Characteristics'!$C:$C,0))),"",INDEX('Policy Characteristics'!B:B,MATCH($C160,'Policy Characteristics'!$C:$C,0)))</f>
        <v>Low Carbon Fuel Standard</v>
      </c>
      <c r="C160" s="317" t="s">
        <v>465</v>
      </c>
      <c r="D160" s="45"/>
      <c r="E160" s="45"/>
      <c r="F160" s="45"/>
      <c r="G160" s="45"/>
      <c r="H160" s="47">
        <v>190</v>
      </c>
      <c r="I160" s="324" t="s">
        <v>43</v>
      </c>
      <c r="J160" s="255" t="str">
        <f>IF(ISBLANK(INDEX('Policy Characteristics'!D:D,MATCH($C160,'Policy Characteristics'!$C:$C,0))),"",INDEX('Policy Characteristics'!D:D,MATCH($C160,'Policy Characteristics'!$C:$C,0)))</f>
        <v>Low Carbon Fuel Standard</v>
      </c>
      <c r="K160" s="254" t="str">
        <f>IF(ISBLANK(INDEX('Policy Characteristics'!E:E,MATCH($C160,'Policy Characteristics'!$C:$C,0))),"",INDEX('Policy Characteristics'!E:E,MATCH($C160,'Policy Characteristics'!$C:$C,0)))</f>
        <v>trans LCFS</v>
      </c>
      <c r="L160" s="261">
        <f>IF(ISBLANK(INDEX('Policy Characteristics'!F:F,MATCH($C160,'Policy Characteristics'!$C:$C,0))),"",INDEX('Policy Characteristics'!F:F,MATCH($C160,'Policy Characteristics'!$C:$C,0)))</f>
        <v>0</v>
      </c>
      <c r="M160" s="261">
        <f>IF(ISBLANK(INDEX('Policy Characteristics'!G:G,MATCH($C160,'Policy Characteristics'!$C:$C,0))),"",INDEX('Policy Characteristics'!G:G,MATCH($C160,'Policy Characteristics'!$C:$C,0)))</f>
        <v>1</v>
      </c>
      <c r="N160" s="261">
        <f>IF(ISBLANK(INDEX('Policy Characteristics'!H:H,MATCH($C160,'Policy Characteristics'!$C:$C,0))),"",INDEX('Policy Characteristics'!H:H,MATCH($C160,'Policy Characteristics'!$C:$C,0)))</f>
        <v>0.01</v>
      </c>
      <c r="O160" s="254" t="str">
        <f>IF(ISBLANK(INDEX('Policy Characteristics'!I:I,MATCH($C160,'Policy Characteristics'!$C:$C,0))),"",INDEX('Policy Characteristics'!I:I,MATCH($C160,'Policy Characteristics'!$C:$C,0)))</f>
        <v>% reduction in carbon emissions</v>
      </c>
      <c r="P160" s="254"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4" t="str">
        <f>IF(ISBLANK(INDEX('Policy Characteristics'!K:K,MATCH($C160,'Policy Characteristics'!$C:$C,0))),"",INDEX('Policy Characteristics'!K:K,MATCH($C160,'Policy Characteristics'!$C:$C,0)))</f>
        <v>transportation-sector-main.html#lcfs</v>
      </c>
      <c r="R160" s="254" t="str">
        <f>IF(ISBLANK(INDEX('Policy Characteristics'!L:L,MATCH($C160,'Policy Characteristics'!$C:$C,0))),"",INDEX('Policy Characteristics'!L:L,MATCH($C160,'Policy Characteristics'!$C:$C,0)))</f>
        <v>low-carbon-fuel-standard.html</v>
      </c>
    </row>
    <row r="161" spans="1:18" s="2" customFormat="1" x14ac:dyDescent="0.3">
      <c r="A161" s="254" t="str">
        <f>IF(ISBLANK(INDEX('Policy Characteristics'!A:A,MATCH($C161,'Policy Characteristics'!$C:$C,0))),"",INDEX('Policy Characteristics'!A:A,MATCH($C161,'Policy Characteristics'!$C:$C,0)))</f>
        <v>Transportation</v>
      </c>
      <c r="B161" s="262" t="str">
        <f>IF(ISBLANK(INDEX('Policy Characteristics'!B:B,MATCH($C161,'Policy Characteristics'!$C:$C,0))),"",INDEX('Policy Characteristics'!B:B,MATCH($C161,'Policy Characteristics'!$C:$C,0)))</f>
        <v>Non-BAU LCFS-Qualifying Vehicles</v>
      </c>
      <c r="C161" s="1" t="s">
        <v>3673</v>
      </c>
      <c r="D161" s="45"/>
      <c r="E161" s="45"/>
      <c r="F161" s="45"/>
      <c r="G161" s="45"/>
      <c r="H161" s="47">
        <v>2284</v>
      </c>
      <c r="I161" s="324" t="s">
        <v>43</v>
      </c>
      <c r="J161" s="255" t="str">
        <f>IF(ISBLANK(INDEX('Policy Characteristics'!D:D,MATCH($C161,'Policy Characteristics'!$C:$C,0))),"",INDEX('Policy Characteristics'!D:D,MATCH($C161,'Policy Characteristics'!$C:$C,0)))</f>
        <v>Low Carbon Fuel Standard</v>
      </c>
      <c r="K161" s="254" t="str">
        <f>IF(ISBLANK(INDEX('Policy Characteristics'!E:E,MATCH($C161,'Policy Characteristics'!$C:$C,0))),"",INDEX('Policy Characteristics'!E:E,MATCH($C161,'Policy Characteristics'!$C:$C,0)))</f>
        <v>trans LCFS vehicles</v>
      </c>
      <c r="L161" s="261">
        <f>IF(ISBLANK(INDEX('Policy Characteristics'!F:F,MATCH($C161,'Policy Characteristics'!$C:$C,0))),"",INDEX('Policy Characteristics'!F:F,MATCH($C161,'Policy Characteristics'!$C:$C,0)))</f>
        <v>0</v>
      </c>
      <c r="M161" s="261">
        <f>IF(ISBLANK(INDEX('Policy Characteristics'!G:G,MATCH($C161,'Policy Characteristics'!$C:$C,0))),"",INDEX('Policy Characteristics'!G:G,MATCH($C161,'Policy Characteristics'!$C:$C,0)))</f>
        <v>1</v>
      </c>
      <c r="N161" s="261">
        <f>IF(ISBLANK(INDEX('Policy Characteristics'!H:H,MATCH($C161,'Policy Characteristics'!$C:$C,0))),"",INDEX('Policy Characteristics'!H:H,MATCH($C161,'Policy Characteristics'!$C:$C,0)))</f>
        <v>1</v>
      </c>
      <c r="O161" s="254" t="str">
        <f>IF(ISBLANK(INDEX('Policy Characteristics'!I:I,MATCH($C161,'Policy Characteristics'!$C:$C,0))),"",INDEX('Policy Characteristics'!I:I,MATCH($C161,'Policy Characteristics'!$C:$C,0)))</f>
        <v>on/off</v>
      </c>
      <c r="P161" s="254"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4" t="str">
        <f>IF(ISBLANK(INDEX('Policy Characteristics'!K:K,MATCH($C161,'Policy Characteristics'!$C:$C,0))),"",INDEX('Policy Characteristics'!K:K,MATCH($C161,'Policy Characteristics'!$C:$C,0)))</f>
        <v>transportation-sector-main.html#lcfs</v>
      </c>
      <c r="R161" s="254" t="str">
        <f>IF(ISBLANK(INDEX('Policy Characteristics'!L:L,MATCH($C161,'Policy Characteristics'!$C:$C,0))),"",INDEX('Policy Characteristics'!L:L,MATCH($C161,'Policy Characteristics'!$C:$C,0)))</f>
        <v>low-carbon-fuel-standard.html</v>
      </c>
    </row>
    <row r="162" spans="1:18" x14ac:dyDescent="0.3">
      <c r="A162" s="254" t="str">
        <f>IF(ISBLANK(INDEX('Policy Characteristics'!A:A,MATCH($C162,'Policy Characteristics'!$C:$C,0))),"",INDEX('Policy Characteristics'!A:A,MATCH($C162,'Policy Characteristics'!$C:$C,0)))</f>
        <v>Transportation</v>
      </c>
      <c r="B162" s="262" t="str">
        <f>IF(ISBLANK(INDEX('Policy Characteristics'!B:B,MATCH($C162,'Policy Characteristics'!$C:$C,0))),"",INDEX('Policy Characteristics'!B:B,MATCH($C162,'Policy Characteristics'!$C:$C,0)))</f>
        <v>Mode Shifting</v>
      </c>
      <c r="C162" t="s">
        <v>2986</v>
      </c>
      <c r="D162" s="45" t="s">
        <v>45</v>
      </c>
      <c r="E162" s="45" t="s">
        <v>37</v>
      </c>
      <c r="F162" s="45" t="s">
        <v>84</v>
      </c>
      <c r="G162" s="2" t="s">
        <v>3293</v>
      </c>
      <c r="H162" s="43">
        <v>848</v>
      </c>
      <c r="I162" s="324" t="s">
        <v>43</v>
      </c>
      <c r="J162" s="255" t="str">
        <f>IF(ISBLANK(INDEX('Policy Characteristics'!D:D,MATCH($C162,'Policy Characteristics'!$C:$C,0))),"",INDEX('Policy Characteristics'!D:D,MATCH($C162,'Policy Characteristics'!$C:$C,0)))</f>
        <v>Mode Shifting</v>
      </c>
      <c r="K162" s="254" t="str">
        <f>IF(ISBLANK(INDEX('Policy Characteristics'!E:E,MATCH($C162,'Policy Characteristics'!$C:$C,0))),"",INDEX('Policy Characteristics'!E:E,MATCH($C162,'Policy Characteristics'!$C:$C,0)))</f>
        <v>trans mode shifting</v>
      </c>
      <c r="L162" s="261">
        <f>IF(ISBLANK(INDEX('Policy Characteristics'!F:F,MATCH($C162,'Policy Characteristics'!$C:$C,0))),"",INDEX('Policy Characteristics'!F:F,MATCH($C162,'Policy Characteristics'!$C:$C,0)))</f>
        <v>0</v>
      </c>
      <c r="M162" s="261">
        <f>IF(ISBLANK(INDEX('Policy Characteristics'!G:G,MATCH($C162,'Policy Characteristics'!$C:$C,0))),"",INDEX('Policy Characteristics'!G:G,MATCH($C162,'Policy Characteristics'!$C:$C,0)))</f>
        <v>0.33</v>
      </c>
      <c r="N162" s="261">
        <f>IF(ISBLANK(INDEX('Policy Characteristics'!H:H,MATCH($C162,'Policy Characteristics'!$C:$C,0))),"",INDEX('Policy Characteristics'!H:H,MATCH($C162,'Policy Characteristics'!$C:$C,0)))</f>
        <v>0.01</v>
      </c>
      <c r="O162" s="254" t="str">
        <f>IF(ISBLANK(INDEX('Policy Characteristics'!I:I,MATCH($C162,'Policy Characteristics'!$C:$C,0))),"",INDEX('Policy Characteristics'!I:I,MATCH($C162,'Policy Characteristics'!$C:$C,0)))</f>
        <v>% of trips shifted</v>
      </c>
      <c r="P162" s="254"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4" t="str">
        <f>IF(ISBLANK(INDEX('Policy Characteristics'!K:K,MATCH($C162,'Policy Characteristics'!$C:$C,0))),"",INDEX('Policy Characteristics'!K:K,MATCH($C162,'Policy Characteristics'!$C:$C,0)))</f>
        <v>transportation-sector-main.html#tdm</v>
      </c>
      <c r="R162" s="254" t="str">
        <f>IF(ISBLANK(INDEX('Policy Characteristics'!L:L,MATCH($C162,'Policy Characteristics'!$C:$C,0))),"",INDEX('Policy Characteristics'!L:L,MATCH($C162,'Policy Characteristics'!$C:$C,0)))</f>
        <v>transportation-demand-management.html</v>
      </c>
    </row>
    <row r="163" spans="1:18" x14ac:dyDescent="0.3">
      <c r="A163" s="254" t="str">
        <f>IF(ISBLANK(INDEX('Policy Characteristics'!A:A,MATCH($C163,'Policy Characteristics'!$C:$C,0))),"",INDEX('Policy Characteristics'!A:A,MATCH($C163,'Policy Characteristics'!$C:$C,0)))</f>
        <v>Transportation</v>
      </c>
      <c r="B163" s="262" t="str">
        <f>IF(ISBLANK(INDEX('Policy Characteristics'!B:B,MATCH($C163,'Policy Characteristics'!$C:$C,0))),"",INDEX('Policy Characteristics'!B:B,MATCH($C163,'Policy Characteristics'!$C:$C,0)))</f>
        <v>Mode Shifting</v>
      </c>
      <c r="C163" s="254" t="str">
        <f t="shared" ref="C163:C173" si="8">C$162</f>
        <v>Percent of Travel Demand Shifted to Other Modes or Eliminated</v>
      </c>
      <c r="D163" s="45" t="s">
        <v>45</v>
      </c>
      <c r="E163" s="45" t="s">
        <v>38</v>
      </c>
      <c r="F163" s="45" t="s">
        <v>84</v>
      </c>
      <c r="G163" s="2" t="s">
        <v>2344</v>
      </c>
      <c r="H163" s="43">
        <v>849</v>
      </c>
      <c r="I163" s="325" t="s">
        <v>44</v>
      </c>
      <c r="J163" s="255" t="str">
        <f>IF(ISBLANK(INDEX('Policy Characteristics'!D:D,MATCH($C163,'Policy Characteristics'!$C:$C,0))),"",INDEX('Policy Characteristics'!D:D,MATCH($C163,'Policy Characteristics'!$C:$C,0)))</f>
        <v>Mode Shifting</v>
      </c>
      <c r="K163" s="254" t="str">
        <f>IF(ISBLANK(INDEX('Policy Characteristics'!E:E,MATCH($C163,'Policy Characteristics'!$C:$C,0))),"",INDEX('Policy Characteristics'!E:E,MATCH($C163,'Policy Characteristics'!$C:$C,0)))</f>
        <v>trans mode shifting</v>
      </c>
      <c r="L163" s="261">
        <f>IF(ISBLANK(INDEX('Policy Characteristics'!F:F,MATCH($C163,'Policy Characteristics'!$C:$C,0))),"",INDEX('Policy Characteristics'!F:F,MATCH($C163,'Policy Characteristics'!$C:$C,0)))</f>
        <v>0</v>
      </c>
      <c r="M163" s="261">
        <f>IF(ISBLANK(INDEX('Policy Characteristics'!G:G,MATCH($C163,'Policy Characteristics'!$C:$C,0))),"",INDEX('Policy Characteristics'!G:G,MATCH($C163,'Policy Characteristics'!$C:$C,0)))</f>
        <v>0.33</v>
      </c>
      <c r="N163" s="261">
        <f>IF(ISBLANK(INDEX('Policy Characteristics'!H:H,MATCH($C163,'Policy Characteristics'!$C:$C,0))),"",INDEX('Policy Characteristics'!H:H,MATCH($C163,'Policy Characteristics'!$C:$C,0)))</f>
        <v>0.01</v>
      </c>
      <c r="O163" s="254" t="str">
        <f>IF(ISBLANK(INDEX('Policy Characteristics'!I:I,MATCH($C163,'Policy Characteristics'!$C:$C,0))),"",INDEX('Policy Characteristics'!I:I,MATCH($C163,'Policy Characteristics'!$C:$C,0)))</f>
        <v>% of trips shifted</v>
      </c>
      <c r="P163" s="254"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4" t="str">
        <f>IF(ISBLANK(INDEX('Policy Characteristics'!K:K,MATCH($C163,'Policy Characteristics'!$C:$C,0))),"",INDEX('Policy Characteristics'!K:K,MATCH($C163,'Policy Characteristics'!$C:$C,0)))</f>
        <v>transportation-sector-main.html#tdm</v>
      </c>
      <c r="R163" s="254" t="str">
        <f>IF(ISBLANK(INDEX('Policy Characteristics'!L:L,MATCH($C163,'Policy Characteristics'!$C:$C,0))),"",INDEX('Policy Characteristics'!L:L,MATCH($C163,'Policy Characteristics'!$C:$C,0)))</f>
        <v>transportation-demand-management.html</v>
      </c>
    </row>
    <row r="164" spans="1:18" x14ac:dyDescent="0.3">
      <c r="A164" s="254" t="str">
        <f>IF(ISBLANK(INDEX('Policy Characteristics'!A:A,MATCH($C164,'Policy Characteristics'!$C:$C,0))),"",INDEX('Policy Characteristics'!A:A,MATCH($C164,'Policy Characteristics'!$C:$C,0)))</f>
        <v>Transportation</v>
      </c>
      <c r="B164" s="262" t="str">
        <f>IF(ISBLANK(INDEX('Policy Characteristics'!B:B,MATCH($C164,'Policy Characteristics'!$C:$C,0))),"",INDEX('Policy Characteristics'!B:B,MATCH($C164,'Policy Characteristics'!$C:$C,0)))</f>
        <v>Mode Shifting</v>
      </c>
      <c r="C164" s="254" t="str">
        <f t="shared" si="8"/>
        <v>Percent of Travel Demand Shifted to Other Modes or Eliminated</v>
      </c>
      <c r="D164" s="45" t="s">
        <v>45</v>
      </c>
      <c r="E164" s="45" t="s">
        <v>39</v>
      </c>
      <c r="F164" s="45" t="s">
        <v>84</v>
      </c>
      <c r="G164" s="2" t="s">
        <v>3290</v>
      </c>
      <c r="H164" s="43">
        <v>850</v>
      </c>
      <c r="I164" s="324" t="s">
        <v>43</v>
      </c>
      <c r="J164" s="255" t="str">
        <f>IF(ISBLANK(INDEX('Policy Characteristics'!D:D,MATCH($C164,'Policy Characteristics'!$C:$C,0))),"",INDEX('Policy Characteristics'!D:D,MATCH($C164,'Policy Characteristics'!$C:$C,0)))</f>
        <v>Mode Shifting</v>
      </c>
      <c r="K164" s="254" t="str">
        <f>IF(ISBLANK(INDEX('Policy Characteristics'!E:E,MATCH($C164,'Policy Characteristics'!$C:$C,0))),"",INDEX('Policy Characteristics'!E:E,MATCH($C164,'Policy Characteristics'!$C:$C,0)))</f>
        <v>trans mode shifting</v>
      </c>
      <c r="L164" s="261">
        <f>IF(ISBLANK(INDEX('Policy Characteristics'!F:F,MATCH($C164,'Policy Characteristics'!$C:$C,0))),"",INDEX('Policy Characteristics'!F:F,MATCH($C164,'Policy Characteristics'!$C:$C,0)))</f>
        <v>0</v>
      </c>
      <c r="M164" s="261">
        <f>IF(ISBLANK(INDEX('Policy Characteristics'!G:G,MATCH($C164,'Policy Characteristics'!$C:$C,0))),"",INDEX('Policy Characteristics'!G:G,MATCH($C164,'Policy Characteristics'!$C:$C,0)))</f>
        <v>0.33</v>
      </c>
      <c r="N164" s="261">
        <f>IF(ISBLANK(INDEX('Policy Characteristics'!H:H,MATCH($C164,'Policy Characteristics'!$C:$C,0))),"",INDEX('Policy Characteristics'!H:H,MATCH($C164,'Policy Characteristics'!$C:$C,0)))</f>
        <v>0.01</v>
      </c>
      <c r="O164" s="254" t="str">
        <f>IF(ISBLANK(INDEX('Policy Characteristics'!I:I,MATCH($C164,'Policy Characteristics'!$C:$C,0))),"",INDEX('Policy Characteristics'!I:I,MATCH($C164,'Policy Characteristics'!$C:$C,0)))</f>
        <v>% of trips shifted</v>
      </c>
      <c r="P164" s="254"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4" t="str">
        <f>IF(ISBLANK(INDEX('Policy Characteristics'!K:K,MATCH($C164,'Policy Characteristics'!$C:$C,0))),"",INDEX('Policy Characteristics'!K:K,MATCH($C164,'Policy Characteristics'!$C:$C,0)))</f>
        <v>transportation-sector-main.html#tdm</v>
      </c>
      <c r="R164" s="254" t="str">
        <f>IF(ISBLANK(INDEX('Policy Characteristics'!L:L,MATCH($C164,'Policy Characteristics'!$C:$C,0))),"",INDEX('Policy Characteristics'!L:L,MATCH($C164,'Policy Characteristics'!$C:$C,0)))</f>
        <v>transportation-demand-management.html</v>
      </c>
    </row>
    <row r="165" spans="1:18" x14ac:dyDescent="0.3">
      <c r="A165" s="254" t="str">
        <f>IF(ISBLANK(INDEX('Policy Characteristics'!A:A,MATCH($C165,'Policy Characteristics'!$C:$C,0))),"",INDEX('Policy Characteristics'!A:A,MATCH($C165,'Policy Characteristics'!$C:$C,0)))</f>
        <v>Transportation</v>
      </c>
      <c r="B165" s="262" t="str">
        <f>IF(ISBLANK(INDEX('Policy Characteristics'!B:B,MATCH($C165,'Policy Characteristics'!$C:$C,0))),"",INDEX('Policy Characteristics'!B:B,MATCH($C165,'Policy Characteristics'!$C:$C,0)))</f>
        <v>Mode Shifting</v>
      </c>
      <c r="C165" s="254" t="str">
        <f t="shared" si="8"/>
        <v>Percent of Travel Demand Shifted to Other Modes or Eliminated</v>
      </c>
      <c r="D165" s="45" t="s">
        <v>45</v>
      </c>
      <c r="E165" s="45" t="s">
        <v>40</v>
      </c>
      <c r="F165" s="45" t="s">
        <v>84</v>
      </c>
      <c r="G165" s="45" t="s">
        <v>86</v>
      </c>
      <c r="H165" s="43">
        <v>851</v>
      </c>
      <c r="I165" s="325" t="s">
        <v>44</v>
      </c>
      <c r="J165" s="255" t="str">
        <f>IF(ISBLANK(INDEX('Policy Characteristics'!D:D,MATCH($C165,'Policy Characteristics'!$C:$C,0))),"",INDEX('Policy Characteristics'!D:D,MATCH($C165,'Policy Characteristics'!$C:$C,0)))</f>
        <v>Mode Shifting</v>
      </c>
      <c r="K165" s="254" t="str">
        <f>IF(ISBLANK(INDEX('Policy Characteristics'!E:E,MATCH($C165,'Policy Characteristics'!$C:$C,0))),"",INDEX('Policy Characteristics'!E:E,MATCH($C165,'Policy Characteristics'!$C:$C,0)))</f>
        <v>trans mode shifting</v>
      </c>
      <c r="L165" s="261">
        <f>IF(ISBLANK(INDEX('Policy Characteristics'!F:F,MATCH($C165,'Policy Characteristics'!$C:$C,0))),"",INDEX('Policy Characteristics'!F:F,MATCH($C165,'Policy Characteristics'!$C:$C,0)))</f>
        <v>0</v>
      </c>
      <c r="M165" s="261">
        <f>IF(ISBLANK(INDEX('Policy Characteristics'!G:G,MATCH($C165,'Policy Characteristics'!$C:$C,0))),"",INDEX('Policy Characteristics'!G:G,MATCH($C165,'Policy Characteristics'!$C:$C,0)))</f>
        <v>0.33</v>
      </c>
      <c r="N165" s="261">
        <f>IF(ISBLANK(INDEX('Policy Characteristics'!H:H,MATCH($C165,'Policy Characteristics'!$C:$C,0))),"",INDEX('Policy Characteristics'!H:H,MATCH($C165,'Policy Characteristics'!$C:$C,0)))</f>
        <v>0.01</v>
      </c>
      <c r="O165" s="254" t="str">
        <f>IF(ISBLANK(INDEX('Policy Characteristics'!I:I,MATCH($C165,'Policy Characteristics'!$C:$C,0))),"",INDEX('Policy Characteristics'!I:I,MATCH($C165,'Policy Characteristics'!$C:$C,0)))</f>
        <v>% of trips shifted</v>
      </c>
      <c r="P165" s="254"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4" t="str">
        <f>IF(ISBLANK(INDEX('Policy Characteristics'!K:K,MATCH($C165,'Policy Characteristics'!$C:$C,0))),"",INDEX('Policy Characteristics'!K:K,MATCH($C165,'Policy Characteristics'!$C:$C,0)))</f>
        <v>transportation-sector-main.html#tdm</v>
      </c>
      <c r="R165" s="254" t="str">
        <f>IF(ISBLANK(INDEX('Policy Characteristics'!L:L,MATCH($C165,'Policy Characteristics'!$C:$C,0))),"",INDEX('Policy Characteristics'!L:L,MATCH($C165,'Policy Characteristics'!$C:$C,0)))</f>
        <v>transportation-demand-management.html</v>
      </c>
    </row>
    <row r="166" spans="1:18" x14ac:dyDescent="0.3">
      <c r="A166" s="254" t="str">
        <f>IF(ISBLANK(INDEX('Policy Characteristics'!A:A,MATCH($C166,'Policy Characteristics'!$C:$C,0))),"",INDEX('Policy Characteristics'!A:A,MATCH($C166,'Policy Characteristics'!$C:$C,0)))</f>
        <v>Transportation</v>
      </c>
      <c r="B166" s="262" t="str">
        <f>IF(ISBLANK(INDEX('Policy Characteristics'!B:B,MATCH($C166,'Policy Characteristics'!$C:$C,0))),"",INDEX('Policy Characteristics'!B:B,MATCH($C166,'Policy Characteristics'!$C:$C,0)))</f>
        <v>Mode Shifting</v>
      </c>
      <c r="C166" s="254" t="str">
        <f t="shared" si="8"/>
        <v>Percent of Travel Demand Shifted to Other Modes or Eliminated</v>
      </c>
      <c r="D166" s="45" t="s">
        <v>45</v>
      </c>
      <c r="E166" s="45" t="s">
        <v>41</v>
      </c>
      <c r="F166" s="45" t="s">
        <v>84</v>
      </c>
      <c r="G166" s="2" t="s">
        <v>3291</v>
      </c>
      <c r="H166" s="43">
        <v>852</v>
      </c>
      <c r="I166" s="325" t="s">
        <v>44</v>
      </c>
      <c r="J166" s="255" t="str">
        <f>IF(ISBLANK(INDEX('Policy Characteristics'!D:D,MATCH($C166,'Policy Characteristics'!$C:$C,0))),"",INDEX('Policy Characteristics'!D:D,MATCH($C166,'Policy Characteristics'!$C:$C,0)))</f>
        <v>Mode Shifting</v>
      </c>
      <c r="K166" s="254" t="str">
        <f>IF(ISBLANK(INDEX('Policy Characteristics'!E:E,MATCH($C166,'Policy Characteristics'!$C:$C,0))),"",INDEX('Policy Characteristics'!E:E,MATCH($C166,'Policy Characteristics'!$C:$C,0)))</f>
        <v>trans mode shifting</v>
      </c>
      <c r="L166" s="261">
        <f>IF(ISBLANK(INDEX('Policy Characteristics'!F:F,MATCH($C166,'Policy Characteristics'!$C:$C,0))),"",INDEX('Policy Characteristics'!F:F,MATCH($C166,'Policy Characteristics'!$C:$C,0)))</f>
        <v>0</v>
      </c>
      <c r="M166" s="261">
        <f>IF(ISBLANK(INDEX('Policy Characteristics'!G:G,MATCH($C166,'Policy Characteristics'!$C:$C,0))),"",INDEX('Policy Characteristics'!G:G,MATCH($C166,'Policy Characteristics'!$C:$C,0)))</f>
        <v>0.33</v>
      </c>
      <c r="N166" s="261">
        <f>IF(ISBLANK(INDEX('Policy Characteristics'!H:H,MATCH($C166,'Policy Characteristics'!$C:$C,0))),"",INDEX('Policy Characteristics'!H:H,MATCH($C166,'Policy Characteristics'!$C:$C,0)))</f>
        <v>0.01</v>
      </c>
      <c r="O166" s="254" t="str">
        <f>IF(ISBLANK(INDEX('Policy Characteristics'!I:I,MATCH($C166,'Policy Characteristics'!$C:$C,0))),"",INDEX('Policy Characteristics'!I:I,MATCH($C166,'Policy Characteristics'!$C:$C,0)))</f>
        <v>% of trips shifted</v>
      </c>
      <c r="P166" s="254"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4" t="str">
        <f>IF(ISBLANK(INDEX('Policy Characteristics'!K:K,MATCH($C166,'Policy Characteristics'!$C:$C,0))),"",INDEX('Policy Characteristics'!K:K,MATCH($C166,'Policy Characteristics'!$C:$C,0)))</f>
        <v>transportation-sector-main.html#tdm</v>
      </c>
      <c r="R166" s="254" t="str">
        <f>IF(ISBLANK(INDEX('Policy Characteristics'!L:L,MATCH($C166,'Policy Characteristics'!$C:$C,0))),"",INDEX('Policy Characteristics'!L:L,MATCH($C166,'Policy Characteristics'!$C:$C,0)))</f>
        <v>transportation-demand-management.html</v>
      </c>
    </row>
    <row r="167" spans="1:18" x14ac:dyDescent="0.3">
      <c r="A167" s="254" t="str">
        <f>IF(ISBLANK(INDEX('Policy Characteristics'!A:A,MATCH($C167,'Policy Characteristics'!$C:$C,0))),"",INDEX('Policy Characteristics'!A:A,MATCH($C167,'Policy Characteristics'!$C:$C,0)))</f>
        <v>Transportation</v>
      </c>
      <c r="B167" s="262" t="str">
        <f>IF(ISBLANK(INDEX('Policy Characteristics'!B:B,MATCH($C167,'Policy Characteristics'!$C:$C,0))),"",INDEX('Policy Characteristics'!B:B,MATCH($C167,'Policy Characteristics'!$C:$C,0)))</f>
        <v>Mode Shifting</v>
      </c>
      <c r="C167" s="254" t="str">
        <f t="shared" si="8"/>
        <v>Percent of Travel Demand Shifted to Other Modes or Eliminated</v>
      </c>
      <c r="D167" s="45" t="s">
        <v>45</v>
      </c>
      <c r="E167" s="45" t="s">
        <v>113</v>
      </c>
      <c r="F167" s="45" t="s">
        <v>84</v>
      </c>
      <c r="G167" s="45" t="s">
        <v>143</v>
      </c>
      <c r="H167" s="43">
        <v>853</v>
      </c>
      <c r="I167" s="325" t="s">
        <v>44</v>
      </c>
      <c r="J167" s="255" t="str">
        <f>IF(ISBLANK(INDEX('Policy Characteristics'!D:D,MATCH($C167,'Policy Characteristics'!$C:$C,0))),"",INDEX('Policy Characteristics'!D:D,MATCH($C167,'Policy Characteristics'!$C:$C,0)))</f>
        <v>Mode Shifting</v>
      </c>
      <c r="K167" s="254" t="str">
        <f>IF(ISBLANK(INDEX('Policy Characteristics'!E:E,MATCH($C167,'Policy Characteristics'!$C:$C,0))),"",INDEX('Policy Characteristics'!E:E,MATCH($C167,'Policy Characteristics'!$C:$C,0)))</f>
        <v>trans mode shifting</v>
      </c>
      <c r="L167" s="261">
        <f>IF(ISBLANK(INDEX('Policy Characteristics'!F:F,MATCH($C167,'Policy Characteristics'!$C:$C,0))),"",INDEX('Policy Characteristics'!F:F,MATCH($C167,'Policy Characteristics'!$C:$C,0)))</f>
        <v>0</v>
      </c>
      <c r="M167" s="261">
        <f>IF(ISBLANK(INDEX('Policy Characteristics'!G:G,MATCH($C167,'Policy Characteristics'!$C:$C,0))),"",INDEX('Policy Characteristics'!G:G,MATCH($C167,'Policy Characteristics'!$C:$C,0)))</f>
        <v>0.33</v>
      </c>
      <c r="N167" s="261">
        <f>IF(ISBLANK(INDEX('Policy Characteristics'!H:H,MATCH($C167,'Policy Characteristics'!$C:$C,0))),"",INDEX('Policy Characteristics'!H:H,MATCH($C167,'Policy Characteristics'!$C:$C,0)))</f>
        <v>0.01</v>
      </c>
      <c r="O167" s="254" t="str">
        <f>IF(ISBLANK(INDEX('Policy Characteristics'!I:I,MATCH($C167,'Policy Characteristics'!$C:$C,0))),"",INDEX('Policy Characteristics'!I:I,MATCH($C167,'Policy Characteristics'!$C:$C,0)))</f>
        <v>% of trips shifted</v>
      </c>
      <c r="P167" s="254"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4" t="str">
        <f>IF(ISBLANK(INDEX('Policy Characteristics'!K:K,MATCH($C167,'Policy Characteristics'!$C:$C,0))),"",INDEX('Policy Characteristics'!K:K,MATCH($C167,'Policy Characteristics'!$C:$C,0)))</f>
        <v>transportation-sector-main.html#tdm</v>
      </c>
      <c r="R167" s="254" t="str">
        <f>IF(ISBLANK(INDEX('Policy Characteristics'!L:L,MATCH($C167,'Policy Characteristics'!$C:$C,0))),"",INDEX('Policy Characteristics'!L:L,MATCH($C167,'Policy Characteristics'!$C:$C,0)))</f>
        <v>transportation-demand-management.html</v>
      </c>
    </row>
    <row r="168" spans="1:18" x14ac:dyDescent="0.3">
      <c r="A168" s="254" t="str">
        <f>IF(ISBLANK(INDEX('Policy Characteristics'!A:A,MATCH($C168,'Policy Characteristics'!$C:$C,0))),"",INDEX('Policy Characteristics'!A:A,MATCH($C168,'Policy Characteristics'!$C:$C,0)))</f>
        <v>Transportation</v>
      </c>
      <c r="B168" s="262" t="str">
        <f>IF(ISBLANK(INDEX('Policy Characteristics'!B:B,MATCH($C168,'Policy Characteristics'!$C:$C,0))),"",INDEX('Policy Characteristics'!B:B,MATCH($C168,'Policy Characteristics'!$C:$C,0)))</f>
        <v>Mode Shifting</v>
      </c>
      <c r="C168" s="254" t="str">
        <f t="shared" si="8"/>
        <v>Percent of Travel Demand Shifted to Other Modes or Eliminated</v>
      </c>
      <c r="D168" s="45" t="s">
        <v>42</v>
      </c>
      <c r="E168" s="45" t="s">
        <v>37</v>
      </c>
      <c r="F168" s="45" t="s">
        <v>85</v>
      </c>
      <c r="G168" s="2" t="s">
        <v>3457</v>
      </c>
      <c r="H168" s="43">
        <v>854</v>
      </c>
      <c r="I168" s="325" t="s">
        <v>44</v>
      </c>
      <c r="J168" s="255" t="str">
        <f>IF(ISBLANK(INDEX('Policy Characteristics'!D:D,MATCH($C168,'Policy Characteristics'!$C:$C,0))),"",INDEX('Policy Characteristics'!D:D,MATCH($C168,'Policy Characteristics'!$C:$C,0)))</f>
        <v>Mode Shifting</v>
      </c>
      <c r="K168" s="254" t="str">
        <f>IF(ISBLANK(INDEX('Policy Characteristics'!E:E,MATCH($C168,'Policy Characteristics'!$C:$C,0))),"",INDEX('Policy Characteristics'!E:E,MATCH($C168,'Policy Characteristics'!$C:$C,0)))</f>
        <v>trans mode shifting</v>
      </c>
      <c r="L168" s="261">
        <f>IF(ISBLANK(INDEX('Policy Characteristics'!F:F,MATCH($C168,'Policy Characteristics'!$C:$C,0))),"",INDEX('Policy Characteristics'!F:F,MATCH($C168,'Policy Characteristics'!$C:$C,0)))</f>
        <v>0</v>
      </c>
      <c r="M168" s="261">
        <f>IF(ISBLANK(INDEX('Policy Characteristics'!G:G,MATCH($C168,'Policy Characteristics'!$C:$C,0))),"",INDEX('Policy Characteristics'!G:G,MATCH($C168,'Policy Characteristics'!$C:$C,0)))</f>
        <v>0.33</v>
      </c>
      <c r="N168" s="261">
        <f>IF(ISBLANK(INDEX('Policy Characteristics'!H:H,MATCH($C168,'Policy Characteristics'!$C:$C,0))),"",INDEX('Policy Characteristics'!H:H,MATCH($C168,'Policy Characteristics'!$C:$C,0)))</f>
        <v>0.01</v>
      </c>
      <c r="O168" s="254" t="str">
        <f>IF(ISBLANK(INDEX('Policy Characteristics'!I:I,MATCH($C168,'Policy Characteristics'!$C:$C,0))),"",INDEX('Policy Characteristics'!I:I,MATCH($C168,'Policy Characteristics'!$C:$C,0)))</f>
        <v>% of trips shifted</v>
      </c>
      <c r="P168" s="254"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4" t="str">
        <f>IF(ISBLANK(INDEX('Policy Characteristics'!K:K,MATCH($C168,'Policy Characteristics'!$C:$C,0))),"",INDEX('Policy Characteristics'!K:K,MATCH($C168,'Policy Characteristics'!$C:$C,0)))</f>
        <v>transportation-sector-main.html#tdm</v>
      </c>
      <c r="R168" s="254" t="str">
        <f>IF(ISBLANK(INDEX('Policy Characteristics'!L:L,MATCH($C168,'Policy Characteristics'!$C:$C,0))),"",INDEX('Policy Characteristics'!L:L,MATCH($C168,'Policy Characteristics'!$C:$C,0)))</f>
        <v>transportation-demand-management.html</v>
      </c>
    </row>
    <row r="169" spans="1:18" x14ac:dyDescent="0.3">
      <c r="A169" s="254" t="str">
        <f>IF(ISBLANK(INDEX('Policy Characteristics'!A:A,MATCH($C169,'Policy Characteristics'!$C:$C,0))),"",INDEX('Policy Characteristics'!A:A,MATCH($C169,'Policy Characteristics'!$C:$C,0)))</f>
        <v>Transportation</v>
      </c>
      <c r="B169" s="262" t="str">
        <f>IF(ISBLANK(INDEX('Policy Characteristics'!B:B,MATCH($C169,'Policy Characteristics'!$C:$C,0))),"",INDEX('Policy Characteristics'!B:B,MATCH($C169,'Policy Characteristics'!$C:$C,0)))</f>
        <v>Mode Shifting</v>
      </c>
      <c r="C169" s="254" t="str">
        <f t="shared" si="8"/>
        <v>Percent of Travel Demand Shifted to Other Modes or Eliminated</v>
      </c>
      <c r="D169" s="45" t="s">
        <v>42</v>
      </c>
      <c r="E169" s="45" t="s">
        <v>38</v>
      </c>
      <c r="F169" s="45" t="s">
        <v>85</v>
      </c>
      <c r="G169" s="2" t="s">
        <v>3453</v>
      </c>
      <c r="H169" s="43">
        <v>855</v>
      </c>
      <c r="I169" s="324" t="s">
        <v>43</v>
      </c>
      <c r="J169" s="255" t="str">
        <f>IF(ISBLANK(INDEX('Policy Characteristics'!D:D,MATCH($C169,'Policy Characteristics'!$C:$C,0))),"",INDEX('Policy Characteristics'!D:D,MATCH($C169,'Policy Characteristics'!$C:$C,0)))</f>
        <v>Mode Shifting</v>
      </c>
      <c r="K169" s="254" t="str">
        <f>IF(ISBLANK(INDEX('Policy Characteristics'!E:E,MATCH($C169,'Policy Characteristics'!$C:$C,0))),"",INDEX('Policy Characteristics'!E:E,MATCH($C169,'Policy Characteristics'!$C:$C,0)))</f>
        <v>trans mode shifting</v>
      </c>
      <c r="L169" s="261">
        <f>IF(ISBLANK(INDEX('Policy Characteristics'!F:F,MATCH($C169,'Policy Characteristics'!$C:$C,0))),"",INDEX('Policy Characteristics'!F:F,MATCH($C169,'Policy Characteristics'!$C:$C,0)))</f>
        <v>0</v>
      </c>
      <c r="M169" s="261">
        <f>IF(ISBLANK(INDEX('Policy Characteristics'!G:G,MATCH($C169,'Policy Characteristics'!$C:$C,0))),"",INDEX('Policy Characteristics'!G:G,MATCH($C169,'Policy Characteristics'!$C:$C,0)))</f>
        <v>0.33</v>
      </c>
      <c r="N169" s="261">
        <f>IF(ISBLANK(INDEX('Policy Characteristics'!H:H,MATCH($C169,'Policy Characteristics'!$C:$C,0))),"",INDEX('Policy Characteristics'!H:H,MATCH($C169,'Policy Characteristics'!$C:$C,0)))</f>
        <v>0.01</v>
      </c>
      <c r="O169" s="254" t="str">
        <f>IF(ISBLANK(INDEX('Policy Characteristics'!I:I,MATCH($C169,'Policy Characteristics'!$C:$C,0))),"",INDEX('Policy Characteristics'!I:I,MATCH($C169,'Policy Characteristics'!$C:$C,0)))</f>
        <v>% of trips shifted</v>
      </c>
      <c r="P169" s="254"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4" t="str">
        <f>IF(ISBLANK(INDEX('Policy Characteristics'!K:K,MATCH($C169,'Policy Characteristics'!$C:$C,0))),"",INDEX('Policy Characteristics'!K:K,MATCH($C169,'Policy Characteristics'!$C:$C,0)))</f>
        <v>transportation-sector-main.html#tdm</v>
      </c>
      <c r="R169" s="254" t="str">
        <f>IF(ISBLANK(INDEX('Policy Characteristics'!L:L,MATCH($C169,'Policy Characteristics'!$C:$C,0))),"",INDEX('Policy Characteristics'!L:L,MATCH($C169,'Policy Characteristics'!$C:$C,0)))</f>
        <v>transportation-demand-management.html</v>
      </c>
    </row>
    <row r="170" spans="1:18" x14ac:dyDescent="0.3">
      <c r="A170" s="254" t="str">
        <f>IF(ISBLANK(INDEX('Policy Characteristics'!A:A,MATCH($C170,'Policy Characteristics'!$C:$C,0))),"",INDEX('Policy Characteristics'!A:A,MATCH($C170,'Policy Characteristics'!$C:$C,0)))</f>
        <v>Transportation</v>
      </c>
      <c r="B170" s="262" t="str">
        <f>IF(ISBLANK(INDEX('Policy Characteristics'!B:B,MATCH($C170,'Policy Characteristics'!$C:$C,0))),"",INDEX('Policy Characteristics'!B:B,MATCH($C170,'Policy Characteristics'!$C:$C,0)))</f>
        <v>Mode Shifting</v>
      </c>
      <c r="C170" s="254" t="str">
        <f t="shared" si="8"/>
        <v>Percent of Travel Demand Shifted to Other Modes or Eliminated</v>
      </c>
      <c r="D170" s="45" t="s">
        <v>42</v>
      </c>
      <c r="E170" s="45" t="s">
        <v>39</v>
      </c>
      <c r="F170" s="45" t="s">
        <v>85</v>
      </c>
      <c r="G170" s="2" t="s">
        <v>3290</v>
      </c>
      <c r="H170" s="43">
        <v>856</v>
      </c>
      <c r="I170" s="325" t="s">
        <v>44</v>
      </c>
      <c r="J170" s="255" t="str">
        <f>IF(ISBLANK(INDEX('Policy Characteristics'!D:D,MATCH($C170,'Policy Characteristics'!$C:$C,0))),"",INDEX('Policy Characteristics'!D:D,MATCH($C170,'Policy Characteristics'!$C:$C,0)))</f>
        <v>Mode Shifting</v>
      </c>
      <c r="K170" s="254" t="str">
        <f>IF(ISBLANK(INDEX('Policy Characteristics'!E:E,MATCH($C170,'Policy Characteristics'!$C:$C,0))),"",INDEX('Policy Characteristics'!E:E,MATCH($C170,'Policy Characteristics'!$C:$C,0)))</f>
        <v>trans mode shifting</v>
      </c>
      <c r="L170" s="261">
        <f>IF(ISBLANK(INDEX('Policy Characteristics'!F:F,MATCH($C170,'Policy Characteristics'!$C:$C,0))),"",INDEX('Policy Characteristics'!F:F,MATCH($C170,'Policy Characteristics'!$C:$C,0)))</f>
        <v>0</v>
      </c>
      <c r="M170" s="261">
        <f>IF(ISBLANK(INDEX('Policy Characteristics'!G:G,MATCH($C170,'Policy Characteristics'!$C:$C,0))),"",INDEX('Policy Characteristics'!G:G,MATCH($C170,'Policy Characteristics'!$C:$C,0)))</f>
        <v>0.33</v>
      </c>
      <c r="N170" s="261">
        <f>IF(ISBLANK(INDEX('Policy Characteristics'!H:H,MATCH($C170,'Policy Characteristics'!$C:$C,0))),"",INDEX('Policy Characteristics'!H:H,MATCH($C170,'Policy Characteristics'!$C:$C,0)))</f>
        <v>0.01</v>
      </c>
      <c r="O170" s="254" t="str">
        <f>IF(ISBLANK(INDEX('Policy Characteristics'!I:I,MATCH($C170,'Policy Characteristics'!$C:$C,0))),"",INDEX('Policy Characteristics'!I:I,MATCH($C170,'Policy Characteristics'!$C:$C,0)))</f>
        <v>% of trips shifted</v>
      </c>
      <c r="P170" s="254"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4" t="str">
        <f>IF(ISBLANK(INDEX('Policy Characteristics'!K:K,MATCH($C170,'Policy Characteristics'!$C:$C,0))),"",INDEX('Policy Characteristics'!K:K,MATCH($C170,'Policy Characteristics'!$C:$C,0)))</f>
        <v>transportation-sector-main.html#tdm</v>
      </c>
      <c r="R170" s="254" t="str">
        <f>IF(ISBLANK(INDEX('Policy Characteristics'!L:L,MATCH($C170,'Policy Characteristics'!$C:$C,0))),"",INDEX('Policy Characteristics'!L:L,MATCH($C170,'Policy Characteristics'!$C:$C,0)))</f>
        <v>transportation-demand-management.html</v>
      </c>
    </row>
    <row r="171" spans="1:18" x14ac:dyDescent="0.3">
      <c r="A171" s="254" t="str">
        <f>IF(ISBLANK(INDEX('Policy Characteristics'!A:A,MATCH($C171,'Policy Characteristics'!$C:$C,0))),"",INDEX('Policy Characteristics'!A:A,MATCH($C171,'Policy Characteristics'!$C:$C,0)))</f>
        <v>Transportation</v>
      </c>
      <c r="B171" s="262" t="str">
        <f>IF(ISBLANK(INDEX('Policy Characteristics'!B:B,MATCH($C171,'Policy Characteristics'!$C:$C,0))),"",INDEX('Policy Characteristics'!B:B,MATCH($C171,'Policy Characteristics'!$C:$C,0)))</f>
        <v>Mode Shifting</v>
      </c>
      <c r="C171" s="254" t="str">
        <f t="shared" si="8"/>
        <v>Percent of Travel Demand Shifted to Other Modes or Eliminated</v>
      </c>
      <c r="D171" s="45" t="s">
        <v>42</v>
      </c>
      <c r="E171" s="45" t="s">
        <v>40</v>
      </c>
      <c r="F171" s="45" t="s">
        <v>85</v>
      </c>
      <c r="G171" s="45" t="s">
        <v>86</v>
      </c>
      <c r="H171" s="43">
        <v>857</v>
      </c>
      <c r="I171" s="325" t="s">
        <v>43</v>
      </c>
      <c r="J171" s="255" t="str">
        <f>IF(ISBLANK(INDEX('Policy Characteristics'!D:D,MATCH($C171,'Policy Characteristics'!$C:$C,0))),"",INDEX('Policy Characteristics'!D:D,MATCH($C171,'Policy Characteristics'!$C:$C,0)))</f>
        <v>Mode Shifting</v>
      </c>
      <c r="K171" s="254" t="str">
        <f>IF(ISBLANK(INDEX('Policy Characteristics'!E:E,MATCH($C171,'Policy Characteristics'!$C:$C,0))),"",INDEX('Policy Characteristics'!E:E,MATCH($C171,'Policy Characteristics'!$C:$C,0)))</f>
        <v>trans mode shifting</v>
      </c>
      <c r="L171" s="261">
        <f>IF(ISBLANK(INDEX('Policy Characteristics'!F:F,MATCH($C171,'Policy Characteristics'!$C:$C,0))),"",INDEX('Policy Characteristics'!F:F,MATCH($C171,'Policy Characteristics'!$C:$C,0)))</f>
        <v>0</v>
      </c>
      <c r="M171" s="261">
        <f>IF(ISBLANK(INDEX('Policy Characteristics'!G:G,MATCH($C171,'Policy Characteristics'!$C:$C,0))),"",INDEX('Policy Characteristics'!G:G,MATCH($C171,'Policy Characteristics'!$C:$C,0)))</f>
        <v>0.33</v>
      </c>
      <c r="N171" s="261">
        <f>IF(ISBLANK(INDEX('Policy Characteristics'!H:H,MATCH($C171,'Policy Characteristics'!$C:$C,0))),"",INDEX('Policy Characteristics'!H:H,MATCH($C171,'Policy Characteristics'!$C:$C,0)))</f>
        <v>0.01</v>
      </c>
      <c r="O171" s="254" t="str">
        <f>IF(ISBLANK(INDEX('Policy Characteristics'!I:I,MATCH($C171,'Policy Characteristics'!$C:$C,0))),"",INDEX('Policy Characteristics'!I:I,MATCH($C171,'Policy Characteristics'!$C:$C,0)))</f>
        <v>% of trips shifted</v>
      </c>
      <c r="P171" s="254"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4" t="str">
        <f>IF(ISBLANK(INDEX('Policy Characteristics'!K:K,MATCH($C171,'Policy Characteristics'!$C:$C,0))),"",INDEX('Policy Characteristics'!K:K,MATCH($C171,'Policy Characteristics'!$C:$C,0)))</f>
        <v>transportation-sector-main.html#tdm</v>
      </c>
      <c r="R171" s="254" t="str">
        <f>IF(ISBLANK(INDEX('Policy Characteristics'!L:L,MATCH($C171,'Policy Characteristics'!$C:$C,0))),"",INDEX('Policy Characteristics'!L:L,MATCH($C171,'Policy Characteristics'!$C:$C,0)))</f>
        <v>transportation-demand-management.html</v>
      </c>
    </row>
    <row r="172" spans="1:18" x14ac:dyDescent="0.3">
      <c r="A172" s="254" t="str">
        <f>IF(ISBLANK(INDEX('Policy Characteristics'!A:A,MATCH($C172,'Policy Characteristics'!$C:$C,0))),"",INDEX('Policy Characteristics'!A:A,MATCH($C172,'Policy Characteristics'!$C:$C,0)))</f>
        <v>Transportation</v>
      </c>
      <c r="B172" s="262" t="str">
        <f>IF(ISBLANK(INDEX('Policy Characteristics'!B:B,MATCH($C172,'Policy Characteristics'!$C:$C,0))),"",INDEX('Policy Characteristics'!B:B,MATCH($C172,'Policy Characteristics'!$C:$C,0)))</f>
        <v>Mode Shifting</v>
      </c>
      <c r="C172" s="254" t="str">
        <f t="shared" si="8"/>
        <v>Percent of Travel Demand Shifted to Other Modes or Eliminated</v>
      </c>
      <c r="D172" s="45" t="s">
        <v>42</v>
      </c>
      <c r="E172" s="45" t="s">
        <v>41</v>
      </c>
      <c r="F172" s="45" t="s">
        <v>85</v>
      </c>
      <c r="G172" s="2" t="s">
        <v>3292</v>
      </c>
      <c r="H172" s="43">
        <v>858</v>
      </c>
      <c r="I172" s="325" t="s">
        <v>44</v>
      </c>
      <c r="J172" s="255" t="str">
        <f>IF(ISBLANK(INDEX('Policy Characteristics'!D:D,MATCH($C172,'Policy Characteristics'!$C:$C,0))),"",INDEX('Policy Characteristics'!D:D,MATCH($C172,'Policy Characteristics'!$C:$C,0)))</f>
        <v>Mode Shifting</v>
      </c>
      <c r="K172" s="254" t="str">
        <f>IF(ISBLANK(INDEX('Policy Characteristics'!E:E,MATCH($C172,'Policy Characteristics'!$C:$C,0))),"",INDEX('Policy Characteristics'!E:E,MATCH($C172,'Policy Characteristics'!$C:$C,0)))</f>
        <v>trans mode shifting</v>
      </c>
      <c r="L172" s="261">
        <f>IF(ISBLANK(INDEX('Policy Characteristics'!F:F,MATCH($C172,'Policy Characteristics'!$C:$C,0))),"",INDEX('Policy Characteristics'!F:F,MATCH($C172,'Policy Characteristics'!$C:$C,0)))</f>
        <v>0</v>
      </c>
      <c r="M172" s="261">
        <f>IF(ISBLANK(INDEX('Policy Characteristics'!G:G,MATCH($C172,'Policy Characteristics'!$C:$C,0))),"",INDEX('Policy Characteristics'!G:G,MATCH($C172,'Policy Characteristics'!$C:$C,0)))</f>
        <v>0.33</v>
      </c>
      <c r="N172" s="261">
        <f>IF(ISBLANK(INDEX('Policy Characteristics'!H:H,MATCH($C172,'Policy Characteristics'!$C:$C,0))),"",INDEX('Policy Characteristics'!H:H,MATCH($C172,'Policy Characteristics'!$C:$C,0)))</f>
        <v>0.01</v>
      </c>
      <c r="O172" s="254" t="str">
        <f>IF(ISBLANK(INDEX('Policy Characteristics'!I:I,MATCH($C172,'Policy Characteristics'!$C:$C,0))),"",INDEX('Policy Characteristics'!I:I,MATCH($C172,'Policy Characteristics'!$C:$C,0)))</f>
        <v>% of trips shifted</v>
      </c>
      <c r="P172" s="254"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4" t="str">
        <f>IF(ISBLANK(INDEX('Policy Characteristics'!K:K,MATCH($C172,'Policy Characteristics'!$C:$C,0))),"",INDEX('Policy Characteristics'!K:K,MATCH($C172,'Policy Characteristics'!$C:$C,0)))</f>
        <v>transportation-sector-main.html#tdm</v>
      </c>
      <c r="R172" s="254" t="str">
        <f>IF(ISBLANK(INDEX('Policy Characteristics'!L:L,MATCH($C172,'Policy Characteristics'!$C:$C,0))),"",INDEX('Policy Characteristics'!L:L,MATCH($C172,'Policy Characteristics'!$C:$C,0)))</f>
        <v>transportation-demand-management.html</v>
      </c>
    </row>
    <row r="173" spans="1:18" x14ac:dyDescent="0.3">
      <c r="A173" s="254" t="str">
        <f>IF(ISBLANK(INDEX('Policy Characteristics'!A:A,MATCH($C173,'Policy Characteristics'!$C:$C,0))),"",INDEX('Policy Characteristics'!A:A,MATCH($C173,'Policy Characteristics'!$C:$C,0)))</f>
        <v>Transportation</v>
      </c>
      <c r="B173" s="262" t="str">
        <f>IF(ISBLANK(INDEX('Policy Characteristics'!B:B,MATCH($C173,'Policy Characteristics'!$C:$C,0))),"",INDEX('Policy Characteristics'!B:B,MATCH($C173,'Policy Characteristics'!$C:$C,0)))</f>
        <v>Mode Shifting</v>
      </c>
      <c r="C173" s="254" t="str">
        <f t="shared" si="8"/>
        <v>Percent of Travel Demand Shifted to Other Modes or Eliminated</v>
      </c>
      <c r="D173" s="45" t="s">
        <v>42</v>
      </c>
      <c r="E173" s="45" t="s">
        <v>113</v>
      </c>
      <c r="F173" s="45" t="s">
        <v>85</v>
      </c>
      <c r="G173" s="45" t="s">
        <v>143</v>
      </c>
      <c r="H173" s="43">
        <v>859</v>
      </c>
      <c r="I173" s="325" t="s">
        <v>44</v>
      </c>
      <c r="J173" s="255" t="str">
        <f>IF(ISBLANK(INDEX('Policy Characteristics'!D:D,MATCH($C173,'Policy Characteristics'!$C:$C,0))),"",INDEX('Policy Characteristics'!D:D,MATCH($C173,'Policy Characteristics'!$C:$C,0)))</f>
        <v>Mode Shifting</v>
      </c>
      <c r="K173" s="254" t="str">
        <f>IF(ISBLANK(INDEX('Policy Characteristics'!E:E,MATCH($C173,'Policy Characteristics'!$C:$C,0))),"",INDEX('Policy Characteristics'!E:E,MATCH($C173,'Policy Characteristics'!$C:$C,0)))</f>
        <v>trans mode shifting</v>
      </c>
      <c r="L173" s="261">
        <f>IF(ISBLANK(INDEX('Policy Characteristics'!F:F,MATCH($C173,'Policy Characteristics'!$C:$C,0))),"",INDEX('Policy Characteristics'!F:F,MATCH($C173,'Policy Characteristics'!$C:$C,0)))</f>
        <v>0</v>
      </c>
      <c r="M173" s="261">
        <f>IF(ISBLANK(INDEX('Policy Characteristics'!G:G,MATCH($C173,'Policy Characteristics'!$C:$C,0))),"",INDEX('Policy Characteristics'!G:G,MATCH($C173,'Policy Characteristics'!$C:$C,0)))</f>
        <v>0.33</v>
      </c>
      <c r="N173" s="261">
        <f>IF(ISBLANK(INDEX('Policy Characteristics'!H:H,MATCH($C173,'Policy Characteristics'!$C:$C,0))),"",INDEX('Policy Characteristics'!H:H,MATCH($C173,'Policy Characteristics'!$C:$C,0)))</f>
        <v>0.01</v>
      </c>
      <c r="O173" s="254" t="str">
        <f>IF(ISBLANK(INDEX('Policy Characteristics'!I:I,MATCH($C173,'Policy Characteristics'!$C:$C,0))),"",INDEX('Policy Characteristics'!I:I,MATCH($C173,'Policy Characteristics'!$C:$C,0)))</f>
        <v>% of trips shifted</v>
      </c>
      <c r="P173" s="254"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4" t="str">
        <f>IF(ISBLANK(INDEX('Policy Characteristics'!K:K,MATCH($C173,'Policy Characteristics'!$C:$C,0))),"",INDEX('Policy Characteristics'!K:K,MATCH($C173,'Policy Characteristics'!$C:$C,0)))</f>
        <v>transportation-sector-main.html#tdm</v>
      </c>
      <c r="R173" s="254" t="str">
        <f>IF(ISBLANK(INDEX('Policy Characteristics'!L:L,MATCH($C173,'Policy Characteristics'!$C:$C,0))),"",INDEX('Policy Characteristics'!L:L,MATCH($C173,'Policy Characteristics'!$C:$C,0)))</f>
        <v>transportation-demand-management.html</v>
      </c>
    </row>
    <row r="174" spans="1:18" x14ac:dyDescent="0.3">
      <c r="A174" s="254" t="str">
        <f>IF(ISBLANK(INDEX('Policy Characteristics'!A:A,MATCH($C174,'Policy Characteristics'!$C:$C,0))),"",INDEX('Policy Characteristics'!A:A,MATCH($C174,'Policy Characteristics'!$C:$C,0)))</f>
        <v>Transportation</v>
      </c>
      <c r="B174" s="262" t="str">
        <f>IF(ISBLANK(INDEX('Policy Characteristics'!B:B,MATCH($C174,'Policy Characteristics'!$C:$C,0))),"",INDEX('Policy Characteristics'!B:B,MATCH($C174,'Policy Characteristics'!$C:$C,0)))</f>
        <v>Zero-Emission Vehicle Sales Standard</v>
      </c>
      <c r="C174" s="317" t="s">
        <v>3429</v>
      </c>
      <c r="D174" s="45" t="s">
        <v>45</v>
      </c>
      <c r="E174" s="45" t="s">
        <v>37</v>
      </c>
      <c r="F174" s="45" t="s">
        <v>84</v>
      </c>
      <c r="G174" s="2" t="s">
        <v>3293</v>
      </c>
      <c r="H174" s="47">
        <v>186</v>
      </c>
      <c r="I174" s="324" t="s">
        <v>43</v>
      </c>
      <c r="J174" s="255" t="str">
        <f>IF(ISBLANK(INDEX('Policy Characteristics'!D:D,MATCH($C174,'Policy Characteristics'!$C:$C,0))),"",INDEX('Policy Characteristics'!D:D,MATCH($C174,'Policy Characteristics'!$C:$C,0)))</f>
        <v>ZEV Sales Standard</v>
      </c>
      <c r="K174" s="254" t="str">
        <f>IF(ISBLANK(INDEX('Policy Characteristics'!E:E,MATCH($C174,'Policy Characteristics'!$C:$C,0))),"",INDEX('Policy Characteristics'!E:E,MATCH($C174,'Policy Characteristics'!$C:$C,0)))</f>
        <v>trans ZEV minimum</v>
      </c>
      <c r="L174" s="261">
        <f>IF(ISBLANK(INDEX('Policy Characteristics'!F:F,MATCH($C174,'Policy Characteristics'!$C:$C,0))),"",INDEX('Policy Characteristics'!F:F,MATCH($C174,'Policy Characteristics'!$C:$C,0)))</f>
        <v>0</v>
      </c>
      <c r="M174" s="261">
        <f>IF(ISBLANK(INDEX('Policy Characteristics'!G:G,MATCH($C174,'Policy Characteristics'!$C:$C,0))),"",INDEX('Policy Characteristics'!G:G,MATCH($C174,'Policy Characteristics'!$C:$C,0)))</f>
        <v>1</v>
      </c>
      <c r="N174" s="261">
        <f>IF(ISBLANK(INDEX('Policy Characteristics'!H:H,MATCH($C174,'Policy Characteristics'!$C:$C,0))),"",INDEX('Policy Characteristics'!H:H,MATCH($C174,'Policy Characteristics'!$C:$C,0)))</f>
        <v>0.01</v>
      </c>
      <c r="O174" s="254" t="str">
        <f>IF(ISBLANK(INDEX('Policy Characteristics'!I:I,MATCH($C174,'Policy Characteristics'!$C:$C,0))),"",INDEX('Policy Characteristics'!I:I,MATCH($C174,'Policy Characteristics'!$C:$C,0)))</f>
        <v>% of new vehicles sold</v>
      </c>
      <c r="P174" s="254"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4" t="str">
        <f>IF(ISBLANK(INDEX('Policy Characteristics'!K:K,MATCH($C174,'Policy Characteristics'!$C:$C,0))),"",INDEX('Policy Characteristics'!K:K,MATCH($C174,'Policy Characteristics'!$C:$C,0)))</f>
        <v>transportation-sector-main.html#ev-mandate</v>
      </c>
      <c r="R174" s="254" t="str">
        <f>IF(ISBLANK(INDEX('Policy Characteristics'!L:L,MATCH($C174,'Policy Characteristics'!$C:$C,0))),"",INDEX('Policy Characteristics'!L:L,MATCH($C174,'Policy Characteristics'!$C:$C,0)))</f>
        <v>ev-mandate.html</v>
      </c>
    </row>
    <row r="175" spans="1:18" x14ac:dyDescent="0.3">
      <c r="A175" s="254" t="str">
        <f>IF(ISBLANK(INDEX('Policy Characteristics'!A:A,MATCH($C175,'Policy Characteristics'!$C:$C,0))),"",INDEX('Policy Characteristics'!A:A,MATCH($C175,'Policy Characteristics'!$C:$C,0)))</f>
        <v>Transportation</v>
      </c>
      <c r="B175" s="262" t="str">
        <f>IF(ISBLANK(INDEX('Policy Characteristics'!B:B,MATCH($C175,'Policy Characteristics'!$C:$C,0))),"",INDEX('Policy Characteristics'!B:B,MATCH($C175,'Policy Characteristics'!$C:$C,0)))</f>
        <v>Zero-Emission Vehicle Sales Standard</v>
      </c>
      <c r="C175" s="254" t="str">
        <f>C$174</f>
        <v>Minimum Required ZEV Sales Percentage</v>
      </c>
      <c r="D175" s="2" t="s">
        <v>42</v>
      </c>
      <c r="E175" s="2" t="s">
        <v>37</v>
      </c>
      <c r="F175" s="2" t="s">
        <v>85</v>
      </c>
      <c r="G175" s="2" t="s">
        <v>3457</v>
      </c>
      <c r="H175" s="47">
        <v>203</v>
      </c>
      <c r="I175" s="325" t="s">
        <v>43</v>
      </c>
      <c r="J175" s="255" t="str">
        <f>IF(ISBLANK(INDEX('Policy Characteristics'!D:D,MATCH($C175,'Policy Characteristics'!$C:$C,0))),"",INDEX('Policy Characteristics'!D:D,MATCH($C175,'Policy Characteristics'!$C:$C,0)))</f>
        <v>ZEV Sales Standard</v>
      </c>
      <c r="K175" s="254" t="str">
        <f>IF(ISBLANK(INDEX('Policy Characteristics'!E:E,MATCH($C175,'Policy Characteristics'!$C:$C,0))),"",INDEX('Policy Characteristics'!E:E,MATCH($C175,'Policy Characteristics'!$C:$C,0)))</f>
        <v>trans ZEV minimum</v>
      </c>
      <c r="L175" s="261">
        <f>IF(ISBLANK(INDEX('Policy Characteristics'!F:F,MATCH($C175,'Policy Characteristics'!$C:$C,0))),"",INDEX('Policy Characteristics'!F:F,MATCH($C175,'Policy Characteristics'!$C:$C,0)))</f>
        <v>0</v>
      </c>
      <c r="M175" s="261">
        <f>IF(ISBLANK(INDEX('Policy Characteristics'!G:G,MATCH($C175,'Policy Characteristics'!$C:$C,0))),"",INDEX('Policy Characteristics'!G:G,MATCH($C175,'Policy Characteristics'!$C:$C,0)))</f>
        <v>1</v>
      </c>
      <c r="N175" s="261">
        <f>IF(ISBLANK(INDEX('Policy Characteristics'!H:H,MATCH($C175,'Policy Characteristics'!$C:$C,0))),"",INDEX('Policy Characteristics'!H:H,MATCH($C175,'Policy Characteristics'!$C:$C,0)))</f>
        <v>0.01</v>
      </c>
      <c r="O175" s="254" t="str">
        <f>IF(ISBLANK(INDEX('Policy Characteristics'!I:I,MATCH($C175,'Policy Characteristics'!$C:$C,0))),"",INDEX('Policy Characteristics'!I:I,MATCH($C175,'Policy Characteristics'!$C:$C,0)))</f>
        <v>% of new vehicles sold</v>
      </c>
      <c r="P175" s="254"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4" t="str">
        <f>IF(ISBLANK(INDEX('Policy Characteristics'!K:K,MATCH($C175,'Policy Characteristics'!$C:$C,0))),"",INDEX('Policy Characteristics'!K:K,MATCH($C175,'Policy Characteristics'!$C:$C,0)))</f>
        <v>transportation-sector-main.html#ev-mandate</v>
      </c>
      <c r="R175" s="254" t="str">
        <f>IF(ISBLANK(INDEX('Policy Characteristics'!L:L,MATCH($C175,'Policy Characteristics'!$C:$C,0))),"",INDEX('Policy Characteristics'!L:L,MATCH($C175,'Policy Characteristics'!$C:$C,0)))</f>
        <v>ev-mandate.html</v>
      </c>
    </row>
    <row r="176" spans="1:18" x14ac:dyDescent="0.3">
      <c r="A176" s="254" t="str">
        <f>IF(ISBLANK(INDEX('Policy Characteristics'!A:A,MATCH($C176,'Policy Characteristics'!$C:$C,0))),"",INDEX('Policy Characteristics'!A:A,MATCH($C176,'Policy Characteristics'!$C:$C,0)))</f>
        <v>Transportation</v>
      </c>
      <c r="B176" s="262" t="str">
        <f>IF(ISBLANK(INDEX('Policy Characteristics'!B:B,MATCH($C176,'Policy Characteristics'!$C:$C,0))),"",INDEX('Policy Characteristics'!B:B,MATCH($C176,'Policy Characteristics'!$C:$C,0)))</f>
        <v>Zero-Emission Vehicle Sales Standard</v>
      </c>
      <c r="C176" s="254" t="str">
        <f t="shared" ref="C176:C185" si="9">C$174</f>
        <v>Minimum Required ZEV Sales Percentage</v>
      </c>
      <c r="D176" s="2" t="s">
        <v>45</v>
      </c>
      <c r="E176" s="2" t="s">
        <v>38</v>
      </c>
      <c r="F176" s="2" t="s">
        <v>84</v>
      </c>
      <c r="G176" s="2" t="s">
        <v>2344</v>
      </c>
      <c r="H176" s="47">
        <v>187</v>
      </c>
      <c r="I176" s="324" t="s">
        <v>43</v>
      </c>
      <c r="J176" s="255" t="str">
        <f>IF(ISBLANK(INDEX('Policy Characteristics'!D:D,MATCH($C176,'Policy Characteristics'!$C:$C,0))),"",INDEX('Policy Characteristics'!D:D,MATCH($C176,'Policy Characteristics'!$C:$C,0)))</f>
        <v>ZEV Sales Standard</v>
      </c>
      <c r="K176" s="254" t="str">
        <f>IF(ISBLANK(INDEX('Policy Characteristics'!E:E,MATCH($C176,'Policy Characteristics'!$C:$C,0))),"",INDEX('Policy Characteristics'!E:E,MATCH($C176,'Policy Characteristics'!$C:$C,0)))</f>
        <v>trans ZEV minimum</v>
      </c>
      <c r="L176" s="261">
        <f>IF(ISBLANK(INDEX('Policy Characteristics'!F:F,MATCH($C176,'Policy Characteristics'!$C:$C,0))),"",INDEX('Policy Characteristics'!F:F,MATCH($C176,'Policy Characteristics'!$C:$C,0)))</f>
        <v>0</v>
      </c>
      <c r="M176" s="261">
        <f>IF(ISBLANK(INDEX('Policy Characteristics'!G:G,MATCH($C176,'Policy Characteristics'!$C:$C,0))),"",INDEX('Policy Characteristics'!G:G,MATCH($C176,'Policy Characteristics'!$C:$C,0)))</f>
        <v>1</v>
      </c>
      <c r="N176" s="261">
        <f>IF(ISBLANK(INDEX('Policy Characteristics'!H:H,MATCH($C176,'Policy Characteristics'!$C:$C,0))),"",INDEX('Policy Characteristics'!H:H,MATCH($C176,'Policy Characteristics'!$C:$C,0)))</f>
        <v>0.01</v>
      </c>
      <c r="O176" s="254" t="str">
        <f>IF(ISBLANK(INDEX('Policy Characteristics'!I:I,MATCH($C176,'Policy Characteristics'!$C:$C,0))),"",INDEX('Policy Characteristics'!I:I,MATCH($C176,'Policy Characteristics'!$C:$C,0)))</f>
        <v>% of new vehicles sold</v>
      </c>
      <c r="P176" s="254"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4" t="str">
        <f>IF(ISBLANK(INDEX('Policy Characteristics'!K:K,MATCH($C176,'Policy Characteristics'!$C:$C,0))),"",INDEX('Policy Characteristics'!K:K,MATCH($C176,'Policy Characteristics'!$C:$C,0)))</f>
        <v>transportation-sector-main.html#ev-mandate</v>
      </c>
      <c r="R176" s="254" t="str">
        <f>IF(ISBLANK(INDEX('Policy Characteristics'!L:L,MATCH($C176,'Policy Characteristics'!$C:$C,0))),"",INDEX('Policy Characteristics'!L:L,MATCH($C176,'Policy Characteristics'!$C:$C,0)))</f>
        <v>ev-mandate.html</v>
      </c>
    </row>
    <row r="177" spans="1:18" x14ac:dyDescent="0.3">
      <c r="A177" s="254" t="str">
        <f>IF(ISBLANK(INDEX('Policy Characteristics'!A:A,MATCH($C177,'Policy Characteristics'!$C:$C,0))),"",INDEX('Policy Characteristics'!A:A,MATCH($C177,'Policy Characteristics'!$C:$C,0)))</f>
        <v>Transportation</v>
      </c>
      <c r="B177" s="262" t="str">
        <f>IF(ISBLANK(INDEX('Policy Characteristics'!B:B,MATCH($C177,'Policy Characteristics'!$C:$C,0))),"",INDEX('Policy Characteristics'!B:B,MATCH($C177,'Policy Characteristics'!$C:$C,0)))</f>
        <v>Zero-Emission Vehicle Sales Standard</v>
      </c>
      <c r="C177" s="254" t="str">
        <f t="shared" si="9"/>
        <v>Minimum Required ZEV Sales Percentage</v>
      </c>
      <c r="D177" s="2" t="s">
        <v>42</v>
      </c>
      <c r="E177" s="2" t="s">
        <v>38</v>
      </c>
      <c r="F177" s="2" t="s">
        <v>85</v>
      </c>
      <c r="G177" s="2" t="s">
        <v>3453</v>
      </c>
      <c r="H177" s="47">
        <v>191</v>
      </c>
      <c r="I177" s="324" t="s">
        <v>43</v>
      </c>
      <c r="J177" s="255" t="str">
        <f>IF(ISBLANK(INDEX('Policy Characteristics'!D:D,MATCH($C177,'Policy Characteristics'!$C:$C,0))),"",INDEX('Policy Characteristics'!D:D,MATCH($C177,'Policy Characteristics'!$C:$C,0)))</f>
        <v>ZEV Sales Standard</v>
      </c>
      <c r="K177" s="254" t="str">
        <f>IF(ISBLANK(INDEX('Policy Characteristics'!E:E,MATCH($C177,'Policy Characteristics'!$C:$C,0))),"",INDEX('Policy Characteristics'!E:E,MATCH($C177,'Policy Characteristics'!$C:$C,0)))</f>
        <v>trans ZEV minimum</v>
      </c>
      <c r="L177" s="261">
        <f>IF(ISBLANK(INDEX('Policy Characteristics'!F:F,MATCH($C177,'Policy Characteristics'!$C:$C,0))),"",INDEX('Policy Characteristics'!F:F,MATCH($C177,'Policy Characteristics'!$C:$C,0)))</f>
        <v>0</v>
      </c>
      <c r="M177" s="261">
        <f>IF(ISBLANK(INDEX('Policy Characteristics'!G:G,MATCH($C177,'Policy Characteristics'!$C:$C,0))),"",INDEX('Policy Characteristics'!G:G,MATCH($C177,'Policy Characteristics'!$C:$C,0)))</f>
        <v>1</v>
      </c>
      <c r="N177" s="261">
        <f>IF(ISBLANK(INDEX('Policy Characteristics'!H:H,MATCH($C177,'Policy Characteristics'!$C:$C,0))),"",INDEX('Policy Characteristics'!H:H,MATCH($C177,'Policy Characteristics'!$C:$C,0)))</f>
        <v>0.01</v>
      </c>
      <c r="O177" s="254" t="str">
        <f>IF(ISBLANK(INDEX('Policy Characteristics'!I:I,MATCH($C177,'Policy Characteristics'!$C:$C,0))),"",INDEX('Policy Characteristics'!I:I,MATCH($C177,'Policy Characteristics'!$C:$C,0)))</f>
        <v>% of new vehicles sold</v>
      </c>
      <c r="P177" s="254"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4" t="str">
        <f>IF(ISBLANK(INDEX('Policy Characteristics'!K:K,MATCH($C177,'Policy Characteristics'!$C:$C,0))),"",INDEX('Policy Characteristics'!K:K,MATCH($C177,'Policy Characteristics'!$C:$C,0)))</f>
        <v>transportation-sector-main.html#ev-mandate</v>
      </c>
      <c r="R177" s="254" t="str">
        <f>IF(ISBLANK(INDEX('Policy Characteristics'!L:L,MATCH($C177,'Policy Characteristics'!$C:$C,0))),"",INDEX('Policy Characteristics'!L:L,MATCH($C177,'Policy Characteristics'!$C:$C,0)))</f>
        <v>ev-mandate.html</v>
      </c>
    </row>
    <row r="178" spans="1:18" x14ac:dyDescent="0.3">
      <c r="A178" s="254" t="str">
        <f>IF(ISBLANK(INDEX('Policy Characteristics'!A:A,MATCH($C178,'Policy Characteristics'!$C:$C,0))),"",INDEX('Policy Characteristics'!A:A,MATCH($C178,'Policy Characteristics'!$C:$C,0)))</f>
        <v>Transportation</v>
      </c>
      <c r="B178" s="262" t="str">
        <f>IF(ISBLANK(INDEX('Policy Characteristics'!B:B,MATCH($C178,'Policy Characteristics'!$C:$C,0))),"",INDEX('Policy Characteristics'!B:B,MATCH($C178,'Policy Characteristics'!$C:$C,0)))</f>
        <v>Zero-Emission Vehicle Sales Standard</v>
      </c>
      <c r="C178" s="254" t="str">
        <f t="shared" si="9"/>
        <v>Minimum Required ZEV Sales Percentage</v>
      </c>
      <c r="D178" s="2" t="s">
        <v>45</v>
      </c>
      <c r="E178" s="2" t="s">
        <v>39</v>
      </c>
      <c r="F178" s="2" t="s">
        <v>84</v>
      </c>
      <c r="G178" s="2" t="s">
        <v>3290</v>
      </c>
      <c r="H178" s="47">
        <v>496</v>
      </c>
      <c r="I178" s="324" t="s">
        <v>44</v>
      </c>
      <c r="J178" s="255" t="str">
        <f>IF(ISBLANK(INDEX('Policy Characteristics'!D:D,MATCH($C178,'Policy Characteristics'!$C:$C,0))),"",INDEX('Policy Characteristics'!D:D,MATCH($C178,'Policy Characteristics'!$C:$C,0)))</f>
        <v>ZEV Sales Standard</v>
      </c>
      <c r="K178" s="254" t="str">
        <f>IF(ISBLANK(INDEX('Policy Characteristics'!E:E,MATCH($C178,'Policy Characteristics'!$C:$C,0))),"",INDEX('Policy Characteristics'!E:E,MATCH($C178,'Policy Characteristics'!$C:$C,0)))</f>
        <v>trans ZEV minimum</v>
      </c>
      <c r="L178" s="261">
        <f>IF(ISBLANK(INDEX('Policy Characteristics'!F:F,MATCH($C178,'Policy Characteristics'!$C:$C,0))),"",INDEX('Policy Characteristics'!F:F,MATCH($C178,'Policy Characteristics'!$C:$C,0)))</f>
        <v>0</v>
      </c>
      <c r="M178" s="261">
        <f>IF(ISBLANK(INDEX('Policy Characteristics'!G:G,MATCH($C178,'Policy Characteristics'!$C:$C,0))),"",INDEX('Policy Characteristics'!G:G,MATCH($C178,'Policy Characteristics'!$C:$C,0)))</f>
        <v>1</v>
      </c>
      <c r="N178" s="261">
        <f>IF(ISBLANK(INDEX('Policy Characteristics'!H:H,MATCH($C178,'Policy Characteristics'!$C:$C,0))),"",INDEX('Policy Characteristics'!H:H,MATCH($C178,'Policy Characteristics'!$C:$C,0)))</f>
        <v>0.01</v>
      </c>
      <c r="O178" s="254" t="str">
        <f>IF(ISBLANK(INDEX('Policy Characteristics'!I:I,MATCH($C178,'Policy Characteristics'!$C:$C,0))),"",INDEX('Policy Characteristics'!I:I,MATCH($C178,'Policy Characteristics'!$C:$C,0)))</f>
        <v>% of new vehicles sold</v>
      </c>
      <c r="P178" s="254"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4" t="str">
        <f>IF(ISBLANK(INDEX('Policy Characteristics'!K:K,MATCH($C178,'Policy Characteristics'!$C:$C,0))),"",INDEX('Policy Characteristics'!K:K,MATCH($C178,'Policy Characteristics'!$C:$C,0)))</f>
        <v>transportation-sector-main.html#ev-mandate</v>
      </c>
      <c r="R178" s="254" t="str">
        <f>IF(ISBLANK(INDEX('Policy Characteristics'!L:L,MATCH($C178,'Policy Characteristics'!$C:$C,0))),"",INDEX('Policy Characteristics'!L:L,MATCH($C178,'Policy Characteristics'!$C:$C,0)))</f>
        <v>ev-mandate.html</v>
      </c>
    </row>
    <row r="179" spans="1:18" x14ac:dyDescent="0.3">
      <c r="A179" s="254" t="str">
        <f>IF(ISBLANK(INDEX('Policy Characteristics'!A:A,MATCH($C179,'Policy Characteristics'!$C:$C,0))),"",INDEX('Policy Characteristics'!A:A,MATCH($C179,'Policy Characteristics'!$C:$C,0)))</f>
        <v>Transportation</v>
      </c>
      <c r="B179" s="262" t="str">
        <f>IF(ISBLANK(INDEX('Policy Characteristics'!B:B,MATCH($C179,'Policy Characteristics'!$C:$C,0))),"",INDEX('Policy Characteristics'!B:B,MATCH($C179,'Policy Characteristics'!$C:$C,0)))</f>
        <v>Zero-Emission Vehicle Sales Standard</v>
      </c>
      <c r="C179" s="254" t="str">
        <f t="shared" si="9"/>
        <v>Minimum Required ZEV Sales Percentage</v>
      </c>
      <c r="D179" s="2" t="s">
        <v>42</v>
      </c>
      <c r="E179" s="2" t="s">
        <v>39</v>
      </c>
      <c r="F179" s="2" t="s">
        <v>85</v>
      </c>
      <c r="G179" s="2" t="s">
        <v>3290</v>
      </c>
      <c r="H179" s="47">
        <v>497</v>
      </c>
      <c r="I179" s="324" t="s">
        <v>44</v>
      </c>
      <c r="J179" s="255" t="str">
        <f>IF(ISBLANK(INDEX('Policy Characteristics'!D:D,MATCH($C179,'Policy Characteristics'!$C:$C,0))),"",INDEX('Policy Characteristics'!D:D,MATCH($C179,'Policy Characteristics'!$C:$C,0)))</f>
        <v>ZEV Sales Standard</v>
      </c>
      <c r="K179" s="254" t="str">
        <f>IF(ISBLANK(INDEX('Policy Characteristics'!E:E,MATCH($C179,'Policy Characteristics'!$C:$C,0))),"",INDEX('Policy Characteristics'!E:E,MATCH($C179,'Policy Characteristics'!$C:$C,0)))</f>
        <v>trans ZEV minimum</v>
      </c>
      <c r="L179" s="261">
        <f>IF(ISBLANK(INDEX('Policy Characteristics'!F:F,MATCH($C179,'Policy Characteristics'!$C:$C,0))),"",INDEX('Policy Characteristics'!F:F,MATCH($C179,'Policy Characteristics'!$C:$C,0)))</f>
        <v>0</v>
      </c>
      <c r="M179" s="261">
        <f>IF(ISBLANK(INDEX('Policy Characteristics'!G:G,MATCH($C179,'Policy Characteristics'!$C:$C,0))),"",INDEX('Policy Characteristics'!G:G,MATCH($C179,'Policy Characteristics'!$C:$C,0)))</f>
        <v>1</v>
      </c>
      <c r="N179" s="261">
        <f>IF(ISBLANK(INDEX('Policy Characteristics'!H:H,MATCH($C179,'Policy Characteristics'!$C:$C,0))),"",INDEX('Policy Characteristics'!H:H,MATCH($C179,'Policy Characteristics'!$C:$C,0)))</f>
        <v>0.01</v>
      </c>
      <c r="O179" s="254" t="str">
        <f>IF(ISBLANK(INDEX('Policy Characteristics'!I:I,MATCH($C179,'Policy Characteristics'!$C:$C,0))),"",INDEX('Policy Characteristics'!I:I,MATCH($C179,'Policy Characteristics'!$C:$C,0)))</f>
        <v>% of new vehicles sold</v>
      </c>
      <c r="P179" s="254"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4" t="str">
        <f>IF(ISBLANK(INDEX('Policy Characteristics'!K:K,MATCH($C179,'Policy Characteristics'!$C:$C,0))),"",INDEX('Policy Characteristics'!K:K,MATCH($C179,'Policy Characteristics'!$C:$C,0)))</f>
        <v>transportation-sector-main.html#ev-mandate</v>
      </c>
      <c r="R179" s="254" t="str">
        <f>IF(ISBLANK(INDEX('Policy Characteristics'!L:L,MATCH($C179,'Policy Characteristics'!$C:$C,0))),"",INDEX('Policy Characteristics'!L:L,MATCH($C179,'Policy Characteristics'!$C:$C,0)))</f>
        <v>ev-mandate.html</v>
      </c>
    </row>
    <row r="180" spans="1:18" x14ac:dyDescent="0.3">
      <c r="A180" s="254" t="str">
        <f>IF(ISBLANK(INDEX('Policy Characteristics'!A:A,MATCH($C180,'Policy Characteristics'!$C:$C,0))),"",INDEX('Policy Characteristics'!A:A,MATCH($C180,'Policy Characteristics'!$C:$C,0)))</f>
        <v>Transportation</v>
      </c>
      <c r="B180" s="262" t="str">
        <f>IF(ISBLANK(INDEX('Policy Characteristics'!B:B,MATCH($C180,'Policy Characteristics'!$C:$C,0))),"",INDEX('Policy Characteristics'!B:B,MATCH($C180,'Policy Characteristics'!$C:$C,0)))</f>
        <v>Zero-Emission Vehicle Sales Standard</v>
      </c>
      <c r="C180" s="254" t="str">
        <f t="shared" si="9"/>
        <v>Minimum Required ZEV Sales Percentage</v>
      </c>
      <c r="D180" s="2" t="s">
        <v>45</v>
      </c>
      <c r="E180" s="2" t="s">
        <v>40</v>
      </c>
      <c r="F180" s="2" t="s">
        <v>84</v>
      </c>
      <c r="G180" s="2" t="s">
        <v>86</v>
      </c>
      <c r="H180" s="47">
        <v>498</v>
      </c>
      <c r="I180" s="324" t="s">
        <v>44</v>
      </c>
      <c r="J180" s="255" t="str">
        <f>IF(ISBLANK(INDEX('Policy Characteristics'!D:D,MATCH($C180,'Policy Characteristics'!$C:$C,0))),"",INDEX('Policy Characteristics'!D:D,MATCH($C180,'Policy Characteristics'!$C:$C,0)))</f>
        <v>ZEV Sales Standard</v>
      </c>
      <c r="K180" s="254" t="str">
        <f>IF(ISBLANK(INDEX('Policy Characteristics'!E:E,MATCH($C180,'Policy Characteristics'!$C:$C,0))),"",INDEX('Policy Characteristics'!E:E,MATCH($C180,'Policy Characteristics'!$C:$C,0)))</f>
        <v>trans ZEV minimum</v>
      </c>
      <c r="L180" s="261">
        <f>IF(ISBLANK(INDEX('Policy Characteristics'!F:F,MATCH($C180,'Policy Characteristics'!$C:$C,0))),"",INDEX('Policy Characteristics'!F:F,MATCH($C180,'Policy Characteristics'!$C:$C,0)))</f>
        <v>0</v>
      </c>
      <c r="M180" s="261">
        <f>IF(ISBLANK(INDEX('Policy Characteristics'!G:G,MATCH($C180,'Policy Characteristics'!$C:$C,0))),"",INDEX('Policy Characteristics'!G:G,MATCH($C180,'Policy Characteristics'!$C:$C,0)))</f>
        <v>1</v>
      </c>
      <c r="N180" s="261">
        <f>IF(ISBLANK(INDEX('Policy Characteristics'!H:H,MATCH($C180,'Policy Characteristics'!$C:$C,0))),"",INDEX('Policy Characteristics'!H:H,MATCH($C180,'Policy Characteristics'!$C:$C,0)))</f>
        <v>0.01</v>
      </c>
      <c r="O180" s="254" t="str">
        <f>IF(ISBLANK(INDEX('Policy Characteristics'!I:I,MATCH($C180,'Policy Characteristics'!$C:$C,0))),"",INDEX('Policy Characteristics'!I:I,MATCH($C180,'Policy Characteristics'!$C:$C,0)))</f>
        <v>% of new vehicles sold</v>
      </c>
      <c r="P180" s="254"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4" t="str">
        <f>IF(ISBLANK(INDEX('Policy Characteristics'!K:K,MATCH($C180,'Policy Characteristics'!$C:$C,0))),"",INDEX('Policy Characteristics'!K:K,MATCH($C180,'Policy Characteristics'!$C:$C,0)))</f>
        <v>transportation-sector-main.html#ev-mandate</v>
      </c>
      <c r="R180" s="254" t="str">
        <f>IF(ISBLANK(INDEX('Policy Characteristics'!L:L,MATCH($C180,'Policy Characteristics'!$C:$C,0))),"",INDEX('Policy Characteristics'!L:L,MATCH($C180,'Policy Characteristics'!$C:$C,0)))</f>
        <v>ev-mandate.html</v>
      </c>
    </row>
    <row r="181" spans="1:18" x14ac:dyDescent="0.3">
      <c r="A181" s="254" t="str">
        <f>IF(ISBLANK(INDEX('Policy Characteristics'!A:A,MATCH($C181,'Policy Characteristics'!$C:$C,0))),"",INDEX('Policy Characteristics'!A:A,MATCH($C181,'Policy Characteristics'!$C:$C,0)))</f>
        <v>Transportation</v>
      </c>
      <c r="B181" s="262" t="str">
        <f>IF(ISBLANK(INDEX('Policy Characteristics'!B:B,MATCH($C181,'Policy Characteristics'!$C:$C,0))),"",INDEX('Policy Characteristics'!B:B,MATCH($C181,'Policy Characteristics'!$C:$C,0)))</f>
        <v>Zero-Emission Vehicle Sales Standard</v>
      </c>
      <c r="C181" s="254" t="str">
        <f t="shared" si="9"/>
        <v>Minimum Required ZEV Sales Percentage</v>
      </c>
      <c r="D181" s="2" t="s">
        <v>42</v>
      </c>
      <c r="E181" s="2" t="s">
        <v>40</v>
      </c>
      <c r="F181" s="2" t="s">
        <v>85</v>
      </c>
      <c r="G181" s="2" t="s">
        <v>86</v>
      </c>
      <c r="H181" s="47">
        <v>499</v>
      </c>
      <c r="I181" s="324" t="s">
        <v>44</v>
      </c>
      <c r="J181" s="255" t="str">
        <f>IF(ISBLANK(INDEX('Policy Characteristics'!D:D,MATCH($C181,'Policy Characteristics'!$C:$C,0))),"",INDEX('Policy Characteristics'!D:D,MATCH($C181,'Policy Characteristics'!$C:$C,0)))</f>
        <v>ZEV Sales Standard</v>
      </c>
      <c r="K181" s="254" t="str">
        <f>IF(ISBLANK(INDEX('Policy Characteristics'!E:E,MATCH($C181,'Policy Characteristics'!$C:$C,0))),"",INDEX('Policy Characteristics'!E:E,MATCH($C181,'Policy Characteristics'!$C:$C,0)))</f>
        <v>trans ZEV minimum</v>
      </c>
      <c r="L181" s="261">
        <f>IF(ISBLANK(INDEX('Policy Characteristics'!F:F,MATCH($C181,'Policy Characteristics'!$C:$C,0))),"",INDEX('Policy Characteristics'!F:F,MATCH($C181,'Policy Characteristics'!$C:$C,0)))</f>
        <v>0</v>
      </c>
      <c r="M181" s="261">
        <f>IF(ISBLANK(INDEX('Policy Characteristics'!G:G,MATCH($C181,'Policy Characteristics'!$C:$C,0))),"",INDEX('Policy Characteristics'!G:G,MATCH($C181,'Policy Characteristics'!$C:$C,0)))</f>
        <v>1</v>
      </c>
      <c r="N181" s="261">
        <f>IF(ISBLANK(INDEX('Policy Characteristics'!H:H,MATCH($C181,'Policy Characteristics'!$C:$C,0))),"",INDEX('Policy Characteristics'!H:H,MATCH($C181,'Policy Characteristics'!$C:$C,0)))</f>
        <v>0.01</v>
      </c>
      <c r="O181" s="254" t="str">
        <f>IF(ISBLANK(INDEX('Policy Characteristics'!I:I,MATCH($C181,'Policy Characteristics'!$C:$C,0))),"",INDEX('Policy Characteristics'!I:I,MATCH($C181,'Policy Characteristics'!$C:$C,0)))</f>
        <v>% of new vehicles sold</v>
      </c>
      <c r="P181" s="254"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4" t="str">
        <f>IF(ISBLANK(INDEX('Policy Characteristics'!K:K,MATCH($C181,'Policy Characteristics'!$C:$C,0))),"",INDEX('Policy Characteristics'!K:K,MATCH($C181,'Policy Characteristics'!$C:$C,0)))</f>
        <v>transportation-sector-main.html#ev-mandate</v>
      </c>
      <c r="R181" s="254" t="str">
        <f>IF(ISBLANK(INDEX('Policy Characteristics'!L:L,MATCH($C181,'Policy Characteristics'!$C:$C,0))),"",INDEX('Policy Characteristics'!L:L,MATCH($C181,'Policy Characteristics'!$C:$C,0)))</f>
        <v>ev-mandate.html</v>
      </c>
    </row>
    <row r="182" spans="1:18" x14ac:dyDescent="0.3">
      <c r="A182" s="254" t="str">
        <f>IF(ISBLANK(INDEX('Policy Characteristics'!A:A,MATCH($C182,'Policy Characteristics'!$C:$C,0))),"",INDEX('Policy Characteristics'!A:A,MATCH($C182,'Policy Characteristics'!$C:$C,0)))</f>
        <v>Transportation</v>
      </c>
      <c r="B182" s="262" t="str">
        <f>IF(ISBLANK(INDEX('Policy Characteristics'!B:B,MATCH($C182,'Policy Characteristics'!$C:$C,0))),"",INDEX('Policy Characteristics'!B:B,MATCH($C182,'Policy Characteristics'!$C:$C,0)))</f>
        <v>Zero-Emission Vehicle Sales Standard</v>
      </c>
      <c r="C182" s="254" t="str">
        <f t="shared" si="9"/>
        <v>Minimum Required ZEV Sales Percentage</v>
      </c>
      <c r="D182" s="2" t="s">
        <v>45</v>
      </c>
      <c r="E182" s="2" t="s">
        <v>41</v>
      </c>
      <c r="F182" s="2" t="s">
        <v>84</v>
      </c>
      <c r="G182" s="2" t="s">
        <v>3291</v>
      </c>
      <c r="H182" s="47">
        <v>500</v>
      </c>
      <c r="I182" s="324" t="s">
        <v>44</v>
      </c>
      <c r="J182" s="255" t="str">
        <f>IF(ISBLANK(INDEX('Policy Characteristics'!D:D,MATCH($C182,'Policy Characteristics'!$C:$C,0))),"",INDEX('Policy Characteristics'!D:D,MATCH($C182,'Policy Characteristics'!$C:$C,0)))</f>
        <v>ZEV Sales Standard</v>
      </c>
      <c r="K182" s="254" t="str">
        <f>IF(ISBLANK(INDEX('Policy Characteristics'!E:E,MATCH($C182,'Policy Characteristics'!$C:$C,0))),"",INDEX('Policy Characteristics'!E:E,MATCH($C182,'Policy Characteristics'!$C:$C,0)))</f>
        <v>trans ZEV minimum</v>
      </c>
      <c r="L182" s="261">
        <f>IF(ISBLANK(INDEX('Policy Characteristics'!F:F,MATCH($C182,'Policy Characteristics'!$C:$C,0))),"",INDEX('Policy Characteristics'!F:F,MATCH($C182,'Policy Characteristics'!$C:$C,0)))</f>
        <v>0</v>
      </c>
      <c r="M182" s="261">
        <f>IF(ISBLANK(INDEX('Policy Characteristics'!G:G,MATCH($C182,'Policy Characteristics'!$C:$C,0))),"",INDEX('Policy Characteristics'!G:G,MATCH($C182,'Policy Characteristics'!$C:$C,0)))</f>
        <v>1</v>
      </c>
      <c r="N182" s="261">
        <f>IF(ISBLANK(INDEX('Policy Characteristics'!H:H,MATCH($C182,'Policy Characteristics'!$C:$C,0))),"",INDEX('Policy Characteristics'!H:H,MATCH($C182,'Policy Characteristics'!$C:$C,0)))</f>
        <v>0.01</v>
      </c>
      <c r="O182" s="254" t="str">
        <f>IF(ISBLANK(INDEX('Policy Characteristics'!I:I,MATCH($C182,'Policy Characteristics'!$C:$C,0))),"",INDEX('Policy Characteristics'!I:I,MATCH($C182,'Policy Characteristics'!$C:$C,0)))</f>
        <v>% of new vehicles sold</v>
      </c>
      <c r="P182" s="254"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4" t="str">
        <f>IF(ISBLANK(INDEX('Policy Characteristics'!K:K,MATCH($C182,'Policy Characteristics'!$C:$C,0))),"",INDEX('Policy Characteristics'!K:K,MATCH($C182,'Policy Characteristics'!$C:$C,0)))</f>
        <v>transportation-sector-main.html#ev-mandate</v>
      </c>
      <c r="R182" s="254" t="str">
        <f>IF(ISBLANK(INDEX('Policy Characteristics'!L:L,MATCH($C182,'Policy Characteristics'!$C:$C,0))),"",INDEX('Policy Characteristics'!L:L,MATCH($C182,'Policy Characteristics'!$C:$C,0)))</f>
        <v>ev-mandate.html</v>
      </c>
    </row>
    <row r="183" spans="1:18" x14ac:dyDescent="0.3">
      <c r="A183" s="254" t="str">
        <f>IF(ISBLANK(INDEX('Policy Characteristics'!A:A,MATCH($C183,'Policy Characteristics'!$C:$C,0))),"",INDEX('Policy Characteristics'!A:A,MATCH($C183,'Policy Characteristics'!$C:$C,0)))</f>
        <v>Transportation</v>
      </c>
      <c r="B183" s="262" t="str">
        <f>IF(ISBLANK(INDEX('Policy Characteristics'!B:B,MATCH($C183,'Policy Characteristics'!$C:$C,0))),"",INDEX('Policy Characteristics'!B:B,MATCH($C183,'Policy Characteristics'!$C:$C,0)))</f>
        <v>Zero-Emission Vehicle Sales Standard</v>
      </c>
      <c r="C183" s="254" t="str">
        <f t="shared" si="9"/>
        <v>Minimum Required ZEV Sales Percentage</v>
      </c>
      <c r="D183" s="2" t="s">
        <v>42</v>
      </c>
      <c r="E183" s="2" t="s">
        <v>41</v>
      </c>
      <c r="F183" s="2" t="s">
        <v>85</v>
      </c>
      <c r="G183" s="2" t="s">
        <v>3292</v>
      </c>
      <c r="H183" s="47">
        <v>501</v>
      </c>
      <c r="I183" s="324" t="s">
        <v>44</v>
      </c>
      <c r="J183" s="255" t="str">
        <f>IF(ISBLANK(INDEX('Policy Characteristics'!D:D,MATCH($C183,'Policy Characteristics'!$C:$C,0))),"",INDEX('Policy Characteristics'!D:D,MATCH($C183,'Policy Characteristics'!$C:$C,0)))</f>
        <v>ZEV Sales Standard</v>
      </c>
      <c r="K183" s="254" t="str">
        <f>IF(ISBLANK(INDEX('Policy Characteristics'!E:E,MATCH($C183,'Policy Characteristics'!$C:$C,0))),"",INDEX('Policy Characteristics'!E:E,MATCH($C183,'Policy Characteristics'!$C:$C,0)))</f>
        <v>trans ZEV minimum</v>
      </c>
      <c r="L183" s="261">
        <f>IF(ISBLANK(INDEX('Policy Characteristics'!F:F,MATCH($C183,'Policy Characteristics'!$C:$C,0))),"",INDEX('Policy Characteristics'!F:F,MATCH($C183,'Policy Characteristics'!$C:$C,0)))</f>
        <v>0</v>
      </c>
      <c r="M183" s="261">
        <f>IF(ISBLANK(INDEX('Policy Characteristics'!G:G,MATCH($C183,'Policy Characteristics'!$C:$C,0))),"",INDEX('Policy Characteristics'!G:G,MATCH($C183,'Policy Characteristics'!$C:$C,0)))</f>
        <v>1</v>
      </c>
      <c r="N183" s="261">
        <f>IF(ISBLANK(INDEX('Policy Characteristics'!H:H,MATCH($C183,'Policy Characteristics'!$C:$C,0))),"",INDEX('Policy Characteristics'!H:H,MATCH($C183,'Policy Characteristics'!$C:$C,0)))</f>
        <v>0.01</v>
      </c>
      <c r="O183" s="254" t="str">
        <f>IF(ISBLANK(INDEX('Policy Characteristics'!I:I,MATCH($C183,'Policy Characteristics'!$C:$C,0))),"",INDEX('Policy Characteristics'!I:I,MATCH($C183,'Policy Characteristics'!$C:$C,0)))</f>
        <v>% of new vehicles sold</v>
      </c>
      <c r="P183" s="254"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4" t="str">
        <f>IF(ISBLANK(INDEX('Policy Characteristics'!K:K,MATCH($C183,'Policy Characteristics'!$C:$C,0))),"",INDEX('Policy Characteristics'!K:K,MATCH($C183,'Policy Characteristics'!$C:$C,0)))</f>
        <v>transportation-sector-main.html#ev-mandate</v>
      </c>
      <c r="R183" s="254" t="str">
        <f>IF(ISBLANK(INDEX('Policy Characteristics'!L:L,MATCH($C183,'Policy Characteristics'!$C:$C,0))),"",INDEX('Policy Characteristics'!L:L,MATCH($C183,'Policy Characteristics'!$C:$C,0)))</f>
        <v>ev-mandate.html</v>
      </c>
    </row>
    <row r="184" spans="1:18" x14ac:dyDescent="0.3">
      <c r="A184" s="254" t="str">
        <f>IF(ISBLANK(INDEX('Policy Characteristics'!A:A,MATCH($C184,'Policy Characteristics'!$C:$C,0))),"",INDEX('Policy Characteristics'!A:A,MATCH($C184,'Policy Characteristics'!$C:$C,0)))</f>
        <v>Transportation</v>
      </c>
      <c r="B184" s="262" t="str">
        <f>IF(ISBLANK(INDEX('Policy Characteristics'!B:B,MATCH($C184,'Policy Characteristics'!$C:$C,0))),"",INDEX('Policy Characteristics'!B:B,MATCH($C184,'Policy Characteristics'!$C:$C,0)))</f>
        <v>Zero-Emission Vehicle Sales Standard</v>
      </c>
      <c r="C184" s="254" t="str">
        <f t="shared" si="9"/>
        <v>Minimum Required ZEV Sales Percentage</v>
      </c>
      <c r="D184" s="2" t="s">
        <v>45</v>
      </c>
      <c r="E184" s="2" t="s">
        <v>113</v>
      </c>
      <c r="F184" s="2" t="s">
        <v>84</v>
      </c>
      <c r="G184" s="2" t="s">
        <v>143</v>
      </c>
      <c r="H184" s="47">
        <v>188</v>
      </c>
      <c r="I184" s="324" t="s">
        <v>43</v>
      </c>
      <c r="J184" s="255" t="str">
        <f>IF(ISBLANK(INDEX('Policy Characteristics'!D:D,MATCH($C184,'Policy Characteristics'!$C:$C,0))),"",INDEX('Policy Characteristics'!D:D,MATCH($C184,'Policy Characteristics'!$C:$C,0)))</f>
        <v>ZEV Sales Standard</v>
      </c>
      <c r="K184" s="254" t="str">
        <f>IF(ISBLANK(INDEX('Policy Characteristics'!E:E,MATCH($C184,'Policy Characteristics'!$C:$C,0))),"",INDEX('Policy Characteristics'!E:E,MATCH($C184,'Policy Characteristics'!$C:$C,0)))</f>
        <v>trans ZEV minimum</v>
      </c>
      <c r="L184" s="261">
        <f>IF(ISBLANK(INDEX('Policy Characteristics'!F:F,MATCH($C184,'Policy Characteristics'!$C:$C,0))),"",INDEX('Policy Characteristics'!F:F,MATCH($C184,'Policy Characteristics'!$C:$C,0)))</f>
        <v>0</v>
      </c>
      <c r="M184" s="261">
        <f>IF(ISBLANK(INDEX('Policy Characteristics'!G:G,MATCH($C184,'Policy Characteristics'!$C:$C,0))),"",INDEX('Policy Characteristics'!G:G,MATCH($C184,'Policy Characteristics'!$C:$C,0)))</f>
        <v>1</v>
      </c>
      <c r="N184" s="261">
        <f>IF(ISBLANK(INDEX('Policy Characteristics'!H:H,MATCH($C184,'Policy Characteristics'!$C:$C,0))),"",INDEX('Policy Characteristics'!H:H,MATCH($C184,'Policy Characteristics'!$C:$C,0)))</f>
        <v>0.01</v>
      </c>
      <c r="O184" s="254" t="str">
        <f>IF(ISBLANK(INDEX('Policy Characteristics'!I:I,MATCH($C184,'Policy Characteristics'!$C:$C,0))),"",INDEX('Policy Characteristics'!I:I,MATCH($C184,'Policy Characteristics'!$C:$C,0)))</f>
        <v>% of new vehicles sold</v>
      </c>
      <c r="P184" s="254"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4" t="str">
        <f>IF(ISBLANK(INDEX('Policy Characteristics'!K:K,MATCH($C184,'Policy Characteristics'!$C:$C,0))),"",INDEX('Policy Characteristics'!K:K,MATCH($C184,'Policy Characteristics'!$C:$C,0)))</f>
        <v>transportation-sector-main.html#ev-mandate</v>
      </c>
      <c r="R184" s="254" t="str">
        <f>IF(ISBLANK(INDEX('Policy Characteristics'!L:L,MATCH($C184,'Policy Characteristics'!$C:$C,0))),"",INDEX('Policy Characteristics'!L:L,MATCH($C184,'Policy Characteristics'!$C:$C,0)))</f>
        <v>ev-mandate.html</v>
      </c>
    </row>
    <row r="185" spans="1:18" x14ac:dyDescent="0.3">
      <c r="A185" s="254" t="str">
        <f>IF(ISBLANK(INDEX('Policy Characteristics'!A:A,MATCH($C185,'Policy Characteristics'!$C:$C,0))),"",INDEX('Policy Characteristics'!A:A,MATCH($C185,'Policy Characteristics'!$C:$C,0)))</f>
        <v>Transportation</v>
      </c>
      <c r="B185" s="262" t="str">
        <f>IF(ISBLANK(INDEX('Policy Characteristics'!B:B,MATCH($C185,'Policy Characteristics'!$C:$C,0))),"",INDEX('Policy Characteristics'!B:B,MATCH($C185,'Policy Characteristics'!$C:$C,0)))</f>
        <v>Zero-Emission Vehicle Sales Standard</v>
      </c>
      <c r="C185" s="254" t="str">
        <f t="shared" si="9"/>
        <v>Minimum Required ZEV Sales Percentage</v>
      </c>
      <c r="D185" s="2" t="s">
        <v>42</v>
      </c>
      <c r="E185" s="2" t="s">
        <v>113</v>
      </c>
      <c r="F185" s="2" t="s">
        <v>85</v>
      </c>
      <c r="G185" s="2" t="s">
        <v>143</v>
      </c>
      <c r="H185" s="47">
        <v>591</v>
      </c>
      <c r="I185" s="325" t="s">
        <v>44</v>
      </c>
      <c r="J185" s="255" t="str">
        <f>IF(ISBLANK(INDEX('Policy Characteristics'!D:D,MATCH($C185,'Policy Characteristics'!$C:$C,0))),"",INDEX('Policy Characteristics'!D:D,MATCH($C185,'Policy Characteristics'!$C:$C,0)))</f>
        <v>ZEV Sales Standard</v>
      </c>
      <c r="K185" s="254" t="str">
        <f>IF(ISBLANK(INDEX('Policy Characteristics'!E:E,MATCH($C185,'Policy Characteristics'!$C:$C,0))),"",INDEX('Policy Characteristics'!E:E,MATCH($C185,'Policy Characteristics'!$C:$C,0)))</f>
        <v>trans ZEV minimum</v>
      </c>
      <c r="L185" s="261">
        <f>IF(ISBLANK(INDEX('Policy Characteristics'!F:F,MATCH($C185,'Policy Characteristics'!$C:$C,0))),"",INDEX('Policy Characteristics'!F:F,MATCH($C185,'Policy Characteristics'!$C:$C,0)))</f>
        <v>0</v>
      </c>
      <c r="M185" s="261">
        <f>IF(ISBLANK(INDEX('Policy Characteristics'!G:G,MATCH($C185,'Policy Characteristics'!$C:$C,0))),"",INDEX('Policy Characteristics'!G:G,MATCH($C185,'Policy Characteristics'!$C:$C,0)))</f>
        <v>1</v>
      </c>
      <c r="N185" s="261">
        <f>IF(ISBLANK(INDEX('Policy Characteristics'!H:H,MATCH($C185,'Policy Characteristics'!$C:$C,0))),"",INDEX('Policy Characteristics'!H:H,MATCH($C185,'Policy Characteristics'!$C:$C,0)))</f>
        <v>0.01</v>
      </c>
      <c r="O185" s="254" t="str">
        <f>IF(ISBLANK(INDEX('Policy Characteristics'!I:I,MATCH($C185,'Policy Characteristics'!$C:$C,0))),"",INDEX('Policy Characteristics'!I:I,MATCH($C185,'Policy Characteristics'!$C:$C,0)))</f>
        <v>% of new vehicles sold</v>
      </c>
      <c r="P185" s="254"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The following descriptions detail the different vehicle types: // **Passenger cars and SUVs:** most light-duty road vehicles //**Light and Medium Commercial, Heavy Duty Trucks, and Heavy Heavy Duty Trucks:** commercial trucks carrying freight, not passengers // **Buses:** including school, transit, and intercity buses // **Heavy Heavy Duty Trucks:** all other heavy road vehicles (mostly freight trucks) // **Passenger motorbikes:** registered motorcycles // **Guidance for setting values:** // **Passenger cars and SUVs:** California's Zero Emission Vehicle (ZEV) program requires automakers to sell ZEVs in California and 10 other states, which will likely require about 7% to 10% new vehicle sales in 2025. California recently passed an executive order to phase out sales of new gas cars by 2035, which would be equivalent to a setting of 100% in 2035.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4" t="str">
        <f>IF(ISBLANK(INDEX('Policy Characteristics'!K:K,MATCH($C185,'Policy Characteristics'!$C:$C,0))),"",INDEX('Policy Characteristics'!K:K,MATCH($C185,'Policy Characteristics'!$C:$C,0)))</f>
        <v>transportation-sector-main.html#ev-mandate</v>
      </c>
      <c r="R185" s="254" t="str">
        <f>IF(ISBLANK(INDEX('Policy Characteristics'!L:L,MATCH($C185,'Policy Characteristics'!$C:$C,0))),"",INDEX('Policy Characteristics'!L:L,MATCH($C185,'Policy Characteristics'!$C:$C,0)))</f>
        <v>ev-mandate.html</v>
      </c>
    </row>
    <row r="186" spans="1:18" x14ac:dyDescent="0.3">
      <c r="A186" s="254" t="str">
        <f>IF(ISBLANK(INDEX('Policy Characteristics'!A:A,MATCH($C186,'Policy Characteristics'!$C:$C,0))),"",INDEX('Policy Characteristics'!A:A,MATCH($C186,'Policy Characteristics'!$C:$C,0)))</f>
        <v>Transportation</v>
      </c>
      <c r="B186" s="262" t="str">
        <f>IF(ISBLANK(INDEX('Policy Characteristics'!B:B,MATCH($C186,'Policy Characteristics'!$C:$C,0))),"",INDEX('Policy Characteristics'!B:B,MATCH($C186,'Policy Characteristics'!$C:$C,0)))</f>
        <v>Non-BAU ZEV-Qualifying Vehicles</v>
      </c>
      <c r="C186" s="1" t="s">
        <v>3435</v>
      </c>
      <c r="D186" s="45"/>
      <c r="E186" s="45"/>
      <c r="F186" s="45"/>
      <c r="G186" s="45"/>
      <c r="H186" s="43">
        <v>1655</v>
      </c>
      <c r="I186" s="324" t="s">
        <v>43</v>
      </c>
      <c r="J186" s="255" t="str">
        <f>IF(ISBLANK(INDEX('Policy Characteristics'!D:D,MATCH($C186,'Policy Characteristics'!$C:$C,0))),"",INDEX('Policy Characteristics'!D:D,MATCH($C186,'Policy Characteristics'!$C:$C,0)))</f>
        <v>ZEV Sales Standard</v>
      </c>
      <c r="K186" s="254" t="str">
        <f>IF(ISBLANK(INDEX('Policy Characteristics'!E:E,MATCH($C186,'Policy Characteristics'!$C:$C,0))),"",INDEX('Policy Characteristics'!E:E,MATCH($C186,'Policy Characteristics'!$C:$C,0)))</f>
        <v>trans non BAU ZEV vehicle definitions</v>
      </c>
      <c r="L186" s="261">
        <f>IF(ISBLANK(INDEX('Policy Characteristics'!F:F,MATCH($C186,'Policy Characteristics'!$C:$C,0))),"",INDEX('Policy Characteristics'!F:F,MATCH($C186,'Policy Characteristics'!$C:$C,0)))</f>
        <v>0</v>
      </c>
      <c r="M186" s="261">
        <f>IF(ISBLANK(INDEX('Policy Characteristics'!G:G,MATCH($C186,'Policy Characteristics'!$C:$C,0))),"",INDEX('Policy Characteristics'!G:G,MATCH($C186,'Policy Characteristics'!$C:$C,0)))</f>
        <v>1</v>
      </c>
      <c r="N186" s="261">
        <f>IF(ISBLANK(INDEX('Policy Characteristics'!H:H,MATCH($C186,'Policy Characteristics'!$C:$C,0))),"",INDEX('Policy Characteristics'!H:H,MATCH($C186,'Policy Characteristics'!$C:$C,0)))</f>
        <v>1</v>
      </c>
      <c r="O186" s="254" t="str">
        <f>IF(ISBLANK(INDEX('Policy Characteristics'!I:I,MATCH($C186,'Policy Characteristics'!$C:$C,0))),"",INDEX('Policy Characteristics'!I:I,MATCH($C186,'Policy Characteristics'!$C:$C,0)))</f>
        <v>on/off</v>
      </c>
      <c r="P186" s="254"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4" t="str">
        <f>IF(ISBLANK(INDEX('Policy Characteristics'!K:K,MATCH($C186,'Policy Characteristics'!$C:$C,0))),"",INDEX('Policy Characteristics'!K:K,MATCH($C186,'Policy Characteristics'!$C:$C,0)))</f>
        <v/>
      </c>
      <c r="R186" s="254" t="str">
        <f>IF(ISBLANK(INDEX('Policy Characteristics'!L:L,MATCH($C186,'Policy Characteristics'!$C:$C,0))),"",INDEX('Policy Characteristics'!L:L,MATCH($C186,'Policy Characteristics'!$C:$C,0)))</f>
        <v/>
      </c>
    </row>
    <row r="187" spans="1:18" s="2" customFormat="1" x14ac:dyDescent="0.3">
      <c r="A187" s="254" t="str">
        <f>IF(ISBLANK(INDEX('Policy Characteristics'!A:A,MATCH($C187,'Policy Characteristics'!$C:$C,0))),"",INDEX('Policy Characteristics'!A:A,MATCH($C187,'Policy Characteristics'!$C:$C,0)))</f>
        <v>Transportation</v>
      </c>
      <c r="B187" s="262" t="str">
        <f>IF(ISBLANK(INDEX('Policy Characteristics'!B:B,MATCH($C187,'Policy Characteristics'!$C:$C,0))),"",INDEX('Policy Characteristics'!B:B,MATCH($C187,'Policy Characteristics'!$C:$C,0)))</f>
        <v>Subsidy for Vehicle Battery Production</v>
      </c>
      <c r="C187" s="1" t="s">
        <v>3628</v>
      </c>
      <c r="H187" s="43">
        <v>2257</v>
      </c>
      <c r="I187" s="324" t="s">
        <v>43</v>
      </c>
      <c r="J187" s="255" t="str">
        <f>IF(ISBLANK(INDEX('Policy Characteristics'!D:D,MATCH($C187,'Policy Characteristics'!$C:$C,0))),"",INDEX('Policy Characteristics'!D:D,MATCH($C187,'Policy Characteristics'!$C:$C,0)))</f>
        <v>Vehicle Battery Production Subsidy</v>
      </c>
      <c r="K187" s="254" t="str">
        <f>IF(ISBLANK(INDEX('Policy Characteristics'!E:E,MATCH($C187,'Policy Characteristics'!$C:$C,0))),"",INDEX('Policy Characteristics'!E:E,MATCH($C187,'Policy Characteristics'!$C:$C,0)))</f>
        <v>trans battery subsidy</v>
      </c>
      <c r="L187" s="359">
        <f>IF(ISBLANK(INDEX('Policy Characteristics'!F:F,MATCH($C187,'Policy Characteristics'!$C:$C,0))),"",INDEX('Policy Characteristics'!F:F,MATCH($C187,'Policy Characteristics'!$C:$C,0)))</f>
        <v>0</v>
      </c>
      <c r="M187" s="359">
        <f>IF(ISBLANK(INDEX('Policy Characteristics'!G:G,MATCH($C187,'Policy Characteristics'!$C:$C,0))),"",INDEX('Policy Characteristics'!G:G,MATCH($C187,'Policy Characteristics'!$C:$C,0)))</f>
        <v>50</v>
      </c>
      <c r="N187" s="359">
        <f>IF(ISBLANK(INDEX('Policy Characteristics'!H:H,MATCH($C187,'Policy Characteristics'!$C:$C,0))),"",INDEX('Policy Characteristics'!H:H,MATCH($C187,'Policy Characteristics'!$C:$C,0)))</f>
        <v>1</v>
      </c>
      <c r="O187" s="254" t="str">
        <f>IF(ISBLANK(INDEX('Policy Characteristics'!I:I,MATCH($C187,'Policy Characteristics'!$C:$C,0))),"",INDEX('Policy Characteristics'!I:I,MATCH($C187,'Policy Characteristics'!$C:$C,0)))</f>
        <v>$/kWh</v>
      </c>
      <c r="P187" s="254"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 **Guidance for setting values:** The Inflation Reduction Act includes a $35/kWh tax credit for battery cells and a $10/kWh tax credit for assembly for onroad vehicles, which are included in the BAU case.</v>
      </c>
      <c r="Q187" s="254" t="str">
        <f>IF(ISBLANK(INDEX('Policy Characteristics'!K:K,MATCH($C187,'Policy Characteristics'!$C:$C,0))),"",INDEX('Policy Characteristics'!K:K,MATCH($C187,'Policy Characteristics'!$C:$C,0)))</f>
        <v/>
      </c>
      <c r="R187" s="254" t="str">
        <f>IF(ISBLANK(INDEX('Policy Characteristics'!L:L,MATCH($C187,'Policy Characteristics'!$C:$C,0))),"",INDEX('Policy Characteristics'!L:L,MATCH($C187,'Policy Characteristics'!$C:$C,0)))</f>
        <v/>
      </c>
    </row>
    <row r="188" spans="1:18" s="2" customFormat="1" x14ac:dyDescent="0.3">
      <c r="A188" s="254" t="str">
        <f>IF(ISBLANK(INDEX('Policy Characteristics'!A:A,MATCH($C188,'Policy Characteristics'!$C:$C,0))),"",INDEX('Policy Characteristics'!A:A,MATCH($C188,'Policy Characteristics'!$C:$C,0)))</f>
        <v>Transportation</v>
      </c>
      <c r="B188" s="262" t="str">
        <f>IF(ISBLANK(INDEX('Policy Characteristics'!B:B,MATCH($C188,'Policy Characteristics'!$C:$C,0))),"",INDEX('Policy Characteristics'!B:B,MATCH($C188,'Policy Characteristics'!$C:$C,0)))</f>
        <v>Non-BAU Zero-Emission Vehicle Sales Standard by Subregion</v>
      </c>
      <c r="C188" s="317" t="s">
        <v>3830</v>
      </c>
      <c r="D188" s="45" t="s">
        <v>45</v>
      </c>
      <c r="E188" s="45" t="s">
        <v>37</v>
      </c>
      <c r="F188" s="45" t="s">
        <v>84</v>
      </c>
      <c r="G188" s="2" t="s">
        <v>3293</v>
      </c>
      <c r="H188" s="43">
        <v>2710</v>
      </c>
      <c r="I188" s="45" t="s">
        <v>44</v>
      </c>
      <c r="J188" s="255" t="str">
        <f>IF(ISBLANK(INDEX('Policy Characteristics'!D:D,MATCH($C188,'Policy Characteristics'!$C:$C,0))),"",INDEX('Policy Characteristics'!D:D,MATCH($C188,'Policy Characteristics'!$C:$C,0)))</f>
        <v>ZEV Sales Standard</v>
      </c>
      <c r="K188" s="254" t="str">
        <f>IF(ISBLANK(INDEX('Policy Characteristics'!E:E,MATCH($C188,'Policy Characteristics'!$C:$C,0))),"",INDEX('Policy Characteristics'!E:E,MATCH($C188,'Policy Characteristics'!$C:$C,0)))</f>
        <v>trans non BAU ZEV minimum</v>
      </c>
      <c r="L188" s="359">
        <f>IF(ISBLANK(INDEX('Policy Characteristics'!F:F,MATCH($C188,'Policy Characteristics'!$C:$C,0))),"",INDEX('Policy Characteristics'!F:F,MATCH($C188,'Policy Characteristics'!$C:$C,0)))</f>
        <v>0</v>
      </c>
      <c r="M188" s="359">
        <f>IF(ISBLANK(INDEX('Policy Characteristics'!G:G,MATCH($C188,'Policy Characteristics'!$C:$C,0))),"",INDEX('Policy Characteristics'!G:G,MATCH($C188,'Policy Characteristics'!$C:$C,0)))</f>
        <v>1</v>
      </c>
      <c r="N188" s="359">
        <f>IF(ISBLANK(INDEX('Policy Characteristics'!H:H,MATCH($C188,'Policy Characteristics'!$C:$C,0))),"",INDEX('Policy Characteristics'!H:H,MATCH($C188,'Policy Characteristics'!$C:$C,0)))</f>
        <v>1</v>
      </c>
      <c r="O188" s="254" t="str">
        <f>IF(ISBLANK(INDEX('Policy Characteristics'!I:I,MATCH($C188,'Policy Characteristics'!$C:$C,0))),"",INDEX('Policy Characteristics'!I:I,MATCH($C188,'Policy Characteristics'!$C:$C,0)))</f>
        <v>on/off</v>
      </c>
      <c r="P188" s="254" t="str">
        <f>IF(ISBLANK(INDEX('Policy Characteristics'!J:J,MATCH($C188,'Policy Characteristics'!$C:$C,0))),"",INDEX('Policy Characteristics'!J:J,MATCH($C188,'Policy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8" s="254" t="str">
        <f>IF(ISBLANK(INDEX('Policy Characteristics'!K:K,MATCH($C188,'Policy Characteristics'!$C:$C,0))),"",INDEX('Policy Characteristics'!K:K,MATCH($C188,'Policy Characteristics'!$C:$C,0)))</f>
        <v/>
      </c>
      <c r="R188" s="254" t="str">
        <f>IF(ISBLANK(INDEX('Policy Characteristics'!L:L,MATCH($C188,'Policy Characteristics'!$C:$C,0))),"",INDEX('Policy Characteristics'!L:L,MATCH($C188,'Policy Characteristics'!$C:$C,0)))</f>
        <v/>
      </c>
    </row>
    <row r="189" spans="1:18" s="2" customFormat="1" x14ac:dyDescent="0.3">
      <c r="A189" s="254" t="str">
        <f>IF(ISBLANK(INDEX('Policy Characteristics'!A:A,MATCH($C189,'Policy Characteristics'!$C:$C,0))),"",INDEX('Policy Characteristics'!A:A,MATCH($C189,'Policy Characteristics'!$C:$C,0)))</f>
        <v>Transportation</v>
      </c>
      <c r="B189" s="262" t="str">
        <f>IF(ISBLANK(INDEX('Policy Characteristics'!B:B,MATCH($C189,'Policy Characteristics'!$C:$C,0))),"",INDEX('Policy Characteristics'!B:B,MATCH($C189,'Policy Characteristics'!$C:$C,0)))</f>
        <v>Non-BAU Zero-Emission Vehicle Sales Standard by Subregion</v>
      </c>
      <c r="C189" s="254" t="str">
        <f>C188</f>
        <v>Boolean Use Non BAU Minimum Required ZEV Sales Percentage by Subregion</v>
      </c>
      <c r="D189" s="2" t="s">
        <v>42</v>
      </c>
      <c r="E189" s="2" t="s">
        <v>37</v>
      </c>
      <c r="F189" s="2" t="s">
        <v>85</v>
      </c>
      <c r="G189" s="2" t="s">
        <v>3457</v>
      </c>
      <c r="H189" s="43">
        <v>2711</v>
      </c>
      <c r="I189" s="45" t="s">
        <v>44</v>
      </c>
      <c r="J189" s="255" t="str">
        <f>IF(ISBLANK(INDEX('Policy Characteristics'!D:D,MATCH($C189,'Policy Characteristics'!$C:$C,0))),"",INDEX('Policy Characteristics'!D:D,MATCH($C189,'Policy Characteristics'!$C:$C,0)))</f>
        <v>ZEV Sales Standard</v>
      </c>
      <c r="K189" s="254" t="str">
        <f>IF(ISBLANK(INDEX('Policy Characteristics'!E:E,MATCH($C189,'Policy Characteristics'!$C:$C,0))),"",INDEX('Policy Characteristics'!E:E,MATCH($C189,'Policy Characteristics'!$C:$C,0)))</f>
        <v>trans non BAU ZEV minimum</v>
      </c>
      <c r="L189" s="359">
        <f>IF(ISBLANK(INDEX('Policy Characteristics'!F:F,MATCH($C189,'Policy Characteristics'!$C:$C,0))),"",INDEX('Policy Characteristics'!F:F,MATCH($C189,'Policy Characteristics'!$C:$C,0)))</f>
        <v>0</v>
      </c>
      <c r="M189" s="359">
        <f>IF(ISBLANK(INDEX('Policy Characteristics'!G:G,MATCH($C189,'Policy Characteristics'!$C:$C,0))),"",INDEX('Policy Characteristics'!G:G,MATCH($C189,'Policy Characteristics'!$C:$C,0)))</f>
        <v>1</v>
      </c>
      <c r="N189" s="359">
        <f>IF(ISBLANK(INDEX('Policy Characteristics'!H:H,MATCH($C189,'Policy Characteristics'!$C:$C,0))),"",INDEX('Policy Characteristics'!H:H,MATCH($C189,'Policy Characteristics'!$C:$C,0)))</f>
        <v>1</v>
      </c>
      <c r="O189" s="254" t="str">
        <f>IF(ISBLANK(INDEX('Policy Characteristics'!I:I,MATCH($C189,'Policy Characteristics'!$C:$C,0))),"",INDEX('Policy Characteristics'!I:I,MATCH($C189,'Policy Characteristics'!$C:$C,0)))</f>
        <v>on/off</v>
      </c>
      <c r="P189" s="254" t="str">
        <f>IF(ISBLANK(INDEX('Policy Characteristics'!J:J,MATCH($C189,'Policy Characteristics'!$C:$C,0))),"",INDEX('Policy Characteristics'!J:J,MATCH($C189,'Policy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89" s="254" t="str">
        <f>IF(ISBLANK(INDEX('Policy Characteristics'!K:K,MATCH($C189,'Policy Characteristics'!$C:$C,0))),"",INDEX('Policy Characteristics'!K:K,MATCH($C189,'Policy Characteristics'!$C:$C,0)))</f>
        <v/>
      </c>
      <c r="R189" s="254" t="str">
        <f>IF(ISBLANK(INDEX('Policy Characteristics'!L:L,MATCH($C189,'Policy Characteristics'!$C:$C,0))),"",INDEX('Policy Characteristics'!L:L,MATCH($C189,'Policy Characteristics'!$C:$C,0)))</f>
        <v/>
      </c>
    </row>
    <row r="190" spans="1:18" s="2" customFormat="1" x14ac:dyDescent="0.3">
      <c r="A190" s="254" t="str">
        <f>IF(ISBLANK(INDEX('Policy Characteristics'!A:A,MATCH($C190,'Policy Characteristics'!$C:$C,0))),"",INDEX('Policy Characteristics'!A:A,MATCH($C190,'Policy Characteristics'!$C:$C,0)))</f>
        <v>Transportation</v>
      </c>
      <c r="B190" s="262" t="str">
        <f>IF(ISBLANK(INDEX('Policy Characteristics'!B:B,MATCH($C190,'Policy Characteristics'!$C:$C,0))),"",INDEX('Policy Characteristics'!B:B,MATCH($C190,'Policy Characteristics'!$C:$C,0)))</f>
        <v>Non-BAU Zero-Emission Vehicle Sales Standard by Subregion</v>
      </c>
      <c r="C190" s="254" t="str">
        <f t="shared" ref="C190:C199" si="10">C189</f>
        <v>Boolean Use Non BAU Minimum Required ZEV Sales Percentage by Subregion</v>
      </c>
      <c r="D190" s="2" t="s">
        <v>45</v>
      </c>
      <c r="E190" s="2" t="s">
        <v>38</v>
      </c>
      <c r="F190" s="2" t="s">
        <v>84</v>
      </c>
      <c r="G190" s="2" t="s">
        <v>2344</v>
      </c>
      <c r="H190" s="43">
        <v>2712</v>
      </c>
      <c r="I190" s="45" t="s">
        <v>44</v>
      </c>
      <c r="J190" s="255" t="str">
        <f>IF(ISBLANK(INDEX('Policy Characteristics'!D:D,MATCH($C190,'Policy Characteristics'!$C:$C,0))),"",INDEX('Policy Characteristics'!D:D,MATCH($C190,'Policy Characteristics'!$C:$C,0)))</f>
        <v>ZEV Sales Standard</v>
      </c>
      <c r="K190" s="254" t="str">
        <f>IF(ISBLANK(INDEX('Policy Characteristics'!E:E,MATCH($C190,'Policy Characteristics'!$C:$C,0))),"",INDEX('Policy Characteristics'!E:E,MATCH($C190,'Policy Characteristics'!$C:$C,0)))</f>
        <v>trans non BAU ZEV minimum</v>
      </c>
      <c r="L190" s="359">
        <f>IF(ISBLANK(INDEX('Policy Characteristics'!F:F,MATCH($C190,'Policy Characteristics'!$C:$C,0))),"",INDEX('Policy Characteristics'!F:F,MATCH($C190,'Policy Characteristics'!$C:$C,0)))</f>
        <v>0</v>
      </c>
      <c r="M190" s="359">
        <f>IF(ISBLANK(INDEX('Policy Characteristics'!G:G,MATCH($C190,'Policy Characteristics'!$C:$C,0))),"",INDEX('Policy Characteristics'!G:G,MATCH($C190,'Policy Characteristics'!$C:$C,0)))</f>
        <v>1</v>
      </c>
      <c r="N190" s="359">
        <f>IF(ISBLANK(INDEX('Policy Characteristics'!H:H,MATCH($C190,'Policy Characteristics'!$C:$C,0))),"",INDEX('Policy Characteristics'!H:H,MATCH($C190,'Policy Characteristics'!$C:$C,0)))</f>
        <v>1</v>
      </c>
      <c r="O190" s="254" t="str">
        <f>IF(ISBLANK(INDEX('Policy Characteristics'!I:I,MATCH($C190,'Policy Characteristics'!$C:$C,0))),"",INDEX('Policy Characteristics'!I:I,MATCH($C190,'Policy Characteristics'!$C:$C,0)))</f>
        <v>on/off</v>
      </c>
      <c r="P190" s="254" t="str">
        <f>IF(ISBLANK(INDEX('Policy Characteristics'!J:J,MATCH($C190,'Policy Characteristics'!$C:$C,0))),"",INDEX('Policy Characteristics'!J:J,MATCH($C190,'Policy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0" s="254" t="str">
        <f>IF(ISBLANK(INDEX('Policy Characteristics'!K:K,MATCH($C190,'Policy Characteristics'!$C:$C,0))),"",INDEX('Policy Characteristics'!K:K,MATCH($C190,'Policy Characteristics'!$C:$C,0)))</f>
        <v/>
      </c>
      <c r="R190" s="254" t="str">
        <f>IF(ISBLANK(INDEX('Policy Characteristics'!L:L,MATCH($C190,'Policy Characteristics'!$C:$C,0))),"",INDEX('Policy Characteristics'!L:L,MATCH($C190,'Policy Characteristics'!$C:$C,0)))</f>
        <v/>
      </c>
    </row>
    <row r="191" spans="1:18" s="2" customFormat="1" x14ac:dyDescent="0.3">
      <c r="A191" s="254" t="str">
        <f>IF(ISBLANK(INDEX('Policy Characteristics'!A:A,MATCH($C191,'Policy Characteristics'!$C:$C,0))),"",INDEX('Policy Characteristics'!A:A,MATCH($C191,'Policy Characteristics'!$C:$C,0)))</f>
        <v>Transportation</v>
      </c>
      <c r="B191" s="262" t="str">
        <f>IF(ISBLANK(INDEX('Policy Characteristics'!B:B,MATCH($C191,'Policy Characteristics'!$C:$C,0))),"",INDEX('Policy Characteristics'!B:B,MATCH($C191,'Policy Characteristics'!$C:$C,0)))</f>
        <v>Non-BAU Zero-Emission Vehicle Sales Standard by Subregion</v>
      </c>
      <c r="C191" s="254" t="str">
        <f t="shared" si="10"/>
        <v>Boolean Use Non BAU Minimum Required ZEV Sales Percentage by Subregion</v>
      </c>
      <c r="D191" s="2" t="s">
        <v>42</v>
      </c>
      <c r="E191" s="2" t="s">
        <v>38</v>
      </c>
      <c r="F191" s="2" t="s">
        <v>85</v>
      </c>
      <c r="G191" s="2" t="s">
        <v>3453</v>
      </c>
      <c r="H191" s="43">
        <v>2713</v>
      </c>
      <c r="I191" s="45" t="s">
        <v>44</v>
      </c>
      <c r="J191" s="255" t="str">
        <f>IF(ISBLANK(INDEX('Policy Characteristics'!D:D,MATCH($C191,'Policy Characteristics'!$C:$C,0))),"",INDEX('Policy Characteristics'!D:D,MATCH($C191,'Policy Characteristics'!$C:$C,0)))</f>
        <v>ZEV Sales Standard</v>
      </c>
      <c r="K191" s="254" t="str">
        <f>IF(ISBLANK(INDEX('Policy Characteristics'!E:E,MATCH($C191,'Policy Characteristics'!$C:$C,0))),"",INDEX('Policy Characteristics'!E:E,MATCH($C191,'Policy Characteristics'!$C:$C,0)))</f>
        <v>trans non BAU ZEV minimum</v>
      </c>
      <c r="L191" s="359">
        <f>IF(ISBLANK(INDEX('Policy Characteristics'!F:F,MATCH($C191,'Policy Characteristics'!$C:$C,0))),"",INDEX('Policy Characteristics'!F:F,MATCH($C191,'Policy Characteristics'!$C:$C,0)))</f>
        <v>0</v>
      </c>
      <c r="M191" s="359">
        <f>IF(ISBLANK(INDEX('Policy Characteristics'!G:G,MATCH($C191,'Policy Characteristics'!$C:$C,0))),"",INDEX('Policy Characteristics'!G:G,MATCH($C191,'Policy Characteristics'!$C:$C,0)))</f>
        <v>1</v>
      </c>
      <c r="N191" s="359">
        <f>IF(ISBLANK(INDEX('Policy Characteristics'!H:H,MATCH($C191,'Policy Characteristics'!$C:$C,0))),"",INDEX('Policy Characteristics'!H:H,MATCH($C191,'Policy Characteristics'!$C:$C,0)))</f>
        <v>1</v>
      </c>
      <c r="O191" s="254" t="str">
        <f>IF(ISBLANK(INDEX('Policy Characteristics'!I:I,MATCH($C191,'Policy Characteristics'!$C:$C,0))),"",INDEX('Policy Characteristics'!I:I,MATCH($C191,'Policy Characteristics'!$C:$C,0)))</f>
        <v>on/off</v>
      </c>
      <c r="P191" s="254" t="str">
        <f>IF(ISBLANK(INDEX('Policy Characteristics'!J:J,MATCH($C191,'Policy Characteristics'!$C:$C,0))),"",INDEX('Policy Characteristics'!J:J,MATCH($C191,'Policy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1" s="254" t="str">
        <f>IF(ISBLANK(INDEX('Policy Characteristics'!K:K,MATCH($C191,'Policy Characteristics'!$C:$C,0))),"",INDEX('Policy Characteristics'!K:K,MATCH($C191,'Policy Characteristics'!$C:$C,0)))</f>
        <v/>
      </c>
      <c r="R191" s="254" t="str">
        <f>IF(ISBLANK(INDEX('Policy Characteristics'!L:L,MATCH($C191,'Policy Characteristics'!$C:$C,0))),"",INDEX('Policy Characteristics'!L:L,MATCH($C191,'Policy Characteristics'!$C:$C,0)))</f>
        <v/>
      </c>
    </row>
    <row r="192" spans="1:18" s="2" customFormat="1" x14ac:dyDescent="0.3">
      <c r="A192" s="254" t="str">
        <f>IF(ISBLANK(INDEX('Policy Characteristics'!A:A,MATCH($C192,'Policy Characteristics'!$C:$C,0))),"",INDEX('Policy Characteristics'!A:A,MATCH($C192,'Policy Characteristics'!$C:$C,0)))</f>
        <v>Transportation</v>
      </c>
      <c r="B192" s="262" t="str">
        <f>IF(ISBLANK(INDEX('Policy Characteristics'!B:B,MATCH($C192,'Policy Characteristics'!$C:$C,0))),"",INDEX('Policy Characteristics'!B:B,MATCH($C192,'Policy Characteristics'!$C:$C,0)))</f>
        <v>Non-BAU Zero-Emission Vehicle Sales Standard by Subregion</v>
      </c>
      <c r="C192" s="254" t="str">
        <f t="shared" si="10"/>
        <v>Boolean Use Non BAU Minimum Required ZEV Sales Percentage by Subregion</v>
      </c>
      <c r="D192" s="2" t="s">
        <v>45</v>
      </c>
      <c r="E192" s="2" t="s">
        <v>39</v>
      </c>
      <c r="F192" s="2" t="s">
        <v>84</v>
      </c>
      <c r="G192" s="2" t="s">
        <v>3290</v>
      </c>
      <c r="H192" s="43">
        <v>2714</v>
      </c>
      <c r="I192" s="45" t="s">
        <v>44</v>
      </c>
      <c r="J192" s="255" t="str">
        <f>IF(ISBLANK(INDEX('Policy Characteristics'!D:D,MATCH($C192,'Policy Characteristics'!$C:$C,0))),"",INDEX('Policy Characteristics'!D:D,MATCH($C192,'Policy Characteristics'!$C:$C,0)))</f>
        <v>ZEV Sales Standard</v>
      </c>
      <c r="K192" s="254" t="str">
        <f>IF(ISBLANK(INDEX('Policy Characteristics'!E:E,MATCH($C192,'Policy Characteristics'!$C:$C,0))),"",INDEX('Policy Characteristics'!E:E,MATCH($C192,'Policy Characteristics'!$C:$C,0)))</f>
        <v>trans non BAU ZEV minimum</v>
      </c>
      <c r="L192" s="359">
        <f>IF(ISBLANK(INDEX('Policy Characteristics'!F:F,MATCH($C192,'Policy Characteristics'!$C:$C,0))),"",INDEX('Policy Characteristics'!F:F,MATCH($C192,'Policy Characteristics'!$C:$C,0)))</f>
        <v>0</v>
      </c>
      <c r="M192" s="359">
        <f>IF(ISBLANK(INDEX('Policy Characteristics'!G:G,MATCH($C192,'Policy Characteristics'!$C:$C,0))),"",INDEX('Policy Characteristics'!G:G,MATCH($C192,'Policy Characteristics'!$C:$C,0)))</f>
        <v>1</v>
      </c>
      <c r="N192" s="359">
        <f>IF(ISBLANK(INDEX('Policy Characteristics'!H:H,MATCH($C192,'Policy Characteristics'!$C:$C,0))),"",INDEX('Policy Characteristics'!H:H,MATCH($C192,'Policy Characteristics'!$C:$C,0)))</f>
        <v>1</v>
      </c>
      <c r="O192" s="254" t="str">
        <f>IF(ISBLANK(INDEX('Policy Characteristics'!I:I,MATCH($C192,'Policy Characteristics'!$C:$C,0))),"",INDEX('Policy Characteristics'!I:I,MATCH($C192,'Policy Characteristics'!$C:$C,0)))</f>
        <v>on/off</v>
      </c>
      <c r="P192" s="254" t="str">
        <f>IF(ISBLANK(INDEX('Policy Characteristics'!J:J,MATCH($C192,'Policy Characteristics'!$C:$C,0))),"",INDEX('Policy Characteristics'!J:J,MATCH($C192,'Policy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2" s="254" t="str">
        <f>IF(ISBLANK(INDEX('Policy Characteristics'!K:K,MATCH($C192,'Policy Characteristics'!$C:$C,0))),"",INDEX('Policy Characteristics'!K:K,MATCH($C192,'Policy Characteristics'!$C:$C,0)))</f>
        <v/>
      </c>
      <c r="R192" s="254" t="str">
        <f>IF(ISBLANK(INDEX('Policy Characteristics'!L:L,MATCH($C192,'Policy Characteristics'!$C:$C,0))),"",INDEX('Policy Characteristics'!L:L,MATCH($C192,'Policy Characteristics'!$C:$C,0)))</f>
        <v/>
      </c>
    </row>
    <row r="193" spans="1:18" s="2" customFormat="1" x14ac:dyDescent="0.3">
      <c r="A193" s="254" t="str">
        <f>IF(ISBLANK(INDEX('Policy Characteristics'!A:A,MATCH($C193,'Policy Characteristics'!$C:$C,0))),"",INDEX('Policy Characteristics'!A:A,MATCH($C193,'Policy Characteristics'!$C:$C,0)))</f>
        <v>Transportation</v>
      </c>
      <c r="B193" s="262" t="str">
        <f>IF(ISBLANK(INDEX('Policy Characteristics'!B:B,MATCH($C193,'Policy Characteristics'!$C:$C,0))),"",INDEX('Policy Characteristics'!B:B,MATCH($C193,'Policy Characteristics'!$C:$C,0)))</f>
        <v>Non-BAU Zero-Emission Vehicle Sales Standard by Subregion</v>
      </c>
      <c r="C193" s="254" t="str">
        <f t="shared" si="10"/>
        <v>Boolean Use Non BAU Minimum Required ZEV Sales Percentage by Subregion</v>
      </c>
      <c r="D193" s="2" t="s">
        <v>42</v>
      </c>
      <c r="E193" s="2" t="s">
        <v>39</v>
      </c>
      <c r="F193" s="2" t="s">
        <v>85</v>
      </c>
      <c r="G193" s="2" t="s">
        <v>3290</v>
      </c>
      <c r="H193" s="43">
        <v>2715</v>
      </c>
      <c r="I193" s="45" t="s">
        <v>44</v>
      </c>
      <c r="J193" s="255" t="str">
        <f>IF(ISBLANK(INDEX('Policy Characteristics'!D:D,MATCH($C193,'Policy Characteristics'!$C:$C,0))),"",INDEX('Policy Characteristics'!D:D,MATCH($C193,'Policy Characteristics'!$C:$C,0)))</f>
        <v>ZEV Sales Standard</v>
      </c>
      <c r="K193" s="254" t="str">
        <f>IF(ISBLANK(INDEX('Policy Characteristics'!E:E,MATCH($C193,'Policy Characteristics'!$C:$C,0))),"",INDEX('Policy Characteristics'!E:E,MATCH($C193,'Policy Characteristics'!$C:$C,0)))</f>
        <v>trans non BAU ZEV minimum</v>
      </c>
      <c r="L193" s="359">
        <f>IF(ISBLANK(INDEX('Policy Characteristics'!F:F,MATCH($C193,'Policy Characteristics'!$C:$C,0))),"",INDEX('Policy Characteristics'!F:F,MATCH($C193,'Policy Characteristics'!$C:$C,0)))</f>
        <v>0</v>
      </c>
      <c r="M193" s="359">
        <f>IF(ISBLANK(INDEX('Policy Characteristics'!G:G,MATCH($C193,'Policy Characteristics'!$C:$C,0))),"",INDEX('Policy Characteristics'!G:G,MATCH($C193,'Policy Characteristics'!$C:$C,0)))</f>
        <v>1</v>
      </c>
      <c r="N193" s="359">
        <f>IF(ISBLANK(INDEX('Policy Characteristics'!H:H,MATCH($C193,'Policy Characteristics'!$C:$C,0))),"",INDEX('Policy Characteristics'!H:H,MATCH($C193,'Policy Characteristics'!$C:$C,0)))</f>
        <v>1</v>
      </c>
      <c r="O193" s="254" t="str">
        <f>IF(ISBLANK(INDEX('Policy Characteristics'!I:I,MATCH($C193,'Policy Characteristics'!$C:$C,0))),"",INDEX('Policy Characteristics'!I:I,MATCH($C193,'Policy Characteristics'!$C:$C,0)))</f>
        <v>on/off</v>
      </c>
      <c r="P193" s="254" t="str">
        <f>IF(ISBLANK(INDEX('Policy Characteristics'!J:J,MATCH($C193,'Policy Characteristics'!$C:$C,0))),"",INDEX('Policy Characteristics'!J:J,MATCH($C193,'Policy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3" s="254" t="str">
        <f>IF(ISBLANK(INDEX('Policy Characteristics'!K:K,MATCH($C193,'Policy Characteristics'!$C:$C,0))),"",INDEX('Policy Characteristics'!K:K,MATCH($C193,'Policy Characteristics'!$C:$C,0)))</f>
        <v/>
      </c>
      <c r="R193" s="254" t="str">
        <f>IF(ISBLANK(INDEX('Policy Characteristics'!L:L,MATCH($C193,'Policy Characteristics'!$C:$C,0))),"",INDEX('Policy Characteristics'!L:L,MATCH($C193,'Policy Characteristics'!$C:$C,0)))</f>
        <v/>
      </c>
    </row>
    <row r="194" spans="1:18" s="2" customFormat="1" x14ac:dyDescent="0.3">
      <c r="A194" s="254" t="str">
        <f>IF(ISBLANK(INDEX('Policy Characteristics'!A:A,MATCH($C194,'Policy Characteristics'!$C:$C,0))),"",INDEX('Policy Characteristics'!A:A,MATCH($C194,'Policy Characteristics'!$C:$C,0)))</f>
        <v>Transportation</v>
      </c>
      <c r="B194" s="262" t="str">
        <f>IF(ISBLANK(INDEX('Policy Characteristics'!B:B,MATCH($C194,'Policy Characteristics'!$C:$C,0))),"",INDEX('Policy Characteristics'!B:B,MATCH($C194,'Policy Characteristics'!$C:$C,0)))</f>
        <v>Non-BAU Zero-Emission Vehicle Sales Standard by Subregion</v>
      </c>
      <c r="C194" s="254" t="str">
        <f t="shared" si="10"/>
        <v>Boolean Use Non BAU Minimum Required ZEV Sales Percentage by Subregion</v>
      </c>
      <c r="D194" s="2" t="s">
        <v>45</v>
      </c>
      <c r="E194" s="2" t="s">
        <v>40</v>
      </c>
      <c r="F194" s="2" t="s">
        <v>84</v>
      </c>
      <c r="G194" s="2" t="s">
        <v>86</v>
      </c>
      <c r="H194" s="43">
        <v>2716</v>
      </c>
      <c r="I194" s="45" t="s">
        <v>44</v>
      </c>
      <c r="J194" s="255" t="str">
        <f>IF(ISBLANK(INDEX('Policy Characteristics'!D:D,MATCH($C194,'Policy Characteristics'!$C:$C,0))),"",INDEX('Policy Characteristics'!D:D,MATCH($C194,'Policy Characteristics'!$C:$C,0)))</f>
        <v>ZEV Sales Standard</v>
      </c>
      <c r="K194" s="254" t="str">
        <f>IF(ISBLANK(INDEX('Policy Characteristics'!E:E,MATCH($C194,'Policy Characteristics'!$C:$C,0))),"",INDEX('Policy Characteristics'!E:E,MATCH($C194,'Policy Characteristics'!$C:$C,0)))</f>
        <v>trans non BAU ZEV minimum</v>
      </c>
      <c r="L194" s="359">
        <f>IF(ISBLANK(INDEX('Policy Characteristics'!F:F,MATCH($C194,'Policy Characteristics'!$C:$C,0))),"",INDEX('Policy Characteristics'!F:F,MATCH($C194,'Policy Characteristics'!$C:$C,0)))</f>
        <v>0</v>
      </c>
      <c r="M194" s="359">
        <f>IF(ISBLANK(INDEX('Policy Characteristics'!G:G,MATCH($C194,'Policy Characteristics'!$C:$C,0))),"",INDEX('Policy Characteristics'!G:G,MATCH($C194,'Policy Characteristics'!$C:$C,0)))</f>
        <v>1</v>
      </c>
      <c r="N194" s="359">
        <f>IF(ISBLANK(INDEX('Policy Characteristics'!H:H,MATCH($C194,'Policy Characteristics'!$C:$C,0))),"",INDEX('Policy Characteristics'!H:H,MATCH($C194,'Policy Characteristics'!$C:$C,0)))</f>
        <v>1</v>
      </c>
      <c r="O194" s="254" t="str">
        <f>IF(ISBLANK(INDEX('Policy Characteristics'!I:I,MATCH($C194,'Policy Characteristics'!$C:$C,0))),"",INDEX('Policy Characteristics'!I:I,MATCH($C194,'Policy Characteristics'!$C:$C,0)))</f>
        <v>on/off</v>
      </c>
      <c r="P194" s="254" t="str">
        <f>IF(ISBLANK(INDEX('Policy Characteristics'!J:J,MATCH($C194,'Policy Characteristics'!$C:$C,0))),"",INDEX('Policy Characteristics'!J:J,MATCH($C194,'Policy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4" s="254" t="str">
        <f>IF(ISBLANK(INDEX('Policy Characteristics'!K:K,MATCH($C194,'Policy Characteristics'!$C:$C,0))),"",INDEX('Policy Characteristics'!K:K,MATCH($C194,'Policy Characteristics'!$C:$C,0)))</f>
        <v/>
      </c>
      <c r="R194" s="254" t="str">
        <f>IF(ISBLANK(INDEX('Policy Characteristics'!L:L,MATCH($C194,'Policy Characteristics'!$C:$C,0))),"",INDEX('Policy Characteristics'!L:L,MATCH($C194,'Policy Characteristics'!$C:$C,0)))</f>
        <v/>
      </c>
    </row>
    <row r="195" spans="1:18" s="2" customFormat="1" x14ac:dyDescent="0.3">
      <c r="A195" s="254" t="str">
        <f>IF(ISBLANK(INDEX('Policy Characteristics'!A:A,MATCH($C195,'Policy Characteristics'!$C:$C,0))),"",INDEX('Policy Characteristics'!A:A,MATCH($C195,'Policy Characteristics'!$C:$C,0)))</f>
        <v>Transportation</v>
      </c>
      <c r="B195" s="262" t="str">
        <f>IF(ISBLANK(INDEX('Policy Characteristics'!B:B,MATCH($C195,'Policy Characteristics'!$C:$C,0))),"",INDEX('Policy Characteristics'!B:B,MATCH($C195,'Policy Characteristics'!$C:$C,0)))</f>
        <v>Non-BAU Zero-Emission Vehicle Sales Standard by Subregion</v>
      </c>
      <c r="C195" s="254" t="str">
        <f t="shared" si="10"/>
        <v>Boolean Use Non BAU Minimum Required ZEV Sales Percentage by Subregion</v>
      </c>
      <c r="D195" s="2" t="s">
        <v>42</v>
      </c>
      <c r="E195" s="2" t="s">
        <v>40</v>
      </c>
      <c r="F195" s="2" t="s">
        <v>85</v>
      </c>
      <c r="G195" s="2" t="s">
        <v>86</v>
      </c>
      <c r="H195" s="43">
        <v>2717</v>
      </c>
      <c r="I195" s="45" t="s">
        <v>44</v>
      </c>
      <c r="J195" s="255" t="str">
        <f>IF(ISBLANK(INDEX('Policy Characteristics'!D:D,MATCH($C195,'Policy Characteristics'!$C:$C,0))),"",INDEX('Policy Characteristics'!D:D,MATCH($C195,'Policy Characteristics'!$C:$C,0)))</f>
        <v>ZEV Sales Standard</v>
      </c>
      <c r="K195" s="254" t="str">
        <f>IF(ISBLANK(INDEX('Policy Characteristics'!E:E,MATCH($C195,'Policy Characteristics'!$C:$C,0))),"",INDEX('Policy Characteristics'!E:E,MATCH($C195,'Policy Characteristics'!$C:$C,0)))</f>
        <v>trans non BAU ZEV minimum</v>
      </c>
      <c r="L195" s="359">
        <f>IF(ISBLANK(INDEX('Policy Characteristics'!F:F,MATCH($C195,'Policy Characteristics'!$C:$C,0))),"",INDEX('Policy Characteristics'!F:F,MATCH($C195,'Policy Characteristics'!$C:$C,0)))</f>
        <v>0</v>
      </c>
      <c r="M195" s="359">
        <f>IF(ISBLANK(INDEX('Policy Characteristics'!G:G,MATCH($C195,'Policy Characteristics'!$C:$C,0))),"",INDEX('Policy Characteristics'!G:G,MATCH($C195,'Policy Characteristics'!$C:$C,0)))</f>
        <v>1</v>
      </c>
      <c r="N195" s="359">
        <f>IF(ISBLANK(INDEX('Policy Characteristics'!H:H,MATCH($C195,'Policy Characteristics'!$C:$C,0))),"",INDEX('Policy Characteristics'!H:H,MATCH($C195,'Policy Characteristics'!$C:$C,0)))</f>
        <v>1</v>
      </c>
      <c r="O195" s="254" t="str">
        <f>IF(ISBLANK(INDEX('Policy Characteristics'!I:I,MATCH($C195,'Policy Characteristics'!$C:$C,0))),"",INDEX('Policy Characteristics'!I:I,MATCH($C195,'Policy Characteristics'!$C:$C,0)))</f>
        <v>on/off</v>
      </c>
      <c r="P195" s="254" t="str">
        <f>IF(ISBLANK(INDEX('Policy Characteristics'!J:J,MATCH($C195,'Policy Characteristics'!$C:$C,0))),"",INDEX('Policy Characteristics'!J:J,MATCH($C195,'Policy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5" s="254" t="str">
        <f>IF(ISBLANK(INDEX('Policy Characteristics'!K:K,MATCH($C195,'Policy Characteristics'!$C:$C,0))),"",INDEX('Policy Characteristics'!K:K,MATCH($C195,'Policy Characteristics'!$C:$C,0)))</f>
        <v/>
      </c>
      <c r="R195" s="254" t="str">
        <f>IF(ISBLANK(INDEX('Policy Characteristics'!L:L,MATCH($C195,'Policy Characteristics'!$C:$C,0))),"",INDEX('Policy Characteristics'!L:L,MATCH($C195,'Policy Characteristics'!$C:$C,0)))</f>
        <v/>
      </c>
    </row>
    <row r="196" spans="1:18" s="2" customFormat="1" x14ac:dyDescent="0.3">
      <c r="A196" s="254" t="str">
        <f>IF(ISBLANK(INDEX('Policy Characteristics'!A:A,MATCH($C196,'Policy Characteristics'!$C:$C,0))),"",INDEX('Policy Characteristics'!A:A,MATCH($C196,'Policy Characteristics'!$C:$C,0)))</f>
        <v>Transportation</v>
      </c>
      <c r="B196" s="262" t="str">
        <f>IF(ISBLANK(INDEX('Policy Characteristics'!B:B,MATCH($C196,'Policy Characteristics'!$C:$C,0))),"",INDEX('Policy Characteristics'!B:B,MATCH($C196,'Policy Characteristics'!$C:$C,0)))</f>
        <v>Non-BAU Zero-Emission Vehicle Sales Standard by Subregion</v>
      </c>
      <c r="C196" s="254" t="str">
        <f t="shared" si="10"/>
        <v>Boolean Use Non BAU Minimum Required ZEV Sales Percentage by Subregion</v>
      </c>
      <c r="D196" s="2" t="s">
        <v>45</v>
      </c>
      <c r="E196" s="2" t="s">
        <v>41</v>
      </c>
      <c r="F196" s="2" t="s">
        <v>84</v>
      </c>
      <c r="G196" s="2" t="s">
        <v>3291</v>
      </c>
      <c r="H196" s="43">
        <v>2718</v>
      </c>
      <c r="I196" s="45" t="s">
        <v>44</v>
      </c>
      <c r="J196" s="255" t="str">
        <f>IF(ISBLANK(INDEX('Policy Characteristics'!D:D,MATCH($C196,'Policy Characteristics'!$C:$C,0))),"",INDEX('Policy Characteristics'!D:D,MATCH($C196,'Policy Characteristics'!$C:$C,0)))</f>
        <v>ZEV Sales Standard</v>
      </c>
      <c r="K196" s="254" t="str">
        <f>IF(ISBLANK(INDEX('Policy Characteristics'!E:E,MATCH($C196,'Policy Characteristics'!$C:$C,0))),"",INDEX('Policy Characteristics'!E:E,MATCH($C196,'Policy Characteristics'!$C:$C,0)))</f>
        <v>trans non BAU ZEV minimum</v>
      </c>
      <c r="L196" s="359">
        <f>IF(ISBLANK(INDEX('Policy Characteristics'!F:F,MATCH($C196,'Policy Characteristics'!$C:$C,0))),"",INDEX('Policy Characteristics'!F:F,MATCH($C196,'Policy Characteristics'!$C:$C,0)))</f>
        <v>0</v>
      </c>
      <c r="M196" s="359">
        <f>IF(ISBLANK(INDEX('Policy Characteristics'!G:G,MATCH($C196,'Policy Characteristics'!$C:$C,0))),"",INDEX('Policy Characteristics'!G:G,MATCH($C196,'Policy Characteristics'!$C:$C,0)))</f>
        <v>1</v>
      </c>
      <c r="N196" s="359">
        <f>IF(ISBLANK(INDEX('Policy Characteristics'!H:H,MATCH($C196,'Policy Characteristics'!$C:$C,0))),"",INDEX('Policy Characteristics'!H:H,MATCH($C196,'Policy Characteristics'!$C:$C,0)))</f>
        <v>1</v>
      </c>
      <c r="O196" s="254" t="str">
        <f>IF(ISBLANK(INDEX('Policy Characteristics'!I:I,MATCH($C196,'Policy Characteristics'!$C:$C,0))),"",INDEX('Policy Characteristics'!I:I,MATCH($C196,'Policy Characteristics'!$C:$C,0)))</f>
        <v>on/off</v>
      </c>
      <c r="P196" s="254" t="str">
        <f>IF(ISBLANK(INDEX('Policy Characteristics'!J:J,MATCH($C196,'Policy Characteristics'!$C:$C,0))),"",INDEX('Policy Characteristics'!J:J,MATCH($C196,'Policy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6" s="254" t="str">
        <f>IF(ISBLANK(INDEX('Policy Characteristics'!K:K,MATCH($C196,'Policy Characteristics'!$C:$C,0))),"",INDEX('Policy Characteristics'!K:K,MATCH($C196,'Policy Characteristics'!$C:$C,0)))</f>
        <v/>
      </c>
      <c r="R196" s="254" t="str">
        <f>IF(ISBLANK(INDEX('Policy Characteristics'!L:L,MATCH($C196,'Policy Characteristics'!$C:$C,0))),"",INDEX('Policy Characteristics'!L:L,MATCH($C196,'Policy Characteristics'!$C:$C,0)))</f>
        <v/>
      </c>
    </row>
    <row r="197" spans="1:18" s="2" customFormat="1" x14ac:dyDescent="0.3">
      <c r="A197" s="254" t="str">
        <f>IF(ISBLANK(INDEX('Policy Characteristics'!A:A,MATCH($C197,'Policy Characteristics'!$C:$C,0))),"",INDEX('Policy Characteristics'!A:A,MATCH($C197,'Policy Characteristics'!$C:$C,0)))</f>
        <v>Transportation</v>
      </c>
      <c r="B197" s="262" t="str">
        <f>IF(ISBLANK(INDEX('Policy Characteristics'!B:B,MATCH($C197,'Policy Characteristics'!$C:$C,0))),"",INDEX('Policy Characteristics'!B:B,MATCH($C197,'Policy Characteristics'!$C:$C,0)))</f>
        <v>Non-BAU Zero-Emission Vehicle Sales Standard by Subregion</v>
      </c>
      <c r="C197" s="254" t="str">
        <f t="shared" si="10"/>
        <v>Boolean Use Non BAU Minimum Required ZEV Sales Percentage by Subregion</v>
      </c>
      <c r="D197" s="2" t="s">
        <v>42</v>
      </c>
      <c r="E197" s="2" t="s">
        <v>41</v>
      </c>
      <c r="F197" s="2" t="s">
        <v>85</v>
      </c>
      <c r="G197" s="2" t="s">
        <v>3292</v>
      </c>
      <c r="H197" s="43">
        <v>2719</v>
      </c>
      <c r="I197" s="45" t="s">
        <v>44</v>
      </c>
      <c r="J197" s="255" t="str">
        <f>IF(ISBLANK(INDEX('Policy Characteristics'!D:D,MATCH($C197,'Policy Characteristics'!$C:$C,0))),"",INDEX('Policy Characteristics'!D:D,MATCH($C197,'Policy Characteristics'!$C:$C,0)))</f>
        <v>ZEV Sales Standard</v>
      </c>
      <c r="K197" s="254" t="str">
        <f>IF(ISBLANK(INDEX('Policy Characteristics'!E:E,MATCH($C197,'Policy Characteristics'!$C:$C,0))),"",INDEX('Policy Characteristics'!E:E,MATCH($C197,'Policy Characteristics'!$C:$C,0)))</f>
        <v>trans non BAU ZEV minimum</v>
      </c>
      <c r="L197" s="359">
        <f>IF(ISBLANK(INDEX('Policy Characteristics'!F:F,MATCH($C197,'Policy Characteristics'!$C:$C,0))),"",INDEX('Policy Characteristics'!F:F,MATCH($C197,'Policy Characteristics'!$C:$C,0)))</f>
        <v>0</v>
      </c>
      <c r="M197" s="359">
        <f>IF(ISBLANK(INDEX('Policy Characteristics'!G:G,MATCH($C197,'Policy Characteristics'!$C:$C,0))),"",INDEX('Policy Characteristics'!G:G,MATCH($C197,'Policy Characteristics'!$C:$C,0)))</f>
        <v>1</v>
      </c>
      <c r="N197" s="359">
        <f>IF(ISBLANK(INDEX('Policy Characteristics'!H:H,MATCH($C197,'Policy Characteristics'!$C:$C,0))),"",INDEX('Policy Characteristics'!H:H,MATCH($C197,'Policy Characteristics'!$C:$C,0)))</f>
        <v>1</v>
      </c>
      <c r="O197" s="254" t="str">
        <f>IF(ISBLANK(INDEX('Policy Characteristics'!I:I,MATCH($C197,'Policy Characteristics'!$C:$C,0))),"",INDEX('Policy Characteristics'!I:I,MATCH($C197,'Policy Characteristics'!$C:$C,0)))</f>
        <v>on/off</v>
      </c>
      <c r="P197" s="254" t="str">
        <f>IF(ISBLANK(INDEX('Policy Characteristics'!J:J,MATCH($C197,'Policy Characteristics'!$C:$C,0))),"",INDEX('Policy Characteristics'!J:J,MATCH($C197,'Policy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7" s="254" t="str">
        <f>IF(ISBLANK(INDEX('Policy Characteristics'!K:K,MATCH($C197,'Policy Characteristics'!$C:$C,0))),"",INDEX('Policy Characteristics'!K:K,MATCH($C197,'Policy Characteristics'!$C:$C,0)))</f>
        <v/>
      </c>
      <c r="R197" s="254" t="str">
        <f>IF(ISBLANK(INDEX('Policy Characteristics'!L:L,MATCH($C197,'Policy Characteristics'!$C:$C,0))),"",INDEX('Policy Characteristics'!L:L,MATCH($C197,'Policy Characteristics'!$C:$C,0)))</f>
        <v/>
      </c>
    </row>
    <row r="198" spans="1:18" s="2" customFormat="1" x14ac:dyDescent="0.3">
      <c r="A198" s="254" t="str">
        <f>IF(ISBLANK(INDEX('Policy Characteristics'!A:A,MATCH($C198,'Policy Characteristics'!$C:$C,0))),"",INDEX('Policy Characteristics'!A:A,MATCH($C198,'Policy Characteristics'!$C:$C,0)))</f>
        <v>Transportation</v>
      </c>
      <c r="B198" s="262" t="str">
        <f>IF(ISBLANK(INDEX('Policy Characteristics'!B:B,MATCH($C198,'Policy Characteristics'!$C:$C,0))),"",INDEX('Policy Characteristics'!B:B,MATCH($C198,'Policy Characteristics'!$C:$C,0)))</f>
        <v>Non-BAU Zero-Emission Vehicle Sales Standard by Subregion</v>
      </c>
      <c r="C198" s="254" t="str">
        <f t="shared" si="10"/>
        <v>Boolean Use Non BAU Minimum Required ZEV Sales Percentage by Subregion</v>
      </c>
      <c r="D198" s="2" t="s">
        <v>45</v>
      </c>
      <c r="E198" s="2" t="s">
        <v>113</v>
      </c>
      <c r="F198" s="2" t="s">
        <v>84</v>
      </c>
      <c r="G198" s="2" t="s">
        <v>143</v>
      </c>
      <c r="H198" s="43">
        <v>2720</v>
      </c>
      <c r="I198" s="45" t="s">
        <v>44</v>
      </c>
      <c r="J198" s="255" t="str">
        <f>IF(ISBLANK(INDEX('Policy Characteristics'!D:D,MATCH($C198,'Policy Characteristics'!$C:$C,0))),"",INDEX('Policy Characteristics'!D:D,MATCH($C198,'Policy Characteristics'!$C:$C,0)))</f>
        <v>ZEV Sales Standard</v>
      </c>
      <c r="K198" s="254" t="str">
        <f>IF(ISBLANK(INDEX('Policy Characteristics'!E:E,MATCH($C198,'Policy Characteristics'!$C:$C,0))),"",INDEX('Policy Characteristics'!E:E,MATCH($C198,'Policy Characteristics'!$C:$C,0)))</f>
        <v>trans non BAU ZEV minimum</v>
      </c>
      <c r="L198" s="359">
        <f>IF(ISBLANK(INDEX('Policy Characteristics'!F:F,MATCH($C198,'Policy Characteristics'!$C:$C,0))),"",INDEX('Policy Characteristics'!F:F,MATCH($C198,'Policy Characteristics'!$C:$C,0)))</f>
        <v>0</v>
      </c>
      <c r="M198" s="359">
        <f>IF(ISBLANK(INDEX('Policy Characteristics'!G:G,MATCH($C198,'Policy Characteristics'!$C:$C,0))),"",INDEX('Policy Characteristics'!G:G,MATCH($C198,'Policy Characteristics'!$C:$C,0)))</f>
        <v>1</v>
      </c>
      <c r="N198" s="359">
        <f>IF(ISBLANK(INDEX('Policy Characteristics'!H:H,MATCH($C198,'Policy Characteristics'!$C:$C,0))),"",INDEX('Policy Characteristics'!H:H,MATCH($C198,'Policy Characteristics'!$C:$C,0)))</f>
        <v>1</v>
      </c>
      <c r="O198" s="254" t="str">
        <f>IF(ISBLANK(INDEX('Policy Characteristics'!I:I,MATCH($C198,'Policy Characteristics'!$C:$C,0))),"",INDEX('Policy Characteristics'!I:I,MATCH($C198,'Policy Characteristics'!$C:$C,0)))</f>
        <v>on/off</v>
      </c>
      <c r="P198" s="254" t="str">
        <f>IF(ISBLANK(INDEX('Policy Characteristics'!J:J,MATCH($C198,'Policy Characteristics'!$C:$C,0))),"",INDEX('Policy Characteristics'!J:J,MATCH($C198,'Policy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8" s="254" t="str">
        <f>IF(ISBLANK(INDEX('Policy Characteristics'!K:K,MATCH($C198,'Policy Characteristics'!$C:$C,0))),"",INDEX('Policy Characteristics'!K:K,MATCH($C198,'Policy Characteristics'!$C:$C,0)))</f>
        <v/>
      </c>
      <c r="R198" s="254" t="str">
        <f>IF(ISBLANK(INDEX('Policy Characteristics'!L:L,MATCH($C198,'Policy Characteristics'!$C:$C,0))),"",INDEX('Policy Characteristics'!L:L,MATCH($C198,'Policy Characteristics'!$C:$C,0)))</f>
        <v/>
      </c>
    </row>
    <row r="199" spans="1:18" customFormat="1" x14ac:dyDescent="0.3">
      <c r="A199" s="254" t="str">
        <f>IF(ISBLANK(INDEX('Policy Characteristics'!A:A,MATCH($C199,'Policy Characteristics'!$C:$C,0))),"",INDEX('Policy Characteristics'!A:A,MATCH($C199,'Policy Characteristics'!$C:$C,0)))</f>
        <v>Transportation</v>
      </c>
      <c r="B199" s="262" t="str">
        <f>IF(ISBLANK(INDEX('Policy Characteristics'!B:B,MATCH($C199,'Policy Characteristics'!$C:$C,0))),"",INDEX('Policy Characteristics'!B:B,MATCH($C199,'Policy Characteristics'!$C:$C,0)))</f>
        <v>Non-BAU Zero-Emission Vehicle Sales Standard by Subregion</v>
      </c>
      <c r="C199" s="254" t="str">
        <f t="shared" si="10"/>
        <v>Boolean Use Non BAU Minimum Required ZEV Sales Percentage by Subregion</v>
      </c>
      <c r="D199" s="2" t="s">
        <v>42</v>
      </c>
      <c r="E199" s="2" t="s">
        <v>113</v>
      </c>
      <c r="F199" s="2" t="s">
        <v>85</v>
      </c>
      <c r="G199" s="2" t="s">
        <v>143</v>
      </c>
      <c r="H199" s="43">
        <v>2721</v>
      </c>
      <c r="I199" s="45" t="s">
        <v>44</v>
      </c>
      <c r="J199" s="255" t="str">
        <f>IF(ISBLANK(INDEX('Policy Characteristics'!D:D,MATCH($C199,'Policy Characteristics'!$C:$C,0))),"",INDEX('Policy Characteristics'!D:D,MATCH($C199,'Policy Characteristics'!$C:$C,0)))</f>
        <v>ZEV Sales Standard</v>
      </c>
      <c r="K199" s="254" t="str">
        <f>IF(ISBLANK(INDEX('Policy Characteristics'!E:E,MATCH($C199,'Policy Characteristics'!$C:$C,0))),"",INDEX('Policy Characteristics'!E:E,MATCH($C199,'Policy Characteristics'!$C:$C,0)))</f>
        <v>trans non BAU ZEV minimum</v>
      </c>
      <c r="L199" s="359">
        <f>IF(ISBLANK(INDEX('Policy Characteristics'!F:F,MATCH($C199,'Policy Characteristics'!$C:$C,0))),"",INDEX('Policy Characteristics'!F:F,MATCH($C199,'Policy Characteristics'!$C:$C,0)))</f>
        <v>0</v>
      </c>
      <c r="M199" s="359">
        <f>IF(ISBLANK(INDEX('Policy Characteristics'!G:G,MATCH($C199,'Policy Characteristics'!$C:$C,0))),"",INDEX('Policy Characteristics'!G:G,MATCH($C199,'Policy Characteristics'!$C:$C,0)))</f>
        <v>1</v>
      </c>
      <c r="N199" s="359">
        <f>IF(ISBLANK(INDEX('Policy Characteristics'!H:H,MATCH($C199,'Policy Characteristics'!$C:$C,0))),"",INDEX('Policy Characteristics'!H:H,MATCH($C199,'Policy Characteristics'!$C:$C,0)))</f>
        <v>1</v>
      </c>
      <c r="O199" s="254" t="str">
        <f>IF(ISBLANK(INDEX('Policy Characteristics'!I:I,MATCH($C199,'Policy Characteristics'!$C:$C,0))),"",INDEX('Policy Characteristics'!I:I,MATCH($C199,'Policy Characteristics'!$C:$C,0)))</f>
        <v>on/off</v>
      </c>
      <c r="P199" s="254" t="str">
        <f>IF(ISBLANK(INDEX('Policy Characteristics'!J:J,MATCH($C199,'Policy Characteristics'!$C:$C,0))),"",INDEX('Policy Characteristics'!J:J,MATCH($C199,'Policy Characteristics'!$C:$C,0)))</f>
        <v>**Description:** This policy applies non-BAU assumptions for state level minimum ZEV requirements (specified through input data). In the United States model, this tests reversing state level Advanced Clean Cars and Advanced Clean Trucks requirements starting in 2025.</v>
      </c>
      <c r="Q199" s="254" t="str">
        <f>IF(ISBLANK(INDEX('Policy Characteristics'!K:K,MATCH($C199,'Policy Characteristics'!$C:$C,0))),"",INDEX('Policy Characteristics'!K:K,MATCH($C199,'Policy Characteristics'!$C:$C,0)))</f>
        <v/>
      </c>
      <c r="R199" s="254" t="str">
        <f>IF(ISBLANK(INDEX('Policy Characteristics'!L:L,MATCH($C199,'Policy Characteristics'!$C:$C,0))),"",INDEX('Policy Characteristics'!L:L,MATCH($C199,'Policy Characteristics'!$C:$C,0)))</f>
        <v/>
      </c>
    </row>
    <row r="200" spans="1:18" x14ac:dyDescent="0.3">
      <c r="A200" s="254" t="str">
        <f>IF(ISBLANK(INDEX('Policy Characteristics'!A:A,MATCH($C200,'Policy Characteristics'!$C:$C,0))),"",INDEX('Policy Characteristics'!A:A,MATCH($C200,'Policy Characteristics'!$C:$C,0)))</f>
        <v>Buildings and Appliances</v>
      </c>
      <c r="B200" s="262" t="str">
        <f>IF(ISBLANK(INDEX('Policy Characteristics'!B:B,MATCH($C200,'Policy Characteristics'!$C:$C,0))),"",INDEX('Policy Characteristics'!B:B,MATCH($C200,'Policy Characteristics'!$C:$C,0)))</f>
        <v>Building Component Electrification</v>
      </c>
      <c r="C200" t="s">
        <v>2487</v>
      </c>
      <c r="D200" s="45" t="s">
        <v>115</v>
      </c>
      <c r="E200" s="45" t="s">
        <v>276</v>
      </c>
      <c r="F200" s="45" t="s">
        <v>121</v>
      </c>
      <c r="G200" s="45" t="s">
        <v>280</v>
      </c>
      <c r="H200" s="43">
        <v>435</v>
      </c>
      <c r="I200" s="324" t="s">
        <v>43</v>
      </c>
      <c r="J200" s="255" t="str">
        <f>IF(ISBLANK(INDEX('Policy Characteristics'!D:D,MATCH($C200,'Policy Characteristics'!$C:$C,0))),"",INDEX('Policy Characteristics'!D:D,MATCH($C200,'Policy Characteristics'!$C:$C,0)))</f>
        <v>Building Component Electrification</v>
      </c>
      <c r="K200" s="254" t="str">
        <f>IF(ISBLANK(INDEX('Policy Characteristics'!E:E,MATCH($C200,'Policy Characteristics'!$C:$C,0))),"",INDEX('Policy Characteristics'!E:E,MATCH($C200,'Policy Characteristics'!$C:$C,0)))</f>
        <v>bldgs new component fuel shifting</v>
      </c>
      <c r="L200" s="261">
        <f>IF(ISBLANK(INDEX('Policy Characteristics'!F:F,MATCH($C200,'Policy Characteristics'!$C:$C,0))),"",INDEX('Policy Characteristics'!F:F,MATCH($C200,'Policy Characteristics'!$C:$C,0)))</f>
        <v>0</v>
      </c>
      <c r="M200" s="261">
        <f>IF(ISBLANK(INDEX('Policy Characteristics'!G:G,MATCH($C200,'Policy Characteristics'!$C:$C,0))),"",INDEX('Policy Characteristics'!G:G,MATCH($C200,'Policy Characteristics'!$C:$C,0)))</f>
        <v>1</v>
      </c>
      <c r="N200" s="261">
        <f>IF(ISBLANK(INDEX('Policy Characteristics'!H:H,MATCH($C200,'Policy Characteristics'!$C:$C,0))),"",INDEX('Policy Characteristics'!H:H,MATCH($C200,'Policy Characteristics'!$C:$C,0)))</f>
        <v>0.01</v>
      </c>
      <c r="O200" s="254" t="str">
        <f>IF(ISBLANK(INDEX('Policy Characteristics'!I:I,MATCH($C200,'Policy Characteristics'!$C:$C,0))),"",INDEX('Policy Characteristics'!I:I,MATCH($C200,'Policy Characteristics'!$C:$C,0)))</f>
        <v>% of newly sold non-electric building components</v>
      </c>
      <c r="P200" s="254"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0" s="254" t="str">
        <f>IF(ISBLANK(INDEX('Policy Characteristics'!K:K,MATCH($C200,'Policy Characteristics'!$C:$C,0))),"",INDEX('Policy Characteristics'!K:K,MATCH($C200,'Policy Characteristics'!$C:$C,0)))</f>
        <v>buildings-sector-main.html#component-elec</v>
      </c>
      <c r="R200" s="254" t="str">
        <f>IF(ISBLANK(INDEX('Policy Characteristics'!L:L,MATCH($C200,'Policy Characteristics'!$C:$C,0))),"",INDEX('Policy Characteristics'!L:L,MATCH($C200,'Policy Characteristics'!$C:$C,0)))</f>
        <v>building-component-electrification.html</v>
      </c>
    </row>
    <row r="201" spans="1:18" x14ac:dyDescent="0.3">
      <c r="A201" s="254" t="str">
        <f>IF(ISBLANK(INDEX('Policy Characteristics'!A:A,MATCH($C201,'Policy Characteristics'!$C:$C,0))),"",INDEX('Policy Characteristics'!A:A,MATCH($C201,'Policy Characteristics'!$C:$C,0)))</f>
        <v>Buildings and Appliances</v>
      </c>
      <c r="B201" s="262" t="str">
        <f>IF(ISBLANK(INDEX('Policy Characteristics'!B:B,MATCH($C201,'Policy Characteristics'!$C:$C,0))),"",INDEX('Policy Characteristics'!B:B,MATCH($C201,'Policy Characteristics'!$C:$C,0)))</f>
        <v>Building Component Electrification</v>
      </c>
      <c r="C201" s="254" t="str">
        <f t="shared" ref="C201:C213" si="11">C$200</f>
        <v>Fraction of New Bldg Components Shifted to Other Fuels</v>
      </c>
      <c r="D201" s="45" t="s">
        <v>116</v>
      </c>
      <c r="E201" s="45" t="s">
        <v>276</v>
      </c>
      <c r="F201" s="45" t="s">
        <v>122</v>
      </c>
      <c r="G201" s="45" t="s">
        <v>280</v>
      </c>
      <c r="H201" s="43">
        <v>436</v>
      </c>
      <c r="I201" s="324" t="s">
        <v>44</v>
      </c>
      <c r="J201" s="255" t="str">
        <f>IF(ISBLANK(INDEX('Policy Characteristics'!D:D,MATCH($C201,'Policy Characteristics'!$C:$C,0))),"",INDEX('Policy Characteristics'!D:D,MATCH($C201,'Policy Characteristics'!$C:$C,0)))</f>
        <v>Building Component Electrification</v>
      </c>
      <c r="K201" s="254" t="str">
        <f>IF(ISBLANK(INDEX('Policy Characteristics'!E:E,MATCH($C201,'Policy Characteristics'!$C:$C,0))),"",INDEX('Policy Characteristics'!E:E,MATCH($C201,'Policy Characteristics'!$C:$C,0)))</f>
        <v>bldgs new component fuel shifting</v>
      </c>
      <c r="L201" s="261">
        <f>IF(ISBLANK(INDEX('Policy Characteristics'!F:F,MATCH($C201,'Policy Characteristics'!$C:$C,0))),"",INDEX('Policy Characteristics'!F:F,MATCH($C201,'Policy Characteristics'!$C:$C,0)))</f>
        <v>0</v>
      </c>
      <c r="M201" s="261">
        <f>IF(ISBLANK(INDEX('Policy Characteristics'!G:G,MATCH($C201,'Policy Characteristics'!$C:$C,0))),"",INDEX('Policy Characteristics'!G:G,MATCH($C201,'Policy Characteristics'!$C:$C,0)))</f>
        <v>1</v>
      </c>
      <c r="N201" s="261">
        <f>IF(ISBLANK(INDEX('Policy Characteristics'!H:H,MATCH($C201,'Policy Characteristics'!$C:$C,0))),"",INDEX('Policy Characteristics'!H:H,MATCH($C201,'Policy Characteristics'!$C:$C,0)))</f>
        <v>0.01</v>
      </c>
      <c r="O201" s="254" t="str">
        <f>IF(ISBLANK(INDEX('Policy Characteristics'!I:I,MATCH($C201,'Policy Characteristics'!$C:$C,0))),"",INDEX('Policy Characteristics'!I:I,MATCH($C201,'Policy Characteristics'!$C:$C,0)))</f>
        <v>% of newly sold non-electric building components</v>
      </c>
      <c r="P201" s="254"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4" t="str">
        <f>IF(ISBLANK(INDEX('Policy Characteristics'!K:K,MATCH($C201,'Policy Characteristics'!$C:$C,0))),"",INDEX('Policy Characteristics'!K:K,MATCH($C201,'Policy Characteristics'!$C:$C,0)))</f>
        <v>buildings-sector-main.html#component-elec</v>
      </c>
      <c r="R201" s="254" t="str">
        <f>IF(ISBLANK(INDEX('Policy Characteristics'!L:L,MATCH($C201,'Policy Characteristics'!$C:$C,0))),"",INDEX('Policy Characteristics'!L:L,MATCH($C201,'Policy Characteristics'!$C:$C,0)))</f>
        <v>building-component-electrification.html</v>
      </c>
    </row>
    <row r="202" spans="1:18" x14ac:dyDescent="0.3">
      <c r="A202" s="254" t="str">
        <f>IF(ISBLANK(INDEX('Policy Characteristics'!A:A,MATCH($C202,'Policy Characteristics'!$C:$C,0))),"",INDEX('Policy Characteristics'!A:A,MATCH($C202,'Policy Characteristics'!$C:$C,0)))</f>
        <v>Buildings and Appliances</v>
      </c>
      <c r="B202" s="262" t="str">
        <f>IF(ISBLANK(INDEX('Policy Characteristics'!B:B,MATCH($C202,'Policy Characteristics'!$C:$C,0))),"",INDEX('Policy Characteristics'!B:B,MATCH($C202,'Policy Characteristics'!$C:$C,0)))</f>
        <v>Building Component Electrification</v>
      </c>
      <c r="C202" s="254" t="str">
        <f t="shared" si="11"/>
        <v>Fraction of New Bldg Components Shifted to Other Fuels</v>
      </c>
      <c r="D202" s="45" t="s">
        <v>118</v>
      </c>
      <c r="E202" s="45" t="s">
        <v>276</v>
      </c>
      <c r="F202" s="45" t="s">
        <v>124</v>
      </c>
      <c r="G202" s="45" t="s">
        <v>280</v>
      </c>
      <c r="H202" s="43">
        <v>437</v>
      </c>
      <c r="I202" s="324" t="s">
        <v>44</v>
      </c>
      <c r="J202" s="255" t="str">
        <f>IF(ISBLANK(INDEX('Policy Characteristics'!D:D,MATCH($C202,'Policy Characteristics'!$C:$C,0))),"",INDEX('Policy Characteristics'!D:D,MATCH($C202,'Policy Characteristics'!$C:$C,0)))</f>
        <v>Building Component Electrification</v>
      </c>
      <c r="K202" s="254" t="str">
        <f>IF(ISBLANK(INDEX('Policy Characteristics'!E:E,MATCH($C202,'Policy Characteristics'!$C:$C,0))),"",INDEX('Policy Characteristics'!E:E,MATCH($C202,'Policy Characteristics'!$C:$C,0)))</f>
        <v>bldgs new component fuel shifting</v>
      </c>
      <c r="L202" s="261">
        <f>IF(ISBLANK(INDEX('Policy Characteristics'!F:F,MATCH($C202,'Policy Characteristics'!$C:$C,0))),"",INDEX('Policy Characteristics'!F:F,MATCH($C202,'Policy Characteristics'!$C:$C,0)))</f>
        <v>0</v>
      </c>
      <c r="M202" s="261">
        <f>IF(ISBLANK(INDEX('Policy Characteristics'!G:G,MATCH($C202,'Policy Characteristics'!$C:$C,0))),"",INDEX('Policy Characteristics'!G:G,MATCH($C202,'Policy Characteristics'!$C:$C,0)))</f>
        <v>1</v>
      </c>
      <c r="N202" s="261">
        <f>IF(ISBLANK(INDEX('Policy Characteristics'!H:H,MATCH($C202,'Policy Characteristics'!$C:$C,0))),"",INDEX('Policy Characteristics'!H:H,MATCH($C202,'Policy Characteristics'!$C:$C,0)))</f>
        <v>0.01</v>
      </c>
      <c r="O202" s="254" t="str">
        <f>IF(ISBLANK(INDEX('Policy Characteristics'!I:I,MATCH($C202,'Policy Characteristics'!$C:$C,0))),"",INDEX('Policy Characteristics'!I:I,MATCH($C202,'Policy Characteristics'!$C:$C,0)))</f>
        <v>% of newly sold non-electric building components</v>
      </c>
      <c r="P202" s="254"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4" t="str">
        <f>IF(ISBLANK(INDEX('Policy Characteristics'!K:K,MATCH($C202,'Policy Characteristics'!$C:$C,0))),"",INDEX('Policy Characteristics'!K:K,MATCH($C202,'Policy Characteristics'!$C:$C,0)))</f>
        <v>buildings-sector-main.html#component-elec</v>
      </c>
      <c r="R202" s="254" t="str">
        <f>IF(ISBLANK(INDEX('Policy Characteristics'!L:L,MATCH($C202,'Policy Characteristics'!$C:$C,0))),"",INDEX('Policy Characteristics'!L:L,MATCH($C202,'Policy Characteristics'!$C:$C,0)))</f>
        <v>building-component-electrification.html</v>
      </c>
    </row>
    <row r="203" spans="1:18" x14ac:dyDescent="0.3">
      <c r="A203" s="254" t="str">
        <f>IF(ISBLANK(INDEX('Policy Characteristics'!A:A,MATCH($C203,'Policy Characteristics'!$C:$C,0))),"",INDEX('Policy Characteristics'!A:A,MATCH($C203,'Policy Characteristics'!$C:$C,0)))</f>
        <v>Buildings and Appliances</v>
      </c>
      <c r="B203" s="262" t="str">
        <f>IF(ISBLANK(INDEX('Policy Characteristics'!B:B,MATCH($C203,'Policy Characteristics'!$C:$C,0))),"",INDEX('Policy Characteristics'!B:B,MATCH($C203,'Policy Characteristics'!$C:$C,0)))</f>
        <v>Building Component Electrification</v>
      </c>
      <c r="C203" s="254" t="str">
        <f t="shared" si="11"/>
        <v>Fraction of New Bldg Components Shifted to Other Fuels</v>
      </c>
      <c r="D203" s="45" t="s">
        <v>119</v>
      </c>
      <c r="E203" s="45" t="s">
        <v>276</v>
      </c>
      <c r="F203" s="45" t="s">
        <v>125</v>
      </c>
      <c r="G203" s="45" t="s">
        <v>280</v>
      </c>
      <c r="H203" s="43">
        <v>438</v>
      </c>
      <c r="I203" s="324" t="s">
        <v>43</v>
      </c>
      <c r="J203" s="255" t="str">
        <f>IF(ISBLANK(INDEX('Policy Characteristics'!D:D,MATCH($C203,'Policy Characteristics'!$C:$C,0))),"",INDEX('Policy Characteristics'!D:D,MATCH($C203,'Policy Characteristics'!$C:$C,0)))</f>
        <v>Building Component Electrification</v>
      </c>
      <c r="K203" s="254" t="str">
        <f>IF(ISBLANK(INDEX('Policy Characteristics'!E:E,MATCH($C203,'Policy Characteristics'!$C:$C,0))),"",INDEX('Policy Characteristics'!E:E,MATCH($C203,'Policy Characteristics'!$C:$C,0)))</f>
        <v>bldgs new component fuel shifting</v>
      </c>
      <c r="L203" s="261">
        <f>IF(ISBLANK(INDEX('Policy Characteristics'!F:F,MATCH($C203,'Policy Characteristics'!$C:$C,0))),"",INDEX('Policy Characteristics'!F:F,MATCH($C203,'Policy Characteristics'!$C:$C,0)))</f>
        <v>0</v>
      </c>
      <c r="M203" s="261">
        <f>IF(ISBLANK(INDEX('Policy Characteristics'!G:G,MATCH($C203,'Policy Characteristics'!$C:$C,0))),"",INDEX('Policy Characteristics'!G:G,MATCH($C203,'Policy Characteristics'!$C:$C,0)))</f>
        <v>1</v>
      </c>
      <c r="N203" s="261">
        <f>IF(ISBLANK(INDEX('Policy Characteristics'!H:H,MATCH($C203,'Policy Characteristics'!$C:$C,0))),"",INDEX('Policy Characteristics'!H:H,MATCH($C203,'Policy Characteristics'!$C:$C,0)))</f>
        <v>0.01</v>
      </c>
      <c r="O203" s="254" t="str">
        <f>IF(ISBLANK(INDEX('Policy Characteristics'!I:I,MATCH($C203,'Policy Characteristics'!$C:$C,0))),"",INDEX('Policy Characteristics'!I:I,MATCH($C203,'Policy Characteristics'!$C:$C,0)))</f>
        <v>% of newly sold non-electric building components</v>
      </c>
      <c r="P203" s="254"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4" t="str">
        <f>IF(ISBLANK(INDEX('Policy Characteristics'!K:K,MATCH($C203,'Policy Characteristics'!$C:$C,0))),"",INDEX('Policy Characteristics'!K:K,MATCH($C203,'Policy Characteristics'!$C:$C,0)))</f>
        <v>buildings-sector-main.html#component-elec</v>
      </c>
      <c r="R203" s="254" t="str">
        <f>IF(ISBLANK(INDEX('Policy Characteristics'!L:L,MATCH($C203,'Policy Characteristics'!$C:$C,0))),"",INDEX('Policy Characteristics'!L:L,MATCH($C203,'Policy Characteristics'!$C:$C,0)))</f>
        <v>building-component-electrification.html</v>
      </c>
    </row>
    <row r="204" spans="1:18" x14ac:dyDescent="0.3">
      <c r="A204" s="254" t="str">
        <f>IF(ISBLANK(INDEX('Policy Characteristics'!A:A,MATCH($C204,'Policy Characteristics'!$C:$C,0))),"",INDEX('Policy Characteristics'!A:A,MATCH($C204,'Policy Characteristics'!$C:$C,0)))</f>
        <v>Buildings and Appliances</v>
      </c>
      <c r="B204" s="262" t="str">
        <f>IF(ISBLANK(INDEX('Policy Characteristics'!B:B,MATCH($C204,'Policy Characteristics'!$C:$C,0))),"",INDEX('Policy Characteristics'!B:B,MATCH($C204,'Policy Characteristics'!$C:$C,0)))</f>
        <v>Building Component Electrification</v>
      </c>
      <c r="C204" s="254" t="str">
        <f t="shared" si="11"/>
        <v>Fraction of New Bldg Components Shifted to Other Fuels</v>
      </c>
      <c r="D204" s="45" t="s">
        <v>120</v>
      </c>
      <c r="E204" s="45" t="s">
        <v>276</v>
      </c>
      <c r="F204" s="45" t="s">
        <v>126</v>
      </c>
      <c r="G204" s="45" t="s">
        <v>280</v>
      </c>
      <c r="H204" s="43">
        <v>439</v>
      </c>
      <c r="I204" s="324" t="s">
        <v>43</v>
      </c>
      <c r="J204" s="255" t="str">
        <f>IF(ISBLANK(INDEX('Policy Characteristics'!D:D,MATCH($C204,'Policy Characteristics'!$C:$C,0))),"",INDEX('Policy Characteristics'!D:D,MATCH($C204,'Policy Characteristics'!$C:$C,0)))</f>
        <v>Building Component Electrification</v>
      </c>
      <c r="K204" s="254" t="str">
        <f>IF(ISBLANK(INDEX('Policy Characteristics'!E:E,MATCH($C204,'Policy Characteristics'!$C:$C,0))),"",INDEX('Policy Characteristics'!E:E,MATCH($C204,'Policy Characteristics'!$C:$C,0)))</f>
        <v>bldgs new component fuel shifting</v>
      </c>
      <c r="L204" s="261">
        <f>IF(ISBLANK(INDEX('Policy Characteristics'!F:F,MATCH($C204,'Policy Characteristics'!$C:$C,0))),"",INDEX('Policy Characteristics'!F:F,MATCH($C204,'Policy Characteristics'!$C:$C,0)))</f>
        <v>0</v>
      </c>
      <c r="M204" s="261">
        <f>IF(ISBLANK(INDEX('Policy Characteristics'!G:G,MATCH($C204,'Policy Characteristics'!$C:$C,0))),"",INDEX('Policy Characteristics'!G:G,MATCH($C204,'Policy Characteristics'!$C:$C,0)))</f>
        <v>1</v>
      </c>
      <c r="N204" s="261">
        <f>IF(ISBLANK(INDEX('Policy Characteristics'!H:H,MATCH($C204,'Policy Characteristics'!$C:$C,0))),"",INDEX('Policy Characteristics'!H:H,MATCH($C204,'Policy Characteristics'!$C:$C,0)))</f>
        <v>0.01</v>
      </c>
      <c r="O204" s="254" t="str">
        <f>IF(ISBLANK(INDEX('Policy Characteristics'!I:I,MATCH($C204,'Policy Characteristics'!$C:$C,0))),"",INDEX('Policy Characteristics'!I:I,MATCH($C204,'Policy Characteristics'!$C:$C,0)))</f>
        <v>% of newly sold non-electric building components</v>
      </c>
      <c r="P204" s="254"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4" t="str">
        <f>IF(ISBLANK(INDEX('Policy Characteristics'!K:K,MATCH($C204,'Policy Characteristics'!$C:$C,0))),"",INDEX('Policy Characteristics'!K:K,MATCH($C204,'Policy Characteristics'!$C:$C,0)))</f>
        <v>buildings-sector-main.html#component-elec</v>
      </c>
      <c r="R204" s="254" t="str">
        <f>IF(ISBLANK(INDEX('Policy Characteristics'!L:L,MATCH($C204,'Policy Characteristics'!$C:$C,0))),"",INDEX('Policy Characteristics'!L:L,MATCH($C204,'Policy Characteristics'!$C:$C,0)))</f>
        <v>building-component-electrification.html</v>
      </c>
    </row>
    <row r="205" spans="1:18" x14ac:dyDescent="0.3">
      <c r="A205" s="254" t="str">
        <f>IF(ISBLANK(INDEX('Policy Characteristics'!A:A,MATCH($C205,'Policy Characteristics'!$C:$C,0))),"",INDEX('Policy Characteristics'!A:A,MATCH($C205,'Policy Characteristics'!$C:$C,0)))</f>
        <v>Buildings and Appliances</v>
      </c>
      <c r="B205" s="262" t="str">
        <f>IF(ISBLANK(INDEX('Policy Characteristics'!B:B,MATCH($C205,'Policy Characteristics'!$C:$C,0))),"",INDEX('Policy Characteristics'!B:B,MATCH($C205,'Policy Characteristics'!$C:$C,0)))</f>
        <v>Building Component Electrification</v>
      </c>
      <c r="C205" s="254" t="str">
        <f t="shared" si="11"/>
        <v>Fraction of New Bldg Components Shifted to Other Fuels</v>
      </c>
      <c r="D205" s="45" t="s">
        <v>115</v>
      </c>
      <c r="E205" s="45" t="s">
        <v>277</v>
      </c>
      <c r="F205" s="45" t="s">
        <v>121</v>
      </c>
      <c r="G205" s="45" t="s">
        <v>279</v>
      </c>
      <c r="H205" s="43">
        <v>440</v>
      </c>
      <c r="I205" s="324" t="s">
        <v>43</v>
      </c>
      <c r="J205" s="255" t="str">
        <f>IF(ISBLANK(INDEX('Policy Characteristics'!D:D,MATCH($C205,'Policy Characteristics'!$C:$C,0))),"",INDEX('Policy Characteristics'!D:D,MATCH($C205,'Policy Characteristics'!$C:$C,0)))</f>
        <v>Building Component Electrification</v>
      </c>
      <c r="K205" s="254" t="str">
        <f>IF(ISBLANK(INDEX('Policy Characteristics'!E:E,MATCH($C205,'Policy Characteristics'!$C:$C,0))),"",INDEX('Policy Characteristics'!E:E,MATCH($C205,'Policy Characteristics'!$C:$C,0)))</f>
        <v>bldgs new component fuel shifting</v>
      </c>
      <c r="L205" s="261">
        <f>IF(ISBLANK(INDEX('Policy Characteristics'!F:F,MATCH($C205,'Policy Characteristics'!$C:$C,0))),"",INDEX('Policy Characteristics'!F:F,MATCH($C205,'Policy Characteristics'!$C:$C,0)))</f>
        <v>0</v>
      </c>
      <c r="M205" s="261">
        <f>IF(ISBLANK(INDEX('Policy Characteristics'!G:G,MATCH($C205,'Policy Characteristics'!$C:$C,0))),"",INDEX('Policy Characteristics'!G:G,MATCH($C205,'Policy Characteristics'!$C:$C,0)))</f>
        <v>1</v>
      </c>
      <c r="N205" s="261">
        <f>IF(ISBLANK(INDEX('Policy Characteristics'!H:H,MATCH($C205,'Policy Characteristics'!$C:$C,0))),"",INDEX('Policy Characteristics'!H:H,MATCH($C205,'Policy Characteristics'!$C:$C,0)))</f>
        <v>0.01</v>
      </c>
      <c r="O205" s="254" t="str">
        <f>IF(ISBLANK(INDEX('Policy Characteristics'!I:I,MATCH($C205,'Policy Characteristics'!$C:$C,0))),"",INDEX('Policy Characteristics'!I:I,MATCH($C205,'Policy Characteristics'!$C:$C,0)))</f>
        <v>% of newly sold non-electric building components</v>
      </c>
      <c r="P205" s="254"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4" t="str">
        <f>IF(ISBLANK(INDEX('Policy Characteristics'!K:K,MATCH($C205,'Policy Characteristics'!$C:$C,0))),"",INDEX('Policy Characteristics'!K:K,MATCH($C205,'Policy Characteristics'!$C:$C,0)))</f>
        <v>buildings-sector-main.html#component-elec</v>
      </c>
      <c r="R205" s="254" t="str">
        <f>IF(ISBLANK(INDEX('Policy Characteristics'!L:L,MATCH($C205,'Policy Characteristics'!$C:$C,0))),"",INDEX('Policy Characteristics'!L:L,MATCH($C205,'Policy Characteristics'!$C:$C,0)))</f>
        <v>building-component-electrification.html</v>
      </c>
    </row>
    <row r="206" spans="1:18" x14ac:dyDescent="0.3">
      <c r="A206" s="254" t="str">
        <f>IF(ISBLANK(INDEX('Policy Characteristics'!A:A,MATCH($C206,'Policy Characteristics'!$C:$C,0))),"",INDEX('Policy Characteristics'!A:A,MATCH($C206,'Policy Characteristics'!$C:$C,0)))</f>
        <v>Buildings and Appliances</v>
      </c>
      <c r="B206" s="262" t="str">
        <f>IF(ISBLANK(INDEX('Policy Characteristics'!B:B,MATCH($C206,'Policy Characteristics'!$C:$C,0))),"",INDEX('Policy Characteristics'!B:B,MATCH($C206,'Policy Characteristics'!$C:$C,0)))</f>
        <v>Building Component Electrification</v>
      </c>
      <c r="C206" s="254" t="str">
        <f t="shared" si="11"/>
        <v>Fraction of New Bldg Components Shifted to Other Fuels</v>
      </c>
      <c r="D206" s="45" t="s">
        <v>116</v>
      </c>
      <c r="E206" s="45" t="s">
        <v>277</v>
      </c>
      <c r="F206" s="45" t="s">
        <v>122</v>
      </c>
      <c r="G206" s="45" t="s">
        <v>279</v>
      </c>
      <c r="H206" s="43">
        <v>441</v>
      </c>
      <c r="I206" s="324" t="s">
        <v>44</v>
      </c>
      <c r="J206" s="255" t="str">
        <f>IF(ISBLANK(INDEX('Policy Characteristics'!D:D,MATCH($C206,'Policy Characteristics'!$C:$C,0))),"",INDEX('Policy Characteristics'!D:D,MATCH($C206,'Policy Characteristics'!$C:$C,0)))</f>
        <v>Building Component Electrification</v>
      </c>
      <c r="K206" s="254" t="str">
        <f>IF(ISBLANK(INDEX('Policy Characteristics'!E:E,MATCH($C206,'Policy Characteristics'!$C:$C,0))),"",INDEX('Policy Characteristics'!E:E,MATCH($C206,'Policy Characteristics'!$C:$C,0)))</f>
        <v>bldgs new component fuel shifting</v>
      </c>
      <c r="L206" s="261">
        <f>IF(ISBLANK(INDEX('Policy Characteristics'!F:F,MATCH($C206,'Policy Characteristics'!$C:$C,0))),"",INDEX('Policy Characteristics'!F:F,MATCH($C206,'Policy Characteristics'!$C:$C,0)))</f>
        <v>0</v>
      </c>
      <c r="M206" s="261">
        <f>IF(ISBLANK(INDEX('Policy Characteristics'!G:G,MATCH($C206,'Policy Characteristics'!$C:$C,0))),"",INDEX('Policy Characteristics'!G:G,MATCH($C206,'Policy Characteristics'!$C:$C,0)))</f>
        <v>1</v>
      </c>
      <c r="N206" s="261">
        <f>IF(ISBLANK(INDEX('Policy Characteristics'!H:H,MATCH($C206,'Policy Characteristics'!$C:$C,0))),"",INDEX('Policy Characteristics'!H:H,MATCH($C206,'Policy Characteristics'!$C:$C,0)))</f>
        <v>0.01</v>
      </c>
      <c r="O206" s="254" t="str">
        <f>IF(ISBLANK(INDEX('Policy Characteristics'!I:I,MATCH($C206,'Policy Characteristics'!$C:$C,0))),"",INDEX('Policy Characteristics'!I:I,MATCH($C206,'Policy Characteristics'!$C:$C,0)))</f>
        <v>% of newly sold non-electric building components</v>
      </c>
      <c r="P206" s="254"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4" t="str">
        <f>IF(ISBLANK(INDEX('Policy Characteristics'!K:K,MATCH($C206,'Policy Characteristics'!$C:$C,0))),"",INDEX('Policy Characteristics'!K:K,MATCH($C206,'Policy Characteristics'!$C:$C,0)))</f>
        <v>buildings-sector-main.html#component-elec</v>
      </c>
      <c r="R206" s="254" t="str">
        <f>IF(ISBLANK(INDEX('Policy Characteristics'!L:L,MATCH($C206,'Policy Characteristics'!$C:$C,0))),"",INDEX('Policy Characteristics'!L:L,MATCH($C206,'Policy Characteristics'!$C:$C,0)))</f>
        <v>building-component-electrification.html</v>
      </c>
    </row>
    <row r="207" spans="1:18" x14ac:dyDescent="0.3">
      <c r="A207" s="254" t="str">
        <f>IF(ISBLANK(INDEX('Policy Characteristics'!A:A,MATCH($C207,'Policy Characteristics'!$C:$C,0))),"",INDEX('Policy Characteristics'!A:A,MATCH($C207,'Policy Characteristics'!$C:$C,0)))</f>
        <v>Buildings and Appliances</v>
      </c>
      <c r="B207" s="262" t="str">
        <f>IF(ISBLANK(INDEX('Policy Characteristics'!B:B,MATCH($C207,'Policy Characteristics'!$C:$C,0))),"",INDEX('Policy Characteristics'!B:B,MATCH($C207,'Policy Characteristics'!$C:$C,0)))</f>
        <v>Building Component Electrification</v>
      </c>
      <c r="C207" s="254" t="str">
        <f t="shared" si="11"/>
        <v>Fraction of New Bldg Components Shifted to Other Fuels</v>
      </c>
      <c r="D207" s="45" t="s">
        <v>118</v>
      </c>
      <c r="E207" s="45" t="s">
        <v>277</v>
      </c>
      <c r="F207" s="45" t="s">
        <v>124</v>
      </c>
      <c r="G207" s="45" t="s">
        <v>279</v>
      </c>
      <c r="H207" s="43">
        <v>442</v>
      </c>
      <c r="I207" s="324" t="s">
        <v>44</v>
      </c>
      <c r="J207" s="255" t="str">
        <f>IF(ISBLANK(INDEX('Policy Characteristics'!D:D,MATCH($C207,'Policy Characteristics'!$C:$C,0))),"",INDEX('Policy Characteristics'!D:D,MATCH($C207,'Policy Characteristics'!$C:$C,0)))</f>
        <v>Building Component Electrification</v>
      </c>
      <c r="K207" s="254" t="str">
        <f>IF(ISBLANK(INDEX('Policy Characteristics'!E:E,MATCH($C207,'Policy Characteristics'!$C:$C,0))),"",INDEX('Policy Characteristics'!E:E,MATCH($C207,'Policy Characteristics'!$C:$C,0)))</f>
        <v>bldgs new component fuel shifting</v>
      </c>
      <c r="L207" s="261">
        <f>IF(ISBLANK(INDEX('Policy Characteristics'!F:F,MATCH($C207,'Policy Characteristics'!$C:$C,0))),"",INDEX('Policy Characteristics'!F:F,MATCH($C207,'Policy Characteristics'!$C:$C,0)))</f>
        <v>0</v>
      </c>
      <c r="M207" s="261">
        <f>IF(ISBLANK(INDEX('Policy Characteristics'!G:G,MATCH($C207,'Policy Characteristics'!$C:$C,0))),"",INDEX('Policy Characteristics'!G:G,MATCH($C207,'Policy Characteristics'!$C:$C,0)))</f>
        <v>1</v>
      </c>
      <c r="N207" s="261">
        <f>IF(ISBLANK(INDEX('Policy Characteristics'!H:H,MATCH($C207,'Policy Characteristics'!$C:$C,0))),"",INDEX('Policy Characteristics'!H:H,MATCH($C207,'Policy Characteristics'!$C:$C,0)))</f>
        <v>0.01</v>
      </c>
      <c r="O207" s="254" t="str">
        <f>IF(ISBLANK(INDEX('Policy Characteristics'!I:I,MATCH($C207,'Policy Characteristics'!$C:$C,0))),"",INDEX('Policy Characteristics'!I:I,MATCH($C207,'Policy Characteristics'!$C:$C,0)))</f>
        <v>% of newly sold non-electric building components</v>
      </c>
      <c r="P207" s="254"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4" t="str">
        <f>IF(ISBLANK(INDEX('Policy Characteristics'!K:K,MATCH($C207,'Policy Characteristics'!$C:$C,0))),"",INDEX('Policy Characteristics'!K:K,MATCH($C207,'Policy Characteristics'!$C:$C,0)))</f>
        <v>buildings-sector-main.html#component-elec</v>
      </c>
      <c r="R207" s="254" t="str">
        <f>IF(ISBLANK(INDEX('Policy Characteristics'!L:L,MATCH($C207,'Policy Characteristics'!$C:$C,0))),"",INDEX('Policy Characteristics'!L:L,MATCH($C207,'Policy Characteristics'!$C:$C,0)))</f>
        <v>building-component-electrification.html</v>
      </c>
    </row>
    <row r="208" spans="1:18" x14ac:dyDescent="0.3">
      <c r="A208" s="254" t="str">
        <f>IF(ISBLANK(INDEX('Policy Characteristics'!A:A,MATCH($C208,'Policy Characteristics'!$C:$C,0))),"",INDEX('Policy Characteristics'!A:A,MATCH($C208,'Policy Characteristics'!$C:$C,0)))</f>
        <v>Buildings and Appliances</v>
      </c>
      <c r="B208" s="262" t="str">
        <f>IF(ISBLANK(INDEX('Policy Characteristics'!B:B,MATCH($C208,'Policy Characteristics'!$C:$C,0))),"",INDEX('Policy Characteristics'!B:B,MATCH($C208,'Policy Characteristics'!$C:$C,0)))</f>
        <v>Building Component Electrification</v>
      </c>
      <c r="C208" s="254" t="str">
        <f t="shared" si="11"/>
        <v>Fraction of New Bldg Components Shifted to Other Fuels</v>
      </c>
      <c r="D208" s="45" t="s">
        <v>119</v>
      </c>
      <c r="E208" s="45" t="s">
        <v>277</v>
      </c>
      <c r="F208" s="45" t="s">
        <v>125</v>
      </c>
      <c r="G208" s="45" t="s">
        <v>279</v>
      </c>
      <c r="H208" s="43">
        <v>443</v>
      </c>
      <c r="I208" s="324" t="s">
        <v>43</v>
      </c>
      <c r="J208" s="255" t="str">
        <f>IF(ISBLANK(INDEX('Policy Characteristics'!D:D,MATCH($C208,'Policy Characteristics'!$C:$C,0))),"",INDEX('Policy Characteristics'!D:D,MATCH($C208,'Policy Characteristics'!$C:$C,0)))</f>
        <v>Building Component Electrification</v>
      </c>
      <c r="K208" s="254" t="str">
        <f>IF(ISBLANK(INDEX('Policy Characteristics'!E:E,MATCH($C208,'Policy Characteristics'!$C:$C,0))),"",INDEX('Policy Characteristics'!E:E,MATCH($C208,'Policy Characteristics'!$C:$C,0)))</f>
        <v>bldgs new component fuel shifting</v>
      </c>
      <c r="L208" s="261">
        <f>IF(ISBLANK(INDEX('Policy Characteristics'!F:F,MATCH($C208,'Policy Characteristics'!$C:$C,0))),"",INDEX('Policy Characteristics'!F:F,MATCH($C208,'Policy Characteristics'!$C:$C,0)))</f>
        <v>0</v>
      </c>
      <c r="M208" s="261">
        <f>IF(ISBLANK(INDEX('Policy Characteristics'!G:G,MATCH($C208,'Policy Characteristics'!$C:$C,0))),"",INDEX('Policy Characteristics'!G:G,MATCH($C208,'Policy Characteristics'!$C:$C,0)))</f>
        <v>1</v>
      </c>
      <c r="N208" s="261">
        <f>IF(ISBLANK(INDEX('Policy Characteristics'!H:H,MATCH($C208,'Policy Characteristics'!$C:$C,0))),"",INDEX('Policy Characteristics'!H:H,MATCH($C208,'Policy Characteristics'!$C:$C,0)))</f>
        <v>0.01</v>
      </c>
      <c r="O208" s="254" t="str">
        <f>IF(ISBLANK(INDEX('Policy Characteristics'!I:I,MATCH($C208,'Policy Characteristics'!$C:$C,0))),"",INDEX('Policy Characteristics'!I:I,MATCH($C208,'Policy Characteristics'!$C:$C,0)))</f>
        <v>% of newly sold non-electric building components</v>
      </c>
      <c r="P208" s="254"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4" t="str">
        <f>IF(ISBLANK(INDEX('Policy Characteristics'!K:K,MATCH($C208,'Policy Characteristics'!$C:$C,0))),"",INDEX('Policy Characteristics'!K:K,MATCH($C208,'Policy Characteristics'!$C:$C,0)))</f>
        <v>buildings-sector-main.html#component-elec</v>
      </c>
      <c r="R208" s="254" t="str">
        <f>IF(ISBLANK(INDEX('Policy Characteristics'!L:L,MATCH($C208,'Policy Characteristics'!$C:$C,0))),"",INDEX('Policy Characteristics'!L:L,MATCH($C208,'Policy Characteristics'!$C:$C,0)))</f>
        <v>building-component-electrification.html</v>
      </c>
    </row>
    <row r="209" spans="1:18" x14ac:dyDescent="0.3">
      <c r="A209" s="254" t="str">
        <f>IF(ISBLANK(INDEX('Policy Characteristics'!A:A,MATCH($C209,'Policy Characteristics'!$C:$C,0))),"",INDEX('Policy Characteristics'!A:A,MATCH($C209,'Policy Characteristics'!$C:$C,0)))</f>
        <v>Buildings and Appliances</v>
      </c>
      <c r="B209" s="262" t="str">
        <f>IF(ISBLANK(INDEX('Policy Characteristics'!B:B,MATCH($C209,'Policy Characteristics'!$C:$C,0))),"",INDEX('Policy Characteristics'!B:B,MATCH($C209,'Policy Characteristics'!$C:$C,0)))</f>
        <v>Building Component Electrification</v>
      </c>
      <c r="C209" s="254" t="str">
        <f t="shared" si="11"/>
        <v>Fraction of New Bldg Components Shifted to Other Fuels</v>
      </c>
      <c r="D209" s="45" t="s">
        <v>120</v>
      </c>
      <c r="E209" s="45" t="s">
        <v>277</v>
      </c>
      <c r="F209" s="45" t="s">
        <v>126</v>
      </c>
      <c r="G209" s="45" t="s">
        <v>279</v>
      </c>
      <c r="H209" s="43">
        <v>444</v>
      </c>
      <c r="I209" s="324" t="s">
        <v>43</v>
      </c>
      <c r="J209" s="255" t="str">
        <f>IF(ISBLANK(INDEX('Policy Characteristics'!D:D,MATCH($C209,'Policy Characteristics'!$C:$C,0))),"",INDEX('Policy Characteristics'!D:D,MATCH($C209,'Policy Characteristics'!$C:$C,0)))</f>
        <v>Building Component Electrification</v>
      </c>
      <c r="K209" s="254" t="str">
        <f>IF(ISBLANK(INDEX('Policy Characteristics'!E:E,MATCH($C209,'Policy Characteristics'!$C:$C,0))),"",INDEX('Policy Characteristics'!E:E,MATCH($C209,'Policy Characteristics'!$C:$C,0)))</f>
        <v>bldgs new component fuel shifting</v>
      </c>
      <c r="L209" s="261">
        <f>IF(ISBLANK(INDEX('Policy Characteristics'!F:F,MATCH($C209,'Policy Characteristics'!$C:$C,0))),"",INDEX('Policy Characteristics'!F:F,MATCH($C209,'Policy Characteristics'!$C:$C,0)))</f>
        <v>0</v>
      </c>
      <c r="M209" s="261">
        <f>IF(ISBLANK(INDEX('Policy Characteristics'!G:G,MATCH($C209,'Policy Characteristics'!$C:$C,0))),"",INDEX('Policy Characteristics'!G:G,MATCH($C209,'Policy Characteristics'!$C:$C,0)))</f>
        <v>1</v>
      </c>
      <c r="N209" s="261">
        <f>IF(ISBLANK(INDEX('Policy Characteristics'!H:H,MATCH($C209,'Policy Characteristics'!$C:$C,0))),"",INDEX('Policy Characteristics'!H:H,MATCH($C209,'Policy Characteristics'!$C:$C,0)))</f>
        <v>0.01</v>
      </c>
      <c r="O209" s="254" t="str">
        <f>IF(ISBLANK(INDEX('Policy Characteristics'!I:I,MATCH($C209,'Policy Characteristics'!$C:$C,0))),"",INDEX('Policy Characteristics'!I:I,MATCH($C209,'Policy Characteristics'!$C:$C,0)))</f>
        <v>% of newly sold non-electric building components</v>
      </c>
      <c r="P209" s="254"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4" t="str">
        <f>IF(ISBLANK(INDEX('Policy Characteristics'!K:K,MATCH($C209,'Policy Characteristics'!$C:$C,0))),"",INDEX('Policy Characteristics'!K:K,MATCH($C209,'Policy Characteristics'!$C:$C,0)))</f>
        <v>buildings-sector-main.html#component-elec</v>
      </c>
      <c r="R209" s="254" t="str">
        <f>IF(ISBLANK(INDEX('Policy Characteristics'!L:L,MATCH($C209,'Policy Characteristics'!$C:$C,0))),"",INDEX('Policy Characteristics'!L:L,MATCH($C209,'Policy Characteristics'!$C:$C,0)))</f>
        <v>building-component-electrification.html</v>
      </c>
    </row>
    <row r="210" spans="1:18" x14ac:dyDescent="0.3">
      <c r="A210" s="254" t="str">
        <f>IF(ISBLANK(INDEX('Policy Characteristics'!A:A,MATCH($C210,'Policy Characteristics'!$C:$C,0))),"",INDEX('Policy Characteristics'!A:A,MATCH($C210,'Policy Characteristics'!$C:$C,0)))</f>
        <v>Buildings and Appliances</v>
      </c>
      <c r="B210" s="262" t="str">
        <f>IF(ISBLANK(INDEX('Policy Characteristics'!B:B,MATCH($C210,'Policy Characteristics'!$C:$C,0))),"",INDEX('Policy Characteristics'!B:B,MATCH($C210,'Policy Characteristics'!$C:$C,0)))</f>
        <v>Building Component Electrification</v>
      </c>
      <c r="C210" s="254" t="str">
        <f t="shared" si="11"/>
        <v>Fraction of New Bldg Components Shifted to Other Fuels</v>
      </c>
      <c r="D210" s="45" t="s">
        <v>115</v>
      </c>
      <c r="E210" s="45" t="s">
        <v>278</v>
      </c>
      <c r="F210" s="45" t="s">
        <v>121</v>
      </c>
      <c r="G210" s="45" t="s">
        <v>164</v>
      </c>
      <c r="H210" s="43">
        <v>445</v>
      </c>
      <c r="I210" s="324" t="s">
        <v>43</v>
      </c>
      <c r="J210" s="255" t="str">
        <f>IF(ISBLANK(INDEX('Policy Characteristics'!D:D,MATCH($C210,'Policy Characteristics'!$C:$C,0))),"",INDEX('Policy Characteristics'!D:D,MATCH($C210,'Policy Characteristics'!$C:$C,0)))</f>
        <v>Building Component Electrification</v>
      </c>
      <c r="K210" s="254" t="str">
        <f>IF(ISBLANK(INDEX('Policy Characteristics'!E:E,MATCH($C210,'Policy Characteristics'!$C:$C,0))),"",INDEX('Policy Characteristics'!E:E,MATCH($C210,'Policy Characteristics'!$C:$C,0)))</f>
        <v>bldgs new component fuel shifting</v>
      </c>
      <c r="L210" s="261">
        <f>IF(ISBLANK(INDEX('Policy Characteristics'!F:F,MATCH($C210,'Policy Characteristics'!$C:$C,0))),"",INDEX('Policy Characteristics'!F:F,MATCH($C210,'Policy Characteristics'!$C:$C,0)))</f>
        <v>0</v>
      </c>
      <c r="M210" s="261">
        <f>IF(ISBLANK(INDEX('Policy Characteristics'!G:G,MATCH($C210,'Policy Characteristics'!$C:$C,0))),"",INDEX('Policy Characteristics'!G:G,MATCH($C210,'Policy Characteristics'!$C:$C,0)))</f>
        <v>1</v>
      </c>
      <c r="N210" s="261">
        <f>IF(ISBLANK(INDEX('Policy Characteristics'!H:H,MATCH($C210,'Policy Characteristics'!$C:$C,0))),"",INDEX('Policy Characteristics'!H:H,MATCH($C210,'Policy Characteristics'!$C:$C,0)))</f>
        <v>0.01</v>
      </c>
      <c r="O210" s="254" t="str">
        <f>IF(ISBLANK(INDEX('Policy Characteristics'!I:I,MATCH($C210,'Policy Characteristics'!$C:$C,0))),"",INDEX('Policy Characteristics'!I:I,MATCH($C210,'Policy Characteristics'!$C:$C,0)))</f>
        <v>% of newly sold non-electric building components</v>
      </c>
      <c r="P210" s="254"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4" t="str">
        <f>IF(ISBLANK(INDEX('Policy Characteristics'!K:K,MATCH($C210,'Policy Characteristics'!$C:$C,0))),"",INDEX('Policy Characteristics'!K:K,MATCH($C210,'Policy Characteristics'!$C:$C,0)))</f>
        <v>buildings-sector-main.html#component-elec</v>
      </c>
      <c r="R210" s="254" t="str">
        <f>IF(ISBLANK(INDEX('Policy Characteristics'!L:L,MATCH($C210,'Policy Characteristics'!$C:$C,0))),"",INDEX('Policy Characteristics'!L:L,MATCH($C210,'Policy Characteristics'!$C:$C,0)))</f>
        <v>building-component-electrification.html</v>
      </c>
    </row>
    <row r="211" spans="1:18" x14ac:dyDescent="0.3">
      <c r="A211" s="254" t="str">
        <f>IF(ISBLANK(INDEX('Policy Characteristics'!A:A,MATCH($C211,'Policy Characteristics'!$C:$C,0))),"",INDEX('Policy Characteristics'!A:A,MATCH($C211,'Policy Characteristics'!$C:$C,0)))</f>
        <v>Buildings and Appliances</v>
      </c>
      <c r="B211" s="262" t="str">
        <f>IF(ISBLANK(INDEX('Policy Characteristics'!B:B,MATCH($C211,'Policy Characteristics'!$C:$C,0))),"",INDEX('Policy Characteristics'!B:B,MATCH($C211,'Policy Characteristics'!$C:$C,0)))</f>
        <v>Building Component Electrification</v>
      </c>
      <c r="C211" s="254" t="str">
        <f t="shared" si="11"/>
        <v>Fraction of New Bldg Components Shifted to Other Fuels</v>
      </c>
      <c r="D211" s="45" t="s">
        <v>116</v>
      </c>
      <c r="E211" s="45" t="s">
        <v>278</v>
      </c>
      <c r="F211" s="45" t="s">
        <v>122</v>
      </c>
      <c r="G211" s="45" t="s">
        <v>164</v>
      </c>
      <c r="H211" s="43">
        <v>446</v>
      </c>
      <c r="I211" s="324" t="s">
        <v>44</v>
      </c>
      <c r="J211" s="255" t="str">
        <f>IF(ISBLANK(INDEX('Policy Characteristics'!D:D,MATCH($C211,'Policy Characteristics'!$C:$C,0))),"",INDEX('Policy Characteristics'!D:D,MATCH($C211,'Policy Characteristics'!$C:$C,0)))</f>
        <v>Building Component Electrification</v>
      </c>
      <c r="K211" s="254" t="str">
        <f>IF(ISBLANK(INDEX('Policy Characteristics'!E:E,MATCH($C211,'Policy Characteristics'!$C:$C,0))),"",INDEX('Policy Characteristics'!E:E,MATCH($C211,'Policy Characteristics'!$C:$C,0)))</f>
        <v>bldgs new component fuel shifting</v>
      </c>
      <c r="L211" s="261">
        <f>IF(ISBLANK(INDEX('Policy Characteristics'!F:F,MATCH($C211,'Policy Characteristics'!$C:$C,0))),"",INDEX('Policy Characteristics'!F:F,MATCH($C211,'Policy Characteristics'!$C:$C,0)))</f>
        <v>0</v>
      </c>
      <c r="M211" s="261">
        <f>IF(ISBLANK(INDEX('Policy Characteristics'!G:G,MATCH($C211,'Policy Characteristics'!$C:$C,0))),"",INDEX('Policy Characteristics'!G:G,MATCH($C211,'Policy Characteristics'!$C:$C,0)))</f>
        <v>1</v>
      </c>
      <c r="N211" s="261">
        <f>IF(ISBLANK(INDEX('Policy Characteristics'!H:H,MATCH($C211,'Policy Characteristics'!$C:$C,0))),"",INDEX('Policy Characteristics'!H:H,MATCH($C211,'Policy Characteristics'!$C:$C,0)))</f>
        <v>0.01</v>
      </c>
      <c r="O211" s="254" t="str">
        <f>IF(ISBLANK(INDEX('Policy Characteristics'!I:I,MATCH($C211,'Policy Characteristics'!$C:$C,0))),"",INDEX('Policy Characteristics'!I:I,MATCH($C211,'Policy Characteristics'!$C:$C,0)))</f>
        <v>% of newly sold non-electric building components</v>
      </c>
      <c r="P211" s="254"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4" t="str">
        <f>IF(ISBLANK(INDEX('Policy Characteristics'!K:K,MATCH($C211,'Policy Characteristics'!$C:$C,0))),"",INDEX('Policy Characteristics'!K:K,MATCH($C211,'Policy Characteristics'!$C:$C,0)))</f>
        <v>buildings-sector-main.html#component-elec</v>
      </c>
      <c r="R211" s="254" t="str">
        <f>IF(ISBLANK(INDEX('Policy Characteristics'!L:L,MATCH($C211,'Policy Characteristics'!$C:$C,0))),"",INDEX('Policy Characteristics'!L:L,MATCH($C211,'Policy Characteristics'!$C:$C,0)))</f>
        <v>building-component-electrification.html</v>
      </c>
    </row>
    <row r="212" spans="1:18" x14ac:dyDescent="0.3">
      <c r="A212" s="254" t="str">
        <f>IF(ISBLANK(INDEX('Policy Characteristics'!A:A,MATCH($C212,'Policy Characteristics'!$C:$C,0))),"",INDEX('Policy Characteristics'!A:A,MATCH($C212,'Policy Characteristics'!$C:$C,0)))</f>
        <v>Buildings and Appliances</v>
      </c>
      <c r="B212" s="262" t="str">
        <f>IF(ISBLANK(INDEX('Policy Characteristics'!B:B,MATCH($C212,'Policy Characteristics'!$C:$C,0))),"",INDEX('Policy Characteristics'!B:B,MATCH($C212,'Policy Characteristics'!$C:$C,0)))</f>
        <v>Building Component Electrification</v>
      </c>
      <c r="C212" s="254" t="str">
        <f t="shared" si="11"/>
        <v>Fraction of New Bldg Components Shifted to Other Fuels</v>
      </c>
      <c r="D212" s="45" t="s">
        <v>118</v>
      </c>
      <c r="E212" s="45" t="s">
        <v>278</v>
      </c>
      <c r="F212" s="45" t="s">
        <v>124</v>
      </c>
      <c r="G212" s="45" t="s">
        <v>164</v>
      </c>
      <c r="H212" s="43">
        <v>447</v>
      </c>
      <c r="I212" s="324" t="s">
        <v>44</v>
      </c>
      <c r="J212" s="255" t="str">
        <f>IF(ISBLANK(INDEX('Policy Characteristics'!D:D,MATCH($C212,'Policy Characteristics'!$C:$C,0))),"",INDEX('Policy Characteristics'!D:D,MATCH($C212,'Policy Characteristics'!$C:$C,0)))</f>
        <v>Building Component Electrification</v>
      </c>
      <c r="K212" s="254" t="str">
        <f>IF(ISBLANK(INDEX('Policy Characteristics'!E:E,MATCH($C212,'Policy Characteristics'!$C:$C,0))),"",INDEX('Policy Characteristics'!E:E,MATCH($C212,'Policy Characteristics'!$C:$C,0)))</f>
        <v>bldgs new component fuel shifting</v>
      </c>
      <c r="L212" s="261">
        <f>IF(ISBLANK(INDEX('Policy Characteristics'!F:F,MATCH($C212,'Policy Characteristics'!$C:$C,0))),"",INDEX('Policy Characteristics'!F:F,MATCH($C212,'Policy Characteristics'!$C:$C,0)))</f>
        <v>0</v>
      </c>
      <c r="M212" s="261">
        <f>IF(ISBLANK(INDEX('Policy Characteristics'!G:G,MATCH($C212,'Policy Characteristics'!$C:$C,0))),"",INDEX('Policy Characteristics'!G:G,MATCH($C212,'Policy Characteristics'!$C:$C,0)))</f>
        <v>1</v>
      </c>
      <c r="N212" s="261">
        <f>IF(ISBLANK(INDEX('Policy Characteristics'!H:H,MATCH($C212,'Policy Characteristics'!$C:$C,0))),"",INDEX('Policy Characteristics'!H:H,MATCH($C212,'Policy Characteristics'!$C:$C,0)))</f>
        <v>0.01</v>
      </c>
      <c r="O212" s="254" t="str">
        <f>IF(ISBLANK(INDEX('Policy Characteristics'!I:I,MATCH($C212,'Policy Characteristics'!$C:$C,0))),"",INDEX('Policy Characteristics'!I:I,MATCH($C212,'Policy Characteristics'!$C:$C,0)))</f>
        <v>% of newly sold non-electric building components</v>
      </c>
      <c r="P212" s="254"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4" t="str">
        <f>IF(ISBLANK(INDEX('Policy Characteristics'!K:K,MATCH($C212,'Policy Characteristics'!$C:$C,0))),"",INDEX('Policy Characteristics'!K:K,MATCH($C212,'Policy Characteristics'!$C:$C,0)))</f>
        <v>buildings-sector-main.html#component-elec</v>
      </c>
      <c r="R212" s="254" t="str">
        <f>IF(ISBLANK(INDEX('Policy Characteristics'!L:L,MATCH($C212,'Policy Characteristics'!$C:$C,0))),"",INDEX('Policy Characteristics'!L:L,MATCH($C212,'Policy Characteristics'!$C:$C,0)))</f>
        <v>building-component-electrification.html</v>
      </c>
    </row>
    <row r="213" spans="1:18" x14ac:dyDescent="0.3">
      <c r="A213" s="254" t="str">
        <f>IF(ISBLANK(INDEX('Policy Characteristics'!A:A,MATCH($C213,'Policy Characteristics'!$C:$C,0))),"",INDEX('Policy Characteristics'!A:A,MATCH($C213,'Policy Characteristics'!$C:$C,0)))</f>
        <v>Buildings and Appliances</v>
      </c>
      <c r="B213" s="262" t="str">
        <f>IF(ISBLANK(INDEX('Policy Characteristics'!B:B,MATCH($C213,'Policy Characteristics'!$C:$C,0))),"",INDEX('Policy Characteristics'!B:B,MATCH($C213,'Policy Characteristics'!$C:$C,0)))</f>
        <v>Building Component Electrification</v>
      </c>
      <c r="C213" s="254" t="str">
        <f t="shared" si="11"/>
        <v>Fraction of New Bldg Components Shifted to Other Fuels</v>
      </c>
      <c r="D213" s="45" t="s">
        <v>119</v>
      </c>
      <c r="E213" s="45" t="s">
        <v>278</v>
      </c>
      <c r="F213" s="45" t="s">
        <v>125</v>
      </c>
      <c r="G213" s="45" t="s">
        <v>164</v>
      </c>
      <c r="H213" s="43">
        <v>448</v>
      </c>
      <c r="I213" s="324" t="s">
        <v>43</v>
      </c>
      <c r="J213" s="255" t="str">
        <f>IF(ISBLANK(INDEX('Policy Characteristics'!D:D,MATCH($C213,'Policy Characteristics'!$C:$C,0))),"",INDEX('Policy Characteristics'!D:D,MATCH($C213,'Policy Characteristics'!$C:$C,0)))</f>
        <v>Building Component Electrification</v>
      </c>
      <c r="K213" s="254" t="str">
        <f>IF(ISBLANK(INDEX('Policy Characteristics'!E:E,MATCH($C213,'Policy Characteristics'!$C:$C,0))),"",INDEX('Policy Characteristics'!E:E,MATCH($C213,'Policy Characteristics'!$C:$C,0)))</f>
        <v>bldgs new component fuel shifting</v>
      </c>
      <c r="L213" s="261">
        <f>IF(ISBLANK(INDEX('Policy Characteristics'!F:F,MATCH($C213,'Policy Characteristics'!$C:$C,0))),"",INDEX('Policy Characteristics'!F:F,MATCH($C213,'Policy Characteristics'!$C:$C,0)))</f>
        <v>0</v>
      </c>
      <c r="M213" s="261">
        <f>IF(ISBLANK(INDEX('Policy Characteristics'!G:G,MATCH($C213,'Policy Characteristics'!$C:$C,0))),"",INDEX('Policy Characteristics'!G:G,MATCH($C213,'Policy Characteristics'!$C:$C,0)))</f>
        <v>1</v>
      </c>
      <c r="N213" s="261">
        <f>IF(ISBLANK(INDEX('Policy Characteristics'!H:H,MATCH($C213,'Policy Characteristics'!$C:$C,0))),"",INDEX('Policy Characteristics'!H:H,MATCH($C213,'Policy Characteristics'!$C:$C,0)))</f>
        <v>0.01</v>
      </c>
      <c r="O213" s="254" t="str">
        <f>IF(ISBLANK(INDEX('Policy Characteristics'!I:I,MATCH($C213,'Policy Characteristics'!$C:$C,0))),"",INDEX('Policy Characteristics'!I:I,MATCH($C213,'Policy Characteristics'!$C:$C,0)))</f>
        <v>% of newly sold non-electric building components</v>
      </c>
      <c r="P213" s="254"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4" t="str">
        <f>IF(ISBLANK(INDEX('Policy Characteristics'!K:K,MATCH($C213,'Policy Characteristics'!$C:$C,0))),"",INDEX('Policy Characteristics'!K:K,MATCH($C213,'Policy Characteristics'!$C:$C,0)))</f>
        <v>buildings-sector-main.html#component-elec</v>
      </c>
      <c r="R213" s="254" t="str">
        <f>IF(ISBLANK(INDEX('Policy Characteristics'!L:L,MATCH($C213,'Policy Characteristics'!$C:$C,0))),"",INDEX('Policy Characteristics'!L:L,MATCH($C213,'Policy Characteristics'!$C:$C,0)))</f>
        <v>building-component-electrification.html</v>
      </c>
    </row>
    <row r="214" spans="1:18" x14ac:dyDescent="0.3">
      <c r="A214" s="254" t="str">
        <f>IF(ISBLANK(INDEX('Policy Characteristics'!A:A,MATCH($C214,'Policy Characteristics'!$C:$C,0))),"",INDEX('Policy Characteristics'!A:A,MATCH($C214,'Policy Characteristics'!$C:$C,0)))</f>
        <v>Buildings and Appliances</v>
      </c>
      <c r="B214" s="262" t="str">
        <f>IF(ISBLANK(INDEX('Policy Characteristics'!B:B,MATCH($C214,'Policy Characteristics'!$C:$C,0))),"",INDEX('Policy Characteristics'!B:B,MATCH($C214,'Policy Characteristics'!$C:$C,0)))</f>
        <v>Building Component Electrification</v>
      </c>
      <c r="C214" s="254" t="str">
        <f t="shared" ref="C214" si="12">C$200</f>
        <v>Fraction of New Bldg Components Shifted to Other Fuels</v>
      </c>
      <c r="D214" s="45" t="s">
        <v>120</v>
      </c>
      <c r="E214" s="45" t="s">
        <v>278</v>
      </c>
      <c r="F214" s="45" t="s">
        <v>126</v>
      </c>
      <c r="G214" s="45" t="s">
        <v>164</v>
      </c>
      <c r="H214" s="43">
        <v>449</v>
      </c>
      <c r="I214" s="324" t="s">
        <v>43</v>
      </c>
      <c r="J214" s="255" t="str">
        <f>IF(ISBLANK(INDEX('Policy Characteristics'!D:D,MATCH($C214,'Policy Characteristics'!$C:$C,0))),"",INDEX('Policy Characteristics'!D:D,MATCH($C214,'Policy Characteristics'!$C:$C,0)))</f>
        <v>Building Component Electrification</v>
      </c>
      <c r="K214" s="254" t="str">
        <f>IF(ISBLANK(INDEX('Policy Characteristics'!E:E,MATCH($C214,'Policy Characteristics'!$C:$C,0))),"",INDEX('Policy Characteristics'!E:E,MATCH($C214,'Policy Characteristics'!$C:$C,0)))</f>
        <v>bldgs new component fuel shifting</v>
      </c>
      <c r="L214" s="261">
        <f>IF(ISBLANK(INDEX('Policy Characteristics'!F:F,MATCH($C214,'Policy Characteristics'!$C:$C,0))),"",INDEX('Policy Characteristics'!F:F,MATCH($C214,'Policy Characteristics'!$C:$C,0)))</f>
        <v>0</v>
      </c>
      <c r="M214" s="261">
        <f>IF(ISBLANK(INDEX('Policy Characteristics'!G:G,MATCH($C214,'Policy Characteristics'!$C:$C,0))),"",INDEX('Policy Characteristics'!G:G,MATCH($C214,'Policy Characteristics'!$C:$C,0)))</f>
        <v>1</v>
      </c>
      <c r="N214" s="261">
        <f>IF(ISBLANK(INDEX('Policy Characteristics'!H:H,MATCH($C214,'Policy Characteristics'!$C:$C,0))),"",INDEX('Policy Characteristics'!H:H,MATCH($C214,'Policy Characteristics'!$C:$C,0)))</f>
        <v>0.01</v>
      </c>
      <c r="O214" s="254" t="str">
        <f>IF(ISBLANK(INDEX('Policy Characteristics'!I:I,MATCH($C214,'Policy Characteristics'!$C:$C,0))),"",INDEX('Policy Characteristics'!I:I,MATCH($C214,'Policy Characteristics'!$C:$C,0)))</f>
        <v>% of newly sold non-electric building components</v>
      </c>
      <c r="P214" s="254"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4" t="str">
        <f>IF(ISBLANK(INDEX('Policy Characteristics'!K:K,MATCH($C214,'Policy Characteristics'!$C:$C,0))),"",INDEX('Policy Characteristics'!K:K,MATCH($C214,'Policy Characteristics'!$C:$C,0)))</f>
        <v>buildings-sector-main.html#component-elec</v>
      </c>
      <c r="R214" s="254" t="str">
        <f>IF(ISBLANK(INDEX('Policy Characteristics'!L:L,MATCH($C214,'Policy Characteristics'!$C:$C,0))),"",INDEX('Policy Characteristics'!L:L,MATCH($C214,'Policy Characteristics'!$C:$C,0)))</f>
        <v>building-component-electrification.html</v>
      </c>
    </row>
    <row r="215" spans="1:18" s="4" customFormat="1" x14ac:dyDescent="0.3">
      <c r="A215" s="254" t="str">
        <f>IF(ISBLANK(INDEX('Policy Characteristics'!A:A,MATCH($C215,'Policy Characteristics'!$C:$C,0))),"",INDEX('Policy Characteristics'!A:A,MATCH($C215,'Policy Characteristics'!$C:$C,0)))</f>
        <v>Buildings and Appliances</v>
      </c>
      <c r="B215" s="262" t="str">
        <f>IF(ISBLANK(INDEX('Policy Characteristics'!B:B,MATCH($C215,'Policy Characteristics'!$C:$C,0))),"",INDEX('Policy Characteristics'!B:B,MATCH($C215,'Policy Characteristics'!$C:$C,0)))</f>
        <v>Building Energy Efficiency Standards</v>
      </c>
      <c r="C215" t="s">
        <v>299</v>
      </c>
      <c r="D215" s="45" t="s">
        <v>115</v>
      </c>
      <c r="E215" s="45" t="s">
        <v>276</v>
      </c>
      <c r="F215" s="45" t="s">
        <v>121</v>
      </c>
      <c r="G215" s="45" t="s">
        <v>280</v>
      </c>
      <c r="H215" s="43">
        <v>13</v>
      </c>
      <c r="I215" s="324" t="s">
        <v>43</v>
      </c>
      <c r="J215" s="255" t="str">
        <f>IF(ISBLANK(INDEX('Policy Characteristics'!D:D,MATCH($C215,'Policy Characteristics'!$C:$C,0))),"",INDEX('Policy Characteristics'!D:D,MATCH($C215,'Policy Characteristics'!$C:$C,0)))</f>
        <v>Building Energy Efficiency Standards</v>
      </c>
      <c r="K215" s="254" t="str">
        <f>IF(ISBLANK(INDEX('Policy Characteristics'!E:E,MATCH($C215,'Policy Characteristics'!$C:$C,0))),"",INDEX('Policy Characteristics'!E:E,MATCH($C215,'Policy Characteristics'!$C:$C,0)))</f>
        <v>bldgs efficiency standards</v>
      </c>
      <c r="L215" s="261">
        <f>IF(ISBLANK(INDEX('Policy Characteristics'!F:F,MATCH($C215,'Policy Characteristics'!$C:$C,0))),"",INDEX('Policy Characteristics'!F:F,MATCH($C215,'Policy Characteristics'!$C:$C,0)))</f>
        <v>0</v>
      </c>
      <c r="M215" s="261">
        <f>IF(ISBLANK(INDEX('Policy Characteristics'!G:G,MATCH($C215,'Policy Characteristics'!$C:$C,0))),"",INDEX('Policy Characteristics'!G:G,MATCH($C215,'Policy Characteristics'!$C:$C,0)))</f>
        <v>0.75</v>
      </c>
      <c r="N215" s="261">
        <f>IF(ISBLANK(INDEX('Policy Characteristics'!H:H,MATCH($C215,'Policy Characteristics'!$C:$C,0))),"",INDEX('Policy Characteristics'!H:H,MATCH($C215,'Policy Characteristics'!$C:$C,0)))</f>
        <v>0.01</v>
      </c>
      <c r="O215" s="254" t="str">
        <f>IF(ISBLANK(INDEX('Policy Characteristics'!I:I,MATCH($C215,'Policy Characteristics'!$C:$C,0))),"",INDEX('Policy Characteristics'!I:I,MATCH($C215,'Policy Characteristics'!$C:$C,0)))</f>
        <v>% reduction in energy use</v>
      </c>
      <c r="P215" s="254"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254" t="str">
        <f>IF(ISBLANK(INDEX('Policy Characteristics'!K:K,MATCH($C215,'Policy Characteristics'!$C:$C,0))),"",INDEX('Policy Characteristics'!K:K,MATCH($C215,'Policy Characteristics'!$C:$C,0)))</f>
        <v>buildings-sector-main.html#eff-stds</v>
      </c>
      <c r="R215" s="254" t="str">
        <f>IF(ISBLANK(INDEX('Policy Characteristics'!L:L,MATCH($C215,'Policy Characteristics'!$C:$C,0))),"",INDEX('Policy Characteristics'!L:L,MATCH($C215,'Policy Characteristics'!$C:$C,0)))</f>
        <v>building-energy-efficiency-standards.html</v>
      </c>
    </row>
    <row r="216" spans="1:18" s="4" customFormat="1" x14ac:dyDescent="0.3">
      <c r="A216" s="254" t="str">
        <f>IF(ISBLANK(INDEX('Policy Characteristics'!A:A,MATCH($C216,'Policy Characteristics'!$C:$C,0))),"",INDEX('Policy Characteristics'!A:A,MATCH($C216,'Policy Characteristics'!$C:$C,0)))</f>
        <v>Buildings and Appliances</v>
      </c>
      <c r="B216" s="262" t="str">
        <f>IF(ISBLANK(INDEX('Policy Characteristics'!B:B,MATCH($C216,'Policy Characteristics'!$C:$C,0))),"",INDEX('Policy Characteristics'!B:B,MATCH($C216,'Policy Characteristics'!$C:$C,0)))</f>
        <v>Building Energy Efficiency Standards</v>
      </c>
      <c r="C216" s="254" t="str">
        <f t="shared" ref="C216:C231" si="13">C$215</f>
        <v>Reduction in E Use Allowed by Component Eff Std</v>
      </c>
      <c r="D216" s="45" t="s">
        <v>116</v>
      </c>
      <c r="E216" s="45" t="s">
        <v>276</v>
      </c>
      <c r="F216" s="45" t="s">
        <v>122</v>
      </c>
      <c r="G216" s="45" t="s">
        <v>280</v>
      </c>
      <c r="H216" s="43">
        <v>14</v>
      </c>
      <c r="I216" s="324" t="s">
        <v>43</v>
      </c>
      <c r="J216" s="255" t="str">
        <f>IF(ISBLANK(INDEX('Policy Characteristics'!D:D,MATCH($C216,'Policy Characteristics'!$C:$C,0))),"",INDEX('Policy Characteristics'!D:D,MATCH($C216,'Policy Characteristics'!$C:$C,0)))</f>
        <v>Building Energy Efficiency Standards</v>
      </c>
      <c r="K216" s="254" t="str">
        <f>IF(ISBLANK(INDEX('Policy Characteristics'!E:E,MATCH($C216,'Policy Characteristics'!$C:$C,0))),"",INDEX('Policy Characteristics'!E:E,MATCH($C216,'Policy Characteristics'!$C:$C,0)))</f>
        <v>bldgs efficiency standards</v>
      </c>
      <c r="L216" s="261">
        <f>IF(ISBLANK(INDEX('Policy Characteristics'!F:F,MATCH($C216,'Policy Characteristics'!$C:$C,0))),"",INDEX('Policy Characteristics'!F:F,MATCH($C216,'Policy Characteristics'!$C:$C,0)))</f>
        <v>0</v>
      </c>
      <c r="M216" s="261">
        <f>IF(ISBLANK(INDEX('Policy Characteristics'!G:G,MATCH($C216,'Policy Characteristics'!$C:$C,0))),"",INDEX('Policy Characteristics'!G:G,MATCH($C216,'Policy Characteristics'!$C:$C,0)))</f>
        <v>0.75</v>
      </c>
      <c r="N216" s="261">
        <f>IF(ISBLANK(INDEX('Policy Characteristics'!H:H,MATCH($C216,'Policy Characteristics'!$C:$C,0))),"",INDEX('Policy Characteristics'!H:H,MATCH($C216,'Policy Characteristics'!$C:$C,0)))</f>
        <v>0.01</v>
      </c>
      <c r="O216" s="254" t="str">
        <f>IF(ISBLANK(INDEX('Policy Characteristics'!I:I,MATCH($C216,'Policy Characteristics'!$C:$C,0))),"",INDEX('Policy Characteristics'!I:I,MATCH($C216,'Policy Characteristics'!$C:$C,0)))</f>
        <v>% reduction in energy use</v>
      </c>
      <c r="P216" s="254"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4" t="str">
        <f>IF(ISBLANK(INDEX('Policy Characteristics'!K:K,MATCH($C216,'Policy Characteristics'!$C:$C,0))),"",INDEX('Policy Characteristics'!K:K,MATCH($C216,'Policy Characteristics'!$C:$C,0)))</f>
        <v>buildings-sector-main.html#eff-stds</v>
      </c>
      <c r="R216" s="254" t="str">
        <f>IF(ISBLANK(INDEX('Policy Characteristics'!L:L,MATCH($C216,'Policy Characteristics'!$C:$C,0))),"",INDEX('Policy Characteristics'!L:L,MATCH($C216,'Policy Characteristics'!$C:$C,0)))</f>
        <v>building-energy-efficiency-standards.html</v>
      </c>
    </row>
    <row r="217" spans="1:18" s="4" customFormat="1" x14ac:dyDescent="0.3">
      <c r="A217" s="254" t="str">
        <f>IF(ISBLANK(INDEX('Policy Characteristics'!A:A,MATCH($C217,'Policy Characteristics'!$C:$C,0))),"",INDEX('Policy Characteristics'!A:A,MATCH($C217,'Policy Characteristics'!$C:$C,0)))</f>
        <v>Buildings and Appliances</v>
      </c>
      <c r="B217" s="262" t="str">
        <f>IF(ISBLANK(INDEX('Policy Characteristics'!B:B,MATCH($C217,'Policy Characteristics'!$C:$C,0))),"",INDEX('Policy Characteristics'!B:B,MATCH($C217,'Policy Characteristics'!$C:$C,0)))</f>
        <v>Building Energy Efficiency Standards</v>
      </c>
      <c r="C217" s="254" t="str">
        <f t="shared" si="13"/>
        <v>Reduction in E Use Allowed by Component Eff Std</v>
      </c>
      <c r="D217" s="45" t="s">
        <v>117</v>
      </c>
      <c r="E217" s="45" t="s">
        <v>276</v>
      </c>
      <c r="F217" s="45" t="s">
        <v>123</v>
      </c>
      <c r="G217" s="45" t="s">
        <v>280</v>
      </c>
      <c r="H217" s="43">
        <v>15</v>
      </c>
      <c r="I217" s="324" t="s">
        <v>43</v>
      </c>
      <c r="J217" s="255" t="str">
        <f>IF(ISBLANK(INDEX('Policy Characteristics'!D:D,MATCH($C217,'Policy Characteristics'!$C:$C,0))),"",INDEX('Policy Characteristics'!D:D,MATCH($C217,'Policy Characteristics'!$C:$C,0)))</f>
        <v>Building Energy Efficiency Standards</v>
      </c>
      <c r="K217" s="254" t="str">
        <f>IF(ISBLANK(INDEX('Policy Characteristics'!E:E,MATCH($C217,'Policy Characteristics'!$C:$C,0))),"",INDEX('Policy Characteristics'!E:E,MATCH($C217,'Policy Characteristics'!$C:$C,0)))</f>
        <v>bldgs efficiency standards</v>
      </c>
      <c r="L217" s="261">
        <f>IF(ISBLANK(INDEX('Policy Characteristics'!F:F,MATCH($C217,'Policy Characteristics'!$C:$C,0))),"",INDEX('Policy Characteristics'!F:F,MATCH($C217,'Policy Characteristics'!$C:$C,0)))</f>
        <v>0</v>
      </c>
      <c r="M217" s="261">
        <f>IF(ISBLANK(INDEX('Policy Characteristics'!G:G,MATCH($C217,'Policy Characteristics'!$C:$C,0))),"",INDEX('Policy Characteristics'!G:G,MATCH($C217,'Policy Characteristics'!$C:$C,0)))</f>
        <v>0.75</v>
      </c>
      <c r="N217" s="261">
        <f>IF(ISBLANK(INDEX('Policy Characteristics'!H:H,MATCH($C217,'Policy Characteristics'!$C:$C,0))),"",INDEX('Policy Characteristics'!H:H,MATCH($C217,'Policy Characteristics'!$C:$C,0)))</f>
        <v>0.01</v>
      </c>
      <c r="O217" s="254" t="str">
        <f>IF(ISBLANK(INDEX('Policy Characteristics'!I:I,MATCH($C217,'Policy Characteristics'!$C:$C,0))),"",INDEX('Policy Characteristics'!I:I,MATCH($C217,'Policy Characteristics'!$C:$C,0)))</f>
        <v>% reduction in energy use</v>
      </c>
      <c r="P217" s="254"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4" t="str">
        <f>IF(ISBLANK(INDEX('Policy Characteristics'!K:K,MATCH($C217,'Policy Characteristics'!$C:$C,0))),"",INDEX('Policy Characteristics'!K:K,MATCH($C217,'Policy Characteristics'!$C:$C,0)))</f>
        <v>buildings-sector-main.html#eff-stds</v>
      </c>
      <c r="R217" s="254" t="str">
        <f>IF(ISBLANK(INDEX('Policy Characteristics'!L:L,MATCH($C217,'Policy Characteristics'!$C:$C,0))),"",INDEX('Policy Characteristics'!L:L,MATCH($C217,'Policy Characteristics'!$C:$C,0)))</f>
        <v>building-energy-efficiency-standards.html</v>
      </c>
    </row>
    <row r="218" spans="1:18" s="4" customFormat="1" x14ac:dyDescent="0.3">
      <c r="A218" s="254" t="str">
        <f>IF(ISBLANK(INDEX('Policy Characteristics'!A:A,MATCH($C218,'Policy Characteristics'!$C:$C,0))),"",INDEX('Policy Characteristics'!A:A,MATCH($C218,'Policy Characteristics'!$C:$C,0)))</f>
        <v>Buildings and Appliances</v>
      </c>
      <c r="B218" s="262" t="str">
        <f>IF(ISBLANK(INDEX('Policy Characteristics'!B:B,MATCH($C218,'Policy Characteristics'!$C:$C,0))),"",INDEX('Policy Characteristics'!B:B,MATCH($C218,'Policy Characteristics'!$C:$C,0)))</f>
        <v>Building Energy Efficiency Standards</v>
      </c>
      <c r="C218" s="254" t="str">
        <f t="shared" si="13"/>
        <v>Reduction in E Use Allowed by Component Eff Std</v>
      </c>
      <c r="D218" s="45" t="s">
        <v>118</v>
      </c>
      <c r="E218" s="45" t="s">
        <v>276</v>
      </c>
      <c r="F218" s="45" t="s">
        <v>124</v>
      </c>
      <c r="G218" s="45" t="s">
        <v>280</v>
      </c>
      <c r="H218" s="43">
        <v>16</v>
      </c>
      <c r="I218" s="324" t="s">
        <v>43</v>
      </c>
      <c r="J218" s="255" t="str">
        <f>IF(ISBLANK(INDEX('Policy Characteristics'!D:D,MATCH($C218,'Policy Characteristics'!$C:$C,0))),"",INDEX('Policy Characteristics'!D:D,MATCH($C218,'Policy Characteristics'!$C:$C,0)))</f>
        <v>Building Energy Efficiency Standards</v>
      </c>
      <c r="K218" s="254" t="str">
        <f>IF(ISBLANK(INDEX('Policy Characteristics'!E:E,MATCH($C218,'Policy Characteristics'!$C:$C,0))),"",INDEX('Policy Characteristics'!E:E,MATCH($C218,'Policy Characteristics'!$C:$C,0)))</f>
        <v>bldgs efficiency standards</v>
      </c>
      <c r="L218" s="261">
        <f>IF(ISBLANK(INDEX('Policy Characteristics'!F:F,MATCH($C218,'Policy Characteristics'!$C:$C,0))),"",INDEX('Policy Characteristics'!F:F,MATCH($C218,'Policy Characteristics'!$C:$C,0)))</f>
        <v>0</v>
      </c>
      <c r="M218" s="261">
        <f>IF(ISBLANK(INDEX('Policy Characteristics'!G:G,MATCH($C218,'Policy Characteristics'!$C:$C,0))),"",INDEX('Policy Characteristics'!G:G,MATCH($C218,'Policy Characteristics'!$C:$C,0)))</f>
        <v>0.75</v>
      </c>
      <c r="N218" s="261">
        <f>IF(ISBLANK(INDEX('Policy Characteristics'!H:H,MATCH($C218,'Policy Characteristics'!$C:$C,0))),"",INDEX('Policy Characteristics'!H:H,MATCH($C218,'Policy Characteristics'!$C:$C,0)))</f>
        <v>0.01</v>
      </c>
      <c r="O218" s="254" t="str">
        <f>IF(ISBLANK(INDEX('Policy Characteristics'!I:I,MATCH($C218,'Policy Characteristics'!$C:$C,0))),"",INDEX('Policy Characteristics'!I:I,MATCH($C218,'Policy Characteristics'!$C:$C,0)))</f>
        <v>% reduction in energy use</v>
      </c>
      <c r="P218" s="254"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4" t="str">
        <f>IF(ISBLANK(INDEX('Policy Characteristics'!K:K,MATCH($C218,'Policy Characteristics'!$C:$C,0))),"",INDEX('Policy Characteristics'!K:K,MATCH($C218,'Policy Characteristics'!$C:$C,0)))</f>
        <v>buildings-sector-main.html#eff-stds</v>
      </c>
      <c r="R218" s="254" t="str">
        <f>IF(ISBLANK(INDEX('Policy Characteristics'!L:L,MATCH($C218,'Policy Characteristics'!$C:$C,0))),"",INDEX('Policy Characteristics'!L:L,MATCH($C218,'Policy Characteristics'!$C:$C,0)))</f>
        <v>building-energy-efficiency-standards.html</v>
      </c>
    </row>
    <row r="219" spans="1:18" s="4" customFormat="1" x14ac:dyDescent="0.3">
      <c r="A219" s="254" t="str">
        <f>IF(ISBLANK(INDEX('Policy Characteristics'!A:A,MATCH($C219,'Policy Characteristics'!$C:$C,0))),"",INDEX('Policy Characteristics'!A:A,MATCH($C219,'Policy Characteristics'!$C:$C,0)))</f>
        <v>Buildings and Appliances</v>
      </c>
      <c r="B219" s="262" t="str">
        <f>IF(ISBLANK(INDEX('Policy Characteristics'!B:B,MATCH($C219,'Policy Characteristics'!$C:$C,0))),"",INDEX('Policy Characteristics'!B:B,MATCH($C219,'Policy Characteristics'!$C:$C,0)))</f>
        <v>Building Energy Efficiency Standards</v>
      </c>
      <c r="C219" s="254" t="str">
        <f t="shared" si="13"/>
        <v>Reduction in E Use Allowed by Component Eff Std</v>
      </c>
      <c r="D219" s="45" t="s">
        <v>119</v>
      </c>
      <c r="E219" s="45" t="s">
        <v>276</v>
      </c>
      <c r="F219" s="45" t="s">
        <v>125</v>
      </c>
      <c r="G219" s="45" t="s">
        <v>280</v>
      </c>
      <c r="H219" s="43">
        <v>17</v>
      </c>
      <c r="I219" s="324" t="s">
        <v>43</v>
      </c>
      <c r="J219" s="255" t="str">
        <f>IF(ISBLANK(INDEX('Policy Characteristics'!D:D,MATCH($C219,'Policy Characteristics'!$C:$C,0))),"",INDEX('Policy Characteristics'!D:D,MATCH($C219,'Policy Characteristics'!$C:$C,0)))</f>
        <v>Building Energy Efficiency Standards</v>
      </c>
      <c r="K219" s="254" t="str">
        <f>IF(ISBLANK(INDEX('Policy Characteristics'!E:E,MATCH($C219,'Policy Characteristics'!$C:$C,0))),"",INDEX('Policy Characteristics'!E:E,MATCH($C219,'Policy Characteristics'!$C:$C,0)))</f>
        <v>bldgs efficiency standards</v>
      </c>
      <c r="L219" s="261">
        <f>IF(ISBLANK(INDEX('Policy Characteristics'!F:F,MATCH($C219,'Policy Characteristics'!$C:$C,0))),"",INDEX('Policy Characteristics'!F:F,MATCH($C219,'Policy Characteristics'!$C:$C,0)))</f>
        <v>0</v>
      </c>
      <c r="M219" s="261">
        <f>IF(ISBLANK(INDEX('Policy Characteristics'!G:G,MATCH($C219,'Policy Characteristics'!$C:$C,0))),"",INDEX('Policy Characteristics'!G:G,MATCH($C219,'Policy Characteristics'!$C:$C,0)))</f>
        <v>0.75</v>
      </c>
      <c r="N219" s="261">
        <f>IF(ISBLANK(INDEX('Policy Characteristics'!H:H,MATCH($C219,'Policy Characteristics'!$C:$C,0))),"",INDEX('Policy Characteristics'!H:H,MATCH($C219,'Policy Characteristics'!$C:$C,0)))</f>
        <v>0.01</v>
      </c>
      <c r="O219" s="254" t="str">
        <f>IF(ISBLANK(INDEX('Policy Characteristics'!I:I,MATCH($C219,'Policy Characteristics'!$C:$C,0))),"",INDEX('Policy Characteristics'!I:I,MATCH($C219,'Policy Characteristics'!$C:$C,0)))</f>
        <v>% reduction in energy use</v>
      </c>
      <c r="P219" s="254"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4" t="str">
        <f>IF(ISBLANK(INDEX('Policy Characteristics'!K:K,MATCH($C219,'Policy Characteristics'!$C:$C,0))),"",INDEX('Policy Characteristics'!K:K,MATCH($C219,'Policy Characteristics'!$C:$C,0)))</f>
        <v>buildings-sector-main.html#eff-stds</v>
      </c>
      <c r="R219" s="254" t="str">
        <f>IF(ISBLANK(INDEX('Policy Characteristics'!L:L,MATCH($C219,'Policy Characteristics'!$C:$C,0))),"",INDEX('Policy Characteristics'!L:L,MATCH($C219,'Policy Characteristics'!$C:$C,0)))</f>
        <v>building-energy-efficiency-standards.html</v>
      </c>
    </row>
    <row r="220" spans="1:18" s="4" customFormat="1" x14ac:dyDescent="0.3">
      <c r="A220" s="254" t="str">
        <f>IF(ISBLANK(INDEX('Policy Characteristics'!A:A,MATCH($C220,'Policy Characteristics'!$C:$C,0))),"",INDEX('Policy Characteristics'!A:A,MATCH($C220,'Policy Characteristics'!$C:$C,0)))</f>
        <v>Buildings and Appliances</v>
      </c>
      <c r="B220" s="262" t="str">
        <f>IF(ISBLANK(INDEX('Policy Characteristics'!B:B,MATCH($C220,'Policy Characteristics'!$C:$C,0))),"",INDEX('Policy Characteristics'!B:B,MATCH($C220,'Policy Characteristics'!$C:$C,0)))</f>
        <v>Building Energy Efficiency Standards</v>
      </c>
      <c r="C220" s="254" t="str">
        <f t="shared" si="13"/>
        <v>Reduction in E Use Allowed by Component Eff Std</v>
      </c>
      <c r="D220" s="45" t="s">
        <v>120</v>
      </c>
      <c r="E220" s="45" t="s">
        <v>276</v>
      </c>
      <c r="F220" s="45" t="s">
        <v>126</v>
      </c>
      <c r="G220" s="45" t="s">
        <v>280</v>
      </c>
      <c r="H220" s="43">
        <v>18</v>
      </c>
      <c r="I220" s="324" t="s">
        <v>43</v>
      </c>
      <c r="J220" s="255" t="str">
        <f>IF(ISBLANK(INDEX('Policy Characteristics'!D:D,MATCH($C220,'Policy Characteristics'!$C:$C,0))),"",INDEX('Policy Characteristics'!D:D,MATCH($C220,'Policy Characteristics'!$C:$C,0)))</f>
        <v>Building Energy Efficiency Standards</v>
      </c>
      <c r="K220" s="254" t="str">
        <f>IF(ISBLANK(INDEX('Policy Characteristics'!E:E,MATCH($C220,'Policy Characteristics'!$C:$C,0))),"",INDEX('Policy Characteristics'!E:E,MATCH($C220,'Policy Characteristics'!$C:$C,0)))</f>
        <v>bldgs efficiency standards</v>
      </c>
      <c r="L220" s="261">
        <f>IF(ISBLANK(INDEX('Policy Characteristics'!F:F,MATCH($C220,'Policy Characteristics'!$C:$C,0))),"",INDEX('Policy Characteristics'!F:F,MATCH($C220,'Policy Characteristics'!$C:$C,0)))</f>
        <v>0</v>
      </c>
      <c r="M220" s="261">
        <f>IF(ISBLANK(INDEX('Policy Characteristics'!G:G,MATCH($C220,'Policy Characteristics'!$C:$C,0))),"",INDEX('Policy Characteristics'!G:G,MATCH($C220,'Policy Characteristics'!$C:$C,0)))</f>
        <v>0.75</v>
      </c>
      <c r="N220" s="261">
        <f>IF(ISBLANK(INDEX('Policy Characteristics'!H:H,MATCH($C220,'Policy Characteristics'!$C:$C,0))),"",INDEX('Policy Characteristics'!H:H,MATCH($C220,'Policy Characteristics'!$C:$C,0)))</f>
        <v>0.01</v>
      </c>
      <c r="O220" s="254" t="str">
        <f>IF(ISBLANK(INDEX('Policy Characteristics'!I:I,MATCH($C220,'Policy Characteristics'!$C:$C,0))),"",INDEX('Policy Characteristics'!I:I,MATCH($C220,'Policy Characteristics'!$C:$C,0)))</f>
        <v>% reduction in energy use</v>
      </c>
      <c r="P220" s="254"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4" t="str">
        <f>IF(ISBLANK(INDEX('Policy Characteristics'!K:K,MATCH($C220,'Policy Characteristics'!$C:$C,0))),"",INDEX('Policy Characteristics'!K:K,MATCH($C220,'Policy Characteristics'!$C:$C,0)))</f>
        <v>buildings-sector-main.html#eff-stds</v>
      </c>
      <c r="R220" s="254" t="str">
        <f>IF(ISBLANK(INDEX('Policy Characteristics'!L:L,MATCH($C220,'Policy Characteristics'!$C:$C,0))),"",INDEX('Policy Characteristics'!L:L,MATCH($C220,'Policy Characteristics'!$C:$C,0)))</f>
        <v>building-energy-efficiency-standards.html</v>
      </c>
    </row>
    <row r="221" spans="1:18" s="4" customFormat="1" x14ac:dyDescent="0.3">
      <c r="A221" s="254" t="str">
        <f>IF(ISBLANK(INDEX('Policy Characteristics'!A:A,MATCH($C221,'Policy Characteristics'!$C:$C,0))),"",INDEX('Policy Characteristics'!A:A,MATCH($C221,'Policy Characteristics'!$C:$C,0)))</f>
        <v>Buildings and Appliances</v>
      </c>
      <c r="B221" s="262" t="str">
        <f>IF(ISBLANK(INDEX('Policy Characteristics'!B:B,MATCH($C221,'Policy Characteristics'!$C:$C,0))),"",INDEX('Policy Characteristics'!B:B,MATCH($C221,'Policy Characteristics'!$C:$C,0)))</f>
        <v>Building Energy Efficiency Standards</v>
      </c>
      <c r="C221" s="254" t="str">
        <f t="shared" si="13"/>
        <v>Reduction in E Use Allowed by Component Eff Std</v>
      </c>
      <c r="D221" s="45" t="s">
        <v>115</v>
      </c>
      <c r="E221" s="45" t="s">
        <v>277</v>
      </c>
      <c r="F221" s="45" t="s">
        <v>121</v>
      </c>
      <c r="G221" s="45" t="s">
        <v>279</v>
      </c>
      <c r="H221" s="43">
        <v>150</v>
      </c>
      <c r="I221" s="324" t="s">
        <v>43</v>
      </c>
      <c r="J221" s="255" t="str">
        <f>IF(ISBLANK(INDEX('Policy Characteristics'!D:D,MATCH($C221,'Policy Characteristics'!$C:$C,0))),"",INDEX('Policy Characteristics'!D:D,MATCH($C221,'Policy Characteristics'!$C:$C,0)))</f>
        <v>Building Energy Efficiency Standards</v>
      </c>
      <c r="K221" s="254" t="str">
        <f>IF(ISBLANK(INDEX('Policy Characteristics'!E:E,MATCH($C221,'Policy Characteristics'!$C:$C,0))),"",INDEX('Policy Characteristics'!E:E,MATCH($C221,'Policy Characteristics'!$C:$C,0)))</f>
        <v>bldgs efficiency standards</v>
      </c>
      <c r="L221" s="261">
        <f>IF(ISBLANK(INDEX('Policy Characteristics'!F:F,MATCH($C221,'Policy Characteristics'!$C:$C,0))),"",INDEX('Policy Characteristics'!F:F,MATCH($C221,'Policy Characteristics'!$C:$C,0)))</f>
        <v>0</v>
      </c>
      <c r="M221" s="261">
        <f>IF(ISBLANK(INDEX('Policy Characteristics'!G:G,MATCH($C221,'Policy Characteristics'!$C:$C,0))),"",INDEX('Policy Characteristics'!G:G,MATCH($C221,'Policy Characteristics'!$C:$C,0)))</f>
        <v>0.75</v>
      </c>
      <c r="N221" s="261">
        <f>IF(ISBLANK(INDEX('Policy Characteristics'!H:H,MATCH($C221,'Policy Characteristics'!$C:$C,0))),"",INDEX('Policy Characteristics'!H:H,MATCH($C221,'Policy Characteristics'!$C:$C,0)))</f>
        <v>0.01</v>
      </c>
      <c r="O221" s="254" t="str">
        <f>IF(ISBLANK(INDEX('Policy Characteristics'!I:I,MATCH($C221,'Policy Characteristics'!$C:$C,0))),"",INDEX('Policy Characteristics'!I:I,MATCH($C221,'Policy Characteristics'!$C:$C,0)))</f>
        <v>% reduction in energy use</v>
      </c>
      <c r="P221" s="254"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4" t="str">
        <f>IF(ISBLANK(INDEX('Policy Characteristics'!K:K,MATCH($C221,'Policy Characteristics'!$C:$C,0))),"",INDEX('Policy Characteristics'!K:K,MATCH($C221,'Policy Characteristics'!$C:$C,0)))</f>
        <v>buildings-sector-main.html#eff-stds</v>
      </c>
      <c r="R221" s="254" t="str">
        <f>IF(ISBLANK(INDEX('Policy Characteristics'!L:L,MATCH($C221,'Policy Characteristics'!$C:$C,0))),"",INDEX('Policy Characteristics'!L:L,MATCH($C221,'Policy Characteristics'!$C:$C,0)))</f>
        <v>building-energy-efficiency-standards.html</v>
      </c>
    </row>
    <row r="222" spans="1:18" s="4" customFormat="1" x14ac:dyDescent="0.3">
      <c r="A222" s="254" t="str">
        <f>IF(ISBLANK(INDEX('Policy Characteristics'!A:A,MATCH($C222,'Policy Characteristics'!$C:$C,0))),"",INDEX('Policy Characteristics'!A:A,MATCH($C222,'Policy Characteristics'!$C:$C,0)))</f>
        <v>Buildings and Appliances</v>
      </c>
      <c r="B222" s="262" t="str">
        <f>IF(ISBLANK(INDEX('Policy Characteristics'!B:B,MATCH($C222,'Policy Characteristics'!$C:$C,0))),"",INDEX('Policy Characteristics'!B:B,MATCH($C222,'Policy Characteristics'!$C:$C,0)))</f>
        <v>Building Energy Efficiency Standards</v>
      </c>
      <c r="C222" s="254" t="str">
        <f t="shared" si="13"/>
        <v>Reduction in E Use Allowed by Component Eff Std</v>
      </c>
      <c r="D222" s="45" t="s">
        <v>116</v>
      </c>
      <c r="E222" s="45" t="s">
        <v>277</v>
      </c>
      <c r="F222" s="45" t="s">
        <v>122</v>
      </c>
      <c r="G222" s="45" t="s">
        <v>279</v>
      </c>
      <c r="H222" s="43">
        <v>151</v>
      </c>
      <c r="I222" s="324" t="s">
        <v>43</v>
      </c>
      <c r="J222" s="255" t="str">
        <f>IF(ISBLANK(INDEX('Policy Characteristics'!D:D,MATCH($C222,'Policy Characteristics'!$C:$C,0))),"",INDEX('Policy Characteristics'!D:D,MATCH($C222,'Policy Characteristics'!$C:$C,0)))</f>
        <v>Building Energy Efficiency Standards</v>
      </c>
      <c r="K222" s="254" t="str">
        <f>IF(ISBLANK(INDEX('Policy Characteristics'!E:E,MATCH($C222,'Policy Characteristics'!$C:$C,0))),"",INDEX('Policy Characteristics'!E:E,MATCH($C222,'Policy Characteristics'!$C:$C,0)))</f>
        <v>bldgs efficiency standards</v>
      </c>
      <c r="L222" s="261">
        <f>IF(ISBLANK(INDEX('Policy Characteristics'!F:F,MATCH($C222,'Policy Characteristics'!$C:$C,0))),"",INDEX('Policy Characteristics'!F:F,MATCH($C222,'Policy Characteristics'!$C:$C,0)))</f>
        <v>0</v>
      </c>
      <c r="M222" s="261">
        <f>IF(ISBLANK(INDEX('Policy Characteristics'!G:G,MATCH($C222,'Policy Characteristics'!$C:$C,0))),"",INDEX('Policy Characteristics'!G:G,MATCH($C222,'Policy Characteristics'!$C:$C,0)))</f>
        <v>0.75</v>
      </c>
      <c r="N222" s="261">
        <f>IF(ISBLANK(INDEX('Policy Characteristics'!H:H,MATCH($C222,'Policy Characteristics'!$C:$C,0))),"",INDEX('Policy Characteristics'!H:H,MATCH($C222,'Policy Characteristics'!$C:$C,0)))</f>
        <v>0.01</v>
      </c>
      <c r="O222" s="254" t="str">
        <f>IF(ISBLANK(INDEX('Policy Characteristics'!I:I,MATCH($C222,'Policy Characteristics'!$C:$C,0))),"",INDEX('Policy Characteristics'!I:I,MATCH($C222,'Policy Characteristics'!$C:$C,0)))</f>
        <v>% reduction in energy use</v>
      </c>
      <c r="P222" s="254"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4" t="str">
        <f>IF(ISBLANK(INDEX('Policy Characteristics'!K:K,MATCH($C222,'Policy Characteristics'!$C:$C,0))),"",INDEX('Policy Characteristics'!K:K,MATCH($C222,'Policy Characteristics'!$C:$C,0)))</f>
        <v>buildings-sector-main.html#eff-stds</v>
      </c>
      <c r="R222" s="254" t="str">
        <f>IF(ISBLANK(INDEX('Policy Characteristics'!L:L,MATCH($C222,'Policy Characteristics'!$C:$C,0))),"",INDEX('Policy Characteristics'!L:L,MATCH($C222,'Policy Characteristics'!$C:$C,0)))</f>
        <v>building-energy-efficiency-standards.html</v>
      </c>
    </row>
    <row r="223" spans="1:18" s="4" customFormat="1" x14ac:dyDescent="0.3">
      <c r="A223" s="254" t="str">
        <f>IF(ISBLANK(INDEX('Policy Characteristics'!A:A,MATCH($C223,'Policy Characteristics'!$C:$C,0))),"",INDEX('Policy Characteristics'!A:A,MATCH($C223,'Policy Characteristics'!$C:$C,0)))</f>
        <v>Buildings and Appliances</v>
      </c>
      <c r="B223" s="262" t="str">
        <f>IF(ISBLANK(INDEX('Policy Characteristics'!B:B,MATCH($C223,'Policy Characteristics'!$C:$C,0))),"",INDEX('Policy Characteristics'!B:B,MATCH($C223,'Policy Characteristics'!$C:$C,0)))</f>
        <v>Building Energy Efficiency Standards</v>
      </c>
      <c r="C223" s="254" t="str">
        <f t="shared" si="13"/>
        <v>Reduction in E Use Allowed by Component Eff Std</v>
      </c>
      <c r="D223" s="45" t="s">
        <v>117</v>
      </c>
      <c r="E223" s="45" t="s">
        <v>277</v>
      </c>
      <c r="F223" s="45" t="s">
        <v>123</v>
      </c>
      <c r="G223" s="45" t="s">
        <v>279</v>
      </c>
      <c r="H223" s="43">
        <v>152</v>
      </c>
      <c r="I223" s="324" t="s">
        <v>43</v>
      </c>
      <c r="J223" s="255" t="str">
        <f>IF(ISBLANK(INDEX('Policy Characteristics'!D:D,MATCH($C223,'Policy Characteristics'!$C:$C,0))),"",INDEX('Policy Characteristics'!D:D,MATCH($C223,'Policy Characteristics'!$C:$C,0)))</f>
        <v>Building Energy Efficiency Standards</v>
      </c>
      <c r="K223" s="254" t="str">
        <f>IF(ISBLANK(INDEX('Policy Characteristics'!E:E,MATCH($C223,'Policy Characteristics'!$C:$C,0))),"",INDEX('Policy Characteristics'!E:E,MATCH($C223,'Policy Characteristics'!$C:$C,0)))</f>
        <v>bldgs efficiency standards</v>
      </c>
      <c r="L223" s="261">
        <f>IF(ISBLANK(INDEX('Policy Characteristics'!F:F,MATCH($C223,'Policy Characteristics'!$C:$C,0))),"",INDEX('Policy Characteristics'!F:F,MATCH($C223,'Policy Characteristics'!$C:$C,0)))</f>
        <v>0</v>
      </c>
      <c r="M223" s="261">
        <f>IF(ISBLANK(INDEX('Policy Characteristics'!G:G,MATCH($C223,'Policy Characteristics'!$C:$C,0))),"",INDEX('Policy Characteristics'!G:G,MATCH($C223,'Policy Characteristics'!$C:$C,0)))</f>
        <v>0.75</v>
      </c>
      <c r="N223" s="261">
        <f>IF(ISBLANK(INDEX('Policy Characteristics'!H:H,MATCH($C223,'Policy Characteristics'!$C:$C,0))),"",INDEX('Policy Characteristics'!H:H,MATCH($C223,'Policy Characteristics'!$C:$C,0)))</f>
        <v>0.01</v>
      </c>
      <c r="O223" s="254" t="str">
        <f>IF(ISBLANK(INDEX('Policy Characteristics'!I:I,MATCH($C223,'Policy Characteristics'!$C:$C,0))),"",INDEX('Policy Characteristics'!I:I,MATCH($C223,'Policy Characteristics'!$C:$C,0)))</f>
        <v>% reduction in energy use</v>
      </c>
      <c r="P223" s="254"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4" t="str">
        <f>IF(ISBLANK(INDEX('Policy Characteristics'!K:K,MATCH($C223,'Policy Characteristics'!$C:$C,0))),"",INDEX('Policy Characteristics'!K:K,MATCH($C223,'Policy Characteristics'!$C:$C,0)))</f>
        <v>buildings-sector-main.html#eff-stds</v>
      </c>
      <c r="R223" s="254" t="str">
        <f>IF(ISBLANK(INDEX('Policy Characteristics'!L:L,MATCH($C223,'Policy Characteristics'!$C:$C,0))),"",INDEX('Policy Characteristics'!L:L,MATCH($C223,'Policy Characteristics'!$C:$C,0)))</f>
        <v>building-energy-efficiency-standards.html</v>
      </c>
    </row>
    <row r="224" spans="1:18" s="4" customFormat="1" x14ac:dyDescent="0.3">
      <c r="A224" s="254" t="str">
        <f>IF(ISBLANK(INDEX('Policy Characteristics'!A:A,MATCH($C224,'Policy Characteristics'!$C:$C,0))),"",INDEX('Policy Characteristics'!A:A,MATCH($C224,'Policy Characteristics'!$C:$C,0)))</f>
        <v>Buildings and Appliances</v>
      </c>
      <c r="B224" s="262" t="str">
        <f>IF(ISBLANK(INDEX('Policy Characteristics'!B:B,MATCH($C224,'Policy Characteristics'!$C:$C,0))),"",INDEX('Policy Characteristics'!B:B,MATCH($C224,'Policy Characteristics'!$C:$C,0)))</f>
        <v>Building Energy Efficiency Standards</v>
      </c>
      <c r="C224" s="254" t="str">
        <f t="shared" si="13"/>
        <v>Reduction in E Use Allowed by Component Eff Std</v>
      </c>
      <c r="D224" s="45" t="s">
        <v>118</v>
      </c>
      <c r="E224" s="45" t="s">
        <v>277</v>
      </c>
      <c r="F224" s="45" t="s">
        <v>124</v>
      </c>
      <c r="G224" s="45" t="s">
        <v>279</v>
      </c>
      <c r="H224" s="43">
        <v>153</v>
      </c>
      <c r="I224" s="324" t="s">
        <v>43</v>
      </c>
      <c r="J224" s="255" t="str">
        <f>IF(ISBLANK(INDEX('Policy Characteristics'!D:D,MATCH($C224,'Policy Characteristics'!$C:$C,0))),"",INDEX('Policy Characteristics'!D:D,MATCH($C224,'Policy Characteristics'!$C:$C,0)))</f>
        <v>Building Energy Efficiency Standards</v>
      </c>
      <c r="K224" s="254" t="str">
        <f>IF(ISBLANK(INDEX('Policy Characteristics'!E:E,MATCH($C224,'Policy Characteristics'!$C:$C,0))),"",INDEX('Policy Characteristics'!E:E,MATCH($C224,'Policy Characteristics'!$C:$C,0)))</f>
        <v>bldgs efficiency standards</v>
      </c>
      <c r="L224" s="261">
        <f>IF(ISBLANK(INDEX('Policy Characteristics'!F:F,MATCH($C224,'Policy Characteristics'!$C:$C,0))),"",INDEX('Policy Characteristics'!F:F,MATCH($C224,'Policy Characteristics'!$C:$C,0)))</f>
        <v>0</v>
      </c>
      <c r="M224" s="261">
        <f>IF(ISBLANK(INDEX('Policy Characteristics'!G:G,MATCH($C224,'Policy Characteristics'!$C:$C,0))),"",INDEX('Policy Characteristics'!G:G,MATCH($C224,'Policy Characteristics'!$C:$C,0)))</f>
        <v>0.75</v>
      </c>
      <c r="N224" s="261">
        <f>IF(ISBLANK(INDEX('Policy Characteristics'!H:H,MATCH($C224,'Policy Characteristics'!$C:$C,0))),"",INDEX('Policy Characteristics'!H:H,MATCH($C224,'Policy Characteristics'!$C:$C,0)))</f>
        <v>0.01</v>
      </c>
      <c r="O224" s="254" t="str">
        <f>IF(ISBLANK(INDEX('Policy Characteristics'!I:I,MATCH($C224,'Policy Characteristics'!$C:$C,0))),"",INDEX('Policy Characteristics'!I:I,MATCH($C224,'Policy Characteristics'!$C:$C,0)))</f>
        <v>% reduction in energy use</v>
      </c>
      <c r="P224" s="254"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4" t="str">
        <f>IF(ISBLANK(INDEX('Policy Characteristics'!K:K,MATCH($C224,'Policy Characteristics'!$C:$C,0))),"",INDEX('Policy Characteristics'!K:K,MATCH($C224,'Policy Characteristics'!$C:$C,0)))</f>
        <v>buildings-sector-main.html#eff-stds</v>
      </c>
      <c r="R224" s="254" t="str">
        <f>IF(ISBLANK(INDEX('Policy Characteristics'!L:L,MATCH($C224,'Policy Characteristics'!$C:$C,0))),"",INDEX('Policy Characteristics'!L:L,MATCH($C224,'Policy Characteristics'!$C:$C,0)))</f>
        <v>building-energy-efficiency-standards.html</v>
      </c>
    </row>
    <row r="225" spans="1:18" s="4" customFormat="1" x14ac:dyDescent="0.3">
      <c r="A225" s="254" t="str">
        <f>IF(ISBLANK(INDEX('Policy Characteristics'!A:A,MATCH($C225,'Policy Characteristics'!$C:$C,0))),"",INDEX('Policy Characteristics'!A:A,MATCH($C225,'Policy Characteristics'!$C:$C,0)))</f>
        <v>Buildings and Appliances</v>
      </c>
      <c r="B225" s="262" t="str">
        <f>IF(ISBLANK(INDEX('Policy Characteristics'!B:B,MATCH($C225,'Policy Characteristics'!$C:$C,0))),"",INDEX('Policy Characteristics'!B:B,MATCH($C225,'Policy Characteristics'!$C:$C,0)))</f>
        <v>Building Energy Efficiency Standards</v>
      </c>
      <c r="C225" s="254" t="str">
        <f t="shared" si="13"/>
        <v>Reduction in E Use Allowed by Component Eff Std</v>
      </c>
      <c r="D225" s="45" t="s">
        <v>119</v>
      </c>
      <c r="E225" s="45" t="s">
        <v>277</v>
      </c>
      <c r="F225" s="45" t="s">
        <v>125</v>
      </c>
      <c r="G225" s="45" t="s">
        <v>279</v>
      </c>
      <c r="H225" s="43">
        <v>154</v>
      </c>
      <c r="I225" s="324" t="s">
        <v>43</v>
      </c>
      <c r="J225" s="255" t="str">
        <f>IF(ISBLANK(INDEX('Policy Characteristics'!D:D,MATCH($C225,'Policy Characteristics'!$C:$C,0))),"",INDEX('Policy Characteristics'!D:D,MATCH($C225,'Policy Characteristics'!$C:$C,0)))</f>
        <v>Building Energy Efficiency Standards</v>
      </c>
      <c r="K225" s="254" t="str">
        <f>IF(ISBLANK(INDEX('Policy Characteristics'!E:E,MATCH($C225,'Policy Characteristics'!$C:$C,0))),"",INDEX('Policy Characteristics'!E:E,MATCH($C225,'Policy Characteristics'!$C:$C,0)))</f>
        <v>bldgs efficiency standards</v>
      </c>
      <c r="L225" s="261">
        <f>IF(ISBLANK(INDEX('Policy Characteristics'!F:F,MATCH($C225,'Policy Characteristics'!$C:$C,0))),"",INDEX('Policy Characteristics'!F:F,MATCH($C225,'Policy Characteristics'!$C:$C,0)))</f>
        <v>0</v>
      </c>
      <c r="M225" s="261">
        <f>IF(ISBLANK(INDEX('Policy Characteristics'!G:G,MATCH($C225,'Policy Characteristics'!$C:$C,0))),"",INDEX('Policy Characteristics'!G:G,MATCH($C225,'Policy Characteristics'!$C:$C,0)))</f>
        <v>0.75</v>
      </c>
      <c r="N225" s="261">
        <f>IF(ISBLANK(INDEX('Policy Characteristics'!H:H,MATCH($C225,'Policy Characteristics'!$C:$C,0))),"",INDEX('Policy Characteristics'!H:H,MATCH($C225,'Policy Characteristics'!$C:$C,0)))</f>
        <v>0.01</v>
      </c>
      <c r="O225" s="254" t="str">
        <f>IF(ISBLANK(INDEX('Policy Characteristics'!I:I,MATCH($C225,'Policy Characteristics'!$C:$C,0))),"",INDEX('Policy Characteristics'!I:I,MATCH($C225,'Policy Characteristics'!$C:$C,0)))</f>
        <v>% reduction in energy use</v>
      </c>
      <c r="P225" s="254"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4" t="str">
        <f>IF(ISBLANK(INDEX('Policy Characteristics'!K:K,MATCH($C225,'Policy Characteristics'!$C:$C,0))),"",INDEX('Policy Characteristics'!K:K,MATCH($C225,'Policy Characteristics'!$C:$C,0)))</f>
        <v>buildings-sector-main.html#eff-stds</v>
      </c>
      <c r="R225" s="254" t="str">
        <f>IF(ISBLANK(INDEX('Policy Characteristics'!L:L,MATCH($C225,'Policy Characteristics'!$C:$C,0))),"",INDEX('Policy Characteristics'!L:L,MATCH($C225,'Policy Characteristics'!$C:$C,0)))</f>
        <v>building-energy-efficiency-standards.html</v>
      </c>
    </row>
    <row r="226" spans="1:18" s="4" customFormat="1" x14ac:dyDescent="0.3">
      <c r="A226" s="254" t="str">
        <f>IF(ISBLANK(INDEX('Policy Characteristics'!A:A,MATCH($C226,'Policy Characteristics'!$C:$C,0))),"",INDEX('Policy Characteristics'!A:A,MATCH($C226,'Policy Characteristics'!$C:$C,0)))</f>
        <v>Buildings and Appliances</v>
      </c>
      <c r="B226" s="262" t="str">
        <f>IF(ISBLANK(INDEX('Policy Characteristics'!B:B,MATCH($C226,'Policy Characteristics'!$C:$C,0))),"",INDEX('Policy Characteristics'!B:B,MATCH($C226,'Policy Characteristics'!$C:$C,0)))</f>
        <v>Building Energy Efficiency Standards</v>
      </c>
      <c r="C226" s="254" t="str">
        <f t="shared" si="13"/>
        <v>Reduction in E Use Allowed by Component Eff Std</v>
      </c>
      <c r="D226" s="45" t="s">
        <v>120</v>
      </c>
      <c r="E226" s="45" t="s">
        <v>277</v>
      </c>
      <c r="F226" s="45" t="s">
        <v>126</v>
      </c>
      <c r="G226" s="45" t="s">
        <v>279</v>
      </c>
      <c r="H226" s="43">
        <v>155</v>
      </c>
      <c r="I226" s="324" t="s">
        <v>43</v>
      </c>
      <c r="J226" s="255" t="str">
        <f>IF(ISBLANK(INDEX('Policy Characteristics'!D:D,MATCH($C226,'Policy Characteristics'!$C:$C,0))),"",INDEX('Policy Characteristics'!D:D,MATCH($C226,'Policy Characteristics'!$C:$C,0)))</f>
        <v>Building Energy Efficiency Standards</v>
      </c>
      <c r="K226" s="254" t="str">
        <f>IF(ISBLANK(INDEX('Policy Characteristics'!E:E,MATCH($C226,'Policy Characteristics'!$C:$C,0))),"",INDEX('Policy Characteristics'!E:E,MATCH($C226,'Policy Characteristics'!$C:$C,0)))</f>
        <v>bldgs efficiency standards</v>
      </c>
      <c r="L226" s="261">
        <f>IF(ISBLANK(INDEX('Policy Characteristics'!F:F,MATCH($C226,'Policy Characteristics'!$C:$C,0))),"",INDEX('Policy Characteristics'!F:F,MATCH($C226,'Policy Characteristics'!$C:$C,0)))</f>
        <v>0</v>
      </c>
      <c r="M226" s="261">
        <f>IF(ISBLANK(INDEX('Policy Characteristics'!G:G,MATCH($C226,'Policy Characteristics'!$C:$C,0))),"",INDEX('Policy Characteristics'!G:G,MATCH($C226,'Policy Characteristics'!$C:$C,0)))</f>
        <v>0.75</v>
      </c>
      <c r="N226" s="261">
        <f>IF(ISBLANK(INDEX('Policy Characteristics'!H:H,MATCH($C226,'Policy Characteristics'!$C:$C,0))),"",INDEX('Policy Characteristics'!H:H,MATCH($C226,'Policy Characteristics'!$C:$C,0)))</f>
        <v>0.01</v>
      </c>
      <c r="O226" s="254" t="str">
        <f>IF(ISBLANK(INDEX('Policy Characteristics'!I:I,MATCH($C226,'Policy Characteristics'!$C:$C,0))),"",INDEX('Policy Characteristics'!I:I,MATCH($C226,'Policy Characteristics'!$C:$C,0)))</f>
        <v>% reduction in energy use</v>
      </c>
      <c r="P226" s="254"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4" t="str">
        <f>IF(ISBLANK(INDEX('Policy Characteristics'!K:K,MATCH($C226,'Policy Characteristics'!$C:$C,0))),"",INDEX('Policy Characteristics'!K:K,MATCH($C226,'Policy Characteristics'!$C:$C,0)))</f>
        <v>buildings-sector-main.html#eff-stds</v>
      </c>
      <c r="R226" s="254" t="str">
        <f>IF(ISBLANK(INDEX('Policy Characteristics'!L:L,MATCH($C226,'Policy Characteristics'!$C:$C,0))),"",INDEX('Policy Characteristics'!L:L,MATCH($C226,'Policy Characteristics'!$C:$C,0)))</f>
        <v>building-energy-efficiency-standards.html</v>
      </c>
    </row>
    <row r="227" spans="1:18" s="4" customFormat="1" x14ac:dyDescent="0.3">
      <c r="A227" s="254" t="str">
        <f>IF(ISBLANK(INDEX('Policy Characteristics'!A:A,MATCH($C227,'Policy Characteristics'!$C:$C,0))),"",INDEX('Policy Characteristics'!A:A,MATCH($C227,'Policy Characteristics'!$C:$C,0)))</f>
        <v>Buildings and Appliances</v>
      </c>
      <c r="B227" s="262" t="str">
        <f>IF(ISBLANK(INDEX('Policy Characteristics'!B:B,MATCH($C227,'Policy Characteristics'!$C:$C,0))),"",INDEX('Policy Characteristics'!B:B,MATCH($C227,'Policy Characteristics'!$C:$C,0)))</f>
        <v>Building Energy Efficiency Standards</v>
      </c>
      <c r="C227" s="254" t="str">
        <f t="shared" si="13"/>
        <v>Reduction in E Use Allowed by Component Eff Std</v>
      </c>
      <c r="D227" s="45" t="s">
        <v>115</v>
      </c>
      <c r="E227" s="45" t="s">
        <v>278</v>
      </c>
      <c r="F227" s="45" t="s">
        <v>121</v>
      </c>
      <c r="G227" s="45" t="s">
        <v>164</v>
      </c>
      <c r="H227" s="43">
        <v>156</v>
      </c>
      <c r="I227" s="324" t="s">
        <v>43</v>
      </c>
      <c r="J227" s="255" t="str">
        <f>IF(ISBLANK(INDEX('Policy Characteristics'!D:D,MATCH($C227,'Policy Characteristics'!$C:$C,0))),"",INDEX('Policy Characteristics'!D:D,MATCH($C227,'Policy Characteristics'!$C:$C,0)))</f>
        <v>Building Energy Efficiency Standards</v>
      </c>
      <c r="K227" s="254" t="str">
        <f>IF(ISBLANK(INDEX('Policy Characteristics'!E:E,MATCH($C227,'Policy Characteristics'!$C:$C,0))),"",INDEX('Policy Characteristics'!E:E,MATCH($C227,'Policy Characteristics'!$C:$C,0)))</f>
        <v>bldgs efficiency standards</v>
      </c>
      <c r="L227" s="261">
        <f>IF(ISBLANK(INDEX('Policy Characteristics'!F:F,MATCH($C227,'Policy Characteristics'!$C:$C,0))),"",INDEX('Policy Characteristics'!F:F,MATCH($C227,'Policy Characteristics'!$C:$C,0)))</f>
        <v>0</v>
      </c>
      <c r="M227" s="261">
        <f>IF(ISBLANK(INDEX('Policy Characteristics'!G:G,MATCH($C227,'Policy Characteristics'!$C:$C,0))),"",INDEX('Policy Characteristics'!G:G,MATCH($C227,'Policy Characteristics'!$C:$C,0)))</f>
        <v>0.75</v>
      </c>
      <c r="N227" s="261">
        <f>IF(ISBLANK(INDEX('Policy Characteristics'!H:H,MATCH($C227,'Policy Characteristics'!$C:$C,0))),"",INDEX('Policy Characteristics'!H:H,MATCH($C227,'Policy Characteristics'!$C:$C,0)))</f>
        <v>0.01</v>
      </c>
      <c r="O227" s="254" t="str">
        <f>IF(ISBLANK(INDEX('Policy Characteristics'!I:I,MATCH($C227,'Policy Characteristics'!$C:$C,0))),"",INDEX('Policy Characteristics'!I:I,MATCH($C227,'Policy Characteristics'!$C:$C,0)))</f>
        <v>% reduction in energy use</v>
      </c>
      <c r="P227" s="254"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4" t="str">
        <f>IF(ISBLANK(INDEX('Policy Characteristics'!K:K,MATCH($C227,'Policy Characteristics'!$C:$C,0))),"",INDEX('Policy Characteristics'!K:K,MATCH($C227,'Policy Characteristics'!$C:$C,0)))</f>
        <v>buildings-sector-main.html#eff-stds</v>
      </c>
      <c r="R227" s="254" t="str">
        <f>IF(ISBLANK(INDEX('Policy Characteristics'!L:L,MATCH($C227,'Policy Characteristics'!$C:$C,0))),"",INDEX('Policy Characteristics'!L:L,MATCH($C227,'Policy Characteristics'!$C:$C,0)))</f>
        <v>building-energy-efficiency-standards.html</v>
      </c>
    </row>
    <row r="228" spans="1:18" s="4" customFormat="1" x14ac:dyDescent="0.3">
      <c r="A228" s="254" t="str">
        <f>IF(ISBLANK(INDEX('Policy Characteristics'!A:A,MATCH($C228,'Policy Characteristics'!$C:$C,0))),"",INDEX('Policy Characteristics'!A:A,MATCH($C228,'Policy Characteristics'!$C:$C,0)))</f>
        <v>Buildings and Appliances</v>
      </c>
      <c r="B228" s="262" t="str">
        <f>IF(ISBLANK(INDEX('Policy Characteristics'!B:B,MATCH($C228,'Policy Characteristics'!$C:$C,0))),"",INDEX('Policy Characteristics'!B:B,MATCH($C228,'Policy Characteristics'!$C:$C,0)))</f>
        <v>Building Energy Efficiency Standards</v>
      </c>
      <c r="C228" s="254" t="str">
        <f t="shared" si="13"/>
        <v>Reduction in E Use Allowed by Component Eff Std</v>
      </c>
      <c r="D228" s="45" t="s">
        <v>116</v>
      </c>
      <c r="E228" s="45" t="s">
        <v>278</v>
      </c>
      <c r="F228" s="45" t="s">
        <v>122</v>
      </c>
      <c r="G228" s="45" t="s">
        <v>164</v>
      </c>
      <c r="H228" s="43">
        <v>157</v>
      </c>
      <c r="I228" s="324" t="s">
        <v>43</v>
      </c>
      <c r="J228" s="255" t="str">
        <f>IF(ISBLANK(INDEX('Policy Characteristics'!D:D,MATCH($C228,'Policy Characteristics'!$C:$C,0))),"",INDEX('Policy Characteristics'!D:D,MATCH($C228,'Policy Characteristics'!$C:$C,0)))</f>
        <v>Building Energy Efficiency Standards</v>
      </c>
      <c r="K228" s="254" t="str">
        <f>IF(ISBLANK(INDEX('Policy Characteristics'!E:E,MATCH($C228,'Policy Characteristics'!$C:$C,0))),"",INDEX('Policy Characteristics'!E:E,MATCH($C228,'Policy Characteristics'!$C:$C,0)))</f>
        <v>bldgs efficiency standards</v>
      </c>
      <c r="L228" s="261">
        <f>IF(ISBLANK(INDEX('Policy Characteristics'!F:F,MATCH($C228,'Policy Characteristics'!$C:$C,0))),"",INDEX('Policy Characteristics'!F:F,MATCH($C228,'Policy Characteristics'!$C:$C,0)))</f>
        <v>0</v>
      </c>
      <c r="M228" s="261">
        <f>IF(ISBLANK(INDEX('Policy Characteristics'!G:G,MATCH($C228,'Policy Characteristics'!$C:$C,0))),"",INDEX('Policy Characteristics'!G:G,MATCH($C228,'Policy Characteristics'!$C:$C,0)))</f>
        <v>0.75</v>
      </c>
      <c r="N228" s="261">
        <f>IF(ISBLANK(INDEX('Policy Characteristics'!H:H,MATCH($C228,'Policy Characteristics'!$C:$C,0))),"",INDEX('Policy Characteristics'!H:H,MATCH($C228,'Policy Characteristics'!$C:$C,0)))</f>
        <v>0.01</v>
      </c>
      <c r="O228" s="254" t="str">
        <f>IF(ISBLANK(INDEX('Policy Characteristics'!I:I,MATCH($C228,'Policy Characteristics'!$C:$C,0))),"",INDEX('Policy Characteristics'!I:I,MATCH($C228,'Policy Characteristics'!$C:$C,0)))</f>
        <v>% reduction in energy use</v>
      </c>
      <c r="P228" s="254"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4" t="str">
        <f>IF(ISBLANK(INDEX('Policy Characteristics'!K:K,MATCH($C228,'Policy Characteristics'!$C:$C,0))),"",INDEX('Policy Characteristics'!K:K,MATCH($C228,'Policy Characteristics'!$C:$C,0)))</f>
        <v>buildings-sector-main.html#eff-stds</v>
      </c>
      <c r="R228" s="254" t="str">
        <f>IF(ISBLANK(INDEX('Policy Characteristics'!L:L,MATCH($C228,'Policy Characteristics'!$C:$C,0))),"",INDEX('Policy Characteristics'!L:L,MATCH($C228,'Policy Characteristics'!$C:$C,0)))</f>
        <v>building-energy-efficiency-standards.html</v>
      </c>
    </row>
    <row r="229" spans="1:18" s="4" customFormat="1" x14ac:dyDescent="0.3">
      <c r="A229" s="254" t="str">
        <f>IF(ISBLANK(INDEX('Policy Characteristics'!A:A,MATCH($C229,'Policy Characteristics'!$C:$C,0))),"",INDEX('Policy Characteristics'!A:A,MATCH($C229,'Policy Characteristics'!$C:$C,0)))</f>
        <v>Buildings and Appliances</v>
      </c>
      <c r="B229" s="262" t="str">
        <f>IF(ISBLANK(INDEX('Policy Characteristics'!B:B,MATCH($C229,'Policy Characteristics'!$C:$C,0))),"",INDEX('Policy Characteristics'!B:B,MATCH($C229,'Policy Characteristics'!$C:$C,0)))</f>
        <v>Building Energy Efficiency Standards</v>
      </c>
      <c r="C229" s="254" t="str">
        <f t="shared" si="13"/>
        <v>Reduction in E Use Allowed by Component Eff Std</v>
      </c>
      <c r="D229" s="45" t="s">
        <v>117</v>
      </c>
      <c r="E229" s="45" t="s">
        <v>278</v>
      </c>
      <c r="F229" s="45" t="s">
        <v>123</v>
      </c>
      <c r="G229" s="45" t="s">
        <v>164</v>
      </c>
      <c r="H229" s="43">
        <v>158</v>
      </c>
      <c r="I229" s="324" t="s">
        <v>43</v>
      </c>
      <c r="J229" s="255" t="str">
        <f>IF(ISBLANK(INDEX('Policy Characteristics'!D:D,MATCH($C229,'Policy Characteristics'!$C:$C,0))),"",INDEX('Policy Characteristics'!D:D,MATCH($C229,'Policy Characteristics'!$C:$C,0)))</f>
        <v>Building Energy Efficiency Standards</v>
      </c>
      <c r="K229" s="254" t="str">
        <f>IF(ISBLANK(INDEX('Policy Characteristics'!E:E,MATCH($C229,'Policy Characteristics'!$C:$C,0))),"",INDEX('Policy Characteristics'!E:E,MATCH($C229,'Policy Characteristics'!$C:$C,0)))</f>
        <v>bldgs efficiency standards</v>
      </c>
      <c r="L229" s="261">
        <f>IF(ISBLANK(INDEX('Policy Characteristics'!F:F,MATCH($C229,'Policy Characteristics'!$C:$C,0))),"",INDEX('Policy Characteristics'!F:F,MATCH($C229,'Policy Characteristics'!$C:$C,0)))</f>
        <v>0</v>
      </c>
      <c r="M229" s="261">
        <f>IF(ISBLANK(INDEX('Policy Characteristics'!G:G,MATCH($C229,'Policy Characteristics'!$C:$C,0))),"",INDEX('Policy Characteristics'!G:G,MATCH($C229,'Policy Characteristics'!$C:$C,0)))</f>
        <v>0.75</v>
      </c>
      <c r="N229" s="261">
        <f>IF(ISBLANK(INDEX('Policy Characteristics'!H:H,MATCH($C229,'Policy Characteristics'!$C:$C,0))),"",INDEX('Policy Characteristics'!H:H,MATCH($C229,'Policy Characteristics'!$C:$C,0)))</f>
        <v>0.01</v>
      </c>
      <c r="O229" s="254" t="str">
        <f>IF(ISBLANK(INDEX('Policy Characteristics'!I:I,MATCH($C229,'Policy Characteristics'!$C:$C,0))),"",INDEX('Policy Characteristics'!I:I,MATCH($C229,'Policy Characteristics'!$C:$C,0)))</f>
        <v>% reduction in energy use</v>
      </c>
      <c r="P229" s="254"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4" t="str">
        <f>IF(ISBLANK(INDEX('Policy Characteristics'!K:K,MATCH($C229,'Policy Characteristics'!$C:$C,0))),"",INDEX('Policy Characteristics'!K:K,MATCH($C229,'Policy Characteristics'!$C:$C,0)))</f>
        <v>buildings-sector-main.html#eff-stds</v>
      </c>
      <c r="R229" s="254" t="str">
        <f>IF(ISBLANK(INDEX('Policy Characteristics'!L:L,MATCH($C229,'Policy Characteristics'!$C:$C,0))),"",INDEX('Policy Characteristics'!L:L,MATCH($C229,'Policy Characteristics'!$C:$C,0)))</f>
        <v>building-energy-efficiency-standards.html</v>
      </c>
    </row>
    <row r="230" spans="1:18" s="4" customFormat="1" x14ac:dyDescent="0.3">
      <c r="A230" s="254" t="str">
        <f>IF(ISBLANK(INDEX('Policy Characteristics'!A:A,MATCH($C230,'Policy Characteristics'!$C:$C,0))),"",INDEX('Policy Characteristics'!A:A,MATCH($C230,'Policy Characteristics'!$C:$C,0)))</f>
        <v>Buildings and Appliances</v>
      </c>
      <c r="B230" s="262" t="str">
        <f>IF(ISBLANK(INDEX('Policy Characteristics'!B:B,MATCH($C230,'Policy Characteristics'!$C:$C,0))),"",INDEX('Policy Characteristics'!B:B,MATCH($C230,'Policy Characteristics'!$C:$C,0)))</f>
        <v>Building Energy Efficiency Standards</v>
      </c>
      <c r="C230" s="254" t="str">
        <f t="shared" si="13"/>
        <v>Reduction in E Use Allowed by Component Eff Std</v>
      </c>
      <c r="D230" s="45" t="s">
        <v>118</v>
      </c>
      <c r="E230" s="45" t="s">
        <v>278</v>
      </c>
      <c r="F230" s="45" t="s">
        <v>124</v>
      </c>
      <c r="G230" s="45" t="s">
        <v>164</v>
      </c>
      <c r="H230" s="43">
        <v>159</v>
      </c>
      <c r="I230" s="324" t="s">
        <v>43</v>
      </c>
      <c r="J230" s="255" t="str">
        <f>IF(ISBLANK(INDEX('Policy Characteristics'!D:D,MATCH($C230,'Policy Characteristics'!$C:$C,0))),"",INDEX('Policy Characteristics'!D:D,MATCH($C230,'Policy Characteristics'!$C:$C,0)))</f>
        <v>Building Energy Efficiency Standards</v>
      </c>
      <c r="K230" s="254" t="str">
        <f>IF(ISBLANK(INDEX('Policy Characteristics'!E:E,MATCH($C230,'Policy Characteristics'!$C:$C,0))),"",INDEX('Policy Characteristics'!E:E,MATCH($C230,'Policy Characteristics'!$C:$C,0)))</f>
        <v>bldgs efficiency standards</v>
      </c>
      <c r="L230" s="261">
        <f>IF(ISBLANK(INDEX('Policy Characteristics'!F:F,MATCH($C230,'Policy Characteristics'!$C:$C,0))),"",INDEX('Policy Characteristics'!F:F,MATCH($C230,'Policy Characteristics'!$C:$C,0)))</f>
        <v>0</v>
      </c>
      <c r="M230" s="261">
        <f>IF(ISBLANK(INDEX('Policy Characteristics'!G:G,MATCH($C230,'Policy Characteristics'!$C:$C,0))),"",INDEX('Policy Characteristics'!G:G,MATCH($C230,'Policy Characteristics'!$C:$C,0)))</f>
        <v>0.75</v>
      </c>
      <c r="N230" s="261">
        <f>IF(ISBLANK(INDEX('Policy Characteristics'!H:H,MATCH($C230,'Policy Characteristics'!$C:$C,0))),"",INDEX('Policy Characteristics'!H:H,MATCH($C230,'Policy Characteristics'!$C:$C,0)))</f>
        <v>0.01</v>
      </c>
      <c r="O230" s="254" t="str">
        <f>IF(ISBLANK(INDEX('Policy Characteristics'!I:I,MATCH($C230,'Policy Characteristics'!$C:$C,0))),"",INDEX('Policy Characteristics'!I:I,MATCH($C230,'Policy Characteristics'!$C:$C,0)))</f>
        <v>% reduction in energy use</v>
      </c>
      <c r="P230" s="254"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4" t="str">
        <f>IF(ISBLANK(INDEX('Policy Characteristics'!K:K,MATCH($C230,'Policy Characteristics'!$C:$C,0))),"",INDEX('Policy Characteristics'!K:K,MATCH($C230,'Policy Characteristics'!$C:$C,0)))</f>
        <v>buildings-sector-main.html#eff-stds</v>
      </c>
      <c r="R230" s="254" t="str">
        <f>IF(ISBLANK(INDEX('Policy Characteristics'!L:L,MATCH($C230,'Policy Characteristics'!$C:$C,0))),"",INDEX('Policy Characteristics'!L:L,MATCH($C230,'Policy Characteristics'!$C:$C,0)))</f>
        <v>building-energy-efficiency-standards.html</v>
      </c>
    </row>
    <row r="231" spans="1:18" s="4" customFormat="1" x14ac:dyDescent="0.3">
      <c r="A231" s="254" t="str">
        <f>IF(ISBLANK(INDEX('Policy Characteristics'!A:A,MATCH($C231,'Policy Characteristics'!$C:$C,0))),"",INDEX('Policy Characteristics'!A:A,MATCH($C231,'Policy Characteristics'!$C:$C,0)))</f>
        <v>Buildings and Appliances</v>
      </c>
      <c r="B231" s="262" t="str">
        <f>IF(ISBLANK(INDEX('Policy Characteristics'!B:B,MATCH($C231,'Policy Characteristics'!$C:$C,0))),"",INDEX('Policy Characteristics'!B:B,MATCH($C231,'Policy Characteristics'!$C:$C,0)))</f>
        <v>Building Energy Efficiency Standards</v>
      </c>
      <c r="C231" s="254" t="str">
        <f t="shared" si="13"/>
        <v>Reduction in E Use Allowed by Component Eff Std</v>
      </c>
      <c r="D231" s="45" t="s">
        <v>119</v>
      </c>
      <c r="E231" s="45" t="s">
        <v>278</v>
      </c>
      <c r="F231" s="45" t="s">
        <v>125</v>
      </c>
      <c r="G231" s="45" t="s">
        <v>164</v>
      </c>
      <c r="H231" s="43">
        <v>160</v>
      </c>
      <c r="I231" s="324" t="s">
        <v>43</v>
      </c>
      <c r="J231" s="255" t="str">
        <f>IF(ISBLANK(INDEX('Policy Characteristics'!D:D,MATCH($C231,'Policy Characteristics'!$C:$C,0))),"",INDEX('Policy Characteristics'!D:D,MATCH($C231,'Policy Characteristics'!$C:$C,0)))</f>
        <v>Building Energy Efficiency Standards</v>
      </c>
      <c r="K231" s="254" t="str">
        <f>IF(ISBLANK(INDEX('Policy Characteristics'!E:E,MATCH($C231,'Policy Characteristics'!$C:$C,0))),"",INDEX('Policy Characteristics'!E:E,MATCH($C231,'Policy Characteristics'!$C:$C,0)))</f>
        <v>bldgs efficiency standards</v>
      </c>
      <c r="L231" s="261">
        <f>IF(ISBLANK(INDEX('Policy Characteristics'!F:F,MATCH($C231,'Policy Characteristics'!$C:$C,0))),"",INDEX('Policy Characteristics'!F:F,MATCH($C231,'Policy Characteristics'!$C:$C,0)))</f>
        <v>0</v>
      </c>
      <c r="M231" s="261">
        <f>IF(ISBLANK(INDEX('Policy Characteristics'!G:G,MATCH($C231,'Policy Characteristics'!$C:$C,0))),"",INDEX('Policy Characteristics'!G:G,MATCH($C231,'Policy Characteristics'!$C:$C,0)))</f>
        <v>0.75</v>
      </c>
      <c r="N231" s="261">
        <f>IF(ISBLANK(INDEX('Policy Characteristics'!H:H,MATCH($C231,'Policy Characteristics'!$C:$C,0))),"",INDEX('Policy Characteristics'!H:H,MATCH($C231,'Policy Characteristics'!$C:$C,0)))</f>
        <v>0.01</v>
      </c>
      <c r="O231" s="254" t="str">
        <f>IF(ISBLANK(INDEX('Policy Characteristics'!I:I,MATCH($C231,'Policy Characteristics'!$C:$C,0))),"",INDEX('Policy Characteristics'!I:I,MATCH($C231,'Policy Characteristics'!$C:$C,0)))</f>
        <v>% reduction in energy use</v>
      </c>
      <c r="P231" s="254"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4" t="str">
        <f>IF(ISBLANK(INDEX('Policy Characteristics'!K:K,MATCH($C231,'Policy Characteristics'!$C:$C,0))),"",INDEX('Policy Characteristics'!K:K,MATCH($C231,'Policy Characteristics'!$C:$C,0)))</f>
        <v>buildings-sector-main.html#eff-stds</v>
      </c>
      <c r="R231" s="254" t="str">
        <f>IF(ISBLANK(INDEX('Policy Characteristics'!L:L,MATCH($C231,'Policy Characteristics'!$C:$C,0))),"",INDEX('Policy Characteristics'!L:L,MATCH($C231,'Policy Characteristics'!$C:$C,0)))</f>
        <v>building-energy-efficiency-standards.html</v>
      </c>
    </row>
    <row r="232" spans="1:18" s="4" customFormat="1" x14ac:dyDescent="0.3">
      <c r="A232" s="254" t="str">
        <f>IF(ISBLANK(INDEX('Policy Characteristics'!A:A,MATCH($C232,'Policy Characteristics'!$C:$C,0))),"",INDEX('Policy Characteristics'!A:A,MATCH($C232,'Policy Characteristics'!$C:$C,0)))</f>
        <v>Buildings and Appliances</v>
      </c>
      <c r="B232" s="262" t="str">
        <f>IF(ISBLANK(INDEX('Policy Characteristics'!B:B,MATCH($C232,'Policy Characteristics'!$C:$C,0))),"",INDEX('Policy Characteristics'!B:B,MATCH($C232,'Policy Characteristics'!$C:$C,0)))</f>
        <v>Building Energy Efficiency Standards</v>
      </c>
      <c r="C232" s="254" t="str">
        <f t="shared" ref="C232" si="14">C$215</f>
        <v>Reduction in E Use Allowed by Component Eff Std</v>
      </c>
      <c r="D232" s="45" t="s">
        <v>120</v>
      </c>
      <c r="E232" s="45" t="s">
        <v>278</v>
      </c>
      <c r="F232" s="45" t="s">
        <v>126</v>
      </c>
      <c r="G232" s="45" t="s">
        <v>164</v>
      </c>
      <c r="H232" s="43">
        <v>161</v>
      </c>
      <c r="I232" s="324" t="s">
        <v>43</v>
      </c>
      <c r="J232" s="255" t="str">
        <f>IF(ISBLANK(INDEX('Policy Characteristics'!D:D,MATCH($C232,'Policy Characteristics'!$C:$C,0))),"",INDEX('Policy Characteristics'!D:D,MATCH($C232,'Policy Characteristics'!$C:$C,0)))</f>
        <v>Building Energy Efficiency Standards</v>
      </c>
      <c r="K232" s="254" t="str">
        <f>IF(ISBLANK(INDEX('Policy Characteristics'!E:E,MATCH($C232,'Policy Characteristics'!$C:$C,0))),"",INDEX('Policy Characteristics'!E:E,MATCH($C232,'Policy Characteristics'!$C:$C,0)))</f>
        <v>bldgs efficiency standards</v>
      </c>
      <c r="L232" s="261">
        <f>IF(ISBLANK(INDEX('Policy Characteristics'!F:F,MATCH($C232,'Policy Characteristics'!$C:$C,0))),"",INDEX('Policy Characteristics'!F:F,MATCH($C232,'Policy Characteristics'!$C:$C,0)))</f>
        <v>0</v>
      </c>
      <c r="M232" s="261">
        <f>IF(ISBLANK(INDEX('Policy Characteristics'!G:G,MATCH($C232,'Policy Characteristics'!$C:$C,0))),"",INDEX('Policy Characteristics'!G:G,MATCH($C232,'Policy Characteristics'!$C:$C,0)))</f>
        <v>0.75</v>
      </c>
      <c r="N232" s="261">
        <f>IF(ISBLANK(INDEX('Policy Characteristics'!H:H,MATCH($C232,'Policy Characteristics'!$C:$C,0))),"",INDEX('Policy Characteristics'!H:H,MATCH($C232,'Policy Characteristics'!$C:$C,0)))</f>
        <v>0.01</v>
      </c>
      <c r="O232" s="254" t="str">
        <f>IF(ISBLANK(INDEX('Policy Characteristics'!I:I,MATCH($C232,'Policy Characteristics'!$C:$C,0))),"",INDEX('Policy Characteristics'!I:I,MATCH($C232,'Policy Characteristics'!$C:$C,0)))</f>
        <v>% reduction in energy use</v>
      </c>
      <c r="P232" s="254"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4" t="str">
        <f>IF(ISBLANK(INDEX('Policy Characteristics'!K:K,MATCH($C232,'Policy Characteristics'!$C:$C,0))),"",INDEX('Policy Characteristics'!K:K,MATCH($C232,'Policy Characteristics'!$C:$C,0)))</f>
        <v>buildings-sector-main.html#eff-stds</v>
      </c>
      <c r="R232" s="254" t="str">
        <f>IF(ISBLANK(INDEX('Policy Characteristics'!L:L,MATCH($C232,'Policy Characteristics'!$C:$C,0))),"",INDEX('Policy Characteristics'!L:L,MATCH($C232,'Policy Characteristics'!$C:$C,0)))</f>
        <v>building-energy-efficiency-standards.html</v>
      </c>
    </row>
    <row r="233" spans="1:18" s="4" customFormat="1" x14ac:dyDescent="0.3">
      <c r="A233" s="254" t="str">
        <f>IF(ISBLANK(INDEX('Policy Characteristics'!A:A,MATCH($C233,'Policy Characteristics'!$C:$C,0))),"",INDEX('Policy Characteristics'!A:A,MATCH($C233,'Policy Characteristics'!$C:$C,0)))</f>
        <v>Buildings and Appliances</v>
      </c>
      <c r="B233" s="262" t="str">
        <f>IF(ISBLANK(INDEX('Policy Characteristics'!B:B,MATCH($C233,'Policy Characteristics'!$C:$C,0))),"",INDEX('Policy Characteristics'!B:B,MATCH($C233,'Policy Characteristics'!$C:$C,0)))</f>
        <v>Contractor Training</v>
      </c>
      <c r="C233" t="s">
        <v>7</v>
      </c>
      <c r="D233" s="45"/>
      <c r="E233" s="45"/>
      <c r="F233" s="45"/>
      <c r="G233" s="45"/>
      <c r="H233" s="43">
        <v>19</v>
      </c>
      <c r="I233" s="324" t="s">
        <v>43</v>
      </c>
      <c r="J233" s="255" t="str">
        <f>IF(ISBLANK(INDEX('Policy Characteristics'!D:D,MATCH($C233,'Policy Characteristics'!$C:$C,0))),"",INDEX('Policy Characteristics'!D:D,MATCH($C233,'Policy Characteristics'!$C:$C,0)))</f>
        <v>Contractor Training</v>
      </c>
      <c r="K233" s="254" t="str">
        <f>IF(ISBLANK(INDEX('Policy Characteristics'!E:E,MATCH($C233,'Policy Characteristics'!$C:$C,0))),"",INDEX('Policy Characteristics'!E:E,MATCH($C233,'Policy Characteristics'!$C:$C,0)))</f>
        <v>bldgs contractor training</v>
      </c>
      <c r="L233" s="254">
        <f>IF(ISBLANK(INDEX('Policy Characteristics'!F:F,MATCH($C233,'Policy Characteristics'!$C:$C,0))),"",INDEX('Policy Characteristics'!F:F,MATCH($C233,'Policy Characteristics'!$C:$C,0)))</f>
        <v>0</v>
      </c>
      <c r="M233" s="254">
        <f>IF(ISBLANK(INDEX('Policy Characteristics'!G:G,MATCH($C233,'Policy Characteristics'!$C:$C,0))),"",INDEX('Policy Characteristics'!G:G,MATCH($C233,'Policy Characteristics'!$C:$C,0)))</f>
        <v>1</v>
      </c>
      <c r="N233" s="254">
        <f>IF(ISBLANK(INDEX('Policy Characteristics'!H:H,MATCH($C233,'Policy Characteristics'!$C:$C,0))),"",INDEX('Policy Characteristics'!H:H,MATCH($C233,'Policy Characteristics'!$C:$C,0)))</f>
        <v>1</v>
      </c>
      <c r="O233" s="254" t="str">
        <f>IF(ISBLANK(INDEX('Policy Characteristics'!I:I,MATCH($C233,'Policy Characteristics'!$C:$C,0))),"",INDEX('Policy Characteristics'!I:I,MATCH($C233,'Policy Characteristics'!$C:$C,0)))</f>
        <v>on/off</v>
      </c>
      <c r="P233" s="254"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254" t="str">
        <f>IF(ISBLANK(INDEX('Policy Characteristics'!K:K,MATCH($C233,'Policy Characteristics'!$C:$C,0))),"",INDEX('Policy Characteristics'!K:K,MATCH($C233,'Policy Characteristics'!$C:$C,0)))</f>
        <v>buildings-sector-main.html#contractor-ed</v>
      </c>
      <c r="R233" s="254" t="str">
        <f>IF(ISBLANK(INDEX('Policy Characteristics'!L:L,MATCH($C233,'Policy Characteristics'!$C:$C,0))),"",INDEX('Policy Characteristics'!L:L,MATCH($C233,'Policy Characteristics'!$C:$C,0)))</f>
        <v>contractor-training.html</v>
      </c>
    </row>
    <row r="234" spans="1:18" s="4" customFormat="1" x14ac:dyDescent="0.3">
      <c r="A234" s="254" t="str">
        <f>IF(ISBLANK(INDEX('Policy Characteristics'!A:A,MATCH($C234,'Policy Characteristics'!$C:$C,0))),"",INDEX('Policy Characteristics'!A:A,MATCH($C234,'Policy Characteristics'!$C:$C,0)))</f>
        <v>Buildings and Appliances</v>
      </c>
      <c r="B234" s="262" t="str">
        <f>IF(ISBLANK(INDEX('Policy Characteristics'!B:B,MATCH($C234,'Policy Characteristics'!$C:$C,0))),"",INDEX('Policy Characteristics'!B:B,MATCH($C234,'Policy Characteristics'!$C:$C,0)))</f>
        <v>Distributed Solar Carve-Out</v>
      </c>
      <c r="C234" t="s">
        <v>300</v>
      </c>
      <c r="D234" s="45"/>
      <c r="E234" s="45"/>
      <c r="F234" s="45"/>
      <c r="G234" s="45"/>
      <c r="H234" s="43">
        <v>146</v>
      </c>
      <c r="I234" s="324" t="s">
        <v>43</v>
      </c>
      <c r="J234" s="255" t="str">
        <f>IF(ISBLANK(INDEX('Policy Characteristics'!D:D,MATCH($C234,'Policy Characteristics'!$C:$C,0))),"",INDEX('Policy Characteristics'!D:D,MATCH($C234,'Policy Characteristics'!$C:$C,0)))</f>
        <v>Distributed Solar Promotion</v>
      </c>
      <c r="K234" s="254" t="str">
        <f>IF(ISBLANK(INDEX('Policy Characteristics'!E:E,MATCH($C234,'Policy Characteristics'!$C:$C,0))),"",INDEX('Policy Characteristics'!E:E,MATCH($C234,'Policy Characteristics'!$C:$C,0)))</f>
        <v>bldgs min fraction distributed solar</v>
      </c>
      <c r="L234" s="261">
        <f>IF(ISBLANK(INDEX('Policy Characteristics'!F:F,MATCH($C234,'Policy Characteristics'!$C:$C,0))),"",INDEX('Policy Characteristics'!F:F,MATCH($C234,'Policy Characteristics'!$C:$C,0)))</f>
        <v>0</v>
      </c>
      <c r="M234" s="261">
        <f>IF(ISBLANK(INDEX('Policy Characteristics'!G:G,MATCH($C234,'Policy Characteristics'!$C:$C,0))),"",INDEX('Policy Characteristics'!G:G,MATCH($C234,'Policy Characteristics'!$C:$C,0)))</f>
        <v>0.24</v>
      </c>
      <c r="N234" s="261">
        <f>IF(ISBLANK(INDEX('Policy Characteristics'!H:H,MATCH($C234,'Policy Characteristics'!$C:$C,0))),"",INDEX('Policy Characteristics'!H:H,MATCH($C234,'Policy Characteristics'!$C:$C,0)))</f>
        <v>5.0000000000000001E-3</v>
      </c>
      <c r="O234" s="254" t="str">
        <f>IF(ISBLANK(INDEX('Policy Characteristics'!I:I,MATCH($C234,'Policy Characteristics'!$C:$C,0))),"",INDEX('Policy Characteristics'!I:I,MATCH($C234,'Policy Characteristics'!$C:$C,0)))</f>
        <v>minimum % elec from solar</v>
      </c>
      <c r="P234" s="254"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4" s="254" t="str">
        <f>IF(ISBLANK(INDEX('Policy Characteristics'!K:K,MATCH($C234,'Policy Characteristics'!$C:$C,0))),"",INDEX('Policy Characteristics'!K:K,MATCH($C234,'Policy Characteristics'!$C:$C,0)))</f>
        <v>buildings-sector-main.html#solar-carve-out</v>
      </c>
      <c r="R234" s="254" t="str">
        <f>IF(ISBLANK(INDEX('Policy Characteristics'!L:L,MATCH($C234,'Policy Characteristics'!$C:$C,0))),"",INDEX('Policy Characteristics'!L:L,MATCH($C234,'Policy Characteristics'!$C:$C,0)))</f>
        <v>solar-carve-out.html</v>
      </c>
    </row>
    <row r="235" spans="1:18" s="4" customFormat="1" x14ac:dyDescent="0.3">
      <c r="A235" s="254" t="str">
        <f>IF(ISBLANK(INDEX('Policy Characteristics'!A:A,MATCH($C235,'Policy Characteristics'!$C:$C,0))),"",INDEX('Policy Characteristics'!A:A,MATCH($C235,'Policy Characteristics'!$C:$C,0)))</f>
        <v>Buildings and Appliances</v>
      </c>
      <c r="B235" s="262" t="str">
        <f>IF(ISBLANK(INDEX('Policy Characteristics'!B:B,MATCH($C235,'Policy Characteristics'!$C:$C,0))),"",INDEX('Policy Characteristics'!B:B,MATCH($C235,'Policy Characteristics'!$C:$C,0)))</f>
        <v>Distributed Solar Subsidy</v>
      </c>
      <c r="C235" s="1" t="s">
        <v>3458</v>
      </c>
      <c r="D235" s="45" t="s">
        <v>276</v>
      </c>
      <c r="E235" s="45"/>
      <c r="F235" s="45" t="s">
        <v>280</v>
      </c>
      <c r="G235" s="45"/>
      <c r="H235" s="43">
        <v>147</v>
      </c>
      <c r="I235" s="324" t="s">
        <v>43</v>
      </c>
      <c r="J235" s="255" t="str">
        <f>IF(ISBLANK(INDEX('Policy Characteristics'!D:D,MATCH($C235,'Policy Characteristics'!$C:$C,0))),"",INDEX('Policy Characteristics'!D:D,MATCH($C235,'Policy Characteristics'!$C:$C,0)))</f>
        <v>Distributed Solar Promotion</v>
      </c>
      <c r="K235" s="254" t="str">
        <f>IF(ISBLANK(INDEX('Policy Characteristics'!E:E,MATCH($C235,'Policy Characteristics'!$C:$C,0))),"",INDEX('Policy Characteristics'!E:E,MATCH($C235,'Policy Characteristics'!$C:$C,0)))</f>
        <v>bldgs distributed solar subsidy</v>
      </c>
      <c r="L235" s="261">
        <f>IF(ISBLANK(INDEX('Policy Characteristics'!F:F,MATCH($C235,'Policy Characteristics'!$C:$C,0))),"",INDEX('Policy Characteristics'!F:F,MATCH($C235,'Policy Characteristics'!$C:$C,0)))</f>
        <v>0</v>
      </c>
      <c r="M235" s="261">
        <f>IF(ISBLANK(INDEX('Policy Characteristics'!G:G,MATCH($C235,'Policy Characteristics'!$C:$C,0))),"",INDEX('Policy Characteristics'!G:G,MATCH($C235,'Policy Characteristics'!$C:$C,0)))</f>
        <v>0.5</v>
      </c>
      <c r="N235" s="261">
        <f>IF(ISBLANK(INDEX('Policy Characteristics'!H:H,MATCH($C235,'Policy Characteristics'!$C:$C,0))),"",INDEX('Policy Characteristics'!H:H,MATCH($C235,'Policy Characteristics'!$C:$C,0)))</f>
        <v>0.01</v>
      </c>
      <c r="O235" s="254" t="str">
        <f>IF(ISBLANK(INDEX('Policy Characteristics'!I:I,MATCH($C235,'Policy Characteristics'!$C:$C,0))),"",INDEX('Policy Characteristics'!I:I,MATCH($C235,'Policy Characteristics'!$C:$C,0)))</f>
        <v>% of PV system cost</v>
      </c>
      <c r="P235" s="254" t="str">
        <f>IF(ISBLANK(INDEX('Policy Characteristics'!J:J,MATCH($C235,'Policy Characteristics'!$C:$C,0))),"",INDEX('Policy Characteristics'!J:J,MATCH($C235,'Policy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5" s="254" t="str">
        <f>IF(ISBLANK(INDEX('Policy Characteristics'!K:K,MATCH($C235,'Policy Characteristics'!$C:$C,0))),"",INDEX('Policy Characteristics'!K:K,MATCH($C235,'Policy Characteristics'!$C:$C,0)))</f>
        <v>buildings-sector-main.html#distributed-solar-subsidy</v>
      </c>
      <c r="R235" s="254" t="str">
        <f>IF(ISBLANK(INDEX('Policy Characteristics'!L:L,MATCH($C235,'Policy Characteristics'!$C:$C,0))),"",INDEX('Policy Characteristics'!L:L,MATCH($C235,'Policy Characteristics'!$C:$C,0)))</f>
        <v>distributed-solar-subsidy.html</v>
      </c>
    </row>
    <row r="236" spans="1:18" s="4" customFormat="1" x14ac:dyDescent="0.3">
      <c r="A236" s="254" t="str">
        <f>IF(ISBLANK(INDEX('Policy Characteristics'!A:A,MATCH($C236,'Policy Characteristics'!$C:$C,0))),"",INDEX('Policy Characteristics'!A:A,MATCH($C236,'Policy Characteristics'!$C:$C,0)))</f>
        <v>Buildings and Appliances</v>
      </c>
      <c r="B236" s="262" t="str">
        <f>IF(ISBLANK(INDEX('Policy Characteristics'!B:B,MATCH($C236,'Policy Characteristics'!$C:$C,0))),"",INDEX('Policy Characteristics'!B:B,MATCH($C236,'Policy Characteristics'!$C:$C,0)))</f>
        <v>Distributed Solar Subsidy</v>
      </c>
      <c r="C236" s="254" t="str">
        <f>$C$235</f>
        <v>Additional Perc Subsidy for Distributed Solar PV Capacity</v>
      </c>
      <c r="D236" s="45" t="s">
        <v>277</v>
      </c>
      <c r="E236" s="45"/>
      <c r="F236" s="45" t="s">
        <v>279</v>
      </c>
      <c r="G236" s="45"/>
      <c r="H236" s="43">
        <v>1728</v>
      </c>
      <c r="I236" s="324" t="s">
        <v>43</v>
      </c>
      <c r="J236" s="255" t="str">
        <f>IF(ISBLANK(INDEX('Policy Characteristics'!D:D,MATCH($C236,'Policy Characteristics'!$C:$C,0))),"",INDEX('Policy Characteristics'!D:D,MATCH($C236,'Policy Characteristics'!$C:$C,0)))</f>
        <v>Distributed Solar Promotion</v>
      </c>
      <c r="K236" s="254" t="str">
        <f>IF(ISBLANK(INDEX('Policy Characteristics'!E:E,MATCH($C236,'Policy Characteristics'!$C:$C,0))),"",INDEX('Policy Characteristics'!E:E,MATCH($C236,'Policy Characteristics'!$C:$C,0)))</f>
        <v>bldgs distributed solar subsidy</v>
      </c>
      <c r="L236" s="261">
        <f>IF(ISBLANK(INDEX('Policy Characteristics'!F:F,MATCH($C236,'Policy Characteristics'!$C:$C,0))),"",INDEX('Policy Characteristics'!F:F,MATCH($C236,'Policy Characteristics'!$C:$C,0)))</f>
        <v>0</v>
      </c>
      <c r="M236" s="261">
        <f>IF(ISBLANK(INDEX('Policy Characteristics'!G:G,MATCH($C236,'Policy Characteristics'!$C:$C,0))),"",INDEX('Policy Characteristics'!G:G,MATCH($C236,'Policy Characteristics'!$C:$C,0)))</f>
        <v>0.5</v>
      </c>
      <c r="N236" s="261">
        <f>IF(ISBLANK(INDEX('Policy Characteristics'!H:H,MATCH($C236,'Policy Characteristics'!$C:$C,0))),"",INDEX('Policy Characteristics'!H:H,MATCH($C236,'Policy Characteristics'!$C:$C,0)))</f>
        <v>0.01</v>
      </c>
      <c r="O236" s="254" t="str">
        <f>IF(ISBLANK(INDEX('Policy Characteristics'!I:I,MATCH($C236,'Policy Characteristics'!$C:$C,0))),"",INDEX('Policy Characteristics'!I:I,MATCH($C236,'Policy Characteristics'!$C:$C,0)))</f>
        <v>% of PV system cost</v>
      </c>
      <c r="P236" s="254"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4" t="str">
        <f>IF(ISBLANK(INDEX('Policy Characteristics'!K:K,MATCH($C236,'Policy Characteristics'!$C:$C,0))),"",INDEX('Policy Characteristics'!K:K,MATCH($C236,'Policy Characteristics'!$C:$C,0)))</f>
        <v>buildings-sector-main.html#distributed-solar-subsidy</v>
      </c>
      <c r="R236" s="254" t="str">
        <f>IF(ISBLANK(INDEX('Policy Characteristics'!L:L,MATCH($C236,'Policy Characteristics'!$C:$C,0))),"",INDEX('Policy Characteristics'!L:L,MATCH($C236,'Policy Characteristics'!$C:$C,0)))</f>
        <v>distributed-solar-subsidy.html</v>
      </c>
    </row>
    <row r="237" spans="1:18" s="4" customFormat="1" x14ac:dyDescent="0.3">
      <c r="A237" s="254" t="str">
        <f>IF(ISBLANK(INDEX('Policy Characteristics'!A:A,MATCH($C237,'Policy Characteristics'!$C:$C,0))),"",INDEX('Policy Characteristics'!A:A,MATCH($C237,'Policy Characteristics'!$C:$C,0)))</f>
        <v>Buildings and Appliances</v>
      </c>
      <c r="B237" s="262" t="str">
        <f>IF(ISBLANK(INDEX('Policy Characteristics'!B:B,MATCH($C237,'Policy Characteristics'!$C:$C,0))),"",INDEX('Policy Characteristics'!B:B,MATCH($C237,'Policy Characteristics'!$C:$C,0)))</f>
        <v>Distributed Solar Subsidy</v>
      </c>
      <c r="C237" s="254" t="str">
        <f>$C$235</f>
        <v>Additional Perc Subsidy for Distributed Solar PV Capacity</v>
      </c>
      <c r="D237" s="45" t="s">
        <v>278</v>
      </c>
      <c r="E237" s="45"/>
      <c r="F237" s="45" t="s">
        <v>164</v>
      </c>
      <c r="G237" s="45"/>
      <c r="H237" s="43">
        <v>1729</v>
      </c>
      <c r="I237" s="324" t="s">
        <v>43</v>
      </c>
      <c r="J237" s="255" t="str">
        <f>IF(ISBLANK(INDEX('Policy Characteristics'!D:D,MATCH($C237,'Policy Characteristics'!$C:$C,0))),"",INDEX('Policy Characteristics'!D:D,MATCH($C237,'Policy Characteristics'!$C:$C,0)))</f>
        <v>Distributed Solar Promotion</v>
      </c>
      <c r="K237" s="254" t="str">
        <f>IF(ISBLANK(INDEX('Policy Characteristics'!E:E,MATCH($C237,'Policy Characteristics'!$C:$C,0))),"",INDEX('Policy Characteristics'!E:E,MATCH($C237,'Policy Characteristics'!$C:$C,0)))</f>
        <v>bldgs distributed solar subsidy</v>
      </c>
      <c r="L237" s="261">
        <f>IF(ISBLANK(INDEX('Policy Characteristics'!F:F,MATCH($C237,'Policy Characteristics'!$C:$C,0))),"",INDEX('Policy Characteristics'!F:F,MATCH($C237,'Policy Characteristics'!$C:$C,0)))</f>
        <v>0</v>
      </c>
      <c r="M237" s="261">
        <f>IF(ISBLANK(INDEX('Policy Characteristics'!G:G,MATCH($C237,'Policy Characteristics'!$C:$C,0))),"",INDEX('Policy Characteristics'!G:G,MATCH($C237,'Policy Characteristics'!$C:$C,0)))</f>
        <v>0.5</v>
      </c>
      <c r="N237" s="261">
        <f>IF(ISBLANK(INDEX('Policy Characteristics'!H:H,MATCH($C237,'Policy Characteristics'!$C:$C,0))),"",INDEX('Policy Characteristics'!H:H,MATCH($C237,'Policy Characteristics'!$C:$C,0)))</f>
        <v>0.01</v>
      </c>
      <c r="O237" s="254" t="str">
        <f>IF(ISBLANK(INDEX('Policy Characteristics'!I:I,MATCH($C237,'Policy Characteristics'!$C:$C,0))),"",INDEX('Policy Characteristics'!I:I,MATCH($C237,'Policy Characteristics'!$C:$C,0)))</f>
        <v>% of PV system cost</v>
      </c>
      <c r="P237" s="254"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4" t="str">
        <f>IF(ISBLANK(INDEX('Policy Characteristics'!K:K,MATCH($C237,'Policy Characteristics'!$C:$C,0))),"",INDEX('Policy Characteristics'!K:K,MATCH($C237,'Policy Characteristics'!$C:$C,0)))</f>
        <v>buildings-sector-main.html#distributed-solar-subsidy</v>
      </c>
      <c r="R237" s="254" t="str">
        <f>IF(ISBLANK(INDEX('Policy Characteristics'!L:L,MATCH($C237,'Policy Characteristics'!$C:$C,0))),"",INDEX('Policy Characteristics'!L:L,MATCH($C237,'Policy Characteristics'!$C:$C,0)))</f>
        <v>distributed-solar-subsidy.html</v>
      </c>
    </row>
    <row r="238" spans="1:18" s="4" customFormat="1" x14ac:dyDescent="0.3">
      <c r="A238" s="254" t="str">
        <f>IF(ISBLANK(INDEX('Policy Characteristics'!A:A,MATCH($C238,'Policy Characteristics'!$C:$C,0))),"",INDEX('Policy Characteristics'!A:A,MATCH($C238,'Policy Characteristics'!$C:$C,0)))</f>
        <v>Buildings and Appliances</v>
      </c>
      <c r="B238" s="262" t="str">
        <f>IF(ISBLANK(INDEX('Policy Characteristics'!B:B,MATCH($C238,'Policy Characteristics'!$C:$C,0))),"",INDEX('Policy Characteristics'!B:B,MATCH($C238,'Policy Characteristics'!$C:$C,0)))</f>
        <v>Distributed Solar Capacity Requirement</v>
      </c>
      <c r="C238" t="s">
        <v>3778</v>
      </c>
      <c r="D238" s="45" t="s">
        <v>276</v>
      </c>
      <c r="E238" s="45"/>
      <c r="F238" s="45" t="s">
        <v>280</v>
      </c>
      <c r="G238" s="45"/>
      <c r="H238" s="43">
        <v>2433</v>
      </c>
      <c r="I238" s="324" t="s">
        <v>43</v>
      </c>
      <c r="J238" s="255" t="str">
        <f>IF(ISBLANK(INDEX('Policy Characteristics'!D:D,MATCH($C238,'Policy Characteristics'!$C:$C,0))),"",INDEX('Policy Characteristics'!D:D,MATCH($C238,'Policy Characteristics'!$C:$C,0)))</f>
        <v>Distributed Solar Promotion</v>
      </c>
      <c r="K238" s="254" t="str">
        <f>IF(ISBLANK(INDEX('Policy Characteristics'!E:E,MATCH($C238,'Policy Characteristics'!$C:$C,0))),"",INDEX('Policy Characteristics'!E:E,MATCH($C238,'Policy Characteristics'!$C:$C,0)))</f>
        <v>bldgs min req rooftop solar</v>
      </c>
      <c r="L238" s="261">
        <f>IF(ISBLANK(INDEX('Policy Characteristics'!F:F,MATCH($C238,'Policy Characteristics'!$C:$C,0))),"",INDEX('Policy Characteristics'!F:F,MATCH($C238,'Policy Characteristics'!$C:$C,0)))</f>
        <v>0</v>
      </c>
      <c r="M238" s="407">
        <f>IF(ISBLANK(INDEX('Policy Characteristics'!G:G,MATCH($C238,'Policy Characteristics'!$C:$C,0))),"",INDEX('Policy Characteristics'!G:G,MATCH($C238,'Policy Characteristics'!$C:$C,0)))</f>
        <v>600000</v>
      </c>
      <c r="N238" s="407">
        <f>IF(ISBLANK(INDEX('Policy Characteristics'!H:H,MATCH($C238,'Policy Characteristics'!$C:$C,0))),"",INDEX('Policy Characteristics'!H:H,MATCH($C238,'Policy Characteristics'!$C:$C,0)))</f>
        <v>5000</v>
      </c>
      <c r="O238" s="254" t="str">
        <f>IF(ISBLANK(INDEX('Policy Characteristics'!I:I,MATCH($C238,'Policy Characteristics'!$C:$C,0))),"",INDEX('Policy Characteristics'!I:I,MATCH($C238,'Policy Characteristics'!$C:$C,0)))</f>
        <v>MW</v>
      </c>
      <c r="P238" s="254" t="str">
        <f>IF(ISBLANK(INDEX('Policy Characteristics'!J:J,MATCH($C238,'Policy Characteristics'!$C:$C,0))),"",INDEX('Policy Characteristics'!J:J,MATCH($C238,'Policy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8" s="254" t="str">
        <f>IF(ISBLANK(INDEX('Policy Characteristics'!K:K,MATCH($C238,'Policy Characteristics'!$C:$C,0))),"",INDEX('Policy Characteristics'!K:K,MATCH($C238,'Policy Characteristics'!$C:$C,0)))</f>
        <v/>
      </c>
      <c r="R238" s="254" t="str">
        <f>IF(ISBLANK(INDEX('Policy Characteristics'!L:L,MATCH($C238,'Policy Characteristics'!$C:$C,0))),"",INDEX('Policy Characteristics'!L:L,MATCH($C238,'Policy Characteristics'!$C:$C,0)))</f>
        <v/>
      </c>
    </row>
    <row r="239" spans="1:18" s="4" customFormat="1" x14ac:dyDescent="0.3">
      <c r="A239" s="254" t="str">
        <f>IF(ISBLANK(INDEX('Policy Characteristics'!A:A,MATCH($C239,'Policy Characteristics'!$C:$C,0))),"",INDEX('Policy Characteristics'!A:A,MATCH($C239,'Policy Characteristics'!$C:$C,0)))</f>
        <v>Buildings and Appliances</v>
      </c>
      <c r="B239" s="262" t="str">
        <f>IF(ISBLANK(INDEX('Policy Characteristics'!B:B,MATCH($C239,'Policy Characteristics'!$C:$C,0))),"",INDEX('Policy Characteristics'!B:B,MATCH($C239,'Policy Characteristics'!$C:$C,0)))</f>
        <v>Distributed Solar Capacity Requirement</v>
      </c>
      <c r="C239" s="254" t="str">
        <f>C$238</f>
        <v>Min Required Rooftop Solar Capacity</v>
      </c>
      <c r="D239" s="45" t="s">
        <v>277</v>
      </c>
      <c r="E239" s="45"/>
      <c r="F239" s="45" t="s">
        <v>279</v>
      </c>
      <c r="G239" s="45"/>
      <c r="H239" s="43">
        <v>2434</v>
      </c>
      <c r="I239" s="324" t="s">
        <v>43</v>
      </c>
      <c r="J239" s="255" t="str">
        <f>IF(ISBLANK(INDEX('Policy Characteristics'!D:D,MATCH($C239,'Policy Characteristics'!$C:$C,0))),"",INDEX('Policy Characteristics'!D:D,MATCH($C239,'Policy Characteristics'!$C:$C,0)))</f>
        <v>Distributed Solar Promotion</v>
      </c>
      <c r="K239" s="254" t="str">
        <f>IF(ISBLANK(INDEX('Policy Characteristics'!E:E,MATCH($C239,'Policy Characteristics'!$C:$C,0))),"",INDEX('Policy Characteristics'!E:E,MATCH($C239,'Policy Characteristics'!$C:$C,0)))</f>
        <v>bldgs min req rooftop solar</v>
      </c>
      <c r="L239" s="261">
        <f>IF(ISBLANK(INDEX('Policy Characteristics'!F:F,MATCH($C239,'Policy Characteristics'!$C:$C,0))),"",INDEX('Policy Characteristics'!F:F,MATCH($C239,'Policy Characteristics'!$C:$C,0)))</f>
        <v>0</v>
      </c>
      <c r="M239" s="407">
        <f>IF(ISBLANK(INDEX('Policy Characteristics'!G:G,MATCH($C239,'Policy Characteristics'!$C:$C,0))),"",INDEX('Policy Characteristics'!G:G,MATCH($C239,'Policy Characteristics'!$C:$C,0)))</f>
        <v>600000</v>
      </c>
      <c r="N239" s="407">
        <f>IF(ISBLANK(INDEX('Policy Characteristics'!H:H,MATCH($C239,'Policy Characteristics'!$C:$C,0))),"",INDEX('Policy Characteristics'!H:H,MATCH($C239,'Policy Characteristics'!$C:$C,0)))</f>
        <v>5000</v>
      </c>
      <c r="O239" s="254" t="str">
        <f>IF(ISBLANK(INDEX('Policy Characteristics'!I:I,MATCH($C239,'Policy Characteristics'!$C:$C,0))),"",INDEX('Policy Characteristics'!I:I,MATCH($C239,'Policy Characteristics'!$C:$C,0)))</f>
        <v>MW</v>
      </c>
      <c r="P239" s="254"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4" t="str">
        <f>IF(ISBLANK(INDEX('Policy Characteristics'!K:K,MATCH($C239,'Policy Characteristics'!$C:$C,0))),"",INDEX('Policy Characteristics'!K:K,MATCH($C239,'Policy Characteristics'!$C:$C,0)))</f>
        <v/>
      </c>
      <c r="R239" s="254" t="str">
        <f>IF(ISBLANK(INDEX('Policy Characteristics'!L:L,MATCH($C239,'Policy Characteristics'!$C:$C,0))),"",INDEX('Policy Characteristics'!L:L,MATCH($C239,'Policy Characteristics'!$C:$C,0)))</f>
        <v/>
      </c>
    </row>
    <row r="240" spans="1:18" s="4" customFormat="1" x14ac:dyDescent="0.3">
      <c r="A240" s="254" t="str">
        <f>IF(ISBLANK(INDEX('Policy Characteristics'!A:A,MATCH($C240,'Policy Characteristics'!$C:$C,0))),"",INDEX('Policy Characteristics'!A:A,MATCH($C240,'Policy Characteristics'!$C:$C,0)))</f>
        <v>Buildings and Appliances</v>
      </c>
      <c r="B240" s="262" t="str">
        <f>IF(ISBLANK(INDEX('Policy Characteristics'!B:B,MATCH($C240,'Policy Characteristics'!$C:$C,0))),"",INDEX('Policy Characteristics'!B:B,MATCH($C240,'Policy Characteristics'!$C:$C,0)))</f>
        <v>Distributed Solar Capacity Requirement</v>
      </c>
      <c r="C240" s="254" t="str">
        <f>C$238</f>
        <v>Min Required Rooftop Solar Capacity</v>
      </c>
      <c r="D240" s="45" t="s">
        <v>278</v>
      </c>
      <c r="E240" s="45"/>
      <c r="F240" s="45" t="s">
        <v>164</v>
      </c>
      <c r="G240" s="45"/>
      <c r="H240" s="43">
        <v>2435</v>
      </c>
      <c r="I240" s="324" t="s">
        <v>43</v>
      </c>
      <c r="J240" s="255" t="str">
        <f>IF(ISBLANK(INDEX('Policy Characteristics'!D:D,MATCH($C240,'Policy Characteristics'!$C:$C,0))),"",INDEX('Policy Characteristics'!D:D,MATCH($C240,'Policy Characteristics'!$C:$C,0)))</f>
        <v>Distributed Solar Promotion</v>
      </c>
      <c r="K240" s="254" t="str">
        <f>IF(ISBLANK(INDEX('Policy Characteristics'!E:E,MATCH($C240,'Policy Characteristics'!$C:$C,0))),"",INDEX('Policy Characteristics'!E:E,MATCH($C240,'Policy Characteristics'!$C:$C,0)))</f>
        <v>bldgs min req rooftop solar</v>
      </c>
      <c r="L240" s="261">
        <f>IF(ISBLANK(INDEX('Policy Characteristics'!F:F,MATCH($C240,'Policy Characteristics'!$C:$C,0))),"",INDEX('Policy Characteristics'!F:F,MATCH($C240,'Policy Characteristics'!$C:$C,0)))</f>
        <v>0</v>
      </c>
      <c r="M240" s="407">
        <f>IF(ISBLANK(INDEX('Policy Characteristics'!G:G,MATCH($C240,'Policy Characteristics'!$C:$C,0))),"",INDEX('Policy Characteristics'!G:G,MATCH($C240,'Policy Characteristics'!$C:$C,0)))</f>
        <v>600000</v>
      </c>
      <c r="N240" s="407">
        <f>IF(ISBLANK(INDEX('Policy Characteristics'!H:H,MATCH($C240,'Policy Characteristics'!$C:$C,0))),"",INDEX('Policy Characteristics'!H:H,MATCH($C240,'Policy Characteristics'!$C:$C,0)))</f>
        <v>5000</v>
      </c>
      <c r="O240" s="254" t="str">
        <f>IF(ISBLANK(INDEX('Policy Characteristics'!I:I,MATCH($C240,'Policy Characteristics'!$C:$C,0))),"",INDEX('Policy Characteristics'!I:I,MATCH($C240,'Policy Characteristics'!$C:$C,0)))</f>
        <v>MW</v>
      </c>
      <c r="P240" s="254"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4" t="str">
        <f>IF(ISBLANK(INDEX('Policy Characteristics'!K:K,MATCH($C240,'Policy Characteristics'!$C:$C,0))),"",INDEX('Policy Characteristics'!K:K,MATCH($C240,'Policy Characteristics'!$C:$C,0)))</f>
        <v/>
      </c>
      <c r="R240" s="254" t="str">
        <f>IF(ISBLANK(INDEX('Policy Characteristics'!L:L,MATCH($C240,'Policy Characteristics'!$C:$C,0))),"",INDEX('Policy Characteristics'!L:L,MATCH($C240,'Policy Characteristics'!$C:$C,0)))</f>
        <v/>
      </c>
    </row>
    <row r="241" spans="1:18" s="4" customFormat="1" x14ac:dyDescent="0.3">
      <c r="A241" s="254" t="str">
        <f>IF(ISBLANK(INDEX('Policy Characteristics'!A:A,MATCH($C241,'Policy Characteristics'!$C:$C,0))),"",INDEX('Policy Characteristics'!A:A,MATCH($C241,'Policy Characteristics'!$C:$C,0)))</f>
        <v>Buildings and Appliances</v>
      </c>
      <c r="B241" s="262" t="str">
        <f>IF(ISBLANK(INDEX('Policy Characteristics'!B:B,MATCH($C241,'Policy Characteristics'!$C:$C,0))),"",INDEX('Policy Characteristics'!B:B,MATCH($C241,'Policy Characteristics'!$C:$C,0)))</f>
        <v>Improved Labeling</v>
      </c>
      <c r="C241" t="s">
        <v>127</v>
      </c>
      <c r="D241" s="45"/>
      <c r="E241" s="45"/>
      <c r="F241" s="45"/>
      <c r="G241" s="45"/>
      <c r="H241" s="43">
        <v>20</v>
      </c>
      <c r="I241" s="324" t="s">
        <v>43</v>
      </c>
      <c r="J241" s="255" t="str">
        <f>IF(ISBLANK(INDEX('Policy Characteristics'!D:D,MATCH($C241,'Policy Characteristics'!$C:$C,0))),"",INDEX('Policy Characteristics'!D:D,MATCH($C241,'Policy Characteristics'!$C:$C,0)))</f>
        <v>Improved Labeling</v>
      </c>
      <c r="K241" s="254" t="str">
        <f>IF(ISBLANK(INDEX('Policy Characteristics'!E:E,MATCH($C241,'Policy Characteristics'!$C:$C,0))),"",INDEX('Policy Characteristics'!E:E,MATCH($C241,'Policy Characteristics'!$C:$C,0)))</f>
        <v>bldgs device labeling</v>
      </c>
      <c r="L241" s="254">
        <f>IF(ISBLANK(INDEX('Policy Characteristics'!F:F,MATCH($C241,'Policy Characteristics'!$C:$C,0))),"",INDEX('Policy Characteristics'!F:F,MATCH($C241,'Policy Characteristics'!$C:$C,0)))</f>
        <v>0</v>
      </c>
      <c r="M241" s="254">
        <f>IF(ISBLANK(INDEX('Policy Characteristics'!G:G,MATCH($C241,'Policy Characteristics'!$C:$C,0))),"",INDEX('Policy Characteristics'!G:G,MATCH($C241,'Policy Characteristics'!$C:$C,0)))</f>
        <v>1</v>
      </c>
      <c r="N241" s="254">
        <f>IF(ISBLANK(INDEX('Policy Characteristics'!H:H,MATCH($C241,'Policy Characteristics'!$C:$C,0))),"",INDEX('Policy Characteristics'!H:H,MATCH($C241,'Policy Characteristics'!$C:$C,0)))</f>
        <v>1</v>
      </c>
      <c r="O241" s="254" t="str">
        <f>IF(ISBLANK(INDEX('Policy Characteristics'!I:I,MATCH($C241,'Policy Characteristics'!$C:$C,0))),"",INDEX('Policy Characteristics'!I:I,MATCH($C241,'Policy Characteristics'!$C:$C,0)))</f>
        <v>on/off</v>
      </c>
      <c r="P241" s="254" t="str">
        <f>IF(ISBLANK(INDEX('Policy Characteristics'!J:J,MATCH($C241,'Policy Characteristics'!$C:$C,0))),"",INDEX('Policy Characteristics'!J:J,MATCH($C241,'Policy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1" s="254" t="str">
        <f>IF(ISBLANK(INDEX('Policy Characteristics'!K:K,MATCH($C241,'Policy Characteristics'!$C:$C,0))),"",INDEX('Policy Characteristics'!K:K,MATCH($C241,'Policy Characteristics'!$C:$C,0)))</f>
        <v>buildings-sector-main.html#device-labeling</v>
      </c>
      <c r="R241" s="254" t="str">
        <f>IF(ISBLANK(INDEX('Policy Characteristics'!L:L,MATCH($C241,'Policy Characteristics'!$C:$C,0))),"",INDEX('Policy Characteristics'!L:L,MATCH($C241,'Policy Characteristics'!$C:$C,0)))</f>
        <v>improved-labeling.html</v>
      </c>
    </row>
    <row r="242" spans="1:18" s="4" customFormat="1" x14ac:dyDescent="0.3">
      <c r="A242" s="254" t="str">
        <f>IF(ISBLANK(INDEX('Policy Characteristics'!A:A,MATCH($C242,'Policy Characteristics'!$C:$C,0))),"",INDEX('Policy Characteristics'!A:A,MATCH($C242,'Policy Characteristics'!$C:$C,0)))</f>
        <v>Buildings and Appliances</v>
      </c>
      <c r="B242" s="262" t="str">
        <f>IF(ISBLANK(INDEX('Policy Characteristics'!B:B,MATCH($C242,'Policy Characteristics'!$C:$C,0))),"",INDEX('Policy Characteristics'!B:B,MATCH($C242,'Policy Characteristics'!$C:$C,0)))</f>
        <v>Retrofit Existing Buildings</v>
      </c>
      <c r="C242" t="s">
        <v>2460</v>
      </c>
      <c r="D242" s="45" t="s">
        <v>276</v>
      </c>
      <c r="E242" s="45"/>
      <c r="F242" s="45" t="s">
        <v>280</v>
      </c>
      <c r="G242" s="45"/>
      <c r="H242" s="43">
        <v>378</v>
      </c>
      <c r="I242" s="324" t="s">
        <v>43</v>
      </c>
      <c r="J242" s="255" t="str">
        <f>IF(ISBLANK(INDEX('Policy Characteristics'!D:D,MATCH($C242,'Policy Characteristics'!$C:$C,0))),"",INDEX('Policy Characteristics'!D:D,MATCH($C242,'Policy Characteristics'!$C:$C,0)))</f>
        <v>Increased Retrofitting</v>
      </c>
      <c r="K242" s="254" t="str">
        <f>IF(ISBLANK(INDEX('Policy Characteristics'!E:E,MATCH($C242,'Policy Characteristics'!$C:$C,0))),"",INDEX('Policy Characteristics'!E:E,MATCH($C242,'Policy Characteristics'!$C:$C,0)))</f>
        <v>bldgs retrofitting</v>
      </c>
      <c r="L242" s="261">
        <f>IF(ISBLANK(INDEX('Policy Characteristics'!F:F,MATCH($C242,'Policy Characteristics'!$C:$C,0))),"",INDEX('Policy Characteristics'!F:F,MATCH($C242,'Policy Characteristics'!$C:$C,0)))</f>
        <v>0</v>
      </c>
      <c r="M242" s="261">
        <f>IF(ISBLANK(INDEX('Policy Characteristics'!G:G,MATCH($C242,'Policy Characteristics'!$C:$C,0))),"",INDEX('Policy Characteristics'!G:G,MATCH($C242,'Policy Characteristics'!$C:$C,0)))</f>
        <v>0.5</v>
      </c>
      <c r="N242" s="261">
        <f>IF(ISBLANK(INDEX('Policy Characteristics'!H:H,MATCH($C242,'Policy Characteristics'!$C:$C,0))),"",INDEX('Policy Characteristics'!H:H,MATCH($C242,'Policy Characteristics'!$C:$C,0)))</f>
        <v>0.01</v>
      </c>
      <c r="O242" s="254" t="str">
        <f>IF(ISBLANK(INDEX('Policy Characteristics'!I:I,MATCH($C242,'Policy Characteristics'!$C:$C,0))),"",INDEX('Policy Characteristics'!I:I,MATCH($C242,'Policy Characteristics'!$C:$C,0)))</f>
        <v>% of existing buildings</v>
      </c>
      <c r="P242" s="254" t="str">
        <f>IF(ISBLANK(INDEX('Policy Characteristics'!J:J,MATCH($C242,'Policy Characteristics'!$C:$C,0))),"",INDEX('Policy Characteristics'!J:J,MATCH($C242,'Policy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2" s="254" t="str">
        <f>IF(ISBLANK(INDEX('Policy Characteristics'!K:K,MATCH($C242,'Policy Characteristics'!$C:$C,0))),"",INDEX('Policy Characteristics'!K:K,MATCH($C242,'Policy Characteristics'!$C:$C,0)))</f>
        <v>buildings-sector-main.html#retrofitting</v>
      </c>
      <c r="R242" s="254" t="str">
        <f>IF(ISBLANK(INDEX('Policy Characteristics'!L:L,MATCH($C242,'Policy Characteristics'!$C:$C,0))),"",INDEX('Policy Characteristics'!L:L,MATCH($C242,'Policy Characteristics'!$C:$C,0)))</f>
        <v>increased-retrofitting.html</v>
      </c>
    </row>
    <row r="243" spans="1:18" s="4" customFormat="1" x14ac:dyDescent="0.3">
      <c r="A243" s="254" t="str">
        <f>IF(ISBLANK(INDEX('Policy Characteristics'!A:A,MATCH($C243,'Policy Characteristics'!$C:$C,0))),"",INDEX('Policy Characteristics'!A:A,MATCH($C243,'Policy Characteristics'!$C:$C,0)))</f>
        <v>Buildings and Appliances</v>
      </c>
      <c r="B243" s="262" t="str">
        <f>IF(ISBLANK(INDEX('Policy Characteristics'!B:B,MATCH($C243,'Policy Characteristics'!$C:$C,0))),"",INDEX('Policy Characteristics'!B:B,MATCH($C243,'Policy Characteristics'!$C:$C,0)))</f>
        <v>Retrofit Existing Buildings</v>
      </c>
      <c r="C243" s="254" t="str">
        <f t="shared" ref="C243:C244" si="15">C$242</f>
        <v>Share of Preexisting Buildings Subject to Retrofitting</v>
      </c>
      <c r="D243" s="45" t="s">
        <v>277</v>
      </c>
      <c r="E243" s="45"/>
      <c r="F243" s="45" t="s">
        <v>279</v>
      </c>
      <c r="G243" s="45"/>
      <c r="H243" s="43">
        <v>379</v>
      </c>
      <c r="I243" s="324" t="s">
        <v>43</v>
      </c>
      <c r="J243" s="255" t="str">
        <f>IF(ISBLANK(INDEX('Policy Characteristics'!D:D,MATCH($C243,'Policy Characteristics'!$C:$C,0))),"",INDEX('Policy Characteristics'!D:D,MATCH($C243,'Policy Characteristics'!$C:$C,0)))</f>
        <v>Increased Retrofitting</v>
      </c>
      <c r="K243" s="254" t="str">
        <f>IF(ISBLANK(INDEX('Policy Characteristics'!E:E,MATCH($C243,'Policy Characteristics'!$C:$C,0))),"",INDEX('Policy Characteristics'!E:E,MATCH($C243,'Policy Characteristics'!$C:$C,0)))</f>
        <v>bldgs retrofitting</v>
      </c>
      <c r="L243" s="261">
        <f>IF(ISBLANK(INDEX('Policy Characteristics'!F:F,MATCH($C243,'Policy Characteristics'!$C:$C,0))),"",INDEX('Policy Characteristics'!F:F,MATCH($C243,'Policy Characteristics'!$C:$C,0)))</f>
        <v>0</v>
      </c>
      <c r="M243" s="261">
        <f>IF(ISBLANK(INDEX('Policy Characteristics'!G:G,MATCH($C243,'Policy Characteristics'!$C:$C,0))),"",INDEX('Policy Characteristics'!G:G,MATCH($C243,'Policy Characteristics'!$C:$C,0)))</f>
        <v>0.5</v>
      </c>
      <c r="N243" s="261">
        <f>IF(ISBLANK(INDEX('Policy Characteristics'!H:H,MATCH($C243,'Policy Characteristics'!$C:$C,0))),"",INDEX('Policy Characteristics'!H:H,MATCH($C243,'Policy Characteristics'!$C:$C,0)))</f>
        <v>0.01</v>
      </c>
      <c r="O243" s="254" t="str">
        <f>IF(ISBLANK(INDEX('Policy Characteristics'!I:I,MATCH($C243,'Policy Characteristics'!$C:$C,0))),"",INDEX('Policy Characteristics'!I:I,MATCH($C243,'Policy Characteristics'!$C:$C,0)))</f>
        <v>% of existing buildings</v>
      </c>
      <c r="P243" s="254" t="str">
        <f>IF(ISBLANK(INDEX('Policy Characteristics'!J:J,MATCH($C243,'Policy Characteristics'!$C:$C,0))),"",INDEX('Policy Characteristics'!J:J,MATCH($C243,'Policy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3" s="254" t="str">
        <f>IF(ISBLANK(INDEX('Policy Characteristics'!K:K,MATCH($C243,'Policy Characteristics'!$C:$C,0))),"",INDEX('Policy Characteristics'!K:K,MATCH($C243,'Policy Characteristics'!$C:$C,0)))</f>
        <v>buildings-sector-main.html#retrofitting</v>
      </c>
      <c r="R243" s="254" t="str">
        <f>IF(ISBLANK(INDEX('Policy Characteristics'!L:L,MATCH($C243,'Policy Characteristics'!$C:$C,0))),"",INDEX('Policy Characteristics'!L:L,MATCH($C243,'Policy Characteristics'!$C:$C,0)))</f>
        <v>increased-retrofitting.html</v>
      </c>
    </row>
    <row r="244" spans="1:18" s="4" customFormat="1" x14ac:dyDescent="0.3">
      <c r="A244" s="254" t="str">
        <f>IF(ISBLANK(INDEX('Policy Characteristics'!A:A,MATCH($C244,'Policy Characteristics'!$C:$C,0))),"",INDEX('Policy Characteristics'!A:A,MATCH($C244,'Policy Characteristics'!$C:$C,0)))</f>
        <v>Buildings and Appliances</v>
      </c>
      <c r="B244" s="262" t="str">
        <f>IF(ISBLANK(INDEX('Policy Characteristics'!B:B,MATCH($C244,'Policy Characteristics'!$C:$C,0))),"",INDEX('Policy Characteristics'!B:B,MATCH($C244,'Policy Characteristics'!$C:$C,0)))</f>
        <v>Retrofit Existing Buildings</v>
      </c>
      <c r="C244" s="254" t="str">
        <f t="shared" si="15"/>
        <v>Share of Preexisting Buildings Subject to Retrofitting</v>
      </c>
      <c r="D244" s="45" t="s">
        <v>278</v>
      </c>
      <c r="E244" s="45"/>
      <c r="F244" s="45" t="s">
        <v>164</v>
      </c>
      <c r="G244" s="45"/>
      <c r="H244" s="43">
        <v>380</v>
      </c>
      <c r="I244" s="324" t="s">
        <v>43</v>
      </c>
      <c r="J244" s="255" t="str">
        <f>IF(ISBLANK(INDEX('Policy Characteristics'!D:D,MATCH($C244,'Policy Characteristics'!$C:$C,0))),"",INDEX('Policy Characteristics'!D:D,MATCH($C244,'Policy Characteristics'!$C:$C,0)))</f>
        <v>Increased Retrofitting</v>
      </c>
      <c r="K244" s="254" t="str">
        <f>IF(ISBLANK(INDEX('Policy Characteristics'!E:E,MATCH($C244,'Policy Characteristics'!$C:$C,0))),"",INDEX('Policy Characteristics'!E:E,MATCH($C244,'Policy Characteristics'!$C:$C,0)))</f>
        <v>bldgs retrofitting</v>
      </c>
      <c r="L244" s="261">
        <f>IF(ISBLANK(INDEX('Policy Characteristics'!F:F,MATCH($C244,'Policy Characteristics'!$C:$C,0))),"",INDEX('Policy Characteristics'!F:F,MATCH($C244,'Policy Characteristics'!$C:$C,0)))</f>
        <v>0</v>
      </c>
      <c r="M244" s="261">
        <f>IF(ISBLANK(INDEX('Policy Characteristics'!G:G,MATCH($C244,'Policy Characteristics'!$C:$C,0))),"",INDEX('Policy Characteristics'!G:G,MATCH($C244,'Policy Characteristics'!$C:$C,0)))</f>
        <v>0.5</v>
      </c>
      <c r="N244" s="261">
        <f>IF(ISBLANK(INDEX('Policy Characteristics'!H:H,MATCH($C244,'Policy Characteristics'!$C:$C,0))),"",INDEX('Policy Characteristics'!H:H,MATCH($C244,'Policy Characteristics'!$C:$C,0)))</f>
        <v>0.01</v>
      </c>
      <c r="O244" s="254" t="str">
        <f>IF(ISBLANK(INDEX('Policy Characteristics'!I:I,MATCH($C244,'Policy Characteristics'!$C:$C,0))),"",INDEX('Policy Characteristics'!I:I,MATCH($C244,'Policy Characteristics'!$C:$C,0)))</f>
        <v>% of existing buildings</v>
      </c>
      <c r="P244" s="254" t="str">
        <f>IF(ISBLANK(INDEX('Policy Characteristics'!J:J,MATCH($C244,'Policy Characteristics'!$C:$C,0))),"",INDEX('Policy Characteristics'!J:J,MATCH($C244,'Policy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4" s="254" t="str">
        <f>IF(ISBLANK(INDEX('Policy Characteristics'!K:K,MATCH($C244,'Policy Characteristics'!$C:$C,0))),"",INDEX('Policy Characteristics'!K:K,MATCH($C244,'Policy Characteristics'!$C:$C,0)))</f>
        <v>buildings-sector-main.html#retrofitting</v>
      </c>
      <c r="R244" s="254" t="str">
        <f>IF(ISBLANK(INDEX('Policy Characteristics'!L:L,MATCH($C244,'Policy Characteristics'!$C:$C,0))),"",INDEX('Policy Characteristics'!L:L,MATCH($C244,'Policy Characteristics'!$C:$C,0)))</f>
        <v>increased-retrofitting.html</v>
      </c>
    </row>
    <row r="245" spans="1:18" s="4" customFormat="1" x14ac:dyDescent="0.3">
      <c r="A245" s="254" t="str">
        <f>IF(ISBLANK(INDEX('Policy Characteristics'!A:A,MATCH($C245,'Policy Characteristics'!$C:$C,0))),"",INDEX('Policy Characteristics'!A:A,MATCH($C245,'Policy Characteristics'!$C:$C,0)))</f>
        <v>Buildings and Appliances</v>
      </c>
      <c r="B245" s="262" t="str">
        <f>IF(ISBLANK(INDEX('Policy Characteristics'!B:B,MATCH($C245,'Policy Characteristics'!$C:$C,0))),"",INDEX('Policy Characteristics'!B:B,MATCH($C245,'Policy Characteristics'!$C:$C,0)))</f>
        <v>Rebate for Efficient Products</v>
      </c>
      <c r="C245" t="s">
        <v>6</v>
      </c>
      <c r="D245" s="45" t="s">
        <v>115</v>
      </c>
      <c r="E245" s="45"/>
      <c r="F245" s="45" t="s">
        <v>121</v>
      </c>
      <c r="G245" s="45"/>
      <c r="H245" s="43">
        <v>27</v>
      </c>
      <c r="I245" s="324" t="s">
        <v>43</v>
      </c>
      <c r="J245" s="255" t="str">
        <f>IF(ISBLANK(INDEX('Policy Characteristics'!D:D,MATCH($C245,'Policy Characteristics'!$C:$C,0))),"",INDEX('Policy Characteristics'!D:D,MATCH($C245,'Policy Characteristics'!$C:$C,0)))</f>
        <v>Rebate for Efficient Products</v>
      </c>
      <c r="K245" s="254" t="str">
        <f>IF(ISBLANK(INDEX('Policy Characteristics'!E:E,MATCH($C245,'Policy Characteristics'!$C:$C,0))),"",INDEX('Policy Characteristics'!E:E,MATCH($C245,'Policy Characteristics'!$C:$C,0)))</f>
        <v>bldgs rebate</v>
      </c>
      <c r="L245" s="254">
        <f>IF(ISBLANK(INDEX('Policy Characteristics'!F:F,MATCH($C245,'Policy Characteristics'!$C:$C,0))),"",INDEX('Policy Characteristics'!F:F,MATCH($C245,'Policy Characteristics'!$C:$C,0)))</f>
        <v>0</v>
      </c>
      <c r="M245" s="254">
        <f>IF(ISBLANK(INDEX('Policy Characteristics'!G:G,MATCH($C245,'Policy Characteristics'!$C:$C,0))),"",INDEX('Policy Characteristics'!G:G,MATCH($C245,'Policy Characteristics'!$C:$C,0)))</f>
        <v>1</v>
      </c>
      <c r="N245" s="254">
        <f>IF(ISBLANK(INDEX('Policy Characteristics'!H:H,MATCH($C245,'Policy Characteristics'!$C:$C,0))),"",INDEX('Policy Characteristics'!H:H,MATCH($C245,'Policy Characteristics'!$C:$C,0)))</f>
        <v>1</v>
      </c>
      <c r="O245" s="254" t="str">
        <f>IF(ISBLANK(INDEX('Policy Characteristics'!I:I,MATCH($C245,'Policy Characteristics'!$C:$C,0))),"",INDEX('Policy Characteristics'!I:I,MATCH($C245,'Policy Characteristics'!$C:$C,0)))</f>
        <v>on/off</v>
      </c>
      <c r="P245" s="254" t="str">
        <f>IF(ISBLANK(INDEX('Policy Characteristics'!J:J,MATCH($C245,'Policy Characteristics'!$C:$C,0))),"",INDEX('Policy Characteristics'!J:J,MATCH($C245,'Policy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5" s="254" t="str">
        <f>IF(ISBLANK(INDEX('Policy Characteristics'!K:K,MATCH($C245,'Policy Characteristics'!$C:$C,0))),"",INDEX('Policy Characteristics'!K:K,MATCH($C245,'Policy Characteristics'!$C:$C,0)))</f>
        <v>buildings-sector-main.html#rebate</v>
      </c>
      <c r="R245" s="254" t="str">
        <f>IF(ISBLANK(INDEX('Policy Characteristics'!L:L,MATCH($C245,'Policy Characteristics'!$C:$C,0))),"",INDEX('Policy Characteristics'!L:L,MATCH($C245,'Policy Characteristics'!$C:$C,0)))</f>
        <v>rebate-for-efficient-products.html</v>
      </c>
    </row>
    <row r="246" spans="1:18" s="4" customFormat="1" x14ac:dyDescent="0.3">
      <c r="A246" s="254" t="str">
        <f>IF(ISBLANK(INDEX('Policy Characteristics'!A:A,MATCH($C246,'Policy Characteristics'!$C:$C,0))),"",INDEX('Policy Characteristics'!A:A,MATCH($C246,'Policy Characteristics'!$C:$C,0)))</f>
        <v>Buildings and Appliances</v>
      </c>
      <c r="B246" s="262" t="str">
        <f>IF(ISBLANK(INDEX('Policy Characteristics'!B:B,MATCH($C246,'Policy Characteristics'!$C:$C,0))),"",INDEX('Policy Characteristics'!B:B,MATCH($C246,'Policy Characteristics'!$C:$C,0)))</f>
        <v>Rebate for Efficient Products</v>
      </c>
      <c r="C246" s="254" t="str">
        <f t="shared" ref="C246:C250" si="16">C$245</f>
        <v>Boolean Rebate Program for Efficient Components</v>
      </c>
      <c r="D246" s="45" t="s">
        <v>116</v>
      </c>
      <c r="E246" s="45"/>
      <c r="F246" s="45" t="s">
        <v>122</v>
      </c>
      <c r="G246" s="45"/>
      <c r="H246" s="43">
        <v>28</v>
      </c>
      <c r="I246" s="324" t="s">
        <v>43</v>
      </c>
      <c r="J246" s="255" t="str">
        <f>IF(ISBLANK(INDEX('Policy Characteristics'!D:D,MATCH($C246,'Policy Characteristics'!$C:$C,0))),"",INDEX('Policy Characteristics'!D:D,MATCH($C246,'Policy Characteristics'!$C:$C,0)))</f>
        <v>Rebate for Efficient Products</v>
      </c>
      <c r="K246" s="254" t="str">
        <f>IF(ISBLANK(INDEX('Policy Characteristics'!E:E,MATCH($C246,'Policy Characteristics'!$C:$C,0))),"",INDEX('Policy Characteristics'!E:E,MATCH($C246,'Policy Characteristics'!$C:$C,0)))</f>
        <v>bldgs rebate</v>
      </c>
      <c r="L246" s="254">
        <f>IF(ISBLANK(INDEX('Policy Characteristics'!F:F,MATCH($C246,'Policy Characteristics'!$C:$C,0))),"",INDEX('Policy Characteristics'!F:F,MATCH($C246,'Policy Characteristics'!$C:$C,0)))</f>
        <v>0</v>
      </c>
      <c r="M246" s="254">
        <f>IF(ISBLANK(INDEX('Policy Characteristics'!G:G,MATCH($C246,'Policy Characteristics'!$C:$C,0))),"",INDEX('Policy Characteristics'!G:G,MATCH($C246,'Policy Characteristics'!$C:$C,0)))</f>
        <v>1</v>
      </c>
      <c r="N246" s="254">
        <f>IF(ISBLANK(INDEX('Policy Characteristics'!H:H,MATCH($C246,'Policy Characteristics'!$C:$C,0))),"",INDEX('Policy Characteristics'!H:H,MATCH($C246,'Policy Characteristics'!$C:$C,0)))</f>
        <v>1</v>
      </c>
      <c r="O246" s="254" t="str">
        <f>IF(ISBLANK(INDEX('Policy Characteristics'!I:I,MATCH($C246,'Policy Characteristics'!$C:$C,0))),"",INDEX('Policy Characteristics'!I:I,MATCH($C246,'Policy Characteristics'!$C:$C,0)))</f>
        <v>on/off</v>
      </c>
      <c r="P246" s="254" t="str">
        <f>IF(ISBLANK(INDEX('Policy Characteristics'!J:J,MATCH($C246,'Policy Characteristics'!$C:$C,0))),"",INDEX('Policy Characteristics'!J:J,MATCH($C246,'Policy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6" s="254" t="str">
        <f>IF(ISBLANK(INDEX('Policy Characteristics'!K:K,MATCH($C246,'Policy Characteristics'!$C:$C,0))),"",INDEX('Policy Characteristics'!K:K,MATCH($C246,'Policy Characteristics'!$C:$C,0)))</f>
        <v>buildings-sector-main.html#rebate</v>
      </c>
      <c r="R246" s="254" t="str">
        <f>IF(ISBLANK(INDEX('Policy Characteristics'!L:L,MATCH($C246,'Policy Characteristics'!$C:$C,0))),"",INDEX('Policy Characteristics'!L:L,MATCH($C246,'Policy Characteristics'!$C:$C,0)))</f>
        <v>rebate-for-efficient-products.html</v>
      </c>
    </row>
    <row r="247" spans="1:18" s="4" customFormat="1" x14ac:dyDescent="0.3">
      <c r="A247" s="254" t="str">
        <f>IF(ISBLANK(INDEX('Policy Characteristics'!A:A,MATCH($C247,'Policy Characteristics'!$C:$C,0))),"",INDEX('Policy Characteristics'!A:A,MATCH($C247,'Policy Characteristics'!$C:$C,0)))</f>
        <v>Buildings and Appliances</v>
      </c>
      <c r="B247" s="262" t="str">
        <f>IF(ISBLANK(INDEX('Policy Characteristics'!B:B,MATCH($C247,'Policy Characteristics'!$C:$C,0))),"",INDEX('Policy Characteristics'!B:B,MATCH($C247,'Policy Characteristics'!$C:$C,0)))</f>
        <v>Rebate for Efficient Products</v>
      </c>
      <c r="C247" s="254" t="str">
        <f t="shared" si="16"/>
        <v>Boolean Rebate Program for Efficient Components</v>
      </c>
      <c r="D247" s="45" t="s">
        <v>117</v>
      </c>
      <c r="E247" s="45"/>
      <c r="F247" s="45" t="s">
        <v>123</v>
      </c>
      <c r="G247" s="45"/>
      <c r="H247" s="43">
        <v>605</v>
      </c>
      <c r="I247" s="324" t="s">
        <v>44</v>
      </c>
      <c r="J247" s="255" t="str">
        <f>IF(ISBLANK(INDEX('Policy Characteristics'!D:D,MATCH($C247,'Policy Characteristics'!$C:$C,0))),"",INDEX('Policy Characteristics'!D:D,MATCH($C247,'Policy Characteristics'!$C:$C,0)))</f>
        <v>Rebate for Efficient Products</v>
      </c>
      <c r="K247" s="254" t="str">
        <f>IF(ISBLANK(INDEX('Policy Characteristics'!E:E,MATCH($C247,'Policy Characteristics'!$C:$C,0))),"",INDEX('Policy Characteristics'!E:E,MATCH($C247,'Policy Characteristics'!$C:$C,0)))</f>
        <v>bldgs rebate</v>
      </c>
      <c r="L247" s="254">
        <f>IF(ISBLANK(INDEX('Policy Characteristics'!F:F,MATCH($C247,'Policy Characteristics'!$C:$C,0))),"",INDEX('Policy Characteristics'!F:F,MATCH($C247,'Policy Characteristics'!$C:$C,0)))</f>
        <v>0</v>
      </c>
      <c r="M247" s="254">
        <f>IF(ISBLANK(INDEX('Policy Characteristics'!G:G,MATCH($C247,'Policy Characteristics'!$C:$C,0))),"",INDEX('Policy Characteristics'!G:G,MATCH($C247,'Policy Characteristics'!$C:$C,0)))</f>
        <v>1</v>
      </c>
      <c r="N247" s="254">
        <f>IF(ISBLANK(INDEX('Policy Characteristics'!H:H,MATCH($C247,'Policy Characteristics'!$C:$C,0))),"",INDEX('Policy Characteristics'!H:H,MATCH($C247,'Policy Characteristics'!$C:$C,0)))</f>
        <v>1</v>
      </c>
      <c r="O247" s="254" t="str">
        <f>IF(ISBLANK(INDEX('Policy Characteristics'!I:I,MATCH($C247,'Policy Characteristics'!$C:$C,0))),"",INDEX('Policy Characteristics'!I:I,MATCH($C247,'Policy Characteristics'!$C:$C,0)))</f>
        <v>on/off</v>
      </c>
      <c r="P247" s="254" t="str">
        <f>IF(ISBLANK(INDEX('Policy Characteristics'!J:J,MATCH($C247,'Policy Characteristics'!$C:$C,0))),"",INDEX('Policy Characteristics'!J:J,MATCH($C247,'Policy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7" s="254" t="str">
        <f>IF(ISBLANK(INDEX('Policy Characteristics'!K:K,MATCH($C247,'Policy Characteristics'!$C:$C,0))),"",INDEX('Policy Characteristics'!K:K,MATCH($C247,'Policy Characteristics'!$C:$C,0)))</f>
        <v>buildings-sector-main.html#rebate</v>
      </c>
      <c r="R247" s="254" t="str">
        <f>IF(ISBLANK(INDEX('Policy Characteristics'!L:L,MATCH($C247,'Policy Characteristics'!$C:$C,0))),"",INDEX('Policy Characteristics'!L:L,MATCH($C247,'Policy Characteristics'!$C:$C,0)))</f>
        <v>rebate-for-efficient-products.html</v>
      </c>
    </row>
    <row r="248" spans="1:18" s="4" customFormat="1" x14ac:dyDescent="0.3">
      <c r="A248" s="254" t="str">
        <f>IF(ISBLANK(INDEX('Policy Characteristics'!A:A,MATCH($C248,'Policy Characteristics'!$C:$C,0))),"",INDEX('Policy Characteristics'!A:A,MATCH($C248,'Policy Characteristics'!$C:$C,0)))</f>
        <v>Buildings and Appliances</v>
      </c>
      <c r="B248" s="262" t="str">
        <f>IF(ISBLANK(INDEX('Policy Characteristics'!B:B,MATCH($C248,'Policy Characteristics'!$C:$C,0))),"",INDEX('Policy Characteristics'!B:B,MATCH($C248,'Policy Characteristics'!$C:$C,0)))</f>
        <v>Rebate for Efficient Products</v>
      </c>
      <c r="C248" s="254" t="str">
        <f t="shared" si="16"/>
        <v>Boolean Rebate Program for Efficient Components</v>
      </c>
      <c r="D248" s="45" t="s">
        <v>118</v>
      </c>
      <c r="E248" s="45"/>
      <c r="F248" s="45" t="s">
        <v>124</v>
      </c>
      <c r="G248" s="45"/>
      <c r="H248" s="43">
        <v>606</v>
      </c>
      <c r="I248" s="324" t="s">
        <v>44</v>
      </c>
      <c r="J248" s="255" t="str">
        <f>IF(ISBLANK(INDEX('Policy Characteristics'!D:D,MATCH($C248,'Policy Characteristics'!$C:$C,0))),"",INDEX('Policy Characteristics'!D:D,MATCH($C248,'Policy Characteristics'!$C:$C,0)))</f>
        <v>Rebate for Efficient Products</v>
      </c>
      <c r="K248" s="254" t="str">
        <f>IF(ISBLANK(INDEX('Policy Characteristics'!E:E,MATCH($C248,'Policy Characteristics'!$C:$C,0))),"",INDEX('Policy Characteristics'!E:E,MATCH($C248,'Policy Characteristics'!$C:$C,0)))</f>
        <v>bldgs rebate</v>
      </c>
      <c r="L248" s="254">
        <f>IF(ISBLANK(INDEX('Policy Characteristics'!F:F,MATCH($C248,'Policy Characteristics'!$C:$C,0))),"",INDEX('Policy Characteristics'!F:F,MATCH($C248,'Policy Characteristics'!$C:$C,0)))</f>
        <v>0</v>
      </c>
      <c r="M248" s="254">
        <f>IF(ISBLANK(INDEX('Policy Characteristics'!G:G,MATCH($C248,'Policy Characteristics'!$C:$C,0))),"",INDEX('Policy Characteristics'!G:G,MATCH($C248,'Policy Characteristics'!$C:$C,0)))</f>
        <v>1</v>
      </c>
      <c r="N248" s="254">
        <f>IF(ISBLANK(INDEX('Policy Characteristics'!H:H,MATCH($C248,'Policy Characteristics'!$C:$C,0))),"",INDEX('Policy Characteristics'!H:H,MATCH($C248,'Policy Characteristics'!$C:$C,0)))</f>
        <v>1</v>
      </c>
      <c r="O248" s="254" t="str">
        <f>IF(ISBLANK(INDEX('Policy Characteristics'!I:I,MATCH($C248,'Policy Characteristics'!$C:$C,0))),"",INDEX('Policy Characteristics'!I:I,MATCH($C248,'Policy Characteristics'!$C:$C,0)))</f>
        <v>on/off</v>
      </c>
      <c r="P248" s="254"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254" t="str">
        <f>IF(ISBLANK(INDEX('Policy Characteristics'!K:K,MATCH($C248,'Policy Characteristics'!$C:$C,0))),"",INDEX('Policy Characteristics'!K:K,MATCH($C248,'Policy Characteristics'!$C:$C,0)))</f>
        <v>buildings-sector-main.html#rebate</v>
      </c>
      <c r="R248" s="254" t="str">
        <f>IF(ISBLANK(INDEX('Policy Characteristics'!L:L,MATCH($C248,'Policy Characteristics'!$C:$C,0))),"",INDEX('Policy Characteristics'!L:L,MATCH($C248,'Policy Characteristics'!$C:$C,0)))</f>
        <v>rebate-for-efficient-products.html</v>
      </c>
    </row>
    <row r="249" spans="1:18" s="4" customFormat="1" x14ac:dyDescent="0.3">
      <c r="A249" s="254" t="str">
        <f>IF(ISBLANK(INDEX('Policy Characteristics'!A:A,MATCH($C249,'Policy Characteristics'!$C:$C,0))),"",INDEX('Policy Characteristics'!A:A,MATCH($C249,'Policy Characteristics'!$C:$C,0)))</f>
        <v>Buildings and Appliances</v>
      </c>
      <c r="B249" s="262" t="str">
        <f>IF(ISBLANK(INDEX('Policy Characteristics'!B:B,MATCH($C249,'Policy Characteristics'!$C:$C,0))),"",INDEX('Policy Characteristics'!B:B,MATCH($C249,'Policy Characteristics'!$C:$C,0)))</f>
        <v>Rebate for Efficient Products</v>
      </c>
      <c r="C249" s="254" t="str">
        <f t="shared" si="16"/>
        <v>Boolean Rebate Program for Efficient Components</v>
      </c>
      <c r="D249" s="45" t="s">
        <v>119</v>
      </c>
      <c r="E249" s="45"/>
      <c r="F249" s="45" t="s">
        <v>125</v>
      </c>
      <c r="G249" s="45"/>
      <c r="H249" s="43">
        <v>29</v>
      </c>
      <c r="I249" s="324" t="s">
        <v>43</v>
      </c>
      <c r="J249" s="255" t="str">
        <f>IF(ISBLANK(INDEX('Policy Characteristics'!D:D,MATCH($C249,'Policy Characteristics'!$C:$C,0))),"",INDEX('Policy Characteristics'!D:D,MATCH($C249,'Policy Characteristics'!$C:$C,0)))</f>
        <v>Rebate for Efficient Products</v>
      </c>
      <c r="K249" s="254" t="str">
        <f>IF(ISBLANK(INDEX('Policy Characteristics'!E:E,MATCH($C249,'Policy Characteristics'!$C:$C,0))),"",INDEX('Policy Characteristics'!E:E,MATCH($C249,'Policy Characteristics'!$C:$C,0)))</f>
        <v>bldgs rebate</v>
      </c>
      <c r="L249" s="254">
        <f>IF(ISBLANK(INDEX('Policy Characteristics'!F:F,MATCH($C249,'Policy Characteristics'!$C:$C,0))),"",INDEX('Policy Characteristics'!F:F,MATCH($C249,'Policy Characteristics'!$C:$C,0)))</f>
        <v>0</v>
      </c>
      <c r="M249" s="254">
        <f>IF(ISBLANK(INDEX('Policy Characteristics'!G:G,MATCH($C249,'Policy Characteristics'!$C:$C,0))),"",INDEX('Policy Characteristics'!G:G,MATCH($C249,'Policy Characteristics'!$C:$C,0)))</f>
        <v>1</v>
      </c>
      <c r="N249" s="254">
        <f>IF(ISBLANK(INDEX('Policy Characteristics'!H:H,MATCH($C249,'Policy Characteristics'!$C:$C,0))),"",INDEX('Policy Characteristics'!H:H,MATCH($C249,'Policy Characteristics'!$C:$C,0)))</f>
        <v>1</v>
      </c>
      <c r="O249" s="254" t="str">
        <f>IF(ISBLANK(INDEX('Policy Characteristics'!I:I,MATCH($C249,'Policy Characteristics'!$C:$C,0))),"",INDEX('Policy Characteristics'!I:I,MATCH($C249,'Policy Characteristics'!$C:$C,0)))</f>
        <v>on/off</v>
      </c>
      <c r="P249" s="254"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4" t="str">
        <f>IF(ISBLANK(INDEX('Policy Characteristics'!K:K,MATCH($C249,'Policy Characteristics'!$C:$C,0))),"",INDEX('Policy Characteristics'!K:K,MATCH($C249,'Policy Characteristics'!$C:$C,0)))</f>
        <v>buildings-sector-main.html#rebate</v>
      </c>
      <c r="R249" s="254" t="str">
        <f>IF(ISBLANK(INDEX('Policy Characteristics'!L:L,MATCH($C249,'Policy Characteristics'!$C:$C,0))),"",INDEX('Policy Characteristics'!L:L,MATCH($C249,'Policy Characteristics'!$C:$C,0)))</f>
        <v>rebate-for-efficient-products.html</v>
      </c>
    </row>
    <row r="250" spans="1:18" s="4" customFormat="1" x14ac:dyDescent="0.3">
      <c r="A250" s="254" t="str">
        <f>IF(ISBLANK(INDEX('Policy Characteristics'!A:A,MATCH($C250,'Policy Characteristics'!$C:$C,0))),"",INDEX('Policy Characteristics'!A:A,MATCH($C250,'Policy Characteristics'!$C:$C,0)))</f>
        <v>Buildings and Appliances</v>
      </c>
      <c r="B250" s="262" t="str">
        <f>IF(ISBLANK(INDEX('Policy Characteristics'!B:B,MATCH($C250,'Policy Characteristics'!$C:$C,0))),"",INDEX('Policy Characteristics'!B:B,MATCH($C250,'Policy Characteristics'!$C:$C,0)))</f>
        <v>Rebate for Efficient Products</v>
      </c>
      <c r="C250" s="254" t="str">
        <f t="shared" si="16"/>
        <v>Boolean Rebate Program for Efficient Components</v>
      </c>
      <c r="D250" s="45" t="s">
        <v>120</v>
      </c>
      <c r="E250" s="45"/>
      <c r="F250" s="45" t="s">
        <v>126</v>
      </c>
      <c r="G250" s="45"/>
      <c r="H250" s="43">
        <v>607</v>
      </c>
      <c r="I250" s="324" t="s">
        <v>44</v>
      </c>
      <c r="J250" s="255" t="str">
        <f>IF(ISBLANK(INDEX('Policy Characteristics'!D:D,MATCH($C250,'Policy Characteristics'!$C:$C,0))),"",INDEX('Policy Characteristics'!D:D,MATCH($C250,'Policy Characteristics'!$C:$C,0)))</f>
        <v>Rebate for Efficient Products</v>
      </c>
      <c r="K250" s="254" t="str">
        <f>IF(ISBLANK(INDEX('Policy Characteristics'!E:E,MATCH($C250,'Policy Characteristics'!$C:$C,0))),"",INDEX('Policy Characteristics'!E:E,MATCH($C250,'Policy Characteristics'!$C:$C,0)))</f>
        <v>bldgs rebate</v>
      </c>
      <c r="L250" s="254">
        <f>IF(ISBLANK(INDEX('Policy Characteristics'!F:F,MATCH($C250,'Policy Characteristics'!$C:$C,0))),"",INDEX('Policy Characteristics'!F:F,MATCH($C250,'Policy Characteristics'!$C:$C,0)))</f>
        <v>0</v>
      </c>
      <c r="M250" s="254">
        <f>IF(ISBLANK(INDEX('Policy Characteristics'!G:G,MATCH($C250,'Policy Characteristics'!$C:$C,0))),"",INDEX('Policy Characteristics'!G:G,MATCH($C250,'Policy Characteristics'!$C:$C,0)))</f>
        <v>1</v>
      </c>
      <c r="N250" s="254">
        <f>IF(ISBLANK(INDEX('Policy Characteristics'!H:H,MATCH($C250,'Policy Characteristics'!$C:$C,0))),"",INDEX('Policy Characteristics'!H:H,MATCH($C250,'Policy Characteristics'!$C:$C,0)))</f>
        <v>1</v>
      </c>
      <c r="O250" s="254" t="str">
        <f>IF(ISBLANK(INDEX('Policy Characteristics'!I:I,MATCH($C250,'Policy Characteristics'!$C:$C,0))),"",INDEX('Policy Characteristics'!I:I,MATCH($C250,'Policy Characteristics'!$C:$C,0)))</f>
        <v>on/off</v>
      </c>
      <c r="P250" s="254"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4" t="str">
        <f>IF(ISBLANK(INDEX('Policy Characteristics'!K:K,MATCH($C250,'Policy Characteristics'!$C:$C,0))),"",INDEX('Policy Characteristics'!K:K,MATCH($C250,'Policy Characteristics'!$C:$C,0)))</f>
        <v>buildings-sector-main.html#rebate</v>
      </c>
      <c r="R250" s="254" t="str">
        <f>IF(ISBLANK(INDEX('Policy Characteristics'!L:L,MATCH($C250,'Policy Characteristics'!$C:$C,0))),"",INDEX('Policy Characteristics'!L:L,MATCH($C250,'Policy Characteristics'!$C:$C,0)))</f>
        <v>rebate-for-efficient-products.html</v>
      </c>
    </row>
    <row r="251" spans="1:18" s="2" customFormat="1" x14ac:dyDescent="0.3">
      <c r="A251" s="254" t="str">
        <f>IF(ISBLANK(INDEX('Policy Characteristics'!A:A,MATCH($C251,'Policy Characteristics'!$C:$C,0))),"",INDEX('Policy Characteristics'!A:A,MATCH($C251,'Policy Characteristics'!$C:$C,0)))</f>
        <v>Electricity Supply</v>
      </c>
      <c r="B251" s="262" t="str">
        <f>IF(ISBLANK(INDEX('Policy Characteristics'!B:B,MATCH($C251,'Policy Characteristics'!$C:$C,0))),"",INDEX('Policy Characteristics'!B:B,MATCH($C251,'Policy Characteristics'!$C:$C,0)))</f>
        <v>Ban New Power Plants</v>
      </c>
      <c r="C251" s="317" t="s">
        <v>329</v>
      </c>
      <c r="D251" s="45" t="s">
        <v>447</v>
      </c>
      <c r="E251" s="45"/>
      <c r="F251" s="45" t="s">
        <v>446</v>
      </c>
      <c r="G251" s="6"/>
      <c r="H251" s="47">
        <v>167</v>
      </c>
      <c r="I251" s="325" t="s">
        <v>43</v>
      </c>
      <c r="J251" s="255" t="str">
        <f>IF(ISBLANK(INDEX('Policy Characteristics'!D:D,MATCH($C251,'Policy Characteristics'!$C:$C,0))),"",INDEX('Policy Characteristics'!D:D,MATCH($C251,'Policy Characteristics'!$C:$C,0)))</f>
        <v>Ban New Power Plants</v>
      </c>
      <c r="K251" s="254" t="str">
        <f>IF(ISBLANK(INDEX('Policy Characteristics'!E:E,MATCH($C251,'Policy Characteristics'!$C:$C,0))),"",INDEX('Policy Characteristics'!E:E,MATCH($C251,'Policy Characteristics'!$C:$C,0)))</f>
        <v>elec ban new power plants</v>
      </c>
      <c r="L251" s="254">
        <f>IF(ISBLANK(INDEX('Policy Characteristics'!F:F,MATCH($C251,'Policy Characteristics'!$C:$C,0))),"",INDEX('Policy Characteristics'!F:F,MATCH($C251,'Policy Characteristics'!$C:$C,0)))</f>
        <v>0</v>
      </c>
      <c r="M251" s="254">
        <f>IF(ISBLANK(INDEX('Policy Characteristics'!G:G,MATCH($C251,'Policy Characteristics'!$C:$C,0))),"",INDEX('Policy Characteristics'!G:G,MATCH($C251,'Policy Characteristics'!$C:$C,0)))</f>
        <v>1</v>
      </c>
      <c r="N251" s="254">
        <f>IF(ISBLANK(INDEX('Policy Characteristics'!H:H,MATCH($C251,'Policy Characteristics'!$C:$C,0))),"",INDEX('Policy Characteristics'!H:H,MATCH($C251,'Policy Characteristics'!$C:$C,0)))</f>
        <v>1</v>
      </c>
      <c r="O251" s="254" t="str">
        <f>IF(ISBLANK(INDEX('Policy Characteristics'!I:I,MATCH($C251,'Policy Characteristics'!$C:$C,0))),"",INDEX('Policy Characteristics'!I:I,MATCH($C251,'Policy Characteristics'!$C:$C,0)))</f>
        <v>on/off</v>
      </c>
      <c r="P251" s="254" t="str">
        <f>IF(ISBLANK(INDEX('Policy Characteristics'!J:J,MATCH($C251,'Policy Characteristics'!$C:$C,0))),"",INDEX('Policy Characteristics'!J:J,MATCH($C251,'Policy Characteristics'!$C:$C,0)))</f>
        <v>**Description:** This policy prevents new capacity of the selected type(s) from being built or deployed.</v>
      </c>
      <c r="Q251" s="254" t="str">
        <f>IF(ISBLANK(INDEX('Policy Characteristics'!K:K,MATCH($C251,'Policy Characteristics'!$C:$C,0))),"",INDEX('Policy Characteristics'!K:K,MATCH($C251,'Policy Characteristics'!$C:$C,0)))</f>
        <v>electricity-sector-main.html#ban</v>
      </c>
      <c r="R251" s="254" t="str">
        <f>IF(ISBLANK(INDEX('Policy Characteristics'!L:L,MATCH($C251,'Policy Characteristics'!$C:$C,0))),"",INDEX('Policy Characteristics'!L:L,MATCH($C251,'Policy Characteristics'!$C:$C,0)))</f>
        <v>ban-new-capacity.html</v>
      </c>
    </row>
    <row r="252" spans="1:18" s="4" customFormat="1" x14ac:dyDescent="0.3">
      <c r="A252" s="254" t="str">
        <f>IF(ISBLANK(INDEX('Policy Characteristics'!A:A,MATCH($C252,'Policy Characteristics'!$C:$C,0))),"",INDEX('Policy Characteristics'!A:A,MATCH($C252,'Policy Characteristics'!$C:$C,0)))</f>
        <v>Electricity Supply</v>
      </c>
      <c r="B252" s="262" t="str">
        <f>IF(ISBLANK(INDEX('Policy Characteristics'!B:B,MATCH($C252,'Policy Characteristics'!$C:$C,0))),"",INDEX('Policy Characteristics'!B:B,MATCH($C252,'Policy Characteristics'!$C:$C,0)))</f>
        <v>Ban New Power Plants</v>
      </c>
      <c r="C252" s="254" t="str">
        <f t="shared" ref="C252:C263" si="17">C$251</f>
        <v>Boolean Ban New Power Plants</v>
      </c>
      <c r="D252" s="6" t="s">
        <v>3488</v>
      </c>
      <c r="E252" s="45"/>
      <c r="F252" s="6" t="s">
        <v>3424</v>
      </c>
      <c r="G252" s="45"/>
      <c r="H252" s="43">
        <v>168</v>
      </c>
      <c r="I252" s="324" t="s">
        <v>43</v>
      </c>
      <c r="J252" s="255" t="str">
        <f>IF(ISBLANK(INDEX('Policy Characteristics'!D:D,MATCH($C252,'Policy Characteristics'!$C:$C,0))),"",INDEX('Policy Characteristics'!D:D,MATCH($C252,'Policy Characteristics'!$C:$C,0)))</f>
        <v>Ban New Power Plants</v>
      </c>
      <c r="K252" s="254" t="str">
        <f>IF(ISBLANK(INDEX('Policy Characteristics'!E:E,MATCH($C252,'Policy Characteristics'!$C:$C,0))),"",INDEX('Policy Characteristics'!E:E,MATCH($C252,'Policy Characteristics'!$C:$C,0)))</f>
        <v>elec ban new power plants</v>
      </c>
      <c r="L252" s="254">
        <f>IF(ISBLANK(INDEX('Policy Characteristics'!F:F,MATCH($C252,'Policy Characteristics'!$C:$C,0))),"",INDEX('Policy Characteristics'!F:F,MATCH($C252,'Policy Characteristics'!$C:$C,0)))</f>
        <v>0</v>
      </c>
      <c r="M252" s="254">
        <f>IF(ISBLANK(INDEX('Policy Characteristics'!G:G,MATCH($C252,'Policy Characteristics'!$C:$C,0))),"",INDEX('Policy Characteristics'!G:G,MATCH($C252,'Policy Characteristics'!$C:$C,0)))</f>
        <v>1</v>
      </c>
      <c r="N252" s="254">
        <f>IF(ISBLANK(INDEX('Policy Characteristics'!H:H,MATCH($C252,'Policy Characteristics'!$C:$C,0))),"",INDEX('Policy Characteristics'!H:H,MATCH($C252,'Policy Characteristics'!$C:$C,0)))</f>
        <v>1</v>
      </c>
      <c r="O252" s="254" t="str">
        <f>IF(ISBLANK(INDEX('Policy Characteristics'!I:I,MATCH($C252,'Policy Characteristics'!$C:$C,0))),"",INDEX('Policy Characteristics'!I:I,MATCH($C252,'Policy Characteristics'!$C:$C,0)))</f>
        <v>on/off</v>
      </c>
      <c r="P252" s="254" t="str">
        <f>IF(ISBLANK(INDEX('Policy Characteristics'!J:J,MATCH($C252,'Policy Characteristics'!$C:$C,0))),"",INDEX('Policy Characteristics'!J:J,MATCH($C252,'Policy Characteristics'!$C:$C,0)))</f>
        <v>**Description:** This policy prevents new capacity of the selected type(s) from being built or deployed.</v>
      </c>
      <c r="Q252" s="254" t="str">
        <f>IF(ISBLANK(INDEX('Policy Characteristics'!K:K,MATCH($C252,'Policy Characteristics'!$C:$C,0))),"",INDEX('Policy Characteristics'!K:K,MATCH($C252,'Policy Characteristics'!$C:$C,0)))</f>
        <v>electricity-sector-main.html#ban</v>
      </c>
      <c r="R252" s="254" t="str">
        <f>IF(ISBLANK(INDEX('Policy Characteristics'!L:L,MATCH($C252,'Policy Characteristics'!$C:$C,0))),"",INDEX('Policy Characteristics'!L:L,MATCH($C252,'Policy Characteristics'!$C:$C,0)))</f>
        <v>ban-new-capacity.html</v>
      </c>
    </row>
    <row r="253" spans="1:18" s="4" customFormat="1" x14ac:dyDescent="0.3">
      <c r="A253" s="254" t="str">
        <f>IF(ISBLANK(INDEX('Policy Characteristics'!A:A,MATCH($C253,'Policy Characteristics'!$C:$C,0))),"",INDEX('Policy Characteristics'!A:A,MATCH($C253,'Policy Characteristics'!$C:$C,0)))</f>
        <v>Electricity Supply</v>
      </c>
      <c r="B253" s="262" t="str">
        <f>IF(ISBLANK(INDEX('Policy Characteristics'!B:B,MATCH($C253,'Policy Characteristics'!$C:$C,0))),"",INDEX('Policy Characteristics'!B:B,MATCH($C253,'Policy Characteristics'!$C:$C,0)))</f>
        <v>Ban New Power Plants</v>
      </c>
      <c r="C253" s="254" t="str">
        <f t="shared" si="17"/>
        <v>Boolean Ban New Power Plants</v>
      </c>
      <c r="D253" s="6" t="s">
        <v>3489</v>
      </c>
      <c r="E253" s="45"/>
      <c r="F253" s="6" t="s">
        <v>3425</v>
      </c>
      <c r="G253" s="45"/>
      <c r="H253" s="43">
        <v>1746</v>
      </c>
      <c r="I253" s="324" t="s">
        <v>43</v>
      </c>
      <c r="J253" s="255" t="str">
        <f>IF(ISBLANK(INDEX('Policy Characteristics'!D:D,MATCH($C253,'Policy Characteristics'!$C:$C,0))),"",INDEX('Policy Characteristics'!D:D,MATCH($C253,'Policy Characteristics'!$C:$C,0)))</f>
        <v>Ban New Power Plants</v>
      </c>
      <c r="K253" s="254" t="str">
        <f>IF(ISBLANK(INDEX('Policy Characteristics'!E:E,MATCH($C253,'Policy Characteristics'!$C:$C,0))),"",INDEX('Policy Characteristics'!E:E,MATCH($C253,'Policy Characteristics'!$C:$C,0)))</f>
        <v>elec ban new power plants</v>
      </c>
      <c r="L253" s="254">
        <f>IF(ISBLANK(INDEX('Policy Characteristics'!F:F,MATCH($C253,'Policy Characteristics'!$C:$C,0))),"",INDEX('Policy Characteristics'!F:F,MATCH($C253,'Policy Characteristics'!$C:$C,0)))</f>
        <v>0</v>
      </c>
      <c r="M253" s="254">
        <f>IF(ISBLANK(INDEX('Policy Characteristics'!G:G,MATCH($C253,'Policy Characteristics'!$C:$C,0))),"",INDEX('Policy Characteristics'!G:G,MATCH($C253,'Policy Characteristics'!$C:$C,0)))</f>
        <v>1</v>
      </c>
      <c r="N253" s="254">
        <f>IF(ISBLANK(INDEX('Policy Characteristics'!H:H,MATCH($C253,'Policy Characteristics'!$C:$C,0))),"",INDEX('Policy Characteristics'!H:H,MATCH($C253,'Policy Characteristics'!$C:$C,0)))</f>
        <v>1</v>
      </c>
      <c r="O253" s="254" t="str">
        <f>IF(ISBLANK(INDEX('Policy Characteristics'!I:I,MATCH($C253,'Policy Characteristics'!$C:$C,0))),"",INDEX('Policy Characteristics'!I:I,MATCH($C253,'Policy Characteristics'!$C:$C,0)))</f>
        <v>on/off</v>
      </c>
      <c r="P253" s="254" t="str">
        <f>IF(ISBLANK(INDEX('Policy Characteristics'!J:J,MATCH($C253,'Policy Characteristics'!$C:$C,0))),"",INDEX('Policy Characteristics'!J:J,MATCH($C253,'Policy Characteristics'!$C:$C,0)))</f>
        <v>**Description:** This policy prevents new capacity of the selected type(s) from being built or deployed.</v>
      </c>
      <c r="Q253" s="254" t="str">
        <f>IF(ISBLANK(INDEX('Policy Characteristics'!K:K,MATCH($C253,'Policy Characteristics'!$C:$C,0))),"",INDEX('Policy Characteristics'!K:K,MATCH($C253,'Policy Characteristics'!$C:$C,0)))</f>
        <v>electricity-sector-main.html#ban</v>
      </c>
      <c r="R253" s="254" t="str">
        <f>IF(ISBLANK(INDEX('Policy Characteristics'!L:L,MATCH($C253,'Policy Characteristics'!$C:$C,0))),"",INDEX('Policy Characteristics'!L:L,MATCH($C253,'Policy Characteristics'!$C:$C,0)))</f>
        <v>ban-new-capacity.html</v>
      </c>
    </row>
    <row r="254" spans="1:18" s="4" customFormat="1" x14ac:dyDescent="0.3">
      <c r="A254" s="254" t="str">
        <f>IF(ISBLANK(INDEX('Policy Characteristics'!A:A,MATCH($C254,'Policy Characteristics'!$C:$C,0))),"",INDEX('Policy Characteristics'!A:A,MATCH($C254,'Policy Characteristics'!$C:$C,0)))</f>
        <v>Electricity Supply</v>
      </c>
      <c r="B254" s="262" t="str">
        <f>IF(ISBLANK(INDEX('Policy Characteristics'!B:B,MATCH($C254,'Policy Characteristics'!$C:$C,0))),"",INDEX('Policy Characteristics'!B:B,MATCH($C254,'Policy Characteristics'!$C:$C,0)))</f>
        <v>Ban New Power Plants</v>
      </c>
      <c r="C254" s="254" t="str">
        <f t="shared" si="17"/>
        <v>Boolean Ban New Power Plants</v>
      </c>
      <c r="D254" s="6" t="s">
        <v>76</v>
      </c>
      <c r="E254" s="45"/>
      <c r="F254" s="6" t="s">
        <v>3499</v>
      </c>
      <c r="G254" s="45"/>
      <c r="H254" s="47">
        <v>169</v>
      </c>
      <c r="I254" s="324" t="s">
        <v>43</v>
      </c>
      <c r="J254" s="255" t="str">
        <f>IF(ISBLANK(INDEX('Policy Characteristics'!D:D,MATCH($C254,'Policy Characteristics'!$C:$C,0))),"",INDEX('Policy Characteristics'!D:D,MATCH($C254,'Policy Characteristics'!$C:$C,0)))</f>
        <v>Ban New Power Plants</v>
      </c>
      <c r="K254" s="254" t="str">
        <f>IF(ISBLANK(INDEX('Policy Characteristics'!E:E,MATCH($C254,'Policy Characteristics'!$C:$C,0))),"",INDEX('Policy Characteristics'!E:E,MATCH($C254,'Policy Characteristics'!$C:$C,0)))</f>
        <v>elec ban new power plants</v>
      </c>
      <c r="L254" s="254">
        <f>IF(ISBLANK(INDEX('Policy Characteristics'!F:F,MATCH($C254,'Policy Characteristics'!$C:$C,0))),"",INDEX('Policy Characteristics'!F:F,MATCH($C254,'Policy Characteristics'!$C:$C,0)))</f>
        <v>0</v>
      </c>
      <c r="M254" s="254">
        <f>IF(ISBLANK(INDEX('Policy Characteristics'!G:G,MATCH($C254,'Policy Characteristics'!$C:$C,0))),"",INDEX('Policy Characteristics'!G:G,MATCH($C254,'Policy Characteristics'!$C:$C,0)))</f>
        <v>1</v>
      </c>
      <c r="N254" s="254">
        <f>IF(ISBLANK(INDEX('Policy Characteristics'!H:H,MATCH($C254,'Policy Characteristics'!$C:$C,0))),"",INDEX('Policy Characteristics'!H:H,MATCH($C254,'Policy Characteristics'!$C:$C,0)))</f>
        <v>1</v>
      </c>
      <c r="O254" s="254" t="str">
        <f>IF(ISBLANK(INDEX('Policy Characteristics'!I:I,MATCH($C254,'Policy Characteristics'!$C:$C,0))),"",INDEX('Policy Characteristics'!I:I,MATCH($C254,'Policy Characteristics'!$C:$C,0)))</f>
        <v>on/off</v>
      </c>
      <c r="P254" s="254" t="str">
        <f>IF(ISBLANK(INDEX('Policy Characteristics'!J:J,MATCH($C254,'Policy Characteristics'!$C:$C,0))),"",INDEX('Policy Characteristics'!J:J,MATCH($C254,'Policy Characteristics'!$C:$C,0)))</f>
        <v>**Description:** This policy prevents new capacity of the selected type(s) from being built or deployed.</v>
      </c>
      <c r="Q254" s="254" t="str">
        <f>IF(ISBLANK(INDEX('Policy Characteristics'!K:K,MATCH($C254,'Policy Characteristics'!$C:$C,0))),"",INDEX('Policy Characteristics'!K:K,MATCH($C254,'Policy Characteristics'!$C:$C,0)))</f>
        <v>electricity-sector-main.html#ban</v>
      </c>
      <c r="R254" s="254" t="str">
        <f>IF(ISBLANK(INDEX('Policy Characteristics'!L:L,MATCH($C254,'Policy Characteristics'!$C:$C,0))),"",INDEX('Policy Characteristics'!L:L,MATCH($C254,'Policy Characteristics'!$C:$C,0)))</f>
        <v>ban-new-capacity.html</v>
      </c>
    </row>
    <row r="255" spans="1:18" s="4" customFormat="1" x14ac:dyDescent="0.3">
      <c r="A255" s="254" t="str">
        <f>IF(ISBLANK(INDEX('Policy Characteristics'!A:A,MATCH($C255,'Policy Characteristics'!$C:$C,0))),"",INDEX('Policy Characteristics'!A:A,MATCH($C255,'Policy Characteristics'!$C:$C,0)))</f>
        <v>Electricity Supply</v>
      </c>
      <c r="B255" s="262" t="str">
        <f>IF(ISBLANK(INDEX('Policy Characteristics'!B:B,MATCH($C255,'Policy Characteristics'!$C:$C,0))),"",INDEX('Policy Characteristics'!B:B,MATCH($C255,'Policy Characteristics'!$C:$C,0)))</f>
        <v>Ban New Power Plants</v>
      </c>
      <c r="C255" s="254" t="str">
        <f t="shared" si="17"/>
        <v>Boolean Ban New Power Plants</v>
      </c>
      <c r="D255" s="6" t="s">
        <v>77</v>
      </c>
      <c r="E255" s="45"/>
      <c r="F255" s="6" t="s">
        <v>89</v>
      </c>
      <c r="G255" s="45"/>
      <c r="H255" s="43">
        <v>170</v>
      </c>
      <c r="I255" s="324" t="s">
        <v>43</v>
      </c>
      <c r="J255" s="255" t="str">
        <f>IF(ISBLANK(INDEX('Policy Characteristics'!D:D,MATCH($C255,'Policy Characteristics'!$C:$C,0))),"",INDEX('Policy Characteristics'!D:D,MATCH($C255,'Policy Characteristics'!$C:$C,0)))</f>
        <v>Ban New Power Plants</v>
      </c>
      <c r="K255" s="254" t="str">
        <f>IF(ISBLANK(INDEX('Policy Characteristics'!E:E,MATCH($C255,'Policy Characteristics'!$C:$C,0))),"",INDEX('Policy Characteristics'!E:E,MATCH($C255,'Policy Characteristics'!$C:$C,0)))</f>
        <v>elec ban new power plants</v>
      </c>
      <c r="L255" s="254">
        <f>IF(ISBLANK(INDEX('Policy Characteristics'!F:F,MATCH($C255,'Policy Characteristics'!$C:$C,0))),"",INDEX('Policy Characteristics'!F:F,MATCH($C255,'Policy Characteristics'!$C:$C,0)))</f>
        <v>0</v>
      </c>
      <c r="M255" s="254">
        <f>IF(ISBLANK(INDEX('Policy Characteristics'!G:G,MATCH($C255,'Policy Characteristics'!$C:$C,0))),"",INDEX('Policy Characteristics'!G:G,MATCH($C255,'Policy Characteristics'!$C:$C,0)))</f>
        <v>1</v>
      </c>
      <c r="N255" s="254">
        <f>IF(ISBLANK(INDEX('Policy Characteristics'!H:H,MATCH($C255,'Policy Characteristics'!$C:$C,0))),"",INDEX('Policy Characteristics'!H:H,MATCH($C255,'Policy Characteristics'!$C:$C,0)))</f>
        <v>1</v>
      </c>
      <c r="O255" s="254" t="str">
        <f>IF(ISBLANK(INDEX('Policy Characteristics'!I:I,MATCH($C255,'Policy Characteristics'!$C:$C,0))),"",INDEX('Policy Characteristics'!I:I,MATCH($C255,'Policy Characteristics'!$C:$C,0)))</f>
        <v>on/off</v>
      </c>
      <c r="P255" s="254" t="str">
        <f>IF(ISBLANK(INDEX('Policy Characteristics'!J:J,MATCH($C255,'Policy Characteristics'!$C:$C,0))),"",INDEX('Policy Characteristics'!J:J,MATCH($C255,'Policy Characteristics'!$C:$C,0)))</f>
        <v>**Description:** This policy prevents new capacity of the selected type(s) from being built or deployed.</v>
      </c>
      <c r="Q255" s="254" t="str">
        <f>IF(ISBLANK(INDEX('Policy Characteristics'!K:K,MATCH($C255,'Policy Characteristics'!$C:$C,0))),"",INDEX('Policy Characteristics'!K:K,MATCH($C255,'Policy Characteristics'!$C:$C,0)))</f>
        <v>electricity-sector-main.html#ban</v>
      </c>
      <c r="R255" s="254" t="str">
        <f>IF(ISBLANK(INDEX('Policy Characteristics'!L:L,MATCH($C255,'Policy Characteristics'!$C:$C,0))),"",INDEX('Policy Characteristics'!L:L,MATCH($C255,'Policy Characteristics'!$C:$C,0)))</f>
        <v>ban-new-capacity.html</v>
      </c>
    </row>
    <row r="256" spans="1:18" s="4" customFormat="1" x14ac:dyDescent="0.3">
      <c r="A256" s="254" t="str">
        <f>IF(ISBLANK(INDEX('Policy Characteristics'!A:A,MATCH($C256,'Policy Characteristics'!$C:$C,0))),"",INDEX('Policy Characteristics'!A:A,MATCH($C256,'Policy Characteristics'!$C:$C,0)))</f>
        <v>Electricity Supply</v>
      </c>
      <c r="B256" s="262" t="str">
        <f>IF(ISBLANK(INDEX('Policy Characteristics'!B:B,MATCH($C256,'Policy Characteristics'!$C:$C,0))),"",INDEX('Policy Characteristics'!B:B,MATCH($C256,'Policy Characteristics'!$C:$C,0)))</f>
        <v>Ban New Power Plants</v>
      </c>
      <c r="C256" s="254" t="str">
        <f t="shared" si="17"/>
        <v>Boolean Ban New Power Plants</v>
      </c>
      <c r="D256" s="6" t="s">
        <v>448</v>
      </c>
      <c r="E256" s="45"/>
      <c r="F256" s="6" t="s">
        <v>451</v>
      </c>
      <c r="G256" s="45"/>
      <c r="H256" s="43">
        <v>608</v>
      </c>
      <c r="I256" s="324" t="s">
        <v>44</v>
      </c>
      <c r="J256" s="255" t="str">
        <f>IF(ISBLANK(INDEX('Policy Characteristics'!D:D,MATCH($C256,'Policy Characteristics'!$C:$C,0))),"",INDEX('Policy Characteristics'!D:D,MATCH($C256,'Policy Characteristics'!$C:$C,0)))</f>
        <v>Ban New Power Plants</v>
      </c>
      <c r="K256" s="254" t="str">
        <f>IF(ISBLANK(INDEX('Policy Characteristics'!E:E,MATCH($C256,'Policy Characteristics'!$C:$C,0))),"",INDEX('Policy Characteristics'!E:E,MATCH($C256,'Policy Characteristics'!$C:$C,0)))</f>
        <v>elec ban new power plants</v>
      </c>
      <c r="L256" s="254">
        <f>IF(ISBLANK(INDEX('Policy Characteristics'!F:F,MATCH($C256,'Policy Characteristics'!$C:$C,0))),"",INDEX('Policy Characteristics'!F:F,MATCH($C256,'Policy Characteristics'!$C:$C,0)))</f>
        <v>0</v>
      </c>
      <c r="M256" s="254">
        <f>IF(ISBLANK(INDEX('Policy Characteristics'!G:G,MATCH($C256,'Policy Characteristics'!$C:$C,0))),"",INDEX('Policy Characteristics'!G:G,MATCH($C256,'Policy Characteristics'!$C:$C,0)))</f>
        <v>1</v>
      </c>
      <c r="N256" s="254">
        <f>IF(ISBLANK(INDEX('Policy Characteristics'!H:H,MATCH($C256,'Policy Characteristics'!$C:$C,0))),"",INDEX('Policy Characteristics'!H:H,MATCH($C256,'Policy Characteristics'!$C:$C,0)))</f>
        <v>1</v>
      </c>
      <c r="O256" s="254" t="str">
        <f>IF(ISBLANK(INDEX('Policy Characteristics'!I:I,MATCH($C256,'Policy Characteristics'!$C:$C,0))),"",INDEX('Policy Characteristics'!I:I,MATCH($C256,'Policy Characteristics'!$C:$C,0)))</f>
        <v>on/off</v>
      </c>
      <c r="P256" s="254" t="str">
        <f>IF(ISBLANK(INDEX('Policy Characteristics'!J:J,MATCH($C256,'Policy Characteristics'!$C:$C,0))),"",INDEX('Policy Characteristics'!J:J,MATCH($C256,'Policy Characteristics'!$C:$C,0)))</f>
        <v>**Description:** This policy prevents new capacity of the selected type(s) from being built or deployed.</v>
      </c>
      <c r="Q256" s="254" t="str">
        <f>IF(ISBLANK(INDEX('Policy Characteristics'!K:K,MATCH($C256,'Policy Characteristics'!$C:$C,0))),"",INDEX('Policy Characteristics'!K:K,MATCH($C256,'Policy Characteristics'!$C:$C,0)))</f>
        <v>electricity-sector-main.html#ban</v>
      </c>
      <c r="R256" s="254" t="str">
        <f>IF(ISBLANK(INDEX('Policy Characteristics'!L:L,MATCH($C256,'Policy Characteristics'!$C:$C,0))),"",INDEX('Policy Characteristics'!L:L,MATCH($C256,'Policy Characteristics'!$C:$C,0)))</f>
        <v>ban-new-capacity.html</v>
      </c>
    </row>
    <row r="257" spans="1:18" s="4" customFormat="1" x14ac:dyDescent="0.3">
      <c r="A257" s="254" t="str">
        <f>IF(ISBLANK(INDEX('Policy Characteristics'!A:A,MATCH($C257,'Policy Characteristics'!$C:$C,0))),"",INDEX('Policy Characteristics'!A:A,MATCH($C257,'Policy Characteristics'!$C:$C,0)))</f>
        <v>Electricity Supply</v>
      </c>
      <c r="B257" s="262" t="str">
        <f>IF(ISBLANK(INDEX('Policy Characteristics'!B:B,MATCH($C257,'Policy Characteristics'!$C:$C,0))),"",INDEX('Policy Characteristics'!B:B,MATCH($C257,'Policy Characteristics'!$C:$C,0)))</f>
        <v>Ban New Power Plants</v>
      </c>
      <c r="C257" s="254" t="str">
        <f t="shared" si="17"/>
        <v>Boolean Ban New Power Plants</v>
      </c>
      <c r="D257" s="6" t="s">
        <v>78</v>
      </c>
      <c r="E257" s="45"/>
      <c r="F257" s="6" t="s">
        <v>90</v>
      </c>
      <c r="G257" s="45"/>
      <c r="H257" s="43">
        <v>609</v>
      </c>
      <c r="I257" s="324" t="s">
        <v>44</v>
      </c>
      <c r="J257" s="255" t="str">
        <f>IF(ISBLANK(INDEX('Policy Characteristics'!D:D,MATCH($C257,'Policy Characteristics'!$C:$C,0))),"",INDEX('Policy Characteristics'!D:D,MATCH($C257,'Policy Characteristics'!$C:$C,0)))</f>
        <v>Ban New Power Plants</v>
      </c>
      <c r="K257" s="254" t="str">
        <f>IF(ISBLANK(INDEX('Policy Characteristics'!E:E,MATCH($C257,'Policy Characteristics'!$C:$C,0))),"",INDEX('Policy Characteristics'!E:E,MATCH($C257,'Policy Characteristics'!$C:$C,0)))</f>
        <v>elec ban new power plants</v>
      </c>
      <c r="L257" s="254">
        <f>IF(ISBLANK(INDEX('Policy Characteristics'!F:F,MATCH($C257,'Policy Characteristics'!$C:$C,0))),"",INDEX('Policy Characteristics'!F:F,MATCH($C257,'Policy Characteristics'!$C:$C,0)))</f>
        <v>0</v>
      </c>
      <c r="M257" s="254">
        <f>IF(ISBLANK(INDEX('Policy Characteristics'!G:G,MATCH($C257,'Policy Characteristics'!$C:$C,0))),"",INDEX('Policy Characteristics'!G:G,MATCH($C257,'Policy Characteristics'!$C:$C,0)))</f>
        <v>1</v>
      </c>
      <c r="N257" s="254">
        <f>IF(ISBLANK(INDEX('Policy Characteristics'!H:H,MATCH($C257,'Policy Characteristics'!$C:$C,0))),"",INDEX('Policy Characteristics'!H:H,MATCH($C257,'Policy Characteristics'!$C:$C,0)))</f>
        <v>1</v>
      </c>
      <c r="O257" s="254" t="str">
        <f>IF(ISBLANK(INDEX('Policy Characteristics'!I:I,MATCH($C257,'Policy Characteristics'!$C:$C,0))),"",INDEX('Policy Characteristics'!I:I,MATCH($C257,'Policy Characteristics'!$C:$C,0)))</f>
        <v>on/off</v>
      </c>
      <c r="P257" s="254" t="str">
        <f>IF(ISBLANK(INDEX('Policy Characteristics'!J:J,MATCH($C257,'Policy Characteristics'!$C:$C,0))),"",INDEX('Policy Characteristics'!J:J,MATCH($C257,'Policy Characteristics'!$C:$C,0)))</f>
        <v>**Description:** This policy prevents new capacity of the selected type(s) from being built or deployed.</v>
      </c>
      <c r="Q257" s="254" t="str">
        <f>IF(ISBLANK(INDEX('Policy Characteristics'!K:K,MATCH($C257,'Policy Characteristics'!$C:$C,0))),"",INDEX('Policy Characteristics'!K:K,MATCH($C257,'Policy Characteristics'!$C:$C,0)))</f>
        <v>electricity-sector-main.html#ban</v>
      </c>
      <c r="R257" s="254" t="str">
        <f>IF(ISBLANK(INDEX('Policy Characteristics'!L:L,MATCH($C257,'Policy Characteristics'!$C:$C,0))),"",INDEX('Policy Characteristics'!L:L,MATCH($C257,'Policy Characteristics'!$C:$C,0)))</f>
        <v>ban-new-capacity.html</v>
      </c>
    </row>
    <row r="258" spans="1:18" s="4" customFormat="1" x14ac:dyDescent="0.3">
      <c r="A258" s="254" t="str">
        <f>IF(ISBLANK(INDEX('Policy Characteristics'!A:A,MATCH($C258,'Policy Characteristics'!$C:$C,0))),"",INDEX('Policy Characteristics'!A:A,MATCH($C258,'Policy Characteristics'!$C:$C,0)))</f>
        <v>Electricity Supply</v>
      </c>
      <c r="B258" s="262" t="str">
        <f>IF(ISBLANK(INDEX('Policy Characteristics'!B:B,MATCH($C258,'Policy Characteristics'!$C:$C,0))),"",INDEX('Policy Characteristics'!B:B,MATCH($C258,'Policy Characteristics'!$C:$C,0)))</f>
        <v>Ban New Power Plants</v>
      </c>
      <c r="C258" s="254" t="str">
        <f t="shared" si="17"/>
        <v>Boolean Ban New Power Plants</v>
      </c>
      <c r="D258" s="6" t="s">
        <v>79</v>
      </c>
      <c r="E258" s="45"/>
      <c r="F258" s="6" t="s">
        <v>91</v>
      </c>
      <c r="G258" s="45"/>
      <c r="H258" s="43">
        <v>610</v>
      </c>
      <c r="I258" s="324" t="s">
        <v>44</v>
      </c>
      <c r="J258" s="255" t="str">
        <f>IF(ISBLANK(INDEX('Policy Characteristics'!D:D,MATCH($C258,'Policy Characteristics'!$C:$C,0))),"",INDEX('Policy Characteristics'!D:D,MATCH($C258,'Policy Characteristics'!$C:$C,0)))</f>
        <v>Ban New Power Plants</v>
      </c>
      <c r="K258" s="254" t="str">
        <f>IF(ISBLANK(INDEX('Policy Characteristics'!E:E,MATCH($C258,'Policy Characteristics'!$C:$C,0))),"",INDEX('Policy Characteristics'!E:E,MATCH($C258,'Policy Characteristics'!$C:$C,0)))</f>
        <v>elec ban new power plants</v>
      </c>
      <c r="L258" s="254">
        <f>IF(ISBLANK(INDEX('Policy Characteristics'!F:F,MATCH($C258,'Policy Characteristics'!$C:$C,0))),"",INDEX('Policy Characteristics'!F:F,MATCH($C258,'Policy Characteristics'!$C:$C,0)))</f>
        <v>0</v>
      </c>
      <c r="M258" s="254">
        <f>IF(ISBLANK(INDEX('Policy Characteristics'!G:G,MATCH($C258,'Policy Characteristics'!$C:$C,0))),"",INDEX('Policy Characteristics'!G:G,MATCH($C258,'Policy Characteristics'!$C:$C,0)))</f>
        <v>1</v>
      </c>
      <c r="N258" s="254">
        <f>IF(ISBLANK(INDEX('Policy Characteristics'!H:H,MATCH($C258,'Policy Characteristics'!$C:$C,0))),"",INDEX('Policy Characteristics'!H:H,MATCH($C258,'Policy Characteristics'!$C:$C,0)))</f>
        <v>1</v>
      </c>
      <c r="O258" s="254" t="str">
        <f>IF(ISBLANK(INDEX('Policy Characteristics'!I:I,MATCH($C258,'Policy Characteristics'!$C:$C,0))),"",INDEX('Policy Characteristics'!I:I,MATCH($C258,'Policy Characteristics'!$C:$C,0)))</f>
        <v>on/off</v>
      </c>
      <c r="P258" s="254" t="str">
        <f>IF(ISBLANK(INDEX('Policy Characteristics'!J:J,MATCH($C258,'Policy Characteristics'!$C:$C,0))),"",INDEX('Policy Characteristics'!J:J,MATCH($C258,'Policy Characteristics'!$C:$C,0)))</f>
        <v>**Description:** This policy prevents new capacity of the selected type(s) from being built or deployed.</v>
      </c>
      <c r="Q258" s="254" t="str">
        <f>IF(ISBLANK(INDEX('Policy Characteristics'!K:K,MATCH($C258,'Policy Characteristics'!$C:$C,0))),"",INDEX('Policy Characteristics'!K:K,MATCH($C258,'Policy Characteristics'!$C:$C,0)))</f>
        <v>electricity-sector-main.html#ban</v>
      </c>
      <c r="R258" s="254" t="str">
        <f>IF(ISBLANK(INDEX('Policy Characteristics'!L:L,MATCH($C258,'Policy Characteristics'!$C:$C,0))),"",INDEX('Policy Characteristics'!L:L,MATCH($C258,'Policy Characteristics'!$C:$C,0)))</f>
        <v>ban-new-capacity.html</v>
      </c>
    </row>
    <row r="259" spans="1:18" s="4" customFormat="1" x14ac:dyDescent="0.3">
      <c r="A259" s="254" t="str">
        <f>IF(ISBLANK(INDEX('Policy Characteristics'!A:A,MATCH($C259,'Policy Characteristics'!$C:$C,0))),"",INDEX('Policy Characteristics'!A:A,MATCH($C259,'Policy Characteristics'!$C:$C,0)))</f>
        <v>Electricity Supply</v>
      </c>
      <c r="B259" s="262" t="str">
        <f>IF(ISBLANK(INDEX('Policy Characteristics'!B:B,MATCH($C259,'Policy Characteristics'!$C:$C,0))),"",INDEX('Policy Characteristics'!B:B,MATCH($C259,'Policy Characteristics'!$C:$C,0)))</f>
        <v>Ban New Power Plants</v>
      </c>
      <c r="C259" s="254" t="str">
        <f t="shared" si="17"/>
        <v>Boolean Ban New Power Plants</v>
      </c>
      <c r="D259" s="6" t="s">
        <v>80</v>
      </c>
      <c r="E259" s="45"/>
      <c r="F259" s="6" t="s">
        <v>92</v>
      </c>
      <c r="G259" s="45"/>
      <c r="H259" s="43">
        <v>611</v>
      </c>
      <c r="I259" s="324" t="s">
        <v>44</v>
      </c>
      <c r="J259" s="255" t="str">
        <f>IF(ISBLANK(INDEX('Policy Characteristics'!D:D,MATCH($C259,'Policy Characteristics'!$C:$C,0))),"",INDEX('Policy Characteristics'!D:D,MATCH($C259,'Policy Characteristics'!$C:$C,0)))</f>
        <v>Ban New Power Plants</v>
      </c>
      <c r="K259" s="254" t="str">
        <f>IF(ISBLANK(INDEX('Policy Characteristics'!E:E,MATCH($C259,'Policy Characteristics'!$C:$C,0))),"",INDEX('Policy Characteristics'!E:E,MATCH($C259,'Policy Characteristics'!$C:$C,0)))</f>
        <v>elec ban new power plants</v>
      </c>
      <c r="L259" s="254">
        <f>IF(ISBLANK(INDEX('Policy Characteristics'!F:F,MATCH($C259,'Policy Characteristics'!$C:$C,0))),"",INDEX('Policy Characteristics'!F:F,MATCH($C259,'Policy Characteristics'!$C:$C,0)))</f>
        <v>0</v>
      </c>
      <c r="M259" s="254">
        <f>IF(ISBLANK(INDEX('Policy Characteristics'!G:G,MATCH($C259,'Policy Characteristics'!$C:$C,0))),"",INDEX('Policy Characteristics'!G:G,MATCH($C259,'Policy Characteristics'!$C:$C,0)))</f>
        <v>1</v>
      </c>
      <c r="N259" s="254">
        <f>IF(ISBLANK(INDEX('Policy Characteristics'!H:H,MATCH($C259,'Policy Characteristics'!$C:$C,0))),"",INDEX('Policy Characteristics'!H:H,MATCH($C259,'Policy Characteristics'!$C:$C,0)))</f>
        <v>1</v>
      </c>
      <c r="O259" s="254" t="str">
        <f>IF(ISBLANK(INDEX('Policy Characteristics'!I:I,MATCH($C259,'Policy Characteristics'!$C:$C,0))),"",INDEX('Policy Characteristics'!I:I,MATCH($C259,'Policy Characteristics'!$C:$C,0)))</f>
        <v>on/off</v>
      </c>
      <c r="P259" s="254" t="str">
        <f>IF(ISBLANK(INDEX('Policy Characteristics'!J:J,MATCH($C259,'Policy Characteristics'!$C:$C,0))),"",INDEX('Policy Characteristics'!J:J,MATCH($C259,'Policy Characteristics'!$C:$C,0)))</f>
        <v>**Description:** This policy prevents new capacity of the selected type(s) from being built or deployed.</v>
      </c>
      <c r="Q259" s="254" t="str">
        <f>IF(ISBLANK(INDEX('Policy Characteristics'!K:K,MATCH($C259,'Policy Characteristics'!$C:$C,0))),"",INDEX('Policy Characteristics'!K:K,MATCH($C259,'Policy Characteristics'!$C:$C,0)))</f>
        <v>electricity-sector-main.html#ban</v>
      </c>
      <c r="R259" s="254" t="str">
        <f>IF(ISBLANK(INDEX('Policy Characteristics'!L:L,MATCH($C259,'Policy Characteristics'!$C:$C,0))),"",INDEX('Policy Characteristics'!L:L,MATCH($C259,'Policy Characteristics'!$C:$C,0)))</f>
        <v>ban-new-capacity.html</v>
      </c>
    </row>
    <row r="260" spans="1:18" s="4" customFormat="1" x14ac:dyDescent="0.3">
      <c r="A260" s="254" t="str">
        <f>IF(ISBLANK(INDEX('Policy Characteristics'!A:A,MATCH($C260,'Policy Characteristics'!$C:$C,0))),"",INDEX('Policy Characteristics'!A:A,MATCH($C260,'Policy Characteristics'!$C:$C,0)))</f>
        <v>Electricity Supply</v>
      </c>
      <c r="B260" s="262" t="str">
        <f>IF(ISBLANK(INDEX('Policy Characteristics'!B:B,MATCH($C260,'Policy Characteristics'!$C:$C,0))),"",INDEX('Policy Characteristics'!B:B,MATCH($C260,'Policy Characteristics'!$C:$C,0)))</f>
        <v>Ban New Power Plants</v>
      </c>
      <c r="C260" s="254" t="str">
        <f t="shared" ref="C260:C274" si="18">C$251</f>
        <v>Boolean Ban New Power Plants</v>
      </c>
      <c r="D260" s="6" t="s">
        <v>2425</v>
      </c>
      <c r="E260" s="45"/>
      <c r="F260" s="6" t="s">
        <v>436</v>
      </c>
      <c r="G260" s="45"/>
      <c r="H260" s="43">
        <v>612</v>
      </c>
      <c r="I260" s="324" t="s">
        <v>44</v>
      </c>
      <c r="J260" s="255" t="str">
        <f>IF(ISBLANK(INDEX('Policy Characteristics'!D:D,MATCH($C260,'Policy Characteristics'!$C:$C,0))),"",INDEX('Policy Characteristics'!D:D,MATCH($C260,'Policy Characteristics'!$C:$C,0)))</f>
        <v>Ban New Power Plants</v>
      </c>
      <c r="K260" s="254" t="str">
        <f>IF(ISBLANK(INDEX('Policy Characteristics'!E:E,MATCH($C260,'Policy Characteristics'!$C:$C,0))),"",INDEX('Policy Characteristics'!E:E,MATCH($C260,'Policy Characteristics'!$C:$C,0)))</f>
        <v>elec ban new power plants</v>
      </c>
      <c r="L260" s="254">
        <f>IF(ISBLANK(INDEX('Policy Characteristics'!F:F,MATCH($C260,'Policy Characteristics'!$C:$C,0))),"",INDEX('Policy Characteristics'!F:F,MATCH($C260,'Policy Characteristics'!$C:$C,0)))</f>
        <v>0</v>
      </c>
      <c r="M260" s="254">
        <f>IF(ISBLANK(INDEX('Policy Characteristics'!G:G,MATCH($C260,'Policy Characteristics'!$C:$C,0))),"",INDEX('Policy Characteristics'!G:G,MATCH($C260,'Policy Characteristics'!$C:$C,0)))</f>
        <v>1</v>
      </c>
      <c r="N260" s="254">
        <f>IF(ISBLANK(INDEX('Policy Characteristics'!H:H,MATCH($C260,'Policy Characteristics'!$C:$C,0))),"",INDEX('Policy Characteristics'!H:H,MATCH($C260,'Policy Characteristics'!$C:$C,0)))</f>
        <v>1</v>
      </c>
      <c r="O260" s="254" t="str">
        <f>IF(ISBLANK(INDEX('Policy Characteristics'!I:I,MATCH($C260,'Policy Characteristics'!$C:$C,0))),"",INDEX('Policy Characteristics'!I:I,MATCH($C260,'Policy Characteristics'!$C:$C,0)))</f>
        <v>on/off</v>
      </c>
      <c r="P260" s="254" t="str">
        <f>IF(ISBLANK(INDEX('Policy Characteristics'!J:J,MATCH($C260,'Policy Characteristics'!$C:$C,0))),"",INDEX('Policy Characteristics'!J:J,MATCH($C260,'Policy Characteristics'!$C:$C,0)))</f>
        <v>**Description:** This policy prevents new capacity of the selected type(s) from being built or deployed.</v>
      </c>
      <c r="Q260" s="254" t="str">
        <f>IF(ISBLANK(INDEX('Policy Characteristics'!K:K,MATCH($C260,'Policy Characteristics'!$C:$C,0))),"",INDEX('Policy Characteristics'!K:K,MATCH($C260,'Policy Characteristics'!$C:$C,0)))</f>
        <v>electricity-sector-main.html#ban</v>
      </c>
      <c r="R260" s="254" t="str">
        <f>IF(ISBLANK(INDEX('Policy Characteristics'!L:L,MATCH($C260,'Policy Characteristics'!$C:$C,0))),"",INDEX('Policy Characteristics'!L:L,MATCH($C260,'Policy Characteristics'!$C:$C,0)))</f>
        <v>ban-new-capacity.html</v>
      </c>
    </row>
    <row r="261" spans="1:18" s="4" customFormat="1" x14ac:dyDescent="0.3">
      <c r="A261" s="254" t="str">
        <f>IF(ISBLANK(INDEX('Policy Characteristics'!A:A,MATCH($C261,'Policy Characteristics'!$C:$C,0))),"",INDEX('Policy Characteristics'!A:A,MATCH($C261,'Policy Characteristics'!$C:$C,0)))</f>
        <v>Electricity Supply</v>
      </c>
      <c r="B261" s="262" t="str">
        <f>IF(ISBLANK(INDEX('Policy Characteristics'!B:B,MATCH($C261,'Policy Characteristics'!$C:$C,0))),"",INDEX('Policy Characteristics'!B:B,MATCH($C261,'Policy Characteristics'!$C:$C,0)))</f>
        <v>Ban New Power Plants</v>
      </c>
      <c r="C261" s="254" t="str">
        <f t="shared" si="17"/>
        <v>Boolean Ban New Power Plants</v>
      </c>
      <c r="D261" s="6" t="s">
        <v>308</v>
      </c>
      <c r="E261" s="45"/>
      <c r="F261" s="6" t="s">
        <v>310</v>
      </c>
      <c r="G261" s="45"/>
      <c r="H261" s="43">
        <v>613</v>
      </c>
      <c r="I261" s="324" t="s">
        <v>43</v>
      </c>
      <c r="J261" s="255" t="str">
        <f>IF(ISBLANK(INDEX('Policy Characteristics'!D:D,MATCH($C261,'Policy Characteristics'!$C:$C,0))),"",INDEX('Policy Characteristics'!D:D,MATCH($C261,'Policy Characteristics'!$C:$C,0)))</f>
        <v>Ban New Power Plants</v>
      </c>
      <c r="K261" s="254" t="str">
        <f>IF(ISBLANK(INDEX('Policy Characteristics'!E:E,MATCH($C261,'Policy Characteristics'!$C:$C,0))),"",INDEX('Policy Characteristics'!E:E,MATCH($C261,'Policy Characteristics'!$C:$C,0)))</f>
        <v>elec ban new power plants</v>
      </c>
      <c r="L261" s="254">
        <f>IF(ISBLANK(INDEX('Policy Characteristics'!F:F,MATCH($C261,'Policy Characteristics'!$C:$C,0))),"",INDEX('Policy Characteristics'!F:F,MATCH($C261,'Policy Characteristics'!$C:$C,0)))</f>
        <v>0</v>
      </c>
      <c r="M261" s="254">
        <f>IF(ISBLANK(INDEX('Policy Characteristics'!G:G,MATCH($C261,'Policy Characteristics'!$C:$C,0))),"",INDEX('Policy Characteristics'!G:G,MATCH($C261,'Policy Characteristics'!$C:$C,0)))</f>
        <v>1</v>
      </c>
      <c r="N261" s="254">
        <f>IF(ISBLANK(INDEX('Policy Characteristics'!H:H,MATCH($C261,'Policy Characteristics'!$C:$C,0))),"",INDEX('Policy Characteristics'!H:H,MATCH($C261,'Policy Characteristics'!$C:$C,0)))</f>
        <v>1</v>
      </c>
      <c r="O261" s="254" t="str">
        <f>IF(ISBLANK(INDEX('Policy Characteristics'!I:I,MATCH($C261,'Policy Characteristics'!$C:$C,0))),"",INDEX('Policy Characteristics'!I:I,MATCH($C261,'Policy Characteristics'!$C:$C,0)))</f>
        <v>on/off</v>
      </c>
      <c r="P261" s="254" t="str">
        <f>IF(ISBLANK(INDEX('Policy Characteristics'!J:J,MATCH($C261,'Policy Characteristics'!$C:$C,0))),"",INDEX('Policy Characteristics'!J:J,MATCH($C261,'Policy Characteristics'!$C:$C,0)))</f>
        <v>**Description:** This policy prevents new capacity of the selected type(s) from being built or deployed.</v>
      </c>
      <c r="Q261" s="254" t="str">
        <f>IF(ISBLANK(INDEX('Policy Characteristics'!K:K,MATCH($C261,'Policy Characteristics'!$C:$C,0))),"",INDEX('Policy Characteristics'!K:K,MATCH($C261,'Policy Characteristics'!$C:$C,0)))</f>
        <v>electricity-sector-main.html#ban</v>
      </c>
      <c r="R261" s="254" t="str">
        <f>IF(ISBLANK(INDEX('Policy Characteristics'!L:L,MATCH($C261,'Policy Characteristics'!$C:$C,0))),"",INDEX('Policy Characteristics'!L:L,MATCH($C261,'Policy Characteristics'!$C:$C,0)))</f>
        <v>ban-new-capacity.html</v>
      </c>
    </row>
    <row r="262" spans="1:18" s="4" customFormat="1" x14ac:dyDescent="0.3">
      <c r="A262" s="254" t="str">
        <f>IF(ISBLANK(INDEX('Policy Characteristics'!A:A,MATCH($C262,'Policy Characteristics'!$C:$C,0))),"",INDEX('Policy Characteristics'!A:A,MATCH($C262,'Policy Characteristics'!$C:$C,0)))</f>
        <v>Electricity Supply</v>
      </c>
      <c r="B262" s="262" t="str">
        <f>IF(ISBLANK(INDEX('Policy Characteristics'!B:B,MATCH($C262,'Policy Characteristics'!$C:$C,0))),"",INDEX('Policy Characteristics'!B:B,MATCH($C262,'Policy Characteristics'!$C:$C,0)))</f>
        <v>Ban New Power Plants</v>
      </c>
      <c r="C262" s="254" t="str">
        <f t="shared" si="17"/>
        <v>Boolean Ban New Power Plants</v>
      </c>
      <c r="D262" s="6" t="s">
        <v>309</v>
      </c>
      <c r="E262" s="45"/>
      <c r="F262" s="6" t="s">
        <v>311</v>
      </c>
      <c r="G262" s="45"/>
      <c r="H262" s="43">
        <v>614</v>
      </c>
      <c r="I262" s="324" t="s">
        <v>43</v>
      </c>
      <c r="J262" s="255" t="str">
        <f>IF(ISBLANK(INDEX('Policy Characteristics'!D:D,MATCH($C262,'Policy Characteristics'!$C:$C,0))),"",INDEX('Policy Characteristics'!D:D,MATCH($C262,'Policy Characteristics'!$C:$C,0)))</f>
        <v>Ban New Power Plants</v>
      </c>
      <c r="K262" s="254" t="str">
        <f>IF(ISBLANK(INDEX('Policy Characteristics'!E:E,MATCH($C262,'Policy Characteristics'!$C:$C,0))),"",INDEX('Policy Characteristics'!E:E,MATCH($C262,'Policy Characteristics'!$C:$C,0)))</f>
        <v>elec ban new power plants</v>
      </c>
      <c r="L262" s="254">
        <f>IF(ISBLANK(INDEX('Policy Characteristics'!F:F,MATCH($C262,'Policy Characteristics'!$C:$C,0))),"",INDEX('Policy Characteristics'!F:F,MATCH($C262,'Policy Characteristics'!$C:$C,0)))</f>
        <v>0</v>
      </c>
      <c r="M262" s="254">
        <f>IF(ISBLANK(INDEX('Policy Characteristics'!G:G,MATCH($C262,'Policy Characteristics'!$C:$C,0))),"",INDEX('Policy Characteristics'!G:G,MATCH($C262,'Policy Characteristics'!$C:$C,0)))</f>
        <v>1</v>
      </c>
      <c r="N262" s="254">
        <f>IF(ISBLANK(INDEX('Policy Characteristics'!H:H,MATCH($C262,'Policy Characteristics'!$C:$C,0))),"",INDEX('Policy Characteristics'!H:H,MATCH($C262,'Policy Characteristics'!$C:$C,0)))</f>
        <v>1</v>
      </c>
      <c r="O262" s="254" t="str">
        <f>IF(ISBLANK(INDEX('Policy Characteristics'!I:I,MATCH($C262,'Policy Characteristics'!$C:$C,0))),"",INDEX('Policy Characteristics'!I:I,MATCH($C262,'Policy Characteristics'!$C:$C,0)))</f>
        <v>on/off</v>
      </c>
      <c r="P262" s="254" t="str">
        <f>IF(ISBLANK(INDEX('Policy Characteristics'!J:J,MATCH($C262,'Policy Characteristics'!$C:$C,0))),"",INDEX('Policy Characteristics'!J:J,MATCH($C262,'Policy Characteristics'!$C:$C,0)))</f>
        <v>**Description:** This policy prevents new capacity of the selected type(s) from being built or deployed.</v>
      </c>
      <c r="Q262" s="254" t="str">
        <f>IF(ISBLANK(INDEX('Policy Characteristics'!K:K,MATCH($C262,'Policy Characteristics'!$C:$C,0))),"",INDEX('Policy Characteristics'!K:K,MATCH($C262,'Policy Characteristics'!$C:$C,0)))</f>
        <v>electricity-sector-main.html#ban</v>
      </c>
      <c r="R262" s="254" t="str">
        <f>IF(ISBLANK(INDEX('Policy Characteristics'!L:L,MATCH($C262,'Policy Characteristics'!$C:$C,0))),"",INDEX('Policy Characteristics'!L:L,MATCH($C262,'Policy Characteristics'!$C:$C,0)))</f>
        <v>ban-new-capacity.html</v>
      </c>
    </row>
    <row r="263" spans="1:18" s="4" customFormat="1" x14ac:dyDescent="0.3">
      <c r="A263" s="254" t="str">
        <f>IF(ISBLANK(INDEX('Policy Characteristics'!A:A,MATCH($C263,'Policy Characteristics'!$C:$C,0))),"",INDEX('Policy Characteristics'!A:A,MATCH($C263,'Policy Characteristics'!$C:$C,0)))</f>
        <v>Electricity Supply</v>
      </c>
      <c r="B263" s="262" t="str">
        <f>IF(ISBLANK(INDEX('Policy Characteristics'!B:B,MATCH($C263,'Policy Characteristics'!$C:$C,0))),"",INDEX('Policy Characteristics'!B:B,MATCH($C263,'Policy Characteristics'!$C:$C,0)))</f>
        <v>Ban New Power Plants</v>
      </c>
      <c r="C263" s="254" t="str">
        <f t="shared" si="17"/>
        <v>Boolean Ban New Power Plants</v>
      </c>
      <c r="D263" s="6" t="s">
        <v>444</v>
      </c>
      <c r="E263" s="45"/>
      <c r="F263" s="6" t="s">
        <v>443</v>
      </c>
      <c r="G263" s="45"/>
      <c r="H263" s="43">
        <v>116</v>
      </c>
      <c r="I263" s="324" t="s">
        <v>43</v>
      </c>
      <c r="J263" s="255" t="str">
        <f>IF(ISBLANK(INDEX('Policy Characteristics'!D:D,MATCH($C263,'Policy Characteristics'!$C:$C,0))),"",INDEX('Policy Characteristics'!D:D,MATCH($C263,'Policy Characteristics'!$C:$C,0)))</f>
        <v>Ban New Power Plants</v>
      </c>
      <c r="K263" s="254" t="str">
        <f>IF(ISBLANK(INDEX('Policy Characteristics'!E:E,MATCH($C263,'Policy Characteristics'!$C:$C,0))),"",INDEX('Policy Characteristics'!E:E,MATCH($C263,'Policy Characteristics'!$C:$C,0)))</f>
        <v>elec ban new power plants</v>
      </c>
      <c r="L263" s="254">
        <f>IF(ISBLANK(INDEX('Policy Characteristics'!F:F,MATCH($C263,'Policy Characteristics'!$C:$C,0))),"",INDEX('Policy Characteristics'!F:F,MATCH($C263,'Policy Characteristics'!$C:$C,0)))</f>
        <v>0</v>
      </c>
      <c r="M263" s="254">
        <f>IF(ISBLANK(INDEX('Policy Characteristics'!G:G,MATCH($C263,'Policy Characteristics'!$C:$C,0))),"",INDEX('Policy Characteristics'!G:G,MATCH($C263,'Policy Characteristics'!$C:$C,0)))</f>
        <v>1</v>
      </c>
      <c r="N263" s="254">
        <f>IF(ISBLANK(INDEX('Policy Characteristics'!H:H,MATCH($C263,'Policy Characteristics'!$C:$C,0))),"",INDEX('Policy Characteristics'!H:H,MATCH($C263,'Policy Characteristics'!$C:$C,0)))</f>
        <v>1</v>
      </c>
      <c r="O263" s="254" t="str">
        <f>IF(ISBLANK(INDEX('Policy Characteristics'!I:I,MATCH($C263,'Policy Characteristics'!$C:$C,0))),"",INDEX('Policy Characteristics'!I:I,MATCH($C263,'Policy Characteristics'!$C:$C,0)))</f>
        <v>on/off</v>
      </c>
      <c r="P263" s="254" t="str">
        <f>IF(ISBLANK(INDEX('Policy Characteristics'!J:J,MATCH($C263,'Policy Characteristics'!$C:$C,0))),"",INDEX('Policy Characteristics'!J:J,MATCH($C263,'Policy Characteristics'!$C:$C,0)))</f>
        <v>**Description:** This policy prevents new capacity of the selected type(s) from being built or deployed.</v>
      </c>
      <c r="Q263" s="254" t="str">
        <f>IF(ISBLANK(INDEX('Policy Characteristics'!K:K,MATCH($C263,'Policy Characteristics'!$C:$C,0))),"",INDEX('Policy Characteristics'!K:K,MATCH($C263,'Policy Characteristics'!$C:$C,0)))</f>
        <v>electricity-sector-main.html#ban</v>
      </c>
      <c r="R263" s="254" t="str">
        <f>IF(ISBLANK(INDEX('Policy Characteristics'!L:L,MATCH($C263,'Policy Characteristics'!$C:$C,0))),"",INDEX('Policy Characteristics'!L:L,MATCH($C263,'Policy Characteristics'!$C:$C,0)))</f>
        <v>ban-new-capacity.html</v>
      </c>
    </row>
    <row r="264" spans="1:18" s="4" customFormat="1" x14ac:dyDescent="0.3">
      <c r="A264" s="254" t="str">
        <f>IF(ISBLANK(INDEX('Policy Characteristics'!A:A,MATCH($C264,'Policy Characteristics'!$C:$C,0))),"",INDEX('Policy Characteristics'!A:A,MATCH($C264,'Policy Characteristics'!$C:$C,0)))</f>
        <v>Electricity Supply</v>
      </c>
      <c r="B264" s="262" t="str">
        <f>IF(ISBLANK(INDEX('Policy Characteristics'!B:B,MATCH($C264,'Policy Characteristics'!$C:$C,0))),"",INDEX('Policy Characteristics'!B:B,MATCH($C264,'Policy Characteristics'!$C:$C,0)))</f>
        <v>Ban New Power Plants</v>
      </c>
      <c r="C264" s="254" t="str">
        <f t="shared" si="18"/>
        <v>Boolean Ban New Power Plants</v>
      </c>
      <c r="D264" s="6" t="s">
        <v>453</v>
      </c>
      <c r="E264" s="45"/>
      <c r="F264" s="6" t="s">
        <v>454</v>
      </c>
      <c r="G264" s="45"/>
      <c r="H264" s="43">
        <v>615</v>
      </c>
      <c r="I264" s="324" t="s">
        <v>44</v>
      </c>
      <c r="J264" s="255" t="str">
        <f>IF(ISBLANK(INDEX('Policy Characteristics'!D:D,MATCH($C264,'Policy Characteristics'!$C:$C,0))),"",INDEX('Policy Characteristics'!D:D,MATCH($C264,'Policy Characteristics'!$C:$C,0)))</f>
        <v>Ban New Power Plants</v>
      </c>
      <c r="K264" s="254" t="str">
        <f>IF(ISBLANK(INDEX('Policy Characteristics'!E:E,MATCH($C264,'Policy Characteristics'!$C:$C,0))),"",INDEX('Policy Characteristics'!E:E,MATCH($C264,'Policy Characteristics'!$C:$C,0)))</f>
        <v>elec ban new power plants</v>
      </c>
      <c r="L264" s="254">
        <f>IF(ISBLANK(INDEX('Policy Characteristics'!F:F,MATCH($C264,'Policy Characteristics'!$C:$C,0))),"",INDEX('Policy Characteristics'!F:F,MATCH($C264,'Policy Characteristics'!$C:$C,0)))</f>
        <v>0</v>
      </c>
      <c r="M264" s="254">
        <f>IF(ISBLANK(INDEX('Policy Characteristics'!G:G,MATCH($C264,'Policy Characteristics'!$C:$C,0))),"",INDEX('Policy Characteristics'!G:G,MATCH($C264,'Policy Characteristics'!$C:$C,0)))</f>
        <v>1</v>
      </c>
      <c r="N264" s="254">
        <f>IF(ISBLANK(INDEX('Policy Characteristics'!H:H,MATCH($C264,'Policy Characteristics'!$C:$C,0))),"",INDEX('Policy Characteristics'!H:H,MATCH($C264,'Policy Characteristics'!$C:$C,0)))</f>
        <v>1</v>
      </c>
      <c r="O264" s="254" t="str">
        <f>IF(ISBLANK(INDEX('Policy Characteristics'!I:I,MATCH($C264,'Policy Characteristics'!$C:$C,0))),"",INDEX('Policy Characteristics'!I:I,MATCH($C264,'Policy Characteristics'!$C:$C,0)))</f>
        <v>on/off</v>
      </c>
      <c r="P264" s="254" t="str">
        <f>IF(ISBLANK(INDEX('Policy Characteristics'!J:J,MATCH($C264,'Policy Characteristics'!$C:$C,0))),"",INDEX('Policy Characteristics'!J:J,MATCH($C264,'Policy Characteristics'!$C:$C,0)))</f>
        <v>**Description:** This policy prevents new capacity of the selected type(s) from being built or deployed.</v>
      </c>
      <c r="Q264" s="254" t="str">
        <f>IF(ISBLANK(INDEX('Policy Characteristics'!K:K,MATCH($C264,'Policy Characteristics'!$C:$C,0))),"",INDEX('Policy Characteristics'!K:K,MATCH($C264,'Policy Characteristics'!$C:$C,0)))</f>
        <v>electricity-sector-main.html#ban</v>
      </c>
      <c r="R264" s="254" t="str">
        <f>IF(ISBLANK(INDEX('Policy Characteristics'!L:L,MATCH($C264,'Policy Characteristics'!$C:$C,0))),"",INDEX('Policy Characteristics'!L:L,MATCH($C264,'Policy Characteristics'!$C:$C,0)))</f>
        <v>ban-new-capacity.html</v>
      </c>
    </row>
    <row r="265" spans="1:18" s="4" customFormat="1" x14ac:dyDescent="0.3">
      <c r="A265" s="254" t="str">
        <f>IF(ISBLANK(INDEX('Policy Characteristics'!A:A,MATCH($C265,'Policy Characteristics'!$C:$C,0))),"",INDEX('Policy Characteristics'!A:A,MATCH($C265,'Policy Characteristics'!$C:$C,0)))</f>
        <v>Electricity Supply</v>
      </c>
      <c r="B265" s="262" t="str">
        <f>IF(ISBLANK(INDEX('Policy Characteristics'!B:B,MATCH($C265,'Policy Characteristics'!$C:$C,0))),"",INDEX('Policy Characteristics'!B:B,MATCH($C265,'Policy Characteristics'!$C:$C,0)))</f>
        <v>Ban New Power Plants</v>
      </c>
      <c r="C265" s="254" t="str">
        <f t="shared" si="18"/>
        <v>Boolean Ban New Power Plants</v>
      </c>
      <c r="D265" s="6" t="s">
        <v>2748</v>
      </c>
      <c r="E265" s="45"/>
      <c r="F265" s="6" t="s">
        <v>2469</v>
      </c>
      <c r="G265" s="45"/>
      <c r="H265" s="43">
        <v>616</v>
      </c>
      <c r="I265" s="324" t="s">
        <v>44</v>
      </c>
      <c r="J265" s="255" t="str">
        <f>IF(ISBLANK(INDEX('Policy Characteristics'!D:D,MATCH($C265,'Policy Characteristics'!$C:$C,0))),"",INDEX('Policy Characteristics'!D:D,MATCH($C265,'Policy Characteristics'!$C:$C,0)))</f>
        <v>Ban New Power Plants</v>
      </c>
      <c r="K265" s="254" t="str">
        <f>IF(ISBLANK(INDEX('Policy Characteristics'!E:E,MATCH($C265,'Policy Characteristics'!$C:$C,0))),"",INDEX('Policy Characteristics'!E:E,MATCH($C265,'Policy Characteristics'!$C:$C,0)))</f>
        <v>elec ban new power plants</v>
      </c>
      <c r="L265" s="254">
        <f>IF(ISBLANK(INDEX('Policy Characteristics'!F:F,MATCH($C265,'Policy Characteristics'!$C:$C,0))),"",INDEX('Policy Characteristics'!F:F,MATCH($C265,'Policy Characteristics'!$C:$C,0)))</f>
        <v>0</v>
      </c>
      <c r="M265" s="254">
        <f>IF(ISBLANK(INDEX('Policy Characteristics'!G:G,MATCH($C265,'Policy Characteristics'!$C:$C,0))),"",INDEX('Policy Characteristics'!G:G,MATCH($C265,'Policy Characteristics'!$C:$C,0)))</f>
        <v>1</v>
      </c>
      <c r="N265" s="254">
        <f>IF(ISBLANK(INDEX('Policy Characteristics'!H:H,MATCH($C265,'Policy Characteristics'!$C:$C,0))),"",INDEX('Policy Characteristics'!H:H,MATCH($C265,'Policy Characteristics'!$C:$C,0)))</f>
        <v>1</v>
      </c>
      <c r="O265" s="254" t="str">
        <f>IF(ISBLANK(INDEX('Policy Characteristics'!I:I,MATCH($C265,'Policy Characteristics'!$C:$C,0))),"",INDEX('Policy Characteristics'!I:I,MATCH($C265,'Policy Characteristics'!$C:$C,0)))</f>
        <v>on/off</v>
      </c>
      <c r="P265" s="254" t="str">
        <f>IF(ISBLANK(INDEX('Policy Characteristics'!J:J,MATCH($C265,'Policy Characteristics'!$C:$C,0))),"",INDEX('Policy Characteristics'!J:J,MATCH($C265,'Policy Characteristics'!$C:$C,0)))</f>
        <v>**Description:** This policy prevents new capacity of the selected type(s) from being built or deployed.</v>
      </c>
      <c r="Q265" s="254" t="str">
        <f>IF(ISBLANK(INDEX('Policy Characteristics'!K:K,MATCH($C265,'Policy Characteristics'!$C:$C,0))),"",INDEX('Policy Characteristics'!K:K,MATCH($C265,'Policy Characteristics'!$C:$C,0)))</f>
        <v>electricity-sector-main.html#ban</v>
      </c>
      <c r="R265" s="254" t="str">
        <f>IF(ISBLANK(INDEX('Policy Characteristics'!L:L,MATCH($C265,'Policy Characteristics'!$C:$C,0))),"",INDEX('Policy Characteristics'!L:L,MATCH($C265,'Policy Characteristics'!$C:$C,0)))</f>
        <v>ban-new-capacity.html</v>
      </c>
    </row>
    <row r="266" spans="1:18" s="4" customFormat="1" x14ac:dyDescent="0.3">
      <c r="A266" s="254" t="str">
        <f>IF(ISBLANK(INDEX('Policy Characteristics'!A:A,MATCH($C266,'Policy Characteristics'!$C:$C,0))),"",INDEX('Policy Characteristics'!A:A,MATCH($C266,'Policy Characteristics'!$C:$C,0)))</f>
        <v>Electricity Supply</v>
      </c>
      <c r="B266" s="262" t="str">
        <f>IF(ISBLANK(INDEX('Policy Characteristics'!B:B,MATCH($C266,'Policy Characteristics'!$C:$C,0))),"",INDEX('Policy Characteristics'!B:B,MATCH($C266,'Policy Characteristics'!$C:$C,0)))</f>
        <v>Ban New Power Plants</v>
      </c>
      <c r="C266" s="254" t="str">
        <f t="shared" si="18"/>
        <v>Boolean Ban New Power Plants</v>
      </c>
      <c r="D266" s="6" t="s">
        <v>2749</v>
      </c>
      <c r="E266" s="45"/>
      <c r="F266" s="6" t="s">
        <v>2592</v>
      </c>
      <c r="G266" s="45"/>
      <c r="H266" s="43">
        <v>617</v>
      </c>
      <c r="I266" s="324" t="s">
        <v>44</v>
      </c>
      <c r="J266" s="255" t="str">
        <f>IF(ISBLANK(INDEX('Policy Characteristics'!D:D,MATCH($C266,'Policy Characteristics'!$C:$C,0))),"",INDEX('Policy Characteristics'!D:D,MATCH($C266,'Policy Characteristics'!$C:$C,0)))</f>
        <v>Ban New Power Plants</v>
      </c>
      <c r="K266" s="254" t="str">
        <f>IF(ISBLANK(INDEX('Policy Characteristics'!E:E,MATCH($C266,'Policy Characteristics'!$C:$C,0))),"",INDEX('Policy Characteristics'!E:E,MATCH($C266,'Policy Characteristics'!$C:$C,0)))</f>
        <v>elec ban new power plants</v>
      </c>
      <c r="L266" s="254">
        <f>IF(ISBLANK(INDEX('Policy Characteristics'!F:F,MATCH($C266,'Policy Characteristics'!$C:$C,0))),"",INDEX('Policy Characteristics'!F:F,MATCH($C266,'Policy Characteristics'!$C:$C,0)))</f>
        <v>0</v>
      </c>
      <c r="M266" s="254">
        <f>IF(ISBLANK(INDEX('Policy Characteristics'!G:G,MATCH($C266,'Policy Characteristics'!$C:$C,0))),"",INDEX('Policy Characteristics'!G:G,MATCH($C266,'Policy Characteristics'!$C:$C,0)))</f>
        <v>1</v>
      </c>
      <c r="N266" s="254">
        <f>IF(ISBLANK(INDEX('Policy Characteristics'!H:H,MATCH($C266,'Policy Characteristics'!$C:$C,0))),"",INDEX('Policy Characteristics'!H:H,MATCH($C266,'Policy Characteristics'!$C:$C,0)))</f>
        <v>1</v>
      </c>
      <c r="O266" s="254" t="str">
        <f>IF(ISBLANK(INDEX('Policy Characteristics'!I:I,MATCH($C266,'Policy Characteristics'!$C:$C,0))),"",INDEX('Policy Characteristics'!I:I,MATCH($C266,'Policy Characteristics'!$C:$C,0)))</f>
        <v>on/off</v>
      </c>
      <c r="P266" s="254" t="str">
        <f>IF(ISBLANK(INDEX('Policy Characteristics'!J:J,MATCH($C266,'Policy Characteristics'!$C:$C,0))),"",INDEX('Policy Characteristics'!J:J,MATCH($C266,'Policy Characteristics'!$C:$C,0)))</f>
        <v>**Description:** This policy prevents new capacity of the selected type(s) from being built or deployed.</v>
      </c>
      <c r="Q266" s="254" t="str">
        <f>IF(ISBLANK(INDEX('Policy Characteristics'!K:K,MATCH($C266,'Policy Characteristics'!$C:$C,0))),"",INDEX('Policy Characteristics'!K:K,MATCH($C266,'Policy Characteristics'!$C:$C,0)))</f>
        <v>electricity-sector-main.html#ban</v>
      </c>
      <c r="R266" s="254" t="str">
        <f>IF(ISBLANK(INDEX('Policy Characteristics'!L:L,MATCH($C266,'Policy Characteristics'!$C:$C,0))),"",INDEX('Policy Characteristics'!L:L,MATCH($C266,'Policy Characteristics'!$C:$C,0)))</f>
        <v>ban-new-capacity.html</v>
      </c>
    </row>
    <row r="267" spans="1:18" s="4" customFormat="1" x14ac:dyDescent="0.3">
      <c r="A267" s="254" t="str">
        <f>IF(ISBLANK(INDEX('Policy Characteristics'!A:A,MATCH($C267,'Policy Characteristics'!$C:$C,0))),"",INDEX('Policy Characteristics'!A:A,MATCH($C267,'Policy Characteristics'!$C:$C,0)))</f>
        <v>Electricity Supply</v>
      </c>
      <c r="B267" s="262" t="str">
        <f>IF(ISBLANK(INDEX('Policy Characteristics'!B:B,MATCH($C267,'Policy Characteristics'!$C:$C,0))),"",INDEX('Policy Characteristics'!B:B,MATCH($C267,'Policy Characteristics'!$C:$C,0)))</f>
        <v>Ban New Power Plants</v>
      </c>
      <c r="C267" s="254" t="str">
        <f t="shared" si="18"/>
        <v>Boolean Ban New Power Plants</v>
      </c>
      <c r="D267" s="6" t="s">
        <v>2750</v>
      </c>
      <c r="E267" s="45"/>
      <c r="F267" s="6" t="s">
        <v>2471</v>
      </c>
      <c r="G267" s="45"/>
      <c r="H267" s="43">
        <v>618</v>
      </c>
      <c r="I267" s="324" t="s">
        <v>43</v>
      </c>
      <c r="J267" s="255" t="str">
        <f>IF(ISBLANK(INDEX('Policy Characteristics'!D:D,MATCH($C267,'Policy Characteristics'!$C:$C,0))),"",INDEX('Policy Characteristics'!D:D,MATCH($C267,'Policy Characteristics'!$C:$C,0)))</f>
        <v>Ban New Power Plants</v>
      </c>
      <c r="K267" s="254" t="str">
        <f>IF(ISBLANK(INDEX('Policy Characteristics'!E:E,MATCH($C267,'Policy Characteristics'!$C:$C,0))),"",INDEX('Policy Characteristics'!E:E,MATCH($C267,'Policy Characteristics'!$C:$C,0)))</f>
        <v>elec ban new power plants</v>
      </c>
      <c r="L267" s="254">
        <f>IF(ISBLANK(INDEX('Policy Characteristics'!F:F,MATCH($C267,'Policy Characteristics'!$C:$C,0))),"",INDEX('Policy Characteristics'!F:F,MATCH($C267,'Policy Characteristics'!$C:$C,0)))</f>
        <v>0</v>
      </c>
      <c r="M267" s="254">
        <f>IF(ISBLANK(INDEX('Policy Characteristics'!G:G,MATCH($C267,'Policy Characteristics'!$C:$C,0))),"",INDEX('Policy Characteristics'!G:G,MATCH($C267,'Policy Characteristics'!$C:$C,0)))</f>
        <v>1</v>
      </c>
      <c r="N267" s="254">
        <f>IF(ISBLANK(INDEX('Policy Characteristics'!H:H,MATCH($C267,'Policy Characteristics'!$C:$C,0))),"",INDEX('Policy Characteristics'!H:H,MATCH($C267,'Policy Characteristics'!$C:$C,0)))</f>
        <v>1</v>
      </c>
      <c r="O267" s="254" t="str">
        <f>IF(ISBLANK(INDEX('Policy Characteristics'!I:I,MATCH($C267,'Policy Characteristics'!$C:$C,0))),"",INDEX('Policy Characteristics'!I:I,MATCH($C267,'Policy Characteristics'!$C:$C,0)))</f>
        <v>on/off</v>
      </c>
      <c r="P267" s="254" t="str">
        <f>IF(ISBLANK(INDEX('Policy Characteristics'!J:J,MATCH($C267,'Policy Characteristics'!$C:$C,0))),"",INDEX('Policy Characteristics'!J:J,MATCH($C267,'Policy Characteristics'!$C:$C,0)))</f>
        <v>**Description:** This policy prevents new capacity of the selected type(s) from being built or deployed.</v>
      </c>
      <c r="Q267" s="254" t="str">
        <f>IF(ISBLANK(INDEX('Policy Characteristics'!K:K,MATCH($C267,'Policy Characteristics'!$C:$C,0))),"",INDEX('Policy Characteristics'!K:K,MATCH($C267,'Policy Characteristics'!$C:$C,0)))</f>
        <v>electricity-sector-main.html#ban</v>
      </c>
      <c r="R267" s="254" t="str">
        <f>IF(ISBLANK(INDEX('Policy Characteristics'!L:L,MATCH($C267,'Policy Characteristics'!$C:$C,0))),"",INDEX('Policy Characteristics'!L:L,MATCH($C267,'Policy Characteristics'!$C:$C,0)))</f>
        <v>ban-new-capacity.html</v>
      </c>
    </row>
    <row r="268" spans="1:18" s="4" customFormat="1" x14ac:dyDescent="0.3">
      <c r="A268" s="254" t="str">
        <f>IF(ISBLANK(INDEX('Policy Characteristics'!A:A,MATCH($C268,'Policy Characteristics'!$C:$C,0))),"",INDEX('Policy Characteristics'!A:A,MATCH($C268,'Policy Characteristics'!$C:$C,0)))</f>
        <v>Electricity Supply</v>
      </c>
      <c r="B268" s="262" t="str">
        <f>IF(ISBLANK(INDEX('Policy Characteristics'!B:B,MATCH($C268,'Policy Characteristics'!$C:$C,0))),"",INDEX('Policy Characteristics'!B:B,MATCH($C268,'Policy Characteristics'!$C:$C,0)))</f>
        <v>Ban New Power Plants</v>
      </c>
      <c r="C268" s="254" t="str">
        <f t="shared" si="18"/>
        <v>Boolean Ban New Power Plants</v>
      </c>
      <c r="D268" s="6" t="s">
        <v>3487</v>
      </c>
      <c r="E268" s="45"/>
      <c r="F268" s="6" t="s">
        <v>3494</v>
      </c>
      <c r="G268" s="45"/>
      <c r="H268" s="43">
        <v>1747</v>
      </c>
      <c r="I268" s="324" t="s">
        <v>43</v>
      </c>
      <c r="J268" s="255" t="str">
        <f>IF(ISBLANK(INDEX('Policy Characteristics'!D:D,MATCH($C268,'Policy Characteristics'!$C:$C,0))),"",INDEX('Policy Characteristics'!D:D,MATCH($C268,'Policy Characteristics'!$C:$C,0)))</f>
        <v>Ban New Power Plants</v>
      </c>
      <c r="K268" s="254" t="str">
        <f>IF(ISBLANK(INDEX('Policy Characteristics'!E:E,MATCH($C268,'Policy Characteristics'!$C:$C,0))),"",INDEX('Policy Characteristics'!E:E,MATCH($C268,'Policy Characteristics'!$C:$C,0)))</f>
        <v>elec ban new power plants</v>
      </c>
      <c r="L268" s="254">
        <f>IF(ISBLANK(INDEX('Policy Characteristics'!F:F,MATCH($C268,'Policy Characteristics'!$C:$C,0))),"",INDEX('Policy Characteristics'!F:F,MATCH($C268,'Policy Characteristics'!$C:$C,0)))</f>
        <v>0</v>
      </c>
      <c r="M268" s="254">
        <f>IF(ISBLANK(INDEX('Policy Characteristics'!G:G,MATCH($C268,'Policy Characteristics'!$C:$C,0))),"",INDEX('Policy Characteristics'!G:G,MATCH($C268,'Policy Characteristics'!$C:$C,0)))</f>
        <v>1</v>
      </c>
      <c r="N268" s="254">
        <f>IF(ISBLANK(INDEX('Policy Characteristics'!H:H,MATCH($C268,'Policy Characteristics'!$C:$C,0))),"",INDEX('Policy Characteristics'!H:H,MATCH($C268,'Policy Characteristics'!$C:$C,0)))</f>
        <v>1</v>
      </c>
      <c r="O268" s="254" t="str">
        <f>IF(ISBLANK(INDEX('Policy Characteristics'!I:I,MATCH($C268,'Policy Characteristics'!$C:$C,0))),"",INDEX('Policy Characteristics'!I:I,MATCH($C268,'Policy Characteristics'!$C:$C,0)))</f>
        <v>on/off</v>
      </c>
      <c r="P268" s="254" t="str">
        <f>IF(ISBLANK(INDEX('Policy Characteristics'!J:J,MATCH($C268,'Policy Characteristics'!$C:$C,0))),"",INDEX('Policy Characteristics'!J:J,MATCH($C268,'Policy Characteristics'!$C:$C,0)))</f>
        <v>**Description:** This policy prevents new capacity of the selected type(s) from being built or deployed.</v>
      </c>
      <c r="Q268" s="254" t="str">
        <f>IF(ISBLANK(INDEX('Policy Characteristics'!K:K,MATCH($C268,'Policy Characteristics'!$C:$C,0))),"",INDEX('Policy Characteristics'!K:K,MATCH($C268,'Policy Characteristics'!$C:$C,0)))</f>
        <v>electricity-sector-main.html#ban</v>
      </c>
      <c r="R268" s="254" t="str">
        <f>IF(ISBLANK(INDEX('Policy Characteristics'!L:L,MATCH($C268,'Policy Characteristics'!$C:$C,0))),"",INDEX('Policy Characteristics'!L:L,MATCH($C268,'Policy Characteristics'!$C:$C,0)))</f>
        <v>ban-new-capacity.html</v>
      </c>
    </row>
    <row r="269" spans="1:18" s="4" customFormat="1" x14ac:dyDescent="0.3">
      <c r="A269" s="254" t="str">
        <f>IF(ISBLANK(INDEX('Policy Characteristics'!A:A,MATCH($C269,'Policy Characteristics'!$C:$C,0))),"",INDEX('Policy Characteristics'!A:A,MATCH($C269,'Policy Characteristics'!$C:$C,0)))</f>
        <v>Electricity Supply</v>
      </c>
      <c r="B269" s="262" t="str">
        <f>IF(ISBLANK(INDEX('Policy Characteristics'!B:B,MATCH($C269,'Policy Characteristics'!$C:$C,0))),"",INDEX('Policy Characteristics'!B:B,MATCH($C269,'Policy Characteristics'!$C:$C,0)))</f>
        <v>Ban New Power Plants</v>
      </c>
      <c r="C269" s="254" t="str">
        <f t="shared" si="18"/>
        <v>Boolean Ban New Power Plants</v>
      </c>
      <c r="D269" s="6" t="s">
        <v>3490</v>
      </c>
      <c r="E269" s="45"/>
      <c r="F269" s="6" t="s">
        <v>3495</v>
      </c>
      <c r="G269" s="45"/>
      <c r="H269" s="43">
        <v>1748</v>
      </c>
      <c r="I269" s="324" t="s">
        <v>43</v>
      </c>
      <c r="J269" s="255" t="str">
        <f>IF(ISBLANK(INDEX('Policy Characteristics'!D:D,MATCH($C269,'Policy Characteristics'!$C:$C,0))),"",INDEX('Policy Characteristics'!D:D,MATCH($C269,'Policy Characteristics'!$C:$C,0)))</f>
        <v>Ban New Power Plants</v>
      </c>
      <c r="K269" s="254" t="str">
        <f>IF(ISBLANK(INDEX('Policy Characteristics'!E:E,MATCH($C269,'Policy Characteristics'!$C:$C,0))),"",INDEX('Policy Characteristics'!E:E,MATCH($C269,'Policy Characteristics'!$C:$C,0)))</f>
        <v>elec ban new power plants</v>
      </c>
      <c r="L269" s="254">
        <f>IF(ISBLANK(INDEX('Policy Characteristics'!F:F,MATCH($C269,'Policy Characteristics'!$C:$C,0))),"",INDEX('Policy Characteristics'!F:F,MATCH($C269,'Policy Characteristics'!$C:$C,0)))</f>
        <v>0</v>
      </c>
      <c r="M269" s="254">
        <f>IF(ISBLANK(INDEX('Policy Characteristics'!G:G,MATCH($C269,'Policy Characteristics'!$C:$C,0))),"",INDEX('Policy Characteristics'!G:G,MATCH($C269,'Policy Characteristics'!$C:$C,0)))</f>
        <v>1</v>
      </c>
      <c r="N269" s="254">
        <f>IF(ISBLANK(INDEX('Policy Characteristics'!H:H,MATCH($C269,'Policy Characteristics'!$C:$C,0))),"",INDEX('Policy Characteristics'!H:H,MATCH($C269,'Policy Characteristics'!$C:$C,0)))</f>
        <v>1</v>
      </c>
      <c r="O269" s="254" t="str">
        <f>IF(ISBLANK(INDEX('Policy Characteristics'!I:I,MATCH($C269,'Policy Characteristics'!$C:$C,0))),"",INDEX('Policy Characteristics'!I:I,MATCH($C269,'Policy Characteristics'!$C:$C,0)))</f>
        <v>on/off</v>
      </c>
      <c r="P269" s="254" t="str">
        <f>IF(ISBLANK(INDEX('Policy Characteristics'!J:J,MATCH($C269,'Policy Characteristics'!$C:$C,0))),"",INDEX('Policy Characteristics'!J:J,MATCH($C269,'Policy Characteristics'!$C:$C,0)))</f>
        <v>**Description:** This policy prevents new capacity of the selected type(s) from being built or deployed.</v>
      </c>
      <c r="Q269" s="254" t="str">
        <f>IF(ISBLANK(INDEX('Policy Characteristics'!K:K,MATCH($C269,'Policy Characteristics'!$C:$C,0))),"",INDEX('Policy Characteristics'!K:K,MATCH($C269,'Policy Characteristics'!$C:$C,0)))</f>
        <v>electricity-sector-main.html#ban</v>
      </c>
      <c r="R269" s="254" t="str">
        <f>IF(ISBLANK(INDEX('Policy Characteristics'!L:L,MATCH($C269,'Policy Characteristics'!$C:$C,0))),"",INDEX('Policy Characteristics'!L:L,MATCH($C269,'Policy Characteristics'!$C:$C,0)))</f>
        <v>ban-new-capacity.html</v>
      </c>
    </row>
    <row r="270" spans="1:18" s="4" customFormat="1" x14ac:dyDescent="0.3">
      <c r="A270" s="254" t="str">
        <f>IF(ISBLANK(INDEX('Policy Characteristics'!A:A,MATCH($C270,'Policy Characteristics'!$C:$C,0))),"",INDEX('Policy Characteristics'!A:A,MATCH($C270,'Policy Characteristics'!$C:$C,0)))</f>
        <v>Electricity Supply</v>
      </c>
      <c r="B270" s="262" t="str">
        <f>IF(ISBLANK(INDEX('Policy Characteristics'!B:B,MATCH($C270,'Policy Characteristics'!$C:$C,0))),"",INDEX('Policy Characteristics'!B:B,MATCH($C270,'Policy Characteristics'!$C:$C,0)))</f>
        <v>Ban New Power Plants</v>
      </c>
      <c r="C270" s="254" t="str">
        <f t="shared" si="18"/>
        <v>Boolean Ban New Power Plants</v>
      </c>
      <c r="D270" s="6" t="s">
        <v>3491</v>
      </c>
      <c r="E270" s="45"/>
      <c r="F270" s="6" t="s">
        <v>3496</v>
      </c>
      <c r="G270" s="45"/>
      <c r="H270" s="43">
        <v>1749</v>
      </c>
      <c r="I270" s="324" t="s">
        <v>43</v>
      </c>
      <c r="J270" s="255" t="str">
        <f>IF(ISBLANK(INDEX('Policy Characteristics'!D:D,MATCH($C270,'Policy Characteristics'!$C:$C,0))),"",INDEX('Policy Characteristics'!D:D,MATCH($C270,'Policy Characteristics'!$C:$C,0)))</f>
        <v>Ban New Power Plants</v>
      </c>
      <c r="K270" s="254" t="str">
        <f>IF(ISBLANK(INDEX('Policy Characteristics'!E:E,MATCH($C270,'Policy Characteristics'!$C:$C,0))),"",INDEX('Policy Characteristics'!E:E,MATCH($C270,'Policy Characteristics'!$C:$C,0)))</f>
        <v>elec ban new power plants</v>
      </c>
      <c r="L270" s="254">
        <f>IF(ISBLANK(INDEX('Policy Characteristics'!F:F,MATCH($C270,'Policy Characteristics'!$C:$C,0))),"",INDEX('Policy Characteristics'!F:F,MATCH($C270,'Policy Characteristics'!$C:$C,0)))</f>
        <v>0</v>
      </c>
      <c r="M270" s="254">
        <f>IF(ISBLANK(INDEX('Policy Characteristics'!G:G,MATCH($C270,'Policy Characteristics'!$C:$C,0))),"",INDEX('Policy Characteristics'!G:G,MATCH($C270,'Policy Characteristics'!$C:$C,0)))</f>
        <v>1</v>
      </c>
      <c r="N270" s="254">
        <f>IF(ISBLANK(INDEX('Policy Characteristics'!H:H,MATCH($C270,'Policy Characteristics'!$C:$C,0))),"",INDEX('Policy Characteristics'!H:H,MATCH($C270,'Policy Characteristics'!$C:$C,0)))</f>
        <v>1</v>
      </c>
      <c r="O270" s="254" t="str">
        <f>IF(ISBLANK(INDEX('Policy Characteristics'!I:I,MATCH($C270,'Policy Characteristics'!$C:$C,0))),"",INDEX('Policy Characteristics'!I:I,MATCH($C270,'Policy Characteristics'!$C:$C,0)))</f>
        <v>on/off</v>
      </c>
      <c r="P270" s="254" t="str">
        <f>IF(ISBLANK(INDEX('Policy Characteristics'!J:J,MATCH($C270,'Policy Characteristics'!$C:$C,0))),"",INDEX('Policy Characteristics'!J:J,MATCH($C270,'Policy Characteristics'!$C:$C,0)))</f>
        <v>**Description:** This policy prevents new capacity of the selected type(s) from being built or deployed.</v>
      </c>
      <c r="Q270" s="254" t="str">
        <f>IF(ISBLANK(INDEX('Policy Characteristics'!K:K,MATCH($C270,'Policy Characteristics'!$C:$C,0))),"",INDEX('Policy Characteristics'!K:K,MATCH($C270,'Policy Characteristics'!$C:$C,0)))</f>
        <v>electricity-sector-main.html#ban</v>
      </c>
      <c r="R270" s="254" t="str">
        <f>IF(ISBLANK(INDEX('Policy Characteristics'!L:L,MATCH($C270,'Policy Characteristics'!$C:$C,0))),"",INDEX('Policy Characteristics'!L:L,MATCH($C270,'Policy Characteristics'!$C:$C,0)))</f>
        <v>ban-new-capacity.html</v>
      </c>
    </row>
    <row r="271" spans="1:18" s="4" customFormat="1" x14ac:dyDescent="0.3">
      <c r="A271" s="254" t="str">
        <f>IF(ISBLANK(INDEX('Policy Characteristics'!A:A,MATCH($C271,'Policy Characteristics'!$C:$C,0))),"",INDEX('Policy Characteristics'!A:A,MATCH($C271,'Policy Characteristics'!$C:$C,0)))</f>
        <v>Electricity Supply</v>
      </c>
      <c r="B271" s="262" t="str">
        <f>IF(ISBLANK(INDEX('Policy Characteristics'!B:B,MATCH($C271,'Policy Characteristics'!$C:$C,0))),"",INDEX('Policy Characteristics'!B:B,MATCH($C271,'Policy Characteristics'!$C:$C,0)))</f>
        <v>Ban New Power Plants</v>
      </c>
      <c r="C271" s="254" t="str">
        <f t="shared" si="18"/>
        <v>Boolean Ban New Power Plants</v>
      </c>
      <c r="D271" s="6" t="s">
        <v>3492</v>
      </c>
      <c r="E271" s="45"/>
      <c r="F271" s="6" t="s">
        <v>3497</v>
      </c>
      <c r="G271" s="45"/>
      <c r="H271" s="43">
        <v>1750</v>
      </c>
      <c r="I271" s="324" t="s">
        <v>43</v>
      </c>
      <c r="J271" s="255" t="str">
        <f>IF(ISBLANK(INDEX('Policy Characteristics'!D:D,MATCH($C271,'Policy Characteristics'!$C:$C,0))),"",INDEX('Policy Characteristics'!D:D,MATCH($C271,'Policy Characteristics'!$C:$C,0)))</f>
        <v>Ban New Power Plants</v>
      </c>
      <c r="K271" s="254" t="str">
        <f>IF(ISBLANK(INDEX('Policy Characteristics'!E:E,MATCH($C271,'Policy Characteristics'!$C:$C,0))),"",INDEX('Policy Characteristics'!E:E,MATCH($C271,'Policy Characteristics'!$C:$C,0)))</f>
        <v>elec ban new power plants</v>
      </c>
      <c r="L271" s="254">
        <f>IF(ISBLANK(INDEX('Policy Characteristics'!F:F,MATCH($C271,'Policy Characteristics'!$C:$C,0))),"",INDEX('Policy Characteristics'!F:F,MATCH($C271,'Policy Characteristics'!$C:$C,0)))</f>
        <v>0</v>
      </c>
      <c r="M271" s="254">
        <f>IF(ISBLANK(INDEX('Policy Characteristics'!G:G,MATCH($C271,'Policy Characteristics'!$C:$C,0))),"",INDEX('Policy Characteristics'!G:G,MATCH($C271,'Policy Characteristics'!$C:$C,0)))</f>
        <v>1</v>
      </c>
      <c r="N271" s="254">
        <f>IF(ISBLANK(INDEX('Policy Characteristics'!H:H,MATCH($C271,'Policy Characteristics'!$C:$C,0))),"",INDEX('Policy Characteristics'!H:H,MATCH($C271,'Policy Characteristics'!$C:$C,0)))</f>
        <v>1</v>
      </c>
      <c r="O271" s="254" t="str">
        <f>IF(ISBLANK(INDEX('Policy Characteristics'!I:I,MATCH($C271,'Policy Characteristics'!$C:$C,0))),"",INDEX('Policy Characteristics'!I:I,MATCH($C271,'Policy Characteristics'!$C:$C,0)))</f>
        <v>on/off</v>
      </c>
      <c r="P271" s="254" t="str">
        <f>IF(ISBLANK(INDEX('Policy Characteristics'!J:J,MATCH($C271,'Policy Characteristics'!$C:$C,0))),"",INDEX('Policy Characteristics'!J:J,MATCH($C271,'Policy Characteristics'!$C:$C,0)))</f>
        <v>**Description:** This policy prevents new capacity of the selected type(s) from being built or deployed.</v>
      </c>
      <c r="Q271" s="254" t="str">
        <f>IF(ISBLANK(INDEX('Policy Characteristics'!K:K,MATCH($C271,'Policy Characteristics'!$C:$C,0))),"",INDEX('Policy Characteristics'!K:K,MATCH($C271,'Policy Characteristics'!$C:$C,0)))</f>
        <v>electricity-sector-main.html#ban</v>
      </c>
      <c r="R271" s="254" t="str">
        <f>IF(ISBLANK(INDEX('Policy Characteristics'!L:L,MATCH($C271,'Policy Characteristics'!$C:$C,0))),"",INDEX('Policy Characteristics'!L:L,MATCH($C271,'Policy Characteristics'!$C:$C,0)))</f>
        <v>ban-new-capacity.html</v>
      </c>
    </row>
    <row r="272" spans="1:18" s="4" customFormat="1" x14ac:dyDescent="0.3">
      <c r="A272" s="254" t="str">
        <f>IF(ISBLANK(INDEX('Policy Characteristics'!A:A,MATCH($C272,'Policy Characteristics'!$C:$C,0))),"",INDEX('Policy Characteristics'!A:A,MATCH($C272,'Policy Characteristics'!$C:$C,0)))</f>
        <v>Electricity Supply</v>
      </c>
      <c r="B272" s="262" t="str">
        <f>IF(ISBLANK(INDEX('Policy Characteristics'!B:B,MATCH($C272,'Policy Characteristics'!$C:$C,0))),"",INDEX('Policy Characteristics'!B:B,MATCH($C272,'Policy Characteristics'!$C:$C,0)))</f>
        <v>Ban New Power Plants</v>
      </c>
      <c r="C272" s="254" t="str">
        <f t="shared" si="18"/>
        <v>Boolean Ban New Power Plants</v>
      </c>
      <c r="D272" s="6" t="s">
        <v>3493</v>
      </c>
      <c r="E272" s="45"/>
      <c r="F272" s="6" t="s">
        <v>3498</v>
      </c>
      <c r="G272" s="45"/>
      <c r="H272" s="43">
        <v>1751</v>
      </c>
      <c r="I272" s="324" t="s">
        <v>43</v>
      </c>
      <c r="J272" s="255" t="str">
        <f>IF(ISBLANK(INDEX('Policy Characteristics'!D:D,MATCH($C272,'Policy Characteristics'!$C:$C,0))),"",INDEX('Policy Characteristics'!D:D,MATCH($C272,'Policy Characteristics'!$C:$C,0)))</f>
        <v>Ban New Power Plants</v>
      </c>
      <c r="K272" s="254" t="str">
        <f>IF(ISBLANK(INDEX('Policy Characteristics'!E:E,MATCH($C272,'Policy Characteristics'!$C:$C,0))),"",INDEX('Policy Characteristics'!E:E,MATCH($C272,'Policy Characteristics'!$C:$C,0)))</f>
        <v>elec ban new power plants</v>
      </c>
      <c r="L272" s="254">
        <f>IF(ISBLANK(INDEX('Policy Characteristics'!F:F,MATCH($C272,'Policy Characteristics'!$C:$C,0))),"",INDEX('Policy Characteristics'!F:F,MATCH($C272,'Policy Characteristics'!$C:$C,0)))</f>
        <v>0</v>
      </c>
      <c r="M272" s="254">
        <f>IF(ISBLANK(INDEX('Policy Characteristics'!G:G,MATCH($C272,'Policy Characteristics'!$C:$C,0))),"",INDEX('Policy Characteristics'!G:G,MATCH($C272,'Policy Characteristics'!$C:$C,0)))</f>
        <v>1</v>
      </c>
      <c r="N272" s="254">
        <f>IF(ISBLANK(INDEX('Policy Characteristics'!H:H,MATCH($C272,'Policy Characteristics'!$C:$C,0))),"",INDEX('Policy Characteristics'!H:H,MATCH($C272,'Policy Characteristics'!$C:$C,0)))</f>
        <v>1</v>
      </c>
      <c r="O272" s="254" t="str">
        <f>IF(ISBLANK(INDEX('Policy Characteristics'!I:I,MATCH($C272,'Policy Characteristics'!$C:$C,0))),"",INDEX('Policy Characteristics'!I:I,MATCH($C272,'Policy Characteristics'!$C:$C,0)))</f>
        <v>on/off</v>
      </c>
      <c r="P272" s="254" t="str">
        <f>IF(ISBLANK(INDEX('Policy Characteristics'!J:J,MATCH($C272,'Policy Characteristics'!$C:$C,0))),"",INDEX('Policy Characteristics'!J:J,MATCH($C272,'Policy Characteristics'!$C:$C,0)))</f>
        <v>**Description:** This policy prevents new capacity of the selected type(s) from being built or deployed.</v>
      </c>
      <c r="Q272" s="254" t="str">
        <f>IF(ISBLANK(INDEX('Policy Characteristics'!K:K,MATCH($C272,'Policy Characteristics'!$C:$C,0))),"",INDEX('Policy Characteristics'!K:K,MATCH($C272,'Policy Characteristics'!$C:$C,0)))</f>
        <v>electricity-sector-main.html#ban</v>
      </c>
      <c r="R272" s="254" t="str">
        <f>IF(ISBLANK(INDEX('Policy Characteristics'!L:L,MATCH($C272,'Policy Characteristics'!$C:$C,0))),"",INDEX('Policy Characteristics'!L:L,MATCH($C272,'Policy Characteristics'!$C:$C,0)))</f>
        <v>ban-new-capacity.html</v>
      </c>
    </row>
    <row r="273" spans="1:18" s="4" customFormat="1" x14ac:dyDescent="0.3">
      <c r="A273" s="254" t="str">
        <f>IF(ISBLANK(INDEX('Policy Characteristics'!A:A,MATCH($C273,'Policy Characteristics'!$C:$C,0))),"",INDEX('Policy Characteristics'!A:A,MATCH($C273,'Policy Characteristics'!$C:$C,0)))</f>
        <v>Electricity Supply</v>
      </c>
      <c r="B273" s="262" t="str">
        <f>IF(ISBLANK(INDEX('Policy Characteristics'!B:B,MATCH($C273,'Policy Characteristics'!$C:$C,0))),"",INDEX('Policy Characteristics'!B:B,MATCH($C273,'Policy Characteristics'!$C:$C,0)))</f>
        <v>Ban New Power Plants</v>
      </c>
      <c r="C273" s="254" t="str">
        <f t="shared" si="18"/>
        <v>Boolean Ban New Power Plants</v>
      </c>
      <c r="D273" s="6" t="s">
        <v>3582</v>
      </c>
      <c r="E273" s="45"/>
      <c r="F273" s="6" t="s">
        <v>3580</v>
      </c>
      <c r="G273" s="45"/>
      <c r="H273" s="43">
        <v>1752</v>
      </c>
      <c r="I273" s="324" t="s">
        <v>43</v>
      </c>
      <c r="J273" s="255" t="str">
        <f>IF(ISBLANK(INDEX('Policy Characteristics'!D:D,MATCH($C273,'Policy Characteristics'!$C:$C,0))),"",INDEX('Policy Characteristics'!D:D,MATCH($C273,'Policy Characteristics'!$C:$C,0)))</f>
        <v>Ban New Power Plants</v>
      </c>
      <c r="K273" s="254" t="str">
        <f>IF(ISBLANK(INDEX('Policy Characteristics'!E:E,MATCH($C273,'Policy Characteristics'!$C:$C,0))),"",INDEX('Policy Characteristics'!E:E,MATCH($C273,'Policy Characteristics'!$C:$C,0)))</f>
        <v>elec ban new power plants</v>
      </c>
      <c r="L273" s="254">
        <f>IF(ISBLANK(INDEX('Policy Characteristics'!F:F,MATCH($C273,'Policy Characteristics'!$C:$C,0))),"",INDEX('Policy Characteristics'!F:F,MATCH($C273,'Policy Characteristics'!$C:$C,0)))</f>
        <v>0</v>
      </c>
      <c r="M273" s="254">
        <f>IF(ISBLANK(INDEX('Policy Characteristics'!G:G,MATCH($C273,'Policy Characteristics'!$C:$C,0))),"",INDEX('Policy Characteristics'!G:G,MATCH($C273,'Policy Characteristics'!$C:$C,0)))</f>
        <v>1</v>
      </c>
      <c r="N273" s="254">
        <f>IF(ISBLANK(INDEX('Policy Characteristics'!H:H,MATCH($C273,'Policy Characteristics'!$C:$C,0))),"",INDEX('Policy Characteristics'!H:H,MATCH($C273,'Policy Characteristics'!$C:$C,0)))</f>
        <v>1</v>
      </c>
      <c r="O273" s="254" t="str">
        <f>IF(ISBLANK(INDEX('Policy Characteristics'!I:I,MATCH($C273,'Policy Characteristics'!$C:$C,0))),"",INDEX('Policy Characteristics'!I:I,MATCH($C273,'Policy Characteristics'!$C:$C,0)))</f>
        <v>on/off</v>
      </c>
      <c r="P273" s="254" t="str">
        <f>IF(ISBLANK(INDEX('Policy Characteristics'!J:J,MATCH($C273,'Policy Characteristics'!$C:$C,0))),"",INDEX('Policy Characteristics'!J:J,MATCH($C273,'Policy Characteristics'!$C:$C,0)))</f>
        <v>**Description:** This policy prevents new capacity of the selected type(s) from being built or deployed.</v>
      </c>
      <c r="Q273" s="254" t="str">
        <f>IF(ISBLANK(INDEX('Policy Characteristics'!K:K,MATCH($C273,'Policy Characteristics'!$C:$C,0))),"",INDEX('Policy Characteristics'!K:K,MATCH($C273,'Policy Characteristics'!$C:$C,0)))</f>
        <v>electricity-sector-main.html#ban</v>
      </c>
      <c r="R273" s="254" t="str">
        <f>IF(ISBLANK(INDEX('Policy Characteristics'!L:L,MATCH($C273,'Policy Characteristics'!$C:$C,0))),"",INDEX('Policy Characteristics'!L:L,MATCH($C273,'Policy Characteristics'!$C:$C,0)))</f>
        <v>ban-new-capacity.html</v>
      </c>
    </row>
    <row r="274" spans="1:18" s="4" customFormat="1" x14ac:dyDescent="0.3">
      <c r="A274" s="254" t="str">
        <f>IF(ISBLANK(INDEX('Policy Characteristics'!A:A,MATCH($C274,'Policy Characteristics'!$C:$C,0))),"",INDEX('Policy Characteristics'!A:A,MATCH($C274,'Policy Characteristics'!$C:$C,0)))</f>
        <v>Electricity Supply</v>
      </c>
      <c r="B274" s="262" t="str">
        <f>IF(ISBLANK(INDEX('Policy Characteristics'!B:B,MATCH($C274,'Policy Characteristics'!$C:$C,0))),"",INDEX('Policy Characteristics'!B:B,MATCH($C274,'Policy Characteristics'!$C:$C,0)))</f>
        <v>Ban New Power Plants</v>
      </c>
      <c r="C274" s="254" t="str">
        <f t="shared" si="18"/>
        <v>Boolean Ban New Power Plants</v>
      </c>
      <c r="D274" s="6" t="s">
        <v>3583</v>
      </c>
      <c r="E274" s="45"/>
      <c r="F274" s="6" t="s">
        <v>3581</v>
      </c>
      <c r="G274" s="45"/>
      <c r="H274" s="43">
        <v>2236</v>
      </c>
      <c r="I274" s="324" t="s">
        <v>43</v>
      </c>
      <c r="J274" s="255" t="str">
        <f>IF(ISBLANK(INDEX('Policy Characteristics'!D:D,MATCH($C274,'Policy Characteristics'!$C:$C,0))),"",INDEX('Policy Characteristics'!D:D,MATCH($C274,'Policy Characteristics'!$C:$C,0)))</f>
        <v>Ban New Power Plants</v>
      </c>
      <c r="K274" s="254" t="str">
        <f>IF(ISBLANK(INDEX('Policy Characteristics'!E:E,MATCH($C274,'Policy Characteristics'!$C:$C,0))),"",INDEX('Policy Characteristics'!E:E,MATCH($C274,'Policy Characteristics'!$C:$C,0)))</f>
        <v>elec ban new power plants</v>
      </c>
      <c r="L274" s="254">
        <f>IF(ISBLANK(INDEX('Policy Characteristics'!F:F,MATCH($C274,'Policy Characteristics'!$C:$C,0))),"",INDEX('Policy Characteristics'!F:F,MATCH($C274,'Policy Characteristics'!$C:$C,0)))</f>
        <v>0</v>
      </c>
      <c r="M274" s="254">
        <f>IF(ISBLANK(INDEX('Policy Characteristics'!G:G,MATCH($C274,'Policy Characteristics'!$C:$C,0))),"",INDEX('Policy Characteristics'!G:G,MATCH($C274,'Policy Characteristics'!$C:$C,0)))</f>
        <v>1</v>
      </c>
      <c r="N274" s="254">
        <f>IF(ISBLANK(INDEX('Policy Characteristics'!H:H,MATCH($C274,'Policy Characteristics'!$C:$C,0))),"",INDEX('Policy Characteristics'!H:H,MATCH($C274,'Policy Characteristics'!$C:$C,0)))</f>
        <v>1</v>
      </c>
      <c r="O274" s="254" t="str">
        <f>IF(ISBLANK(INDEX('Policy Characteristics'!I:I,MATCH($C274,'Policy Characteristics'!$C:$C,0))),"",INDEX('Policy Characteristics'!I:I,MATCH($C274,'Policy Characteristics'!$C:$C,0)))</f>
        <v>on/off</v>
      </c>
      <c r="P274" s="254" t="str">
        <f>IF(ISBLANK(INDEX('Policy Characteristics'!J:J,MATCH($C274,'Policy Characteristics'!$C:$C,0))),"",INDEX('Policy Characteristics'!J:J,MATCH($C274,'Policy Characteristics'!$C:$C,0)))</f>
        <v>**Description:** This policy prevents new capacity of the selected type(s) from being built or deployed.</v>
      </c>
      <c r="Q274" s="254" t="str">
        <f>IF(ISBLANK(INDEX('Policy Characteristics'!K:K,MATCH($C274,'Policy Characteristics'!$C:$C,0))),"",INDEX('Policy Characteristics'!K:K,MATCH($C274,'Policy Characteristics'!$C:$C,0)))</f>
        <v>electricity-sector-main.html#ban</v>
      </c>
      <c r="R274" s="254" t="str">
        <f>IF(ISBLANK(INDEX('Policy Characteristics'!L:L,MATCH($C274,'Policy Characteristics'!$C:$C,0))),"",INDEX('Policy Characteristics'!L:L,MATCH($C274,'Policy Characteristics'!$C:$C,0)))</f>
        <v>ban-new-capacity.html</v>
      </c>
    </row>
    <row r="275" spans="1:18" s="4" customFormat="1" x14ac:dyDescent="0.3">
      <c r="A275" s="254" t="str">
        <f>IF(ISBLANK(INDEX('Policy Characteristics'!A:A,MATCH($C275,'Policy Characteristics'!$C:$C,0))),"",INDEX('Policy Characteristics'!A:A,MATCH($C275,'Policy Characteristics'!$C:$C,0)))</f>
        <v>Electricity Supply</v>
      </c>
      <c r="B275" s="262" t="str">
        <f>IF(ISBLANK(INDEX('Policy Characteristics'!B:B,MATCH($C275,'Policy Characteristics'!$C:$C,0))),"",INDEX('Policy Characteristics'!B:B,MATCH($C275,'Policy Characteristics'!$C:$C,0)))</f>
        <v>Ban New Power Plant Retrofits</v>
      </c>
      <c r="C275" s="317" t="s">
        <v>3782</v>
      </c>
      <c r="D275" s="45" t="s">
        <v>447</v>
      </c>
      <c r="E275" s="45"/>
      <c r="F275" s="45" t="s">
        <v>446</v>
      </c>
      <c r="G275" s="45"/>
      <c r="H275" s="43">
        <v>2436</v>
      </c>
      <c r="I275" s="324" t="s">
        <v>44</v>
      </c>
      <c r="J275" s="255" t="str">
        <f>IF(ISBLANK(INDEX('Policy Characteristics'!D:D,MATCH($C275,'Policy Characteristics'!$C:$C,0))),"",INDEX('Policy Characteristics'!D:D,MATCH($C275,'Policy Characteristics'!$C:$C,0)))</f>
        <v>Ban New Power Plant Retrofits</v>
      </c>
      <c r="K275" s="254" t="str">
        <f>IF(ISBLANK(INDEX('Policy Characteristics'!E:E,MATCH($C275,'Policy Characteristics'!$C:$C,0))),"",INDEX('Policy Characteristics'!E:E,MATCH($C275,'Policy Characteristics'!$C:$C,0)))</f>
        <v>elec ban new power plant retrofits</v>
      </c>
      <c r="L275" s="254">
        <f>IF(ISBLANK(INDEX('Policy Characteristics'!F:F,MATCH($C275,'Policy Characteristics'!$C:$C,0))),"",INDEX('Policy Characteristics'!F:F,MATCH($C275,'Policy Characteristics'!$C:$C,0)))</f>
        <v>0</v>
      </c>
      <c r="M275" s="254">
        <f>IF(ISBLANK(INDEX('Policy Characteristics'!G:G,MATCH($C275,'Policy Characteristics'!$C:$C,0))),"",INDEX('Policy Characteristics'!G:G,MATCH($C275,'Policy Characteristics'!$C:$C,0)))</f>
        <v>1</v>
      </c>
      <c r="N275" s="254">
        <f>IF(ISBLANK(INDEX('Policy Characteristics'!H:H,MATCH($C275,'Policy Characteristics'!$C:$C,0))),"",INDEX('Policy Characteristics'!H:H,MATCH($C275,'Policy Characteristics'!$C:$C,0)))</f>
        <v>1</v>
      </c>
      <c r="O275" s="254" t="str">
        <f>IF(ISBLANK(INDEX('Policy Characteristics'!I:I,MATCH($C275,'Policy Characteristics'!$C:$C,0))),"",INDEX('Policy Characteristics'!I:I,MATCH($C275,'Policy Characteristics'!$C:$C,0)))</f>
        <v>on/off</v>
      </c>
      <c r="P275" s="254" t="str">
        <f>IF(ISBLANK(INDEX('Policy Characteristics'!J:J,MATCH($C275,'Policy Characteristics'!$C:$C,0))),"",INDEX('Policy Characteristics'!J:J,MATCH($C275,'Policy Characteristics'!$C:$C,0)))</f>
        <v>**Description:** This policy prevents new capacity of the selected CCS plant type(s) from being built to replace existing non-CCS plants.</v>
      </c>
      <c r="Q275" s="254" t="str">
        <f>IF(ISBLANK(INDEX('Policy Characteristics'!K:K,MATCH($C275,'Policy Characteristics'!$C:$C,0))),"",INDEX('Policy Characteristics'!K:K,MATCH($C275,'Policy Characteristics'!$C:$C,0)))</f>
        <v/>
      </c>
      <c r="R275" s="254" t="str">
        <f>IF(ISBLANK(INDEX('Policy Characteristics'!L:L,MATCH($C275,'Policy Characteristics'!$C:$C,0))),"",INDEX('Policy Characteristics'!L:L,MATCH($C275,'Policy Characteristics'!$C:$C,0)))</f>
        <v/>
      </c>
    </row>
    <row r="276" spans="1:18" s="4" customFormat="1" x14ac:dyDescent="0.3">
      <c r="A276" s="254" t="str">
        <f>IF(ISBLANK(INDEX('Policy Characteristics'!A:A,MATCH($C276,'Policy Characteristics'!$C:$C,0))),"",INDEX('Policy Characteristics'!A:A,MATCH($C276,'Policy Characteristics'!$C:$C,0)))</f>
        <v>Electricity Supply</v>
      </c>
      <c r="B276" s="262" t="str">
        <f>IF(ISBLANK(INDEX('Policy Characteristics'!B:B,MATCH($C276,'Policy Characteristics'!$C:$C,0))),"",INDEX('Policy Characteristics'!B:B,MATCH($C276,'Policy Characteristics'!$C:$C,0)))</f>
        <v>Ban New Power Plant Retrofits</v>
      </c>
      <c r="C276" s="254" t="str">
        <f>C$275</f>
        <v>Boolean Ban New Power Plant Retrofits</v>
      </c>
      <c r="D276" s="6" t="s">
        <v>3488</v>
      </c>
      <c r="E276" s="45"/>
      <c r="F276" s="6" t="s">
        <v>3424</v>
      </c>
      <c r="G276" s="45"/>
      <c r="H276" s="43">
        <v>2437</v>
      </c>
      <c r="I276" s="324" t="s">
        <v>44</v>
      </c>
      <c r="J276" s="255" t="str">
        <f>IF(ISBLANK(INDEX('Policy Characteristics'!D:D,MATCH($C276,'Policy Characteristics'!$C:$C,0))),"",INDEX('Policy Characteristics'!D:D,MATCH($C276,'Policy Characteristics'!$C:$C,0)))</f>
        <v>Ban New Power Plant Retrofits</v>
      </c>
      <c r="K276" s="254" t="str">
        <f>IF(ISBLANK(INDEX('Policy Characteristics'!E:E,MATCH($C276,'Policy Characteristics'!$C:$C,0))),"",INDEX('Policy Characteristics'!E:E,MATCH($C276,'Policy Characteristics'!$C:$C,0)))</f>
        <v>elec ban new power plant retrofits</v>
      </c>
      <c r="L276" s="254">
        <f>IF(ISBLANK(INDEX('Policy Characteristics'!F:F,MATCH($C276,'Policy Characteristics'!$C:$C,0))),"",INDEX('Policy Characteristics'!F:F,MATCH($C276,'Policy Characteristics'!$C:$C,0)))</f>
        <v>0</v>
      </c>
      <c r="M276" s="254">
        <f>IF(ISBLANK(INDEX('Policy Characteristics'!G:G,MATCH($C276,'Policy Characteristics'!$C:$C,0))),"",INDEX('Policy Characteristics'!G:G,MATCH($C276,'Policy Characteristics'!$C:$C,0)))</f>
        <v>1</v>
      </c>
      <c r="N276" s="254">
        <f>IF(ISBLANK(INDEX('Policy Characteristics'!H:H,MATCH($C276,'Policy Characteristics'!$C:$C,0))),"",INDEX('Policy Characteristics'!H:H,MATCH($C276,'Policy Characteristics'!$C:$C,0)))</f>
        <v>1</v>
      </c>
      <c r="O276" s="254" t="str">
        <f>IF(ISBLANK(INDEX('Policy Characteristics'!I:I,MATCH($C276,'Policy Characteristics'!$C:$C,0))),"",INDEX('Policy Characteristics'!I:I,MATCH($C276,'Policy Characteristics'!$C:$C,0)))</f>
        <v>on/off</v>
      </c>
      <c r="P276" s="254" t="str">
        <f>IF(ISBLANK(INDEX('Policy Characteristics'!J:J,MATCH($C276,'Policy Characteristics'!$C:$C,0))),"",INDEX('Policy Characteristics'!J:J,MATCH($C276,'Policy Characteristics'!$C:$C,0)))</f>
        <v>**Description:** This policy prevents new capacity of the selected CCS plant type(s) from being built to replace existing non-CCS plants.</v>
      </c>
      <c r="Q276" s="254" t="str">
        <f>IF(ISBLANK(INDEX('Policy Characteristics'!K:K,MATCH($C276,'Policy Characteristics'!$C:$C,0))),"",INDEX('Policy Characteristics'!K:K,MATCH($C276,'Policy Characteristics'!$C:$C,0)))</f>
        <v/>
      </c>
      <c r="R276" s="254" t="str">
        <f>IF(ISBLANK(INDEX('Policy Characteristics'!L:L,MATCH($C276,'Policy Characteristics'!$C:$C,0))),"",INDEX('Policy Characteristics'!L:L,MATCH($C276,'Policy Characteristics'!$C:$C,0)))</f>
        <v/>
      </c>
    </row>
    <row r="277" spans="1:18" s="4" customFormat="1" x14ac:dyDescent="0.3">
      <c r="A277" s="254" t="str">
        <f>IF(ISBLANK(INDEX('Policy Characteristics'!A:A,MATCH($C277,'Policy Characteristics'!$C:$C,0))),"",INDEX('Policy Characteristics'!A:A,MATCH($C277,'Policy Characteristics'!$C:$C,0)))</f>
        <v>Electricity Supply</v>
      </c>
      <c r="B277" s="262" t="str">
        <f>IF(ISBLANK(INDEX('Policy Characteristics'!B:B,MATCH($C277,'Policy Characteristics'!$C:$C,0))),"",INDEX('Policy Characteristics'!B:B,MATCH($C277,'Policy Characteristics'!$C:$C,0)))</f>
        <v>Ban New Power Plant Retrofits</v>
      </c>
      <c r="C277" s="254" t="str">
        <f t="shared" ref="C277:C298" si="19">C$275</f>
        <v>Boolean Ban New Power Plant Retrofits</v>
      </c>
      <c r="D277" s="6" t="s">
        <v>3489</v>
      </c>
      <c r="E277" s="45"/>
      <c r="F277" s="6" t="s">
        <v>3425</v>
      </c>
      <c r="G277" s="45"/>
      <c r="H277" s="43">
        <v>2438</v>
      </c>
      <c r="I277" s="324" t="s">
        <v>44</v>
      </c>
      <c r="J277" s="255" t="str">
        <f>IF(ISBLANK(INDEX('Policy Characteristics'!D:D,MATCH($C277,'Policy Characteristics'!$C:$C,0))),"",INDEX('Policy Characteristics'!D:D,MATCH($C277,'Policy Characteristics'!$C:$C,0)))</f>
        <v>Ban New Power Plant Retrofits</v>
      </c>
      <c r="K277" s="254" t="str">
        <f>IF(ISBLANK(INDEX('Policy Characteristics'!E:E,MATCH($C277,'Policy Characteristics'!$C:$C,0))),"",INDEX('Policy Characteristics'!E:E,MATCH($C277,'Policy Characteristics'!$C:$C,0)))</f>
        <v>elec ban new power plant retrofits</v>
      </c>
      <c r="L277" s="254">
        <f>IF(ISBLANK(INDEX('Policy Characteristics'!F:F,MATCH($C277,'Policy Characteristics'!$C:$C,0))),"",INDEX('Policy Characteristics'!F:F,MATCH($C277,'Policy Characteristics'!$C:$C,0)))</f>
        <v>0</v>
      </c>
      <c r="M277" s="254">
        <f>IF(ISBLANK(INDEX('Policy Characteristics'!G:G,MATCH($C277,'Policy Characteristics'!$C:$C,0))),"",INDEX('Policy Characteristics'!G:G,MATCH($C277,'Policy Characteristics'!$C:$C,0)))</f>
        <v>1</v>
      </c>
      <c r="N277" s="254">
        <f>IF(ISBLANK(INDEX('Policy Characteristics'!H:H,MATCH($C277,'Policy Characteristics'!$C:$C,0))),"",INDEX('Policy Characteristics'!H:H,MATCH($C277,'Policy Characteristics'!$C:$C,0)))</f>
        <v>1</v>
      </c>
      <c r="O277" s="254" t="str">
        <f>IF(ISBLANK(INDEX('Policy Characteristics'!I:I,MATCH($C277,'Policy Characteristics'!$C:$C,0))),"",INDEX('Policy Characteristics'!I:I,MATCH($C277,'Policy Characteristics'!$C:$C,0)))</f>
        <v>on/off</v>
      </c>
      <c r="P277" s="254" t="str">
        <f>IF(ISBLANK(INDEX('Policy Characteristics'!J:J,MATCH($C277,'Policy Characteristics'!$C:$C,0))),"",INDEX('Policy Characteristics'!J:J,MATCH($C277,'Policy Characteristics'!$C:$C,0)))</f>
        <v>**Description:** This policy prevents new capacity of the selected CCS plant type(s) from being built to replace existing non-CCS plants.</v>
      </c>
      <c r="Q277" s="254" t="str">
        <f>IF(ISBLANK(INDEX('Policy Characteristics'!K:K,MATCH($C277,'Policy Characteristics'!$C:$C,0))),"",INDEX('Policy Characteristics'!K:K,MATCH($C277,'Policy Characteristics'!$C:$C,0)))</f>
        <v/>
      </c>
      <c r="R277" s="254" t="str">
        <f>IF(ISBLANK(INDEX('Policy Characteristics'!L:L,MATCH($C277,'Policy Characteristics'!$C:$C,0))),"",INDEX('Policy Characteristics'!L:L,MATCH($C277,'Policy Characteristics'!$C:$C,0)))</f>
        <v/>
      </c>
    </row>
    <row r="278" spans="1:18" s="4" customFormat="1" x14ac:dyDescent="0.3">
      <c r="A278" s="254" t="str">
        <f>IF(ISBLANK(INDEX('Policy Characteristics'!A:A,MATCH($C278,'Policy Characteristics'!$C:$C,0))),"",INDEX('Policy Characteristics'!A:A,MATCH($C278,'Policy Characteristics'!$C:$C,0)))</f>
        <v>Electricity Supply</v>
      </c>
      <c r="B278" s="262" t="str">
        <f>IF(ISBLANK(INDEX('Policy Characteristics'!B:B,MATCH($C278,'Policy Characteristics'!$C:$C,0))),"",INDEX('Policy Characteristics'!B:B,MATCH($C278,'Policy Characteristics'!$C:$C,0)))</f>
        <v>Ban New Power Plant Retrofits</v>
      </c>
      <c r="C278" s="254" t="str">
        <f t="shared" si="19"/>
        <v>Boolean Ban New Power Plant Retrofits</v>
      </c>
      <c r="D278" s="6" t="s">
        <v>76</v>
      </c>
      <c r="E278" s="45"/>
      <c r="F278" s="6" t="s">
        <v>3499</v>
      </c>
      <c r="G278" s="45"/>
      <c r="H278" s="43">
        <v>2439</v>
      </c>
      <c r="I278" s="324" t="s">
        <v>44</v>
      </c>
      <c r="J278" s="255" t="str">
        <f>IF(ISBLANK(INDEX('Policy Characteristics'!D:D,MATCH($C278,'Policy Characteristics'!$C:$C,0))),"",INDEX('Policy Characteristics'!D:D,MATCH($C278,'Policy Characteristics'!$C:$C,0)))</f>
        <v>Ban New Power Plant Retrofits</v>
      </c>
      <c r="K278" s="254" t="str">
        <f>IF(ISBLANK(INDEX('Policy Characteristics'!E:E,MATCH($C278,'Policy Characteristics'!$C:$C,0))),"",INDEX('Policy Characteristics'!E:E,MATCH($C278,'Policy Characteristics'!$C:$C,0)))</f>
        <v>elec ban new power plant retrofits</v>
      </c>
      <c r="L278" s="254">
        <f>IF(ISBLANK(INDEX('Policy Characteristics'!F:F,MATCH($C278,'Policy Characteristics'!$C:$C,0))),"",INDEX('Policy Characteristics'!F:F,MATCH($C278,'Policy Characteristics'!$C:$C,0)))</f>
        <v>0</v>
      </c>
      <c r="M278" s="254">
        <f>IF(ISBLANK(INDEX('Policy Characteristics'!G:G,MATCH($C278,'Policy Characteristics'!$C:$C,0))),"",INDEX('Policy Characteristics'!G:G,MATCH($C278,'Policy Characteristics'!$C:$C,0)))</f>
        <v>1</v>
      </c>
      <c r="N278" s="254">
        <f>IF(ISBLANK(INDEX('Policy Characteristics'!H:H,MATCH($C278,'Policy Characteristics'!$C:$C,0))),"",INDEX('Policy Characteristics'!H:H,MATCH($C278,'Policy Characteristics'!$C:$C,0)))</f>
        <v>1</v>
      </c>
      <c r="O278" s="254" t="str">
        <f>IF(ISBLANK(INDEX('Policy Characteristics'!I:I,MATCH($C278,'Policy Characteristics'!$C:$C,0))),"",INDEX('Policy Characteristics'!I:I,MATCH($C278,'Policy Characteristics'!$C:$C,0)))</f>
        <v>on/off</v>
      </c>
      <c r="P278" s="254"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254" t="str">
        <f>IF(ISBLANK(INDEX('Policy Characteristics'!K:K,MATCH($C278,'Policy Characteristics'!$C:$C,0))),"",INDEX('Policy Characteristics'!K:K,MATCH($C278,'Policy Characteristics'!$C:$C,0)))</f>
        <v/>
      </c>
      <c r="R278" s="254" t="str">
        <f>IF(ISBLANK(INDEX('Policy Characteristics'!L:L,MATCH($C278,'Policy Characteristics'!$C:$C,0))),"",INDEX('Policy Characteristics'!L:L,MATCH($C278,'Policy Characteristics'!$C:$C,0)))</f>
        <v/>
      </c>
    </row>
    <row r="279" spans="1:18" s="4" customFormat="1" x14ac:dyDescent="0.3">
      <c r="A279" s="254" t="str">
        <f>IF(ISBLANK(INDEX('Policy Characteristics'!A:A,MATCH($C279,'Policy Characteristics'!$C:$C,0))),"",INDEX('Policy Characteristics'!A:A,MATCH($C279,'Policy Characteristics'!$C:$C,0)))</f>
        <v>Electricity Supply</v>
      </c>
      <c r="B279" s="262" t="str">
        <f>IF(ISBLANK(INDEX('Policy Characteristics'!B:B,MATCH($C279,'Policy Characteristics'!$C:$C,0))),"",INDEX('Policy Characteristics'!B:B,MATCH($C279,'Policy Characteristics'!$C:$C,0)))</f>
        <v>Ban New Power Plant Retrofits</v>
      </c>
      <c r="C279" s="254" t="str">
        <f t="shared" si="19"/>
        <v>Boolean Ban New Power Plant Retrofits</v>
      </c>
      <c r="D279" s="6" t="s">
        <v>77</v>
      </c>
      <c r="E279" s="45"/>
      <c r="F279" s="6" t="s">
        <v>89</v>
      </c>
      <c r="G279" s="45"/>
      <c r="H279" s="43">
        <v>2440</v>
      </c>
      <c r="I279" s="324" t="s">
        <v>44</v>
      </c>
      <c r="J279" s="255" t="str">
        <f>IF(ISBLANK(INDEX('Policy Characteristics'!D:D,MATCH($C279,'Policy Characteristics'!$C:$C,0))),"",INDEX('Policy Characteristics'!D:D,MATCH($C279,'Policy Characteristics'!$C:$C,0)))</f>
        <v>Ban New Power Plant Retrofits</v>
      </c>
      <c r="K279" s="254" t="str">
        <f>IF(ISBLANK(INDEX('Policy Characteristics'!E:E,MATCH($C279,'Policy Characteristics'!$C:$C,0))),"",INDEX('Policy Characteristics'!E:E,MATCH($C279,'Policy Characteristics'!$C:$C,0)))</f>
        <v>elec ban new power plant retrofits</v>
      </c>
      <c r="L279" s="254">
        <f>IF(ISBLANK(INDEX('Policy Characteristics'!F:F,MATCH($C279,'Policy Characteristics'!$C:$C,0))),"",INDEX('Policy Characteristics'!F:F,MATCH($C279,'Policy Characteristics'!$C:$C,0)))</f>
        <v>0</v>
      </c>
      <c r="M279" s="254">
        <f>IF(ISBLANK(INDEX('Policy Characteristics'!G:G,MATCH($C279,'Policy Characteristics'!$C:$C,0))),"",INDEX('Policy Characteristics'!G:G,MATCH($C279,'Policy Characteristics'!$C:$C,0)))</f>
        <v>1</v>
      </c>
      <c r="N279" s="254">
        <f>IF(ISBLANK(INDEX('Policy Characteristics'!H:H,MATCH($C279,'Policy Characteristics'!$C:$C,0))),"",INDEX('Policy Characteristics'!H:H,MATCH($C279,'Policy Characteristics'!$C:$C,0)))</f>
        <v>1</v>
      </c>
      <c r="O279" s="254" t="str">
        <f>IF(ISBLANK(INDEX('Policy Characteristics'!I:I,MATCH($C279,'Policy Characteristics'!$C:$C,0))),"",INDEX('Policy Characteristics'!I:I,MATCH($C279,'Policy Characteristics'!$C:$C,0)))</f>
        <v>on/off</v>
      </c>
      <c r="P279" s="254"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4" t="str">
        <f>IF(ISBLANK(INDEX('Policy Characteristics'!K:K,MATCH($C279,'Policy Characteristics'!$C:$C,0))),"",INDEX('Policy Characteristics'!K:K,MATCH($C279,'Policy Characteristics'!$C:$C,0)))</f>
        <v/>
      </c>
      <c r="R279" s="254" t="str">
        <f>IF(ISBLANK(INDEX('Policy Characteristics'!L:L,MATCH($C279,'Policy Characteristics'!$C:$C,0))),"",INDEX('Policy Characteristics'!L:L,MATCH($C279,'Policy Characteristics'!$C:$C,0)))</f>
        <v/>
      </c>
    </row>
    <row r="280" spans="1:18" s="4" customFormat="1" x14ac:dyDescent="0.3">
      <c r="A280" s="254" t="str">
        <f>IF(ISBLANK(INDEX('Policy Characteristics'!A:A,MATCH($C280,'Policy Characteristics'!$C:$C,0))),"",INDEX('Policy Characteristics'!A:A,MATCH($C280,'Policy Characteristics'!$C:$C,0)))</f>
        <v>Electricity Supply</v>
      </c>
      <c r="B280" s="262" t="str">
        <f>IF(ISBLANK(INDEX('Policy Characteristics'!B:B,MATCH($C280,'Policy Characteristics'!$C:$C,0))),"",INDEX('Policy Characteristics'!B:B,MATCH($C280,'Policy Characteristics'!$C:$C,0)))</f>
        <v>Ban New Power Plant Retrofits</v>
      </c>
      <c r="C280" s="254" t="str">
        <f t="shared" si="19"/>
        <v>Boolean Ban New Power Plant Retrofits</v>
      </c>
      <c r="D280" s="6" t="s">
        <v>448</v>
      </c>
      <c r="E280" s="45"/>
      <c r="F280" s="6" t="s">
        <v>451</v>
      </c>
      <c r="G280" s="45"/>
      <c r="H280" s="43">
        <v>2441</v>
      </c>
      <c r="I280" s="324" t="s">
        <v>44</v>
      </c>
      <c r="J280" s="255" t="str">
        <f>IF(ISBLANK(INDEX('Policy Characteristics'!D:D,MATCH($C280,'Policy Characteristics'!$C:$C,0))),"",INDEX('Policy Characteristics'!D:D,MATCH($C280,'Policy Characteristics'!$C:$C,0)))</f>
        <v>Ban New Power Plant Retrofits</v>
      </c>
      <c r="K280" s="254" t="str">
        <f>IF(ISBLANK(INDEX('Policy Characteristics'!E:E,MATCH($C280,'Policy Characteristics'!$C:$C,0))),"",INDEX('Policy Characteristics'!E:E,MATCH($C280,'Policy Characteristics'!$C:$C,0)))</f>
        <v>elec ban new power plant retrofits</v>
      </c>
      <c r="L280" s="254">
        <f>IF(ISBLANK(INDEX('Policy Characteristics'!F:F,MATCH($C280,'Policy Characteristics'!$C:$C,0))),"",INDEX('Policy Characteristics'!F:F,MATCH($C280,'Policy Characteristics'!$C:$C,0)))</f>
        <v>0</v>
      </c>
      <c r="M280" s="254">
        <f>IF(ISBLANK(INDEX('Policy Characteristics'!G:G,MATCH($C280,'Policy Characteristics'!$C:$C,0))),"",INDEX('Policy Characteristics'!G:G,MATCH($C280,'Policy Characteristics'!$C:$C,0)))</f>
        <v>1</v>
      </c>
      <c r="N280" s="254">
        <f>IF(ISBLANK(INDEX('Policy Characteristics'!H:H,MATCH($C280,'Policy Characteristics'!$C:$C,0))),"",INDEX('Policy Characteristics'!H:H,MATCH($C280,'Policy Characteristics'!$C:$C,0)))</f>
        <v>1</v>
      </c>
      <c r="O280" s="254" t="str">
        <f>IF(ISBLANK(INDEX('Policy Characteristics'!I:I,MATCH($C280,'Policy Characteristics'!$C:$C,0))),"",INDEX('Policy Characteristics'!I:I,MATCH($C280,'Policy Characteristics'!$C:$C,0)))</f>
        <v>on/off</v>
      </c>
      <c r="P280" s="254"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4" t="str">
        <f>IF(ISBLANK(INDEX('Policy Characteristics'!K:K,MATCH($C280,'Policy Characteristics'!$C:$C,0))),"",INDEX('Policy Characteristics'!K:K,MATCH($C280,'Policy Characteristics'!$C:$C,0)))</f>
        <v/>
      </c>
      <c r="R280" s="254" t="str">
        <f>IF(ISBLANK(INDEX('Policy Characteristics'!L:L,MATCH($C280,'Policy Characteristics'!$C:$C,0))),"",INDEX('Policy Characteristics'!L:L,MATCH($C280,'Policy Characteristics'!$C:$C,0)))</f>
        <v/>
      </c>
    </row>
    <row r="281" spans="1:18" s="4" customFormat="1" x14ac:dyDescent="0.3">
      <c r="A281" s="254" t="str">
        <f>IF(ISBLANK(INDEX('Policy Characteristics'!A:A,MATCH($C281,'Policy Characteristics'!$C:$C,0))),"",INDEX('Policy Characteristics'!A:A,MATCH($C281,'Policy Characteristics'!$C:$C,0)))</f>
        <v>Electricity Supply</v>
      </c>
      <c r="B281" s="262" t="str">
        <f>IF(ISBLANK(INDEX('Policy Characteristics'!B:B,MATCH($C281,'Policy Characteristics'!$C:$C,0))),"",INDEX('Policy Characteristics'!B:B,MATCH($C281,'Policy Characteristics'!$C:$C,0)))</f>
        <v>Ban New Power Plant Retrofits</v>
      </c>
      <c r="C281" s="254" t="str">
        <f t="shared" si="19"/>
        <v>Boolean Ban New Power Plant Retrofits</v>
      </c>
      <c r="D281" s="6" t="s">
        <v>78</v>
      </c>
      <c r="E281" s="45"/>
      <c r="F281" s="6" t="s">
        <v>90</v>
      </c>
      <c r="G281" s="45"/>
      <c r="H281" s="43">
        <v>2442</v>
      </c>
      <c r="I281" s="324" t="s">
        <v>44</v>
      </c>
      <c r="J281" s="255" t="str">
        <f>IF(ISBLANK(INDEX('Policy Characteristics'!D:D,MATCH($C281,'Policy Characteristics'!$C:$C,0))),"",INDEX('Policy Characteristics'!D:D,MATCH($C281,'Policy Characteristics'!$C:$C,0)))</f>
        <v>Ban New Power Plant Retrofits</v>
      </c>
      <c r="K281" s="254" t="str">
        <f>IF(ISBLANK(INDEX('Policy Characteristics'!E:E,MATCH($C281,'Policy Characteristics'!$C:$C,0))),"",INDEX('Policy Characteristics'!E:E,MATCH($C281,'Policy Characteristics'!$C:$C,0)))</f>
        <v>elec ban new power plant retrofits</v>
      </c>
      <c r="L281" s="254">
        <f>IF(ISBLANK(INDEX('Policy Characteristics'!F:F,MATCH($C281,'Policy Characteristics'!$C:$C,0))),"",INDEX('Policy Characteristics'!F:F,MATCH($C281,'Policy Characteristics'!$C:$C,0)))</f>
        <v>0</v>
      </c>
      <c r="M281" s="254">
        <f>IF(ISBLANK(INDEX('Policy Characteristics'!G:G,MATCH($C281,'Policy Characteristics'!$C:$C,0))),"",INDEX('Policy Characteristics'!G:G,MATCH($C281,'Policy Characteristics'!$C:$C,0)))</f>
        <v>1</v>
      </c>
      <c r="N281" s="254">
        <f>IF(ISBLANK(INDEX('Policy Characteristics'!H:H,MATCH($C281,'Policy Characteristics'!$C:$C,0))),"",INDEX('Policy Characteristics'!H:H,MATCH($C281,'Policy Characteristics'!$C:$C,0)))</f>
        <v>1</v>
      </c>
      <c r="O281" s="254" t="str">
        <f>IF(ISBLANK(INDEX('Policy Characteristics'!I:I,MATCH($C281,'Policy Characteristics'!$C:$C,0))),"",INDEX('Policy Characteristics'!I:I,MATCH($C281,'Policy Characteristics'!$C:$C,0)))</f>
        <v>on/off</v>
      </c>
      <c r="P281" s="254"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4" t="str">
        <f>IF(ISBLANK(INDEX('Policy Characteristics'!K:K,MATCH($C281,'Policy Characteristics'!$C:$C,0))),"",INDEX('Policy Characteristics'!K:K,MATCH($C281,'Policy Characteristics'!$C:$C,0)))</f>
        <v/>
      </c>
      <c r="R281" s="254" t="str">
        <f>IF(ISBLANK(INDEX('Policy Characteristics'!L:L,MATCH($C281,'Policy Characteristics'!$C:$C,0))),"",INDEX('Policy Characteristics'!L:L,MATCH($C281,'Policy Characteristics'!$C:$C,0)))</f>
        <v/>
      </c>
    </row>
    <row r="282" spans="1:18" s="4" customFormat="1" x14ac:dyDescent="0.3">
      <c r="A282" s="254" t="str">
        <f>IF(ISBLANK(INDEX('Policy Characteristics'!A:A,MATCH($C282,'Policy Characteristics'!$C:$C,0))),"",INDEX('Policy Characteristics'!A:A,MATCH($C282,'Policy Characteristics'!$C:$C,0)))</f>
        <v>Electricity Supply</v>
      </c>
      <c r="B282" s="262" t="str">
        <f>IF(ISBLANK(INDEX('Policy Characteristics'!B:B,MATCH($C282,'Policy Characteristics'!$C:$C,0))),"",INDEX('Policy Characteristics'!B:B,MATCH($C282,'Policy Characteristics'!$C:$C,0)))</f>
        <v>Ban New Power Plant Retrofits</v>
      </c>
      <c r="C282" s="254" t="str">
        <f t="shared" si="19"/>
        <v>Boolean Ban New Power Plant Retrofits</v>
      </c>
      <c r="D282" s="6" t="s">
        <v>79</v>
      </c>
      <c r="E282" s="45"/>
      <c r="F282" s="6" t="s">
        <v>91</v>
      </c>
      <c r="G282" s="45"/>
      <c r="H282" s="43">
        <v>2443</v>
      </c>
      <c r="I282" s="324" t="s">
        <v>44</v>
      </c>
      <c r="J282" s="255" t="str">
        <f>IF(ISBLANK(INDEX('Policy Characteristics'!D:D,MATCH($C282,'Policy Characteristics'!$C:$C,0))),"",INDEX('Policy Characteristics'!D:D,MATCH($C282,'Policy Characteristics'!$C:$C,0)))</f>
        <v>Ban New Power Plant Retrofits</v>
      </c>
      <c r="K282" s="254" t="str">
        <f>IF(ISBLANK(INDEX('Policy Characteristics'!E:E,MATCH($C282,'Policy Characteristics'!$C:$C,0))),"",INDEX('Policy Characteristics'!E:E,MATCH($C282,'Policy Characteristics'!$C:$C,0)))</f>
        <v>elec ban new power plant retrofits</v>
      </c>
      <c r="L282" s="254">
        <f>IF(ISBLANK(INDEX('Policy Characteristics'!F:F,MATCH($C282,'Policy Characteristics'!$C:$C,0))),"",INDEX('Policy Characteristics'!F:F,MATCH($C282,'Policy Characteristics'!$C:$C,0)))</f>
        <v>0</v>
      </c>
      <c r="M282" s="254">
        <f>IF(ISBLANK(INDEX('Policy Characteristics'!G:G,MATCH($C282,'Policy Characteristics'!$C:$C,0))),"",INDEX('Policy Characteristics'!G:G,MATCH($C282,'Policy Characteristics'!$C:$C,0)))</f>
        <v>1</v>
      </c>
      <c r="N282" s="254">
        <f>IF(ISBLANK(INDEX('Policy Characteristics'!H:H,MATCH($C282,'Policy Characteristics'!$C:$C,0))),"",INDEX('Policy Characteristics'!H:H,MATCH($C282,'Policy Characteristics'!$C:$C,0)))</f>
        <v>1</v>
      </c>
      <c r="O282" s="254" t="str">
        <f>IF(ISBLANK(INDEX('Policy Characteristics'!I:I,MATCH($C282,'Policy Characteristics'!$C:$C,0))),"",INDEX('Policy Characteristics'!I:I,MATCH($C282,'Policy Characteristics'!$C:$C,0)))</f>
        <v>on/off</v>
      </c>
      <c r="P282" s="254"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4" t="str">
        <f>IF(ISBLANK(INDEX('Policy Characteristics'!K:K,MATCH($C282,'Policy Characteristics'!$C:$C,0))),"",INDEX('Policy Characteristics'!K:K,MATCH($C282,'Policy Characteristics'!$C:$C,0)))</f>
        <v/>
      </c>
      <c r="R282" s="254" t="str">
        <f>IF(ISBLANK(INDEX('Policy Characteristics'!L:L,MATCH($C282,'Policy Characteristics'!$C:$C,0))),"",INDEX('Policy Characteristics'!L:L,MATCH($C282,'Policy Characteristics'!$C:$C,0)))</f>
        <v/>
      </c>
    </row>
    <row r="283" spans="1:18" s="4" customFormat="1" x14ac:dyDescent="0.3">
      <c r="A283" s="254" t="str">
        <f>IF(ISBLANK(INDEX('Policy Characteristics'!A:A,MATCH($C283,'Policy Characteristics'!$C:$C,0))),"",INDEX('Policy Characteristics'!A:A,MATCH($C283,'Policy Characteristics'!$C:$C,0)))</f>
        <v>Electricity Supply</v>
      </c>
      <c r="B283" s="262" t="str">
        <f>IF(ISBLANK(INDEX('Policy Characteristics'!B:B,MATCH($C283,'Policy Characteristics'!$C:$C,0))),"",INDEX('Policy Characteristics'!B:B,MATCH($C283,'Policy Characteristics'!$C:$C,0)))</f>
        <v>Ban New Power Plant Retrofits</v>
      </c>
      <c r="C283" s="254" t="str">
        <f t="shared" si="19"/>
        <v>Boolean Ban New Power Plant Retrofits</v>
      </c>
      <c r="D283" s="6" t="s">
        <v>80</v>
      </c>
      <c r="E283" s="45"/>
      <c r="F283" s="6" t="s">
        <v>92</v>
      </c>
      <c r="G283" s="45"/>
      <c r="H283" s="43">
        <v>2444</v>
      </c>
      <c r="I283" s="324" t="s">
        <v>44</v>
      </c>
      <c r="J283" s="255" t="str">
        <f>IF(ISBLANK(INDEX('Policy Characteristics'!D:D,MATCH($C283,'Policy Characteristics'!$C:$C,0))),"",INDEX('Policy Characteristics'!D:D,MATCH($C283,'Policy Characteristics'!$C:$C,0)))</f>
        <v>Ban New Power Plant Retrofits</v>
      </c>
      <c r="K283" s="254" t="str">
        <f>IF(ISBLANK(INDEX('Policy Characteristics'!E:E,MATCH($C283,'Policy Characteristics'!$C:$C,0))),"",INDEX('Policy Characteristics'!E:E,MATCH($C283,'Policy Characteristics'!$C:$C,0)))</f>
        <v>elec ban new power plant retrofits</v>
      </c>
      <c r="L283" s="254">
        <f>IF(ISBLANK(INDEX('Policy Characteristics'!F:F,MATCH($C283,'Policy Characteristics'!$C:$C,0))),"",INDEX('Policy Characteristics'!F:F,MATCH($C283,'Policy Characteristics'!$C:$C,0)))</f>
        <v>0</v>
      </c>
      <c r="M283" s="254">
        <f>IF(ISBLANK(INDEX('Policy Characteristics'!G:G,MATCH($C283,'Policy Characteristics'!$C:$C,0))),"",INDEX('Policy Characteristics'!G:G,MATCH($C283,'Policy Characteristics'!$C:$C,0)))</f>
        <v>1</v>
      </c>
      <c r="N283" s="254">
        <f>IF(ISBLANK(INDEX('Policy Characteristics'!H:H,MATCH($C283,'Policy Characteristics'!$C:$C,0))),"",INDEX('Policy Characteristics'!H:H,MATCH($C283,'Policy Characteristics'!$C:$C,0)))</f>
        <v>1</v>
      </c>
      <c r="O283" s="254" t="str">
        <f>IF(ISBLANK(INDEX('Policy Characteristics'!I:I,MATCH($C283,'Policy Characteristics'!$C:$C,0))),"",INDEX('Policy Characteristics'!I:I,MATCH($C283,'Policy Characteristics'!$C:$C,0)))</f>
        <v>on/off</v>
      </c>
      <c r="P283" s="254"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4" t="str">
        <f>IF(ISBLANK(INDEX('Policy Characteristics'!K:K,MATCH($C283,'Policy Characteristics'!$C:$C,0))),"",INDEX('Policy Characteristics'!K:K,MATCH($C283,'Policy Characteristics'!$C:$C,0)))</f>
        <v/>
      </c>
      <c r="R283" s="254" t="str">
        <f>IF(ISBLANK(INDEX('Policy Characteristics'!L:L,MATCH($C283,'Policy Characteristics'!$C:$C,0))),"",INDEX('Policy Characteristics'!L:L,MATCH($C283,'Policy Characteristics'!$C:$C,0)))</f>
        <v/>
      </c>
    </row>
    <row r="284" spans="1:18" s="4" customFormat="1" x14ac:dyDescent="0.3">
      <c r="A284" s="254" t="str">
        <f>IF(ISBLANK(INDEX('Policy Characteristics'!A:A,MATCH($C284,'Policy Characteristics'!$C:$C,0))),"",INDEX('Policy Characteristics'!A:A,MATCH($C284,'Policy Characteristics'!$C:$C,0)))</f>
        <v>Electricity Supply</v>
      </c>
      <c r="B284" s="262" t="str">
        <f>IF(ISBLANK(INDEX('Policy Characteristics'!B:B,MATCH($C284,'Policy Characteristics'!$C:$C,0))),"",INDEX('Policy Characteristics'!B:B,MATCH($C284,'Policy Characteristics'!$C:$C,0)))</f>
        <v>Ban New Power Plant Retrofits</v>
      </c>
      <c r="C284" s="254" t="str">
        <f t="shared" si="19"/>
        <v>Boolean Ban New Power Plant Retrofits</v>
      </c>
      <c r="D284" s="6" t="s">
        <v>2425</v>
      </c>
      <c r="E284" s="45"/>
      <c r="F284" s="6" t="s">
        <v>436</v>
      </c>
      <c r="G284" s="45"/>
      <c r="H284" s="43">
        <v>2445</v>
      </c>
      <c r="I284" s="324" t="s">
        <v>44</v>
      </c>
      <c r="J284" s="255" t="str">
        <f>IF(ISBLANK(INDEX('Policy Characteristics'!D:D,MATCH($C284,'Policy Characteristics'!$C:$C,0))),"",INDEX('Policy Characteristics'!D:D,MATCH($C284,'Policy Characteristics'!$C:$C,0)))</f>
        <v>Ban New Power Plant Retrofits</v>
      </c>
      <c r="K284" s="254" t="str">
        <f>IF(ISBLANK(INDEX('Policy Characteristics'!E:E,MATCH($C284,'Policy Characteristics'!$C:$C,0))),"",INDEX('Policy Characteristics'!E:E,MATCH($C284,'Policy Characteristics'!$C:$C,0)))</f>
        <v>elec ban new power plant retrofits</v>
      </c>
      <c r="L284" s="254">
        <f>IF(ISBLANK(INDEX('Policy Characteristics'!F:F,MATCH($C284,'Policy Characteristics'!$C:$C,0))),"",INDEX('Policy Characteristics'!F:F,MATCH($C284,'Policy Characteristics'!$C:$C,0)))</f>
        <v>0</v>
      </c>
      <c r="M284" s="254">
        <f>IF(ISBLANK(INDEX('Policy Characteristics'!G:G,MATCH($C284,'Policy Characteristics'!$C:$C,0))),"",INDEX('Policy Characteristics'!G:G,MATCH($C284,'Policy Characteristics'!$C:$C,0)))</f>
        <v>1</v>
      </c>
      <c r="N284" s="254">
        <f>IF(ISBLANK(INDEX('Policy Characteristics'!H:H,MATCH($C284,'Policy Characteristics'!$C:$C,0))),"",INDEX('Policy Characteristics'!H:H,MATCH($C284,'Policy Characteristics'!$C:$C,0)))</f>
        <v>1</v>
      </c>
      <c r="O284" s="254" t="str">
        <f>IF(ISBLANK(INDEX('Policy Characteristics'!I:I,MATCH($C284,'Policy Characteristics'!$C:$C,0))),"",INDEX('Policy Characteristics'!I:I,MATCH($C284,'Policy Characteristics'!$C:$C,0)))</f>
        <v>on/off</v>
      </c>
      <c r="P284" s="254"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4" t="str">
        <f>IF(ISBLANK(INDEX('Policy Characteristics'!K:K,MATCH($C284,'Policy Characteristics'!$C:$C,0))),"",INDEX('Policy Characteristics'!K:K,MATCH($C284,'Policy Characteristics'!$C:$C,0)))</f>
        <v/>
      </c>
      <c r="R284" s="254" t="str">
        <f>IF(ISBLANK(INDEX('Policy Characteristics'!L:L,MATCH($C284,'Policy Characteristics'!$C:$C,0))),"",INDEX('Policy Characteristics'!L:L,MATCH($C284,'Policy Characteristics'!$C:$C,0)))</f>
        <v/>
      </c>
    </row>
    <row r="285" spans="1:18" s="4" customFormat="1" x14ac:dyDescent="0.3">
      <c r="A285" s="254" t="str">
        <f>IF(ISBLANK(INDEX('Policy Characteristics'!A:A,MATCH($C285,'Policy Characteristics'!$C:$C,0))),"",INDEX('Policy Characteristics'!A:A,MATCH($C285,'Policy Characteristics'!$C:$C,0)))</f>
        <v>Electricity Supply</v>
      </c>
      <c r="B285" s="262" t="str">
        <f>IF(ISBLANK(INDEX('Policy Characteristics'!B:B,MATCH($C285,'Policy Characteristics'!$C:$C,0))),"",INDEX('Policy Characteristics'!B:B,MATCH($C285,'Policy Characteristics'!$C:$C,0)))</f>
        <v>Ban New Power Plant Retrofits</v>
      </c>
      <c r="C285" s="254" t="str">
        <f t="shared" si="19"/>
        <v>Boolean Ban New Power Plant Retrofits</v>
      </c>
      <c r="D285" s="6" t="s">
        <v>308</v>
      </c>
      <c r="E285" s="45"/>
      <c r="F285" s="6" t="s">
        <v>310</v>
      </c>
      <c r="G285" s="45"/>
      <c r="H285" s="43">
        <v>2446</v>
      </c>
      <c r="I285" s="324" t="s">
        <v>44</v>
      </c>
      <c r="J285" s="255" t="str">
        <f>IF(ISBLANK(INDEX('Policy Characteristics'!D:D,MATCH($C285,'Policy Characteristics'!$C:$C,0))),"",INDEX('Policy Characteristics'!D:D,MATCH($C285,'Policy Characteristics'!$C:$C,0)))</f>
        <v>Ban New Power Plant Retrofits</v>
      </c>
      <c r="K285" s="254" t="str">
        <f>IF(ISBLANK(INDEX('Policy Characteristics'!E:E,MATCH($C285,'Policy Characteristics'!$C:$C,0))),"",INDEX('Policy Characteristics'!E:E,MATCH($C285,'Policy Characteristics'!$C:$C,0)))</f>
        <v>elec ban new power plant retrofits</v>
      </c>
      <c r="L285" s="254">
        <f>IF(ISBLANK(INDEX('Policy Characteristics'!F:F,MATCH($C285,'Policy Characteristics'!$C:$C,0))),"",INDEX('Policy Characteristics'!F:F,MATCH($C285,'Policy Characteristics'!$C:$C,0)))</f>
        <v>0</v>
      </c>
      <c r="M285" s="254">
        <f>IF(ISBLANK(INDEX('Policy Characteristics'!G:G,MATCH($C285,'Policy Characteristics'!$C:$C,0))),"",INDEX('Policy Characteristics'!G:G,MATCH($C285,'Policy Characteristics'!$C:$C,0)))</f>
        <v>1</v>
      </c>
      <c r="N285" s="254">
        <f>IF(ISBLANK(INDEX('Policy Characteristics'!H:H,MATCH($C285,'Policy Characteristics'!$C:$C,0))),"",INDEX('Policy Characteristics'!H:H,MATCH($C285,'Policy Characteristics'!$C:$C,0)))</f>
        <v>1</v>
      </c>
      <c r="O285" s="254" t="str">
        <f>IF(ISBLANK(INDEX('Policy Characteristics'!I:I,MATCH($C285,'Policy Characteristics'!$C:$C,0))),"",INDEX('Policy Characteristics'!I:I,MATCH($C285,'Policy Characteristics'!$C:$C,0)))</f>
        <v>on/off</v>
      </c>
      <c r="P285" s="254"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4" t="str">
        <f>IF(ISBLANK(INDEX('Policy Characteristics'!K:K,MATCH($C285,'Policy Characteristics'!$C:$C,0))),"",INDEX('Policy Characteristics'!K:K,MATCH($C285,'Policy Characteristics'!$C:$C,0)))</f>
        <v/>
      </c>
      <c r="R285" s="254" t="str">
        <f>IF(ISBLANK(INDEX('Policy Characteristics'!L:L,MATCH($C285,'Policy Characteristics'!$C:$C,0))),"",INDEX('Policy Characteristics'!L:L,MATCH($C285,'Policy Characteristics'!$C:$C,0)))</f>
        <v/>
      </c>
    </row>
    <row r="286" spans="1:18" s="4" customFormat="1" x14ac:dyDescent="0.3">
      <c r="A286" s="254" t="str">
        <f>IF(ISBLANK(INDEX('Policy Characteristics'!A:A,MATCH($C286,'Policy Characteristics'!$C:$C,0))),"",INDEX('Policy Characteristics'!A:A,MATCH($C286,'Policy Characteristics'!$C:$C,0)))</f>
        <v>Electricity Supply</v>
      </c>
      <c r="B286" s="262" t="str">
        <f>IF(ISBLANK(INDEX('Policy Characteristics'!B:B,MATCH($C286,'Policy Characteristics'!$C:$C,0))),"",INDEX('Policy Characteristics'!B:B,MATCH($C286,'Policy Characteristics'!$C:$C,0)))</f>
        <v>Ban New Power Plant Retrofits</v>
      </c>
      <c r="C286" s="254" t="str">
        <f t="shared" si="19"/>
        <v>Boolean Ban New Power Plant Retrofits</v>
      </c>
      <c r="D286" s="6" t="s">
        <v>309</v>
      </c>
      <c r="E286" s="45"/>
      <c r="F286" s="6" t="s">
        <v>311</v>
      </c>
      <c r="G286" s="45"/>
      <c r="H286" s="43">
        <v>2447</v>
      </c>
      <c r="I286" s="324" t="s">
        <v>44</v>
      </c>
      <c r="J286" s="255" t="str">
        <f>IF(ISBLANK(INDEX('Policy Characteristics'!D:D,MATCH($C286,'Policy Characteristics'!$C:$C,0))),"",INDEX('Policy Characteristics'!D:D,MATCH($C286,'Policy Characteristics'!$C:$C,0)))</f>
        <v>Ban New Power Plant Retrofits</v>
      </c>
      <c r="K286" s="254" t="str">
        <f>IF(ISBLANK(INDEX('Policy Characteristics'!E:E,MATCH($C286,'Policy Characteristics'!$C:$C,0))),"",INDEX('Policy Characteristics'!E:E,MATCH($C286,'Policy Characteristics'!$C:$C,0)))</f>
        <v>elec ban new power plant retrofits</v>
      </c>
      <c r="L286" s="254">
        <f>IF(ISBLANK(INDEX('Policy Characteristics'!F:F,MATCH($C286,'Policy Characteristics'!$C:$C,0))),"",INDEX('Policy Characteristics'!F:F,MATCH($C286,'Policy Characteristics'!$C:$C,0)))</f>
        <v>0</v>
      </c>
      <c r="M286" s="254">
        <f>IF(ISBLANK(INDEX('Policy Characteristics'!G:G,MATCH($C286,'Policy Characteristics'!$C:$C,0))),"",INDEX('Policy Characteristics'!G:G,MATCH($C286,'Policy Characteristics'!$C:$C,0)))</f>
        <v>1</v>
      </c>
      <c r="N286" s="254">
        <f>IF(ISBLANK(INDEX('Policy Characteristics'!H:H,MATCH($C286,'Policy Characteristics'!$C:$C,0))),"",INDEX('Policy Characteristics'!H:H,MATCH($C286,'Policy Characteristics'!$C:$C,0)))</f>
        <v>1</v>
      </c>
      <c r="O286" s="254" t="str">
        <f>IF(ISBLANK(INDEX('Policy Characteristics'!I:I,MATCH($C286,'Policy Characteristics'!$C:$C,0))),"",INDEX('Policy Characteristics'!I:I,MATCH($C286,'Policy Characteristics'!$C:$C,0)))</f>
        <v>on/off</v>
      </c>
      <c r="P286" s="254"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4" t="str">
        <f>IF(ISBLANK(INDEX('Policy Characteristics'!K:K,MATCH($C286,'Policy Characteristics'!$C:$C,0))),"",INDEX('Policy Characteristics'!K:K,MATCH($C286,'Policy Characteristics'!$C:$C,0)))</f>
        <v/>
      </c>
      <c r="R286" s="254" t="str">
        <f>IF(ISBLANK(INDEX('Policy Characteristics'!L:L,MATCH($C286,'Policy Characteristics'!$C:$C,0))),"",INDEX('Policy Characteristics'!L:L,MATCH($C286,'Policy Characteristics'!$C:$C,0)))</f>
        <v/>
      </c>
    </row>
    <row r="287" spans="1:18" s="4" customFormat="1" x14ac:dyDescent="0.3">
      <c r="A287" s="254" t="str">
        <f>IF(ISBLANK(INDEX('Policy Characteristics'!A:A,MATCH($C287,'Policy Characteristics'!$C:$C,0))),"",INDEX('Policy Characteristics'!A:A,MATCH($C287,'Policy Characteristics'!$C:$C,0)))</f>
        <v>Electricity Supply</v>
      </c>
      <c r="B287" s="262" t="str">
        <f>IF(ISBLANK(INDEX('Policy Characteristics'!B:B,MATCH($C287,'Policy Characteristics'!$C:$C,0))),"",INDEX('Policy Characteristics'!B:B,MATCH($C287,'Policy Characteristics'!$C:$C,0)))</f>
        <v>Ban New Power Plant Retrofits</v>
      </c>
      <c r="C287" s="254" t="str">
        <f t="shared" si="19"/>
        <v>Boolean Ban New Power Plant Retrofits</v>
      </c>
      <c r="D287" s="6" t="s">
        <v>444</v>
      </c>
      <c r="E287" s="45"/>
      <c r="F287" s="6" t="s">
        <v>443</v>
      </c>
      <c r="G287" s="45"/>
      <c r="H287" s="43">
        <v>2448</v>
      </c>
      <c r="I287" s="324" t="s">
        <v>44</v>
      </c>
      <c r="J287" s="255" t="str">
        <f>IF(ISBLANK(INDEX('Policy Characteristics'!D:D,MATCH($C287,'Policy Characteristics'!$C:$C,0))),"",INDEX('Policy Characteristics'!D:D,MATCH($C287,'Policy Characteristics'!$C:$C,0)))</f>
        <v>Ban New Power Plant Retrofits</v>
      </c>
      <c r="K287" s="254" t="str">
        <f>IF(ISBLANK(INDEX('Policy Characteristics'!E:E,MATCH($C287,'Policy Characteristics'!$C:$C,0))),"",INDEX('Policy Characteristics'!E:E,MATCH($C287,'Policy Characteristics'!$C:$C,0)))</f>
        <v>elec ban new power plant retrofits</v>
      </c>
      <c r="L287" s="254">
        <f>IF(ISBLANK(INDEX('Policy Characteristics'!F:F,MATCH($C287,'Policy Characteristics'!$C:$C,0))),"",INDEX('Policy Characteristics'!F:F,MATCH($C287,'Policy Characteristics'!$C:$C,0)))</f>
        <v>0</v>
      </c>
      <c r="M287" s="254">
        <f>IF(ISBLANK(INDEX('Policy Characteristics'!G:G,MATCH($C287,'Policy Characteristics'!$C:$C,0))),"",INDEX('Policy Characteristics'!G:G,MATCH($C287,'Policy Characteristics'!$C:$C,0)))</f>
        <v>1</v>
      </c>
      <c r="N287" s="254">
        <f>IF(ISBLANK(INDEX('Policy Characteristics'!H:H,MATCH($C287,'Policy Characteristics'!$C:$C,0))),"",INDEX('Policy Characteristics'!H:H,MATCH($C287,'Policy Characteristics'!$C:$C,0)))</f>
        <v>1</v>
      </c>
      <c r="O287" s="254" t="str">
        <f>IF(ISBLANK(INDEX('Policy Characteristics'!I:I,MATCH($C287,'Policy Characteristics'!$C:$C,0))),"",INDEX('Policy Characteristics'!I:I,MATCH($C287,'Policy Characteristics'!$C:$C,0)))</f>
        <v>on/off</v>
      </c>
      <c r="P287" s="254"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4" t="str">
        <f>IF(ISBLANK(INDEX('Policy Characteristics'!K:K,MATCH($C287,'Policy Characteristics'!$C:$C,0))),"",INDEX('Policy Characteristics'!K:K,MATCH($C287,'Policy Characteristics'!$C:$C,0)))</f>
        <v/>
      </c>
      <c r="R287" s="254" t="str">
        <f>IF(ISBLANK(INDEX('Policy Characteristics'!L:L,MATCH($C287,'Policy Characteristics'!$C:$C,0))),"",INDEX('Policy Characteristics'!L:L,MATCH($C287,'Policy Characteristics'!$C:$C,0)))</f>
        <v/>
      </c>
    </row>
    <row r="288" spans="1:18" s="4" customFormat="1" x14ac:dyDescent="0.3">
      <c r="A288" s="254" t="str">
        <f>IF(ISBLANK(INDEX('Policy Characteristics'!A:A,MATCH($C288,'Policy Characteristics'!$C:$C,0))),"",INDEX('Policy Characteristics'!A:A,MATCH($C288,'Policy Characteristics'!$C:$C,0)))</f>
        <v>Electricity Supply</v>
      </c>
      <c r="B288" s="262" t="str">
        <f>IF(ISBLANK(INDEX('Policy Characteristics'!B:B,MATCH($C288,'Policy Characteristics'!$C:$C,0))),"",INDEX('Policy Characteristics'!B:B,MATCH($C288,'Policy Characteristics'!$C:$C,0)))</f>
        <v>Ban New Power Plant Retrofits</v>
      </c>
      <c r="C288" s="254" t="str">
        <f t="shared" si="19"/>
        <v>Boolean Ban New Power Plant Retrofits</v>
      </c>
      <c r="D288" s="6" t="s">
        <v>453</v>
      </c>
      <c r="E288" s="45"/>
      <c r="F288" s="6" t="s">
        <v>454</v>
      </c>
      <c r="G288" s="45"/>
      <c r="H288" s="43">
        <v>2449</v>
      </c>
      <c r="I288" s="324" t="s">
        <v>44</v>
      </c>
      <c r="J288" s="255" t="str">
        <f>IF(ISBLANK(INDEX('Policy Characteristics'!D:D,MATCH($C288,'Policy Characteristics'!$C:$C,0))),"",INDEX('Policy Characteristics'!D:D,MATCH($C288,'Policy Characteristics'!$C:$C,0)))</f>
        <v>Ban New Power Plant Retrofits</v>
      </c>
      <c r="K288" s="254" t="str">
        <f>IF(ISBLANK(INDEX('Policy Characteristics'!E:E,MATCH($C288,'Policy Characteristics'!$C:$C,0))),"",INDEX('Policy Characteristics'!E:E,MATCH($C288,'Policy Characteristics'!$C:$C,0)))</f>
        <v>elec ban new power plant retrofits</v>
      </c>
      <c r="L288" s="254">
        <f>IF(ISBLANK(INDEX('Policy Characteristics'!F:F,MATCH($C288,'Policy Characteristics'!$C:$C,0))),"",INDEX('Policy Characteristics'!F:F,MATCH($C288,'Policy Characteristics'!$C:$C,0)))</f>
        <v>0</v>
      </c>
      <c r="M288" s="254">
        <f>IF(ISBLANK(INDEX('Policy Characteristics'!G:G,MATCH($C288,'Policy Characteristics'!$C:$C,0))),"",INDEX('Policy Characteristics'!G:G,MATCH($C288,'Policy Characteristics'!$C:$C,0)))</f>
        <v>1</v>
      </c>
      <c r="N288" s="254">
        <f>IF(ISBLANK(INDEX('Policy Characteristics'!H:H,MATCH($C288,'Policy Characteristics'!$C:$C,0))),"",INDEX('Policy Characteristics'!H:H,MATCH($C288,'Policy Characteristics'!$C:$C,0)))</f>
        <v>1</v>
      </c>
      <c r="O288" s="254" t="str">
        <f>IF(ISBLANK(INDEX('Policy Characteristics'!I:I,MATCH($C288,'Policy Characteristics'!$C:$C,0))),"",INDEX('Policy Characteristics'!I:I,MATCH($C288,'Policy Characteristics'!$C:$C,0)))</f>
        <v>on/off</v>
      </c>
      <c r="P288" s="254"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4" t="str">
        <f>IF(ISBLANK(INDEX('Policy Characteristics'!K:K,MATCH($C288,'Policy Characteristics'!$C:$C,0))),"",INDEX('Policy Characteristics'!K:K,MATCH($C288,'Policy Characteristics'!$C:$C,0)))</f>
        <v/>
      </c>
      <c r="R288" s="254" t="str">
        <f>IF(ISBLANK(INDEX('Policy Characteristics'!L:L,MATCH($C288,'Policy Characteristics'!$C:$C,0))),"",INDEX('Policy Characteristics'!L:L,MATCH($C288,'Policy Characteristics'!$C:$C,0)))</f>
        <v/>
      </c>
    </row>
    <row r="289" spans="1:18" s="4" customFormat="1" x14ac:dyDescent="0.3">
      <c r="A289" s="254" t="str">
        <f>IF(ISBLANK(INDEX('Policy Characteristics'!A:A,MATCH($C289,'Policy Characteristics'!$C:$C,0))),"",INDEX('Policy Characteristics'!A:A,MATCH($C289,'Policy Characteristics'!$C:$C,0)))</f>
        <v>Electricity Supply</v>
      </c>
      <c r="B289" s="262" t="str">
        <f>IF(ISBLANK(INDEX('Policy Characteristics'!B:B,MATCH($C289,'Policy Characteristics'!$C:$C,0))),"",INDEX('Policy Characteristics'!B:B,MATCH($C289,'Policy Characteristics'!$C:$C,0)))</f>
        <v>Ban New Power Plant Retrofits</v>
      </c>
      <c r="C289" s="254" t="str">
        <f t="shared" si="19"/>
        <v>Boolean Ban New Power Plant Retrofits</v>
      </c>
      <c r="D289" s="6" t="s">
        <v>2748</v>
      </c>
      <c r="E289" s="45"/>
      <c r="F289" s="6" t="s">
        <v>2469</v>
      </c>
      <c r="G289" s="45"/>
      <c r="H289" s="43">
        <v>2450</v>
      </c>
      <c r="I289" s="324" t="s">
        <v>44</v>
      </c>
      <c r="J289" s="255" t="str">
        <f>IF(ISBLANK(INDEX('Policy Characteristics'!D:D,MATCH($C289,'Policy Characteristics'!$C:$C,0))),"",INDEX('Policy Characteristics'!D:D,MATCH($C289,'Policy Characteristics'!$C:$C,0)))</f>
        <v>Ban New Power Plant Retrofits</v>
      </c>
      <c r="K289" s="254" t="str">
        <f>IF(ISBLANK(INDEX('Policy Characteristics'!E:E,MATCH($C289,'Policy Characteristics'!$C:$C,0))),"",INDEX('Policy Characteristics'!E:E,MATCH($C289,'Policy Characteristics'!$C:$C,0)))</f>
        <v>elec ban new power plant retrofits</v>
      </c>
      <c r="L289" s="254">
        <f>IF(ISBLANK(INDEX('Policy Characteristics'!F:F,MATCH($C289,'Policy Characteristics'!$C:$C,0))),"",INDEX('Policy Characteristics'!F:F,MATCH($C289,'Policy Characteristics'!$C:$C,0)))</f>
        <v>0</v>
      </c>
      <c r="M289" s="254">
        <f>IF(ISBLANK(INDEX('Policy Characteristics'!G:G,MATCH($C289,'Policy Characteristics'!$C:$C,0))),"",INDEX('Policy Characteristics'!G:G,MATCH($C289,'Policy Characteristics'!$C:$C,0)))</f>
        <v>1</v>
      </c>
      <c r="N289" s="254">
        <f>IF(ISBLANK(INDEX('Policy Characteristics'!H:H,MATCH($C289,'Policy Characteristics'!$C:$C,0))),"",INDEX('Policy Characteristics'!H:H,MATCH($C289,'Policy Characteristics'!$C:$C,0)))</f>
        <v>1</v>
      </c>
      <c r="O289" s="254" t="str">
        <f>IF(ISBLANK(INDEX('Policy Characteristics'!I:I,MATCH($C289,'Policy Characteristics'!$C:$C,0))),"",INDEX('Policy Characteristics'!I:I,MATCH($C289,'Policy Characteristics'!$C:$C,0)))</f>
        <v>on/off</v>
      </c>
      <c r="P289" s="254"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4" t="str">
        <f>IF(ISBLANK(INDEX('Policy Characteristics'!K:K,MATCH($C289,'Policy Characteristics'!$C:$C,0))),"",INDEX('Policy Characteristics'!K:K,MATCH($C289,'Policy Characteristics'!$C:$C,0)))</f>
        <v/>
      </c>
      <c r="R289" s="254" t="str">
        <f>IF(ISBLANK(INDEX('Policy Characteristics'!L:L,MATCH($C289,'Policy Characteristics'!$C:$C,0))),"",INDEX('Policy Characteristics'!L:L,MATCH($C289,'Policy Characteristics'!$C:$C,0)))</f>
        <v/>
      </c>
    </row>
    <row r="290" spans="1:18" s="4" customFormat="1" x14ac:dyDescent="0.3">
      <c r="A290" s="254" t="str">
        <f>IF(ISBLANK(INDEX('Policy Characteristics'!A:A,MATCH($C290,'Policy Characteristics'!$C:$C,0))),"",INDEX('Policy Characteristics'!A:A,MATCH($C290,'Policy Characteristics'!$C:$C,0)))</f>
        <v>Electricity Supply</v>
      </c>
      <c r="B290" s="262" t="str">
        <f>IF(ISBLANK(INDEX('Policy Characteristics'!B:B,MATCH($C290,'Policy Characteristics'!$C:$C,0))),"",INDEX('Policy Characteristics'!B:B,MATCH($C290,'Policy Characteristics'!$C:$C,0)))</f>
        <v>Ban New Power Plant Retrofits</v>
      </c>
      <c r="C290" s="254" t="str">
        <f t="shared" si="19"/>
        <v>Boolean Ban New Power Plant Retrofits</v>
      </c>
      <c r="D290" s="6" t="s">
        <v>2749</v>
      </c>
      <c r="E290" s="45"/>
      <c r="F290" s="6" t="s">
        <v>2592</v>
      </c>
      <c r="G290" s="45"/>
      <c r="H290" s="43">
        <v>2451</v>
      </c>
      <c r="I290" s="324" t="s">
        <v>44</v>
      </c>
      <c r="J290" s="255" t="str">
        <f>IF(ISBLANK(INDEX('Policy Characteristics'!D:D,MATCH($C290,'Policy Characteristics'!$C:$C,0))),"",INDEX('Policy Characteristics'!D:D,MATCH($C290,'Policy Characteristics'!$C:$C,0)))</f>
        <v>Ban New Power Plant Retrofits</v>
      </c>
      <c r="K290" s="254" t="str">
        <f>IF(ISBLANK(INDEX('Policy Characteristics'!E:E,MATCH($C290,'Policy Characteristics'!$C:$C,0))),"",INDEX('Policy Characteristics'!E:E,MATCH($C290,'Policy Characteristics'!$C:$C,0)))</f>
        <v>elec ban new power plant retrofits</v>
      </c>
      <c r="L290" s="254">
        <f>IF(ISBLANK(INDEX('Policy Characteristics'!F:F,MATCH($C290,'Policy Characteristics'!$C:$C,0))),"",INDEX('Policy Characteristics'!F:F,MATCH($C290,'Policy Characteristics'!$C:$C,0)))</f>
        <v>0</v>
      </c>
      <c r="M290" s="254">
        <f>IF(ISBLANK(INDEX('Policy Characteristics'!G:G,MATCH($C290,'Policy Characteristics'!$C:$C,0))),"",INDEX('Policy Characteristics'!G:G,MATCH($C290,'Policy Characteristics'!$C:$C,0)))</f>
        <v>1</v>
      </c>
      <c r="N290" s="254">
        <f>IF(ISBLANK(INDEX('Policy Characteristics'!H:H,MATCH($C290,'Policy Characteristics'!$C:$C,0))),"",INDEX('Policy Characteristics'!H:H,MATCH($C290,'Policy Characteristics'!$C:$C,0)))</f>
        <v>1</v>
      </c>
      <c r="O290" s="254" t="str">
        <f>IF(ISBLANK(INDEX('Policy Characteristics'!I:I,MATCH($C290,'Policy Characteristics'!$C:$C,0))),"",INDEX('Policy Characteristics'!I:I,MATCH($C290,'Policy Characteristics'!$C:$C,0)))</f>
        <v>on/off</v>
      </c>
      <c r="P290" s="254"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4" t="str">
        <f>IF(ISBLANK(INDEX('Policy Characteristics'!K:K,MATCH($C290,'Policy Characteristics'!$C:$C,0))),"",INDEX('Policy Characteristics'!K:K,MATCH($C290,'Policy Characteristics'!$C:$C,0)))</f>
        <v/>
      </c>
      <c r="R290" s="254" t="str">
        <f>IF(ISBLANK(INDEX('Policy Characteristics'!L:L,MATCH($C290,'Policy Characteristics'!$C:$C,0))),"",INDEX('Policy Characteristics'!L:L,MATCH($C290,'Policy Characteristics'!$C:$C,0)))</f>
        <v/>
      </c>
    </row>
    <row r="291" spans="1:18" s="4" customFormat="1" x14ac:dyDescent="0.3">
      <c r="A291" s="254" t="str">
        <f>IF(ISBLANK(INDEX('Policy Characteristics'!A:A,MATCH($C291,'Policy Characteristics'!$C:$C,0))),"",INDEX('Policy Characteristics'!A:A,MATCH($C291,'Policy Characteristics'!$C:$C,0)))</f>
        <v>Electricity Supply</v>
      </c>
      <c r="B291" s="262" t="str">
        <f>IF(ISBLANK(INDEX('Policy Characteristics'!B:B,MATCH($C291,'Policy Characteristics'!$C:$C,0))),"",INDEX('Policy Characteristics'!B:B,MATCH($C291,'Policy Characteristics'!$C:$C,0)))</f>
        <v>Ban New Power Plant Retrofits</v>
      </c>
      <c r="C291" s="254" t="str">
        <f t="shared" si="19"/>
        <v>Boolean Ban New Power Plant Retrofits</v>
      </c>
      <c r="D291" s="6" t="s">
        <v>2750</v>
      </c>
      <c r="E291" s="45"/>
      <c r="F291" s="6" t="s">
        <v>2471</v>
      </c>
      <c r="G291" s="45"/>
      <c r="H291" s="43">
        <v>2452</v>
      </c>
      <c r="I291" s="324" t="s">
        <v>44</v>
      </c>
      <c r="J291" s="255" t="str">
        <f>IF(ISBLANK(INDEX('Policy Characteristics'!D:D,MATCH($C291,'Policy Characteristics'!$C:$C,0))),"",INDEX('Policy Characteristics'!D:D,MATCH($C291,'Policy Characteristics'!$C:$C,0)))</f>
        <v>Ban New Power Plant Retrofits</v>
      </c>
      <c r="K291" s="254" t="str">
        <f>IF(ISBLANK(INDEX('Policy Characteristics'!E:E,MATCH($C291,'Policy Characteristics'!$C:$C,0))),"",INDEX('Policy Characteristics'!E:E,MATCH($C291,'Policy Characteristics'!$C:$C,0)))</f>
        <v>elec ban new power plant retrofits</v>
      </c>
      <c r="L291" s="254">
        <f>IF(ISBLANK(INDEX('Policy Characteristics'!F:F,MATCH($C291,'Policy Characteristics'!$C:$C,0))),"",INDEX('Policy Characteristics'!F:F,MATCH($C291,'Policy Characteristics'!$C:$C,0)))</f>
        <v>0</v>
      </c>
      <c r="M291" s="254">
        <f>IF(ISBLANK(INDEX('Policy Characteristics'!G:G,MATCH($C291,'Policy Characteristics'!$C:$C,0))),"",INDEX('Policy Characteristics'!G:G,MATCH($C291,'Policy Characteristics'!$C:$C,0)))</f>
        <v>1</v>
      </c>
      <c r="N291" s="254">
        <f>IF(ISBLANK(INDEX('Policy Characteristics'!H:H,MATCH($C291,'Policy Characteristics'!$C:$C,0))),"",INDEX('Policy Characteristics'!H:H,MATCH($C291,'Policy Characteristics'!$C:$C,0)))</f>
        <v>1</v>
      </c>
      <c r="O291" s="254" t="str">
        <f>IF(ISBLANK(INDEX('Policy Characteristics'!I:I,MATCH($C291,'Policy Characteristics'!$C:$C,0))),"",INDEX('Policy Characteristics'!I:I,MATCH($C291,'Policy Characteristics'!$C:$C,0)))</f>
        <v>on/off</v>
      </c>
      <c r="P291" s="254"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4" t="str">
        <f>IF(ISBLANK(INDEX('Policy Characteristics'!K:K,MATCH($C291,'Policy Characteristics'!$C:$C,0))),"",INDEX('Policy Characteristics'!K:K,MATCH($C291,'Policy Characteristics'!$C:$C,0)))</f>
        <v/>
      </c>
      <c r="R291" s="254" t="str">
        <f>IF(ISBLANK(INDEX('Policy Characteristics'!L:L,MATCH($C291,'Policy Characteristics'!$C:$C,0))),"",INDEX('Policy Characteristics'!L:L,MATCH($C291,'Policy Characteristics'!$C:$C,0)))</f>
        <v/>
      </c>
    </row>
    <row r="292" spans="1:18" s="4" customFormat="1" x14ac:dyDescent="0.3">
      <c r="A292" s="254" t="str">
        <f>IF(ISBLANK(INDEX('Policy Characteristics'!A:A,MATCH($C292,'Policy Characteristics'!$C:$C,0))),"",INDEX('Policy Characteristics'!A:A,MATCH($C292,'Policy Characteristics'!$C:$C,0)))</f>
        <v>Electricity Supply</v>
      </c>
      <c r="B292" s="262" t="str">
        <f>IF(ISBLANK(INDEX('Policy Characteristics'!B:B,MATCH($C292,'Policy Characteristics'!$C:$C,0))),"",INDEX('Policy Characteristics'!B:B,MATCH($C292,'Policy Characteristics'!$C:$C,0)))</f>
        <v>Ban New Power Plant Retrofits</v>
      </c>
      <c r="C292" s="254" t="str">
        <f t="shared" si="19"/>
        <v>Boolean Ban New Power Plant Retrofits</v>
      </c>
      <c r="D292" s="6" t="s">
        <v>3487</v>
      </c>
      <c r="E292" s="45"/>
      <c r="F292" s="6" t="s">
        <v>3494</v>
      </c>
      <c r="G292" s="45"/>
      <c r="H292" s="43">
        <v>2453</v>
      </c>
      <c r="I292" s="324" t="s">
        <v>43</v>
      </c>
      <c r="J292" s="255" t="str">
        <f>IF(ISBLANK(INDEX('Policy Characteristics'!D:D,MATCH($C292,'Policy Characteristics'!$C:$C,0))),"",INDEX('Policy Characteristics'!D:D,MATCH($C292,'Policy Characteristics'!$C:$C,0)))</f>
        <v>Ban New Power Plant Retrofits</v>
      </c>
      <c r="K292" s="254" t="str">
        <f>IF(ISBLANK(INDEX('Policy Characteristics'!E:E,MATCH($C292,'Policy Characteristics'!$C:$C,0))),"",INDEX('Policy Characteristics'!E:E,MATCH($C292,'Policy Characteristics'!$C:$C,0)))</f>
        <v>elec ban new power plant retrofits</v>
      </c>
      <c r="L292" s="254">
        <f>IF(ISBLANK(INDEX('Policy Characteristics'!F:F,MATCH($C292,'Policy Characteristics'!$C:$C,0))),"",INDEX('Policy Characteristics'!F:F,MATCH($C292,'Policy Characteristics'!$C:$C,0)))</f>
        <v>0</v>
      </c>
      <c r="M292" s="254">
        <f>IF(ISBLANK(INDEX('Policy Characteristics'!G:G,MATCH($C292,'Policy Characteristics'!$C:$C,0))),"",INDEX('Policy Characteristics'!G:G,MATCH($C292,'Policy Characteristics'!$C:$C,0)))</f>
        <v>1</v>
      </c>
      <c r="N292" s="254">
        <f>IF(ISBLANK(INDEX('Policy Characteristics'!H:H,MATCH($C292,'Policy Characteristics'!$C:$C,0))),"",INDEX('Policy Characteristics'!H:H,MATCH($C292,'Policy Characteristics'!$C:$C,0)))</f>
        <v>1</v>
      </c>
      <c r="O292" s="254" t="str">
        <f>IF(ISBLANK(INDEX('Policy Characteristics'!I:I,MATCH($C292,'Policy Characteristics'!$C:$C,0))),"",INDEX('Policy Characteristics'!I:I,MATCH($C292,'Policy Characteristics'!$C:$C,0)))</f>
        <v>on/off</v>
      </c>
      <c r="P292" s="254"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4" t="str">
        <f>IF(ISBLANK(INDEX('Policy Characteristics'!K:K,MATCH($C292,'Policy Characteristics'!$C:$C,0))),"",INDEX('Policy Characteristics'!K:K,MATCH($C292,'Policy Characteristics'!$C:$C,0)))</f>
        <v/>
      </c>
      <c r="R292" s="254" t="str">
        <f>IF(ISBLANK(INDEX('Policy Characteristics'!L:L,MATCH($C292,'Policy Characteristics'!$C:$C,0))),"",INDEX('Policy Characteristics'!L:L,MATCH($C292,'Policy Characteristics'!$C:$C,0)))</f>
        <v/>
      </c>
    </row>
    <row r="293" spans="1:18" s="4" customFormat="1" x14ac:dyDescent="0.3">
      <c r="A293" s="254" t="str">
        <f>IF(ISBLANK(INDEX('Policy Characteristics'!A:A,MATCH($C293,'Policy Characteristics'!$C:$C,0))),"",INDEX('Policy Characteristics'!A:A,MATCH($C293,'Policy Characteristics'!$C:$C,0)))</f>
        <v>Electricity Supply</v>
      </c>
      <c r="B293" s="262" t="str">
        <f>IF(ISBLANK(INDEX('Policy Characteristics'!B:B,MATCH($C293,'Policy Characteristics'!$C:$C,0))),"",INDEX('Policy Characteristics'!B:B,MATCH($C293,'Policy Characteristics'!$C:$C,0)))</f>
        <v>Ban New Power Plant Retrofits</v>
      </c>
      <c r="C293" s="254" t="str">
        <f t="shared" si="19"/>
        <v>Boolean Ban New Power Plant Retrofits</v>
      </c>
      <c r="D293" s="6" t="s">
        <v>3490</v>
      </c>
      <c r="E293" s="45"/>
      <c r="F293" s="6" t="s">
        <v>3495</v>
      </c>
      <c r="G293" s="45"/>
      <c r="H293" s="43">
        <v>2454</v>
      </c>
      <c r="I293" s="324" t="s">
        <v>43</v>
      </c>
      <c r="J293" s="255" t="str">
        <f>IF(ISBLANK(INDEX('Policy Characteristics'!D:D,MATCH($C293,'Policy Characteristics'!$C:$C,0))),"",INDEX('Policy Characteristics'!D:D,MATCH($C293,'Policy Characteristics'!$C:$C,0)))</f>
        <v>Ban New Power Plant Retrofits</v>
      </c>
      <c r="K293" s="254" t="str">
        <f>IF(ISBLANK(INDEX('Policy Characteristics'!E:E,MATCH($C293,'Policy Characteristics'!$C:$C,0))),"",INDEX('Policy Characteristics'!E:E,MATCH($C293,'Policy Characteristics'!$C:$C,0)))</f>
        <v>elec ban new power plant retrofits</v>
      </c>
      <c r="L293" s="254">
        <f>IF(ISBLANK(INDEX('Policy Characteristics'!F:F,MATCH($C293,'Policy Characteristics'!$C:$C,0))),"",INDEX('Policy Characteristics'!F:F,MATCH($C293,'Policy Characteristics'!$C:$C,0)))</f>
        <v>0</v>
      </c>
      <c r="M293" s="254">
        <f>IF(ISBLANK(INDEX('Policy Characteristics'!G:G,MATCH($C293,'Policy Characteristics'!$C:$C,0))),"",INDEX('Policy Characteristics'!G:G,MATCH($C293,'Policy Characteristics'!$C:$C,0)))</f>
        <v>1</v>
      </c>
      <c r="N293" s="254">
        <f>IF(ISBLANK(INDEX('Policy Characteristics'!H:H,MATCH($C293,'Policy Characteristics'!$C:$C,0))),"",INDEX('Policy Characteristics'!H:H,MATCH($C293,'Policy Characteristics'!$C:$C,0)))</f>
        <v>1</v>
      </c>
      <c r="O293" s="254" t="str">
        <f>IF(ISBLANK(INDEX('Policy Characteristics'!I:I,MATCH($C293,'Policy Characteristics'!$C:$C,0))),"",INDEX('Policy Characteristics'!I:I,MATCH($C293,'Policy Characteristics'!$C:$C,0)))</f>
        <v>on/off</v>
      </c>
      <c r="P293" s="254"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4" t="str">
        <f>IF(ISBLANK(INDEX('Policy Characteristics'!K:K,MATCH($C293,'Policy Characteristics'!$C:$C,0))),"",INDEX('Policy Characteristics'!K:K,MATCH($C293,'Policy Characteristics'!$C:$C,0)))</f>
        <v/>
      </c>
      <c r="R293" s="254" t="str">
        <f>IF(ISBLANK(INDEX('Policy Characteristics'!L:L,MATCH($C293,'Policy Characteristics'!$C:$C,0))),"",INDEX('Policy Characteristics'!L:L,MATCH($C293,'Policy Characteristics'!$C:$C,0)))</f>
        <v/>
      </c>
    </row>
    <row r="294" spans="1:18" s="4" customFormat="1" x14ac:dyDescent="0.3">
      <c r="A294" s="254" t="str">
        <f>IF(ISBLANK(INDEX('Policy Characteristics'!A:A,MATCH($C294,'Policy Characteristics'!$C:$C,0))),"",INDEX('Policy Characteristics'!A:A,MATCH($C294,'Policy Characteristics'!$C:$C,0)))</f>
        <v>Electricity Supply</v>
      </c>
      <c r="B294" s="262" t="str">
        <f>IF(ISBLANK(INDEX('Policy Characteristics'!B:B,MATCH($C294,'Policy Characteristics'!$C:$C,0))),"",INDEX('Policy Characteristics'!B:B,MATCH($C294,'Policy Characteristics'!$C:$C,0)))</f>
        <v>Ban New Power Plant Retrofits</v>
      </c>
      <c r="C294" s="254" t="str">
        <f t="shared" si="19"/>
        <v>Boolean Ban New Power Plant Retrofits</v>
      </c>
      <c r="D294" s="6" t="s">
        <v>3491</v>
      </c>
      <c r="E294" s="45"/>
      <c r="F294" s="6" t="s">
        <v>3496</v>
      </c>
      <c r="G294" s="45"/>
      <c r="H294" s="43">
        <v>2455</v>
      </c>
      <c r="I294" s="324" t="s">
        <v>43</v>
      </c>
      <c r="J294" s="255" t="str">
        <f>IF(ISBLANK(INDEX('Policy Characteristics'!D:D,MATCH($C294,'Policy Characteristics'!$C:$C,0))),"",INDEX('Policy Characteristics'!D:D,MATCH($C294,'Policy Characteristics'!$C:$C,0)))</f>
        <v>Ban New Power Plant Retrofits</v>
      </c>
      <c r="K294" s="254" t="str">
        <f>IF(ISBLANK(INDEX('Policy Characteristics'!E:E,MATCH($C294,'Policy Characteristics'!$C:$C,0))),"",INDEX('Policy Characteristics'!E:E,MATCH($C294,'Policy Characteristics'!$C:$C,0)))</f>
        <v>elec ban new power plant retrofits</v>
      </c>
      <c r="L294" s="254">
        <f>IF(ISBLANK(INDEX('Policy Characteristics'!F:F,MATCH($C294,'Policy Characteristics'!$C:$C,0))),"",INDEX('Policy Characteristics'!F:F,MATCH($C294,'Policy Characteristics'!$C:$C,0)))</f>
        <v>0</v>
      </c>
      <c r="M294" s="254">
        <f>IF(ISBLANK(INDEX('Policy Characteristics'!G:G,MATCH($C294,'Policy Characteristics'!$C:$C,0))),"",INDEX('Policy Characteristics'!G:G,MATCH($C294,'Policy Characteristics'!$C:$C,0)))</f>
        <v>1</v>
      </c>
      <c r="N294" s="254">
        <f>IF(ISBLANK(INDEX('Policy Characteristics'!H:H,MATCH($C294,'Policy Characteristics'!$C:$C,0))),"",INDEX('Policy Characteristics'!H:H,MATCH($C294,'Policy Characteristics'!$C:$C,0)))</f>
        <v>1</v>
      </c>
      <c r="O294" s="254" t="str">
        <f>IF(ISBLANK(INDEX('Policy Characteristics'!I:I,MATCH($C294,'Policy Characteristics'!$C:$C,0))),"",INDEX('Policy Characteristics'!I:I,MATCH($C294,'Policy Characteristics'!$C:$C,0)))</f>
        <v>on/off</v>
      </c>
      <c r="P294" s="254"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4" t="str">
        <f>IF(ISBLANK(INDEX('Policy Characteristics'!K:K,MATCH($C294,'Policy Characteristics'!$C:$C,0))),"",INDEX('Policy Characteristics'!K:K,MATCH($C294,'Policy Characteristics'!$C:$C,0)))</f>
        <v/>
      </c>
      <c r="R294" s="254" t="str">
        <f>IF(ISBLANK(INDEX('Policy Characteristics'!L:L,MATCH($C294,'Policy Characteristics'!$C:$C,0))),"",INDEX('Policy Characteristics'!L:L,MATCH($C294,'Policy Characteristics'!$C:$C,0)))</f>
        <v/>
      </c>
    </row>
    <row r="295" spans="1:18" s="4" customFormat="1" x14ac:dyDescent="0.3">
      <c r="A295" s="254" t="str">
        <f>IF(ISBLANK(INDEX('Policy Characteristics'!A:A,MATCH($C295,'Policy Characteristics'!$C:$C,0))),"",INDEX('Policy Characteristics'!A:A,MATCH($C295,'Policy Characteristics'!$C:$C,0)))</f>
        <v>Electricity Supply</v>
      </c>
      <c r="B295" s="262" t="str">
        <f>IF(ISBLANK(INDEX('Policy Characteristics'!B:B,MATCH($C295,'Policy Characteristics'!$C:$C,0))),"",INDEX('Policy Characteristics'!B:B,MATCH($C295,'Policy Characteristics'!$C:$C,0)))</f>
        <v>Ban New Power Plant Retrofits</v>
      </c>
      <c r="C295" s="254" t="str">
        <f t="shared" si="19"/>
        <v>Boolean Ban New Power Plant Retrofits</v>
      </c>
      <c r="D295" s="6" t="s">
        <v>3492</v>
      </c>
      <c r="E295" s="45"/>
      <c r="F295" s="6" t="s">
        <v>3497</v>
      </c>
      <c r="G295" s="45"/>
      <c r="H295" s="43">
        <v>2456</v>
      </c>
      <c r="I295" s="324" t="s">
        <v>43</v>
      </c>
      <c r="J295" s="255" t="str">
        <f>IF(ISBLANK(INDEX('Policy Characteristics'!D:D,MATCH($C295,'Policy Characteristics'!$C:$C,0))),"",INDEX('Policy Characteristics'!D:D,MATCH($C295,'Policy Characteristics'!$C:$C,0)))</f>
        <v>Ban New Power Plant Retrofits</v>
      </c>
      <c r="K295" s="254" t="str">
        <f>IF(ISBLANK(INDEX('Policy Characteristics'!E:E,MATCH($C295,'Policy Characteristics'!$C:$C,0))),"",INDEX('Policy Characteristics'!E:E,MATCH($C295,'Policy Characteristics'!$C:$C,0)))</f>
        <v>elec ban new power plant retrofits</v>
      </c>
      <c r="L295" s="254">
        <f>IF(ISBLANK(INDEX('Policy Characteristics'!F:F,MATCH($C295,'Policy Characteristics'!$C:$C,0))),"",INDEX('Policy Characteristics'!F:F,MATCH($C295,'Policy Characteristics'!$C:$C,0)))</f>
        <v>0</v>
      </c>
      <c r="M295" s="254">
        <f>IF(ISBLANK(INDEX('Policy Characteristics'!G:G,MATCH($C295,'Policy Characteristics'!$C:$C,0))),"",INDEX('Policy Characteristics'!G:G,MATCH($C295,'Policy Characteristics'!$C:$C,0)))</f>
        <v>1</v>
      </c>
      <c r="N295" s="254">
        <f>IF(ISBLANK(INDEX('Policy Characteristics'!H:H,MATCH($C295,'Policy Characteristics'!$C:$C,0))),"",INDEX('Policy Characteristics'!H:H,MATCH($C295,'Policy Characteristics'!$C:$C,0)))</f>
        <v>1</v>
      </c>
      <c r="O295" s="254" t="str">
        <f>IF(ISBLANK(INDEX('Policy Characteristics'!I:I,MATCH($C295,'Policy Characteristics'!$C:$C,0))),"",INDEX('Policy Characteristics'!I:I,MATCH($C295,'Policy Characteristics'!$C:$C,0)))</f>
        <v>on/off</v>
      </c>
      <c r="P295" s="254"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4" t="str">
        <f>IF(ISBLANK(INDEX('Policy Characteristics'!K:K,MATCH($C295,'Policy Characteristics'!$C:$C,0))),"",INDEX('Policy Characteristics'!K:K,MATCH($C295,'Policy Characteristics'!$C:$C,0)))</f>
        <v/>
      </c>
      <c r="R295" s="254" t="str">
        <f>IF(ISBLANK(INDEX('Policy Characteristics'!L:L,MATCH($C295,'Policy Characteristics'!$C:$C,0))),"",INDEX('Policy Characteristics'!L:L,MATCH($C295,'Policy Characteristics'!$C:$C,0)))</f>
        <v/>
      </c>
    </row>
    <row r="296" spans="1:18" s="4" customFormat="1" x14ac:dyDescent="0.3">
      <c r="A296" s="254" t="str">
        <f>IF(ISBLANK(INDEX('Policy Characteristics'!A:A,MATCH($C296,'Policy Characteristics'!$C:$C,0))),"",INDEX('Policy Characteristics'!A:A,MATCH($C296,'Policy Characteristics'!$C:$C,0)))</f>
        <v>Electricity Supply</v>
      </c>
      <c r="B296" s="262" t="str">
        <f>IF(ISBLANK(INDEX('Policy Characteristics'!B:B,MATCH($C296,'Policy Characteristics'!$C:$C,0))),"",INDEX('Policy Characteristics'!B:B,MATCH($C296,'Policy Characteristics'!$C:$C,0)))</f>
        <v>Ban New Power Plant Retrofits</v>
      </c>
      <c r="C296" s="254" t="str">
        <f t="shared" si="19"/>
        <v>Boolean Ban New Power Plant Retrofits</v>
      </c>
      <c r="D296" s="6" t="s">
        <v>3493</v>
      </c>
      <c r="E296" s="45"/>
      <c r="F296" s="6" t="s">
        <v>3498</v>
      </c>
      <c r="G296" s="45"/>
      <c r="H296" s="43">
        <v>2457</v>
      </c>
      <c r="I296" s="324" t="s">
        <v>44</v>
      </c>
      <c r="J296" s="255" t="str">
        <f>IF(ISBLANK(INDEX('Policy Characteristics'!D:D,MATCH($C296,'Policy Characteristics'!$C:$C,0))),"",INDEX('Policy Characteristics'!D:D,MATCH($C296,'Policy Characteristics'!$C:$C,0)))</f>
        <v>Ban New Power Plant Retrofits</v>
      </c>
      <c r="K296" s="254" t="str">
        <f>IF(ISBLANK(INDEX('Policy Characteristics'!E:E,MATCH($C296,'Policy Characteristics'!$C:$C,0))),"",INDEX('Policy Characteristics'!E:E,MATCH($C296,'Policy Characteristics'!$C:$C,0)))</f>
        <v>elec ban new power plant retrofits</v>
      </c>
      <c r="L296" s="254">
        <f>IF(ISBLANK(INDEX('Policy Characteristics'!F:F,MATCH($C296,'Policy Characteristics'!$C:$C,0))),"",INDEX('Policy Characteristics'!F:F,MATCH($C296,'Policy Characteristics'!$C:$C,0)))</f>
        <v>0</v>
      </c>
      <c r="M296" s="254">
        <f>IF(ISBLANK(INDEX('Policy Characteristics'!G:G,MATCH($C296,'Policy Characteristics'!$C:$C,0))),"",INDEX('Policy Characteristics'!G:G,MATCH($C296,'Policy Characteristics'!$C:$C,0)))</f>
        <v>1</v>
      </c>
      <c r="N296" s="254">
        <f>IF(ISBLANK(INDEX('Policy Characteristics'!H:H,MATCH($C296,'Policy Characteristics'!$C:$C,0))),"",INDEX('Policy Characteristics'!H:H,MATCH($C296,'Policy Characteristics'!$C:$C,0)))</f>
        <v>1</v>
      </c>
      <c r="O296" s="254" t="str">
        <f>IF(ISBLANK(INDEX('Policy Characteristics'!I:I,MATCH($C296,'Policy Characteristics'!$C:$C,0))),"",INDEX('Policy Characteristics'!I:I,MATCH($C296,'Policy Characteristics'!$C:$C,0)))</f>
        <v>on/off</v>
      </c>
      <c r="P296" s="254"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4" t="str">
        <f>IF(ISBLANK(INDEX('Policy Characteristics'!K:K,MATCH($C296,'Policy Characteristics'!$C:$C,0))),"",INDEX('Policy Characteristics'!K:K,MATCH($C296,'Policy Characteristics'!$C:$C,0)))</f>
        <v/>
      </c>
      <c r="R296" s="254" t="str">
        <f>IF(ISBLANK(INDEX('Policy Characteristics'!L:L,MATCH($C296,'Policy Characteristics'!$C:$C,0))),"",INDEX('Policy Characteristics'!L:L,MATCH($C296,'Policy Characteristics'!$C:$C,0)))</f>
        <v/>
      </c>
    </row>
    <row r="297" spans="1:18" s="4" customFormat="1" x14ac:dyDescent="0.3">
      <c r="A297" s="254" t="str">
        <f>IF(ISBLANK(INDEX('Policy Characteristics'!A:A,MATCH($C297,'Policy Characteristics'!$C:$C,0))),"",INDEX('Policy Characteristics'!A:A,MATCH($C297,'Policy Characteristics'!$C:$C,0)))</f>
        <v>Electricity Supply</v>
      </c>
      <c r="B297" s="262" t="str">
        <f>IF(ISBLANK(INDEX('Policy Characteristics'!B:B,MATCH($C297,'Policy Characteristics'!$C:$C,0))),"",INDEX('Policy Characteristics'!B:B,MATCH($C297,'Policy Characteristics'!$C:$C,0)))</f>
        <v>Ban New Power Plant Retrofits</v>
      </c>
      <c r="C297" s="254" t="str">
        <f t="shared" si="19"/>
        <v>Boolean Ban New Power Plant Retrofits</v>
      </c>
      <c r="D297" s="6" t="s">
        <v>3582</v>
      </c>
      <c r="E297" s="45"/>
      <c r="F297" s="6" t="s">
        <v>3580</v>
      </c>
      <c r="G297" s="45"/>
      <c r="H297" s="43">
        <v>2458</v>
      </c>
      <c r="I297" s="324" t="s">
        <v>44</v>
      </c>
      <c r="J297" s="255" t="str">
        <f>IF(ISBLANK(INDEX('Policy Characteristics'!D:D,MATCH($C297,'Policy Characteristics'!$C:$C,0))),"",INDEX('Policy Characteristics'!D:D,MATCH($C297,'Policy Characteristics'!$C:$C,0)))</f>
        <v>Ban New Power Plant Retrofits</v>
      </c>
      <c r="K297" s="254" t="str">
        <f>IF(ISBLANK(INDEX('Policy Characteristics'!E:E,MATCH($C297,'Policy Characteristics'!$C:$C,0))),"",INDEX('Policy Characteristics'!E:E,MATCH($C297,'Policy Characteristics'!$C:$C,0)))</f>
        <v>elec ban new power plant retrofits</v>
      </c>
      <c r="L297" s="254">
        <f>IF(ISBLANK(INDEX('Policy Characteristics'!F:F,MATCH($C297,'Policy Characteristics'!$C:$C,0))),"",INDEX('Policy Characteristics'!F:F,MATCH($C297,'Policy Characteristics'!$C:$C,0)))</f>
        <v>0</v>
      </c>
      <c r="M297" s="254">
        <f>IF(ISBLANK(INDEX('Policy Characteristics'!G:G,MATCH($C297,'Policy Characteristics'!$C:$C,0))),"",INDEX('Policy Characteristics'!G:G,MATCH($C297,'Policy Characteristics'!$C:$C,0)))</f>
        <v>1</v>
      </c>
      <c r="N297" s="254">
        <f>IF(ISBLANK(INDEX('Policy Characteristics'!H:H,MATCH($C297,'Policy Characteristics'!$C:$C,0))),"",INDEX('Policy Characteristics'!H:H,MATCH($C297,'Policy Characteristics'!$C:$C,0)))</f>
        <v>1</v>
      </c>
      <c r="O297" s="254" t="str">
        <f>IF(ISBLANK(INDEX('Policy Characteristics'!I:I,MATCH($C297,'Policy Characteristics'!$C:$C,0))),"",INDEX('Policy Characteristics'!I:I,MATCH($C297,'Policy Characteristics'!$C:$C,0)))</f>
        <v>on/off</v>
      </c>
      <c r="P297" s="254"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4" t="str">
        <f>IF(ISBLANK(INDEX('Policy Characteristics'!K:K,MATCH($C297,'Policy Characteristics'!$C:$C,0))),"",INDEX('Policy Characteristics'!K:K,MATCH($C297,'Policy Characteristics'!$C:$C,0)))</f>
        <v/>
      </c>
      <c r="R297" s="254" t="str">
        <f>IF(ISBLANK(INDEX('Policy Characteristics'!L:L,MATCH($C297,'Policy Characteristics'!$C:$C,0))),"",INDEX('Policy Characteristics'!L:L,MATCH($C297,'Policy Characteristics'!$C:$C,0)))</f>
        <v/>
      </c>
    </row>
    <row r="298" spans="1:18" s="4" customFormat="1" x14ac:dyDescent="0.3">
      <c r="A298" s="254" t="str">
        <f>IF(ISBLANK(INDEX('Policy Characteristics'!A:A,MATCH($C298,'Policy Characteristics'!$C:$C,0))),"",INDEX('Policy Characteristics'!A:A,MATCH($C298,'Policy Characteristics'!$C:$C,0)))</f>
        <v>Electricity Supply</v>
      </c>
      <c r="B298" s="262" t="str">
        <f>IF(ISBLANK(INDEX('Policy Characteristics'!B:B,MATCH($C298,'Policy Characteristics'!$C:$C,0))),"",INDEX('Policy Characteristics'!B:B,MATCH($C298,'Policy Characteristics'!$C:$C,0)))</f>
        <v>Ban New Power Plant Retrofits</v>
      </c>
      <c r="C298" s="254" t="str">
        <f t="shared" si="19"/>
        <v>Boolean Ban New Power Plant Retrofits</v>
      </c>
      <c r="D298" s="6" t="s">
        <v>3583</v>
      </c>
      <c r="E298" s="45"/>
      <c r="F298" s="6" t="s">
        <v>3581</v>
      </c>
      <c r="G298" s="45"/>
      <c r="H298" s="43">
        <v>2459</v>
      </c>
      <c r="I298" s="324" t="s">
        <v>44</v>
      </c>
      <c r="J298" s="255" t="str">
        <f>IF(ISBLANK(INDEX('Policy Characteristics'!D:D,MATCH($C298,'Policy Characteristics'!$C:$C,0))),"",INDEX('Policy Characteristics'!D:D,MATCH($C298,'Policy Characteristics'!$C:$C,0)))</f>
        <v>Ban New Power Plant Retrofits</v>
      </c>
      <c r="K298" s="254" t="str">
        <f>IF(ISBLANK(INDEX('Policy Characteristics'!E:E,MATCH($C298,'Policy Characteristics'!$C:$C,0))),"",INDEX('Policy Characteristics'!E:E,MATCH($C298,'Policy Characteristics'!$C:$C,0)))</f>
        <v>elec ban new power plant retrofits</v>
      </c>
      <c r="L298" s="254">
        <f>IF(ISBLANK(INDEX('Policy Characteristics'!F:F,MATCH($C298,'Policy Characteristics'!$C:$C,0))),"",INDEX('Policy Characteristics'!F:F,MATCH($C298,'Policy Characteristics'!$C:$C,0)))</f>
        <v>0</v>
      </c>
      <c r="M298" s="254">
        <f>IF(ISBLANK(INDEX('Policy Characteristics'!G:G,MATCH($C298,'Policy Characteristics'!$C:$C,0))),"",INDEX('Policy Characteristics'!G:G,MATCH($C298,'Policy Characteristics'!$C:$C,0)))</f>
        <v>1</v>
      </c>
      <c r="N298" s="254">
        <f>IF(ISBLANK(INDEX('Policy Characteristics'!H:H,MATCH($C298,'Policy Characteristics'!$C:$C,0))),"",INDEX('Policy Characteristics'!H:H,MATCH($C298,'Policy Characteristics'!$C:$C,0)))</f>
        <v>1</v>
      </c>
      <c r="O298" s="254" t="str">
        <f>IF(ISBLANK(INDEX('Policy Characteristics'!I:I,MATCH($C298,'Policy Characteristics'!$C:$C,0))),"",INDEX('Policy Characteristics'!I:I,MATCH($C298,'Policy Characteristics'!$C:$C,0)))</f>
        <v>on/off</v>
      </c>
      <c r="P298" s="254"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4" t="str">
        <f>IF(ISBLANK(INDEX('Policy Characteristics'!K:K,MATCH($C298,'Policy Characteristics'!$C:$C,0))),"",INDEX('Policy Characteristics'!K:K,MATCH($C298,'Policy Characteristics'!$C:$C,0)))</f>
        <v/>
      </c>
      <c r="R298" s="254" t="str">
        <f>IF(ISBLANK(INDEX('Policy Characteristics'!L:L,MATCH($C298,'Policy Characteristics'!$C:$C,0))),"",INDEX('Policy Characteristics'!L:L,MATCH($C298,'Policy Characteristics'!$C:$C,0)))</f>
        <v/>
      </c>
    </row>
    <row r="299" spans="1:18" s="4" customFormat="1" x14ac:dyDescent="0.3">
      <c r="A299" s="254" t="str">
        <f>IF(ISBLANK(INDEX('Policy Characteristics'!A:A,MATCH($C299,'Policy Characteristics'!$C:$C,0))),"",INDEX('Policy Characteristics'!A:A,MATCH($C299,'Policy Characteristics'!$C:$C,0)))</f>
        <v>Electricity Supply</v>
      </c>
      <c r="B299" s="262" t="str">
        <f>IF(ISBLANK(INDEX('Policy Characteristics'!B:B,MATCH($C299,'Policy Characteristics'!$C:$C,0))),"",INDEX('Policy Characteristics'!B:B,MATCH($C299,'Policy Characteristics'!$C:$C,0)))</f>
        <v>Clean Electricity Standard</v>
      </c>
      <c r="C299" t="s">
        <v>2740</v>
      </c>
      <c r="D299" s="45"/>
      <c r="E299" s="45"/>
      <c r="F299" s="45"/>
      <c r="G299" s="45"/>
      <c r="H299" s="43">
        <v>508</v>
      </c>
      <c r="I299" s="324" t="s">
        <v>43</v>
      </c>
      <c r="J299" s="255" t="str">
        <f>IF(ISBLANK(INDEX('Policy Characteristics'!D:D,MATCH($C299,'Policy Characteristics'!$C:$C,0))),"",INDEX('Policy Characteristics'!D:D,MATCH($C299,'Policy Characteristics'!$C:$C,0)))</f>
        <v>Clean Electricity Standard</v>
      </c>
      <c r="K299" s="254" t="str">
        <f>IF(ISBLANK(INDEX('Policy Characteristics'!E:E,MATCH($C299,'Policy Characteristics'!$C:$C,0))),"",INDEX('Policy Characteristics'!E:E,MATCH($C299,'Policy Characteristics'!$C:$C,0)))</f>
        <v>elec renewable portfolio standards</v>
      </c>
      <c r="L299" s="261">
        <f>IF(ISBLANK(INDEX('Policy Characteristics'!F:F,MATCH($C299,'Policy Characteristics'!$C:$C,0))),"",INDEX('Policy Characteristics'!F:F,MATCH($C299,'Policy Characteristics'!$C:$C,0)))</f>
        <v>0</v>
      </c>
      <c r="M299" s="261">
        <f>IF(ISBLANK(INDEX('Policy Characteristics'!G:G,MATCH($C299,'Policy Characteristics'!$C:$C,0))),"",INDEX('Policy Characteristics'!G:G,MATCH($C299,'Policy Characteristics'!$C:$C,0)))</f>
        <v>1</v>
      </c>
      <c r="N299" s="261">
        <f>IF(ISBLANK(INDEX('Policy Characteristics'!H:H,MATCH($C299,'Policy Characteristics'!$C:$C,0))),"",INDEX('Policy Characteristics'!H:H,MATCH($C299,'Policy Characteristics'!$C:$C,0)))</f>
        <v>0.01</v>
      </c>
      <c r="O299" s="254" t="str">
        <f>IF(ISBLANK(INDEX('Policy Characteristics'!I:I,MATCH($C299,'Policy Characteristics'!$C:$C,0))),"",INDEX('Policy Characteristics'!I:I,MATCH($C299,'Policy Characteristics'!$C:$C,0)))</f>
        <v>% of electricity generation</v>
      </c>
      <c r="P299" s="254" t="str">
        <f>IF(ISBLANK(INDEX('Policy Characteristics'!J:J,MATCH($C299,'Policy Characteristics'!$C:$C,0))),"",INDEX('Policy Characteristics'!J:J,MATCH($C299,'Policy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43% in 2023, matching the BAU share of clean electricity in that year. If you set this policy to a value less than 100%, you should be sure to adjust the 2023 implementation schedule value accordingly. For example, if your chosen lever setting is 80%, the fraction of policy achieved in 2023 should be 43% * 80% (or 34.4%),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v>
      </c>
      <c r="Q299" s="254" t="str">
        <f>IF(ISBLANK(INDEX('Policy Characteristics'!K:K,MATCH($C299,'Policy Characteristics'!$C:$C,0))),"",INDEX('Policy Characteristics'!K:K,MATCH($C299,'Policy Characteristics'!$C:$C,0)))</f>
        <v>electricity-sector-main.html#ces</v>
      </c>
      <c r="R299" s="254" t="str">
        <f>IF(ISBLANK(INDEX('Policy Characteristics'!L:L,MATCH($C299,'Policy Characteristics'!$C:$C,0))),"",INDEX('Policy Characteristics'!L:L,MATCH($C299,'Policy Characteristics'!$C:$C,0)))</f>
        <v>clean-energy-standard.html</v>
      </c>
    </row>
    <row r="300" spans="1:18" s="4" customFormat="1" ht="28.8" x14ac:dyDescent="0.3">
      <c r="A300" s="254" t="str">
        <f>IF(ISBLANK(INDEX('Policy Characteristics'!A:A,MATCH($C300,'Policy Characteristics'!$C:$C,0))),"",INDEX('Policy Characteristics'!A:A,MATCH($C300,'Policy Characteristics'!$C:$C,0)))</f>
        <v>Electricity Supply</v>
      </c>
      <c r="B300" s="262" t="str">
        <f>IF(ISBLANK(INDEX('Policy Characteristics'!B:B,MATCH($C300,'Policy Characteristics'!$C:$C,0))),"",INDEX('Policy Characteristics'!B:B,MATCH($C300,'Policy Characteristics'!$C:$C,0)))</f>
        <v>Clean Electricity Standard Foresight</v>
      </c>
      <c r="C300" s="1" t="s">
        <v>3545</v>
      </c>
      <c r="D300" s="45"/>
      <c r="E300" s="45"/>
      <c r="F300" s="45"/>
      <c r="G300" s="45"/>
      <c r="H300" s="43">
        <v>2234</v>
      </c>
      <c r="I300" s="324" t="s">
        <v>44</v>
      </c>
      <c r="J300" s="255" t="str">
        <f>IF(ISBLANK(INDEX('Policy Characteristics'!D:D,MATCH($C300,'Policy Characteristics'!$C:$C,0))),"",INDEX('Policy Characteristics'!D:D,MATCH($C300,'Policy Characteristics'!$C:$C,0)))</f>
        <v/>
      </c>
      <c r="K300" s="254" t="str">
        <f>IF(ISBLANK(INDEX('Policy Characteristics'!E:E,MATCH($C300,'Policy Characteristics'!$C:$C,0))),"",INDEX('Policy Characteristics'!E:E,MATCH($C300,'Policy Characteristics'!$C:$C,0)))</f>
        <v/>
      </c>
      <c r="L300" s="359">
        <f>IF(ISBLANK(INDEX('Policy Characteristics'!F:F,MATCH($C300,'Policy Characteristics'!$C:$C,0))),"",INDEX('Policy Characteristics'!F:F,MATCH($C300,'Policy Characteristics'!$C:$C,0)))</f>
        <v>0</v>
      </c>
      <c r="M300" s="359">
        <f>IF(ISBLANK(INDEX('Policy Characteristics'!G:G,MATCH($C300,'Policy Characteristics'!$C:$C,0))),"",INDEX('Policy Characteristics'!G:G,MATCH($C300,'Policy Characteristics'!$C:$C,0)))</f>
        <v>1</v>
      </c>
      <c r="N300" s="359">
        <f>IF(ISBLANK(INDEX('Policy Characteristics'!H:H,MATCH($C300,'Policy Characteristics'!$C:$C,0))),"",INDEX('Policy Characteristics'!H:H,MATCH($C300,'Policy Characteristics'!$C:$C,0)))</f>
        <v>1</v>
      </c>
      <c r="O300" s="254" t="str">
        <f>IF(ISBLANK(INDEX('Policy Characteristics'!I:I,MATCH($C300,'Policy Characteristics'!$C:$C,0))),"",INDEX('Policy Characteristics'!I:I,MATCH($C300,'Policy Characteristics'!$C:$C,0)))</f>
        <v>on/off</v>
      </c>
      <c r="P300" s="254" t="str">
        <f>IF(ISBLANK(INDEX('Policy Characteristics'!J:J,MATCH($C300,'Policy Characteristics'!$C:$C,0))),"",INDEX('Policy Characteristics'!J:J,MATCH($C300,'Policy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0" s="254" t="str">
        <f>IF(ISBLANK(INDEX('Policy Characteristics'!K:K,MATCH($C300,'Policy Characteristics'!$C:$C,0))),"",INDEX('Policy Characteristics'!K:K,MATCH($C300,'Policy Characteristics'!$C:$C,0)))</f>
        <v/>
      </c>
      <c r="R300" s="254" t="str">
        <f>IF(ISBLANK(INDEX('Policy Characteristics'!L:L,MATCH($C300,'Policy Characteristics'!$C:$C,0))),"",INDEX('Policy Characteristics'!L:L,MATCH($C300,'Policy Characteristics'!$C:$C,0)))</f>
        <v/>
      </c>
    </row>
    <row r="301" spans="1:18" s="4" customFormat="1" x14ac:dyDescent="0.3">
      <c r="A301" s="254" t="str">
        <f>IF(ISBLANK(INDEX('Policy Characteristics'!A:A,MATCH($C301,'Policy Characteristics'!$C:$C,0))),"",INDEX('Policy Characteristics'!A:A,MATCH($C301,'Policy Characteristics'!$C:$C,0)))</f>
        <v>Electricity Supply</v>
      </c>
      <c r="B301" s="262" t="str">
        <f>IF(ISBLANK(INDEX('Policy Characteristics'!B:B,MATCH($C301,'Policy Characteristics'!$C:$C,0))),"",INDEX('Policy Characteristics'!B:B,MATCH($C301,'Policy Characteristics'!$C:$C,0)))</f>
        <v xml:space="preserve">Lift the Clean Electricity Standard Alternative Compliance Payment </v>
      </c>
      <c r="C301" s="1" t="s">
        <v>3769</v>
      </c>
      <c r="D301" s="45"/>
      <c r="E301" s="45"/>
      <c r="F301" s="45"/>
      <c r="G301" s="45"/>
      <c r="H301" s="43">
        <v>2285</v>
      </c>
      <c r="I301" s="324" t="s">
        <v>43</v>
      </c>
      <c r="J301" s="255" t="str">
        <f>IF(ISBLANK(INDEX('Policy Characteristics'!D:D,MATCH($C301,'Policy Characteristics'!$C:$C,0))),"",INDEX('Policy Characteristics'!D:D,MATCH($C301,'Policy Characteristics'!$C:$C,0)))</f>
        <v>Clean Electricity Standard</v>
      </c>
      <c r="K301" s="254" t="str">
        <f>IF(ISBLANK(INDEX('Policy Characteristics'!E:E,MATCH($C301,'Policy Characteristics'!$C:$C,0))),"",INDEX('Policy Characteristics'!E:E,MATCH($C301,'Policy Characteristics'!$C:$C,0)))</f>
        <v>elec non BAU RACP</v>
      </c>
      <c r="L301" s="359">
        <f>IF(ISBLANK(INDEX('Policy Characteristics'!F:F,MATCH($C301,'Policy Characteristics'!$C:$C,0))),"",INDEX('Policy Characteristics'!F:F,MATCH($C301,'Policy Characteristics'!$C:$C,0)))</f>
        <v>0</v>
      </c>
      <c r="M301" s="359">
        <f>IF(ISBLANK(INDEX('Policy Characteristics'!G:G,MATCH($C301,'Policy Characteristics'!$C:$C,0))),"",INDEX('Policy Characteristics'!G:G,MATCH($C301,'Policy Characteristics'!$C:$C,0)))</f>
        <v>1</v>
      </c>
      <c r="N301" s="359">
        <f>IF(ISBLANK(INDEX('Policy Characteristics'!H:H,MATCH($C301,'Policy Characteristics'!$C:$C,0))),"",INDEX('Policy Characteristics'!H:H,MATCH($C301,'Policy Characteristics'!$C:$C,0)))</f>
        <v>1</v>
      </c>
      <c r="O301" s="254" t="str">
        <f>IF(ISBLANK(INDEX('Policy Characteristics'!I:I,MATCH($C301,'Policy Characteristics'!$C:$C,0))),"",INDEX('Policy Characteristics'!I:I,MATCH($C301,'Policy Characteristics'!$C:$C,0)))</f>
        <v>on/off</v>
      </c>
      <c r="P301" s="254" t="str">
        <f>IF(ISBLANK(INDEX('Policy Characteristics'!J:J,MATCH($C301,'Policy Characteristics'!$C:$C,0))),"",INDEX('Policy Characteristics'!J:J,MATCH($C301,'Policy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1" s="254" t="str">
        <f>IF(ISBLANK(INDEX('Policy Characteristics'!K:K,MATCH($C301,'Policy Characteristics'!$C:$C,0))),"",INDEX('Policy Characteristics'!K:K,MATCH($C301,'Policy Characteristics'!$C:$C,0)))</f>
        <v/>
      </c>
      <c r="R301" s="254" t="str">
        <f>IF(ISBLANK(INDEX('Policy Characteristics'!L:L,MATCH($C301,'Policy Characteristics'!$C:$C,0))),"",INDEX('Policy Characteristics'!L:L,MATCH($C301,'Policy Characteristics'!$C:$C,0)))</f>
        <v/>
      </c>
    </row>
    <row r="302" spans="1:18" s="2" customFormat="1" x14ac:dyDescent="0.3">
      <c r="A302" s="254" t="str">
        <f>IF(ISBLANK(INDEX('Policy Characteristics'!A:A,MATCH($C302,'Policy Characteristics'!$C:$C,0))),"",INDEX('Policy Characteristics'!A:A,MATCH($C302,'Policy Characteristics'!$C:$C,0)))</f>
        <v>Electricity Supply</v>
      </c>
      <c r="B302" s="262" t="str">
        <f>IF(ISBLANK(INDEX('Policy Characteristics'!B:B,MATCH($C302,'Policy Characteristics'!$C:$C,0))),"",INDEX('Policy Characteristics'!B:B,MATCH($C302,'Policy Characteristics'!$C:$C,0)))</f>
        <v>Change Electricity Exports</v>
      </c>
      <c r="C302" s="317" t="s">
        <v>270</v>
      </c>
      <c r="D302" s="6"/>
      <c r="E302" s="6"/>
      <c r="F302" s="6"/>
      <c r="G302" s="6"/>
      <c r="H302" s="47">
        <v>148</v>
      </c>
      <c r="I302" s="324" t="s">
        <v>43</v>
      </c>
      <c r="J302" s="255" t="str">
        <f>IF(ISBLANK(INDEX('Policy Characteristics'!D:D,MATCH($C302,'Policy Characteristics'!$C:$C,0))),"",INDEX('Policy Characteristics'!D:D,MATCH($C302,'Policy Characteristics'!$C:$C,0)))</f>
        <v>Electricity Imports and Exports</v>
      </c>
      <c r="K302" s="254" t="str">
        <f>IF(ISBLANK(INDEX('Policy Characteristics'!E:E,MATCH($C302,'Policy Characteristics'!$C:$C,0))),"",INDEX('Policy Characteristics'!E:E,MATCH($C302,'Policy Characteristics'!$C:$C,0)))</f>
        <v>elec change exports</v>
      </c>
      <c r="L302" s="261">
        <f>IF(ISBLANK(INDEX('Policy Characteristics'!F:F,MATCH($C302,'Policy Characteristics'!$C:$C,0))),"",INDEX('Policy Characteristics'!F:F,MATCH($C302,'Policy Characteristics'!$C:$C,0)))</f>
        <v>-0.5</v>
      </c>
      <c r="M302" s="261">
        <f>IF(ISBLANK(INDEX('Policy Characteristics'!G:G,MATCH($C302,'Policy Characteristics'!$C:$C,0))),"",INDEX('Policy Characteristics'!G:G,MATCH($C302,'Policy Characteristics'!$C:$C,0)))</f>
        <v>1</v>
      </c>
      <c r="N302" s="261">
        <f>IF(ISBLANK(INDEX('Policy Characteristics'!H:H,MATCH($C302,'Policy Characteristics'!$C:$C,0))),"",INDEX('Policy Characteristics'!H:H,MATCH($C302,'Policy Characteristics'!$C:$C,0)))</f>
        <v>0.02</v>
      </c>
      <c r="O302" s="254" t="str">
        <f>IF(ISBLANK(INDEX('Policy Characteristics'!I:I,MATCH($C302,'Policy Characteristics'!$C:$C,0))),"",INDEX('Policy Characteristics'!I:I,MATCH($C302,'Policy Characteristics'!$C:$C,0)))</f>
        <v>% change in exports</v>
      </c>
      <c r="P302" s="254" t="str">
        <f>IF(ISBLANK(INDEX('Policy Characteristics'!J:J,MATCH($C302,'Policy Characteristics'!$C:$C,0))),"",INDEX('Policy Characteristics'!J:J,MATCH($C302,'Policy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2" s="254" t="str">
        <f>IF(ISBLANK(INDEX('Policy Characteristics'!K:K,MATCH($C302,'Policy Characteristics'!$C:$C,0))),"",INDEX('Policy Characteristics'!K:K,MATCH($C302,'Policy Characteristics'!$C:$C,0)))</f>
        <v>electricity-sector-main.html#elec-exports</v>
      </c>
      <c r="R302" s="254" t="str">
        <f>IF(ISBLANK(INDEX('Policy Characteristics'!L:L,MATCH($C302,'Policy Characteristics'!$C:$C,0))),"",INDEX('Policy Characteristics'!L:L,MATCH($C302,'Policy Characteristics'!$C:$C,0)))</f>
        <v>electricity-imports-exports.html</v>
      </c>
    </row>
    <row r="303" spans="1:18" s="2" customFormat="1" x14ac:dyDescent="0.3">
      <c r="A303" s="254" t="str">
        <f>IF(ISBLANK(INDEX('Policy Characteristics'!A:A,MATCH($C303,'Policy Characteristics'!$C:$C,0))),"",INDEX('Policy Characteristics'!A:A,MATCH($C303,'Policy Characteristics'!$C:$C,0)))</f>
        <v>Electricity Supply</v>
      </c>
      <c r="B303" s="262" t="str">
        <f>IF(ISBLANK(INDEX('Policy Characteristics'!B:B,MATCH($C303,'Policy Characteristics'!$C:$C,0))),"",INDEX('Policy Characteristics'!B:B,MATCH($C303,'Policy Characteristics'!$C:$C,0)))</f>
        <v>Change Electricity Imports</v>
      </c>
      <c r="C303" s="317" t="s">
        <v>269</v>
      </c>
      <c r="D303" s="45" t="s">
        <v>447</v>
      </c>
      <c r="E303" s="45"/>
      <c r="F303" s="45" t="s">
        <v>446</v>
      </c>
      <c r="G303" s="6"/>
      <c r="H303" s="47">
        <v>149</v>
      </c>
      <c r="I303" s="324" t="s">
        <v>43</v>
      </c>
      <c r="J303" s="255" t="str">
        <f>IF(ISBLANK(INDEX('Policy Characteristics'!D:D,MATCH($C303,'Policy Characteristics'!$C:$C,0))),"",INDEX('Policy Characteristics'!D:D,MATCH($C303,'Policy Characteristics'!$C:$C,0)))</f>
        <v>Electricity Imports and Exports</v>
      </c>
      <c r="K303" s="254" t="str">
        <f>IF(ISBLANK(INDEX('Policy Characteristics'!E:E,MATCH($C303,'Policy Characteristics'!$C:$C,0))),"",INDEX('Policy Characteristics'!E:E,MATCH($C303,'Policy Characteristics'!$C:$C,0)))</f>
        <v>elec change imports</v>
      </c>
      <c r="L303" s="261">
        <f>IF(ISBLANK(INDEX('Policy Characteristics'!F:F,MATCH($C303,'Policy Characteristics'!$C:$C,0))),"",INDEX('Policy Characteristics'!F:F,MATCH($C303,'Policy Characteristics'!$C:$C,0)))</f>
        <v>-0.5</v>
      </c>
      <c r="M303" s="261">
        <f>IF(ISBLANK(INDEX('Policy Characteristics'!G:G,MATCH($C303,'Policy Characteristics'!$C:$C,0))),"",INDEX('Policy Characteristics'!G:G,MATCH($C303,'Policy Characteristics'!$C:$C,0)))</f>
        <v>1</v>
      </c>
      <c r="N303" s="261">
        <f>IF(ISBLANK(INDEX('Policy Characteristics'!H:H,MATCH($C303,'Policy Characteristics'!$C:$C,0))),"",INDEX('Policy Characteristics'!H:H,MATCH($C303,'Policy Characteristics'!$C:$C,0)))</f>
        <v>0.02</v>
      </c>
      <c r="O303" s="254" t="str">
        <f>IF(ISBLANK(INDEX('Policy Characteristics'!I:I,MATCH($C303,'Policy Characteristics'!$C:$C,0))),"",INDEX('Policy Characteristics'!I:I,MATCH($C303,'Policy Characteristics'!$C:$C,0)))</f>
        <v>% change in imports</v>
      </c>
      <c r="P303" s="254" t="str">
        <f>IF(ISBLANK(INDEX('Policy Characteristics'!J:J,MATCH($C303,'Policy Characteristics'!$C:$C,0))),"",INDEX('Policy Characteristics'!J:J,MATCH($C303,'Policy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3" s="254" t="str">
        <f>IF(ISBLANK(INDEX('Policy Characteristics'!K:K,MATCH($C303,'Policy Characteristics'!$C:$C,0))),"",INDEX('Policy Characteristics'!K:K,MATCH($C303,'Policy Characteristics'!$C:$C,0)))</f>
        <v>electricity-sector-main.html#elec-imports</v>
      </c>
      <c r="R303" s="254" t="str">
        <f>IF(ISBLANK(INDEX('Policy Characteristics'!L:L,MATCH($C303,'Policy Characteristics'!$C:$C,0))),"",INDEX('Policy Characteristics'!L:L,MATCH($C303,'Policy Characteristics'!$C:$C,0)))</f>
        <v>electricity-imports-exports.html</v>
      </c>
    </row>
    <row r="304" spans="1:18" s="2" customFormat="1" x14ac:dyDescent="0.3">
      <c r="A304" s="254" t="str">
        <f>IF(ISBLANK(INDEX('Policy Characteristics'!A:A,MATCH($C304,'Policy Characteristics'!$C:$C,0))),"",INDEX('Policy Characteristics'!A:A,MATCH($C304,'Policy Characteristics'!$C:$C,0)))</f>
        <v>Electricity Supply</v>
      </c>
      <c r="B304" s="262" t="str">
        <f>IF(ISBLANK(INDEX('Policy Characteristics'!B:B,MATCH($C304,'Policy Characteristics'!$C:$C,0))),"",INDEX('Policy Characteristics'!B:B,MATCH($C304,'Policy Characteristics'!$C:$C,0)))</f>
        <v>Change Electricity Imports</v>
      </c>
      <c r="C304" s="254" t="str">
        <f t="shared" ref="C304:C326" si="20">C$303</f>
        <v>Percent Change in Electricity Imports</v>
      </c>
      <c r="D304" s="6" t="s">
        <v>3488</v>
      </c>
      <c r="E304" s="45"/>
      <c r="F304" s="6" t="s">
        <v>3424</v>
      </c>
      <c r="G304" s="6"/>
      <c r="H304" s="47">
        <v>526</v>
      </c>
      <c r="I304" s="324" t="s">
        <v>43</v>
      </c>
      <c r="J304" s="255" t="str">
        <f>IF(ISBLANK(INDEX('Policy Characteristics'!D:D,MATCH($C304,'Policy Characteristics'!$C:$C,0))),"",INDEX('Policy Characteristics'!D:D,MATCH($C304,'Policy Characteristics'!$C:$C,0)))</f>
        <v>Electricity Imports and Exports</v>
      </c>
      <c r="K304" s="254" t="str">
        <f>IF(ISBLANK(INDEX('Policy Characteristics'!E:E,MATCH($C304,'Policy Characteristics'!$C:$C,0))),"",INDEX('Policy Characteristics'!E:E,MATCH($C304,'Policy Characteristics'!$C:$C,0)))</f>
        <v>elec change imports</v>
      </c>
      <c r="L304" s="261">
        <f>IF(ISBLANK(INDEX('Policy Characteristics'!F:F,MATCH($C304,'Policy Characteristics'!$C:$C,0))),"",INDEX('Policy Characteristics'!F:F,MATCH($C304,'Policy Characteristics'!$C:$C,0)))</f>
        <v>-0.5</v>
      </c>
      <c r="M304" s="261">
        <f>IF(ISBLANK(INDEX('Policy Characteristics'!G:G,MATCH($C304,'Policy Characteristics'!$C:$C,0))),"",INDEX('Policy Characteristics'!G:G,MATCH($C304,'Policy Characteristics'!$C:$C,0)))</f>
        <v>1</v>
      </c>
      <c r="N304" s="261">
        <f>IF(ISBLANK(INDEX('Policy Characteristics'!H:H,MATCH($C304,'Policy Characteristics'!$C:$C,0))),"",INDEX('Policy Characteristics'!H:H,MATCH($C304,'Policy Characteristics'!$C:$C,0)))</f>
        <v>0.02</v>
      </c>
      <c r="O304" s="254" t="str">
        <f>IF(ISBLANK(INDEX('Policy Characteristics'!I:I,MATCH($C304,'Policy Characteristics'!$C:$C,0))),"",INDEX('Policy Characteristics'!I:I,MATCH($C304,'Policy Characteristics'!$C:$C,0)))</f>
        <v>% change in imports</v>
      </c>
      <c r="P304" s="254" t="str">
        <f>IF(ISBLANK(INDEX('Policy Characteristics'!J:J,MATCH($C304,'Policy Characteristics'!$C:$C,0))),"",INDEX('Policy Characteristics'!J:J,MATCH($C304,'Policy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4" s="254" t="str">
        <f>IF(ISBLANK(INDEX('Policy Characteristics'!K:K,MATCH($C304,'Policy Characteristics'!$C:$C,0))),"",INDEX('Policy Characteristics'!K:K,MATCH($C304,'Policy Characteristics'!$C:$C,0)))</f>
        <v>electricity-sector-main.html#elec-imports</v>
      </c>
      <c r="R304" s="254" t="str">
        <f>IF(ISBLANK(INDEX('Policy Characteristics'!L:L,MATCH($C304,'Policy Characteristics'!$C:$C,0))),"",INDEX('Policy Characteristics'!L:L,MATCH($C304,'Policy Characteristics'!$C:$C,0)))</f>
        <v>electricity-imports-exports.html</v>
      </c>
    </row>
    <row r="305" spans="1:18" s="2" customFormat="1" x14ac:dyDescent="0.3">
      <c r="A305" s="254" t="str">
        <f>IF(ISBLANK(INDEX('Policy Characteristics'!A:A,MATCH($C305,'Policy Characteristics'!$C:$C,0))),"",INDEX('Policy Characteristics'!A:A,MATCH($C305,'Policy Characteristics'!$C:$C,0)))</f>
        <v>Electricity Supply</v>
      </c>
      <c r="B305" s="262" t="str">
        <f>IF(ISBLANK(INDEX('Policy Characteristics'!B:B,MATCH($C305,'Policy Characteristics'!$C:$C,0))),"",INDEX('Policy Characteristics'!B:B,MATCH($C305,'Policy Characteristics'!$C:$C,0)))</f>
        <v>Change Electricity Imports</v>
      </c>
      <c r="C305" s="254" t="str">
        <f t="shared" si="20"/>
        <v>Percent Change in Electricity Imports</v>
      </c>
      <c r="D305" s="6" t="s">
        <v>3489</v>
      </c>
      <c r="E305" s="45"/>
      <c r="F305" s="6" t="s">
        <v>3425</v>
      </c>
      <c r="G305" s="6"/>
      <c r="H305" s="47">
        <v>1753</v>
      </c>
      <c r="I305" s="324" t="s">
        <v>43</v>
      </c>
      <c r="J305" s="255" t="str">
        <f>IF(ISBLANK(INDEX('Policy Characteristics'!D:D,MATCH($C305,'Policy Characteristics'!$C:$C,0))),"",INDEX('Policy Characteristics'!D:D,MATCH($C305,'Policy Characteristics'!$C:$C,0)))</f>
        <v>Electricity Imports and Exports</v>
      </c>
      <c r="K305" s="254" t="str">
        <f>IF(ISBLANK(INDEX('Policy Characteristics'!E:E,MATCH($C305,'Policy Characteristics'!$C:$C,0))),"",INDEX('Policy Characteristics'!E:E,MATCH($C305,'Policy Characteristics'!$C:$C,0)))</f>
        <v>elec change imports</v>
      </c>
      <c r="L305" s="261">
        <f>IF(ISBLANK(INDEX('Policy Characteristics'!F:F,MATCH($C305,'Policy Characteristics'!$C:$C,0))),"",INDEX('Policy Characteristics'!F:F,MATCH($C305,'Policy Characteristics'!$C:$C,0)))</f>
        <v>-0.5</v>
      </c>
      <c r="M305" s="261">
        <f>IF(ISBLANK(INDEX('Policy Characteristics'!G:G,MATCH($C305,'Policy Characteristics'!$C:$C,0))),"",INDEX('Policy Characteristics'!G:G,MATCH($C305,'Policy Characteristics'!$C:$C,0)))</f>
        <v>1</v>
      </c>
      <c r="N305" s="261">
        <f>IF(ISBLANK(INDEX('Policy Characteristics'!H:H,MATCH($C305,'Policy Characteristics'!$C:$C,0))),"",INDEX('Policy Characteristics'!H:H,MATCH($C305,'Policy Characteristics'!$C:$C,0)))</f>
        <v>0.02</v>
      </c>
      <c r="O305" s="254" t="str">
        <f>IF(ISBLANK(INDEX('Policy Characteristics'!I:I,MATCH($C305,'Policy Characteristics'!$C:$C,0))),"",INDEX('Policy Characteristics'!I:I,MATCH($C305,'Policy Characteristics'!$C:$C,0)))</f>
        <v>% change in imports</v>
      </c>
      <c r="P305" s="254" t="str">
        <f>IF(ISBLANK(INDEX('Policy Characteristics'!J:J,MATCH($C305,'Policy Characteristics'!$C:$C,0))),"",INDEX('Policy Characteristics'!J:J,MATCH($C305,'Policy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5" s="254" t="str">
        <f>IF(ISBLANK(INDEX('Policy Characteristics'!K:K,MATCH($C305,'Policy Characteristics'!$C:$C,0))),"",INDEX('Policy Characteristics'!K:K,MATCH($C305,'Policy Characteristics'!$C:$C,0)))</f>
        <v>electricity-sector-main.html#elec-imports</v>
      </c>
      <c r="R305" s="254" t="str">
        <f>IF(ISBLANK(INDEX('Policy Characteristics'!L:L,MATCH($C305,'Policy Characteristics'!$C:$C,0))),"",INDEX('Policy Characteristics'!L:L,MATCH($C305,'Policy Characteristics'!$C:$C,0)))</f>
        <v>electricity-imports-exports.html</v>
      </c>
    </row>
    <row r="306" spans="1:18" s="2" customFormat="1" x14ac:dyDescent="0.3">
      <c r="A306" s="254" t="str">
        <f>IF(ISBLANK(INDEX('Policy Characteristics'!A:A,MATCH($C306,'Policy Characteristics'!$C:$C,0))),"",INDEX('Policy Characteristics'!A:A,MATCH($C306,'Policy Characteristics'!$C:$C,0)))</f>
        <v>Electricity Supply</v>
      </c>
      <c r="B306" s="262" t="str">
        <f>IF(ISBLANK(INDEX('Policy Characteristics'!B:B,MATCH($C306,'Policy Characteristics'!$C:$C,0))),"",INDEX('Policy Characteristics'!B:B,MATCH($C306,'Policy Characteristics'!$C:$C,0)))</f>
        <v>Change Electricity Imports</v>
      </c>
      <c r="C306" s="254" t="str">
        <f t="shared" si="20"/>
        <v>Percent Change in Electricity Imports</v>
      </c>
      <c r="D306" s="6" t="s">
        <v>76</v>
      </c>
      <c r="E306" s="45"/>
      <c r="F306" s="6" t="s">
        <v>3499</v>
      </c>
      <c r="G306" s="6"/>
      <c r="H306" s="47">
        <v>527</v>
      </c>
      <c r="I306" s="324" t="s">
        <v>43</v>
      </c>
      <c r="J306" s="255" t="str">
        <f>IF(ISBLANK(INDEX('Policy Characteristics'!D:D,MATCH($C306,'Policy Characteristics'!$C:$C,0))),"",INDEX('Policy Characteristics'!D:D,MATCH($C306,'Policy Characteristics'!$C:$C,0)))</f>
        <v>Electricity Imports and Exports</v>
      </c>
      <c r="K306" s="254" t="str">
        <f>IF(ISBLANK(INDEX('Policy Characteristics'!E:E,MATCH($C306,'Policy Characteristics'!$C:$C,0))),"",INDEX('Policy Characteristics'!E:E,MATCH($C306,'Policy Characteristics'!$C:$C,0)))</f>
        <v>elec change imports</v>
      </c>
      <c r="L306" s="261">
        <f>IF(ISBLANK(INDEX('Policy Characteristics'!F:F,MATCH($C306,'Policy Characteristics'!$C:$C,0))),"",INDEX('Policy Characteristics'!F:F,MATCH($C306,'Policy Characteristics'!$C:$C,0)))</f>
        <v>-0.5</v>
      </c>
      <c r="M306" s="261">
        <f>IF(ISBLANK(INDEX('Policy Characteristics'!G:G,MATCH($C306,'Policy Characteristics'!$C:$C,0))),"",INDEX('Policy Characteristics'!G:G,MATCH($C306,'Policy Characteristics'!$C:$C,0)))</f>
        <v>1</v>
      </c>
      <c r="N306" s="261">
        <f>IF(ISBLANK(INDEX('Policy Characteristics'!H:H,MATCH($C306,'Policy Characteristics'!$C:$C,0))),"",INDEX('Policy Characteristics'!H:H,MATCH($C306,'Policy Characteristics'!$C:$C,0)))</f>
        <v>0.02</v>
      </c>
      <c r="O306" s="254" t="str">
        <f>IF(ISBLANK(INDEX('Policy Characteristics'!I:I,MATCH($C306,'Policy Characteristics'!$C:$C,0))),"",INDEX('Policy Characteristics'!I:I,MATCH($C306,'Policy Characteristics'!$C:$C,0)))</f>
        <v>% change in imports</v>
      </c>
      <c r="P306" s="254"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6" s="254" t="str">
        <f>IF(ISBLANK(INDEX('Policy Characteristics'!K:K,MATCH($C306,'Policy Characteristics'!$C:$C,0))),"",INDEX('Policy Characteristics'!K:K,MATCH($C306,'Policy Characteristics'!$C:$C,0)))</f>
        <v>electricity-sector-main.html#elec-imports</v>
      </c>
      <c r="R306" s="254" t="str">
        <f>IF(ISBLANK(INDEX('Policy Characteristics'!L:L,MATCH($C306,'Policy Characteristics'!$C:$C,0))),"",INDEX('Policy Characteristics'!L:L,MATCH($C306,'Policy Characteristics'!$C:$C,0)))</f>
        <v>electricity-imports-exports.html</v>
      </c>
    </row>
    <row r="307" spans="1:18" s="2" customFormat="1" x14ac:dyDescent="0.3">
      <c r="A307" s="254" t="str">
        <f>IF(ISBLANK(INDEX('Policy Characteristics'!A:A,MATCH($C307,'Policy Characteristics'!$C:$C,0))),"",INDEX('Policy Characteristics'!A:A,MATCH($C307,'Policy Characteristics'!$C:$C,0)))</f>
        <v>Electricity Supply</v>
      </c>
      <c r="B307" s="262" t="str">
        <f>IF(ISBLANK(INDEX('Policy Characteristics'!B:B,MATCH($C307,'Policy Characteristics'!$C:$C,0))),"",INDEX('Policy Characteristics'!B:B,MATCH($C307,'Policy Characteristics'!$C:$C,0)))</f>
        <v>Change Electricity Imports</v>
      </c>
      <c r="C307" s="254" t="str">
        <f t="shared" si="20"/>
        <v>Percent Change in Electricity Imports</v>
      </c>
      <c r="D307" s="6" t="s">
        <v>77</v>
      </c>
      <c r="E307" s="45"/>
      <c r="F307" s="6" t="s">
        <v>89</v>
      </c>
      <c r="G307" s="6"/>
      <c r="H307" s="47">
        <v>528</v>
      </c>
      <c r="I307" s="324" t="s">
        <v>43</v>
      </c>
      <c r="J307" s="255" t="str">
        <f>IF(ISBLANK(INDEX('Policy Characteristics'!D:D,MATCH($C307,'Policy Characteristics'!$C:$C,0))),"",INDEX('Policy Characteristics'!D:D,MATCH($C307,'Policy Characteristics'!$C:$C,0)))</f>
        <v>Electricity Imports and Exports</v>
      </c>
      <c r="K307" s="254" t="str">
        <f>IF(ISBLANK(INDEX('Policy Characteristics'!E:E,MATCH($C307,'Policy Characteristics'!$C:$C,0))),"",INDEX('Policy Characteristics'!E:E,MATCH($C307,'Policy Characteristics'!$C:$C,0)))</f>
        <v>elec change imports</v>
      </c>
      <c r="L307" s="261">
        <f>IF(ISBLANK(INDEX('Policy Characteristics'!F:F,MATCH($C307,'Policy Characteristics'!$C:$C,0))),"",INDEX('Policy Characteristics'!F:F,MATCH($C307,'Policy Characteristics'!$C:$C,0)))</f>
        <v>-0.5</v>
      </c>
      <c r="M307" s="261">
        <f>IF(ISBLANK(INDEX('Policy Characteristics'!G:G,MATCH($C307,'Policy Characteristics'!$C:$C,0))),"",INDEX('Policy Characteristics'!G:G,MATCH($C307,'Policy Characteristics'!$C:$C,0)))</f>
        <v>1</v>
      </c>
      <c r="N307" s="261">
        <f>IF(ISBLANK(INDEX('Policy Characteristics'!H:H,MATCH($C307,'Policy Characteristics'!$C:$C,0))),"",INDEX('Policy Characteristics'!H:H,MATCH($C307,'Policy Characteristics'!$C:$C,0)))</f>
        <v>0.02</v>
      </c>
      <c r="O307" s="254" t="str">
        <f>IF(ISBLANK(INDEX('Policy Characteristics'!I:I,MATCH($C307,'Policy Characteristics'!$C:$C,0))),"",INDEX('Policy Characteristics'!I:I,MATCH($C307,'Policy Characteristics'!$C:$C,0)))</f>
        <v>% change in imports</v>
      </c>
      <c r="P307" s="254"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7" s="254" t="str">
        <f>IF(ISBLANK(INDEX('Policy Characteristics'!K:K,MATCH($C307,'Policy Characteristics'!$C:$C,0))),"",INDEX('Policy Characteristics'!K:K,MATCH($C307,'Policy Characteristics'!$C:$C,0)))</f>
        <v>electricity-sector-main.html#elec-imports</v>
      </c>
      <c r="R307" s="254" t="str">
        <f>IF(ISBLANK(INDEX('Policy Characteristics'!L:L,MATCH($C307,'Policy Characteristics'!$C:$C,0))),"",INDEX('Policy Characteristics'!L:L,MATCH($C307,'Policy Characteristics'!$C:$C,0)))</f>
        <v>electricity-imports-exports.html</v>
      </c>
    </row>
    <row r="308" spans="1:18" s="2" customFormat="1" x14ac:dyDescent="0.3">
      <c r="A308" s="254" t="str">
        <f>IF(ISBLANK(INDEX('Policy Characteristics'!A:A,MATCH($C308,'Policy Characteristics'!$C:$C,0))),"",INDEX('Policy Characteristics'!A:A,MATCH($C308,'Policy Characteristics'!$C:$C,0)))</f>
        <v>Electricity Supply</v>
      </c>
      <c r="B308" s="262" t="str">
        <f>IF(ISBLANK(INDEX('Policy Characteristics'!B:B,MATCH($C308,'Policy Characteristics'!$C:$C,0))),"",INDEX('Policy Characteristics'!B:B,MATCH($C308,'Policy Characteristics'!$C:$C,0)))</f>
        <v>Change Electricity Imports</v>
      </c>
      <c r="C308" s="254" t="str">
        <f t="shared" si="20"/>
        <v>Percent Change in Electricity Imports</v>
      </c>
      <c r="D308" s="6" t="s">
        <v>448</v>
      </c>
      <c r="E308" s="45"/>
      <c r="F308" s="6" t="s">
        <v>451</v>
      </c>
      <c r="G308" s="6"/>
      <c r="H308" s="47">
        <v>529</v>
      </c>
      <c r="I308" s="324" t="s">
        <v>43</v>
      </c>
      <c r="J308" s="255" t="str">
        <f>IF(ISBLANK(INDEX('Policy Characteristics'!D:D,MATCH($C308,'Policy Characteristics'!$C:$C,0))),"",INDEX('Policy Characteristics'!D:D,MATCH($C308,'Policy Characteristics'!$C:$C,0)))</f>
        <v>Electricity Imports and Exports</v>
      </c>
      <c r="K308" s="254" t="str">
        <f>IF(ISBLANK(INDEX('Policy Characteristics'!E:E,MATCH($C308,'Policy Characteristics'!$C:$C,0))),"",INDEX('Policy Characteristics'!E:E,MATCH($C308,'Policy Characteristics'!$C:$C,0)))</f>
        <v>elec change imports</v>
      </c>
      <c r="L308" s="261">
        <f>IF(ISBLANK(INDEX('Policy Characteristics'!F:F,MATCH($C308,'Policy Characteristics'!$C:$C,0))),"",INDEX('Policy Characteristics'!F:F,MATCH($C308,'Policy Characteristics'!$C:$C,0)))</f>
        <v>-0.5</v>
      </c>
      <c r="M308" s="261">
        <f>IF(ISBLANK(INDEX('Policy Characteristics'!G:G,MATCH($C308,'Policy Characteristics'!$C:$C,0))),"",INDEX('Policy Characteristics'!G:G,MATCH($C308,'Policy Characteristics'!$C:$C,0)))</f>
        <v>1</v>
      </c>
      <c r="N308" s="261">
        <f>IF(ISBLANK(INDEX('Policy Characteristics'!H:H,MATCH($C308,'Policy Characteristics'!$C:$C,0))),"",INDEX('Policy Characteristics'!H:H,MATCH($C308,'Policy Characteristics'!$C:$C,0)))</f>
        <v>0.02</v>
      </c>
      <c r="O308" s="254" t="str">
        <f>IF(ISBLANK(INDEX('Policy Characteristics'!I:I,MATCH($C308,'Policy Characteristics'!$C:$C,0))),"",INDEX('Policy Characteristics'!I:I,MATCH($C308,'Policy Characteristics'!$C:$C,0)))</f>
        <v>% change in imports</v>
      </c>
      <c r="P308" s="254"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4" t="str">
        <f>IF(ISBLANK(INDEX('Policy Characteristics'!K:K,MATCH($C308,'Policy Characteristics'!$C:$C,0))),"",INDEX('Policy Characteristics'!K:K,MATCH($C308,'Policy Characteristics'!$C:$C,0)))</f>
        <v>electricity-sector-main.html#elec-imports</v>
      </c>
      <c r="R308" s="254" t="str">
        <f>IF(ISBLANK(INDEX('Policy Characteristics'!L:L,MATCH($C308,'Policy Characteristics'!$C:$C,0))),"",INDEX('Policy Characteristics'!L:L,MATCH($C308,'Policy Characteristics'!$C:$C,0)))</f>
        <v>electricity-imports-exports.html</v>
      </c>
    </row>
    <row r="309" spans="1:18" s="2" customFormat="1" x14ac:dyDescent="0.3">
      <c r="A309" s="254" t="str">
        <f>IF(ISBLANK(INDEX('Policy Characteristics'!A:A,MATCH($C309,'Policy Characteristics'!$C:$C,0))),"",INDEX('Policy Characteristics'!A:A,MATCH($C309,'Policy Characteristics'!$C:$C,0)))</f>
        <v>Electricity Supply</v>
      </c>
      <c r="B309" s="262" t="str">
        <f>IF(ISBLANK(INDEX('Policy Characteristics'!B:B,MATCH($C309,'Policy Characteristics'!$C:$C,0))),"",INDEX('Policy Characteristics'!B:B,MATCH($C309,'Policy Characteristics'!$C:$C,0)))</f>
        <v>Change Electricity Imports</v>
      </c>
      <c r="C309" s="254" t="str">
        <f t="shared" si="20"/>
        <v>Percent Change in Electricity Imports</v>
      </c>
      <c r="D309" s="6" t="s">
        <v>78</v>
      </c>
      <c r="E309" s="45"/>
      <c r="F309" s="6" t="s">
        <v>90</v>
      </c>
      <c r="G309" s="6"/>
      <c r="H309" s="47">
        <v>530</v>
      </c>
      <c r="I309" s="324" t="s">
        <v>43</v>
      </c>
      <c r="J309" s="255" t="str">
        <f>IF(ISBLANK(INDEX('Policy Characteristics'!D:D,MATCH($C309,'Policy Characteristics'!$C:$C,0))),"",INDEX('Policy Characteristics'!D:D,MATCH($C309,'Policy Characteristics'!$C:$C,0)))</f>
        <v>Electricity Imports and Exports</v>
      </c>
      <c r="K309" s="254" t="str">
        <f>IF(ISBLANK(INDEX('Policy Characteristics'!E:E,MATCH($C309,'Policy Characteristics'!$C:$C,0))),"",INDEX('Policy Characteristics'!E:E,MATCH($C309,'Policy Characteristics'!$C:$C,0)))</f>
        <v>elec change imports</v>
      </c>
      <c r="L309" s="261">
        <f>IF(ISBLANK(INDEX('Policy Characteristics'!F:F,MATCH($C309,'Policy Characteristics'!$C:$C,0))),"",INDEX('Policy Characteristics'!F:F,MATCH($C309,'Policy Characteristics'!$C:$C,0)))</f>
        <v>-0.5</v>
      </c>
      <c r="M309" s="261">
        <f>IF(ISBLANK(INDEX('Policy Characteristics'!G:G,MATCH($C309,'Policy Characteristics'!$C:$C,0))),"",INDEX('Policy Characteristics'!G:G,MATCH($C309,'Policy Characteristics'!$C:$C,0)))</f>
        <v>1</v>
      </c>
      <c r="N309" s="261">
        <f>IF(ISBLANK(INDEX('Policy Characteristics'!H:H,MATCH($C309,'Policy Characteristics'!$C:$C,0))),"",INDEX('Policy Characteristics'!H:H,MATCH($C309,'Policy Characteristics'!$C:$C,0)))</f>
        <v>0.02</v>
      </c>
      <c r="O309" s="254" t="str">
        <f>IF(ISBLANK(INDEX('Policy Characteristics'!I:I,MATCH($C309,'Policy Characteristics'!$C:$C,0))),"",INDEX('Policy Characteristics'!I:I,MATCH($C309,'Policy Characteristics'!$C:$C,0)))</f>
        <v>% change in imports</v>
      </c>
      <c r="P309" s="254"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4" t="str">
        <f>IF(ISBLANK(INDEX('Policy Characteristics'!K:K,MATCH($C309,'Policy Characteristics'!$C:$C,0))),"",INDEX('Policy Characteristics'!K:K,MATCH($C309,'Policy Characteristics'!$C:$C,0)))</f>
        <v>electricity-sector-main.html#elec-imports</v>
      </c>
      <c r="R309" s="254" t="str">
        <f>IF(ISBLANK(INDEX('Policy Characteristics'!L:L,MATCH($C309,'Policy Characteristics'!$C:$C,0))),"",INDEX('Policy Characteristics'!L:L,MATCH($C309,'Policy Characteristics'!$C:$C,0)))</f>
        <v>electricity-imports-exports.html</v>
      </c>
    </row>
    <row r="310" spans="1:18" s="2" customFormat="1" x14ac:dyDescent="0.3">
      <c r="A310" s="254" t="str">
        <f>IF(ISBLANK(INDEX('Policy Characteristics'!A:A,MATCH($C310,'Policy Characteristics'!$C:$C,0))),"",INDEX('Policy Characteristics'!A:A,MATCH($C310,'Policy Characteristics'!$C:$C,0)))</f>
        <v>Electricity Supply</v>
      </c>
      <c r="B310" s="262" t="str">
        <f>IF(ISBLANK(INDEX('Policy Characteristics'!B:B,MATCH($C310,'Policy Characteristics'!$C:$C,0))),"",INDEX('Policy Characteristics'!B:B,MATCH($C310,'Policy Characteristics'!$C:$C,0)))</f>
        <v>Change Electricity Imports</v>
      </c>
      <c r="C310" s="254" t="str">
        <f t="shared" si="20"/>
        <v>Percent Change in Electricity Imports</v>
      </c>
      <c r="D310" s="6" t="s">
        <v>79</v>
      </c>
      <c r="E310" s="45"/>
      <c r="F310" s="6" t="s">
        <v>91</v>
      </c>
      <c r="G310" s="6"/>
      <c r="H310" s="47">
        <v>531</v>
      </c>
      <c r="I310" s="324" t="s">
        <v>44</v>
      </c>
      <c r="J310" s="255" t="str">
        <f>IF(ISBLANK(INDEX('Policy Characteristics'!D:D,MATCH($C310,'Policy Characteristics'!$C:$C,0))),"",INDEX('Policy Characteristics'!D:D,MATCH($C310,'Policy Characteristics'!$C:$C,0)))</f>
        <v>Electricity Imports and Exports</v>
      </c>
      <c r="K310" s="254" t="str">
        <f>IF(ISBLANK(INDEX('Policy Characteristics'!E:E,MATCH($C310,'Policy Characteristics'!$C:$C,0))),"",INDEX('Policy Characteristics'!E:E,MATCH($C310,'Policy Characteristics'!$C:$C,0)))</f>
        <v>elec change imports</v>
      </c>
      <c r="L310" s="261">
        <f>IF(ISBLANK(INDEX('Policy Characteristics'!F:F,MATCH($C310,'Policy Characteristics'!$C:$C,0))),"",INDEX('Policy Characteristics'!F:F,MATCH($C310,'Policy Characteristics'!$C:$C,0)))</f>
        <v>-0.5</v>
      </c>
      <c r="M310" s="261">
        <f>IF(ISBLANK(INDEX('Policy Characteristics'!G:G,MATCH($C310,'Policy Characteristics'!$C:$C,0))),"",INDEX('Policy Characteristics'!G:G,MATCH($C310,'Policy Characteristics'!$C:$C,0)))</f>
        <v>1</v>
      </c>
      <c r="N310" s="261">
        <f>IF(ISBLANK(INDEX('Policy Characteristics'!H:H,MATCH($C310,'Policy Characteristics'!$C:$C,0))),"",INDEX('Policy Characteristics'!H:H,MATCH($C310,'Policy Characteristics'!$C:$C,0)))</f>
        <v>0.02</v>
      </c>
      <c r="O310" s="254" t="str">
        <f>IF(ISBLANK(INDEX('Policy Characteristics'!I:I,MATCH($C310,'Policy Characteristics'!$C:$C,0))),"",INDEX('Policy Characteristics'!I:I,MATCH($C310,'Policy Characteristics'!$C:$C,0)))</f>
        <v>% change in imports</v>
      </c>
      <c r="P310" s="254"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4" t="str">
        <f>IF(ISBLANK(INDEX('Policy Characteristics'!K:K,MATCH($C310,'Policy Characteristics'!$C:$C,0))),"",INDEX('Policy Characteristics'!K:K,MATCH($C310,'Policy Characteristics'!$C:$C,0)))</f>
        <v>electricity-sector-main.html#elec-imports</v>
      </c>
      <c r="R310" s="254" t="str">
        <f>IF(ISBLANK(INDEX('Policy Characteristics'!L:L,MATCH($C310,'Policy Characteristics'!$C:$C,0))),"",INDEX('Policy Characteristics'!L:L,MATCH($C310,'Policy Characteristics'!$C:$C,0)))</f>
        <v>electricity-imports-exports.html</v>
      </c>
    </row>
    <row r="311" spans="1:18" s="2" customFormat="1" x14ac:dyDescent="0.3">
      <c r="A311" s="254" t="str">
        <f>IF(ISBLANK(INDEX('Policy Characteristics'!A:A,MATCH($C311,'Policy Characteristics'!$C:$C,0))),"",INDEX('Policy Characteristics'!A:A,MATCH($C311,'Policy Characteristics'!$C:$C,0)))</f>
        <v>Electricity Supply</v>
      </c>
      <c r="B311" s="262" t="str">
        <f>IF(ISBLANK(INDEX('Policy Characteristics'!B:B,MATCH($C311,'Policy Characteristics'!$C:$C,0))),"",INDEX('Policy Characteristics'!B:B,MATCH($C311,'Policy Characteristics'!$C:$C,0)))</f>
        <v>Change Electricity Imports</v>
      </c>
      <c r="C311" s="254" t="str">
        <f t="shared" si="20"/>
        <v>Percent Change in Electricity Imports</v>
      </c>
      <c r="D311" s="6" t="s">
        <v>80</v>
      </c>
      <c r="E311" s="45"/>
      <c r="F311" s="6" t="s">
        <v>92</v>
      </c>
      <c r="G311" s="6"/>
      <c r="H311" s="47">
        <v>532</v>
      </c>
      <c r="I311" s="324" t="s">
        <v>43</v>
      </c>
      <c r="J311" s="255" t="str">
        <f>IF(ISBLANK(INDEX('Policy Characteristics'!D:D,MATCH($C311,'Policy Characteristics'!$C:$C,0))),"",INDEX('Policy Characteristics'!D:D,MATCH($C311,'Policy Characteristics'!$C:$C,0)))</f>
        <v>Electricity Imports and Exports</v>
      </c>
      <c r="K311" s="254" t="str">
        <f>IF(ISBLANK(INDEX('Policy Characteristics'!E:E,MATCH($C311,'Policy Characteristics'!$C:$C,0))),"",INDEX('Policy Characteristics'!E:E,MATCH($C311,'Policy Characteristics'!$C:$C,0)))</f>
        <v>elec change imports</v>
      </c>
      <c r="L311" s="261">
        <f>IF(ISBLANK(INDEX('Policy Characteristics'!F:F,MATCH($C311,'Policy Characteristics'!$C:$C,0))),"",INDEX('Policy Characteristics'!F:F,MATCH($C311,'Policy Characteristics'!$C:$C,0)))</f>
        <v>-0.5</v>
      </c>
      <c r="M311" s="261">
        <f>IF(ISBLANK(INDEX('Policy Characteristics'!G:G,MATCH($C311,'Policy Characteristics'!$C:$C,0))),"",INDEX('Policy Characteristics'!G:G,MATCH($C311,'Policy Characteristics'!$C:$C,0)))</f>
        <v>1</v>
      </c>
      <c r="N311" s="261">
        <f>IF(ISBLANK(INDEX('Policy Characteristics'!H:H,MATCH($C311,'Policy Characteristics'!$C:$C,0))),"",INDEX('Policy Characteristics'!H:H,MATCH($C311,'Policy Characteristics'!$C:$C,0)))</f>
        <v>0.02</v>
      </c>
      <c r="O311" s="254" t="str">
        <f>IF(ISBLANK(INDEX('Policy Characteristics'!I:I,MATCH($C311,'Policy Characteristics'!$C:$C,0))),"",INDEX('Policy Characteristics'!I:I,MATCH($C311,'Policy Characteristics'!$C:$C,0)))</f>
        <v>% change in imports</v>
      </c>
      <c r="P311" s="254"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4" t="str">
        <f>IF(ISBLANK(INDEX('Policy Characteristics'!K:K,MATCH($C311,'Policy Characteristics'!$C:$C,0))),"",INDEX('Policy Characteristics'!K:K,MATCH($C311,'Policy Characteristics'!$C:$C,0)))</f>
        <v>electricity-sector-main.html#elec-imports</v>
      </c>
      <c r="R311" s="254" t="str">
        <f>IF(ISBLANK(INDEX('Policy Characteristics'!L:L,MATCH($C311,'Policy Characteristics'!$C:$C,0))),"",INDEX('Policy Characteristics'!L:L,MATCH($C311,'Policy Characteristics'!$C:$C,0)))</f>
        <v>electricity-imports-exports.html</v>
      </c>
    </row>
    <row r="312" spans="1:18" s="2" customFormat="1" x14ac:dyDescent="0.3">
      <c r="A312" s="254" t="str">
        <f>IF(ISBLANK(INDEX('Policy Characteristics'!A:A,MATCH($C312,'Policy Characteristics'!$C:$C,0))),"",INDEX('Policy Characteristics'!A:A,MATCH($C312,'Policy Characteristics'!$C:$C,0)))</f>
        <v>Electricity Supply</v>
      </c>
      <c r="B312" s="262" t="str">
        <f>IF(ISBLANK(INDEX('Policy Characteristics'!B:B,MATCH($C312,'Policy Characteristics'!$C:$C,0))),"",INDEX('Policy Characteristics'!B:B,MATCH($C312,'Policy Characteristics'!$C:$C,0)))</f>
        <v>Change Electricity Imports</v>
      </c>
      <c r="C312" s="254" t="str">
        <f t="shared" si="20"/>
        <v>Percent Change in Electricity Imports</v>
      </c>
      <c r="D312" s="6" t="s">
        <v>2425</v>
      </c>
      <c r="E312" s="45"/>
      <c r="F312" s="6" t="s">
        <v>436</v>
      </c>
      <c r="G312" s="6"/>
      <c r="H312" s="47">
        <v>533</v>
      </c>
      <c r="I312" s="324" t="s">
        <v>44</v>
      </c>
      <c r="J312" s="255" t="str">
        <f>IF(ISBLANK(INDEX('Policy Characteristics'!D:D,MATCH($C312,'Policy Characteristics'!$C:$C,0))),"",INDEX('Policy Characteristics'!D:D,MATCH($C312,'Policy Characteristics'!$C:$C,0)))</f>
        <v>Electricity Imports and Exports</v>
      </c>
      <c r="K312" s="254" t="str">
        <f>IF(ISBLANK(INDEX('Policy Characteristics'!E:E,MATCH($C312,'Policy Characteristics'!$C:$C,0))),"",INDEX('Policy Characteristics'!E:E,MATCH($C312,'Policy Characteristics'!$C:$C,0)))</f>
        <v>elec change imports</v>
      </c>
      <c r="L312" s="261">
        <f>IF(ISBLANK(INDEX('Policy Characteristics'!F:F,MATCH($C312,'Policy Characteristics'!$C:$C,0))),"",INDEX('Policy Characteristics'!F:F,MATCH($C312,'Policy Characteristics'!$C:$C,0)))</f>
        <v>-0.5</v>
      </c>
      <c r="M312" s="261">
        <f>IF(ISBLANK(INDEX('Policy Characteristics'!G:G,MATCH($C312,'Policy Characteristics'!$C:$C,0))),"",INDEX('Policy Characteristics'!G:G,MATCH($C312,'Policy Characteristics'!$C:$C,0)))</f>
        <v>1</v>
      </c>
      <c r="N312" s="261">
        <f>IF(ISBLANK(INDEX('Policy Characteristics'!H:H,MATCH($C312,'Policy Characteristics'!$C:$C,0))),"",INDEX('Policy Characteristics'!H:H,MATCH($C312,'Policy Characteristics'!$C:$C,0)))</f>
        <v>0.02</v>
      </c>
      <c r="O312" s="254" t="str">
        <f>IF(ISBLANK(INDEX('Policy Characteristics'!I:I,MATCH($C312,'Policy Characteristics'!$C:$C,0))),"",INDEX('Policy Characteristics'!I:I,MATCH($C312,'Policy Characteristics'!$C:$C,0)))</f>
        <v>% change in imports</v>
      </c>
      <c r="P312" s="254"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4" t="str">
        <f>IF(ISBLANK(INDEX('Policy Characteristics'!K:K,MATCH($C312,'Policy Characteristics'!$C:$C,0))),"",INDEX('Policy Characteristics'!K:K,MATCH($C312,'Policy Characteristics'!$C:$C,0)))</f>
        <v>electricity-sector-main.html#elec-imports</v>
      </c>
      <c r="R312" s="254" t="str">
        <f>IF(ISBLANK(INDEX('Policy Characteristics'!L:L,MATCH($C312,'Policy Characteristics'!$C:$C,0))),"",INDEX('Policy Characteristics'!L:L,MATCH($C312,'Policy Characteristics'!$C:$C,0)))</f>
        <v>electricity-imports-exports.html</v>
      </c>
    </row>
    <row r="313" spans="1:18" s="2" customFormat="1" x14ac:dyDescent="0.3">
      <c r="A313" s="254" t="str">
        <f>IF(ISBLANK(INDEX('Policy Characteristics'!A:A,MATCH($C313,'Policy Characteristics'!$C:$C,0))),"",INDEX('Policy Characteristics'!A:A,MATCH($C313,'Policy Characteristics'!$C:$C,0)))</f>
        <v>Electricity Supply</v>
      </c>
      <c r="B313" s="262" t="str">
        <f>IF(ISBLANK(INDEX('Policy Characteristics'!B:B,MATCH($C313,'Policy Characteristics'!$C:$C,0))),"",INDEX('Policy Characteristics'!B:B,MATCH($C313,'Policy Characteristics'!$C:$C,0)))</f>
        <v>Change Electricity Imports</v>
      </c>
      <c r="C313" s="254" t="str">
        <f t="shared" si="20"/>
        <v>Percent Change in Electricity Imports</v>
      </c>
      <c r="D313" s="6" t="s">
        <v>308</v>
      </c>
      <c r="E313" s="45"/>
      <c r="F313" s="6" t="s">
        <v>310</v>
      </c>
      <c r="G313" s="6"/>
      <c r="H313" s="47">
        <v>534</v>
      </c>
      <c r="I313" s="324" t="s">
        <v>43</v>
      </c>
      <c r="J313" s="255" t="str">
        <f>IF(ISBLANK(INDEX('Policy Characteristics'!D:D,MATCH($C313,'Policy Characteristics'!$C:$C,0))),"",INDEX('Policy Characteristics'!D:D,MATCH($C313,'Policy Characteristics'!$C:$C,0)))</f>
        <v>Electricity Imports and Exports</v>
      </c>
      <c r="K313" s="254" t="str">
        <f>IF(ISBLANK(INDEX('Policy Characteristics'!E:E,MATCH($C313,'Policy Characteristics'!$C:$C,0))),"",INDEX('Policy Characteristics'!E:E,MATCH($C313,'Policy Characteristics'!$C:$C,0)))</f>
        <v>elec change imports</v>
      </c>
      <c r="L313" s="261">
        <f>IF(ISBLANK(INDEX('Policy Characteristics'!F:F,MATCH($C313,'Policy Characteristics'!$C:$C,0))),"",INDEX('Policy Characteristics'!F:F,MATCH($C313,'Policy Characteristics'!$C:$C,0)))</f>
        <v>-0.5</v>
      </c>
      <c r="M313" s="261">
        <f>IF(ISBLANK(INDEX('Policy Characteristics'!G:G,MATCH($C313,'Policy Characteristics'!$C:$C,0))),"",INDEX('Policy Characteristics'!G:G,MATCH($C313,'Policy Characteristics'!$C:$C,0)))</f>
        <v>1</v>
      </c>
      <c r="N313" s="261">
        <f>IF(ISBLANK(INDEX('Policy Characteristics'!H:H,MATCH($C313,'Policy Characteristics'!$C:$C,0))),"",INDEX('Policy Characteristics'!H:H,MATCH($C313,'Policy Characteristics'!$C:$C,0)))</f>
        <v>0.02</v>
      </c>
      <c r="O313" s="254" t="str">
        <f>IF(ISBLANK(INDEX('Policy Characteristics'!I:I,MATCH($C313,'Policy Characteristics'!$C:$C,0))),"",INDEX('Policy Characteristics'!I:I,MATCH($C313,'Policy Characteristics'!$C:$C,0)))</f>
        <v>% change in imports</v>
      </c>
      <c r="P313" s="254"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4" t="str">
        <f>IF(ISBLANK(INDEX('Policy Characteristics'!K:K,MATCH($C313,'Policy Characteristics'!$C:$C,0))),"",INDEX('Policy Characteristics'!K:K,MATCH($C313,'Policy Characteristics'!$C:$C,0)))</f>
        <v>electricity-sector-main.html#elec-imports</v>
      </c>
      <c r="R313" s="254" t="str">
        <f>IF(ISBLANK(INDEX('Policy Characteristics'!L:L,MATCH($C313,'Policy Characteristics'!$C:$C,0))),"",INDEX('Policy Characteristics'!L:L,MATCH($C313,'Policy Characteristics'!$C:$C,0)))</f>
        <v>electricity-imports-exports.html</v>
      </c>
    </row>
    <row r="314" spans="1:18" s="2" customFormat="1" x14ac:dyDescent="0.3">
      <c r="A314" s="254" t="str">
        <f>IF(ISBLANK(INDEX('Policy Characteristics'!A:A,MATCH($C314,'Policy Characteristics'!$C:$C,0))),"",INDEX('Policy Characteristics'!A:A,MATCH($C314,'Policy Characteristics'!$C:$C,0)))</f>
        <v>Electricity Supply</v>
      </c>
      <c r="B314" s="262" t="str">
        <f>IF(ISBLANK(INDEX('Policy Characteristics'!B:B,MATCH($C314,'Policy Characteristics'!$C:$C,0))),"",INDEX('Policy Characteristics'!B:B,MATCH($C314,'Policy Characteristics'!$C:$C,0)))</f>
        <v>Change Electricity Imports</v>
      </c>
      <c r="C314" s="254" t="str">
        <f t="shared" si="20"/>
        <v>Percent Change in Electricity Imports</v>
      </c>
      <c r="D314" s="6" t="s">
        <v>309</v>
      </c>
      <c r="E314" s="45"/>
      <c r="F314" s="6" t="s">
        <v>311</v>
      </c>
      <c r="G314" s="6"/>
      <c r="H314" s="47">
        <v>535</v>
      </c>
      <c r="I314" s="324" t="s">
        <v>44</v>
      </c>
      <c r="J314" s="255" t="str">
        <f>IF(ISBLANK(INDEX('Policy Characteristics'!D:D,MATCH($C314,'Policy Characteristics'!$C:$C,0))),"",INDEX('Policy Characteristics'!D:D,MATCH($C314,'Policy Characteristics'!$C:$C,0)))</f>
        <v>Electricity Imports and Exports</v>
      </c>
      <c r="K314" s="254" t="str">
        <f>IF(ISBLANK(INDEX('Policy Characteristics'!E:E,MATCH($C314,'Policy Characteristics'!$C:$C,0))),"",INDEX('Policy Characteristics'!E:E,MATCH($C314,'Policy Characteristics'!$C:$C,0)))</f>
        <v>elec change imports</v>
      </c>
      <c r="L314" s="261">
        <f>IF(ISBLANK(INDEX('Policy Characteristics'!F:F,MATCH($C314,'Policy Characteristics'!$C:$C,0))),"",INDEX('Policy Characteristics'!F:F,MATCH($C314,'Policy Characteristics'!$C:$C,0)))</f>
        <v>-0.5</v>
      </c>
      <c r="M314" s="261">
        <f>IF(ISBLANK(INDEX('Policy Characteristics'!G:G,MATCH($C314,'Policy Characteristics'!$C:$C,0))),"",INDEX('Policy Characteristics'!G:G,MATCH($C314,'Policy Characteristics'!$C:$C,0)))</f>
        <v>1</v>
      </c>
      <c r="N314" s="261">
        <f>IF(ISBLANK(INDEX('Policy Characteristics'!H:H,MATCH($C314,'Policy Characteristics'!$C:$C,0))),"",INDEX('Policy Characteristics'!H:H,MATCH($C314,'Policy Characteristics'!$C:$C,0)))</f>
        <v>0.02</v>
      </c>
      <c r="O314" s="254" t="str">
        <f>IF(ISBLANK(INDEX('Policy Characteristics'!I:I,MATCH($C314,'Policy Characteristics'!$C:$C,0))),"",INDEX('Policy Characteristics'!I:I,MATCH($C314,'Policy Characteristics'!$C:$C,0)))</f>
        <v>% change in imports</v>
      </c>
      <c r="P314" s="254"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4" t="str">
        <f>IF(ISBLANK(INDEX('Policy Characteristics'!K:K,MATCH($C314,'Policy Characteristics'!$C:$C,0))),"",INDEX('Policy Characteristics'!K:K,MATCH($C314,'Policy Characteristics'!$C:$C,0)))</f>
        <v>electricity-sector-main.html#elec-imports</v>
      </c>
      <c r="R314" s="254" t="str">
        <f>IF(ISBLANK(INDEX('Policy Characteristics'!L:L,MATCH($C314,'Policy Characteristics'!$C:$C,0))),"",INDEX('Policy Characteristics'!L:L,MATCH($C314,'Policy Characteristics'!$C:$C,0)))</f>
        <v>electricity-imports-exports.html</v>
      </c>
    </row>
    <row r="315" spans="1:18" s="2" customFormat="1" x14ac:dyDescent="0.3">
      <c r="A315" s="254" t="str">
        <f>IF(ISBLANK(INDEX('Policy Characteristics'!A:A,MATCH($C315,'Policy Characteristics'!$C:$C,0))),"",INDEX('Policy Characteristics'!A:A,MATCH($C315,'Policy Characteristics'!$C:$C,0)))</f>
        <v>Electricity Supply</v>
      </c>
      <c r="B315" s="262" t="str">
        <f>IF(ISBLANK(INDEX('Policy Characteristics'!B:B,MATCH($C315,'Policy Characteristics'!$C:$C,0))),"",INDEX('Policy Characteristics'!B:B,MATCH($C315,'Policy Characteristics'!$C:$C,0)))</f>
        <v>Change Electricity Imports</v>
      </c>
      <c r="C315" s="254" t="str">
        <f t="shared" si="20"/>
        <v>Percent Change in Electricity Imports</v>
      </c>
      <c r="D315" s="6" t="s">
        <v>444</v>
      </c>
      <c r="E315" s="45"/>
      <c r="F315" s="6" t="s">
        <v>443</v>
      </c>
      <c r="G315" s="6"/>
      <c r="H315" s="47">
        <v>536</v>
      </c>
      <c r="I315" s="324" t="s">
        <v>44</v>
      </c>
      <c r="J315" s="255" t="str">
        <f>IF(ISBLANK(INDEX('Policy Characteristics'!D:D,MATCH($C315,'Policy Characteristics'!$C:$C,0))),"",INDEX('Policy Characteristics'!D:D,MATCH($C315,'Policy Characteristics'!$C:$C,0)))</f>
        <v>Electricity Imports and Exports</v>
      </c>
      <c r="K315" s="254" t="str">
        <f>IF(ISBLANK(INDEX('Policy Characteristics'!E:E,MATCH($C315,'Policy Characteristics'!$C:$C,0))),"",INDEX('Policy Characteristics'!E:E,MATCH($C315,'Policy Characteristics'!$C:$C,0)))</f>
        <v>elec change imports</v>
      </c>
      <c r="L315" s="261">
        <f>IF(ISBLANK(INDEX('Policy Characteristics'!F:F,MATCH($C315,'Policy Characteristics'!$C:$C,0))),"",INDEX('Policy Characteristics'!F:F,MATCH($C315,'Policy Characteristics'!$C:$C,0)))</f>
        <v>-0.5</v>
      </c>
      <c r="M315" s="261">
        <f>IF(ISBLANK(INDEX('Policy Characteristics'!G:G,MATCH($C315,'Policy Characteristics'!$C:$C,0))),"",INDEX('Policy Characteristics'!G:G,MATCH($C315,'Policy Characteristics'!$C:$C,0)))</f>
        <v>1</v>
      </c>
      <c r="N315" s="261">
        <f>IF(ISBLANK(INDEX('Policy Characteristics'!H:H,MATCH($C315,'Policy Characteristics'!$C:$C,0))),"",INDEX('Policy Characteristics'!H:H,MATCH($C315,'Policy Characteristics'!$C:$C,0)))</f>
        <v>0.02</v>
      </c>
      <c r="O315" s="254" t="str">
        <f>IF(ISBLANK(INDEX('Policy Characteristics'!I:I,MATCH($C315,'Policy Characteristics'!$C:$C,0))),"",INDEX('Policy Characteristics'!I:I,MATCH($C315,'Policy Characteristics'!$C:$C,0)))</f>
        <v>% change in imports</v>
      </c>
      <c r="P315" s="254"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4" t="str">
        <f>IF(ISBLANK(INDEX('Policy Characteristics'!K:K,MATCH($C315,'Policy Characteristics'!$C:$C,0))),"",INDEX('Policy Characteristics'!K:K,MATCH($C315,'Policy Characteristics'!$C:$C,0)))</f>
        <v>electricity-sector-main.html#elec-imports</v>
      </c>
      <c r="R315" s="254" t="str">
        <f>IF(ISBLANK(INDEX('Policy Characteristics'!L:L,MATCH($C315,'Policy Characteristics'!$C:$C,0))),"",INDEX('Policy Characteristics'!L:L,MATCH($C315,'Policy Characteristics'!$C:$C,0)))</f>
        <v>electricity-imports-exports.html</v>
      </c>
    </row>
    <row r="316" spans="1:18" s="2" customFormat="1" x14ac:dyDescent="0.3">
      <c r="A316" s="254" t="str">
        <f>IF(ISBLANK(INDEX('Policy Characteristics'!A:A,MATCH($C316,'Policy Characteristics'!$C:$C,0))),"",INDEX('Policy Characteristics'!A:A,MATCH($C316,'Policy Characteristics'!$C:$C,0)))</f>
        <v>Electricity Supply</v>
      </c>
      <c r="B316" s="262" t="str">
        <f>IF(ISBLANK(INDEX('Policy Characteristics'!B:B,MATCH($C316,'Policy Characteristics'!$C:$C,0))),"",INDEX('Policy Characteristics'!B:B,MATCH($C316,'Policy Characteristics'!$C:$C,0)))</f>
        <v>Change Electricity Imports</v>
      </c>
      <c r="C316" s="254" t="str">
        <f t="shared" si="20"/>
        <v>Percent Change in Electricity Imports</v>
      </c>
      <c r="D316" s="6" t="s">
        <v>453</v>
      </c>
      <c r="E316" s="45"/>
      <c r="F316" s="6" t="s">
        <v>454</v>
      </c>
      <c r="G316" s="6"/>
      <c r="H316" s="47">
        <v>537</v>
      </c>
      <c r="I316" s="324" t="s">
        <v>44</v>
      </c>
      <c r="J316" s="255" t="str">
        <f>IF(ISBLANK(INDEX('Policy Characteristics'!D:D,MATCH($C316,'Policy Characteristics'!$C:$C,0))),"",INDEX('Policy Characteristics'!D:D,MATCH($C316,'Policy Characteristics'!$C:$C,0)))</f>
        <v>Electricity Imports and Exports</v>
      </c>
      <c r="K316" s="254" t="str">
        <f>IF(ISBLANK(INDEX('Policy Characteristics'!E:E,MATCH($C316,'Policy Characteristics'!$C:$C,0))),"",INDEX('Policy Characteristics'!E:E,MATCH($C316,'Policy Characteristics'!$C:$C,0)))</f>
        <v>elec change imports</v>
      </c>
      <c r="L316" s="261">
        <f>IF(ISBLANK(INDEX('Policy Characteristics'!F:F,MATCH($C316,'Policy Characteristics'!$C:$C,0))),"",INDEX('Policy Characteristics'!F:F,MATCH($C316,'Policy Characteristics'!$C:$C,0)))</f>
        <v>-0.5</v>
      </c>
      <c r="M316" s="261">
        <f>IF(ISBLANK(INDEX('Policy Characteristics'!G:G,MATCH($C316,'Policy Characteristics'!$C:$C,0))),"",INDEX('Policy Characteristics'!G:G,MATCH($C316,'Policy Characteristics'!$C:$C,0)))</f>
        <v>1</v>
      </c>
      <c r="N316" s="261">
        <f>IF(ISBLANK(INDEX('Policy Characteristics'!H:H,MATCH($C316,'Policy Characteristics'!$C:$C,0))),"",INDEX('Policy Characteristics'!H:H,MATCH($C316,'Policy Characteristics'!$C:$C,0)))</f>
        <v>0.02</v>
      </c>
      <c r="O316" s="254" t="str">
        <f>IF(ISBLANK(INDEX('Policy Characteristics'!I:I,MATCH($C316,'Policy Characteristics'!$C:$C,0))),"",INDEX('Policy Characteristics'!I:I,MATCH($C316,'Policy Characteristics'!$C:$C,0)))</f>
        <v>% change in imports</v>
      </c>
      <c r="P316" s="254"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4" t="str">
        <f>IF(ISBLANK(INDEX('Policy Characteristics'!K:K,MATCH($C316,'Policy Characteristics'!$C:$C,0))),"",INDEX('Policy Characteristics'!K:K,MATCH($C316,'Policy Characteristics'!$C:$C,0)))</f>
        <v>electricity-sector-main.html#elec-imports</v>
      </c>
      <c r="R316" s="254" t="str">
        <f>IF(ISBLANK(INDEX('Policy Characteristics'!L:L,MATCH($C316,'Policy Characteristics'!$C:$C,0))),"",INDEX('Policy Characteristics'!L:L,MATCH($C316,'Policy Characteristics'!$C:$C,0)))</f>
        <v>electricity-imports-exports.html</v>
      </c>
    </row>
    <row r="317" spans="1:18" s="2" customFormat="1" x14ac:dyDescent="0.3">
      <c r="A317" s="254" t="str">
        <f>IF(ISBLANK(INDEX('Policy Characteristics'!A:A,MATCH($C317,'Policy Characteristics'!$C:$C,0))),"",INDEX('Policy Characteristics'!A:A,MATCH($C317,'Policy Characteristics'!$C:$C,0)))</f>
        <v>Electricity Supply</v>
      </c>
      <c r="B317" s="262" t="str">
        <f>IF(ISBLANK(INDEX('Policy Characteristics'!B:B,MATCH($C317,'Policy Characteristics'!$C:$C,0))),"",INDEX('Policy Characteristics'!B:B,MATCH($C317,'Policy Characteristics'!$C:$C,0)))</f>
        <v>Change Electricity Imports</v>
      </c>
      <c r="C317" s="254" t="str">
        <f t="shared" si="20"/>
        <v>Percent Change in Electricity Imports</v>
      </c>
      <c r="D317" s="6" t="s">
        <v>2748</v>
      </c>
      <c r="E317" s="45"/>
      <c r="F317" s="6" t="s">
        <v>2469</v>
      </c>
      <c r="G317" s="6"/>
      <c r="H317" s="47">
        <v>538</v>
      </c>
      <c r="I317" s="324" t="s">
        <v>44</v>
      </c>
      <c r="J317" s="255" t="str">
        <f>IF(ISBLANK(INDEX('Policy Characteristics'!D:D,MATCH($C317,'Policy Characteristics'!$C:$C,0))),"",INDEX('Policy Characteristics'!D:D,MATCH($C317,'Policy Characteristics'!$C:$C,0)))</f>
        <v>Electricity Imports and Exports</v>
      </c>
      <c r="K317" s="254" t="str">
        <f>IF(ISBLANK(INDEX('Policy Characteristics'!E:E,MATCH($C317,'Policy Characteristics'!$C:$C,0))),"",INDEX('Policy Characteristics'!E:E,MATCH($C317,'Policy Characteristics'!$C:$C,0)))</f>
        <v>elec change imports</v>
      </c>
      <c r="L317" s="261">
        <f>IF(ISBLANK(INDEX('Policy Characteristics'!F:F,MATCH($C317,'Policy Characteristics'!$C:$C,0))),"",INDEX('Policy Characteristics'!F:F,MATCH($C317,'Policy Characteristics'!$C:$C,0)))</f>
        <v>-0.5</v>
      </c>
      <c r="M317" s="261">
        <f>IF(ISBLANK(INDEX('Policy Characteristics'!G:G,MATCH($C317,'Policy Characteristics'!$C:$C,0))),"",INDEX('Policy Characteristics'!G:G,MATCH($C317,'Policy Characteristics'!$C:$C,0)))</f>
        <v>1</v>
      </c>
      <c r="N317" s="261">
        <f>IF(ISBLANK(INDEX('Policy Characteristics'!H:H,MATCH($C317,'Policy Characteristics'!$C:$C,0))),"",INDEX('Policy Characteristics'!H:H,MATCH($C317,'Policy Characteristics'!$C:$C,0)))</f>
        <v>0.02</v>
      </c>
      <c r="O317" s="254" t="str">
        <f>IF(ISBLANK(INDEX('Policy Characteristics'!I:I,MATCH($C317,'Policy Characteristics'!$C:$C,0))),"",INDEX('Policy Characteristics'!I:I,MATCH($C317,'Policy Characteristics'!$C:$C,0)))</f>
        <v>% change in imports</v>
      </c>
      <c r="P317" s="254"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4" t="str">
        <f>IF(ISBLANK(INDEX('Policy Characteristics'!K:K,MATCH($C317,'Policy Characteristics'!$C:$C,0))),"",INDEX('Policy Characteristics'!K:K,MATCH($C317,'Policy Characteristics'!$C:$C,0)))</f>
        <v>electricity-sector-main.html#elec-imports</v>
      </c>
      <c r="R317" s="254" t="str">
        <f>IF(ISBLANK(INDEX('Policy Characteristics'!L:L,MATCH($C317,'Policy Characteristics'!$C:$C,0))),"",INDEX('Policy Characteristics'!L:L,MATCH($C317,'Policy Characteristics'!$C:$C,0)))</f>
        <v>electricity-imports-exports.html</v>
      </c>
    </row>
    <row r="318" spans="1:18" s="2" customFormat="1" x14ac:dyDescent="0.3">
      <c r="A318" s="254" t="str">
        <f>IF(ISBLANK(INDEX('Policy Characteristics'!A:A,MATCH($C318,'Policy Characteristics'!$C:$C,0))),"",INDEX('Policy Characteristics'!A:A,MATCH($C318,'Policy Characteristics'!$C:$C,0)))</f>
        <v>Electricity Supply</v>
      </c>
      <c r="B318" s="262" t="str">
        <f>IF(ISBLANK(INDEX('Policy Characteristics'!B:B,MATCH($C318,'Policy Characteristics'!$C:$C,0))),"",INDEX('Policy Characteristics'!B:B,MATCH($C318,'Policy Characteristics'!$C:$C,0)))</f>
        <v>Change Electricity Imports</v>
      </c>
      <c r="C318" s="254" t="str">
        <f t="shared" si="20"/>
        <v>Percent Change in Electricity Imports</v>
      </c>
      <c r="D318" s="6" t="s">
        <v>2749</v>
      </c>
      <c r="E318" s="45"/>
      <c r="F318" s="6" t="s">
        <v>2592</v>
      </c>
      <c r="G318" s="6"/>
      <c r="H318" s="47">
        <v>539</v>
      </c>
      <c r="I318" s="324" t="s">
        <v>44</v>
      </c>
      <c r="J318" s="255" t="str">
        <f>IF(ISBLANK(INDEX('Policy Characteristics'!D:D,MATCH($C318,'Policy Characteristics'!$C:$C,0))),"",INDEX('Policy Characteristics'!D:D,MATCH($C318,'Policy Characteristics'!$C:$C,0)))</f>
        <v>Electricity Imports and Exports</v>
      </c>
      <c r="K318" s="254" t="str">
        <f>IF(ISBLANK(INDEX('Policy Characteristics'!E:E,MATCH($C318,'Policy Characteristics'!$C:$C,0))),"",INDEX('Policy Characteristics'!E:E,MATCH($C318,'Policy Characteristics'!$C:$C,0)))</f>
        <v>elec change imports</v>
      </c>
      <c r="L318" s="261">
        <f>IF(ISBLANK(INDEX('Policy Characteristics'!F:F,MATCH($C318,'Policy Characteristics'!$C:$C,0))),"",INDEX('Policy Characteristics'!F:F,MATCH($C318,'Policy Characteristics'!$C:$C,0)))</f>
        <v>-0.5</v>
      </c>
      <c r="M318" s="261">
        <f>IF(ISBLANK(INDEX('Policy Characteristics'!G:G,MATCH($C318,'Policy Characteristics'!$C:$C,0))),"",INDEX('Policy Characteristics'!G:G,MATCH($C318,'Policy Characteristics'!$C:$C,0)))</f>
        <v>1</v>
      </c>
      <c r="N318" s="261">
        <f>IF(ISBLANK(INDEX('Policy Characteristics'!H:H,MATCH($C318,'Policy Characteristics'!$C:$C,0))),"",INDEX('Policy Characteristics'!H:H,MATCH($C318,'Policy Characteristics'!$C:$C,0)))</f>
        <v>0.02</v>
      </c>
      <c r="O318" s="254" t="str">
        <f>IF(ISBLANK(INDEX('Policy Characteristics'!I:I,MATCH($C318,'Policy Characteristics'!$C:$C,0))),"",INDEX('Policy Characteristics'!I:I,MATCH($C318,'Policy Characteristics'!$C:$C,0)))</f>
        <v>% change in imports</v>
      </c>
      <c r="P318" s="254"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4" t="str">
        <f>IF(ISBLANK(INDEX('Policy Characteristics'!K:K,MATCH($C318,'Policy Characteristics'!$C:$C,0))),"",INDEX('Policy Characteristics'!K:K,MATCH($C318,'Policy Characteristics'!$C:$C,0)))</f>
        <v>electricity-sector-main.html#elec-imports</v>
      </c>
      <c r="R318" s="254" t="str">
        <f>IF(ISBLANK(INDEX('Policy Characteristics'!L:L,MATCH($C318,'Policy Characteristics'!$C:$C,0))),"",INDEX('Policy Characteristics'!L:L,MATCH($C318,'Policy Characteristics'!$C:$C,0)))</f>
        <v>electricity-imports-exports.html</v>
      </c>
    </row>
    <row r="319" spans="1:18" s="2" customFormat="1" x14ac:dyDescent="0.3">
      <c r="A319" s="254" t="str">
        <f>IF(ISBLANK(INDEX('Policy Characteristics'!A:A,MATCH($C319,'Policy Characteristics'!$C:$C,0))),"",INDEX('Policy Characteristics'!A:A,MATCH($C319,'Policy Characteristics'!$C:$C,0)))</f>
        <v>Electricity Supply</v>
      </c>
      <c r="B319" s="262" t="str">
        <f>IF(ISBLANK(INDEX('Policy Characteristics'!B:B,MATCH($C319,'Policy Characteristics'!$C:$C,0))),"",INDEX('Policy Characteristics'!B:B,MATCH($C319,'Policy Characteristics'!$C:$C,0)))</f>
        <v>Change Electricity Imports</v>
      </c>
      <c r="C319" s="254" t="str">
        <f t="shared" si="20"/>
        <v>Percent Change in Electricity Imports</v>
      </c>
      <c r="D319" s="6" t="s">
        <v>2750</v>
      </c>
      <c r="E319" s="45"/>
      <c r="F319" s="6" t="s">
        <v>2471</v>
      </c>
      <c r="G319" s="6"/>
      <c r="H319" s="47">
        <v>540</v>
      </c>
      <c r="I319" s="324" t="s">
        <v>44</v>
      </c>
      <c r="J319" s="255" t="str">
        <f>IF(ISBLANK(INDEX('Policy Characteristics'!D:D,MATCH($C319,'Policy Characteristics'!$C:$C,0))),"",INDEX('Policy Characteristics'!D:D,MATCH($C319,'Policy Characteristics'!$C:$C,0)))</f>
        <v>Electricity Imports and Exports</v>
      </c>
      <c r="K319" s="254" t="str">
        <f>IF(ISBLANK(INDEX('Policy Characteristics'!E:E,MATCH($C319,'Policy Characteristics'!$C:$C,0))),"",INDEX('Policy Characteristics'!E:E,MATCH($C319,'Policy Characteristics'!$C:$C,0)))</f>
        <v>elec change imports</v>
      </c>
      <c r="L319" s="261">
        <f>IF(ISBLANK(INDEX('Policy Characteristics'!F:F,MATCH($C319,'Policy Characteristics'!$C:$C,0))),"",INDEX('Policy Characteristics'!F:F,MATCH($C319,'Policy Characteristics'!$C:$C,0)))</f>
        <v>-0.5</v>
      </c>
      <c r="M319" s="261">
        <f>IF(ISBLANK(INDEX('Policy Characteristics'!G:G,MATCH($C319,'Policy Characteristics'!$C:$C,0))),"",INDEX('Policy Characteristics'!G:G,MATCH($C319,'Policy Characteristics'!$C:$C,0)))</f>
        <v>1</v>
      </c>
      <c r="N319" s="261">
        <f>IF(ISBLANK(INDEX('Policy Characteristics'!H:H,MATCH($C319,'Policy Characteristics'!$C:$C,0))),"",INDEX('Policy Characteristics'!H:H,MATCH($C319,'Policy Characteristics'!$C:$C,0)))</f>
        <v>0.02</v>
      </c>
      <c r="O319" s="254" t="str">
        <f>IF(ISBLANK(INDEX('Policy Characteristics'!I:I,MATCH($C319,'Policy Characteristics'!$C:$C,0))),"",INDEX('Policy Characteristics'!I:I,MATCH($C319,'Policy Characteristics'!$C:$C,0)))</f>
        <v>% change in imports</v>
      </c>
      <c r="P319" s="254"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4" t="str">
        <f>IF(ISBLANK(INDEX('Policy Characteristics'!K:K,MATCH($C319,'Policy Characteristics'!$C:$C,0))),"",INDEX('Policy Characteristics'!K:K,MATCH($C319,'Policy Characteristics'!$C:$C,0)))</f>
        <v>electricity-sector-main.html#elec-imports</v>
      </c>
      <c r="R319" s="254" t="str">
        <f>IF(ISBLANK(INDEX('Policy Characteristics'!L:L,MATCH($C319,'Policy Characteristics'!$C:$C,0))),"",INDEX('Policy Characteristics'!L:L,MATCH($C319,'Policy Characteristics'!$C:$C,0)))</f>
        <v>electricity-imports-exports.html</v>
      </c>
    </row>
    <row r="320" spans="1:18" s="2" customFormat="1" x14ac:dyDescent="0.3">
      <c r="A320" s="254" t="str">
        <f>IF(ISBLANK(INDEX('Policy Characteristics'!A:A,MATCH($C320,'Policy Characteristics'!$C:$C,0))),"",INDEX('Policy Characteristics'!A:A,MATCH($C320,'Policy Characteristics'!$C:$C,0)))</f>
        <v>Electricity Supply</v>
      </c>
      <c r="B320" s="262" t="str">
        <f>IF(ISBLANK(INDEX('Policy Characteristics'!B:B,MATCH($C320,'Policy Characteristics'!$C:$C,0))),"",INDEX('Policy Characteristics'!B:B,MATCH($C320,'Policy Characteristics'!$C:$C,0)))</f>
        <v>Change Electricity Imports</v>
      </c>
      <c r="C320" s="254" t="str">
        <f t="shared" si="20"/>
        <v>Percent Change in Electricity Imports</v>
      </c>
      <c r="D320" s="6" t="s">
        <v>3487</v>
      </c>
      <c r="E320" s="45"/>
      <c r="F320" s="6" t="s">
        <v>3494</v>
      </c>
      <c r="G320" s="6"/>
      <c r="H320" s="47">
        <v>1754</v>
      </c>
      <c r="I320" s="324" t="s">
        <v>44</v>
      </c>
      <c r="J320" s="255" t="str">
        <f>IF(ISBLANK(INDEX('Policy Characteristics'!D:D,MATCH($C320,'Policy Characteristics'!$C:$C,0))),"",INDEX('Policy Characteristics'!D:D,MATCH($C320,'Policy Characteristics'!$C:$C,0)))</f>
        <v>Electricity Imports and Exports</v>
      </c>
      <c r="K320" s="254" t="str">
        <f>IF(ISBLANK(INDEX('Policy Characteristics'!E:E,MATCH($C320,'Policy Characteristics'!$C:$C,0))),"",INDEX('Policy Characteristics'!E:E,MATCH($C320,'Policy Characteristics'!$C:$C,0)))</f>
        <v>elec change imports</v>
      </c>
      <c r="L320" s="261">
        <f>IF(ISBLANK(INDEX('Policy Characteristics'!F:F,MATCH($C320,'Policy Characteristics'!$C:$C,0))),"",INDEX('Policy Characteristics'!F:F,MATCH($C320,'Policy Characteristics'!$C:$C,0)))</f>
        <v>-0.5</v>
      </c>
      <c r="M320" s="261">
        <f>IF(ISBLANK(INDEX('Policy Characteristics'!G:G,MATCH($C320,'Policy Characteristics'!$C:$C,0))),"",INDEX('Policy Characteristics'!G:G,MATCH($C320,'Policy Characteristics'!$C:$C,0)))</f>
        <v>1</v>
      </c>
      <c r="N320" s="261">
        <f>IF(ISBLANK(INDEX('Policy Characteristics'!H:H,MATCH($C320,'Policy Characteristics'!$C:$C,0))),"",INDEX('Policy Characteristics'!H:H,MATCH($C320,'Policy Characteristics'!$C:$C,0)))</f>
        <v>0.02</v>
      </c>
      <c r="O320" s="254" t="str">
        <f>IF(ISBLANK(INDEX('Policy Characteristics'!I:I,MATCH($C320,'Policy Characteristics'!$C:$C,0))),"",INDEX('Policy Characteristics'!I:I,MATCH($C320,'Policy Characteristics'!$C:$C,0)))</f>
        <v>% change in imports</v>
      </c>
      <c r="P320" s="254"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4" t="str">
        <f>IF(ISBLANK(INDEX('Policy Characteristics'!K:K,MATCH($C320,'Policy Characteristics'!$C:$C,0))),"",INDEX('Policy Characteristics'!K:K,MATCH($C320,'Policy Characteristics'!$C:$C,0)))</f>
        <v>electricity-sector-main.html#elec-imports</v>
      </c>
      <c r="R320" s="254" t="str">
        <f>IF(ISBLANK(INDEX('Policy Characteristics'!L:L,MATCH($C320,'Policy Characteristics'!$C:$C,0))),"",INDEX('Policy Characteristics'!L:L,MATCH($C320,'Policy Characteristics'!$C:$C,0)))</f>
        <v>electricity-imports-exports.html</v>
      </c>
    </row>
    <row r="321" spans="1:19" s="2" customFormat="1" x14ac:dyDescent="0.3">
      <c r="A321" s="254" t="str">
        <f>IF(ISBLANK(INDEX('Policy Characteristics'!A:A,MATCH($C321,'Policy Characteristics'!$C:$C,0))),"",INDEX('Policy Characteristics'!A:A,MATCH($C321,'Policy Characteristics'!$C:$C,0)))</f>
        <v>Electricity Supply</v>
      </c>
      <c r="B321" s="262" t="str">
        <f>IF(ISBLANK(INDEX('Policy Characteristics'!B:B,MATCH($C321,'Policy Characteristics'!$C:$C,0))),"",INDEX('Policy Characteristics'!B:B,MATCH($C321,'Policy Characteristics'!$C:$C,0)))</f>
        <v>Change Electricity Imports</v>
      </c>
      <c r="C321" s="254" t="str">
        <f t="shared" si="20"/>
        <v>Percent Change in Electricity Imports</v>
      </c>
      <c r="D321" s="6" t="s">
        <v>3490</v>
      </c>
      <c r="E321" s="45"/>
      <c r="F321" s="6" t="s">
        <v>3495</v>
      </c>
      <c r="G321" s="6"/>
      <c r="H321" s="47">
        <v>1755</v>
      </c>
      <c r="I321" s="324" t="s">
        <v>44</v>
      </c>
      <c r="J321" s="255" t="str">
        <f>IF(ISBLANK(INDEX('Policy Characteristics'!D:D,MATCH($C321,'Policy Characteristics'!$C:$C,0))),"",INDEX('Policy Characteristics'!D:D,MATCH($C321,'Policy Characteristics'!$C:$C,0)))</f>
        <v>Electricity Imports and Exports</v>
      </c>
      <c r="K321" s="254" t="str">
        <f>IF(ISBLANK(INDEX('Policy Characteristics'!E:E,MATCH($C321,'Policy Characteristics'!$C:$C,0))),"",INDEX('Policy Characteristics'!E:E,MATCH($C321,'Policy Characteristics'!$C:$C,0)))</f>
        <v>elec change imports</v>
      </c>
      <c r="L321" s="261">
        <f>IF(ISBLANK(INDEX('Policy Characteristics'!F:F,MATCH($C321,'Policy Characteristics'!$C:$C,0))),"",INDEX('Policy Characteristics'!F:F,MATCH($C321,'Policy Characteristics'!$C:$C,0)))</f>
        <v>-0.5</v>
      </c>
      <c r="M321" s="261">
        <f>IF(ISBLANK(INDEX('Policy Characteristics'!G:G,MATCH($C321,'Policy Characteristics'!$C:$C,0))),"",INDEX('Policy Characteristics'!G:G,MATCH($C321,'Policy Characteristics'!$C:$C,0)))</f>
        <v>1</v>
      </c>
      <c r="N321" s="261">
        <f>IF(ISBLANK(INDEX('Policy Characteristics'!H:H,MATCH($C321,'Policy Characteristics'!$C:$C,0))),"",INDEX('Policy Characteristics'!H:H,MATCH($C321,'Policy Characteristics'!$C:$C,0)))</f>
        <v>0.02</v>
      </c>
      <c r="O321" s="254" t="str">
        <f>IF(ISBLANK(INDEX('Policy Characteristics'!I:I,MATCH($C321,'Policy Characteristics'!$C:$C,0))),"",INDEX('Policy Characteristics'!I:I,MATCH($C321,'Policy Characteristics'!$C:$C,0)))</f>
        <v>% change in imports</v>
      </c>
      <c r="P321" s="254"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4" t="str">
        <f>IF(ISBLANK(INDEX('Policy Characteristics'!K:K,MATCH($C321,'Policy Characteristics'!$C:$C,0))),"",INDEX('Policy Characteristics'!K:K,MATCH($C321,'Policy Characteristics'!$C:$C,0)))</f>
        <v>electricity-sector-main.html#elec-imports</v>
      </c>
      <c r="R321" s="254" t="str">
        <f>IF(ISBLANK(INDEX('Policy Characteristics'!L:L,MATCH($C321,'Policy Characteristics'!$C:$C,0))),"",INDEX('Policy Characteristics'!L:L,MATCH($C321,'Policy Characteristics'!$C:$C,0)))</f>
        <v>electricity-imports-exports.html</v>
      </c>
    </row>
    <row r="322" spans="1:19" s="2" customFormat="1" x14ac:dyDescent="0.3">
      <c r="A322" s="254" t="str">
        <f>IF(ISBLANK(INDEX('Policy Characteristics'!A:A,MATCH($C322,'Policy Characteristics'!$C:$C,0))),"",INDEX('Policy Characteristics'!A:A,MATCH($C322,'Policy Characteristics'!$C:$C,0)))</f>
        <v>Electricity Supply</v>
      </c>
      <c r="B322" s="262" t="str">
        <f>IF(ISBLANK(INDEX('Policy Characteristics'!B:B,MATCH($C322,'Policy Characteristics'!$C:$C,0))),"",INDEX('Policy Characteristics'!B:B,MATCH($C322,'Policy Characteristics'!$C:$C,0)))</f>
        <v>Change Electricity Imports</v>
      </c>
      <c r="C322" s="254" t="str">
        <f t="shared" si="20"/>
        <v>Percent Change in Electricity Imports</v>
      </c>
      <c r="D322" s="6" t="s">
        <v>3491</v>
      </c>
      <c r="E322" s="45"/>
      <c r="F322" s="6" t="s">
        <v>3496</v>
      </c>
      <c r="G322" s="6"/>
      <c r="H322" s="47">
        <v>1756</v>
      </c>
      <c r="I322" s="324" t="s">
        <v>44</v>
      </c>
      <c r="J322" s="255" t="str">
        <f>IF(ISBLANK(INDEX('Policy Characteristics'!D:D,MATCH($C322,'Policy Characteristics'!$C:$C,0))),"",INDEX('Policy Characteristics'!D:D,MATCH($C322,'Policy Characteristics'!$C:$C,0)))</f>
        <v>Electricity Imports and Exports</v>
      </c>
      <c r="K322" s="254" t="str">
        <f>IF(ISBLANK(INDEX('Policy Characteristics'!E:E,MATCH($C322,'Policy Characteristics'!$C:$C,0))),"",INDEX('Policy Characteristics'!E:E,MATCH($C322,'Policy Characteristics'!$C:$C,0)))</f>
        <v>elec change imports</v>
      </c>
      <c r="L322" s="261">
        <f>IF(ISBLANK(INDEX('Policy Characteristics'!F:F,MATCH($C322,'Policy Characteristics'!$C:$C,0))),"",INDEX('Policy Characteristics'!F:F,MATCH($C322,'Policy Characteristics'!$C:$C,0)))</f>
        <v>-0.5</v>
      </c>
      <c r="M322" s="261">
        <f>IF(ISBLANK(INDEX('Policy Characteristics'!G:G,MATCH($C322,'Policy Characteristics'!$C:$C,0))),"",INDEX('Policy Characteristics'!G:G,MATCH($C322,'Policy Characteristics'!$C:$C,0)))</f>
        <v>1</v>
      </c>
      <c r="N322" s="261">
        <f>IF(ISBLANK(INDEX('Policy Characteristics'!H:H,MATCH($C322,'Policy Characteristics'!$C:$C,0))),"",INDEX('Policy Characteristics'!H:H,MATCH($C322,'Policy Characteristics'!$C:$C,0)))</f>
        <v>0.02</v>
      </c>
      <c r="O322" s="254" t="str">
        <f>IF(ISBLANK(INDEX('Policy Characteristics'!I:I,MATCH($C322,'Policy Characteristics'!$C:$C,0))),"",INDEX('Policy Characteristics'!I:I,MATCH($C322,'Policy Characteristics'!$C:$C,0)))</f>
        <v>% change in imports</v>
      </c>
      <c r="P322" s="254"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4" t="str">
        <f>IF(ISBLANK(INDEX('Policy Characteristics'!K:K,MATCH($C322,'Policy Characteristics'!$C:$C,0))),"",INDEX('Policy Characteristics'!K:K,MATCH($C322,'Policy Characteristics'!$C:$C,0)))</f>
        <v>electricity-sector-main.html#elec-imports</v>
      </c>
      <c r="R322" s="254" t="str">
        <f>IF(ISBLANK(INDEX('Policy Characteristics'!L:L,MATCH($C322,'Policy Characteristics'!$C:$C,0))),"",INDEX('Policy Characteristics'!L:L,MATCH($C322,'Policy Characteristics'!$C:$C,0)))</f>
        <v>electricity-imports-exports.html</v>
      </c>
    </row>
    <row r="323" spans="1:19" s="2" customFormat="1" x14ac:dyDescent="0.3">
      <c r="A323" s="254" t="str">
        <f>IF(ISBLANK(INDEX('Policy Characteristics'!A:A,MATCH($C323,'Policy Characteristics'!$C:$C,0))),"",INDEX('Policy Characteristics'!A:A,MATCH($C323,'Policy Characteristics'!$C:$C,0)))</f>
        <v>Electricity Supply</v>
      </c>
      <c r="B323" s="262" t="str">
        <f>IF(ISBLANK(INDEX('Policy Characteristics'!B:B,MATCH($C323,'Policy Characteristics'!$C:$C,0))),"",INDEX('Policy Characteristics'!B:B,MATCH($C323,'Policy Characteristics'!$C:$C,0)))</f>
        <v>Change Electricity Imports</v>
      </c>
      <c r="C323" s="254" t="str">
        <f t="shared" si="20"/>
        <v>Percent Change in Electricity Imports</v>
      </c>
      <c r="D323" s="6" t="s">
        <v>3492</v>
      </c>
      <c r="E323" s="45"/>
      <c r="F323" s="6" t="s">
        <v>3497</v>
      </c>
      <c r="G323" s="6"/>
      <c r="H323" s="47">
        <v>1757</v>
      </c>
      <c r="I323" s="324" t="s">
        <v>44</v>
      </c>
      <c r="J323" s="255" t="str">
        <f>IF(ISBLANK(INDEX('Policy Characteristics'!D:D,MATCH($C323,'Policy Characteristics'!$C:$C,0))),"",INDEX('Policy Characteristics'!D:D,MATCH($C323,'Policy Characteristics'!$C:$C,0)))</f>
        <v>Electricity Imports and Exports</v>
      </c>
      <c r="K323" s="254" t="str">
        <f>IF(ISBLANK(INDEX('Policy Characteristics'!E:E,MATCH($C323,'Policy Characteristics'!$C:$C,0))),"",INDEX('Policy Characteristics'!E:E,MATCH($C323,'Policy Characteristics'!$C:$C,0)))</f>
        <v>elec change imports</v>
      </c>
      <c r="L323" s="261">
        <f>IF(ISBLANK(INDEX('Policy Characteristics'!F:F,MATCH($C323,'Policy Characteristics'!$C:$C,0))),"",INDEX('Policy Characteristics'!F:F,MATCH($C323,'Policy Characteristics'!$C:$C,0)))</f>
        <v>-0.5</v>
      </c>
      <c r="M323" s="261">
        <f>IF(ISBLANK(INDEX('Policy Characteristics'!G:G,MATCH($C323,'Policy Characteristics'!$C:$C,0))),"",INDEX('Policy Characteristics'!G:G,MATCH($C323,'Policy Characteristics'!$C:$C,0)))</f>
        <v>1</v>
      </c>
      <c r="N323" s="261">
        <f>IF(ISBLANK(INDEX('Policy Characteristics'!H:H,MATCH($C323,'Policy Characteristics'!$C:$C,0))),"",INDEX('Policy Characteristics'!H:H,MATCH($C323,'Policy Characteristics'!$C:$C,0)))</f>
        <v>0.02</v>
      </c>
      <c r="O323" s="254" t="str">
        <f>IF(ISBLANK(INDEX('Policy Characteristics'!I:I,MATCH($C323,'Policy Characteristics'!$C:$C,0))),"",INDEX('Policy Characteristics'!I:I,MATCH($C323,'Policy Characteristics'!$C:$C,0)))</f>
        <v>% change in imports</v>
      </c>
      <c r="P323" s="254"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4" t="str">
        <f>IF(ISBLANK(INDEX('Policy Characteristics'!K:K,MATCH($C323,'Policy Characteristics'!$C:$C,0))),"",INDEX('Policy Characteristics'!K:K,MATCH($C323,'Policy Characteristics'!$C:$C,0)))</f>
        <v>electricity-sector-main.html#elec-imports</v>
      </c>
      <c r="R323" s="254" t="str">
        <f>IF(ISBLANK(INDEX('Policy Characteristics'!L:L,MATCH($C323,'Policy Characteristics'!$C:$C,0))),"",INDEX('Policy Characteristics'!L:L,MATCH($C323,'Policy Characteristics'!$C:$C,0)))</f>
        <v>electricity-imports-exports.html</v>
      </c>
    </row>
    <row r="324" spans="1:19" s="2" customFormat="1" x14ac:dyDescent="0.3">
      <c r="A324" s="254" t="str">
        <f>IF(ISBLANK(INDEX('Policy Characteristics'!A:A,MATCH($C324,'Policy Characteristics'!$C:$C,0))),"",INDEX('Policy Characteristics'!A:A,MATCH($C324,'Policy Characteristics'!$C:$C,0)))</f>
        <v>Electricity Supply</v>
      </c>
      <c r="B324" s="262" t="str">
        <f>IF(ISBLANK(INDEX('Policy Characteristics'!B:B,MATCH($C324,'Policy Characteristics'!$C:$C,0))),"",INDEX('Policy Characteristics'!B:B,MATCH($C324,'Policy Characteristics'!$C:$C,0)))</f>
        <v>Change Electricity Imports</v>
      </c>
      <c r="C324" s="254" t="str">
        <f t="shared" si="20"/>
        <v>Percent Change in Electricity Imports</v>
      </c>
      <c r="D324" s="6" t="s">
        <v>3493</v>
      </c>
      <c r="E324" s="45"/>
      <c r="F324" s="6" t="s">
        <v>3498</v>
      </c>
      <c r="G324" s="6"/>
      <c r="H324" s="47">
        <v>1758</v>
      </c>
      <c r="I324" s="324" t="s">
        <v>44</v>
      </c>
      <c r="J324" s="255" t="str">
        <f>IF(ISBLANK(INDEX('Policy Characteristics'!D:D,MATCH($C324,'Policy Characteristics'!$C:$C,0))),"",INDEX('Policy Characteristics'!D:D,MATCH($C324,'Policy Characteristics'!$C:$C,0)))</f>
        <v>Electricity Imports and Exports</v>
      </c>
      <c r="K324" s="254" t="str">
        <f>IF(ISBLANK(INDEX('Policy Characteristics'!E:E,MATCH($C324,'Policy Characteristics'!$C:$C,0))),"",INDEX('Policy Characteristics'!E:E,MATCH($C324,'Policy Characteristics'!$C:$C,0)))</f>
        <v>elec change imports</v>
      </c>
      <c r="L324" s="261">
        <f>IF(ISBLANK(INDEX('Policy Characteristics'!F:F,MATCH($C324,'Policy Characteristics'!$C:$C,0))),"",INDEX('Policy Characteristics'!F:F,MATCH($C324,'Policy Characteristics'!$C:$C,0)))</f>
        <v>-0.5</v>
      </c>
      <c r="M324" s="261">
        <f>IF(ISBLANK(INDEX('Policy Characteristics'!G:G,MATCH($C324,'Policy Characteristics'!$C:$C,0))),"",INDEX('Policy Characteristics'!G:G,MATCH($C324,'Policy Characteristics'!$C:$C,0)))</f>
        <v>1</v>
      </c>
      <c r="N324" s="261">
        <f>IF(ISBLANK(INDEX('Policy Characteristics'!H:H,MATCH($C324,'Policy Characteristics'!$C:$C,0))),"",INDEX('Policy Characteristics'!H:H,MATCH($C324,'Policy Characteristics'!$C:$C,0)))</f>
        <v>0.02</v>
      </c>
      <c r="O324" s="254" t="str">
        <f>IF(ISBLANK(INDEX('Policy Characteristics'!I:I,MATCH($C324,'Policy Characteristics'!$C:$C,0))),"",INDEX('Policy Characteristics'!I:I,MATCH($C324,'Policy Characteristics'!$C:$C,0)))</f>
        <v>% change in imports</v>
      </c>
      <c r="P324" s="254"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4" t="str">
        <f>IF(ISBLANK(INDEX('Policy Characteristics'!K:K,MATCH($C324,'Policy Characteristics'!$C:$C,0))),"",INDEX('Policy Characteristics'!K:K,MATCH($C324,'Policy Characteristics'!$C:$C,0)))</f>
        <v>electricity-sector-main.html#elec-imports</v>
      </c>
      <c r="R324" s="254" t="str">
        <f>IF(ISBLANK(INDEX('Policy Characteristics'!L:L,MATCH($C324,'Policy Characteristics'!$C:$C,0))),"",INDEX('Policy Characteristics'!L:L,MATCH($C324,'Policy Characteristics'!$C:$C,0)))</f>
        <v>electricity-imports-exports.html</v>
      </c>
    </row>
    <row r="325" spans="1:19" s="2" customFormat="1" x14ac:dyDescent="0.3">
      <c r="A325" s="254" t="str">
        <f>IF(ISBLANK(INDEX('Policy Characteristics'!A:A,MATCH($C325,'Policy Characteristics'!$C:$C,0))),"",INDEX('Policy Characteristics'!A:A,MATCH($C325,'Policy Characteristics'!$C:$C,0)))</f>
        <v>Electricity Supply</v>
      </c>
      <c r="B325" s="262" t="str">
        <f>IF(ISBLANK(INDEX('Policy Characteristics'!B:B,MATCH($C325,'Policy Characteristics'!$C:$C,0))),"",INDEX('Policy Characteristics'!B:B,MATCH($C325,'Policy Characteristics'!$C:$C,0)))</f>
        <v>Change Electricity Imports</v>
      </c>
      <c r="C325" s="254" t="str">
        <f t="shared" si="20"/>
        <v>Percent Change in Electricity Imports</v>
      </c>
      <c r="D325" s="6" t="s">
        <v>3582</v>
      </c>
      <c r="E325" s="45"/>
      <c r="F325" s="6" t="s">
        <v>3580</v>
      </c>
      <c r="G325" s="6"/>
      <c r="H325" s="47">
        <v>1759</v>
      </c>
      <c r="I325" s="324" t="s">
        <v>44</v>
      </c>
      <c r="J325" s="255" t="str">
        <f>IF(ISBLANK(INDEX('Policy Characteristics'!D:D,MATCH($C325,'Policy Characteristics'!$C:$C,0))),"",INDEX('Policy Characteristics'!D:D,MATCH($C325,'Policy Characteristics'!$C:$C,0)))</f>
        <v>Electricity Imports and Exports</v>
      </c>
      <c r="K325" s="254" t="str">
        <f>IF(ISBLANK(INDEX('Policy Characteristics'!E:E,MATCH($C325,'Policy Characteristics'!$C:$C,0))),"",INDEX('Policy Characteristics'!E:E,MATCH($C325,'Policy Characteristics'!$C:$C,0)))</f>
        <v>elec change imports</v>
      </c>
      <c r="L325" s="261">
        <f>IF(ISBLANK(INDEX('Policy Characteristics'!F:F,MATCH($C325,'Policy Characteristics'!$C:$C,0))),"",INDEX('Policy Characteristics'!F:F,MATCH($C325,'Policy Characteristics'!$C:$C,0)))</f>
        <v>-0.5</v>
      </c>
      <c r="M325" s="261">
        <f>IF(ISBLANK(INDEX('Policy Characteristics'!G:G,MATCH($C325,'Policy Characteristics'!$C:$C,0))),"",INDEX('Policy Characteristics'!G:G,MATCH($C325,'Policy Characteristics'!$C:$C,0)))</f>
        <v>1</v>
      </c>
      <c r="N325" s="261">
        <f>IF(ISBLANK(INDEX('Policy Characteristics'!H:H,MATCH($C325,'Policy Characteristics'!$C:$C,0))),"",INDEX('Policy Characteristics'!H:H,MATCH($C325,'Policy Characteristics'!$C:$C,0)))</f>
        <v>0.02</v>
      </c>
      <c r="O325" s="254" t="str">
        <f>IF(ISBLANK(INDEX('Policy Characteristics'!I:I,MATCH($C325,'Policy Characteristics'!$C:$C,0))),"",INDEX('Policy Characteristics'!I:I,MATCH($C325,'Policy Characteristics'!$C:$C,0)))</f>
        <v>% change in imports</v>
      </c>
      <c r="P325" s="254"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4" t="str">
        <f>IF(ISBLANK(INDEX('Policy Characteristics'!K:K,MATCH($C325,'Policy Characteristics'!$C:$C,0))),"",INDEX('Policy Characteristics'!K:K,MATCH($C325,'Policy Characteristics'!$C:$C,0)))</f>
        <v>electricity-sector-main.html#elec-imports</v>
      </c>
      <c r="R325" s="254" t="str">
        <f>IF(ISBLANK(INDEX('Policy Characteristics'!L:L,MATCH($C325,'Policy Characteristics'!$C:$C,0))),"",INDEX('Policy Characteristics'!L:L,MATCH($C325,'Policy Characteristics'!$C:$C,0)))</f>
        <v>electricity-imports-exports.html</v>
      </c>
    </row>
    <row r="326" spans="1:19" s="2" customFormat="1" x14ac:dyDescent="0.3">
      <c r="A326" s="254" t="str">
        <f>IF(ISBLANK(INDEX('Policy Characteristics'!A:A,MATCH($C326,'Policy Characteristics'!$C:$C,0))),"",INDEX('Policy Characteristics'!A:A,MATCH($C326,'Policy Characteristics'!$C:$C,0)))</f>
        <v>Electricity Supply</v>
      </c>
      <c r="B326" s="262" t="str">
        <f>IF(ISBLANK(INDEX('Policy Characteristics'!B:B,MATCH($C326,'Policy Characteristics'!$C:$C,0))),"",INDEX('Policy Characteristics'!B:B,MATCH($C326,'Policy Characteristics'!$C:$C,0)))</f>
        <v>Change Electricity Imports</v>
      </c>
      <c r="C326" s="254" t="str">
        <f t="shared" si="20"/>
        <v>Percent Change in Electricity Imports</v>
      </c>
      <c r="D326" s="6" t="s">
        <v>3583</v>
      </c>
      <c r="E326" s="45"/>
      <c r="F326" s="6" t="s">
        <v>3581</v>
      </c>
      <c r="G326" s="6"/>
      <c r="H326" s="47">
        <v>2237</v>
      </c>
      <c r="I326" s="324" t="s">
        <v>44</v>
      </c>
      <c r="J326" s="255" t="str">
        <f>IF(ISBLANK(INDEX('Policy Characteristics'!D:D,MATCH($C326,'Policy Characteristics'!$C:$C,0))),"",INDEX('Policy Characteristics'!D:D,MATCH($C326,'Policy Characteristics'!$C:$C,0)))</f>
        <v>Electricity Imports and Exports</v>
      </c>
      <c r="K326" s="254" t="str">
        <f>IF(ISBLANK(INDEX('Policy Characteristics'!E:E,MATCH($C326,'Policy Characteristics'!$C:$C,0))),"",INDEX('Policy Characteristics'!E:E,MATCH($C326,'Policy Characteristics'!$C:$C,0)))</f>
        <v>elec change imports</v>
      </c>
      <c r="L326" s="261">
        <f>IF(ISBLANK(INDEX('Policy Characteristics'!F:F,MATCH($C326,'Policy Characteristics'!$C:$C,0))),"",INDEX('Policy Characteristics'!F:F,MATCH($C326,'Policy Characteristics'!$C:$C,0)))</f>
        <v>-0.5</v>
      </c>
      <c r="M326" s="261">
        <f>IF(ISBLANK(INDEX('Policy Characteristics'!G:G,MATCH($C326,'Policy Characteristics'!$C:$C,0))),"",INDEX('Policy Characteristics'!G:G,MATCH($C326,'Policy Characteristics'!$C:$C,0)))</f>
        <v>1</v>
      </c>
      <c r="N326" s="261">
        <f>IF(ISBLANK(INDEX('Policy Characteristics'!H:H,MATCH($C326,'Policy Characteristics'!$C:$C,0))),"",INDEX('Policy Characteristics'!H:H,MATCH($C326,'Policy Characteristics'!$C:$C,0)))</f>
        <v>0.02</v>
      </c>
      <c r="O326" s="254" t="str">
        <f>IF(ISBLANK(INDEX('Policy Characteristics'!I:I,MATCH($C326,'Policy Characteristics'!$C:$C,0))),"",INDEX('Policy Characteristics'!I:I,MATCH($C326,'Policy Characteristics'!$C:$C,0)))</f>
        <v>% change in imports</v>
      </c>
      <c r="P326" s="254"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4" t="str">
        <f>IF(ISBLANK(INDEX('Policy Characteristics'!K:K,MATCH($C326,'Policy Characteristics'!$C:$C,0))),"",INDEX('Policy Characteristics'!K:K,MATCH($C326,'Policy Characteristics'!$C:$C,0)))</f>
        <v>electricity-sector-main.html#elec-imports</v>
      </c>
      <c r="R326" s="254" t="str">
        <f>IF(ISBLANK(INDEX('Policy Characteristics'!L:L,MATCH($C326,'Policy Characteristics'!$C:$C,0))),"",INDEX('Policy Characteristics'!L:L,MATCH($C326,'Policy Characteristics'!$C:$C,0)))</f>
        <v>electricity-imports-exports.html</v>
      </c>
    </row>
    <row r="327" spans="1:19" x14ac:dyDescent="0.3">
      <c r="A327" s="254" t="str">
        <f>IF(ISBLANK(INDEX('Policy Characteristics'!A:A,MATCH($C327,'Policy Characteristics'!$C:$C,0))),"",INDEX('Policy Characteristics'!A:A,MATCH($C327,'Policy Characteristics'!$C:$C,0)))</f>
        <v>Electricity Supply</v>
      </c>
      <c r="B327" s="262" t="str">
        <f>IF(ISBLANK(INDEX('Policy Characteristics'!B:B,MATCH($C327,'Policy Characteristics'!$C:$C,0))),"",INDEX('Policy Characteristics'!B:B,MATCH($C327,'Policy Characteristics'!$C:$C,0)))</f>
        <v>Non BAU Guaranteed Dispatch</v>
      </c>
      <c r="C327" t="s">
        <v>301</v>
      </c>
      <c r="D327" s="45"/>
      <c r="E327" s="45"/>
      <c r="F327" s="45"/>
      <c r="G327" s="45"/>
      <c r="H327" s="43">
        <v>619</v>
      </c>
      <c r="I327" s="324" t="s">
        <v>44</v>
      </c>
      <c r="J327" s="255" t="str">
        <f>IF(ISBLANK(INDEX('Policy Characteristics'!D:D,MATCH($C327,'Policy Characteristics'!$C:$C,0))),"",INDEX('Policy Characteristics'!D:D,MATCH($C327,'Policy Characteristics'!$C:$C,0)))</f>
        <v>Non BAU Guaranteed Dispatch</v>
      </c>
      <c r="K327" s="254" t="str">
        <f>IF(ISBLANK(INDEX('Policy Characteristics'!E:E,MATCH($C327,'Policy Characteristics'!$C:$C,0))),"",INDEX('Policy Characteristics'!E:E,MATCH($C327,'Policy Characteristics'!$C:$C,0)))</f>
        <v>elec non BAU guaranteed dispatch</v>
      </c>
      <c r="L327" s="261">
        <f>IF(ISBLANK(INDEX('Policy Characteristics'!F:F,MATCH($C327,'Policy Characteristics'!$C:$C,0))),"",INDEX('Policy Characteristics'!F:F,MATCH($C327,'Policy Characteristics'!$C:$C,0)))</f>
        <v>0</v>
      </c>
      <c r="M327" s="261">
        <f>IF(ISBLANK(INDEX('Policy Characteristics'!G:G,MATCH($C327,'Policy Characteristics'!$C:$C,0))),"",INDEX('Policy Characteristics'!G:G,MATCH($C327,'Policy Characteristics'!$C:$C,0)))</f>
        <v>1</v>
      </c>
      <c r="N327" s="261">
        <f>IF(ISBLANK(INDEX('Policy Characteristics'!H:H,MATCH($C327,'Policy Characteristics'!$C:$C,0))),"",INDEX('Policy Characteristics'!H:H,MATCH($C327,'Policy Characteristics'!$C:$C,0)))</f>
        <v>1</v>
      </c>
      <c r="O327" s="254" t="str">
        <f>IF(ISBLANK(INDEX('Policy Characteristics'!I:I,MATCH($C327,'Policy Characteristics'!$C:$C,0))),"",INDEX('Policy Characteristics'!I:I,MATCH($C327,'Policy Characteristics'!$C:$C,0)))</f>
        <v>on/off</v>
      </c>
      <c r="P327" s="254" t="str">
        <f>IF(ISBLANK(INDEX('Policy Characteristics'!J:J,MATCH($C327,'Policy Characteristics'!$C:$C,0))),"",INDEX('Policy Characteristics'!J:J,MATCH($C327,'Policy Characteristics'!$C:$C,0)))</f>
        <v/>
      </c>
      <c r="Q327" s="254" t="str">
        <f>IF(ISBLANK(INDEX('Policy Characteristics'!K:K,MATCH($C327,'Policy Characteristics'!$C:$C,0))),"",INDEX('Policy Characteristics'!K:K,MATCH($C327,'Policy Characteristics'!$C:$C,0)))</f>
        <v/>
      </c>
      <c r="R327" s="254" t="str">
        <f>IF(ISBLANK(INDEX('Policy Characteristics'!L:L,MATCH($C327,'Policy Characteristics'!$C:$C,0))),"",INDEX('Policy Characteristics'!L:L,MATCH($C327,'Policy Characteristics'!$C:$C,0)))</f>
        <v/>
      </c>
    </row>
    <row r="328" spans="1:19" x14ac:dyDescent="0.3">
      <c r="A328" s="254" t="str">
        <f>IF(ISBLANK(INDEX('Policy Characteristics'!A:A,MATCH($C328,'Policy Characteristics'!$C:$C,0))),"",INDEX('Policy Characteristics'!A:A,MATCH($C328,'Policy Characteristics'!$C:$C,0)))</f>
        <v>Electricity Supply</v>
      </c>
      <c r="B328" s="262" t="str">
        <f>IF(ISBLANK(INDEX('Policy Characteristics'!B:B,MATCH($C328,'Policy Characteristics'!$C:$C,0))),"",INDEX('Policy Characteristics'!B:B,MATCH($C328,'Policy Characteristics'!$C:$C,0)))</f>
        <v>Decrease Cost of Capital</v>
      </c>
      <c r="C328" s="1" t="s">
        <v>3482</v>
      </c>
      <c r="D328" s="45" t="s">
        <v>447</v>
      </c>
      <c r="E328" s="45"/>
      <c r="F328" s="45" t="s">
        <v>446</v>
      </c>
      <c r="G328" s="6"/>
      <c r="H328" s="43">
        <v>1730</v>
      </c>
      <c r="I328" s="325" t="s">
        <v>44</v>
      </c>
      <c r="J328" s="255" t="str">
        <f>IF(ISBLANK(INDEX('Policy Characteristics'!D:D,MATCH($C328,'Policy Characteristics'!$C:$C,0))),"",INDEX('Policy Characteristics'!D:D,MATCH($C328,'Policy Characteristics'!$C:$C,0)))</f>
        <v>Decrease Electricity Sector Cost of Capital</v>
      </c>
      <c r="K328" s="254" t="str">
        <f>IF(ISBLANK(INDEX('Policy Characteristics'!E:E,MATCH($C328,'Policy Characteristics'!$C:$C,0))),"",INDEX('Policy Characteristics'!E:E,MATCH($C328,'Policy Characteristics'!$C:$C,0)))</f>
        <v>elec power plant cost of capital</v>
      </c>
      <c r="L328" s="254">
        <f>IF(ISBLANK(INDEX('Policy Characteristics'!F:F,MATCH($C328,'Policy Characteristics'!$C:$C,0))),"",INDEX('Policy Characteristics'!F:F,MATCH($C328,'Policy Characteristics'!$C:$C,0)))</f>
        <v>0</v>
      </c>
      <c r="M328" s="406">
        <f>IF(ISBLANK(INDEX('Policy Characteristics'!G:G,MATCH($C328,'Policy Characteristics'!$C:$C,0))),"",INDEX('Policy Characteristics'!G:G,MATCH($C328,'Policy Characteristics'!$C:$C,0)))</f>
        <v>1</v>
      </c>
      <c r="N328" s="254">
        <f>IF(ISBLANK(INDEX('Policy Characteristics'!H:H,MATCH($C328,'Policy Characteristics'!$C:$C,0))),"",INDEX('Policy Characteristics'!H:H,MATCH($C328,'Policy Characteristics'!$C:$C,0)))</f>
        <v>1</v>
      </c>
      <c r="O328" s="254" t="str">
        <f>IF(ISBLANK(INDEX('Policy Characteristics'!I:I,MATCH($C328,'Policy Characteristics'!$C:$C,0))),"",INDEX('Policy Characteristics'!I:I,MATCH($C328,'Policy Characteristics'!$C:$C,0)))</f>
        <v>% decrease</v>
      </c>
      <c r="P328" s="254" t="str">
        <f>IF(ISBLANK(INDEX('Policy Characteristics'!J:J,MATCH($C328,'Policy Characteristics'!$C:$C,0))),"",INDEX('Policy Characteristics'!J:J,MATCH($C328,'Policy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28" s="254" t="str">
        <f>IF(ISBLANK(INDEX('Policy Characteristics'!K:K,MATCH($C328,'Policy Characteristics'!$C:$C,0))),"",INDEX('Policy Characteristics'!K:K,MATCH($C328,'Policy Characteristics'!$C:$C,0)))</f>
        <v/>
      </c>
      <c r="R328" s="254" t="str">
        <f>IF(ISBLANK(INDEX('Policy Characteristics'!L:L,MATCH($C328,'Policy Characteristics'!$C:$C,0))),"",INDEX('Policy Characteristics'!L:L,MATCH($C328,'Policy Characteristics'!$C:$C,0)))</f>
        <v/>
      </c>
      <c r="S328" s="314"/>
    </row>
    <row r="329" spans="1:19" x14ac:dyDescent="0.3">
      <c r="A329" s="254" t="str">
        <f>IF(ISBLANK(INDEX('Policy Characteristics'!A:A,MATCH($C329,'Policy Characteristics'!$C:$C,0))),"",INDEX('Policy Characteristics'!A:A,MATCH($C329,'Policy Characteristics'!$C:$C,0)))</f>
        <v>Electricity Supply</v>
      </c>
      <c r="B329" s="262" t="str">
        <f>IF(ISBLANK(INDEX('Policy Characteristics'!B:B,MATCH($C329,'Policy Characteristics'!$C:$C,0))),"",INDEX('Policy Characteristics'!B:B,MATCH($C329,'Policy Characteristics'!$C:$C,0)))</f>
        <v>Decrease Cost of Capital</v>
      </c>
      <c r="C329" s="254" t="str">
        <f t="shared" ref="C329:C351" si="21">$C$328</f>
        <v>Percentage Decrease in Cost of Capital for Power Plants</v>
      </c>
      <c r="D329" s="6" t="s">
        <v>3488</v>
      </c>
      <c r="E329" s="45"/>
      <c r="F329" s="6" t="s">
        <v>3424</v>
      </c>
      <c r="G329" s="6"/>
      <c r="H329" s="43">
        <v>1731</v>
      </c>
      <c r="I329" s="325" t="s">
        <v>44</v>
      </c>
      <c r="J329" s="255" t="str">
        <f>IF(ISBLANK(INDEX('Policy Characteristics'!D:D,MATCH($C329,'Policy Characteristics'!$C:$C,0))),"",INDEX('Policy Characteristics'!D:D,MATCH($C329,'Policy Characteristics'!$C:$C,0)))</f>
        <v>Decrease Electricity Sector Cost of Capital</v>
      </c>
      <c r="K329" s="254" t="str">
        <f>IF(ISBLANK(INDEX('Policy Characteristics'!E:E,MATCH($C329,'Policy Characteristics'!$C:$C,0))),"",INDEX('Policy Characteristics'!E:E,MATCH($C329,'Policy Characteristics'!$C:$C,0)))</f>
        <v>elec power plant cost of capital</v>
      </c>
      <c r="L329" s="254">
        <f>IF(ISBLANK(INDEX('Policy Characteristics'!F:F,MATCH($C329,'Policy Characteristics'!$C:$C,0))),"",INDEX('Policy Characteristics'!F:F,MATCH($C329,'Policy Characteristics'!$C:$C,0)))</f>
        <v>0</v>
      </c>
      <c r="M329" s="406">
        <f>IF(ISBLANK(INDEX('Policy Characteristics'!G:G,MATCH($C329,'Policy Characteristics'!$C:$C,0))),"",INDEX('Policy Characteristics'!G:G,MATCH($C329,'Policy Characteristics'!$C:$C,0)))</f>
        <v>1</v>
      </c>
      <c r="N329" s="254">
        <f>IF(ISBLANK(INDEX('Policy Characteristics'!H:H,MATCH($C329,'Policy Characteristics'!$C:$C,0))),"",INDEX('Policy Characteristics'!H:H,MATCH($C329,'Policy Characteristics'!$C:$C,0)))</f>
        <v>1</v>
      </c>
      <c r="O329" s="254" t="str">
        <f>IF(ISBLANK(INDEX('Policy Characteristics'!I:I,MATCH($C329,'Policy Characteristics'!$C:$C,0))),"",INDEX('Policy Characteristics'!I:I,MATCH($C329,'Policy Characteristics'!$C:$C,0)))</f>
        <v>% decrease</v>
      </c>
      <c r="P329" s="254" t="str">
        <f>IF(ISBLANK(INDEX('Policy Characteristics'!J:J,MATCH($C329,'Policy Characteristics'!$C:$C,0))),"",INDEX('Policy Characteristics'!J:J,MATCH($C329,'Policy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29" s="254" t="str">
        <f>IF(ISBLANK(INDEX('Policy Characteristics'!K:K,MATCH($C329,'Policy Characteristics'!$C:$C,0))),"",INDEX('Policy Characteristics'!K:K,MATCH($C329,'Policy Characteristics'!$C:$C,0)))</f>
        <v/>
      </c>
      <c r="R329" s="254" t="str">
        <f>IF(ISBLANK(INDEX('Policy Characteristics'!L:L,MATCH($C329,'Policy Characteristics'!$C:$C,0))),"",INDEX('Policy Characteristics'!L:L,MATCH($C329,'Policy Characteristics'!$C:$C,0)))</f>
        <v/>
      </c>
      <c r="S329" s="314"/>
    </row>
    <row r="330" spans="1:19" x14ac:dyDescent="0.3">
      <c r="A330" s="254" t="str">
        <f>IF(ISBLANK(INDEX('Policy Characteristics'!A:A,MATCH($C330,'Policy Characteristics'!$C:$C,0))),"",INDEX('Policy Characteristics'!A:A,MATCH($C330,'Policy Characteristics'!$C:$C,0)))</f>
        <v>Electricity Supply</v>
      </c>
      <c r="B330" s="262" t="str">
        <f>IF(ISBLANK(INDEX('Policy Characteristics'!B:B,MATCH($C330,'Policy Characteristics'!$C:$C,0))),"",INDEX('Policy Characteristics'!B:B,MATCH($C330,'Policy Characteristics'!$C:$C,0)))</f>
        <v>Decrease Cost of Capital</v>
      </c>
      <c r="C330" s="254" t="str">
        <f t="shared" si="21"/>
        <v>Percentage Decrease in Cost of Capital for Power Plants</v>
      </c>
      <c r="D330" s="6" t="s">
        <v>3489</v>
      </c>
      <c r="E330" s="45"/>
      <c r="F330" s="6" t="s">
        <v>3425</v>
      </c>
      <c r="G330" s="6"/>
      <c r="H330" s="43">
        <v>1803</v>
      </c>
      <c r="I330" s="325" t="s">
        <v>44</v>
      </c>
      <c r="J330" s="255" t="str">
        <f>IF(ISBLANK(INDEX('Policy Characteristics'!D:D,MATCH($C330,'Policy Characteristics'!$C:$C,0))),"",INDEX('Policy Characteristics'!D:D,MATCH($C330,'Policy Characteristics'!$C:$C,0)))</f>
        <v>Decrease Electricity Sector Cost of Capital</v>
      </c>
      <c r="K330" s="254" t="str">
        <f>IF(ISBLANK(INDEX('Policy Characteristics'!E:E,MATCH($C330,'Policy Characteristics'!$C:$C,0))),"",INDEX('Policy Characteristics'!E:E,MATCH($C330,'Policy Characteristics'!$C:$C,0)))</f>
        <v>elec power plant cost of capital</v>
      </c>
      <c r="L330" s="254">
        <f>IF(ISBLANK(INDEX('Policy Characteristics'!F:F,MATCH($C330,'Policy Characteristics'!$C:$C,0))),"",INDEX('Policy Characteristics'!F:F,MATCH($C330,'Policy Characteristics'!$C:$C,0)))</f>
        <v>0</v>
      </c>
      <c r="M330" s="406">
        <f>IF(ISBLANK(INDEX('Policy Characteristics'!G:G,MATCH($C330,'Policy Characteristics'!$C:$C,0))),"",INDEX('Policy Characteristics'!G:G,MATCH($C330,'Policy Characteristics'!$C:$C,0)))</f>
        <v>1</v>
      </c>
      <c r="N330" s="254">
        <f>IF(ISBLANK(INDEX('Policy Characteristics'!H:H,MATCH($C330,'Policy Characteristics'!$C:$C,0))),"",INDEX('Policy Characteristics'!H:H,MATCH($C330,'Policy Characteristics'!$C:$C,0)))</f>
        <v>1</v>
      </c>
      <c r="O330" s="254" t="str">
        <f>IF(ISBLANK(INDEX('Policy Characteristics'!I:I,MATCH($C330,'Policy Characteristics'!$C:$C,0))),"",INDEX('Policy Characteristics'!I:I,MATCH($C330,'Policy Characteristics'!$C:$C,0)))</f>
        <v>% decrease</v>
      </c>
      <c r="P330" s="254" t="str">
        <f>IF(ISBLANK(INDEX('Policy Characteristics'!J:J,MATCH($C330,'Policy Characteristics'!$C:$C,0))),"",INDEX('Policy Characteristics'!J:J,MATCH($C330,'Policy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0" s="254" t="str">
        <f>IF(ISBLANK(INDEX('Policy Characteristics'!K:K,MATCH($C330,'Policy Characteristics'!$C:$C,0))),"",INDEX('Policy Characteristics'!K:K,MATCH($C330,'Policy Characteristics'!$C:$C,0)))</f>
        <v/>
      </c>
      <c r="R330" s="254" t="str">
        <f>IF(ISBLANK(INDEX('Policy Characteristics'!L:L,MATCH($C330,'Policy Characteristics'!$C:$C,0))),"",INDEX('Policy Characteristics'!L:L,MATCH($C330,'Policy Characteristics'!$C:$C,0)))</f>
        <v/>
      </c>
      <c r="S330" s="314"/>
    </row>
    <row r="331" spans="1:19" x14ac:dyDescent="0.3">
      <c r="A331" s="254" t="str">
        <f>IF(ISBLANK(INDEX('Policy Characteristics'!A:A,MATCH($C331,'Policy Characteristics'!$C:$C,0))),"",INDEX('Policy Characteristics'!A:A,MATCH($C331,'Policy Characteristics'!$C:$C,0)))</f>
        <v>Electricity Supply</v>
      </c>
      <c r="B331" s="262" t="str">
        <f>IF(ISBLANK(INDEX('Policy Characteristics'!B:B,MATCH($C331,'Policy Characteristics'!$C:$C,0))),"",INDEX('Policy Characteristics'!B:B,MATCH($C331,'Policy Characteristics'!$C:$C,0)))</f>
        <v>Decrease Cost of Capital</v>
      </c>
      <c r="C331" s="254" t="str">
        <f t="shared" si="21"/>
        <v>Percentage Decrease in Cost of Capital for Power Plants</v>
      </c>
      <c r="D331" s="6" t="s">
        <v>76</v>
      </c>
      <c r="E331" s="45"/>
      <c r="F331" s="6" t="s">
        <v>3499</v>
      </c>
      <c r="G331" s="6"/>
      <c r="H331" s="43">
        <v>1732</v>
      </c>
      <c r="I331" s="325" t="s">
        <v>44</v>
      </c>
      <c r="J331" s="255" t="str">
        <f>IF(ISBLANK(INDEX('Policy Characteristics'!D:D,MATCH($C331,'Policy Characteristics'!$C:$C,0))),"",INDEX('Policy Characteristics'!D:D,MATCH($C331,'Policy Characteristics'!$C:$C,0)))</f>
        <v>Decrease Electricity Sector Cost of Capital</v>
      </c>
      <c r="K331" s="254" t="str">
        <f>IF(ISBLANK(INDEX('Policy Characteristics'!E:E,MATCH($C331,'Policy Characteristics'!$C:$C,0))),"",INDEX('Policy Characteristics'!E:E,MATCH($C331,'Policy Characteristics'!$C:$C,0)))</f>
        <v>elec power plant cost of capital</v>
      </c>
      <c r="L331" s="254">
        <f>IF(ISBLANK(INDEX('Policy Characteristics'!F:F,MATCH($C331,'Policy Characteristics'!$C:$C,0))),"",INDEX('Policy Characteristics'!F:F,MATCH($C331,'Policy Characteristics'!$C:$C,0)))</f>
        <v>0</v>
      </c>
      <c r="M331" s="406">
        <f>IF(ISBLANK(INDEX('Policy Characteristics'!G:G,MATCH($C331,'Policy Characteristics'!$C:$C,0))),"",INDEX('Policy Characteristics'!G:G,MATCH($C331,'Policy Characteristics'!$C:$C,0)))</f>
        <v>1</v>
      </c>
      <c r="N331" s="254">
        <f>IF(ISBLANK(INDEX('Policy Characteristics'!H:H,MATCH($C331,'Policy Characteristics'!$C:$C,0))),"",INDEX('Policy Characteristics'!H:H,MATCH($C331,'Policy Characteristics'!$C:$C,0)))</f>
        <v>1</v>
      </c>
      <c r="O331" s="254" t="str">
        <f>IF(ISBLANK(INDEX('Policy Characteristics'!I:I,MATCH($C331,'Policy Characteristics'!$C:$C,0))),"",INDEX('Policy Characteristics'!I:I,MATCH($C331,'Policy Characteristics'!$C:$C,0)))</f>
        <v>% decrease</v>
      </c>
      <c r="P331" s="254"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254" t="str">
        <f>IF(ISBLANK(INDEX('Policy Characteristics'!K:K,MATCH($C331,'Policy Characteristics'!$C:$C,0))),"",INDEX('Policy Characteristics'!K:K,MATCH($C331,'Policy Characteristics'!$C:$C,0)))</f>
        <v/>
      </c>
      <c r="R331" s="254" t="str">
        <f>IF(ISBLANK(INDEX('Policy Characteristics'!L:L,MATCH($C331,'Policy Characteristics'!$C:$C,0))),"",INDEX('Policy Characteristics'!L:L,MATCH($C331,'Policy Characteristics'!$C:$C,0)))</f>
        <v/>
      </c>
      <c r="S331" s="314"/>
    </row>
    <row r="332" spans="1:19" x14ac:dyDescent="0.3">
      <c r="A332" s="254" t="str">
        <f>IF(ISBLANK(INDEX('Policy Characteristics'!A:A,MATCH($C332,'Policy Characteristics'!$C:$C,0))),"",INDEX('Policy Characteristics'!A:A,MATCH($C332,'Policy Characteristics'!$C:$C,0)))</f>
        <v>Electricity Supply</v>
      </c>
      <c r="B332" s="262" t="str">
        <f>IF(ISBLANK(INDEX('Policy Characteristics'!B:B,MATCH($C332,'Policy Characteristics'!$C:$C,0))),"",INDEX('Policy Characteristics'!B:B,MATCH($C332,'Policy Characteristics'!$C:$C,0)))</f>
        <v>Decrease Cost of Capital</v>
      </c>
      <c r="C332" s="254" t="str">
        <f t="shared" si="21"/>
        <v>Percentage Decrease in Cost of Capital for Power Plants</v>
      </c>
      <c r="D332" s="6" t="s">
        <v>77</v>
      </c>
      <c r="E332" s="45"/>
      <c r="F332" s="6" t="s">
        <v>89</v>
      </c>
      <c r="G332" s="6"/>
      <c r="H332" s="43">
        <v>1733</v>
      </c>
      <c r="I332" s="325" t="s">
        <v>43</v>
      </c>
      <c r="J332" s="255" t="str">
        <f>IF(ISBLANK(INDEX('Policy Characteristics'!D:D,MATCH($C332,'Policy Characteristics'!$C:$C,0))),"",INDEX('Policy Characteristics'!D:D,MATCH($C332,'Policy Characteristics'!$C:$C,0)))</f>
        <v>Decrease Electricity Sector Cost of Capital</v>
      </c>
      <c r="K332" s="254" t="str">
        <f>IF(ISBLANK(INDEX('Policy Characteristics'!E:E,MATCH($C332,'Policy Characteristics'!$C:$C,0))),"",INDEX('Policy Characteristics'!E:E,MATCH($C332,'Policy Characteristics'!$C:$C,0)))</f>
        <v>elec power plant cost of capital</v>
      </c>
      <c r="L332" s="254">
        <f>IF(ISBLANK(INDEX('Policy Characteristics'!F:F,MATCH($C332,'Policy Characteristics'!$C:$C,0))),"",INDEX('Policy Characteristics'!F:F,MATCH($C332,'Policy Characteristics'!$C:$C,0)))</f>
        <v>0</v>
      </c>
      <c r="M332" s="406">
        <f>IF(ISBLANK(INDEX('Policy Characteristics'!G:G,MATCH($C332,'Policy Characteristics'!$C:$C,0))),"",INDEX('Policy Characteristics'!G:G,MATCH($C332,'Policy Characteristics'!$C:$C,0)))</f>
        <v>1</v>
      </c>
      <c r="N332" s="254">
        <f>IF(ISBLANK(INDEX('Policy Characteristics'!H:H,MATCH($C332,'Policy Characteristics'!$C:$C,0))),"",INDEX('Policy Characteristics'!H:H,MATCH($C332,'Policy Characteristics'!$C:$C,0)))</f>
        <v>1</v>
      </c>
      <c r="O332" s="254" t="str">
        <f>IF(ISBLANK(INDEX('Policy Characteristics'!I:I,MATCH($C332,'Policy Characteristics'!$C:$C,0))),"",INDEX('Policy Characteristics'!I:I,MATCH($C332,'Policy Characteristics'!$C:$C,0)))</f>
        <v>% decrease</v>
      </c>
      <c r="P332" s="254"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254" t="str">
        <f>IF(ISBLANK(INDEX('Policy Characteristics'!K:K,MATCH($C332,'Policy Characteristics'!$C:$C,0))),"",INDEX('Policy Characteristics'!K:K,MATCH($C332,'Policy Characteristics'!$C:$C,0)))</f>
        <v/>
      </c>
      <c r="R332" s="254" t="str">
        <f>IF(ISBLANK(INDEX('Policy Characteristics'!L:L,MATCH($C332,'Policy Characteristics'!$C:$C,0))),"",INDEX('Policy Characteristics'!L:L,MATCH($C332,'Policy Characteristics'!$C:$C,0)))</f>
        <v/>
      </c>
      <c r="S332" s="314"/>
    </row>
    <row r="333" spans="1:19" x14ac:dyDescent="0.3">
      <c r="A333" s="254" t="str">
        <f>IF(ISBLANK(INDEX('Policy Characteristics'!A:A,MATCH($C333,'Policy Characteristics'!$C:$C,0))),"",INDEX('Policy Characteristics'!A:A,MATCH($C333,'Policy Characteristics'!$C:$C,0)))</f>
        <v>Electricity Supply</v>
      </c>
      <c r="B333" s="262" t="str">
        <f>IF(ISBLANK(INDEX('Policy Characteristics'!B:B,MATCH($C333,'Policy Characteristics'!$C:$C,0))),"",INDEX('Policy Characteristics'!B:B,MATCH($C333,'Policy Characteristics'!$C:$C,0)))</f>
        <v>Decrease Cost of Capital</v>
      </c>
      <c r="C333" s="254" t="str">
        <f t="shared" si="21"/>
        <v>Percentage Decrease in Cost of Capital for Power Plants</v>
      </c>
      <c r="D333" s="6" t="s">
        <v>448</v>
      </c>
      <c r="E333" s="45"/>
      <c r="F333" s="6" t="s">
        <v>451</v>
      </c>
      <c r="G333" s="6"/>
      <c r="H333" s="43">
        <v>1734</v>
      </c>
      <c r="I333" s="325" t="s">
        <v>43</v>
      </c>
      <c r="J333" s="255" t="str">
        <f>IF(ISBLANK(INDEX('Policy Characteristics'!D:D,MATCH($C333,'Policy Characteristics'!$C:$C,0))),"",INDEX('Policy Characteristics'!D:D,MATCH($C333,'Policy Characteristics'!$C:$C,0)))</f>
        <v>Decrease Electricity Sector Cost of Capital</v>
      </c>
      <c r="K333" s="254" t="str">
        <f>IF(ISBLANK(INDEX('Policy Characteristics'!E:E,MATCH($C333,'Policy Characteristics'!$C:$C,0))),"",INDEX('Policy Characteristics'!E:E,MATCH($C333,'Policy Characteristics'!$C:$C,0)))</f>
        <v>elec power plant cost of capital</v>
      </c>
      <c r="L333" s="254">
        <f>IF(ISBLANK(INDEX('Policy Characteristics'!F:F,MATCH($C333,'Policy Characteristics'!$C:$C,0))),"",INDEX('Policy Characteristics'!F:F,MATCH($C333,'Policy Characteristics'!$C:$C,0)))</f>
        <v>0</v>
      </c>
      <c r="M333" s="406">
        <f>IF(ISBLANK(INDEX('Policy Characteristics'!G:G,MATCH($C333,'Policy Characteristics'!$C:$C,0))),"",INDEX('Policy Characteristics'!G:G,MATCH($C333,'Policy Characteristics'!$C:$C,0)))</f>
        <v>1</v>
      </c>
      <c r="N333" s="254">
        <f>IF(ISBLANK(INDEX('Policy Characteristics'!H:H,MATCH($C333,'Policy Characteristics'!$C:$C,0))),"",INDEX('Policy Characteristics'!H:H,MATCH($C333,'Policy Characteristics'!$C:$C,0)))</f>
        <v>1</v>
      </c>
      <c r="O333" s="254" t="str">
        <f>IF(ISBLANK(INDEX('Policy Characteristics'!I:I,MATCH($C333,'Policy Characteristics'!$C:$C,0))),"",INDEX('Policy Characteristics'!I:I,MATCH($C333,'Policy Characteristics'!$C:$C,0)))</f>
        <v>% decrease</v>
      </c>
      <c r="P333" s="254"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4" t="str">
        <f>IF(ISBLANK(INDEX('Policy Characteristics'!K:K,MATCH($C333,'Policy Characteristics'!$C:$C,0))),"",INDEX('Policy Characteristics'!K:K,MATCH($C333,'Policy Characteristics'!$C:$C,0)))</f>
        <v/>
      </c>
      <c r="R333" s="254" t="str">
        <f>IF(ISBLANK(INDEX('Policy Characteristics'!L:L,MATCH($C333,'Policy Characteristics'!$C:$C,0))),"",INDEX('Policy Characteristics'!L:L,MATCH($C333,'Policy Characteristics'!$C:$C,0)))</f>
        <v/>
      </c>
      <c r="S333" s="314"/>
    </row>
    <row r="334" spans="1:19" x14ac:dyDescent="0.3">
      <c r="A334" s="254" t="str">
        <f>IF(ISBLANK(INDEX('Policy Characteristics'!A:A,MATCH($C334,'Policy Characteristics'!$C:$C,0))),"",INDEX('Policy Characteristics'!A:A,MATCH($C334,'Policy Characteristics'!$C:$C,0)))</f>
        <v>Electricity Supply</v>
      </c>
      <c r="B334" s="262" t="str">
        <f>IF(ISBLANK(INDEX('Policy Characteristics'!B:B,MATCH($C334,'Policy Characteristics'!$C:$C,0))),"",INDEX('Policy Characteristics'!B:B,MATCH($C334,'Policy Characteristics'!$C:$C,0)))</f>
        <v>Decrease Cost of Capital</v>
      </c>
      <c r="C334" s="254" t="str">
        <f t="shared" si="21"/>
        <v>Percentage Decrease in Cost of Capital for Power Plants</v>
      </c>
      <c r="D334" s="6" t="s">
        <v>78</v>
      </c>
      <c r="E334" s="45"/>
      <c r="F334" s="6" t="s">
        <v>90</v>
      </c>
      <c r="G334" s="6"/>
      <c r="H334" s="43">
        <v>1735</v>
      </c>
      <c r="I334" s="325" t="s">
        <v>43</v>
      </c>
      <c r="J334" s="255" t="str">
        <f>IF(ISBLANK(INDEX('Policy Characteristics'!D:D,MATCH($C334,'Policy Characteristics'!$C:$C,0))),"",INDEX('Policy Characteristics'!D:D,MATCH($C334,'Policy Characteristics'!$C:$C,0)))</f>
        <v>Decrease Electricity Sector Cost of Capital</v>
      </c>
      <c r="K334" s="254" t="str">
        <f>IF(ISBLANK(INDEX('Policy Characteristics'!E:E,MATCH($C334,'Policy Characteristics'!$C:$C,0))),"",INDEX('Policy Characteristics'!E:E,MATCH($C334,'Policy Characteristics'!$C:$C,0)))</f>
        <v>elec power plant cost of capital</v>
      </c>
      <c r="L334" s="254">
        <f>IF(ISBLANK(INDEX('Policy Characteristics'!F:F,MATCH($C334,'Policy Characteristics'!$C:$C,0))),"",INDEX('Policy Characteristics'!F:F,MATCH($C334,'Policy Characteristics'!$C:$C,0)))</f>
        <v>0</v>
      </c>
      <c r="M334" s="406">
        <f>IF(ISBLANK(INDEX('Policy Characteristics'!G:G,MATCH($C334,'Policy Characteristics'!$C:$C,0))),"",INDEX('Policy Characteristics'!G:G,MATCH($C334,'Policy Characteristics'!$C:$C,0)))</f>
        <v>1</v>
      </c>
      <c r="N334" s="254">
        <f>IF(ISBLANK(INDEX('Policy Characteristics'!H:H,MATCH($C334,'Policy Characteristics'!$C:$C,0))),"",INDEX('Policy Characteristics'!H:H,MATCH($C334,'Policy Characteristics'!$C:$C,0)))</f>
        <v>1</v>
      </c>
      <c r="O334" s="254" t="str">
        <f>IF(ISBLANK(INDEX('Policy Characteristics'!I:I,MATCH($C334,'Policy Characteristics'!$C:$C,0))),"",INDEX('Policy Characteristics'!I:I,MATCH($C334,'Policy Characteristics'!$C:$C,0)))</f>
        <v>% decrease</v>
      </c>
      <c r="P334" s="254"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4" t="str">
        <f>IF(ISBLANK(INDEX('Policy Characteristics'!K:K,MATCH($C334,'Policy Characteristics'!$C:$C,0))),"",INDEX('Policy Characteristics'!K:K,MATCH($C334,'Policy Characteristics'!$C:$C,0)))</f>
        <v/>
      </c>
      <c r="R334" s="254" t="str">
        <f>IF(ISBLANK(INDEX('Policy Characteristics'!L:L,MATCH($C334,'Policy Characteristics'!$C:$C,0))),"",INDEX('Policy Characteristics'!L:L,MATCH($C334,'Policy Characteristics'!$C:$C,0)))</f>
        <v/>
      </c>
      <c r="S334" s="314"/>
    </row>
    <row r="335" spans="1:19" x14ac:dyDescent="0.3">
      <c r="A335" s="254" t="str">
        <f>IF(ISBLANK(INDEX('Policy Characteristics'!A:A,MATCH($C335,'Policy Characteristics'!$C:$C,0))),"",INDEX('Policy Characteristics'!A:A,MATCH($C335,'Policy Characteristics'!$C:$C,0)))</f>
        <v>Electricity Supply</v>
      </c>
      <c r="B335" s="262" t="str">
        <f>IF(ISBLANK(INDEX('Policy Characteristics'!B:B,MATCH($C335,'Policy Characteristics'!$C:$C,0))),"",INDEX('Policy Characteristics'!B:B,MATCH($C335,'Policy Characteristics'!$C:$C,0)))</f>
        <v>Decrease Cost of Capital</v>
      </c>
      <c r="C335" s="254" t="str">
        <f t="shared" si="21"/>
        <v>Percentage Decrease in Cost of Capital for Power Plants</v>
      </c>
      <c r="D335" s="6" t="s">
        <v>79</v>
      </c>
      <c r="E335" s="45"/>
      <c r="F335" s="6" t="s">
        <v>91</v>
      </c>
      <c r="G335" s="6"/>
      <c r="H335" s="43">
        <v>1736</v>
      </c>
      <c r="I335" s="325" t="s">
        <v>43</v>
      </c>
      <c r="J335" s="255" t="str">
        <f>IF(ISBLANK(INDEX('Policy Characteristics'!D:D,MATCH($C335,'Policy Characteristics'!$C:$C,0))),"",INDEX('Policy Characteristics'!D:D,MATCH($C335,'Policy Characteristics'!$C:$C,0)))</f>
        <v>Decrease Electricity Sector Cost of Capital</v>
      </c>
      <c r="K335" s="254" t="str">
        <f>IF(ISBLANK(INDEX('Policy Characteristics'!E:E,MATCH($C335,'Policy Characteristics'!$C:$C,0))),"",INDEX('Policy Characteristics'!E:E,MATCH($C335,'Policy Characteristics'!$C:$C,0)))</f>
        <v>elec power plant cost of capital</v>
      </c>
      <c r="L335" s="254">
        <f>IF(ISBLANK(INDEX('Policy Characteristics'!F:F,MATCH($C335,'Policy Characteristics'!$C:$C,0))),"",INDEX('Policy Characteristics'!F:F,MATCH($C335,'Policy Characteristics'!$C:$C,0)))</f>
        <v>0</v>
      </c>
      <c r="M335" s="406">
        <f>IF(ISBLANK(INDEX('Policy Characteristics'!G:G,MATCH($C335,'Policy Characteristics'!$C:$C,0))),"",INDEX('Policy Characteristics'!G:G,MATCH($C335,'Policy Characteristics'!$C:$C,0)))</f>
        <v>1</v>
      </c>
      <c r="N335" s="254">
        <f>IF(ISBLANK(INDEX('Policy Characteristics'!H:H,MATCH($C335,'Policy Characteristics'!$C:$C,0))),"",INDEX('Policy Characteristics'!H:H,MATCH($C335,'Policy Characteristics'!$C:$C,0)))</f>
        <v>1</v>
      </c>
      <c r="O335" s="254" t="str">
        <f>IF(ISBLANK(INDEX('Policy Characteristics'!I:I,MATCH($C335,'Policy Characteristics'!$C:$C,0))),"",INDEX('Policy Characteristics'!I:I,MATCH($C335,'Policy Characteristics'!$C:$C,0)))</f>
        <v>% decrease</v>
      </c>
      <c r="P335" s="254"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4" t="str">
        <f>IF(ISBLANK(INDEX('Policy Characteristics'!K:K,MATCH($C335,'Policy Characteristics'!$C:$C,0))),"",INDEX('Policy Characteristics'!K:K,MATCH($C335,'Policy Characteristics'!$C:$C,0)))</f>
        <v/>
      </c>
      <c r="R335" s="254" t="str">
        <f>IF(ISBLANK(INDEX('Policy Characteristics'!L:L,MATCH($C335,'Policy Characteristics'!$C:$C,0))),"",INDEX('Policy Characteristics'!L:L,MATCH($C335,'Policy Characteristics'!$C:$C,0)))</f>
        <v/>
      </c>
      <c r="S335" s="314"/>
    </row>
    <row r="336" spans="1:19" x14ac:dyDescent="0.3">
      <c r="A336" s="254" t="str">
        <f>IF(ISBLANK(INDEX('Policy Characteristics'!A:A,MATCH($C336,'Policy Characteristics'!$C:$C,0))),"",INDEX('Policy Characteristics'!A:A,MATCH($C336,'Policy Characteristics'!$C:$C,0)))</f>
        <v>Electricity Supply</v>
      </c>
      <c r="B336" s="262" t="str">
        <f>IF(ISBLANK(INDEX('Policy Characteristics'!B:B,MATCH($C336,'Policy Characteristics'!$C:$C,0))),"",INDEX('Policy Characteristics'!B:B,MATCH($C336,'Policy Characteristics'!$C:$C,0)))</f>
        <v>Decrease Cost of Capital</v>
      </c>
      <c r="C336" s="254" t="str">
        <f t="shared" si="21"/>
        <v>Percentage Decrease in Cost of Capital for Power Plants</v>
      </c>
      <c r="D336" s="6" t="s">
        <v>80</v>
      </c>
      <c r="E336" s="45"/>
      <c r="F336" s="6" t="s">
        <v>92</v>
      </c>
      <c r="G336" s="6"/>
      <c r="H336" s="43">
        <v>1737</v>
      </c>
      <c r="I336" s="325" t="s">
        <v>43</v>
      </c>
      <c r="J336" s="255" t="str">
        <f>IF(ISBLANK(INDEX('Policy Characteristics'!D:D,MATCH($C336,'Policy Characteristics'!$C:$C,0))),"",INDEX('Policy Characteristics'!D:D,MATCH($C336,'Policy Characteristics'!$C:$C,0)))</f>
        <v>Decrease Electricity Sector Cost of Capital</v>
      </c>
      <c r="K336" s="254" t="str">
        <f>IF(ISBLANK(INDEX('Policy Characteristics'!E:E,MATCH($C336,'Policy Characteristics'!$C:$C,0))),"",INDEX('Policy Characteristics'!E:E,MATCH($C336,'Policy Characteristics'!$C:$C,0)))</f>
        <v>elec power plant cost of capital</v>
      </c>
      <c r="L336" s="254">
        <f>IF(ISBLANK(INDEX('Policy Characteristics'!F:F,MATCH($C336,'Policy Characteristics'!$C:$C,0))),"",INDEX('Policy Characteristics'!F:F,MATCH($C336,'Policy Characteristics'!$C:$C,0)))</f>
        <v>0</v>
      </c>
      <c r="M336" s="406">
        <f>IF(ISBLANK(INDEX('Policy Characteristics'!G:G,MATCH($C336,'Policy Characteristics'!$C:$C,0))),"",INDEX('Policy Characteristics'!G:G,MATCH($C336,'Policy Characteristics'!$C:$C,0)))</f>
        <v>1</v>
      </c>
      <c r="N336" s="254">
        <f>IF(ISBLANK(INDEX('Policy Characteristics'!H:H,MATCH($C336,'Policy Characteristics'!$C:$C,0))),"",INDEX('Policy Characteristics'!H:H,MATCH($C336,'Policy Characteristics'!$C:$C,0)))</f>
        <v>1</v>
      </c>
      <c r="O336" s="254" t="str">
        <f>IF(ISBLANK(INDEX('Policy Characteristics'!I:I,MATCH($C336,'Policy Characteristics'!$C:$C,0))),"",INDEX('Policy Characteristics'!I:I,MATCH($C336,'Policy Characteristics'!$C:$C,0)))</f>
        <v>% decrease</v>
      </c>
      <c r="P336" s="254"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4" t="str">
        <f>IF(ISBLANK(INDEX('Policy Characteristics'!K:K,MATCH($C336,'Policy Characteristics'!$C:$C,0))),"",INDEX('Policy Characteristics'!K:K,MATCH($C336,'Policy Characteristics'!$C:$C,0)))</f>
        <v/>
      </c>
      <c r="R336" s="254" t="str">
        <f>IF(ISBLANK(INDEX('Policy Characteristics'!L:L,MATCH($C336,'Policy Characteristics'!$C:$C,0))),"",INDEX('Policy Characteristics'!L:L,MATCH($C336,'Policy Characteristics'!$C:$C,0)))</f>
        <v/>
      </c>
      <c r="S336" s="314"/>
    </row>
    <row r="337" spans="1:19" x14ac:dyDescent="0.3">
      <c r="A337" s="254" t="str">
        <f>IF(ISBLANK(INDEX('Policy Characteristics'!A:A,MATCH($C337,'Policy Characteristics'!$C:$C,0))),"",INDEX('Policy Characteristics'!A:A,MATCH($C337,'Policy Characteristics'!$C:$C,0)))</f>
        <v>Electricity Supply</v>
      </c>
      <c r="B337" s="262" t="str">
        <f>IF(ISBLANK(INDEX('Policy Characteristics'!B:B,MATCH($C337,'Policy Characteristics'!$C:$C,0))),"",INDEX('Policy Characteristics'!B:B,MATCH($C337,'Policy Characteristics'!$C:$C,0)))</f>
        <v>Decrease Cost of Capital</v>
      </c>
      <c r="C337" s="254" t="str">
        <f t="shared" si="21"/>
        <v>Percentage Decrease in Cost of Capital for Power Plants</v>
      </c>
      <c r="D337" s="6" t="s">
        <v>2425</v>
      </c>
      <c r="E337" s="45"/>
      <c r="F337" s="6" t="s">
        <v>436</v>
      </c>
      <c r="G337" s="6"/>
      <c r="H337" s="43">
        <v>1738</v>
      </c>
      <c r="I337" s="325" t="s">
        <v>43</v>
      </c>
      <c r="J337" s="255" t="str">
        <f>IF(ISBLANK(INDEX('Policy Characteristics'!D:D,MATCH($C337,'Policy Characteristics'!$C:$C,0))),"",INDEX('Policy Characteristics'!D:D,MATCH($C337,'Policy Characteristics'!$C:$C,0)))</f>
        <v>Decrease Electricity Sector Cost of Capital</v>
      </c>
      <c r="K337" s="254" t="str">
        <f>IF(ISBLANK(INDEX('Policy Characteristics'!E:E,MATCH($C337,'Policy Characteristics'!$C:$C,0))),"",INDEX('Policy Characteristics'!E:E,MATCH($C337,'Policy Characteristics'!$C:$C,0)))</f>
        <v>elec power plant cost of capital</v>
      </c>
      <c r="L337" s="254">
        <f>IF(ISBLANK(INDEX('Policy Characteristics'!F:F,MATCH($C337,'Policy Characteristics'!$C:$C,0))),"",INDEX('Policy Characteristics'!F:F,MATCH($C337,'Policy Characteristics'!$C:$C,0)))</f>
        <v>0</v>
      </c>
      <c r="M337" s="406">
        <f>IF(ISBLANK(INDEX('Policy Characteristics'!G:G,MATCH($C337,'Policy Characteristics'!$C:$C,0))),"",INDEX('Policy Characteristics'!G:G,MATCH($C337,'Policy Characteristics'!$C:$C,0)))</f>
        <v>1</v>
      </c>
      <c r="N337" s="254">
        <f>IF(ISBLANK(INDEX('Policy Characteristics'!H:H,MATCH($C337,'Policy Characteristics'!$C:$C,0))),"",INDEX('Policy Characteristics'!H:H,MATCH($C337,'Policy Characteristics'!$C:$C,0)))</f>
        <v>1</v>
      </c>
      <c r="O337" s="254" t="str">
        <f>IF(ISBLANK(INDEX('Policy Characteristics'!I:I,MATCH($C337,'Policy Characteristics'!$C:$C,0))),"",INDEX('Policy Characteristics'!I:I,MATCH($C337,'Policy Characteristics'!$C:$C,0)))</f>
        <v>% decrease</v>
      </c>
      <c r="P337" s="254"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4" t="str">
        <f>IF(ISBLANK(INDEX('Policy Characteristics'!K:K,MATCH($C337,'Policy Characteristics'!$C:$C,0))),"",INDEX('Policy Characteristics'!K:K,MATCH($C337,'Policy Characteristics'!$C:$C,0)))</f>
        <v/>
      </c>
      <c r="R337" s="254" t="str">
        <f>IF(ISBLANK(INDEX('Policy Characteristics'!L:L,MATCH($C337,'Policy Characteristics'!$C:$C,0))),"",INDEX('Policy Characteristics'!L:L,MATCH($C337,'Policy Characteristics'!$C:$C,0)))</f>
        <v/>
      </c>
      <c r="S337" s="314"/>
    </row>
    <row r="338" spans="1:19" x14ac:dyDescent="0.3">
      <c r="A338" s="254" t="str">
        <f>IF(ISBLANK(INDEX('Policy Characteristics'!A:A,MATCH($C338,'Policy Characteristics'!$C:$C,0))),"",INDEX('Policy Characteristics'!A:A,MATCH($C338,'Policy Characteristics'!$C:$C,0)))</f>
        <v>Electricity Supply</v>
      </c>
      <c r="B338" s="262" t="str">
        <f>IF(ISBLANK(INDEX('Policy Characteristics'!B:B,MATCH($C338,'Policy Characteristics'!$C:$C,0))),"",INDEX('Policy Characteristics'!B:B,MATCH($C338,'Policy Characteristics'!$C:$C,0)))</f>
        <v>Decrease Cost of Capital</v>
      </c>
      <c r="C338" s="254" t="str">
        <f t="shared" si="21"/>
        <v>Percentage Decrease in Cost of Capital for Power Plants</v>
      </c>
      <c r="D338" s="6" t="s">
        <v>308</v>
      </c>
      <c r="E338" s="45"/>
      <c r="F338" s="6" t="s">
        <v>310</v>
      </c>
      <c r="G338" s="6"/>
      <c r="H338" s="43">
        <v>1739</v>
      </c>
      <c r="I338" s="325" t="s">
        <v>44</v>
      </c>
      <c r="J338" s="255" t="str">
        <f>IF(ISBLANK(INDEX('Policy Characteristics'!D:D,MATCH($C338,'Policy Characteristics'!$C:$C,0))),"",INDEX('Policy Characteristics'!D:D,MATCH($C338,'Policy Characteristics'!$C:$C,0)))</f>
        <v>Decrease Electricity Sector Cost of Capital</v>
      </c>
      <c r="K338" s="254" t="str">
        <f>IF(ISBLANK(INDEX('Policy Characteristics'!E:E,MATCH($C338,'Policy Characteristics'!$C:$C,0))),"",INDEX('Policy Characteristics'!E:E,MATCH($C338,'Policy Characteristics'!$C:$C,0)))</f>
        <v>elec power plant cost of capital</v>
      </c>
      <c r="L338" s="254">
        <f>IF(ISBLANK(INDEX('Policy Characteristics'!F:F,MATCH($C338,'Policy Characteristics'!$C:$C,0))),"",INDEX('Policy Characteristics'!F:F,MATCH($C338,'Policy Characteristics'!$C:$C,0)))</f>
        <v>0</v>
      </c>
      <c r="M338" s="406">
        <f>IF(ISBLANK(INDEX('Policy Characteristics'!G:G,MATCH($C338,'Policy Characteristics'!$C:$C,0))),"",INDEX('Policy Characteristics'!G:G,MATCH($C338,'Policy Characteristics'!$C:$C,0)))</f>
        <v>1</v>
      </c>
      <c r="N338" s="254">
        <f>IF(ISBLANK(INDEX('Policy Characteristics'!H:H,MATCH($C338,'Policy Characteristics'!$C:$C,0))),"",INDEX('Policy Characteristics'!H:H,MATCH($C338,'Policy Characteristics'!$C:$C,0)))</f>
        <v>1</v>
      </c>
      <c r="O338" s="254" t="str">
        <f>IF(ISBLANK(INDEX('Policy Characteristics'!I:I,MATCH($C338,'Policy Characteristics'!$C:$C,0))),"",INDEX('Policy Characteristics'!I:I,MATCH($C338,'Policy Characteristics'!$C:$C,0)))</f>
        <v>% decrease</v>
      </c>
      <c r="P338" s="254"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4" t="str">
        <f>IF(ISBLANK(INDEX('Policy Characteristics'!K:K,MATCH($C338,'Policy Characteristics'!$C:$C,0))),"",INDEX('Policy Characteristics'!K:K,MATCH($C338,'Policy Characteristics'!$C:$C,0)))</f>
        <v/>
      </c>
      <c r="R338" s="254" t="str">
        <f>IF(ISBLANK(INDEX('Policy Characteristics'!L:L,MATCH($C338,'Policy Characteristics'!$C:$C,0))),"",INDEX('Policy Characteristics'!L:L,MATCH($C338,'Policy Characteristics'!$C:$C,0)))</f>
        <v/>
      </c>
      <c r="S338" s="314"/>
    </row>
    <row r="339" spans="1:19" x14ac:dyDescent="0.3">
      <c r="A339" s="254" t="str">
        <f>IF(ISBLANK(INDEX('Policy Characteristics'!A:A,MATCH($C339,'Policy Characteristics'!$C:$C,0))),"",INDEX('Policy Characteristics'!A:A,MATCH($C339,'Policy Characteristics'!$C:$C,0)))</f>
        <v>Electricity Supply</v>
      </c>
      <c r="B339" s="262" t="str">
        <f>IF(ISBLANK(INDEX('Policy Characteristics'!B:B,MATCH($C339,'Policy Characteristics'!$C:$C,0))),"",INDEX('Policy Characteristics'!B:B,MATCH($C339,'Policy Characteristics'!$C:$C,0)))</f>
        <v>Decrease Cost of Capital</v>
      </c>
      <c r="C339" s="254" t="str">
        <f t="shared" si="21"/>
        <v>Percentage Decrease in Cost of Capital for Power Plants</v>
      </c>
      <c r="D339" s="6" t="s">
        <v>309</v>
      </c>
      <c r="E339" s="45"/>
      <c r="F339" s="6" t="s">
        <v>311</v>
      </c>
      <c r="G339" s="6"/>
      <c r="H339" s="43">
        <v>1740</v>
      </c>
      <c r="I339" s="325" t="s">
        <v>44</v>
      </c>
      <c r="J339" s="255" t="str">
        <f>IF(ISBLANK(INDEX('Policy Characteristics'!D:D,MATCH($C339,'Policy Characteristics'!$C:$C,0))),"",INDEX('Policy Characteristics'!D:D,MATCH($C339,'Policy Characteristics'!$C:$C,0)))</f>
        <v>Decrease Electricity Sector Cost of Capital</v>
      </c>
      <c r="K339" s="254" t="str">
        <f>IF(ISBLANK(INDEX('Policy Characteristics'!E:E,MATCH($C339,'Policy Characteristics'!$C:$C,0))),"",INDEX('Policy Characteristics'!E:E,MATCH($C339,'Policy Characteristics'!$C:$C,0)))</f>
        <v>elec power plant cost of capital</v>
      </c>
      <c r="L339" s="254">
        <f>IF(ISBLANK(INDEX('Policy Characteristics'!F:F,MATCH($C339,'Policy Characteristics'!$C:$C,0))),"",INDEX('Policy Characteristics'!F:F,MATCH($C339,'Policy Characteristics'!$C:$C,0)))</f>
        <v>0</v>
      </c>
      <c r="M339" s="406">
        <f>IF(ISBLANK(INDEX('Policy Characteristics'!G:G,MATCH($C339,'Policy Characteristics'!$C:$C,0))),"",INDEX('Policy Characteristics'!G:G,MATCH($C339,'Policy Characteristics'!$C:$C,0)))</f>
        <v>1</v>
      </c>
      <c r="N339" s="254">
        <f>IF(ISBLANK(INDEX('Policy Characteristics'!H:H,MATCH($C339,'Policy Characteristics'!$C:$C,0))),"",INDEX('Policy Characteristics'!H:H,MATCH($C339,'Policy Characteristics'!$C:$C,0)))</f>
        <v>1</v>
      </c>
      <c r="O339" s="254" t="str">
        <f>IF(ISBLANK(INDEX('Policy Characteristics'!I:I,MATCH($C339,'Policy Characteristics'!$C:$C,0))),"",INDEX('Policy Characteristics'!I:I,MATCH($C339,'Policy Characteristics'!$C:$C,0)))</f>
        <v>% decrease</v>
      </c>
      <c r="P339" s="254"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4" t="str">
        <f>IF(ISBLANK(INDEX('Policy Characteristics'!K:K,MATCH($C339,'Policy Characteristics'!$C:$C,0))),"",INDEX('Policy Characteristics'!K:K,MATCH($C339,'Policy Characteristics'!$C:$C,0)))</f>
        <v/>
      </c>
      <c r="R339" s="254" t="str">
        <f>IF(ISBLANK(INDEX('Policy Characteristics'!L:L,MATCH($C339,'Policy Characteristics'!$C:$C,0))),"",INDEX('Policy Characteristics'!L:L,MATCH($C339,'Policy Characteristics'!$C:$C,0)))</f>
        <v/>
      </c>
      <c r="S339" s="314"/>
    </row>
    <row r="340" spans="1:19" x14ac:dyDescent="0.3">
      <c r="A340" s="254" t="str">
        <f>IF(ISBLANK(INDEX('Policy Characteristics'!A:A,MATCH($C340,'Policy Characteristics'!$C:$C,0))),"",INDEX('Policy Characteristics'!A:A,MATCH($C340,'Policy Characteristics'!$C:$C,0)))</f>
        <v>Electricity Supply</v>
      </c>
      <c r="B340" s="262" t="str">
        <f>IF(ISBLANK(INDEX('Policy Characteristics'!B:B,MATCH($C340,'Policy Characteristics'!$C:$C,0))),"",INDEX('Policy Characteristics'!B:B,MATCH($C340,'Policy Characteristics'!$C:$C,0)))</f>
        <v>Decrease Cost of Capital</v>
      </c>
      <c r="C340" s="254" t="str">
        <f t="shared" si="21"/>
        <v>Percentage Decrease in Cost of Capital for Power Plants</v>
      </c>
      <c r="D340" s="6" t="s">
        <v>444</v>
      </c>
      <c r="E340" s="45"/>
      <c r="F340" s="6" t="s">
        <v>443</v>
      </c>
      <c r="G340" s="6"/>
      <c r="H340" s="43">
        <v>1741</v>
      </c>
      <c r="I340" s="325" t="s">
        <v>44</v>
      </c>
      <c r="J340" s="255" t="str">
        <f>IF(ISBLANK(INDEX('Policy Characteristics'!D:D,MATCH($C340,'Policy Characteristics'!$C:$C,0))),"",INDEX('Policy Characteristics'!D:D,MATCH($C340,'Policy Characteristics'!$C:$C,0)))</f>
        <v>Decrease Electricity Sector Cost of Capital</v>
      </c>
      <c r="K340" s="254" t="str">
        <f>IF(ISBLANK(INDEX('Policy Characteristics'!E:E,MATCH($C340,'Policy Characteristics'!$C:$C,0))),"",INDEX('Policy Characteristics'!E:E,MATCH($C340,'Policy Characteristics'!$C:$C,0)))</f>
        <v>elec power plant cost of capital</v>
      </c>
      <c r="L340" s="254">
        <f>IF(ISBLANK(INDEX('Policy Characteristics'!F:F,MATCH($C340,'Policy Characteristics'!$C:$C,0))),"",INDEX('Policy Characteristics'!F:F,MATCH($C340,'Policy Characteristics'!$C:$C,0)))</f>
        <v>0</v>
      </c>
      <c r="M340" s="406">
        <f>IF(ISBLANK(INDEX('Policy Characteristics'!G:G,MATCH($C340,'Policy Characteristics'!$C:$C,0))),"",INDEX('Policy Characteristics'!G:G,MATCH($C340,'Policy Characteristics'!$C:$C,0)))</f>
        <v>1</v>
      </c>
      <c r="N340" s="254">
        <f>IF(ISBLANK(INDEX('Policy Characteristics'!H:H,MATCH($C340,'Policy Characteristics'!$C:$C,0))),"",INDEX('Policy Characteristics'!H:H,MATCH($C340,'Policy Characteristics'!$C:$C,0)))</f>
        <v>1</v>
      </c>
      <c r="O340" s="254" t="str">
        <f>IF(ISBLANK(INDEX('Policy Characteristics'!I:I,MATCH($C340,'Policy Characteristics'!$C:$C,0))),"",INDEX('Policy Characteristics'!I:I,MATCH($C340,'Policy Characteristics'!$C:$C,0)))</f>
        <v>% decrease</v>
      </c>
      <c r="P340" s="254"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4" t="str">
        <f>IF(ISBLANK(INDEX('Policy Characteristics'!K:K,MATCH($C340,'Policy Characteristics'!$C:$C,0))),"",INDEX('Policy Characteristics'!K:K,MATCH($C340,'Policy Characteristics'!$C:$C,0)))</f>
        <v/>
      </c>
      <c r="R340" s="254" t="str">
        <f>IF(ISBLANK(INDEX('Policy Characteristics'!L:L,MATCH($C340,'Policy Characteristics'!$C:$C,0))),"",INDEX('Policy Characteristics'!L:L,MATCH($C340,'Policy Characteristics'!$C:$C,0)))</f>
        <v/>
      </c>
      <c r="S340" s="314"/>
    </row>
    <row r="341" spans="1:19" x14ac:dyDescent="0.3">
      <c r="A341" s="254" t="str">
        <f>IF(ISBLANK(INDEX('Policy Characteristics'!A:A,MATCH($C341,'Policy Characteristics'!$C:$C,0))),"",INDEX('Policy Characteristics'!A:A,MATCH($C341,'Policy Characteristics'!$C:$C,0)))</f>
        <v>Electricity Supply</v>
      </c>
      <c r="B341" s="262" t="str">
        <f>IF(ISBLANK(INDEX('Policy Characteristics'!B:B,MATCH($C341,'Policy Characteristics'!$C:$C,0))),"",INDEX('Policy Characteristics'!B:B,MATCH($C341,'Policy Characteristics'!$C:$C,0)))</f>
        <v>Decrease Cost of Capital</v>
      </c>
      <c r="C341" s="254" t="str">
        <f t="shared" si="21"/>
        <v>Percentage Decrease in Cost of Capital for Power Plants</v>
      </c>
      <c r="D341" s="6" t="s">
        <v>453</v>
      </c>
      <c r="E341" s="45"/>
      <c r="F341" s="6" t="s">
        <v>454</v>
      </c>
      <c r="G341" s="6"/>
      <c r="H341" s="43">
        <v>1742</v>
      </c>
      <c r="I341" s="325" t="s">
        <v>43</v>
      </c>
      <c r="J341" s="255" t="str">
        <f>IF(ISBLANK(INDEX('Policy Characteristics'!D:D,MATCH($C341,'Policy Characteristics'!$C:$C,0))),"",INDEX('Policy Characteristics'!D:D,MATCH($C341,'Policy Characteristics'!$C:$C,0)))</f>
        <v>Decrease Electricity Sector Cost of Capital</v>
      </c>
      <c r="K341" s="254" t="str">
        <f>IF(ISBLANK(INDEX('Policy Characteristics'!E:E,MATCH($C341,'Policy Characteristics'!$C:$C,0))),"",INDEX('Policy Characteristics'!E:E,MATCH($C341,'Policy Characteristics'!$C:$C,0)))</f>
        <v>elec power plant cost of capital</v>
      </c>
      <c r="L341" s="254">
        <f>IF(ISBLANK(INDEX('Policy Characteristics'!F:F,MATCH($C341,'Policy Characteristics'!$C:$C,0))),"",INDEX('Policy Characteristics'!F:F,MATCH($C341,'Policy Characteristics'!$C:$C,0)))</f>
        <v>0</v>
      </c>
      <c r="M341" s="406">
        <f>IF(ISBLANK(INDEX('Policy Characteristics'!G:G,MATCH($C341,'Policy Characteristics'!$C:$C,0))),"",INDEX('Policy Characteristics'!G:G,MATCH($C341,'Policy Characteristics'!$C:$C,0)))</f>
        <v>1</v>
      </c>
      <c r="N341" s="254">
        <f>IF(ISBLANK(INDEX('Policy Characteristics'!H:H,MATCH($C341,'Policy Characteristics'!$C:$C,0))),"",INDEX('Policy Characteristics'!H:H,MATCH($C341,'Policy Characteristics'!$C:$C,0)))</f>
        <v>1</v>
      </c>
      <c r="O341" s="254" t="str">
        <f>IF(ISBLANK(INDEX('Policy Characteristics'!I:I,MATCH($C341,'Policy Characteristics'!$C:$C,0))),"",INDEX('Policy Characteristics'!I:I,MATCH($C341,'Policy Characteristics'!$C:$C,0)))</f>
        <v>% decrease</v>
      </c>
      <c r="P341" s="254"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4" t="str">
        <f>IF(ISBLANK(INDEX('Policy Characteristics'!K:K,MATCH($C341,'Policy Characteristics'!$C:$C,0))),"",INDEX('Policy Characteristics'!K:K,MATCH($C341,'Policy Characteristics'!$C:$C,0)))</f>
        <v/>
      </c>
      <c r="R341" s="254" t="str">
        <f>IF(ISBLANK(INDEX('Policy Characteristics'!L:L,MATCH($C341,'Policy Characteristics'!$C:$C,0))),"",INDEX('Policy Characteristics'!L:L,MATCH($C341,'Policy Characteristics'!$C:$C,0)))</f>
        <v/>
      </c>
      <c r="S341" s="314"/>
    </row>
    <row r="342" spans="1:19" x14ac:dyDescent="0.3">
      <c r="A342" s="254" t="str">
        <f>IF(ISBLANK(INDEX('Policy Characteristics'!A:A,MATCH($C342,'Policy Characteristics'!$C:$C,0))),"",INDEX('Policy Characteristics'!A:A,MATCH($C342,'Policy Characteristics'!$C:$C,0)))</f>
        <v>Electricity Supply</v>
      </c>
      <c r="B342" s="262" t="str">
        <f>IF(ISBLANK(INDEX('Policy Characteristics'!B:B,MATCH($C342,'Policy Characteristics'!$C:$C,0))),"",INDEX('Policy Characteristics'!B:B,MATCH($C342,'Policy Characteristics'!$C:$C,0)))</f>
        <v>Decrease Cost of Capital</v>
      </c>
      <c r="C342" s="254" t="str">
        <f t="shared" si="21"/>
        <v>Percentage Decrease in Cost of Capital for Power Plants</v>
      </c>
      <c r="D342" s="6" t="s">
        <v>2748</v>
      </c>
      <c r="E342" s="45"/>
      <c r="F342" s="6" t="s">
        <v>2469</v>
      </c>
      <c r="G342" s="6"/>
      <c r="H342" s="43">
        <v>1743</v>
      </c>
      <c r="I342" s="325" t="s">
        <v>44</v>
      </c>
      <c r="J342" s="255" t="str">
        <f>IF(ISBLANK(INDEX('Policy Characteristics'!D:D,MATCH($C342,'Policy Characteristics'!$C:$C,0))),"",INDEX('Policy Characteristics'!D:D,MATCH($C342,'Policy Characteristics'!$C:$C,0)))</f>
        <v>Decrease Electricity Sector Cost of Capital</v>
      </c>
      <c r="K342" s="254" t="str">
        <f>IF(ISBLANK(INDEX('Policy Characteristics'!E:E,MATCH($C342,'Policy Characteristics'!$C:$C,0))),"",INDEX('Policy Characteristics'!E:E,MATCH($C342,'Policy Characteristics'!$C:$C,0)))</f>
        <v>elec power plant cost of capital</v>
      </c>
      <c r="L342" s="254">
        <f>IF(ISBLANK(INDEX('Policy Characteristics'!F:F,MATCH($C342,'Policy Characteristics'!$C:$C,0))),"",INDEX('Policy Characteristics'!F:F,MATCH($C342,'Policy Characteristics'!$C:$C,0)))</f>
        <v>0</v>
      </c>
      <c r="M342" s="406">
        <f>IF(ISBLANK(INDEX('Policy Characteristics'!G:G,MATCH($C342,'Policy Characteristics'!$C:$C,0))),"",INDEX('Policy Characteristics'!G:G,MATCH($C342,'Policy Characteristics'!$C:$C,0)))</f>
        <v>1</v>
      </c>
      <c r="N342" s="254">
        <f>IF(ISBLANK(INDEX('Policy Characteristics'!H:H,MATCH($C342,'Policy Characteristics'!$C:$C,0))),"",INDEX('Policy Characteristics'!H:H,MATCH($C342,'Policy Characteristics'!$C:$C,0)))</f>
        <v>1</v>
      </c>
      <c r="O342" s="254" t="str">
        <f>IF(ISBLANK(INDEX('Policy Characteristics'!I:I,MATCH($C342,'Policy Characteristics'!$C:$C,0))),"",INDEX('Policy Characteristics'!I:I,MATCH($C342,'Policy Characteristics'!$C:$C,0)))</f>
        <v>% decrease</v>
      </c>
      <c r="P342" s="254"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4" t="str">
        <f>IF(ISBLANK(INDEX('Policy Characteristics'!K:K,MATCH($C342,'Policy Characteristics'!$C:$C,0))),"",INDEX('Policy Characteristics'!K:K,MATCH($C342,'Policy Characteristics'!$C:$C,0)))</f>
        <v/>
      </c>
      <c r="R342" s="254" t="str">
        <f>IF(ISBLANK(INDEX('Policy Characteristics'!L:L,MATCH($C342,'Policy Characteristics'!$C:$C,0))),"",INDEX('Policy Characteristics'!L:L,MATCH($C342,'Policy Characteristics'!$C:$C,0)))</f>
        <v/>
      </c>
      <c r="S342" s="314"/>
    </row>
    <row r="343" spans="1:19" x14ac:dyDescent="0.3">
      <c r="A343" s="254" t="str">
        <f>IF(ISBLANK(INDEX('Policy Characteristics'!A:A,MATCH($C343,'Policy Characteristics'!$C:$C,0))),"",INDEX('Policy Characteristics'!A:A,MATCH($C343,'Policy Characteristics'!$C:$C,0)))</f>
        <v>Electricity Supply</v>
      </c>
      <c r="B343" s="262" t="str">
        <f>IF(ISBLANK(INDEX('Policy Characteristics'!B:B,MATCH($C343,'Policy Characteristics'!$C:$C,0))),"",INDEX('Policy Characteristics'!B:B,MATCH($C343,'Policy Characteristics'!$C:$C,0)))</f>
        <v>Decrease Cost of Capital</v>
      </c>
      <c r="C343" s="254" t="str">
        <f t="shared" si="21"/>
        <v>Percentage Decrease in Cost of Capital for Power Plants</v>
      </c>
      <c r="D343" s="6" t="s">
        <v>2749</v>
      </c>
      <c r="E343" s="45"/>
      <c r="F343" s="6" t="s">
        <v>2592</v>
      </c>
      <c r="G343" s="6"/>
      <c r="H343" s="43">
        <v>1744</v>
      </c>
      <c r="I343" s="325" t="s">
        <v>44</v>
      </c>
      <c r="J343" s="255" t="str">
        <f>IF(ISBLANK(INDEX('Policy Characteristics'!D:D,MATCH($C343,'Policy Characteristics'!$C:$C,0))),"",INDEX('Policy Characteristics'!D:D,MATCH($C343,'Policy Characteristics'!$C:$C,0)))</f>
        <v>Decrease Electricity Sector Cost of Capital</v>
      </c>
      <c r="K343" s="254" t="str">
        <f>IF(ISBLANK(INDEX('Policy Characteristics'!E:E,MATCH($C343,'Policy Characteristics'!$C:$C,0))),"",INDEX('Policy Characteristics'!E:E,MATCH($C343,'Policy Characteristics'!$C:$C,0)))</f>
        <v>elec power plant cost of capital</v>
      </c>
      <c r="L343" s="254">
        <f>IF(ISBLANK(INDEX('Policy Characteristics'!F:F,MATCH($C343,'Policy Characteristics'!$C:$C,0))),"",INDEX('Policy Characteristics'!F:F,MATCH($C343,'Policy Characteristics'!$C:$C,0)))</f>
        <v>0</v>
      </c>
      <c r="M343" s="406">
        <f>IF(ISBLANK(INDEX('Policy Characteristics'!G:G,MATCH($C343,'Policy Characteristics'!$C:$C,0))),"",INDEX('Policy Characteristics'!G:G,MATCH($C343,'Policy Characteristics'!$C:$C,0)))</f>
        <v>1</v>
      </c>
      <c r="N343" s="254">
        <f>IF(ISBLANK(INDEX('Policy Characteristics'!H:H,MATCH($C343,'Policy Characteristics'!$C:$C,0))),"",INDEX('Policy Characteristics'!H:H,MATCH($C343,'Policy Characteristics'!$C:$C,0)))</f>
        <v>1</v>
      </c>
      <c r="O343" s="254" t="str">
        <f>IF(ISBLANK(INDEX('Policy Characteristics'!I:I,MATCH($C343,'Policy Characteristics'!$C:$C,0))),"",INDEX('Policy Characteristics'!I:I,MATCH($C343,'Policy Characteristics'!$C:$C,0)))</f>
        <v>% decrease</v>
      </c>
      <c r="P343" s="254"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4" t="str">
        <f>IF(ISBLANK(INDEX('Policy Characteristics'!K:K,MATCH($C343,'Policy Characteristics'!$C:$C,0))),"",INDEX('Policy Characteristics'!K:K,MATCH($C343,'Policy Characteristics'!$C:$C,0)))</f>
        <v/>
      </c>
      <c r="R343" s="254" t="str">
        <f>IF(ISBLANK(INDEX('Policy Characteristics'!L:L,MATCH($C343,'Policy Characteristics'!$C:$C,0))),"",INDEX('Policy Characteristics'!L:L,MATCH($C343,'Policy Characteristics'!$C:$C,0)))</f>
        <v/>
      </c>
      <c r="S343" s="314"/>
    </row>
    <row r="344" spans="1:19" x14ac:dyDescent="0.3">
      <c r="A344" s="254" t="str">
        <f>IF(ISBLANK(INDEX('Policy Characteristics'!A:A,MATCH($C344,'Policy Characteristics'!$C:$C,0))),"",INDEX('Policy Characteristics'!A:A,MATCH($C344,'Policy Characteristics'!$C:$C,0)))</f>
        <v>Electricity Supply</v>
      </c>
      <c r="B344" s="262" t="str">
        <f>IF(ISBLANK(INDEX('Policy Characteristics'!B:B,MATCH($C344,'Policy Characteristics'!$C:$C,0))),"",INDEX('Policy Characteristics'!B:B,MATCH($C344,'Policy Characteristics'!$C:$C,0)))</f>
        <v>Decrease Cost of Capital</v>
      </c>
      <c r="C344" s="254" t="str">
        <f t="shared" si="21"/>
        <v>Percentage Decrease in Cost of Capital for Power Plants</v>
      </c>
      <c r="D344" s="6" t="s">
        <v>2750</v>
      </c>
      <c r="E344" s="45"/>
      <c r="F344" s="6" t="s">
        <v>2471</v>
      </c>
      <c r="G344" s="6"/>
      <c r="H344" s="43">
        <v>1745</v>
      </c>
      <c r="I344" s="325" t="s">
        <v>44</v>
      </c>
      <c r="J344" s="255" t="str">
        <f>IF(ISBLANK(INDEX('Policy Characteristics'!D:D,MATCH($C344,'Policy Characteristics'!$C:$C,0))),"",INDEX('Policy Characteristics'!D:D,MATCH($C344,'Policy Characteristics'!$C:$C,0)))</f>
        <v>Decrease Electricity Sector Cost of Capital</v>
      </c>
      <c r="K344" s="254" t="str">
        <f>IF(ISBLANK(INDEX('Policy Characteristics'!E:E,MATCH($C344,'Policy Characteristics'!$C:$C,0))),"",INDEX('Policy Characteristics'!E:E,MATCH($C344,'Policy Characteristics'!$C:$C,0)))</f>
        <v>elec power plant cost of capital</v>
      </c>
      <c r="L344" s="254">
        <f>IF(ISBLANK(INDEX('Policy Characteristics'!F:F,MATCH($C344,'Policy Characteristics'!$C:$C,0))),"",INDEX('Policy Characteristics'!F:F,MATCH($C344,'Policy Characteristics'!$C:$C,0)))</f>
        <v>0</v>
      </c>
      <c r="M344" s="406">
        <f>IF(ISBLANK(INDEX('Policy Characteristics'!G:G,MATCH($C344,'Policy Characteristics'!$C:$C,0))),"",INDEX('Policy Characteristics'!G:G,MATCH($C344,'Policy Characteristics'!$C:$C,0)))</f>
        <v>1</v>
      </c>
      <c r="N344" s="254">
        <f>IF(ISBLANK(INDEX('Policy Characteristics'!H:H,MATCH($C344,'Policy Characteristics'!$C:$C,0))),"",INDEX('Policy Characteristics'!H:H,MATCH($C344,'Policy Characteristics'!$C:$C,0)))</f>
        <v>1</v>
      </c>
      <c r="O344" s="254" t="str">
        <f>IF(ISBLANK(INDEX('Policy Characteristics'!I:I,MATCH($C344,'Policy Characteristics'!$C:$C,0))),"",INDEX('Policy Characteristics'!I:I,MATCH($C344,'Policy Characteristics'!$C:$C,0)))</f>
        <v>% decrease</v>
      </c>
      <c r="P344" s="254"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4" t="str">
        <f>IF(ISBLANK(INDEX('Policy Characteristics'!K:K,MATCH($C344,'Policy Characteristics'!$C:$C,0))),"",INDEX('Policy Characteristics'!K:K,MATCH($C344,'Policy Characteristics'!$C:$C,0)))</f>
        <v/>
      </c>
      <c r="R344" s="254" t="str">
        <f>IF(ISBLANK(INDEX('Policy Characteristics'!L:L,MATCH($C344,'Policy Characteristics'!$C:$C,0))),"",INDEX('Policy Characteristics'!L:L,MATCH($C344,'Policy Characteristics'!$C:$C,0)))</f>
        <v/>
      </c>
      <c r="S344" s="314"/>
    </row>
    <row r="345" spans="1:19" x14ac:dyDescent="0.3">
      <c r="A345" s="254" t="str">
        <f>IF(ISBLANK(INDEX('Policy Characteristics'!A:A,MATCH($C345,'Policy Characteristics'!$C:$C,0))),"",INDEX('Policy Characteristics'!A:A,MATCH($C345,'Policy Characteristics'!$C:$C,0)))</f>
        <v>Electricity Supply</v>
      </c>
      <c r="B345" s="262" t="str">
        <f>IF(ISBLANK(INDEX('Policy Characteristics'!B:B,MATCH($C345,'Policy Characteristics'!$C:$C,0))),"",INDEX('Policy Characteristics'!B:B,MATCH($C345,'Policy Characteristics'!$C:$C,0)))</f>
        <v>Decrease Cost of Capital</v>
      </c>
      <c r="C345" s="254" t="str">
        <f t="shared" si="21"/>
        <v>Percentage Decrease in Cost of Capital for Power Plants</v>
      </c>
      <c r="D345" s="6" t="s">
        <v>3487</v>
      </c>
      <c r="E345" s="45"/>
      <c r="F345" s="6" t="s">
        <v>3494</v>
      </c>
      <c r="G345" s="6"/>
      <c r="H345" s="43">
        <v>1804</v>
      </c>
      <c r="I345" s="325" t="s">
        <v>43</v>
      </c>
      <c r="J345" s="255" t="str">
        <f>IF(ISBLANK(INDEX('Policy Characteristics'!D:D,MATCH($C345,'Policy Characteristics'!$C:$C,0))),"",INDEX('Policy Characteristics'!D:D,MATCH($C345,'Policy Characteristics'!$C:$C,0)))</f>
        <v>Decrease Electricity Sector Cost of Capital</v>
      </c>
      <c r="K345" s="254" t="str">
        <f>IF(ISBLANK(INDEX('Policy Characteristics'!E:E,MATCH($C345,'Policy Characteristics'!$C:$C,0))),"",INDEX('Policy Characteristics'!E:E,MATCH($C345,'Policy Characteristics'!$C:$C,0)))</f>
        <v>elec power plant cost of capital</v>
      </c>
      <c r="L345" s="254">
        <f>IF(ISBLANK(INDEX('Policy Characteristics'!F:F,MATCH($C345,'Policy Characteristics'!$C:$C,0))),"",INDEX('Policy Characteristics'!F:F,MATCH($C345,'Policy Characteristics'!$C:$C,0)))</f>
        <v>0</v>
      </c>
      <c r="M345" s="406">
        <f>IF(ISBLANK(INDEX('Policy Characteristics'!G:G,MATCH($C345,'Policy Characteristics'!$C:$C,0))),"",INDEX('Policy Characteristics'!G:G,MATCH($C345,'Policy Characteristics'!$C:$C,0)))</f>
        <v>1</v>
      </c>
      <c r="N345" s="254">
        <f>IF(ISBLANK(INDEX('Policy Characteristics'!H:H,MATCH($C345,'Policy Characteristics'!$C:$C,0))),"",INDEX('Policy Characteristics'!H:H,MATCH($C345,'Policy Characteristics'!$C:$C,0)))</f>
        <v>1</v>
      </c>
      <c r="O345" s="254" t="str">
        <f>IF(ISBLANK(INDEX('Policy Characteristics'!I:I,MATCH($C345,'Policy Characteristics'!$C:$C,0))),"",INDEX('Policy Characteristics'!I:I,MATCH($C345,'Policy Characteristics'!$C:$C,0)))</f>
        <v>% decrease</v>
      </c>
      <c r="P345" s="254"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4" t="str">
        <f>IF(ISBLANK(INDEX('Policy Characteristics'!K:K,MATCH($C345,'Policy Characteristics'!$C:$C,0))),"",INDEX('Policy Characteristics'!K:K,MATCH($C345,'Policy Characteristics'!$C:$C,0)))</f>
        <v/>
      </c>
      <c r="R345" s="254" t="str">
        <f>IF(ISBLANK(INDEX('Policy Characteristics'!L:L,MATCH($C345,'Policy Characteristics'!$C:$C,0))),"",INDEX('Policy Characteristics'!L:L,MATCH($C345,'Policy Characteristics'!$C:$C,0)))</f>
        <v/>
      </c>
      <c r="S345" s="314"/>
    </row>
    <row r="346" spans="1:19" x14ac:dyDescent="0.3">
      <c r="A346" s="254" t="str">
        <f>IF(ISBLANK(INDEX('Policy Characteristics'!A:A,MATCH($C346,'Policy Characteristics'!$C:$C,0))),"",INDEX('Policy Characteristics'!A:A,MATCH($C346,'Policy Characteristics'!$C:$C,0)))</f>
        <v>Electricity Supply</v>
      </c>
      <c r="B346" s="262" t="str">
        <f>IF(ISBLANK(INDEX('Policy Characteristics'!B:B,MATCH($C346,'Policy Characteristics'!$C:$C,0))),"",INDEX('Policy Characteristics'!B:B,MATCH($C346,'Policy Characteristics'!$C:$C,0)))</f>
        <v>Decrease Cost of Capital</v>
      </c>
      <c r="C346" s="254" t="str">
        <f t="shared" si="21"/>
        <v>Percentage Decrease in Cost of Capital for Power Plants</v>
      </c>
      <c r="D346" s="6" t="s">
        <v>3490</v>
      </c>
      <c r="E346" s="45"/>
      <c r="F346" s="6" t="s">
        <v>3495</v>
      </c>
      <c r="G346" s="6"/>
      <c r="H346" s="43">
        <v>1805</v>
      </c>
      <c r="I346" s="325" t="s">
        <v>43</v>
      </c>
      <c r="J346" s="255" t="str">
        <f>IF(ISBLANK(INDEX('Policy Characteristics'!D:D,MATCH($C346,'Policy Characteristics'!$C:$C,0))),"",INDEX('Policy Characteristics'!D:D,MATCH($C346,'Policy Characteristics'!$C:$C,0)))</f>
        <v>Decrease Electricity Sector Cost of Capital</v>
      </c>
      <c r="K346" s="254" t="str">
        <f>IF(ISBLANK(INDEX('Policy Characteristics'!E:E,MATCH($C346,'Policy Characteristics'!$C:$C,0))),"",INDEX('Policy Characteristics'!E:E,MATCH($C346,'Policy Characteristics'!$C:$C,0)))</f>
        <v>elec power plant cost of capital</v>
      </c>
      <c r="L346" s="254">
        <f>IF(ISBLANK(INDEX('Policy Characteristics'!F:F,MATCH($C346,'Policy Characteristics'!$C:$C,0))),"",INDEX('Policy Characteristics'!F:F,MATCH($C346,'Policy Characteristics'!$C:$C,0)))</f>
        <v>0</v>
      </c>
      <c r="M346" s="406">
        <f>IF(ISBLANK(INDEX('Policy Characteristics'!G:G,MATCH($C346,'Policy Characteristics'!$C:$C,0))),"",INDEX('Policy Characteristics'!G:G,MATCH($C346,'Policy Characteristics'!$C:$C,0)))</f>
        <v>1</v>
      </c>
      <c r="N346" s="254">
        <f>IF(ISBLANK(INDEX('Policy Characteristics'!H:H,MATCH($C346,'Policy Characteristics'!$C:$C,0))),"",INDEX('Policy Characteristics'!H:H,MATCH($C346,'Policy Characteristics'!$C:$C,0)))</f>
        <v>1</v>
      </c>
      <c r="O346" s="254" t="str">
        <f>IF(ISBLANK(INDEX('Policy Characteristics'!I:I,MATCH($C346,'Policy Characteristics'!$C:$C,0))),"",INDEX('Policy Characteristics'!I:I,MATCH($C346,'Policy Characteristics'!$C:$C,0)))</f>
        <v>% decrease</v>
      </c>
      <c r="P346" s="254"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4" t="str">
        <f>IF(ISBLANK(INDEX('Policy Characteristics'!K:K,MATCH($C346,'Policy Characteristics'!$C:$C,0))),"",INDEX('Policy Characteristics'!K:K,MATCH($C346,'Policy Characteristics'!$C:$C,0)))</f>
        <v/>
      </c>
      <c r="R346" s="254" t="str">
        <f>IF(ISBLANK(INDEX('Policy Characteristics'!L:L,MATCH($C346,'Policy Characteristics'!$C:$C,0))),"",INDEX('Policy Characteristics'!L:L,MATCH($C346,'Policy Characteristics'!$C:$C,0)))</f>
        <v/>
      </c>
      <c r="S346" s="314"/>
    </row>
    <row r="347" spans="1:19" x14ac:dyDescent="0.3">
      <c r="A347" s="254" t="str">
        <f>IF(ISBLANK(INDEX('Policy Characteristics'!A:A,MATCH($C347,'Policy Characteristics'!$C:$C,0))),"",INDEX('Policy Characteristics'!A:A,MATCH($C347,'Policy Characteristics'!$C:$C,0)))</f>
        <v>Electricity Supply</v>
      </c>
      <c r="B347" s="262" t="str">
        <f>IF(ISBLANK(INDEX('Policy Characteristics'!B:B,MATCH($C347,'Policy Characteristics'!$C:$C,0))),"",INDEX('Policy Characteristics'!B:B,MATCH($C347,'Policy Characteristics'!$C:$C,0)))</f>
        <v>Decrease Cost of Capital</v>
      </c>
      <c r="C347" s="254" t="str">
        <f t="shared" si="21"/>
        <v>Percentage Decrease in Cost of Capital for Power Plants</v>
      </c>
      <c r="D347" s="6" t="s">
        <v>3491</v>
      </c>
      <c r="E347" s="45"/>
      <c r="F347" s="6" t="s">
        <v>3496</v>
      </c>
      <c r="G347" s="6"/>
      <c r="H347" s="43">
        <v>1806</v>
      </c>
      <c r="I347" s="325" t="s">
        <v>43</v>
      </c>
      <c r="J347" s="255" t="str">
        <f>IF(ISBLANK(INDEX('Policy Characteristics'!D:D,MATCH($C347,'Policy Characteristics'!$C:$C,0))),"",INDEX('Policy Characteristics'!D:D,MATCH($C347,'Policy Characteristics'!$C:$C,0)))</f>
        <v>Decrease Electricity Sector Cost of Capital</v>
      </c>
      <c r="K347" s="254" t="str">
        <f>IF(ISBLANK(INDEX('Policy Characteristics'!E:E,MATCH($C347,'Policy Characteristics'!$C:$C,0))),"",INDEX('Policy Characteristics'!E:E,MATCH($C347,'Policy Characteristics'!$C:$C,0)))</f>
        <v>elec power plant cost of capital</v>
      </c>
      <c r="L347" s="254">
        <f>IF(ISBLANK(INDEX('Policy Characteristics'!F:F,MATCH($C347,'Policy Characteristics'!$C:$C,0))),"",INDEX('Policy Characteristics'!F:F,MATCH($C347,'Policy Characteristics'!$C:$C,0)))</f>
        <v>0</v>
      </c>
      <c r="M347" s="406">
        <f>IF(ISBLANK(INDEX('Policy Characteristics'!G:G,MATCH($C347,'Policy Characteristics'!$C:$C,0))),"",INDEX('Policy Characteristics'!G:G,MATCH($C347,'Policy Characteristics'!$C:$C,0)))</f>
        <v>1</v>
      </c>
      <c r="N347" s="254">
        <f>IF(ISBLANK(INDEX('Policy Characteristics'!H:H,MATCH($C347,'Policy Characteristics'!$C:$C,0))),"",INDEX('Policy Characteristics'!H:H,MATCH($C347,'Policy Characteristics'!$C:$C,0)))</f>
        <v>1</v>
      </c>
      <c r="O347" s="254" t="str">
        <f>IF(ISBLANK(INDEX('Policy Characteristics'!I:I,MATCH($C347,'Policy Characteristics'!$C:$C,0))),"",INDEX('Policy Characteristics'!I:I,MATCH($C347,'Policy Characteristics'!$C:$C,0)))</f>
        <v>% decrease</v>
      </c>
      <c r="P347" s="254"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4" t="str">
        <f>IF(ISBLANK(INDEX('Policy Characteristics'!K:K,MATCH($C347,'Policy Characteristics'!$C:$C,0))),"",INDEX('Policy Characteristics'!K:K,MATCH($C347,'Policy Characteristics'!$C:$C,0)))</f>
        <v/>
      </c>
      <c r="R347" s="254" t="str">
        <f>IF(ISBLANK(INDEX('Policy Characteristics'!L:L,MATCH($C347,'Policy Characteristics'!$C:$C,0))),"",INDEX('Policy Characteristics'!L:L,MATCH($C347,'Policy Characteristics'!$C:$C,0)))</f>
        <v/>
      </c>
      <c r="S347" s="314"/>
    </row>
    <row r="348" spans="1:19" x14ac:dyDescent="0.3">
      <c r="A348" s="254" t="str">
        <f>IF(ISBLANK(INDEX('Policy Characteristics'!A:A,MATCH($C348,'Policy Characteristics'!$C:$C,0))),"",INDEX('Policy Characteristics'!A:A,MATCH($C348,'Policy Characteristics'!$C:$C,0)))</f>
        <v>Electricity Supply</v>
      </c>
      <c r="B348" s="262" t="str">
        <f>IF(ISBLANK(INDEX('Policy Characteristics'!B:B,MATCH($C348,'Policy Characteristics'!$C:$C,0))),"",INDEX('Policy Characteristics'!B:B,MATCH($C348,'Policy Characteristics'!$C:$C,0)))</f>
        <v>Decrease Cost of Capital</v>
      </c>
      <c r="C348" s="254" t="str">
        <f t="shared" si="21"/>
        <v>Percentage Decrease in Cost of Capital for Power Plants</v>
      </c>
      <c r="D348" s="6" t="s">
        <v>3492</v>
      </c>
      <c r="E348" s="45"/>
      <c r="F348" s="6" t="s">
        <v>3497</v>
      </c>
      <c r="G348" s="6"/>
      <c r="H348" s="43">
        <v>1807</v>
      </c>
      <c r="I348" s="325" t="s">
        <v>43</v>
      </c>
      <c r="J348" s="255" t="str">
        <f>IF(ISBLANK(INDEX('Policy Characteristics'!D:D,MATCH($C348,'Policy Characteristics'!$C:$C,0))),"",INDEX('Policy Characteristics'!D:D,MATCH($C348,'Policy Characteristics'!$C:$C,0)))</f>
        <v>Decrease Electricity Sector Cost of Capital</v>
      </c>
      <c r="K348" s="254" t="str">
        <f>IF(ISBLANK(INDEX('Policy Characteristics'!E:E,MATCH($C348,'Policy Characteristics'!$C:$C,0))),"",INDEX('Policy Characteristics'!E:E,MATCH($C348,'Policy Characteristics'!$C:$C,0)))</f>
        <v>elec power plant cost of capital</v>
      </c>
      <c r="L348" s="254">
        <f>IF(ISBLANK(INDEX('Policy Characteristics'!F:F,MATCH($C348,'Policy Characteristics'!$C:$C,0))),"",INDEX('Policy Characteristics'!F:F,MATCH($C348,'Policy Characteristics'!$C:$C,0)))</f>
        <v>0</v>
      </c>
      <c r="M348" s="406">
        <f>IF(ISBLANK(INDEX('Policy Characteristics'!G:G,MATCH($C348,'Policy Characteristics'!$C:$C,0))),"",INDEX('Policy Characteristics'!G:G,MATCH($C348,'Policy Characteristics'!$C:$C,0)))</f>
        <v>1</v>
      </c>
      <c r="N348" s="254">
        <f>IF(ISBLANK(INDEX('Policy Characteristics'!H:H,MATCH($C348,'Policy Characteristics'!$C:$C,0))),"",INDEX('Policy Characteristics'!H:H,MATCH($C348,'Policy Characteristics'!$C:$C,0)))</f>
        <v>1</v>
      </c>
      <c r="O348" s="254" t="str">
        <f>IF(ISBLANK(INDEX('Policy Characteristics'!I:I,MATCH($C348,'Policy Characteristics'!$C:$C,0))),"",INDEX('Policy Characteristics'!I:I,MATCH($C348,'Policy Characteristics'!$C:$C,0)))</f>
        <v>% decrease</v>
      </c>
      <c r="P348" s="254"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4" t="str">
        <f>IF(ISBLANK(INDEX('Policy Characteristics'!K:K,MATCH($C348,'Policy Characteristics'!$C:$C,0))),"",INDEX('Policy Characteristics'!K:K,MATCH($C348,'Policy Characteristics'!$C:$C,0)))</f>
        <v/>
      </c>
      <c r="R348" s="254" t="str">
        <f>IF(ISBLANK(INDEX('Policy Characteristics'!L:L,MATCH($C348,'Policy Characteristics'!$C:$C,0))),"",INDEX('Policy Characteristics'!L:L,MATCH($C348,'Policy Characteristics'!$C:$C,0)))</f>
        <v/>
      </c>
      <c r="S348" s="314"/>
    </row>
    <row r="349" spans="1:19" x14ac:dyDescent="0.3">
      <c r="A349" s="254" t="str">
        <f>IF(ISBLANK(INDEX('Policy Characteristics'!A:A,MATCH($C349,'Policy Characteristics'!$C:$C,0))),"",INDEX('Policy Characteristics'!A:A,MATCH($C349,'Policy Characteristics'!$C:$C,0)))</f>
        <v>Electricity Supply</v>
      </c>
      <c r="B349" s="262" t="str">
        <f>IF(ISBLANK(INDEX('Policy Characteristics'!B:B,MATCH($C349,'Policy Characteristics'!$C:$C,0))),"",INDEX('Policy Characteristics'!B:B,MATCH($C349,'Policy Characteristics'!$C:$C,0)))</f>
        <v>Decrease Cost of Capital</v>
      </c>
      <c r="C349" s="254" t="str">
        <f t="shared" si="21"/>
        <v>Percentage Decrease in Cost of Capital for Power Plants</v>
      </c>
      <c r="D349" s="6" t="s">
        <v>3493</v>
      </c>
      <c r="E349" s="45"/>
      <c r="F349" s="6" t="s">
        <v>3498</v>
      </c>
      <c r="G349" s="6"/>
      <c r="H349" s="43">
        <v>1808</v>
      </c>
      <c r="I349" s="325" t="s">
        <v>43</v>
      </c>
      <c r="J349" s="255" t="str">
        <f>IF(ISBLANK(INDEX('Policy Characteristics'!D:D,MATCH($C349,'Policy Characteristics'!$C:$C,0))),"",INDEX('Policy Characteristics'!D:D,MATCH($C349,'Policy Characteristics'!$C:$C,0)))</f>
        <v>Decrease Electricity Sector Cost of Capital</v>
      </c>
      <c r="K349" s="254" t="str">
        <f>IF(ISBLANK(INDEX('Policy Characteristics'!E:E,MATCH($C349,'Policy Characteristics'!$C:$C,0))),"",INDEX('Policy Characteristics'!E:E,MATCH($C349,'Policy Characteristics'!$C:$C,0)))</f>
        <v>elec power plant cost of capital</v>
      </c>
      <c r="L349" s="254">
        <f>IF(ISBLANK(INDEX('Policy Characteristics'!F:F,MATCH($C349,'Policy Characteristics'!$C:$C,0))),"",INDEX('Policy Characteristics'!F:F,MATCH($C349,'Policy Characteristics'!$C:$C,0)))</f>
        <v>0</v>
      </c>
      <c r="M349" s="406">
        <f>IF(ISBLANK(INDEX('Policy Characteristics'!G:G,MATCH($C349,'Policy Characteristics'!$C:$C,0))),"",INDEX('Policy Characteristics'!G:G,MATCH($C349,'Policy Characteristics'!$C:$C,0)))</f>
        <v>1</v>
      </c>
      <c r="N349" s="254">
        <f>IF(ISBLANK(INDEX('Policy Characteristics'!H:H,MATCH($C349,'Policy Characteristics'!$C:$C,0))),"",INDEX('Policy Characteristics'!H:H,MATCH($C349,'Policy Characteristics'!$C:$C,0)))</f>
        <v>1</v>
      </c>
      <c r="O349" s="254" t="str">
        <f>IF(ISBLANK(INDEX('Policy Characteristics'!I:I,MATCH($C349,'Policy Characteristics'!$C:$C,0))),"",INDEX('Policy Characteristics'!I:I,MATCH($C349,'Policy Characteristics'!$C:$C,0)))</f>
        <v>% decrease</v>
      </c>
      <c r="P349" s="254"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4" t="str">
        <f>IF(ISBLANK(INDEX('Policy Characteristics'!K:K,MATCH($C349,'Policy Characteristics'!$C:$C,0))),"",INDEX('Policy Characteristics'!K:K,MATCH($C349,'Policy Characteristics'!$C:$C,0)))</f>
        <v/>
      </c>
      <c r="R349" s="254" t="str">
        <f>IF(ISBLANK(INDEX('Policy Characteristics'!L:L,MATCH($C349,'Policy Characteristics'!$C:$C,0))),"",INDEX('Policy Characteristics'!L:L,MATCH($C349,'Policy Characteristics'!$C:$C,0)))</f>
        <v/>
      </c>
      <c r="S349" s="314"/>
    </row>
    <row r="350" spans="1:19" x14ac:dyDescent="0.3">
      <c r="A350" s="254" t="str">
        <f>IF(ISBLANK(INDEX('Policy Characteristics'!A:A,MATCH($C350,'Policy Characteristics'!$C:$C,0))),"",INDEX('Policy Characteristics'!A:A,MATCH($C350,'Policy Characteristics'!$C:$C,0)))</f>
        <v>Electricity Supply</v>
      </c>
      <c r="B350" s="262" t="str">
        <f>IF(ISBLANK(INDEX('Policy Characteristics'!B:B,MATCH($C350,'Policy Characteristics'!$C:$C,0))),"",INDEX('Policy Characteristics'!B:B,MATCH($C350,'Policy Characteristics'!$C:$C,0)))</f>
        <v>Decrease Cost of Capital</v>
      </c>
      <c r="C350" s="254" t="str">
        <f t="shared" si="21"/>
        <v>Percentage Decrease in Cost of Capital for Power Plants</v>
      </c>
      <c r="D350" s="6" t="s">
        <v>3582</v>
      </c>
      <c r="E350" s="45"/>
      <c r="F350" s="6" t="s">
        <v>3580</v>
      </c>
      <c r="G350" s="6"/>
      <c r="H350" s="43">
        <v>1809</v>
      </c>
      <c r="I350" s="325" t="s">
        <v>43</v>
      </c>
      <c r="J350" s="255" t="str">
        <f>IF(ISBLANK(INDEX('Policy Characteristics'!D:D,MATCH($C350,'Policy Characteristics'!$C:$C,0))),"",INDEX('Policy Characteristics'!D:D,MATCH($C350,'Policy Characteristics'!$C:$C,0)))</f>
        <v>Decrease Electricity Sector Cost of Capital</v>
      </c>
      <c r="K350" s="254" t="str">
        <f>IF(ISBLANK(INDEX('Policy Characteristics'!E:E,MATCH($C350,'Policy Characteristics'!$C:$C,0))),"",INDEX('Policy Characteristics'!E:E,MATCH($C350,'Policy Characteristics'!$C:$C,0)))</f>
        <v>elec power plant cost of capital</v>
      </c>
      <c r="L350" s="254">
        <f>IF(ISBLANK(INDEX('Policy Characteristics'!F:F,MATCH($C350,'Policy Characteristics'!$C:$C,0))),"",INDEX('Policy Characteristics'!F:F,MATCH($C350,'Policy Characteristics'!$C:$C,0)))</f>
        <v>0</v>
      </c>
      <c r="M350" s="406">
        <f>IF(ISBLANK(INDEX('Policy Characteristics'!G:G,MATCH($C350,'Policy Characteristics'!$C:$C,0))),"",INDEX('Policy Characteristics'!G:G,MATCH($C350,'Policy Characteristics'!$C:$C,0)))</f>
        <v>1</v>
      </c>
      <c r="N350" s="254">
        <f>IF(ISBLANK(INDEX('Policy Characteristics'!H:H,MATCH($C350,'Policy Characteristics'!$C:$C,0))),"",INDEX('Policy Characteristics'!H:H,MATCH($C350,'Policy Characteristics'!$C:$C,0)))</f>
        <v>1</v>
      </c>
      <c r="O350" s="254" t="str">
        <f>IF(ISBLANK(INDEX('Policy Characteristics'!I:I,MATCH($C350,'Policy Characteristics'!$C:$C,0))),"",INDEX('Policy Characteristics'!I:I,MATCH($C350,'Policy Characteristics'!$C:$C,0)))</f>
        <v>% decrease</v>
      </c>
      <c r="P350" s="254"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4" t="str">
        <f>IF(ISBLANK(INDEX('Policy Characteristics'!K:K,MATCH($C350,'Policy Characteristics'!$C:$C,0))),"",INDEX('Policy Characteristics'!K:K,MATCH($C350,'Policy Characteristics'!$C:$C,0)))</f>
        <v/>
      </c>
      <c r="R350" s="254" t="str">
        <f>IF(ISBLANK(INDEX('Policy Characteristics'!L:L,MATCH($C350,'Policy Characteristics'!$C:$C,0))),"",INDEX('Policy Characteristics'!L:L,MATCH($C350,'Policy Characteristics'!$C:$C,0)))</f>
        <v/>
      </c>
      <c r="S350" s="314"/>
    </row>
    <row r="351" spans="1:19" x14ac:dyDescent="0.3">
      <c r="A351" s="254" t="str">
        <f>IF(ISBLANK(INDEX('Policy Characteristics'!A:A,MATCH($C351,'Policy Characteristics'!$C:$C,0))),"",INDEX('Policy Characteristics'!A:A,MATCH($C351,'Policy Characteristics'!$C:$C,0)))</f>
        <v>Electricity Supply</v>
      </c>
      <c r="B351" s="262" t="str">
        <f>IF(ISBLANK(INDEX('Policy Characteristics'!B:B,MATCH($C351,'Policy Characteristics'!$C:$C,0))),"",INDEX('Policy Characteristics'!B:B,MATCH($C351,'Policy Characteristics'!$C:$C,0)))</f>
        <v>Decrease Cost of Capital</v>
      </c>
      <c r="C351" s="254" t="str">
        <f t="shared" si="21"/>
        <v>Percentage Decrease in Cost of Capital for Power Plants</v>
      </c>
      <c r="D351" s="6" t="s">
        <v>3583</v>
      </c>
      <c r="E351" s="45"/>
      <c r="F351" s="6" t="s">
        <v>3581</v>
      </c>
      <c r="G351" s="6"/>
      <c r="H351" s="43">
        <v>2238</v>
      </c>
      <c r="I351" s="325" t="s">
        <v>43</v>
      </c>
      <c r="J351" s="255" t="str">
        <f>IF(ISBLANK(INDEX('Policy Characteristics'!D:D,MATCH($C351,'Policy Characteristics'!$C:$C,0))),"",INDEX('Policy Characteristics'!D:D,MATCH($C351,'Policy Characteristics'!$C:$C,0)))</f>
        <v>Decrease Electricity Sector Cost of Capital</v>
      </c>
      <c r="K351" s="254" t="str">
        <f>IF(ISBLANK(INDEX('Policy Characteristics'!E:E,MATCH($C351,'Policy Characteristics'!$C:$C,0))),"",INDEX('Policy Characteristics'!E:E,MATCH($C351,'Policy Characteristics'!$C:$C,0)))</f>
        <v>elec power plant cost of capital</v>
      </c>
      <c r="L351" s="254">
        <f>IF(ISBLANK(INDEX('Policy Characteristics'!F:F,MATCH($C351,'Policy Characteristics'!$C:$C,0))),"",INDEX('Policy Characteristics'!F:F,MATCH($C351,'Policy Characteristics'!$C:$C,0)))</f>
        <v>0</v>
      </c>
      <c r="M351" s="406">
        <f>IF(ISBLANK(INDEX('Policy Characteristics'!G:G,MATCH($C351,'Policy Characteristics'!$C:$C,0))),"",INDEX('Policy Characteristics'!G:G,MATCH($C351,'Policy Characteristics'!$C:$C,0)))</f>
        <v>1</v>
      </c>
      <c r="N351" s="254">
        <f>IF(ISBLANK(INDEX('Policy Characteristics'!H:H,MATCH($C351,'Policy Characteristics'!$C:$C,0))),"",INDEX('Policy Characteristics'!H:H,MATCH($C351,'Policy Characteristics'!$C:$C,0)))</f>
        <v>1</v>
      </c>
      <c r="O351" s="254" t="str">
        <f>IF(ISBLANK(INDEX('Policy Characteristics'!I:I,MATCH($C351,'Policy Characteristics'!$C:$C,0))),"",INDEX('Policy Characteristics'!I:I,MATCH($C351,'Policy Characteristics'!$C:$C,0)))</f>
        <v>% decrease</v>
      </c>
      <c r="P351" s="254"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4"/>
      <c r="R351" s="254"/>
      <c r="S351" s="314"/>
    </row>
    <row r="352" spans="1:19" x14ac:dyDescent="0.3">
      <c r="A352" s="254" t="str">
        <f>IF(ISBLANK(INDEX('Policy Characteristics'!A:A,MATCH($C352,'Policy Characteristics'!$C:$C,0))),"",INDEX('Policy Characteristics'!A:A,MATCH($C352,'Policy Characteristics'!$C:$C,0)))</f>
        <v>Electricity Supply</v>
      </c>
      <c r="B352" s="262" t="str">
        <f>IF(ISBLANK(INDEX('Policy Characteristics'!B:B,MATCH($C352,'Policy Characteristics'!$C:$C,0))),"",INDEX('Policy Characteristics'!B:B,MATCH($C352,'Policy Characteristics'!$C:$C,0)))</f>
        <v>Demand Response</v>
      </c>
      <c r="C352" t="s">
        <v>27</v>
      </c>
      <c r="D352" s="45"/>
      <c r="E352" s="45"/>
      <c r="F352" s="45"/>
      <c r="G352" s="45"/>
      <c r="H352" s="43">
        <v>30</v>
      </c>
      <c r="I352" s="324" t="s">
        <v>43</v>
      </c>
      <c r="J352" s="255" t="str">
        <f>IF(ISBLANK(INDEX('Policy Characteristics'!D:D,MATCH($C352,'Policy Characteristics'!$C:$C,0))),"",INDEX('Policy Characteristics'!D:D,MATCH($C352,'Policy Characteristics'!$C:$C,0)))</f>
        <v>Demand Response</v>
      </c>
      <c r="K352" s="254" t="str">
        <f>IF(ISBLANK(INDEX('Policy Characteristics'!E:E,MATCH($C352,'Policy Characteristics'!$C:$C,0))),"",INDEX('Policy Characteristics'!E:E,MATCH($C352,'Policy Characteristics'!$C:$C,0)))</f>
        <v>elec demand response</v>
      </c>
      <c r="L352" s="261">
        <f>IF(ISBLANK(INDEX('Policy Characteristics'!F:F,MATCH($C352,'Policy Characteristics'!$C:$C,0))),"",INDEX('Policy Characteristics'!F:F,MATCH($C352,'Policy Characteristics'!$C:$C,0)))</f>
        <v>0</v>
      </c>
      <c r="M352" s="261">
        <f>IF(ISBLANK(INDEX('Policy Characteristics'!G:G,MATCH($C352,'Policy Characteristics'!$C:$C,0))),"",INDEX('Policy Characteristics'!G:G,MATCH($C352,'Policy Characteristics'!$C:$C,0)))</f>
        <v>1</v>
      </c>
      <c r="N352" s="261">
        <f>IF(ISBLANK(INDEX('Policy Characteristics'!H:H,MATCH($C352,'Policy Characteristics'!$C:$C,0))),"",INDEX('Policy Characteristics'!H:H,MATCH($C352,'Policy Characteristics'!$C:$C,0)))</f>
        <v>0.01</v>
      </c>
      <c r="O352" s="254" t="str">
        <f>IF(ISBLANK(INDEX('Policy Characteristics'!I:I,MATCH($C352,'Policy Characteristics'!$C:$C,0))),"",INDEX('Policy Characteristics'!I:I,MATCH($C352,'Policy Characteristics'!$C:$C,0)))</f>
        <v>% of potential achieved</v>
      </c>
      <c r="P352" s="254" t="str">
        <f>IF(ISBLANK(INDEX('Policy Characteristics'!J:J,MATCH($C352,'Policy Characteristics'!$C:$C,0))),"",INDEX('Policy Characteristics'!J:J,MATCH($C352,'Policy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2" s="254" t="str">
        <f>IF(ISBLANK(INDEX('Policy Characteristics'!K:K,MATCH($C352,'Policy Characteristics'!$C:$C,0))),"",INDEX('Policy Characteristics'!K:K,MATCH($C352,'Policy Characteristics'!$C:$C,0)))</f>
        <v>electricity-sector-main.html#dr</v>
      </c>
      <c r="R352" s="254" t="str">
        <f>IF(ISBLANK(INDEX('Policy Characteristics'!L:L,MATCH($C352,'Policy Characteristics'!$C:$C,0))),"",INDEX('Policy Characteristics'!L:L,MATCH($C352,'Policy Characteristics'!$C:$C,0)))</f>
        <v>demand-response.html</v>
      </c>
    </row>
    <row r="353" spans="1:18" x14ac:dyDescent="0.3">
      <c r="A353" s="254" t="str">
        <f>IF(ISBLANK(INDEX('Policy Characteristics'!A:A,MATCH($C353,'Policy Characteristics'!$C:$C,0))),"",INDEX('Policy Characteristics'!A:A,MATCH($C353,'Policy Characteristics'!$C:$C,0)))</f>
        <v>Electricity Supply</v>
      </c>
      <c r="B353" s="262" t="str">
        <f>IF(ISBLANK(INDEX('Policy Characteristics'!B:B,MATCH($C353,'Policy Characteristics'!$C:$C,0))),"",INDEX('Policy Characteristics'!B:B,MATCH($C353,'Policy Characteristics'!$C:$C,0)))</f>
        <v>Early Retirement of Power Plants</v>
      </c>
      <c r="C353" t="s">
        <v>128</v>
      </c>
      <c r="D353" s="45" t="s">
        <v>447</v>
      </c>
      <c r="E353" s="45"/>
      <c r="F353" s="45" t="s">
        <v>446</v>
      </c>
      <c r="G353" s="45"/>
      <c r="H353" s="43">
        <v>31</v>
      </c>
      <c r="I353" s="324" t="s">
        <v>43</v>
      </c>
      <c r="J353" s="255" t="str">
        <f>IF(ISBLANK(INDEX('Policy Characteristics'!D:D,MATCH($C353,'Policy Characteristics'!$C:$C,0))),"",INDEX('Policy Characteristics'!D:D,MATCH($C353,'Policy Characteristics'!$C:$C,0)))</f>
        <v>Early Retirement of Power Plants</v>
      </c>
      <c r="K353" s="254" t="str">
        <f>IF(ISBLANK(INDEX('Policy Characteristics'!E:E,MATCH($C353,'Policy Characteristics'!$C:$C,0))),"",INDEX('Policy Characteristics'!E:E,MATCH($C353,'Policy Characteristics'!$C:$C,0)))</f>
        <v>elec early retirement</v>
      </c>
      <c r="L353" s="254">
        <f>IF(ISBLANK(INDEX('Policy Characteristics'!F:F,MATCH($C353,'Policy Characteristics'!$C:$C,0))),"",INDEX('Policy Characteristics'!F:F,MATCH($C353,'Policy Characteristics'!$C:$C,0)))</f>
        <v>0</v>
      </c>
      <c r="M353" s="254">
        <f>IF(ISBLANK(INDEX('Policy Characteristics'!G:G,MATCH($C353,'Policy Characteristics'!$C:$C,0))),"",INDEX('Policy Characteristics'!G:G,MATCH($C353,'Policy Characteristics'!$C:$C,0)))</f>
        <v>25000</v>
      </c>
      <c r="N353" s="254">
        <f>IF(ISBLANK(INDEX('Policy Characteristics'!H:H,MATCH($C353,'Policy Characteristics'!$C:$C,0))),"",INDEX('Policy Characteristics'!H:H,MATCH($C353,'Policy Characteristics'!$C:$C,0)))</f>
        <v>500</v>
      </c>
      <c r="O353" s="254" t="str">
        <f>IF(ISBLANK(INDEX('Policy Characteristics'!I:I,MATCH($C353,'Policy Characteristics'!$C:$C,0))),"",INDEX('Policy Characteristics'!I:I,MATCH($C353,'Policy Characteristics'!$C:$C,0)))</f>
        <v>MW/year</v>
      </c>
      <c r="P353" s="254" t="str">
        <f>IF(ISBLANK(INDEX('Policy Characteristics'!J:J,MATCH($C353,'Policy Characteristics'!$C:$C,0))),"",INDEX('Policy Characteristics'!J:J,MATCH($C353,'Policy Characteristics'!$C:$C,0)))</f>
        <v xml:space="preserve">**Description:** This policy causes the specified quantity of otherwise non-retiring capacity of the selected type(s) to be retired each year. </v>
      </c>
      <c r="Q353" s="254" t="str">
        <f>IF(ISBLANK(INDEX('Policy Characteristics'!K:K,MATCH($C353,'Policy Characteristics'!$C:$C,0))),"",INDEX('Policy Characteristics'!K:K,MATCH($C353,'Policy Characteristics'!$C:$C,0)))</f>
        <v>electricity-sector-main.html#early-ret</v>
      </c>
      <c r="R353" s="254" t="str">
        <f>IF(ISBLANK(INDEX('Policy Characteristics'!L:L,MATCH($C353,'Policy Characteristics'!$C:$C,0))),"",INDEX('Policy Characteristics'!L:L,MATCH($C353,'Policy Characteristics'!$C:$C,0)))</f>
        <v>early-retirement-of-power-plants.html</v>
      </c>
    </row>
    <row r="354" spans="1:18" x14ac:dyDescent="0.3">
      <c r="A354" s="254" t="str">
        <f>IF(ISBLANK(INDEX('Policy Characteristics'!A:A,MATCH($C354,'Policy Characteristics'!$C:$C,0))),"",INDEX('Policy Characteristics'!A:A,MATCH($C354,'Policy Characteristics'!$C:$C,0)))</f>
        <v>Electricity Supply</v>
      </c>
      <c r="B354" s="262" t="str">
        <f>IF(ISBLANK(INDEX('Policy Characteristics'!B:B,MATCH($C354,'Policy Characteristics'!$C:$C,0))),"",INDEX('Policy Characteristics'!B:B,MATCH($C354,'Policy Characteristics'!$C:$C,0)))</f>
        <v>Early Retirement of Power Plants</v>
      </c>
      <c r="C354" t="s">
        <v>128</v>
      </c>
      <c r="D354" s="6" t="s">
        <v>3488</v>
      </c>
      <c r="E354" s="45"/>
      <c r="F354" s="6" t="s">
        <v>3424</v>
      </c>
      <c r="G354" s="45"/>
      <c r="H354" s="43">
        <v>1760</v>
      </c>
      <c r="I354" s="324" t="s">
        <v>43</v>
      </c>
      <c r="J354" s="255" t="str">
        <f>IF(ISBLANK(INDEX('Policy Characteristics'!D:D,MATCH($C354,'Policy Characteristics'!$C:$C,0))),"",INDEX('Policy Characteristics'!D:D,MATCH($C354,'Policy Characteristics'!$C:$C,0)))</f>
        <v>Early Retirement of Power Plants</v>
      </c>
      <c r="K354" s="254" t="str">
        <f>IF(ISBLANK(INDEX('Policy Characteristics'!E:E,MATCH($C354,'Policy Characteristics'!$C:$C,0))),"",INDEX('Policy Characteristics'!E:E,MATCH($C354,'Policy Characteristics'!$C:$C,0)))</f>
        <v>elec early retirement</v>
      </c>
      <c r="L354" s="254">
        <f>IF(ISBLANK(INDEX('Policy Characteristics'!F:F,MATCH($C354,'Policy Characteristics'!$C:$C,0))),"",INDEX('Policy Characteristics'!F:F,MATCH($C354,'Policy Characteristics'!$C:$C,0)))</f>
        <v>0</v>
      </c>
      <c r="M354" s="254">
        <f>IF(ISBLANK(INDEX('Policy Characteristics'!G:G,MATCH($C354,'Policy Characteristics'!$C:$C,0))),"",INDEX('Policy Characteristics'!G:G,MATCH($C354,'Policy Characteristics'!$C:$C,0)))</f>
        <v>25000</v>
      </c>
      <c r="N354" s="254">
        <f>IF(ISBLANK(INDEX('Policy Characteristics'!H:H,MATCH($C354,'Policy Characteristics'!$C:$C,0))),"",INDEX('Policy Characteristics'!H:H,MATCH($C354,'Policy Characteristics'!$C:$C,0)))</f>
        <v>500</v>
      </c>
      <c r="O354" s="254" t="str">
        <f>IF(ISBLANK(INDEX('Policy Characteristics'!I:I,MATCH($C354,'Policy Characteristics'!$C:$C,0))),"",INDEX('Policy Characteristics'!I:I,MATCH($C354,'Policy Characteristics'!$C:$C,0)))</f>
        <v>MW/year</v>
      </c>
      <c r="P354" s="254" t="str">
        <f>IF(ISBLANK(INDEX('Policy Characteristics'!J:J,MATCH($C354,'Policy Characteristics'!$C:$C,0))),"",INDEX('Policy Characteristics'!J:J,MATCH($C354,'Policy Characteristics'!$C:$C,0)))</f>
        <v xml:space="preserve">**Description:** This policy causes the specified quantity of otherwise non-retiring capacity of the selected type(s) to be retired each year. </v>
      </c>
      <c r="Q354" s="254" t="str">
        <f>IF(ISBLANK(INDEX('Policy Characteristics'!K:K,MATCH($C354,'Policy Characteristics'!$C:$C,0))),"",INDEX('Policy Characteristics'!K:K,MATCH($C354,'Policy Characteristics'!$C:$C,0)))</f>
        <v>electricity-sector-main.html#early-ret</v>
      </c>
      <c r="R354" s="254" t="str">
        <f>IF(ISBLANK(INDEX('Policy Characteristics'!L:L,MATCH($C354,'Policy Characteristics'!$C:$C,0))),"",INDEX('Policy Characteristics'!L:L,MATCH($C354,'Policy Characteristics'!$C:$C,0)))</f>
        <v>early-retirement-of-power-plants.html</v>
      </c>
    </row>
    <row r="355" spans="1:18" x14ac:dyDescent="0.3">
      <c r="A355" s="254" t="str">
        <f>IF(ISBLANK(INDEX('Policy Characteristics'!A:A,MATCH($C355,'Policy Characteristics'!$C:$C,0))),"",INDEX('Policy Characteristics'!A:A,MATCH($C355,'Policy Characteristics'!$C:$C,0)))</f>
        <v>Electricity Supply</v>
      </c>
      <c r="B355" s="262" t="str">
        <f>IF(ISBLANK(INDEX('Policy Characteristics'!B:B,MATCH($C355,'Policy Characteristics'!$C:$C,0))),"",INDEX('Policy Characteristics'!B:B,MATCH($C355,'Policy Characteristics'!$C:$C,0)))</f>
        <v>Early Retirement of Power Plants</v>
      </c>
      <c r="C355" s="254" t="str">
        <f t="shared" ref="C355:C376" si="22">C$353</f>
        <v>Annual Additional Capacity Retired due to Early Retirement Policy</v>
      </c>
      <c r="D355" s="6" t="s">
        <v>3489</v>
      </c>
      <c r="E355" s="45"/>
      <c r="F355" s="6" t="s">
        <v>3425</v>
      </c>
      <c r="G355" s="45"/>
      <c r="H355" s="43">
        <v>620</v>
      </c>
      <c r="I355" s="324" t="s">
        <v>43</v>
      </c>
      <c r="J355" s="255" t="str">
        <f>IF(ISBLANK(INDEX('Policy Characteristics'!D:D,MATCH($C355,'Policy Characteristics'!$C:$C,0))),"",INDEX('Policy Characteristics'!D:D,MATCH($C355,'Policy Characteristics'!$C:$C,0)))</f>
        <v>Early Retirement of Power Plants</v>
      </c>
      <c r="K355" s="254" t="str">
        <f>IF(ISBLANK(INDEX('Policy Characteristics'!E:E,MATCH($C355,'Policy Characteristics'!$C:$C,0))),"",INDEX('Policy Characteristics'!E:E,MATCH($C355,'Policy Characteristics'!$C:$C,0)))</f>
        <v>elec early retirement</v>
      </c>
      <c r="L355" s="254">
        <f>IF(ISBLANK(INDEX('Policy Characteristics'!F:F,MATCH($C355,'Policy Characteristics'!$C:$C,0))),"",INDEX('Policy Characteristics'!F:F,MATCH($C355,'Policy Characteristics'!$C:$C,0)))</f>
        <v>0</v>
      </c>
      <c r="M355" s="254">
        <f>IF(ISBLANK(INDEX('Policy Characteristics'!G:G,MATCH($C355,'Policy Characteristics'!$C:$C,0))),"",INDEX('Policy Characteristics'!G:G,MATCH($C355,'Policy Characteristics'!$C:$C,0)))</f>
        <v>25000</v>
      </c>
      <c r="N355" s="254">
        <f>IF(ISBLANK(INDEX('Policy Characteristics'!H:H,MATCH($C355,'Policy Characteristics'!$C:$C,0))),"",INDEX('Policy Characteristics'!H:H,MATCH($C355,'Policy Characteristics'!$C:$C,0)))</f>
        <v>500</v>
      </c>
      <c r="O355" s="254" t="str">
        <f>IF(ISBLANK(INDEX('Policy Characteristics'!I:I,MATCH($C355,'Policy Characteristics'!$C:$C,0))),"",INDEX('Policy Characteristics'!I:I,MATCH($C355,'Policy Characteristics'!$C:$C,0)))</f>
        <v>MW/year</v>
      </c>
      <c r="P355" s="254" t="str">
        <f>IF(ISBLANK(INDEX('Policy Characteristics'!J:J,MATCH($C355,'Policy Characteristics'!$C:$C,0))),"",INDEX('Policy Characteristics'!J:J,MATCH($C355,'Policy Characteristics'!$C:$C,0)))</f>
        <v xml:space="preserve">**Description:** This policy causes the specified quantity of otherwise non-retiring capacity of the selected type(s) to be retired each year. </v>
      </c>
      <c r="Q355" s="254" t="str">
        <f>IF(ISBLANK(INDEX('Policy Characteristics'!K:K,MATCH($C355,'Policy Characteristics'!$C:$C,0))),"",INDEX('Policy Characteristics'!K:K,MATCH($C355,'Policy Characteristics'!$C:$C,0)))</f>
        <v>electricity-sector-main.html#early-ret</v>
      </c>
      <c r="R355" s="254" t="str">
        <f>IF(ISBLANK(INDEX('Policy Characteristics'!L:L,MATCH($C355,'Policy Characteristics'!$C:$C,0))),"",INDEX('Policy Characteristics'!L:L,MATCH($C355,'Policy Characteristics'!$C:$C,0)))</f>
        <v>early-retirement-of-power-plants.html</v>
      </c>
    </row>
    <row r="356" spans="1:18" x14ac:dyDescent="0.3">
      <c r="A356" s="254" t="str">
        <f>IF(ISBLANK(INDEX('Policy Characteristics'!A:A,MATCH($C356,'Policy Characteristics'!$C:$C,0))),"",INDEX('Policy Characteristics'!A:A,MATCH($C356,'Policy Characteristics'!$C:$C,0)))</f>
        <v>Electricity Supply</v>
      </c>
      <c r="B356" s="262" t="str">
        <f>IF(ISBLANK(INDEX('Policy Characteristics'!B:B,MATCH($C356,'Policy Characteristics'!$C:$C,0))),"",INDEX('Policy Characteristics'!B:B,MATCH($C356,'Policy Characteristics'!$C:$C,0)))</f>
        <v>Early Retirement of Power Plants</v>
      </c>
      <c r="C356" s="254" t="str">
        <f t="shared" si="22"/>
        <v>Annual Additional Capacity Retired due to Early Retirement Policy</v>
      </c>
      <c r="D356" s="6" t="s">
        <v>76</v>
      </c>
      <c r="E356" s="45"/>
      <c r="F356" s="6" t="s">
        <v>3499</v>
      </c>
      <c r="G356" s="45"/>
      <c r="H356" s="43">
        <v>32</v>
      </c>
      <c r="I356" s="324" t="s">
        <v>43</v>
      </c>
      <c r="J356" s="255" t="str">
        <f>IF(ISBLANK(INDEX('Policy Characteristics'!D:D,MATCH($C356,'Policy Characteristics'!$C:$C,0))),"",INDEX('Policy Characteristics'!D:D,MATCH($C356,'Policy Characteristics'!$C:$C,0)))</f>
        <v>Early Retirement of Power Plants</v>
      </c>
      <c r="K356" s="254" t="str">
        <f>IF(ISBLANK(INDEX('Policy Characteristics'!E:E,MATCH($C356,'Policy Characteristics'!$C:$C,0))),"",INDEX('Policy Characteristics'!E:E,MATCH($C356,'Policy Characteristics'!$C:$C,0)))</f>
        <v>elec early retirement</v>
      </c>
      <c r="L356" s="254">
        <f>IF(ISBLANK(INDEX('Policy Characteristics'!F:F,MATCH($C356,'Policy Characteristics'!$C:$C,0))),"",INDEX('Policy Characteristics'!F:F,MATCH($C356,'Policy Characteristics'!$C:$C,0)))</f>
        <v>0</v>
      </c>
      <c r="M356" s="254">
        <f>IF(ISBLANK(INDEX('Policy Characteristics'!G:G,MATCH($C356,'Policy Characteristics'!$C:$C,0))),"",INDEX('Policy Characteristics'!G:G,MATCH($C356,'Policy Characteristics'!$C:$C,0)))</f>
        <v>25000</v>
      </c>
      <c r="N356" s="254">
        <f>IF(ISBLANK(INDEX('Policy Characteristics'!H:H,MATCH($C356,'Policy Characteristics'!$C:$C,0))),"",INDEX('Policy Characteristics'!H:H,MATCH($C356,'Policy Characteristics'!$C:$C,0)))</f>
        <v>500</v>
      </c>
      <c r="O356" s="254" t="str">
        <f>IF(ISBLANK(INDEX('Policy Characteristics'!I:I,MATCH($C356,'Policy Characteristics'!$C:$C,0))),"",INDEX('Policy Characteristics'!I:I,MATCH($C356,'Policy Characteristics'!$C:$C,0)))</f>
        <v>MW/year</v>
      </c>
      <c r="P356" s="254" t="str">
        <f>IF(ISBLANK(INDEX('Policy Characteristics'!J:J,MATCH($C356,'Policy Characteristics'!$C:$C,0))),"",INDEX('Policy Characteristics'!J:J,MATCH($C356,'Policy Characteristics'!$C:$C,0)))</f>
        <v xml:space="preserve">**Description:** This policy causes the specified quantity of otherwise non-retiring capacity of the selected type(s) to be retired each year. </v>
      </c>
      <c r="Q356" s="254" t="str">
        <f>IF(ISBLANK(INDEX('Policy Characteristics'!K:K,MATCH($C356,'Policy Characteristics'!$C:$C,0))),"",INDEX('Policy Characteristics'!K:K,MATCH($C356,'Policy Characteristics'!$C:$C,0)))</f>
        <v>electricity-sector-main.html#early-ret</v>
      </c>
      <c r="R356" s="254" t="str">
        <f>IF(ISBLANK(INDEX('Policy Characteristics'!L:L,MATCH($C356,'Policy Characteristics'!$C:$C,0))),"",INDEX('Policy Characteristics'!L:L,MATCH($C356,'Policy Characteristics'!$C:$C,0)))</f>
        <v>early-retirement-of-power-plants.html</v>
      </c>
    </row>
    <row r="357" spans="1:18" x14ac:dyDescent="0.3">
      <c r="A357" s="254" t="str">
        <f>IF(ISBLANK(INDEX('Policy Characteristics'!A:A,MATCH($C357,'Policy Characteristics'!$C:$C,0))),"",INDEX('Policy Characteristics'!A:A,MATCH($C357,'Policy Characteristics'!$C:$C,0)))</f>
        <v>Electricity Supply</v>
      </c>
      <c r="B357" s="262" t="str">
        <f>IF(ISBLANK(INDEX('Policy Characteristics'!B:B,MATCH($C357,'Policy Characteristics'!$C:$C,0))),"",INDEX('Policy Characteristics'!B:B,MATCH($C357,'Policy Characteristics'!$C:$C,0)))</f>
        <v>Early Retirement of Power Plants</v>
      </c>
      <c r="C357" s="254" t="str">
        <f t="shared" si="22"/>
        <v>Annual Additional Capacity Retired due to Early Retirement Policy</v>
      </c>
      <c r="D357" s="6" t="s">
        <v>77</v>
      </c>
      <c r="E357" s="45"/>
      <c r="F357" s="6" t="s">
        <v>89</v>
      </c>
      <c r="G357" s="45"/>
      <c r="H357" s="43">
        <v>621</v>
      </c>
      <c r="I357" s="324" t="s">
        <v>44</v>
      </c>
      <c r="J357" s="255" t="str">
        <f>IF(ISBLANK(INDEX('Policy Characteristics'!D:D,MATCH($C357,'Policy Characteristics'!$C:$C,0))),"",INDEX('Policy Characteristics'!D:D,MATCH($C357,'Policy Characteristics'!$C:$C,0)))</f>
        <v>Early Retirement of Power Plants</v>
      </c>
      <c r="K357" s="254" t="str">
        <f>IF(ISBLANK(INDEX('Policy Characteristics'!E:E,MATCH($C357,'Policy Characteristics'!$C:$C,0))),"",INDEX('Policy Characteristics'!E:E,MATCH($C357,'Policy Characteristics'!$C:$C,0)))</f>
        <v>elec early retirement</v>
      </c>
      <c r="L357" s="254">
        <f>IF(ISBLANK(INDEX('Policy Characteristics'!F:F,MATCH($C357,'Policy Characteristics'!$C:$C,0))),"",INDEX('Policy Characteristics'!F:F,MATCH($C357,'Policy Characteristics'!$C:$C,0)))</f>
        <v>0</v>
      </c>
      <c r="M357" s="254">
        <f>IF(ISBLANK(INDEX('Policy Characteristics'!G:G,MATCH($C357,'Policy Characteristics'!$C:$C,0))),"",INDEX('Policy Characteristics'!G:G,MATCH($C357,'Policy Characteristics'!$C:$C,0)))</f>
        <v>25000</v>
      </c>
      <c r="N357" s="254">
        <f>IF(ISBLANK(INDEX('Policy Characteristics'!H:H,MATCH($C357,'Policy Characteristics'!$C:$C,0))),"",INDEX('Policy Characteristics'!H:H,MATCH($C357,'Policy Characteristics'!$C:$C,0)))</f>
        <v>500</v>
      </c>
      <c r="O357" s="254" t="str">
        <f>IF(ISBLANK(INDEX('Policy Characteristics'!I:I,MATCH($C357,'Policy Characteristics'!$C:$C,0))),"",INDEX('Policy Characteristics'!I:I,MATCH($C357,'Policy Characteristics'!$C:$C,0)))</f>
        <v>MW/year</v>
      </c>
      <c r="P357" s="254" t="str">
        <f>IF(ISBLANK(INDEX('Policy Characteristics'!J:J,MATCH($C357,'Policy Characteristics'!$C:$C,0))),"",INDEX('Policy Characteristics'!J:J,MATCH($C357,'Policy Characteristics'!$C:$C,0)))</f>
        <v xml:space="preserve">**Description:** This policy causes the specified quantity of otherwise non-retiring capacity of the selected type(s) to be retired each year. </v>
      </c>
      <c r="Q357" s="254" t="str">
        <f>IF(ISBLANK(INDEX('Policy Characteristics'!K:K,MATCH($C357,'Policy Characteristics'!$C:$C,0))),"",INDEX('Policy Characteristics'!K:K,MATCH($C357,'Policy Characteristics'!$C:$C,0)))</f>
        <v>electricity-sector-main.html#early-ret</v>
      </c>
      <c r="R357" s="254" t="str">
        <f>IF(ISBLANK(INDEX('Policy Characteristics'!L:L,MATCH($C357,'Policy Characteristics'!$C:$C,0))),"",INDEX('Policy Characteristics'!L:L,MATCH($C357,'Policy Characteristics'!$C:$C,0)))</f>
        <v>early-retirement-of-power-plants.html</v>
      </c>
    </row>
    <row r="358" spans="1:18" x14ac:dyDescent="0.3">
      <c r="A358" s="254" t="str">
        <f>IF(ISBLANK(INDEX('Policy Characteristics'!A:A,MATCH($C358,'Policy Characteristics'!$C:$C,0))),"",INDEX('Policy Characteristics'!A:A,MATCH($C358,'Policy Characteristics'!$C:$C,0)))</f>
        <v>Electricity Supply</v>
      </c>
      <c r="B358" s="262" t="str">
        <f>IF(ISBLANK(INDEX('Policy Characteristics'!B:B,MATCH($C358,'Policy Characteristics'!$C:$C,0))),"",INDEX('Policy Characteristics'!B:B,MATCH($C358,'Policy Characteristics'!$C:$C,0)))</f>
        <v>Early Retirement of Power Plants</v>
      </c>
      <c r="C358" s="254" t="str">
        <f t="shared" si="22"/>
        <v>Annual Additional Capacity Retired due to Early Retirement Policy</v>
      </c>
      <c r="D358" s="6" t="s">
        <v>448</v>
      </c>
      <c r="E358" s="45"/>
      <c r="F358" s="6" t="s">
        <v>451</v>
      </c>
      <c r="G358" s="45"/>
      <c r="H358" s="43">
        <v>622</v>
      </c>
      <c r="I358" s="324" t="s">
        <v>44</v>
      </c>
      <c r="J358" s="255" t="str">
        <f>IF(ISBLANK(INDEX('Policy Characteristics'!D:D,MATCH($C358,'Policy Characteristics'!$C:$C,0))),"",INDEX('Policy Characteristics'!D:D,MATCH($C358,'Policy Characteristics'!$C:$C,0)))</f>
        <v>Early Retirement of Power Plants</v>
      </c>
      <c r="K358" s="254" t="str">
        <f>IF(ISBLANK(INDEX('Policy Characteristics'!E:E,MATCH($C358,'Policy Characteristics'!$C:$C,0))),"",INDEX('Policy Characteristics'!E:E,MATCH($C358,'Policy Characteristics'!$C:$C,0)))</f>
        <v>elec early retirement</v>
      </c>
      <c r="L358" s="254">
        <f>IF(ISBLANK(INDEX('Policy Characteristics'!F:F,MATCH($C358,'Policy Characteristics'!$C:$C,0))),"",INDEX('Policy Characteristics'!F:F,MATCH($C358,'Policy Characteristics'!$C:$C,0)))</f>
        <v>0</v>
      </c>
      <c r="M358" s="254">
        <f>IF(ISBLANK(INDEX('Policy Characteristics'!G:G,MATCH($C358,'Policy Characteristics'!$C:$C,0))),"",INDEX('Policy Characteristics'!G:G,MATCH($C358,'Policy Characteristics'!$C:$C,0)))</f>
        <v>25000</v>
      </c>
      <c r="N358" s="254">
        <f>IF(ISBLANK(INDEX('Policy Characteristics'!H:H,MATCH($C358,'Policy Characteristics'!$C:$C,0))),"",INDEX('Policy Characteristics'!H:H,MATCH($C358,'Policy Characteristics'!$C:$C,0)))</f>
        <v>500</v>
      </c>
      <c r="O358" s="254" t="str">
        <f>IF(ISBLANK(INDEX('Policy Characteristics'!I:I,MATCH($C358,'Policy Characteristics'!$C:$C,0))),"",INDEX('Policy Characteristics'!I:I,MATCH($C358,'Policy Characteristics'!$C:$C,0)))</f>
        <v>MW/year</v>
      </c>
      <c r="P358" s="254"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4" t="str">
        <f>IF(ISBLANK(INDEX('Policy Characteristics'!K:K,MATCH($C358,'Policy Characteristics'!$C:$C,0))),"",INDEX('Policy Characteristics'!K:K,MATCH($C358,'Policy Characteristics'!$C:$C,0)))</f>
        <v>electricity-sector-main.html#early-ret</v>
      </c>
      <c r="R358" s="254" t="str">
        <f>IF(ISBLANK(INDEX('Policy Characteristics'!L:L,MATCH($C358,'Policy Characteristics'!$C:$C,0))),"",INDEX('Policy Characteristics'!L:L,MATCH($C358,'Policy Characteristics'!$C:$C,0)))</f>
        <v>early-retirement-of-power-plants.html</v>
      </c>
    </row>
    <row r="359" spans="1:18" x14ac:dyDescent="0.3">
      <c r="A359" s="254" t="str">
        <f>IF(ISBLANK(INDEX('Policy Characteristics'!A:A,MATCH($C359,'Policy Characteristics'!$C:$C,0))),"",INDEX('Policy Characteristics'!A:A,MATCH($C359,'Policy Characteristics'!$C:$C,0)))</f>
        <v>Electricity Supply</v>
      </c>
      <c r="B359" s="262" t="str">
        <f>IF(ISBLANK(INDEX('Policy Characteristics'!B:B,MATCH($C359,'Policy Characteristics'!$C:$C,0))),"",INDEX('Policy Characteristics'!B:B,MATCH($C359,'Policy Characteristics'!$C:$C,0)))</f>
        <v>Early Retirement of Power Plants</v>
      </c>
      <c r="C359" s="254" t="str">
        <f t="shared" si="22"/>
        <v>Annual Additional Capacity Retired due to Early Retirement Policy</v>
      </c>
      <c r="D359" s="6" t="s">
        <v>78</v>
      </c>
      <c r="E359" s="45"/>
      <c r="F359" s="6" t="s">
        <v>90</v>
      </c>
      <c r="G359" s="45"/>
      <c r="H359" s="43">
        <v>623</v>
      </c>
      <c r="I359" s="324" t="s">
        <v>44</v>
      </c>
      <c r="J359" s="255" t="str">
        <f>IF(ISBLANK(INDEX('Policy Characteristics'!D:D,MATCH($C359,'Policy Characteristics'!$C:$C,0))),"",INDEX('Policy Characteristics'!D:D,MATCH($C359,'Policy Characteristics'!$C:$C,0)))</f>
        <v>Early Retirement of Power Plants</v>
      </c>
      <c r="K359" s="254" t="str">
        <f>IF(ISBLANK(INDEX('Policy Characteristics'!E:E,MATCH($C359,'Policy Characteristics'!$C:$C,0))),"",INDEX('Policy Characteristics'!E:E,MATCH($C359,'Policy Characteristics'!$C:$C,0)))</f>
        <v>elec early retirement</v>
      </c>
      <c r="L359" s="254">
        <f>IF(ISBLANK(INDEX('Policy Characteristics'!F:F,MATCH($C359,'Policy Characteristics'!$C:$C,0))),"",INDEX('Policy Characteristics'!F:F,MATCH($C359,'Policy Characteristics'!$C:$C,0)))</f>
        <v>0</v>
      </c>
      <c r="M359" s="254">
        <f>IF(ISBLANK(INDEX('Policy Characteristics'!G:G,MATCH($C359,'Policy Characteristics'!$C:$C,0))),"",INDEX('Policy Characteristics'!G:G,MATCH($C359,'Policy Characteristics'!$C:$C,0)))</f>
        <v>25000</v>
      </c>
      <c r="N359" s="254">
        <f>IF(ISBLANK(INDEX('Policy Characteristics'!H:H,MATCH($C359,'Policy Characteristics'!$C:$C,0))),"",INDEX('Policy Characteristics'!H:H,MATCH($C359,'Policy Characteristics'!$C:$C,0)))</f>
        <v>500</v>
      </c>
      <c r="O359" s="254" t="str">
        <f>IF(ISBLANK(INDEX('Policy Characteristics'!I:I,MATCH($C359,'Policy Characteristics'!$C:$C,0))),"",INDEX('Policy Characteristics'!I:I,MATCH($C359,'Policy Characteristics'!$C:$C,0)))</f>
        <v>MW/year</v>
      </c>
      <c r="P359" s="254"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4" t="str">
        <f>IF(ISBLANK(INDEX('Policy Characteristics'!K:K,MATCH($C359,'Policy Characteristics'!$C:$C,0))),"",INDEX('Policy Characteristics'!K:K,MATCH($C359,'Policy Characteristics'!$C:$C,0)))</f>
        <v>electricity-sector-main.html#early-ret</v>
      </c>
      <c r="R359" s="254" t="str">
        <f>IF(ISBLANK(INDEX('Policy Characteristics'!L:L,MATCH($C359,'Policy Characteristics'!$C:$C,0))),"",INDEX('Policy Characteristics'!L:L,MATCH($C359,'Policy Characteristics'!$C:$C,0)))</f>
        <v>early-retirement-of-power-plants.html</v>
      </c>
    </row>
    <row r="360" spans="1:18" x14ac:dyDescent="0.3">
      <c r="A360" s="254" t="str">
        <f>IF(ISBLANK(INDEX('Policy Characteristics'!A:A,MATCH($C360,'Policy Characteristics'!$C:$C,0))),"",INDEX('Policy Characteristics'!A:A,MATCH($C360,'Policy Characteristics'!$C:$C,0)))</f>
        <v>Electricity Supply</v>
      </c>
      <c r="B360" s="262" t="str">
        <f>IF(ISBLANK(INDEX('Policy Characteristics'!B:B,MATCH($C360,'Policy Characteristics'!$C:$C,0))),"",INDEX('Policy Characteristics'!B:B,MATCH($C360,'Policy Characteristics'!$C:$C,0)))</f>
        <v>Early Retirement of Power Plants</v>
      </c>
      <c r="C360" s="254" t="str">
        <f t="shared" si="22"/>
        <v>Annual Additional Capacity Retired due to Early Retirement Policy</v>
      </c>
      <c r="D360" s="6" t="s">
        <v>79</v>
      </c>
      <c r="E360" s="45"/>
      <c r="F360" s="6" t="s">
        <v>91</v>
      </c>
      <c r="G360" s="45"/>
      <c r="H360" s="43">
        <v>624</v>
      </c>
      <c r="I360" s="324" t="s">
        <v>44</v>
      </c>
      <c r="J360" s="255" t="str">
        <f>IF(ISBLANK(INDEX('Policy Characteristics'!D:D,MATCH($C360,'Policy Characteristics'!$C:$C,0))),"",INDEX('Policy Characteristics'!D:D,MATCH($C360,'Policy Characteristics'!$C:$C,0)))</f>
        <v>Early Retirement of Power Plants</v>
      </c>
      <c r="K360" s="254" t="str">
        <f>IF(ISBLANK(INDEX('Policy Characteristics'!E:E,MATCH($C360,'Policy Characteristics'!$C:$C,0))),"",INDEX('Policy Characteristics'!E:E,MATCH($C360,'Policy Characteristics'!$C:$C,0)))</f>
        <v>elec early retirement</v>
      </c>
      <c r="L360" s="254">
        <f>IF(ISBLANK(INDEX('Policy Characteristics'!F:F,MATCH($C360,'Policy Characteristics'!$C:$C,0))),"",INDEX('Policy Characteristics'!F:F,MATCH($C360,'Policy Characteristics'!$C:$C,0)))</f>
        <v>0</v>
      </c>
      <c r="M360" s="254">
        <f>IF(ISBLANK(INDEX('Policy Characteristics'!G:G,MATCH($C360,'Policy Characteristics'!$C:$C,0))),"",INDEX('Policy Characteristics'!G:G,MATCH($C360,'Policy Characteristics'!$C:$C,0)))</f>
        <v>25000</v>
      </c>
      <c r="N360" s="254">
        <f>IF(ISBLANK(INDEX('Policy Characteristics'!H:H,MATCH($C360,'Policy Characteristics'!$C:$C,0))),"",INDEX('Policy Characteristics'!H:H,MATCH($C360,'Policy Characteristics'!$C:$C,0)))</f>
        <v>500</v>
      </c>
      <c r="O360" s="254" t="str">
        <f>IF(ISBLANK(INDEX('Policy Characteristics'!I:I,MATCH($C360,'Policy Characteristics'!$C:$C,0))),"",INDEX('Policy Characteristics'!I:I,MATCH($C360,'Policy Characteristics'!$C:$C,0)))</f>
        <v>MW/year</v>
      </c>
      <c r="P360" s="254"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4" t="str">
        <f>IF(ISBLANK(INDEX('Policy Characteristics'!K:K,MATCH($C360,'Policy Characteristics'!$C:$C,0))),"",INDEX('Policy Characteristics'!K:K,MATCH($C360,'Policy Characteristics'!$C:$C,0)))</f>
        <v>electricity-sector-main.html#early-ret</v>
      </c>
      <c r="R360" s="254" t="str">
        <f>IF(ISBLANK(INDEX('Policy Characteristics'!L:L,MATCH($C360,'Policy Characteristics'!$C:$C,0))),"",INDEX('Policy Characteristics'!L:L,MATCH($C360,'Policy Characteristics'!$C:$C,0)))</f>
        <v>early-retirement-of-power-plants.html</v>
      </c>
    </row>
    <row r="361" spans="1:18" x14ac:dyDescent="0.3">
      <c r="A361" s="254" t="str">
        <f>IF(ISBLANK(INDEX('Policy Characteristics'!A:A,MATCH($C361,'Policy Characteristics'!$C:$C,0))),"",INDEX('Policy Characteristics'!A:A,MATCH($C361,'Policy Characteristics'!$C:$C,0)))</f>
        <v>Electricity Supply</v>
      </c>
      <c r="B361" s="262" t="str">
        <f>IF(ISBLANK(INDEX('Policy Characteristics'!B:B,MATCH($C361,'Policy Characteristics'!$C:$C,0))),"",INDEX('Policy Characteristics'!B:B,MATCH($C361,'Policy Characteristics'!$C:$C,0)))</f>
        <v>Early Retirement of Power Plants</v>
      </c>
      <c r="C361" s="254" t="str">
        <f t="shared" si="22"/>
        <v>Annual Additional Capacity Retired due to Early Retirement Policy</v>
      </c>
      <c r="D361" s="6" t="s">
        <v>80</v>
      </c>
      <c r="E361" s="45"/>
      <c r="F361" s="6" t="s">
        <v>92</v>
      </c>
      <c r="G361" s="45"/>
      <c r="H361" s="43">
        <v>625</v>
      </c>
      <c r="I361" s="324" t="s">
        <v>44</v>
      </c>
      <c r="J361" s="255" t="str">
        <f>IF(ISBLANK(INDEX('Policy Characteristics'!D:D,MATCH($C361,'Policy Characteristics'!$C:$C,0))),"",INDEX('Policy Characteristics'!D:D,MATCH($C361,'Policy Characteristics'!$C:$C,0)))</f>
        <v>Early Retirement of Power Plants</v>
      </c>
      <c r="K361" s="254" t="str">
        <f>IF(ISBLANK(INDEX('Policy Characteristics'!E:E,MATCH($C361,'Policy Characteristics'!$C:$C,0))),"",INDEX('Policy Characteristics'!E:E,MATCH($C361,'Policy Characteristics'!$C:$C,0)))</f>
        <v>elec early retirement</v>
      </c>
      <c r="L361" s="254">
        <f>IF(ISBLANK(INDEX('Policy Characteristics'!F:F,MATCH($C361,'Policy Characteristics'!$C:$C,0))),"",INDEX('Policy Characteristics'!F:F,MATCH($C361,'Policy Characteristics'!$C:$C,0)))</f>
        <v>0</v>
      </c>
      <c r="M361" s="254">
        <f>IF(ISBLANK(INDEX('Policy Characteristics'!G:G,MATCH($C361,'Policy Characteristics'!$C:$C,0))),"",INDEX('Policy Characteristics'!G:G,MATCH($C361,'Policy Characteristics'!$C:$C,0)))</f>
        <v>25000</v>
      </c>
      <c r="N361" s="254">
        <f>IF(ISBLANK(INDEX('Policy Characteristics'!H:H,MATCH($C361,'Policy Characteristics'!$C:$C,0))),"",INDEX('Policy Characteristics'!H:H,MATCH($C361,'Policy Characteristics'!$C:$C,0)))</f>
        <v>500</v>
      </c>
      <c r="O361" s="254" t="str">
        <f>IF(ISBLANK(INDEX('Policy Characteristics'!I:I,MATCH($C361,'Policy Characteristics'!$C:$C,0))),"",INDEX('Policy Characteristics'!I:I,MATCH($C361,'Policy Characteristics'!$C:$C,0)))</f>
        <v>MW/year</v>
      </c>
      <c r="P361" s="254"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4" t="str">
        <f>IF(ISBLANK(INDEX('Policy Characteristics'!K:K,MATCH($C361,'Policy Characteristics'!$C:$C,0))),"",INDEX('Policy Characteristics'!K:K,MATCH($C361,'Policy Characteristics'!$C:$C,0)))</f>
        <v>electricity-sector-main.html#early-ret</v>
      </c>
      <c r="R361" s="254" t="str">
        <f>IF(ISBLANK(INDEX('Policy Characteristics'!L:L,MATCH($C361,'Policy Characteristics'!$C:$C,0))),"",INDEX('Policy Characteristics'!L:L,MATCH($C361,'Policy Characteristics'!$C:$C,0)))</f>
        <v>early-retirement-of-power-plants.html</v>
      </c>
    </row>
    <row r="362" spans="1:18" x14ac:dyDescent="0.3">
      <c r="A362" s="254" t="str">
        <f>IF(ISBLANK(INDEX('Policy Characteristics'!A:A,MATCH($C362,'Policy Characteristics'!$C:$C,0))),"",INDEX('Policy Characteristics'!A:A,MATCH($C362,'Policy Characteristics'!$C:$C,0)))</f>
        <v>Electricity Supply</v>
      </c>
      <c r="B362" s="262" t="str">
        <f>IF(ISBLANK(INDEX('Policy Characteristics'!B:B,MATCH($C362,'Policy Characteristics'!$C:$C,0))),"",INDEX('Policy Characteristics'!B:B,MATCH($C362,'Policy Characteristics'!$C:$C,0)))</f>
        <v>Early Retirement of Power Plants</v>
      </c>
      <c r="C362" s="254" t="str">
        <f t="shared" si="22"/>
        <v>Annual Additional Capacity Retired due to Early Retirement Policy</v>
      </c>
      <c r="D362" s="6" t="s">
        <v>2425</v>
      </c>
      <c r="E362" s="45"/>
      <c r="F362" s="6" t="s">
        <v>436</v>
      </c>
      <c r="G362" s="45"/>
      <c r="H362" s="43">
        <v>626</v>
      </c>
      <c r="I362" s="324" t="s">
        <v>44</v>
      </c>
      <c r="J362" s="255" t="str">
        <f>IF(ISBLANK(INDEX('Policy Characteristics'!D:D,MATCH($C362,'Policy Characteristics'!$C:$C,0))),"",INDEX('Policy Characteristics'!D:D,MATCH($C362,'Policy Characteristics'!$C:$C,0)))</f>
        <v>Early Retirement of Power Plants</v>
      </c>
      <c r="K362" s="254" t="str">
        <f>IF(ISBLANK(INDEX('Policy Characteristics'!E:E,MATCH($C362,'Policy Characteristics'!$C:$C,0))),"",INDEX('Policy Characteristics'!E:E,MATCH($C362,'Policy Characteristics'!$C:$C,0)))</f>
        <v>elec early retirement</v>
      </c>
      <c r="L362" s="254">
        <f>IF(ISBLANK(INDEX('Policy Characteristics'!F:F,MATCH($C362,'Policy Characteristics'!$C:$C,0))),"",INDEX('Policy Characteristics'!F:F,MATCH($C362,'Policy Characteristics'!$C:$C,0)))</f>
        <v>0</v>
      </c>
      <c r="M362" s="254">
        <f>IF(ISBLANK(INDEX('Policy Characteristics'!G:G,MATCH($C362,'Policy Characteristics'!$C:$C,0))),"",INDEX('Policy Characteristics'!G:G,MATCH($C362,'Policy Characteristics'!$C:$C,0)))</f>
        <v>25000</v>
      </c>
      <c r="N362" s="254">
        <f>IF(ISBLANK(INDEX('Policy Characteristics'!H:H,MATCH($C362,'Policy Characteristics'!$C:$C,0))),"",INDEX('Policy Characteristics'!H:H,MATCH($C362,'Policy Characteristics'!$C:$C,0)))</f>
        <v>500</v>
      </c>
      <c r="O362" s="254" t="str">
        <f>IF(ISBLANK(INDEX('Policy Characteristics'!I:I,MATCH($C362,'Policy Characteristics'!$C:$C,0))),"",INDEX('Policy Characteristics'!I:I,MATCH($C362,'Policy Characteristics'!$C:$C,0)))</f>
        <v>MW/year</v>
      </c>
      <c r="P362" s="254"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4" t="str">
        <f>IF(ISBLANK(INDEX('Policy Characteristics'!K:K,MATCH($C362,'Policy Characteristics'!$C:$C,0))),"",INDEX('Policy Characteristics'!K:K,MATCH($C362,'Policy Characteristics'!$C:$C,0)))</f>
        <v>electricity-sector-main.html#early-ret</v>
      </c>
      <c r="R362" s="254" t="str">
        <f>IF(ISBLANK(INDEX('Policy Characteristics'!L:L,MATCH($C362,'Policy Characteristics'!$C:$C,0))),"",INDEX('Policy Characteristics'!L:L,MATCH($C362,'Policy Characteristics'!$C:$C,0)))</f>
        <v>early-retirement-of-power-plants.html</v>
      </c>
    </row>
    <row r="363" spans="1:18" x14ac:dyDescent="0.3">
      <c r="A363" s="254" t="str">
        <f>IF(ISBLANK(INDEX('Policy Characteristics'!A:A,MATCH($C363,'Policy Characteristics'!$C:$C,0))),"",INDEX('Policy Characteristics'!A:A,MATCH($C363,'Policy Characteristics'!$C:$C,0)))</f>
        <v>Electricity Supply</v>
      </c>
      <c r="B363" s="262" t="str">
        <f>IF(ISBLANK(INDEX('Policy Characteristics'!B:B,MATCH($C363,'Policy Characteristics'!$C:$C,0))),"",INDEX('Policy Characteristics'!B:B,MATCH($C363,'Policy Characteristics'!$C:$C,0)))</f>
        <v>Early Retirement of Power Plants</v>
      </c>
      <c r="C363" s="254" t="str">
        <f t="shared" si="22"/>
        <v>Annual Additional Capacity Retired due to Early Retirement Policy</v>
      </c>
      <c r="D363" s="6" t="s">
        <v>308</v>
      </c>
      <c r="E363" s="45"/>
      <c r="F363" s="6" t="s">
        <v>310</v>
      </c>
      <c r="G363" s="45"/>
      <c r="H363" s="43">
        <v>627</v>
      </c>
      <c r="I363" s="324" t="s">
        <v>44</v>
      </c>
      <c r="J363" s="255" t="str">
        <f>IF(ISBLANK(INDEX('Policy Characteristics'!D:D,MATCH($C363,'Policy Characteristics'!$C:$C,0))),"",INDEX('Policy Characteristics'!D:D,MATCH($C363,'Policy Characteristics'!$C:$C,0)))</f>
        <v>Early Retirement of Power Plants</v>
      </c>
      <c r="K363" s="254" t="str">
        <f>IF(ISBLANK(INDEX('Policy Characteristics'!E:E,MATCH($C363,'Policy Characteristics'!$C:$C,0))),"",INDEX('Policy Characteristics'!E:E,MATCH($C363,'Policy Characteristics'!$C:$C,0)))</f>
        <v>elec early retirement</v>
      </c>
      <c r="L363" s="254">
        <f>IF(ISBLANK(INDEX('Policy Characteristics'!F:F,MATCH($C363,'Policy Characteristics'!$C:$C,0))),"",INDEX('Policy Characteristics'!F:F,MATCH($C363,'Policy Characteristics'!$C:$C,0)))</f>
        <v>0</v>
      </c>
      <c r="M363" s="254">
        <f>IF(ISBLANK(INDEX('Policy Characteristics'!G:G,MATCH($C363,'Policy Characteristics'!$C:$C,0))),"",INDEX('Policy Characteristics'!G:G,MATCH($C363,'Policy Characteristics'!$C:$C,0)))</f>
        <v>25000</v>
      </c>
      <c r="N363" s="254">
        <f>IF(ISBLANK(INDEX('Policy Characteristics'!H:H,MATCH($C363,'Policy Characteristics'!$C:$C,0))),"",INDEX('Policy Characteristics'!H:H,MATCH($C363,'Policy Characteristics'!$C:$C,0)))</f>
        <v>500</v>
      </c>
      <c r="O363" s="254" t="str">
        <f>IF(ISBLANK(INDEX('Policy Characteristics'!I:I,MATCH($C363,'Policy Characteristics'!$C:$C,0))),"",INDEX('Policy Characteristics'!I:I,MATCH($C363,'Policy Characteristics'!$C:$C,0)))</f>
        <v>MW/year</v>
      </c>
      <c r="P363" s="254"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4" t="str">
        <f>IF(ISBLANK(INDEX('Policy Characteristics'!K:K,MATCH($C363,'Policy Characteristics'!$C:$C,0))),"",INDEX('Policy Characteristics'!K:K,MATCH($C363,'Policy Characteristics'!$C:$C,0)))</f>
        <v>electricity-sector-main.html#early-ret</v>
      </c>
      <c r="R363" s="254" t="str">
        <f>IF(ISBLANK(INDEX('Policy Characteristics'!L:L,MATCH($C363,'Policy Characteristics'!$C:$C,0))),"",INDEX('Policy Characteristics'!L:L,MATCH($C363,'Policy Characteristics'!$C:$C,0)))</f>
        <v>early-retirement-of-power-plants.html</v>
      </c>
    </row>
    <row r="364" spans="1:18" x14ac:dyDescent="0.3">
      <c r="A364" s="254" t="str">
        <f>IF(ISBLANK(INDEX('Policy Characteristics'!A:A,MATCH($C364,'Policy Characteristics'!$C:$C,0))),"",INDEX('Policy Characteristics'!A:A,MATCH($C364,'Policy Characteristics'!$C:$C,0)))</f>
        <v>Electricity Supply</v>
      </c>
      <c r="B364" s="262" t="str">
        <f>IF(ISBLANK(INDEX('Policy Characteristics'!B:B,MATCH($C364,'Policy Characteristics'!$C:$C,0))),"",INDEX('Policy Characteristics'!B:B,MATCH($C364,'Policy Characteristics'!$C:$C,0)))</f>
        <v>Early Retirement of Power Plants</v>
      </c>
      <c r="C364" s="254" t="str">
        <f t="shared" si="22"/>
        <v>Annual Additional Capacity Retired due to Early Retirement Policy</v>
      </c>
      <c r="D364" s="6" t="s">
        <v>309</v>
      </c>
      <c r="E364" s="45"/>
      <c r="F364" s="6" t="s">
        <v>311</v>
      </c>
      <c r="G364" s="45"/>
      <c r="H364" s="43">
        <v>628</v>
      </c>
      <c r="I364" s="324" t="s">
        <v>43</v>
      </c>
      <c r="J364" s="255" t="str">
        <f>IF(ISBLANK(INDEX('Policy Characteristics'!D:D,MATCH($C364,'Policy Characteristics'!$C:$C,0))),"",INDEX('Policy Characteristics'!D:D,MATCH($C364,'Policy Characteristics'!$C:$C,0)))</f>
        <v>Early Retirement of Power Plants</v>
      </c>
      <c r="K364" s="254" t="str">
        <f>IF(ISBLANK(INDEX('Policy Characteristics'!E:E,MATCH($C364,'Policy Characteristics'!$C:$C,0))),"",INDEX('Policy Characteristics'!E:E,MATCH($C364,'Policy Characteristics'!$C:$C,0)))</f>
        <v>elec early retirement</v>
      </c>
      <c r="L364" s="254">
        <f>IF(ISBLANK(INDEX('Policy Characteristics'!F:F,MATCH($C364,'Policy Characteristics'!$C:$C,0))),"",INDEX('Policy Characteristics'!F:F,MATCH($C364,'Policy Characteristics'!$C:$C,0)))</f>
        <v>0</v>
      </c>
      <c r="M364" s="254">
        <f>IF(ISBLANK(INDEX('Policy Characteristics'!G:G,MATCH($C364,'Policy Characteristics'!$C:$C,0))),"",INDEX('Policy Characteristics'!G:G,MATCH($C364,'Policy Characteristics'!$C:$C,0)))</f>
        <v>25000</v>
      </c>
      <c r="N364" s="254">
        <f>IF(ISBLANK(INDEX('Policy Characteristics'!H:H,MATCH($C364,'Policy Characteristics'!$C:$C,0))),"",INDEX('Policy Characteristics'!H:H,MATCH($C364,'Policy Characteristics'!$C:$C,0)))</f>
        <v>500</v>
      </c>
      <c r="O364" s="254" t="str">
        <f>IF(ISBLANK(INDEX('Policy Characteristics'!I:I,MATCH($C364,'Policy Characteristics'!$C:$C,0))),"",INDEX('Policy Characteristics'!I:I,MATCH($C364,'Policy Characteristics'!$C:$C,0)))</f>
        <v>MW/year</v>
      </c>
      <c r="P364" s="254"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4" t="str">
        <f>IF(ISBLANK(INDEX('Policy Characteristics'!K:K,MATCH($C364,'Policy Characteristics'!$C:$C,0))),"",INDEX('Policy Characteristics'!K:K,MATCH($C364,'Policy Characteristics'!$C:$C,0)))</f>
        <v>electricity-sector-main.html#early-ret</v>
      </c>
      <c r="R364" s="254" t="str">
        <f>IF(ISBLANK(INDEX('Policy Characteristics'!L:L,MATCH($C364,'Policy Characteristics'!$C:$C,0))),"",INDEX('Policy Characteristics'!L:L,MATCH($C364,'Policy Characteristics'!$C:$C,0)))</f>
        <v>early-retirement-of-power-plants.html</v>
      </c>
    </row>
    <row r="365" spans="1:18" x14ac:dyDescent="0.3">
      <c r="A365" s="254" t="str">
        <f>IF(ISBLANK(INDEX('Policy Characteristics'!A:A,MATCH($C365,'Policy Characteristics'!$C:$C,0))),"",INDEX('Policy Characteristics'!A:A,MATCH($C365,'Policy Characteristics'!$C:$C,0)))</f>
        <v>Electricity Supply</v>
      </c>
      <c r="B365" s="262" t="str">
        <f>IF(ISBLANK(INDEX('Policy Characteristics'!B:B,MATCH($C365,'Policy Characteristics'!$C:$C,0))),"",INDEX('Policy Characteristics'!B:B,MATCH($C365,'Policy Characteristics'!$C:$C,0)))</f>
        <v>Early Retirement of Power Plants</v>
      </c>
      <c r="C365" s="254" t="str">
        <f t="shared" si="22"/>
        <v>Annual Additional Capacity Retired due to Early Retirement Policy</v>
      </c>
      <c r="D365" s="6" t="s">
        <v>444</v>
      </c>
      <c r="E365" s="45"/>
      <c r="F365" s="6" t="s">
        <v>443</v>
      </c>
      <c r="G365" s="45"/>
      <c r="H365" s="43">
        <v>590</v>
      </c>
      <c r="I365" s="324" t="s">
        <v>43</v>
      </c>
      <c r="J365" s="255" t="str">
        <f>IF(ISBLANK(INDEX('Policy Characteristics'!D:D,MATCH($C365,'Policy Characteristics'!$C:$C,0))),"",INDEX('Policy Characteristics'!D:D,MATCH($C365,'Policy Characteristics'!$C:$C,0)))</f>
        <v>Early Retirement of Power Plants</v>
      </c>
      <c r="K365" s="254" t="str">
        <f>IF(ISBLANK(INDEX('Policy Characteristics'!E:E,MATCH($C365,'Policy Characteristics'!$C:$C,0))),"",INDEX('Policy Characteristics'!E:E,MATCH($C365,'Policy Characteristics'!$C:$C,0)))</f>
        <v>elec early retirement</v>
      </c>
      <c r="L365" s="254">
        <f>IF(ISBLANK(INDEX('Policy Characteristics'!F:F,MATCH($C365,'Policy Characteristics'!$C:$C,0))),"",INDEX('Policy Characteristics'!F:F,MATCH($C365,'Policy Characteristics'!$C:$C,0)))</f>
        <v>0</v>
      </c>
      <c r="M365" s="254">
        <f>IF(ISBLANK(INDEX('Policy Characteristics'!G:G,MATCH($C365,'Policy Characteristics'!$C:$C,0))),"",INDEX('Policy Characteristics'!G:G,MATCH($C365,'Policy Characteristics'!$C:$C,0)))</f>
        <v>25000</v>
      </c>
      <c r="N365" s="254">
        <f>IF(ISBLANK(INDEX('Policy Characteristics'!H:H,MATCH($C365,'Policy Characteristics'!$C:$C,0))),"",INDEX('Policy Characteristics'!H:H,MATCH($C365,'Policy Characteristics'!$C:$C,0)))</f>
        <v>500</v>
      </c>
      <c r="O365" s="254" t="str">
        <f>IF(ISBLANK(INDEX('Policy Characteristics'!I:I,MATCH($C365,'Policy Characteristics'!$C:$C,0))),"",INDEX('Policy Characteristics'!I:I,MATCH($C365,'Policy Characteristics'!$C:$C,0)))</f>
        <v>MW/year</v>
      </c>
      <c r="P365" s="254"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4" t="str">
        <f>IF(ISBLANK(INDEX('Policy Characteristics'!K:K,MATCH($C365,'Policy Characteristics'!$C:$C,0))),"",INDEX('Policy Characteristics'!K:K,MATCH($C365,'Policy Characteristics'!$C:$C,0)))</f>
        <v>electricity-sector-main.html#early-ret</v>
      </c>
      <c r="R365" s="254" t="str">
        <f>IF(ISBLANK(INDEX('Policy Characteristics'!L:L,MATCH($C365,'Policy Characteristics'!$C:$C,0))),"",INDEX('Policy Characteristics'!L:L,MATCH($C365,'Policy Characteristics'!$C:$C,0)))</f>
        <v>early-retirement-of-power-plants.html</v>
      </c>
    </row>
    <row r="366" spans="1:18" x14ac:dyDescent="0.3">
      <c r="A366" s="254" t="str">
        <f>IF(ISBLANK(INDEX('Policy Characteristics'!A:A,MATCH($C366,'Policy Characteristics'!$C:$C,0))),"",INDEX('Policy Characteristics'!A:A,MATCH($C366,'Policy Characteristics'!$C:$C,0)))</f>
        <v>Electricity Supply</v>
      </c>
      <c r="B366" s="262" t="str">
        <f>IF(ISBLANK(INDEX('Policy Characteristics'!B:B,MATCH($C366,'Policy Characteristics'!$C:$C,0))),"",INDEX('Policy Characteristics'!B:B,MATCH($C366,'Policy Characteristics'!$C:$C,0)))</f>
        <v>Early Retirement of Power Plants</v>
      </c>
      <c r="C366" s="254" t="str">
        <f t="shared" si="22"/>
        <v>Annual Additional Capacity Retired due to Early Retirement Policy</v>
      </c>
      <c r="D366" s="6" t="s">
        <v>453</v>
      </c>
      <c r="E366" s="45"/>
      <c r="F366" s="6" t="s">
        <v>454</v>
      </c>
      <c r="G366" s="45"/>
      <c r="H366" s="43">
        <v>629</v>
      </c>
      <c r="I366" s="324" t="s">
        <v>44</v>
      </c>
      <c r="J366" s="255" t="str">
        <f>IF(ISBLANK(INDEX('Policy Characteristics'!D:D,MATCH($C366,'Policy Characteristics'!$C:$C,0))),"",INDEX('Policy Characteristics'!D:D,MATCH($C366,'Policy Characteristics'!$C:$C,0)))</f>
        <v>Early Retirement of Power Plants</v>
      </c>
      <c r="K366" s="254" t="str">
        <f>IF(ISBLANK(INDEX('Policy Characteristics'!E:E,MATCH($C366,'Policy Characteristics'!$C:$C,0))),"",INDEX('Policy Characteristics'!E:E,MATCH($C366,'Policy Characteristics'!$C:$C,0)))</f>
        <v>elec early retirement</v>
      </c>
      <c r="L366" s="254">
        <f>IF(ISBLANK(INDEX('Policy Characteristics'!F:F,MATCH($C366,'Policy Characteristics'!$C:$C,0))),"",INDEX('Policy Characteristics'!F:F,MATCH($C366,'Policy Characteristics'!$C:$C,0)))</f>
        <v>0</v>
      </c>
      <c r="M366" s="254">
        <f>IF(ISBLANK(INDEX('Policy Characteristics'!G:G,MATCH($C366,'Policy Characteristics'!$C:$C,0))),"",INDEX('Policy Characteristics'!G:G,MATCH($C366,'Policy Characteristics'!$C:$C,0)))</f>
        <v>25000</v>
      </c>
      <c r="N366" s="254">
        <f>IF(ISBLANK(INDEX('Policy Characteristics'!H:H,MATCH($C366,'Policy Characteristics'!$C:$C,0))),"",INDEX('Policy Characteristics'!H:H,MATCH($C366,'Policy Characteristics'!$C:$C,0)))</f>
        <v>500</v>
      </c>
      <c r="O366" s="254" t="str">
        <f>IF(ISBLANK(INDEX('Policy Characteristics'!I:I,MATCH($C366,'Policy Characteristics'!$C:$C,0))),"",INDEX('Policy Characteristics'!I:I,MATCH($C366,'Policy Characteristics'!$C:$C,0)))</f>
        <v>MW/year</v>
      </c>
      <c r="P366" s="254"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4" t="str">
        <f>IF(ISBLANK(INDEX('Policy Characteristics'!K:K,MATCH($C366,'Policy Characteristics'!$C:$C,0))),"",INDEX('Policy Characteristics'!K:K,MATCH($C366,'Policy Characteristics'!$C:$C,0)))</f>
        <v>electricity-sector-main.html#early-ret</v>
      </c>
      <c r="R366" s="254" t="str">
        <f>IF(ISBLANK(INDEX('Policy Characteristics'!L:L,MATCH($C366,'Policy Characteristics'!$C:$C,0))),"",INDEX('Policy Characteristics'!L:L,MATCH($C366,'Policy Characteristics'!$C:$C,0)))</f>
        <v>early-retirement-of-power-plants.html</v>
      </c>
    </row>
    <row r="367" spans="1:18" x14ac:dyDescent="0.3">
      <c r="A367" s="254" t="str">
        <f>IF(ISBLANK(INDEX('Policy Characteristics'!A:A,MATCH($C367,'Policy Characteristics'!$C:$C,0))),"",INDEX('Policy Characteristics'!A:A,MATCH($C367,'Policy Characteristics'!$C:$C,0)))</f>
        <v>Electricity Supply</v>
      </c>
      <c r="B367" s="262" t="str">
        <f>IF(ISBLANK(INDEX('Policy Characteristics'!B:B,MATCH($C367,'Policy Characteristics'!$C:$C,0))),"",INDEX('Policy Characteristics'!B:B,MATCH($C367,'Policy Characteristics'!$C:$C,0)))</f>
        <v>Early Retirement of Power Plants</v>
      </c>
      <c r="C367" s="254" t="str">
        <f t="shared" si="22"/>
        <v>Annual Additional Capacity Retired due to Early Retirement Policy</v>
      </c>
      <c r="D367" s="6" t="s">
        <v>2748</v>
      </c>
      <c r="E367" s="45"/>
      <c r="F367" s="6" t="s">
        <v>2469</v>
      </c>
      <c r="G367" s="45"/>
      <c r="H367" s="43">
        <v>630</v>
      </c>
      <c r="I367" s="324" t="s">
        <v>44</v>
      </c>
      <c r="J367" s="255" t="str">
        <f>IF(ISBLANK(INDEX('Policy Characteristics'!D:D,MATCH($C367,'Policy Characteristics'!$C:$C,0))),"",INDEX('Policy Characteristics'!D:D,MATCH($C367,'Policy Characteristics'!$C:$C,0)))</f>
        <v>Early Retirement of Power Plants</v>
      </c>
      <c r="K367" s="254" t="str">
        <f>IF(ISBLANK(INDEX('Policy Characteristics'!E:E,MATCH($C367,'Policy Characteristics'!$C:$C,0))),"",INDEX('Policy Characteristics'!E:E,MATCH($C367,'Policy Characteristics'!$C:$C,0)))</f>
        <v>elec early retirement</v>
      </c>
      <c r="L367" s="254">
        <f>IF(ISBLANK(INDEX('Policy Characteristics'!F:F,MATCH($C367,'Policy Characteristics'!$C:$C,0))),"",INDEX('Policy Characteristics'!F:F,MATCH($C367,'Policy Characteristics'!$C:$C,0)))</f>
        <v>0</v>
      </c>
      <c r="M367" s="254">
        <f>IF(ISBLANK(INDEX('Policy Characteristics'!G:G,MATCH($C367,'Policy Characteristics'!$C:$C,0))),"",INDEX('Policy Characteristics'!G:G,MATCH($C367,'Policy Characteristics'!$C:$C,0)))</f>
        <v>25000</v>
      </c>
      <c r="N367" s="254">
        <f>IF(ISBLANK(INDEX('Policy Characteristics'!H:H,MATCH($C367,'Policy Characteristics'!$C:$C,0))),"",INDEX('Policy Characteristics'!H:H,MATCH($C367,'Policy Characteristics'!$C:$C,0)))</f>
        <v>500</v>
      </c>
      <c r="O367" s="254" t="str">
        <f>IF(ISBLANK(INDEX('Policy Characteristics'!I:I,MATCH($C367,'Policy Characteristics'!$C:$C,0))),"",INDEX('Policy Characteristics'!I:I,MATCH($C367,'Policy Characteristics'!$C:$C,0)))</f>
        <v>MW/year</v>
      </c>
      <c r="P367" s="254"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4" t="str">
        <f>IF(ISBLANK(INDEX('Policy Characteristics'!K:K,MATCH($C367,'Policy Characteristics'!$C:$C,0))),"",INDEX('Policy Characteristics'!K:K,MATCH($C367,'Policy Characteristics'!$C:$C,0)))</f>
        <v>electricity-sector-main.html#early-ret</v>
      </c>
      <c r="R367" s="254" t="str">
        <f>IF(ISBLANK(INDEX('Policy Characteristics'!L:L,MATCH($C367,'Policy Characteristics'!$C:$C,0))),"",INDEX('Policy Characteristics'!L:L,MATCH($C367,'Policy Characteristics'!$C:$C,0)))</f>
        <v>early-retirement-of-power-plants.html</v>
      </c>
    </row>
    <row r="368" spans="1:18" x14ac:dyDescent="0.3">
      <c r="A368" s="254" t="str">
        <f>IF(ISBLANK(INDEX('Policy Characteristics'!A:A,MATCH($C368,'Policy Characteristics'!$C:$C,0))),"",INDEX('Policy Characteristics'!A:A,MATCH($C368,'Policy Characteristics'!$C:$C,0)))</f>
        <v>Electricity Supply</v>
      </c>
      <c r="B368" s="262" t="str">
        <f>IF(ISBLANK(INDEX('Policy Characteristics'!B:B,MATCH($C368,'Policy Characteristics'!$C:$C,0))),"",INDEX('Policy Characteristics'!B:B,MATCH($C368,'Policy Characteristics'!$C:$C,0)))</f>
        <v>Early Retirement of Power Plants</v>
      </c>
      <c r="C368" s="254" t="str">
        <f t="shared" si="22"/>
        <v>Annual Additional Capacity Retired due to Early Retirement Policy</v>
      </c>
      <c r="D368" s="6" t="s">
        <v>2749</v>
      </c>
      <c r="E368" s="45"/>
      <c r="F368" s="6" t="s">
        <v>2592</v>
      </c>
      <c r="G368" s="45"/>
      <c r="H368" s="43">
        <v>631</v>
      </c>
      <c r="I368" s="324" t="s">
        <v>44</v>
      </c>
      <c r="J368" s="255" t="str">
        <f>IF(ISBLANK(INDEX('Policy Characteristics'!D:D,MATCH($C368,'Policy Characteristics'!$C:$C,0))),"",INDEX('Policy Characteristics'!D:D,MATCH($C368,'Policy Characteristics'!$C:$C,0)))</f>
        <v>Early Retirement of Power Plants</v>
      </c>
      <c r="K368" s="254" t="str">
        <f>IF(ISBLANK(INDEX('Policy Characteristics'!E:E,MATCH($C368,'Policy Characteristics'!$C:$C,0))),"",INDEX('Policy Characteristics'!E:E,MATCH($C368,'Policy Characteristics'!$C:$C,0)))</f>
        <v>elec early retirement</v>
      </c>
      <c r="L368" s="254">
        <f>IF(ISBLANK(INDEX('Policy Characteristics'!F:F,MATCH($C368,'Policy Characteristics'!$C:$C,0))),"",INDEX('Policy Characteristics'!F:F,MATCH($C368,'Policy Characteristics'!$C:$C,0)))</f>
        <v>0</v>
      </c>
      <c r="M368" s="254">
        <f>IF(ISBLANK(INDEX('Policy Characteristics'!G:G,MATCH($C368,'Policy Characteristics'!$C:$C,0))),"",INDEX('Policy Characteristics'!G:G,MATCH($C368,'Policy Characteristics'!$C:$C,0)))</f>
        <v>25000</v>
      </c>
      <c r="N368" s="254">
        <f>IF(ISBLANK(INDEX('Policy Characteristics'!H:H,MATCH($C368,'Policy Characteristics'!$C:$C,0))),"",INDEX('Policy Characteristics'!H:H,MATCH($C368,'Policy Characteristics'!$C:$C,0)))</f>
        <v>500</v>
      </c>
      <c r="O368" s="254" t="str">
        <f>IF(ISBLANK(INDEX('Policy Characteristics'!I:I,MATCH($C368,'Policy Characteristics'!$C:$C,0))),"",INDEX('Policy Characteristics'!I:I,MATCH($C368,'Policy Characteristics'!$C:$C,0)))</f>
        <v>MW/year</v>
      </c>
      <c r="P368" s="254"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4" t="str">
        <f>IF(ISBLANK(INDEX('Policy Characteristics'!K:K,MATCH($C368,'Policy Characteristics'!$C:$C,0))),"",INDEX('Policy Characteristics'!K:K,MATCH($C368,'Policy Characteristics'!$C:$C,0)))</f>
        <v>electricity-sector-main.html#early-ret</v>
      </c>
      <c r="R368" s="254" t="str">
        <f>IF(ISBLANK(INDEX('Policy Characteristics'!L:L,MATCH($C368,'Policy Characteristics'!$C:$C,0))),"",INDEX('Policy Characteristics'!L:L,MATCH($C368,'Policy Characteristics'!$C:$C,0)))</f>
        <v>early-retirement-of-power-plants.html</v>
      </c>
    </row>
    <row r="369" spans="1:18" x14ac:dyDescent="0.3">
      <c r="A369" s="254" t="str">
        <f>IF(ISBLANK(INDEX('Policy Characteristics'!A:A,MATCH($C369,'Policy Characteristics'!$C:$C,0))),"",INDEX('Policy Characteristics'!A:A,MATCH($C369,'Policy Characteristics'!$C:$C,0)))</f>
        <v>Electricity Supply</v>
      </c>
      <c r="B369" s="262" t="str">
        <f>IF(ISBLANK(INDEX('Policy Characteristics'!B:B,MATCH($C369,'Policy Characteristics'!$C:$C,0))),"",INDEX('Policy Characteristics'!B:B,MATCH($C369,'Policy Characteristics'!$C:$C,0)))</f>
        <v>Early Retirement of Power Plants</v>
      </c>
      <c r="C369" s="254" t="str">
        <f t="shared" si="22"/>
        <v>Annual Additional Capacity Retired due to Early Retirement Policy</v>
      </c>
      <c r="D369" s="6" t="s">
        <v>2750</v>
      </c>
      <c r="E369" s="45"/>
      <c r="F369" s="6" t="s">
        <v>2471</v>
      </c>
      <c r="G369" s="45"/>
      <c r="H369" s="43">
        <v>632</v>
      </c>
      <c r="I369" s="324" t="s">
        <v>44</v>
      </c>
      <c r="J369" s="255" t="str">
        <f>IF(ISBLANK(INDEX('Policy Characteristics'!D:D,MATCH($C369,'Policy Characteristics'!$C:$C,0))),"",INDEX('Policy Characteristics'!D:D,MATCH($C369,'Policy Characteristics'!$C:$C,0)))</f>
        <v>Early Retirement of Power Plants</v>
      </c>
      <c r="K369" s="254" t="str">
        <f>IF(ISBLANK(INDEX('Policy Characteristics'!E:E,MATCH($C369,'Policy Characteristics'!$C:$C,0))),"",INDEX('Policy Characteristics'!E:E,MATCH($C369,'Policy Characteristics'!$C:$C,0)))</f>
        <v>elec early retirement</v>
      </c>
      <c r="L369" s="254">
        <f>IF(ISBLANK(INDEX('Policy Characteristics'!F:F,MATCH($C369,'Policy Characteristics'!$C:$C,0))),"",INDEX('Policy Characteristics'!F:F,MATCH($C369,'Policy Characteristics'!$C:$C,0)))</f>
        <v>0</v>
      </c>
      <c r="M369" s="254">
        <f>IF(ISBLANK(INDEX('Policy Characteristics'!G:G,MATCH($C369,'Policy Characteristics'!$C:$C,0))),"",INDEX('Policy Characteristics'!G:G,MATCH($C369,'Policy Characteristics'!$C:$C,0)))</f>
        <v>25000</v>
      </c>
      <c r="N369" s="254">
        <f>IF(ISBLANK(INDEX('Policy Characteristics'!H:H,MATCH($C369,'Policy Characteristics'!$C:$C,0))),"",INDEX('Policy Characteristics'!H:H,MATCH($C369,'Policy Characteristics'!$C:$C,0)))</f>
        <v>500</v>
      </c>
      <c r="O369" s="254" t="str">
        <f>IF(ISBLANK(INDEX('Policy Characteristics'!I:I,MATCH($C369,'Policy Characteristics'!$C:$C,0))),"",INDEX('Policy Characteristics'!I:I,MATCH($C369,'Policy Characteristics'!$C:$C,0)))</f>
        <v>MW/year</v>
      </c>
      <c r="P369" s="254"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4" t="str">
        <f>IF(ISBLANK(INDEX('Policy Characteristics'!K:K,MATCH($C369,'Policy Characteristics'!$C:$C,0))),"",INDEX('Policy Characteristics'!K:K,MATCH($C369,'Policy Characteristics'!$C:$C,0)))</f>
        <v>electricity-sector-main.html#early-ret</v>
      </c>
      <c r="R369" s="254" t="str">
        <f>IF(ISBLANK(INDEX('Policy Characteristics'!L:L,MATCH($C369,'Policy Characteristics'!$C:$C,0))),"",INDEX('Policy Characteristics'!L:L,MATCH($C369,'Policy Characteristics'!$C:$C,0)))</f>
        <v>early-retirement-of-power-plants.html</v>
      </c>
    </row>
    <row r="370" spans="1:18" x14ac:dyDescent="0.3">
      <c r="A370" s="254" t="str">
        <f>IF(ISBLANK(INDEX('Policy Characteristics'!A:A,MATCH($C370,'Policy Characteristics'!$C:$C,0))),"",INDEX('Policy Characteristics'!A:A,MATCH($C370,'Policy Characteristics'!$C:$C,0)))</f>
        <v>Electricity Supply</v>
      </c>
      <c r="B370" s="262" t="str">
        <f>IF(ISBLANK(INDEX('Policy Characteristics'!B:B,MATCH($C370,'Policy Characteristics'!$C:$C,0))),"",INDEX('Policy Characteristics'!B:B,MATCH($C370,'Policy Characteristics'!$C:$C,0)))</f>
        <v>Early Retirement of Power Plants</v>
      </c>
      <c r="C370" s="254" t="str">
        <f t="shared" si="22"/>
        <v>Annual Additional Capacity Retired due to Early Retirement Policy</v>
      </c>
      <c r="D370" s="6" t="s">
        <v>3487</v>
      </c>
      <c r="E370" s="45"/>
      <c r="F370" s="6" t="s">
        <v>3494</v>
      </c>
      <c r="G370" s="45"/>
      <c r="H370" s="43">
        <v>1761</v>
      </c>
      <c r="I370" s="324" t="s">
        <v>44</v>
      </c>
      <c r="J370" s="255" t="str">
        <f>IF(ISBLANK(INDEX('Policy Characteristics'!D:D,MATCH($C370,'Policy Characteristics'!$C:$C,0))),"",INDEX('Policy Characteristics'!D:D,MATCH($C370,'Policy Characteristics'!$C:$C,0)))</f>
        <v>Early Retirement of Power Plants</v>
      </c>
      <c r="K370" s="254" t="str">
        <f>IF(ISBLANK(INDEX('Policy Characteristics'!E:E,MATCH($C370,'Policy Characteristics'!$C:$C,0))),"",INDEX('Policy Characteristics'!E:E,MATCH($C370,'Policy Characteristics'!$C:$C,0)))</f>
        <v>elec early retirement</v>
      </c>
      <c r="L370" s="254">
        <f>IF(ISBLANK(INDEX('Policy Characteristics'!F:F,MATCH($C370,'Policy Characteristics'!$C:$C,0))),"",INDEX('Policy Characteristics'!F:F,MATCH($C370,'Policy Characteristics'!$C:$C,0)))</f>
        <v>0</v>
      </c>
      <c r="M370" s="254">
        <f>IF(ISBLANK(INDEX('Policy Characteristics'!G:G,MATCH($C370,'Policy Characteristics'!$C:$C,0))),"",INDEX('Policy Characteristics'!G:G,MATCH($C370,'Policy Characteristics'!$C:$C,0)))</f>
        <v>25000</v>
      </c>
      <c r="N370" s="254">
        <f>IF(ISBLANK(INDEX('Policy Characteristics'!H:H,MATCH($C370,'Policy Characteristics'!$C:$C,0))),"",INDEX('Policy Characteristics'!H:H,MATCH($C370,'Policy Characteristics'!$C:$C,0)))</f>
        <v>500</v>
      </c>
      <c r="O370" s="254" t="str">
        <f>IF(ISBLANK(INDEX('Policy Characteristics'!I:I,MATCH($C370,'Policy Characteristics'!$C:$C,0))),"",INDEX('Policy Characteristics'!I:I,MATCH($C370,'Policy Characteristics'!$C:$C,0)))</f>
        <v>MW/year</v>
      </c>
      <c r="P370" s="254"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4" t="str">
        <f>IF(ISBLANK(INDEX('Policy Characteristics'!K:K,MATCH($C370,'Policy Characteristics'!$C:$C,0))),"",INDEX('Policy Characteristics'!K:K,MATCH($C370,'Policy Characteristics'!$C:$C,0)))</f>
        <v>electricity-sector-main.html#early-ret</v>
      </c>
      <c r="R370" s="254" t="str">
        <f>IF(ISBLANK(INDEX('Policy Characteristics'!L:L,MATCH($C370,'Policy Characteristics'!$C:$C,0))),"",INDEX('Policy Characteristics'!L:L,MATCH($C370,'Policy Characteristics'!$C:$C,0)))</f>
        <v>early-retirement-of-power-plants.html</v>
      </c>
    </row>
    <row r="371" spans="1:18" x14ac:dyDescent="0.3">
      <c r="A371" s="254" t="str">
        <f>IF(ISBLANK(INDEX('Policy Characteristics'!A:A,MATCH($C371,'Policy Characteristics'!$C:$C,0))),"",INDEX('Policy Characteristics'!A:A,MATCH($C371,'Policy Characteristics'!$C:$C,0)))</f>
        <v>Electricity Supply</v>
      </c>
      <c r="B371" s="262" t="str">
        <f>IF(ISBLANK(INDEX('Policy Characteristics'!B:B,MATCH($C371,'Policy Characteristics'!$C:$C,0))),"",INDEX('Policy Characteristics'!B:B,MATCH($C371,'Policy Characteristics'!$C:$C,0)))</f>
        <v>Early Retirement of Power Plants</v>
      </c>
      <c r="C371" s="254" t="str">
        <f t="shared" si="22"/>
        <v>Annual Additional Capacity Retired due to Early Retirement Policy</v>
      </c>
      <c r="D371" s="6" t="s">
        <v>3490</v>
      </c>
      <c r="E371" s="45"/>
      <c r="F371" s="6" t="s">
        <v>3495</v>
      </c>
      <c r="G371" s="45"/>
      <c r="H371" s="43">
        <v>1762</v>
      </c>
      <c r="I371" s="324" t="s">
        <v>44</v>
      </c>
      <c r="J371" s="255" t="str">
        <f>IF(ISBLANK(INDEX('Policy Characteristics'!D:D,MATCH($C371,'Policy Characteristics'!$C:$C,0))),"",INDEX('Policy Characteristics'!D:D,MATCH($C371,'Policy Characteristics'!$C:$C,0)))</f>
        <v>Early Retirement of Power Plants</v>
      </c>
      <c r="K371" s="254" t="str">
        <f>IF(ISBLANK(INDEX('Policy Characteristics'!E:E,MATCH($C371,'Policy Characteristics'!$C:$C,0))),"",INDEX('Policy Characteristics'!E:E,MATCH($C371,'Policy Characteristics'!$C:$C,0)))</f>
        <v>elec early retirement</v>
      </c>
      <c r="L371" s="254">
        <f>IF(ISBLANK(INDEX('Policy Characteristics'!F:F,MATCH($C371,'Policy Characteristics'!$C:$C,0))),"",INDEX('Policy Characteristics'!F:F,MATCH($C371,'Policy Characteristics'!$C:$C,0)))</f>
        <v>0</v>
      </c>
      <c r="M371" s="254">
        <f>IF(ISBLANK(INDEX('Policy Characteristics'!G:G,MATCH($C371,'Policy Characteristics'!$C:$C,0))),"",INDEX('Policy Characteristics'!G:G,MATCH($C371,'Policy Characteristics'!$C:$C,0)))</f>
        <v>25000</v>
      </c>
      <c r="N371" s="254">
        <f>IF(ISBLANK(INDEX('Policy Characteristics'!H:H,MATCH($C371,'Policy Characteristics'!$C:$C,0))),"",INDEX('Policy Characteristics'!H:H,MATCH($C371,'Policy Characteristics'!$C:$C,0)))</f>
        <v>500</v>
      </c>
      <c r="O371" s="254" t="str">
        <f>IF(ISBLANK(INDEX('Policy Characteristics'!I:I,MATCH($C371,'Policy Characteristics'!$C:$C,0))),"",INDEX('Policy Characteristics'!I:I,MATCH($C371,'Policy Characteristics'!$C:$C,0)))</f>
        <v>MW/year</v>
      </c>
      <c r="P371" s="254"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4" t="str">
        <f>IF(ISBLANK(INDEX('Policy Characteristics'!K:K,MATCH($C371,'Policy Characteristics'!$C:$C,0))),"",INDEX('Policy Characteristics'!K:K,MATCH($C371,'Policy Characteristics'!$C:$C,0)))</f>
        <v>electricity-sector-main.html#early-ret</v>
      </c>
      <c r="R371" s="254" t="str">
        <f>IF(ISBLANK(INDEX('Policy Characteristics'!L:L,MATCH($C371,'Policy Characteristics'!$C:$C,0))),"",INDEX('Policy Characteristics'!L:L,MATCH($C371,'Policy Characteristics'!$C:$C,0)))</f>
        <v>early-retirement-of-power-plants.html</v>
      </c>
    </row>
    <row r="372" spans="1:18" x14ac:dyDescent="0.3">
      <c r="A372" s="254" t="str">
        <f>IF(ISBLANK(INDEX('Policy Characteristics'!A:A,MATCH($C372,'Policy Characteristics'!$C:$C,0))),"",INDEX('Policy Characteristics'!A:A,MATCH($C372,'Policy Characteristics'!$C:$C,0)))</f>
        <v>Electricity Supply</v>
      </c>
      <c r="B372" s="262" t="str">
        <f>IF(ISBLANK(INDEX('Policy Characteristics'!B:B,MATCH($C372,'Policy Characteristics'!$C:$C,0))),"",INDEX('Policy Characteristics'!B:B,MATCH($C372,'Policy Characteristics'!$C:$C,0)))</f>
        <v>Early Retirement of Power Plants</v>
      </c>
      <c r="C372" s="254" t="str">
        <f t="shared" si="22"/>
        <v>Annual Additional Capacity Retired due to Early Retirement Policy</v>
      </c>
      <c r="D372" s="6" t="s">
        <v>3491</v>
      </c>
      <c r="E372" s="45"/>
      <c r="F372" s="6" t="s">
        <v>3496</v>
      </c>
      <c r="G372" s="45"/>
      <c r="H372" s="43">
        <v>1763</v>
      </c>
      <c r="I372" s="324" t="s">
        <v>44</v>
      </c>
      <c r="J372" s="255" t="str">
        <f>IF(ISBLANK(INDEX('Policy Characteristics'!D:D,MATCH($C372,'Policy Characteristics'!$C:$C,0))),"",INDEX('Policy Characteristics'!D:D,MATCH($C372,'Policy Characteristics'!$C:$C,0)))</f>
        <v>Early Retirement of Power Plants</v>
      </c>
      <c r="K372" s="254" t="str">
        <f>IF(ISBLANK(INDEX('Policy Characteristics'!E:E,MATCH($C372,'Policy Characteristics'!$C:$C,0))),"",INDEX('Policy Characteristics'!E:E,MATCH($C372,'Policy Characteristics'!$C:$C,0)))</f>
        <v>elec early retirement</v>
      </c>
      <c r="L372" s="254">
        <f>IF(ISBLANK(INDEX('Policy Characteristics'!F:F,MATCH($C372,'Policy Characteristics'!$C:$C,0))),"",INDEX('Policy Characteristics'!F:F,MATCH($C372,'Policy Characteristics'!$C:$C,0)))</f>
        <v>0</v>
      </c>
      <c r="M372" s="254">
        <f>IF(ISBLANK(INDEX('Policy Characteristics'!G:G,MATCH($C372,'Policy Characteristics'!$C:$C,0))),"",INDEX('Policy Characteristics'!G:G,MATCH($C372,'Policy Characteristics'!$C:$C,0)))</f>
        <v>25000</v>
      </c>
      <c r="N372" s="254">
        <f>IF(ISBLANK(INDEX('Policy Characteristics'!H:H,MATCH($C372,'Policy Characteristics'!$C:$C,0))),"",INDEX('Policy Characteristics'!H:H,MATCH($C372,'Policy Characteristics'!$C:$C,0)))</f>
        <v>500</v>
      </c>
      <c r="O372" s="254" t="str">
        <f>IF(ISBLANK(INDEX('Policy Characteristics'!I:I,MATCH($C372,'Policy Characteristics'!$C:$C,0))),"",INDEX('Policy Characteristics'!I:I,MATCH($C372,'Policy Characteristics'!$C:$C,0)))</f>
        <v>MW/year</v>
      </c>
      <c r="P372" s="254"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4" t="str">
        <f>IF(ISBLANK(INDEX('Policy Characteristics'!K:K,MATCH($C372,'Policy Characteristics'!$C:$C,0))),"",INDEX('Policy Characteristics'!K:K,MATCH($C372,'Policy Characteristics'!$C:$C,0)))</f>
        <v>electricity-sector-main.html#early-ret</v>
      </c>
      <c r="R372" s="254" t="str">
        <f>IF(ISBLANK(INDEX('Policy Characteristics'!L:L,MATCH($C372,'Policy Characteristics'!$C:$C,0))),"",INDEX('Policy Characteristics'!L:L,MATCH($C372,'Policy Characteristics'!$C:$C,0)))</f>
        <v>early-retirement-of-power-plants.html</v>
      </c>
    </row>
    <row r="373" spans="1:18" x14ac:dyDescent="0.3">
      <c r="A373" s="254" t="str">
        <f>IF(ISBLANK(INDEX('Policy Characteristics'!A:A,MATCH($C373,'Policy Characteristics'!$C:$C,0))),"",INDEX('Policy Characteristics'!A:A,MATCH($C373,'Policy Characteristics'!$C:$C,0)))</f>
        <v>Electricity Supply</v>
      </c>
      <c r="B373" s="262" t="str">
        <f>IF(ISBLANK(INDEX('Policy Characteristics'!B:B,MATCH($C373,'Policy Characteristics'!$C:$C,0))),"",INDEX('Policy Characteristics'!B:B,MATCH($C373,'Policy Characteristics'!$C:$C,0)))</f>
        <v>Early Retirement of Power Plants</v>
      </c>
      <c r="C373" s="254" t="str">
        <f t="shared" si="22"/>
        <v>Annual Additional Capacity Retired due to Early Retirement Policy</v>
      </c>
      <c r="D373" s="6" t="s">
        <v>3492</v>
      </c>
      <c r="E373" s="45"/>
      <c r="F373" s="6" t="s">
        <v>3497</v>
      </c>
      <c r="G373" s="45"/>
      <c r="H373" s="43">
        <v>1764</v>
      </c>
      <c r="I373" s="324" t="s">
        <v>44</v>
      </c>
      <c r="J373" s="255" t="str">
        <f>IF(ISBLANK(INDEX('Policy Characteristics'!D:D,MATCH($C373,'Policy Characteristics'!$C:$C,0))),"",INDEX('Policy Characteristics'!D:D,MATCH($C373,'Policy Characteristics'!$C:$C,0)))</f>
        <v>Early Retirement of Power Plants</v>
      </c>
      <c r="K373" s="254" t="str">
        <f>IF(ISBLANK(INDEX('Policy Characteristics'!E:E,MATCH($C373,'Policy Characteristics'!$C:$C,0))),"",INDEX('Policy Characteristics'!E:E,MATCH($C373,'Policy Characteristics'!$C:$C,0)))</f>
        <v>elec early retirement</v>
      </c>
      <c r="L373" s="254">
        <f>IF(ISBLANK(INDEX('Policy Characteristics'!F:F,MATCH($C373,'Policy Characteristics'!$C:$C,0))),"",INDEX('Policy Characteristics'!F:F,MATCH($C373,'Policy Characteristics'!$C:$C,0)))</f>
        <v>0</v>
      </c>
      <c r="M373" s="254">
        <f>IF(ISBLANK(INDEX('Policy Characteristics'!G:G,MATCH($C373,'Policy Characteristics'!$C:$C,0))),"",INDEX('Policy Characteristics'!G:G,MATCH($C373,'Policy Characteristics'!$C:$C,0)))</f>
        <v>25000</v>
      </c>
      <c r="N373" s="254">
        <f>IF(ISBLANK(INDEX('Policy Characteristics'!H:H,MATCH($C373,'Policy Characteristics'!$C:$C,0))),"",INDEX('Policy Characteristics'!H:H,MATCH($C373,'Policy Characteristics'!$C:$C,0)))</f>
        <v>500</v>
      </c>
      <c r="O373" s="254" t="str">
        <f>IF(ISBLANK(INDEX('Policy Characteristics'!I:I,MATCH($C373,'Policy Characteristics'!$C:$C,0))),"",INDEX('Policy Characteristics'!I:I,MATCH($C373,'Policy Characteristics'!$C:$C,0)))</f>
        <v>MW/year</v>
      </c>
      <c r="P373" s="254"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4" t="str">
        <f>IF(ISBLANK(INDEX('Policy Characteristics'!K:K,MATCH($C373,'Policy Characteristics'!$C:$C,0))),"",INDEX('Policy Characteristics'!K:K,MATCH($C373,'Policy Characteristics'!$C:$C,0)))</f>
        <v>electricity-sector-main.html#early-ret</v>
      </c>
      <c r="R373" s="254" t="str">
        <f>IF(ISBLANK(INDEX('Policy Characteristics'!L:L,MATCH($C373,'Policy Characteristics'!$C:$C,0))),"",INDEX('Policy Characteristics'!L:L,MATCH($C373,'Policy Characteristics'!$C:$C,0)))</f>
        <v>early-retirement-of-power-plants.html</v>
      </c>
    </row>
    <row r="374" spans="1:18" x14ac:dyDescent="0.3">
      <c r="A374" s="254" t="str">
        <f>IF(ISBLANK(INDEX('Policy Characteristics'!A:A,MATCH($C374,'Policy Characteristics'!$C:$C,0))),"",INDEX('Policy Characteristics'!A:A,MATCH($C374,'Policy Characteristics'!$C:$C,0)))</f>
        <v>Electricity Supply</v>
      </c>
      <c r="B374" s="262" t="str">
        <f>IF(ISBLANK(INDEX('Policy Characteristics'!B:B,MATCH($C374,'Policy Characteristics'!$C:$C,0))),"",INDEX('Policy Characteristics'!B:B,MATCH($C374,'Policy Characteristics'!$C:$C,0)))</f>
        <v>Early Retirement of Power Plants</v>
      </c>
      <c r="C374" s="254" t="str">
        <f t="shared" si="22"/>
        <v>Annual Additional Capacity Retired due to Early Retirement Policy</v>
      </c>
      <c r="D374" s="6" t="s">
        <v>3493</v>
      </c>
      <c r="E374" s="45"/>
      <c r="F374" s="6" t="s">
        <v>3498</v>
      </c>
      <c r="G374" s="45"/>
      <c r="H374" s="43">
        <v>1765</v>
      </c>
      <c r="I374" s="324" t="s">
        <v>44</v>
      </c>
      <c r="J374" s="255" t="str">
        <f>IF(ISBLANK(INDEX('Policy Characteristics'!D:D,MATCH($C374,'Policy Characteristics'!$C:$C,0))),"",INDEX('Policy Characteristics'!D:D,MATCH($C374,'Policy Characteristics'!$C:$C,0)))</f>
        <v>Early Retirement of Power Plants</v>
      </c>
      <c r="K374" s="254" t="str">
        <f>IF(ISBLANK(INDEX('Policy Characteristics'!E:E,MATCH($C374,'Policy Characteristics'!$C:$C,0))),"",INDEX('Policy Characteristics'!E:E,MATCH($C374,'Policy Characteristics'!$C:$C,0)))</f>
        <v>elec early retirement</v>
      </c>
      <c r="L374" s="254">
        <f>IF(ISBLANK(INDEX('Policy Characteristics'!F:F,MATCH($C374,'Policy Characteristics'!$C:$C,0))),"",INDEX('Policy Characteristics'!F:F,MATCH($C374,'Policy Characteristics'!$C:$C,0)))</f>
        <v>0</v>
      </c>
      <c r="M374" s="254">
        <f>IF(ISBLANK(INDEX('Policy Characteristics'!G:G,MATCH($C374,'Policy Characteristics'!$C:$C,0))),"",INDEX('Policy Characteristics'!G:G,MATCH($C374,'Policy Characteristics'!$C:$C,0)))</f>
        <v>25000</v>
      </c>
      <c r="N374" s="254">
        <f>IF(ISBLANK(INDEX('Policy Characteristics'!H:H,MATCH($C374,'Policy Characteristics'!$C:$C,0))),"",INDEX('Policy Characteristics'!H:H,MATCH($C374,'Policy Characteristics'!$C:$C,0)))</f>
        <v>500</v>
      </c>
      <c r="O374" s="254" t="str">
        <f>IF(ISBLANK(INDEX('Policy Characteristics'!I:I,MATCH($C374,'Policy Characteristics'!$C:$C,0))),"",INDEX('Policy Characteristics'!I:I,MATCH($C374,'Policy Characteristics'!$C:$C,0)))</f>
        <v>MW/year</v>
      </c>
      <c r="P374" s="254"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4" t="str">
        <f>IF(ISBLANK(INDEX('Policy Characteristics'!K:K,MATCH($C374,'Policy Characteristics'!$C:$C,0))),"",INDEX('Policy Characteristics'!K:K,MATCH($C374,'Policy Characteristics'!$C:$C,0)))</f>
        <v>electricity-sector-main.html#early-ret</v>
      </c>
      <c r="R374" s="254" t="str">
        <f>IF(ISBLANK(INDEX('Policy Characteristics'!L:L,MATCH($C374,'Policy Characteristics'!$C:$C,0))),"",INDEX('Policy Characteristics'!L:L,MATCH($C374,'Policy Characteristics'!$C:$C,0)))</f>
        <v>early-retirement-of-power-plants.html</v>
      </c>
    </row>
    <row r="375" spans="1:18" x14ac:dyDescent="0.3">
      <c r="A375" s="254" t="str">
        <f>IF(ISBLANK(INDEX('Policy Characteristics'!A:A,MATCH($C375,'Policy Characteristics'!$C:$C,0))),"",INDEX('Policy Characteristics'!A:A,MATCH($C375,'Policy Characteristics'!$C:$C,0)))</f>
        <v>Electricity Supply</v>
      </c>
      <c r="B375" s="262" t="str">
        <f>IF(ISBLANK(INDEX('Policy Characteristics'!B:B,MATCH($C375,'Policy Characteristics'!$C:$C,0))),"",INDEX('Policy Characteristics'!B:B,MATCH($C375,'Policy Characteristics'!$C:$C,0)))</f>
        <v>Early Retirement of Power Plants</v>
      </c>
      <c r="C375" s="254" t="str">
        <f t="shared" si="22"/>
        <v>Annual Additional Capacity Retired due to Early Retirement Policy</v>
      </c>
      <c r="D375" s="6" t="s">
        <v>3582</v>
      </c>
      <c r="E375" s="45"/>
      <c r="F375" s="6" t="s">
        <v>3580</v>
      </c>
      <c r="G375" s="45"/>
      <c r="H375" s="43">
        <v>1766</v>
      </c>
      <c r="I375" s="324" t="s">
        <v>44</v>
      </c>
      <c r="J375" s="255" t="str">
        <f>IF(ISBLANK(INDEX('Policy Characteristics'!D:D,MATCH($C375,'Policy Characteristics'!$C:$C,0))),"",INDEX('Policy Characteristics'!D:D,MATCH($C375,'Policy Characteristics'!$C:$C,0)))</f>
        <v>Early Retirement of Power Plants</v>
      </c>
      <c r="K375" s="254" t="str">
        <f>IF(ISBLANK(INDEX('Policy Characteristics'!E:E,MATCH($C375,'Policy Characteristics'!$C:$C,0))),"",INDEX('Policy Characteristics'!E:E,MATCH($C375,'Policy Characteristics'!$C:$C,0)))</f>
        <v>elec early retirement</v>
      </c>
      <c r="L375" s="254">
        <f>IF(ISBLANK(INDEX('Policy Characteristics'!F:F,MATCH($C375,'Policy Characteristics'!$C:$C,0))),"",INDEX('Policy Characteristics'!F:F,MATCH($C375,'Policy Characteristics'!$C:$C,0)))</f>
        <v>0</v>
      </c>
      <c r="M375" s="254">
        <f>IF(ISBLANK(INDEX('Policy Characteristics'!G:G,MATCH($C375,'Policy Characteristics'!$C:$C,0))),"",INDEX('Policy Characteristics'!G:G,MATCH($C375,'Policy Characteristics'!$C:$C,0)))</f>
        <v>25000</v>
      </c>
      <c r="N375" s="254">
        <f>IF(ISBLANK(INDEX('Policy Characteristics'!H:H,MATCH($C375,'Policy Characteristics'!$C:$C,0))),"",INDEX('Policy Characteristics'!H:H,MATCH($C375,'Policy Characteristics'!$C:$C,0)))</f>
        <v>500</v>
      </c>
      <c r="O375" s="254" t="str">
        <f>IF(ISBLANK(INDEX('Policy Characteristics'!I:I,MATCH($C375,'Policy Characteristics'!$C:$C,0))),"",INDEX('Policy Characteristics'!I:I,MATCH($C375,'Policy Characteristics'!$C:$C,0)))</f>
        <v>MW/year</v>
      </c>
      <c r="P375" s="254"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4" t="str">
        <f>IF(ISBLANK(INDEX('Policy Characteristics'!K:K,MATCH($C375,'Policy Characteristics'!$C:$C,0))),"",INDEX('Policy Characteristics'!K:K,MATCH($C375,'Policy Characteristics'!$C:$C,0)))</f>
        <v>electricity-sector-main.html#early-ret</v>
      </c>
      <c r="R375" s="254" t="str">
        <f>IF(ISBLANK(INDEX('Policy Characteristics'!L:L,MATCH($C375,'Policy Characteristics'!$C:$C,0))),"",INDEX('Policy Characteristics'!L:L,MATCH($C375,'Policy Characteristics'!$C:$C,0)))</f>
        <v>early-retirement-of-power-plants.html</v>
      </c>
    </row>
    <row r="376" spans="1:18" x14ac:dyDescent="0.3">
      <c r="A376" s="254" t="str">
        <f>IF(ISBLANK(INDEX('Policy Characteristics'!A:A,MATCH($C376,'Policy Characteristics'!$C:$C,0))),"",INDEX('Policy Characteristics'!A:A,MATCH($C376,'Policy Characteristics'!$C:$C,0)))</f>
        <v>Electricity Supply</v>
      </c>
      <c r="B376" s="262" t="str">
        <f>IF(ISBLANK(INDEX('Policy Characteristics'!B:B,MATCH($C376,'Policy Characteristics'!$C:$C,0))),"",INDEX('Policy Characteristics'!B:B,MATCH($C376,'Policy Characteristics'!$C:$C,0)))</f>
        <v>Early Retirement of Power Plants</v>
      </c>
      <c r="C376" s="254" t="str">
        <f t="shared" si="22"/>
        <v>Annual Additional Capacity Retired due to Early Retirement Policy</v>
      </c>
      <c r="D376" s="6" t="s">
        <v>3583</v>
      </c>
      <c r="E376" s="45"/>
      <c r="F376" s="6" t="s">
        <v>3581</v>
      </c>
      <c r="G376" s="45"/>
      <c r="H376" s="43">
        <v>2239</v>
      </c>
      <c r="I376" s="324" t="s">
        <v>44</v>
      </c>
      <c r="J376" s="255" t="str">
        <f>IF(ISBLANK(INDEX('Policy Characteristics'!D:D,MATCH($C376,'Policy Characteristics'!$C:$C,0))),"",INDEX('Policy Characteristics'!D:D,MATCH($C376,'Policy Characteristics'!$C:$C,0)))</f>
        <v>Early Retirement of Power Plants</v>
      </c>
      <c r="K376" s="254" t="str">
        <f>IF(ISBLANK(INDEX('Policy Characteristics'!E:E,MATCH($C376,'Policy Characteristics'!$C:$C,0))),"",INDEX('Policy Characteristics'!E:E,MATCH($C376,'Policy Characteristics'!$C:$C,0)))</f>
        <v>elec early retirement</v>
      </c>
      <c r="L376" s="254">
        <f>IF(ISBLANK(INDEX('Policy Characteristics'!F:F,MATCH($C376,'Policy Characteristics'!$C:$C,0))),"",INDEX('Policy Characteristics'!F:F,MATCH($C376,'Policy Characteristics'!$C:$C,0)))</f>
        <v>0</v>
      </c>
      <c r="M376" s="254">
        <f>IF(ISBLANK(INDEX('Policy Characteristics'!G:G,MATCH($C376,'Policy Characteristics'!$C:$C,0))),"",INDEX('Policy Characteristics'!G:G,MATCH($C376,'Policy Characteristics'!$C:$C,0)))</f>
        <v>25000</v>
      </c>
      <c r="N376" s="254">
        <f>IF(ISBLANK(INDEX('Policy Characteristics'!H:H,MATCH($C376,'Policy Characteristics'!$C:$C,0))),"",INDEX('Policy Characteristics'!H:H,MATCH($C376,'Policy Characteristics'!$C:$C,0)))</f>
        <v>500</v>
      </c>
      <c r="O376" s="254" t="str">
        <f>IF(ISBLANK(INDEX('Policy Characteristics'!I:I,MATCH($C376,'Policy Characteristics'!$C:$C,0))),"",INDEX('Policy Characteristics'!I:I,MATCH($C376,'Policy Characteristics'!$C:$C,0)))</f>
        <v>MW/year</v>
      </c>
      <c r="P376" s="254"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4" t="str">
        <f>IF(ISBLANK(INDEX('Policy Characteristics'!K:K,MATCH($C376,'Policy Characteristics'!$C:$C,0))),"",INDEX('Policy Characteristics'!K:K,MATCH($C376,'Policy Characteristics'!$C:$C,0)))</f>
        <v>electricity-sector-main.html#early-ret</v>
      </c>
      <c r="R376" s="254" t="str">
        <f>IF(ISBLANK(INDEX('Policy Characteristics'!L:L,MATCH($C376,'Policy Characteristics'!$C:$C,0))),"",INDEX('Policy Characteristics'!L:L,MATCH($C376,'Policy Characteristics'!$C:$C,0)))</f>
        <v>early-retirement-of-power-plants.html</v>
      </c>
    </row>
    <row r="377" spans="1:18" x14ac:dyDescent="0.3">
      <c r="A377" s="254" t="str">
        <f>IF(ISBLANK(INDEX('Policy Characteristics'!A:A,MATCH($C377,'Policy Characteristics'!$C:$C,0))),"",INDEX('Policy Characteristics'!A:A,MATCH($C377,'Policy Characteristics'!$C:$C,0)))</f>
        <v>Electricity Supply</v>
      </c>
      <c r="B377" s="262" t="str">
        <f>IF(ISBLANK(INDEX('Policy Characteristics'!B:B,MATCH($C377,'Policy Characteristics'!$C:$C,0))),"",INDEX('Policy Characteristics'!B:B,MATCH($C377,'Policy Characteristics'!$C:$C,0)))</f>
        <v>Non BAU Capacity Retirement Schedule</v>
      </c>
      <c r="C377" t="s">
        <v>3018</v>
      </c>
      <c r="D377" s="45" t="s">
        <v>447</v>
      </c>
      <c r="E377" s="45"/>
      <c r="F377" s="45" t="s">
        <v>446</v>
      </c>
      <c r="G377" s="45"/>
      <c r="H377" s="43">
        <v>860</v>
      </c>
      <c r="I377" s="324" t="s">
        <v>44</v>
      </c>
      <c r="J377" s="255" t="str">
        <f>IF(ISBLANK(INDEX('Policy Characteristics'!D:D,MATCH($C377,'Policy Characteristics'!$C:$C,0))),"",INDEX('Policy Characteristics'!D:D,MATCH($C377,'Policy Characteristics'!$C:$C,0)))</f>
        <v>Non BAU Capacity Retirement Schedule</v>
      </c>
      <c r="K377" s="254" t="str">
        <f>IF(ISBLANK(INDEX('Policy Characteristics'!E:E,MATCH($C377,'Policy Characteristics'!$C:$C,0))),"",INDEX('Policy Characteristics'!E:E,MATCH($C377,'Policy Characteristics'!$C:$C,0)))</f>
        <v/>
      </c>
      <c r="L377" s="254">
        <f>IF(ISBLANK(INDEX('Policy Characteristics'!F:F,MATCH($C377,'Policy Characteristics'!$C:$C,0))),"",INDEX('Policy Characteristics'!F:F,MATCH($C377,'Policy Characteristics'!$C:$C,0)))</f>
        <v>0</v>
      </c>
      <c r="M377" s="254">
        <f>IF(ISBLANK(INDEX('Policy Characteristics'!G:G,MATCH($C377,'Policy Characteristics'!$C:$C,0))),"",INDEX('Policy Characteristics'!G:G,MATCH($C377,'Policy Characteristics'!$C:$C,0)))</f>
        <v>1</v>
      </c>
      <c r="N377" s="254">
        <f>IF(ISBLANK(INDEX('Policy Characteristics'!H:H,MATCH($C377,'Policy Characteristics'!$C:$C,0))),"",INDEX('Policy Characteristics'!H:H,MATCH($C377,'Policy Characteristics'!$C:$C,0)))</f>
        <v>1</v>
      </c>
      <c r="O377" s="254" t="str">
        <f>IF(ISBLANK(INDEX('Policy Characteristics'!I:I,MATCH($C377,'Policy Characteristics'!$C:$C,0))),"",INDEX('Policy Characteristics'!I:I,MATCH($C377,'Policy Characteristics'!$C:$C,0)))</f>
        <v>on/off</v>
      </c>
      <c r="P377" s="254" t="str">
        <f>IF(ISBLANK(INDEX('Policy Characteristics'!J:J,MATCH($C377,'Policy Characteristics'!$C:$C,0))),"",INDEX('Policy Characteristics'!J:J,MATCH($C377,'Policy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77" s="254" t="str">
        <f>IF(ISBLANK(INDEX('Policy Characteristics'!K:K,MATCH($C377,'Policy Characteristics'!$C:$C,0))),"",INDEX('Policy Characteristics'!K:K,MATCH($C377,'Policy Characteristics'!$C:$C,0)))</f>
        <v/>
      </c>
      <c r="R377" s="254" t="str">
        <f>IF(ISBLANK(INDEX('Policy Characteristics'!L:L,MATCH($C377,'Policy Characteristics'!$C:$C,0))),"",INDEX('Policy Characteristics'!L:L,MATCH($C377,'Policy Characteristics'!$C:$C,0)))</f>
        <v/>
      </c>
    </row>
    <row r="378" spans="1:18" x14ac:dyDescent="0.3">
      <c r="A378" s="254" t="str">
        <f>IF(ISBLANK(INDEX('Policy Characteristics'!A:A,MATCH($C378,'Policy Characteristics'!$C:$C,0))),"",INDEX('Policy Characteristics'!A:A,MATCH($C378,'Policy Characteristics'!$C:$C,0)))</f>
        <v>Electricity Supply</v>
      </c>
      <c r="B378" s="262" t="str">
        <f>IF(ISBLANK(INDEX('Policy Characteristics'!B:B,MATCH($C378,'Policy Characteristics'!$C:$C,0))),"",INDEX('Policy Characteristics'!B:B,MATCH($C378,'Policy Characteristics'!$C:$C,0)))</f>
        <v>Non BAU Capacity Retirement Schedule</v>
      </c>
      <c r="C378" s="254" t="str">
        <f t="shared" ref="C378:C400" si="23">C$377</f>
        <v>Boolean Use Non BAU Capacity Retirement Schedule</v>
      </c>
      <c r="D378" s="6" t="s">
        <v>3488</v>
      </c>
      <c r="E378" s="45"/>
      <c r="F378" s="6" t="s">
        <v>3424</v>
      </c>
      <c r="G378" s="45"/>
      <c r="H378" s="43">
        <v>861</v>
      </c>
      <c r="I378" s="324" t="s">
        <v>44</v>
      </c>
      <c r="J378" s="255" t="str">
        <f>IF(ISBLANK(INDEX('Policy Characteristics'!D:D,MATCH($C378,'Policy Characteristics'!$C:$C,0))),"",INDEX('Policy Characteristics'!D:D,MATCH($C378,'Policy Characteristics'!$C:$C,0)))</f>
        <v>Non BAU Capacity Retirement Schedule</v>
      </c>
      <c r="K378" s="254" t="str">
        <f>IF(ISBLANK(INDEX('Policy Characteristics'!E:E,MATCH($C378,'Policy Characteristics'!$C:$C,0))),"",INDEX('Policy Characteristics'!E:E,MATCH($C378,'Policy Characteristics'!$C:$C,0)))</f>
        <v/>
      </c>
      <c r="L378" s="254">
        <f>IF(ISBLANK(INDEX('Policy Characteristics'!F:F,MATCH($C378,'Policy Characteristics'!$C:$C,0))),"",INDEX('Policy Characteristics'!F:F,MATCH($C378,'Policy Characteristics'!$C:$C,0)))</f>
        <v>0</v>
      </c>
      <c r="M378" s="254">
        <f>IF(ISBLANK(INDEX('Policy Characteristics'!G:G,MATCH($C378,'Policy Characteristics'!$C:$C,0))),"",INDEX('Policy Characteristics'!G:G,MATCH($C378,'Policy Characteristics'!$C:$C,0)))</f>
        <v>1</v>
      </c>
      <c r="N378" s="254">
        <f>IF(ISBLANK(INDEX('Policy Characteristics'!H:H,MATCH($C378,'Policy Characteristics'!$C:$C,0))),"",INDEX('Policy Characteristics'!H:H,MATCH($C378,'Policy Characteristics'!$C:$C,0)))</f>
        <v>1</v>
      </c>
      <c r="O378" s="254" t="str">
        <f>IF(ISBLANK(INDEX('Policy Characteristics'!I:I,MATCH($C378,'Policy Characteristics'!$C:$C,0))),"",INDEX('Policy Characteristics'!I:I,MATCH($C378,'Policy Characteristics'!$C:$C,0)))</f>
        <v>on/off</v>
      </c>
      <c r="P378" s="254" t="str">
        <f>IF(ISBLANK(INDEX('Policy Characteristics'!J:J,MATCH($C378,'Policy Characteristics'!$C:$C,0))),"",INDEX('Policy Characteristics'!J:J,MATCH($C378,'Policy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78" s="254" t="str">
        <f>IF(ISBLANK(INDEX('Policy Characteristics'!K:K,MATCH($C378,'Policy Characteristics'!$C:$C,0))),"",INDEX('Policy Characteristics'!K:K,MATCH($C378,'Policy Characteristics'!$C:$C,0)))</f>
        <v/>
      </c>
      <c r="R378" s="254" t="str">
        <f>IF(ISBLANK(INDEX('Policy Characteristics'!L:L,MATCH($C378,'Policy Characteristics'!$C:$C,0))),"",INDEX('Policy Characteristics'!L:L,MATCH($C378,'Policy Characteristics'!$C:$C,0)))</f>
        <v/>
      </c>
    </row>
    <row r="379" spans="1:18" x14ac:dyDescent="0.3">
      <c r="A379" s="254" t="str">
        <f>IF(ISBLANK(INDEX('Policy Characteristics'!A:A,MATCH($C379,'Policy Characteristics'!$C:$C,0))),"",INDEX('Policy Characteristics'!A:A,MATCH($C379,'Policy Characteristics'!$C:$C,0)))</f>
        <v>Electricity Supply</v>
      </c>
      <c r="B379" s="262" t="str">
        <f>IF(ISBLANK(INDEX('Policy Characteristics'!B:B,MATCH($C379,'Policy Characteristics'!$C:$C,0))),"",INDEX('Policy Characteristics'!B:B,MATCH($C379,'Policy Characteristics'!$C:$C,0)))</f>
        <v>Non BAU Capacity Retirement Schedule</v>
      </c>
      <c r="C379" s="254" t="str">
        <f t="shared" si="23"/>
        <v>Boolean Use Non BAU Capacity Retirement Schedule</v>
      </c>
      <c r="D379" s="6" t="s">
        <v>3489</v>
      </c>
      <c r="E379" s="45"/>
      <c r="F379" s="6" t="s">
        <v>3425</v>
      </c>
      <c r="G379" s="45"/>
      <c r="H379" s="43">
        <v>1767</v>
      </c>
      <c r="I379" s="324" t="s">
        <v>44</v>
      </c>
      <c r="J379" s="255" t="str">
        <f>IF(ISBLANK(INDEX('Policy Characteristics'!D:D,MATCH($C379,'Policy Characteristics'!$C:$C,0))),"",INDEX('Policy Characteristics'!D:D,MATCH($C379,'Policy Characteristics'!$C:$C,0)))</f>
        <v>Non BAU Capacity Retirement Schedule</v>
      </c>
      <c r="K379" s="254" t="str">
        <f>IF(ISBLANK(INDEX('Policy Characteristics'!E:E,MATCH($C379,'Policy Characteristics'!$C:$C,0))),"",INDEX('Policy Characteristics'!E:E,MATCH($C379,'Policy Characteristics'!$C:$C,0)))</f>
        <v/>
      </c>
      <c r="L379" s="254">
        <f>IF(ISBLANK(INDEX('Policy Characteristics'!F:F,MATCH($C379,'Policy Characteristics'!$C:$C,0))),"",INDEX('Policy Characteristics'!F:F,MATCH($C379,'Policy Characteristics'!$C:$C,0)))</f>
        <v>0</v>
      </c>
      <c r="M379" s="254">
        <f>IF(ISBLANK(INDEX('Policy Characteristics'!G:G,MATCH($C379,'Policy Characteristics'!$C:$C,0))),"",INDEX('Policy Characteristics'!G:G,MATCH($C379,'Policy Characteristics'!$C:$C,0)))</f>
        <v>1</v>
      </c>
      <c r="N379" s="254">
        <f>IF(ISBLANK(INDEX('Policy Characteristics'!H:H,MATCH($C379,'Policy Characteristics'!$C:$C,0))),"",INDEX('Policy Characteristics'!H:H,MATCH($C379,'Policy Characteristics'!$C:$C,0)))</f>
        <v>1</v>
      </c>
      <c r="O379" s="254" t="str">
        <f>IF(ISBLANK(INDEX('Policy Characteristics'!I:I,MATCH($C379,'Policy Characteristics'!$C:$C,0))),"",INDEX('Policy Characteristics'!I:I,MATCH($C379,'Policy Characteristics'!$C:$C,0)))</f>
        <v>on/off</v>
      </c>
      <c r="P379" s="254" t="str">
        <f>IF(ISBLANK(INDEX('Policy Characteristics'!J:J,MATCH($C379,'Policy Characteristics'!$C:$C,0))),"",INDEX('Policy Characteristics'!J:J,MATCH($C379,'Policy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79" s="254" t="str">
        <f>IF(ISBLANK(INDEX('Policy Characteristics'!K:K,MATCH($C379,'Policy Characteristics'!$C:$C,0))),"",INDEX('Policy Characteristics'!K:K,MATCH($C379,'Policy Characteristics'!$C:$C,0)))</f>
        <v/>
      </c>
      <c r="R379" s="254" t="str">
        <f>IF(ISBLANK(INDEX('Policy Characteristics'!L:L,MATCH($C379,'Policy Characteristics'!$C:$C,0))),"",INDEX('Policy Characteristics'!L:L,MATCH($C379,'Policy Characteristics'!$C:$C,0)))</f>
        <v/>
      </c>
    </row>
    <row r="380" spans="1:18" x14ac:dyDescent="0.3">
      <c r="A380" s="254" t="str">
        <f>IF(ISBLANK(INDEX('Policy Characteristics'!A:A,MATCH($C380,'Policy Characteristics'!$C:$C,0))),"",INDEX('Policy Characteristics'!A:A,MATCH($C380,'Policy Characteristics'!$C:$C,0)))</f>
        <v>Electricity Supply</v>
      </c>
      <c r="B380" s="262" t="str">
        <f>IF(ISBLANK(INDEX('Policy Characteristics'!B:B,MATCH($C380,'Policy Characteristics'!$C:$C,0))),"",INDEX('Policy Characteristics'!B:B,MATCH($C380,'Policy Characteristics'!$C:$C,0)))</f>
        <v>Non BAU Capacity Retirement Schedule</v>
      </c>
      <c r="C380" s="254" t="str">
        <f t="shared" si="23"/>
        <v>Boolean Use Non BAU Capacity Retirement Schedule</v>
      </c>
      <c r="D380" s="6" t="s">
        <v>76</v>
      </c>
      <c r="E380" s="45"/>
      <c r="F380" s="6" t="s">
        <v>3499</v>
      </c>
      <c r="G380" s="45"/>
      <c r="H380" s="43">
        <v>862</v>
      </c>
      <c r="I380" s="324" t="s">
        <v>44</v>
      </c>
      <c r="J380" s="255" t="str">
        <f>IF(ISBLANK(INDEX('Policy Characteristics'!D:D,MATCH($C380,'Policy Characteristics'!$C:$C,0))),"",INDEX('Policy Characteristics'!D:D,MATCH($C380,'Policy Characteristics'!$C:$C,0)))</f>
        <v>Non BAU Capacity Retirement Schedule</v>
      </c>
      <c r="K380" s="254" t="str">
        <f>IF(ISBLANK(INDEX('Policy Characteristics'!E:E,MATCH($C380,'Policy Characteristics'!$C:$C,0))),"",INDEX('Policy Characteristics'!E:E,MATCH($C380,'Policy Characteristics'!$C:$C,0)))</f>
        <v/>
      </c>
      <c r="L380" s="254">
        <f>IF(ISBLANK(INDEX('Policy Characteristics'!F:F,MATCH($C380,'Policy Characteristics'!$C:$C,0))),"",INDEX('Policy Characteristics'!F:F,MATCH($C380,'Policy Characteristics'!$C:$C,0)))</f>
        <v>0</v>
      </c>
      <c r="M380" s="254">
        <f>IF(ISBLANK(INDEX('Policy Characteristics'!G:G,MATCH($C380,'Policy Characteristics'!$C:$C,0))),"",INDEX('Policy Characteristics'!G:G,MATCH($C380,'Policy Characteristics'!$C:$C,0)))</f>
        <v>1</v>
      </c>
      <c r="N380" s="254">
        <f>IF(ISBLANK(INDEX('Policy Characteristics'!H:H,MATCH($C380,'Policy Characteristics'!$C:$C,0))),"",INDEX('Policy Characteristics'!H:H,MATCH($C380,'Policy Characteristics'!$C:$C,0)))</f>
        <v>1</v>
      </c>
      <c r="O380" s="254" t="str">
        <f>IF(ISBLANK(INDEX('Policy Characteristics'!I:I,MATCH($C380,'Policy Characteristics'!$C:$C,0))),"",INDEX('Policy Characteristics'!I:I,MATCH($C380,'Policy Characteristics'!$C:$C,0)))</f>
        <v>on/off</v>
      </c>
      <c r="P380" s="254" t="str">
        <f>IF(ISBLANK(INDEX('Policy Characteristics'!J:J,MATCH($C380,'Policy Characteristics'!$C:$C,0))),"",INDEX('Policy Characteristics'!J:J,MATCH($C380,'Policy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0" s="254" t="str">
        <f>IF(ISBLANK(INDEX('Policy Characteristics'!K:K,MATCH($C380,'Policy Characteristics'!$C:$C,0))),"",INDEX('Policy Characteristics'!K:K,MATCH($C380,'Policy Characteristics'!$C:$C,0)))</f>
        <v/>
      </c>
      <c r="R380" s="254" t="str">
        <f>IF(ISBLANK(INDEX('Policy Characteristics'!L:L,MATCH($C380,'Policy Characteristics'!$C:$C,0))),"",INDEX('Policy Characteristics'!L:L,MATCH($C380,'Policy Characteristics'!$C:$C,0)))</f>
        <v/>
      </c>
    </row>
    <row r="381" spans="1:18" x14ac:dyDescent="0.3">
      <c r="A381" s="254" t="str">
        <f>IF(ISBLANK(INDEX('Policy Characteristics'!A:A,MATCH($C381,'Policy Characteristics'!$C:$C,0))),"",INDEX('Policy Characteristics'!A:A,MATCH($C381,'Policy Characteristics'!$C:$C,0)))</f>
        <v>Electricity Supply</v>
      </c>
      <c r="B381" s="262" t="str">
        <f>IF(ISBLANK(INDEX('Policy Characteristics'!B:B,MATCH($C381,'Policy Characteristics'!$C:$C,0))),"",INDEX('Policy Characteristics'!B:B,MATCH($C381,'Policy Characteristics'!$C:$C,0)))</f>
        <v>Non BAU Capacity Retirement Schedule</v>
      </c>
      <c r="C381" s="254" t="str">
        <f t="shared" si="23"/>
        <v>Boolean Use Non BAU Capacity Retirement Schedule</v>
      </c>
      <c r="D381" s="6" t="s">
        <v>77</v>
      </c>
      <c r="E381" s="45"/>
      <c r="F381" s="6" t="s">
        <v>89</v>
      </c>
      <c r="G381" s="45"/>
      <c r="H381" s="43">
        <v>863</v>
      </c>
      <c r="I381" s="324" t="s">
        <v>44</v>
      </c>
      <c r="J381" s="255" t="str">
        <f>IF(ISBLANK(INDEX('Policy Characteristics'!D:D,MATCH($C381,'Policy Characteristics'!$C:$C,0))),"",INDEX('Policy Characteristics'!D:D,MATCH($C381,'Policy Characteristics'!$C:$C,0)))</f>
        <v>Non BAU Capacity Retirement Schedule</v>
      </c>
      <c r="K381" s="254" t="str">
        <f>IF(ISBLANK(INDEX('Policy Characteristics'!E:E,MATCH($C381,'Policy Characteristics'!$C:$C,0))),"",INDEX('Policy Characteristics'!E:E,MATCH($C381,'Policy Characteristics'!$C:$C,0)))</f>
        <v/>
      </c>
      <c r="L381" s="254">
        <f>IF(ISBLANK(INDEX('Policy Characteristics'!F:F,MATCH($C381,'Policy Characteristics'!$C:$C,0))),"",INDEX('Policy Characteristics'!F:F,MATCH($C381,'Policy Characteristics'!$C:$C,0)))</f>
        <v>0</v>
      </c>
      <c r="M381" s="254">
        <f>IF(ISBLANK(INDEX('Policy Characteristics'!G:G,MATCH($C381,'Policy Characteristics'!$C:$C,0))),"",INDEX('Policy Characteristics'!G:G,MATCH($C381,'Policy Characteristics'!$C:$C,0)))</f>
        <v>1</v>
      </c>
      <c r="N381" s="254">
        <f>IF(ISBLANK(INDEX('Policy Characteristics'!H:H,MATCH($C381,'Policy Characteristics'!$C:$C,0))),"",INDEX('Policy Characteristics'!H:H,MATCH($C381,'Policy Characteristics'!$C:$C,0)))</f>
        <v>1</v>
      </c>
      <c r="O381" s="254" t="str">
        <f>IF(ISBLANK(INDEX('Policy Characteristics'!I:I,MATCH($C381,'Policy Characteristics'!$C:$C,0))),"",INDEX('Policy Characteristics'!I:I,MATCH($C381,'Policy Characteristics'!$C:$C,0)))</f>
        <v>on/off</v>
      </c>
      <c r="P381" s="254" t="str">
        <f>IF(ISBLANK(INDEX('Policy Characteristics'!J:J,MATCH($C381,'Policy Characteristics'!$C:$C,0))),"",INDEX('Policy Characteristics'!J:J,MATCH($C381,'Policy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1" s="254" t="str">
        <f>IF(ISBLANK(INDEX('Policy Characteristics'!K:K,MATCH($C381,'Policy Characteristics'!$C:$C,0))),"",INDEX('Policy Characteristics'!K:K,MATCH($C381,'Policy Characteristics'!$C:$C,0)))</f>
        <v/>
      </c>
      <c r="R381" s="254" t="str">
        <f>IF(ISBLANK(INDEX('Policy Characteristics'!L:L,MATCH($C381,'Policy Characteristics'!$C:$C,0))),"",INDEX('Policy Characteristics'!L:L,MATCH($C381,'Policy Characteristics'!$C:$C,0)))</f>
        <v/>
      </c>
    </row>
    <row r="382" spans="1:18" x14ac:dyDescent="0.3">
      <c r="A382" s="254" t="str">
        <f>IF(ISBLANK(INDEX('Policy Characteristics'!A:A,MATCH($C382,'Policy Characteristics'!$C:$C,0))),"",INDEX('Policy Characteristics'!A:A,MATCH($C382,'Policy Characteristics'!$C:$C,0)))</f>
        <v>Electricity Supply</v>
      </c>
      <c r="B382" s="262" t="str">
        <f>IF(ISBLANK(INDEX('Policy Characteristics'!B:B,MATCH($C382,'Policy Characteristics'!$C:$C,0))),"",INDEX('Policy Characteristics'!B:B,MATCH($C382,'Policy Characteristics'!$C:$C,0)))</f>
        <v>Non BAU Capacity Retirement Schedule</v>
      </c>
      <c r="C382" s="254" t="str">
        <f t="shared" si="23"/>
        <v>Boolean Use Non BAU Capacity Retirement Schedule</v>
      </c>
      <c r="D382" s="6" t="s">
        <v>448</v>
      </c>
      <c r="E382" s="45"/>
      <c r="F382" s="6" t="s">
        <v>451</v>
      </c>
      <c r="G382" s="45"/>
      <c r="H382" s="43">
        <v>864</v>
      </c>
      <c r="I382" s="324" t="s">
        <v>44</v>
      </c>
      <c r="J382" s="255" t="str">
        <f>IF(ISBLANK(INDEX('Policy Characteristics'!D:D,MATCH($C382,'Policy Characteristics'!$C:$C,0))),"",INDEX('Policy Characteristics'!D:D,MATCH($C382,'Policy Characteristics'!$C:$C,0)))</f>
        <v>Non BAU Capacity Retirement Schedule</v>
      </c>
      <c r="K382" s="254" t="str">
        <f>IF(ISBLANK(INDEX('Policy Characteristics'!E:E,MATCH($C382,'Policy Characteristics'!$C:$C,0))),"",INDEX('Policy Characteristics'!E:E,MATCH($C382,'Policy Characteristics'!$C:$C,0)))</f>
        <v/>
      </c>
      <c r="L382" s="254">
        <f>IF(ISBLANK(INDEX('Policy Characteristics'!F:F,MATCH($C382,'Policy Characteristics'!$C:$C,0))),"",INDEX('Policy Characteristics'!F:F,MATCH($C382,'Policy Characteristics'!$C:$C,0)))</f>
        <v>0</v>
      </c>
      <c r="M382" s="254">
        <f>IF(ISBLANK(INDEX('Policy Characteristics'!G:G,MATCH($C382,'Policy Characteristics'!$C:$C,0))),"",INDEX('Policy Characteristics'!G:G,MATCH($C382,'Policy Characteristics'!$C:$C,0)))</f>
        <v>1</v>
      </c>
      <c r="N382" s="254">
        <f>IF(ISBLANK(INDEX('Policy Characteristics'!H:H,MATCH($C382,'Policy Characteristics'!$C:$C,0))),"",INDEX('Policy Characteristics'!H:H,MATCH($C382,'Policy Characteristics'!$C:$C,0)))</f>
        <v>1</v>
      </c>
      <c r="O382" s="254" t="str">
        <f>IF(ISBLANK(INDEX('Policy Characteristics'!I:I,MATCH($C382,'Policy Characteristics'!$C:$C,0))),"",INDEX('Policy Characteristics'!I:I,MATCH($C382,'Policy Characteristics'!$C:$C,0)))</f>
        <v>on/off</v>
      </c>
      <c r="P382" s="254" t="str">
        <f>IF(ISBLANK(INDEX('Policy Characteristics'!J:J,MATCH($C382,'Policy Characteristics'!$C:$C,0))),"",INDEX('Policy Characteristics'!J:J,MATCH($C382,'Policy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2" s="254" t="str">
        <f>IF(ISBLANK(INDEX('Policy Characteristics'!K:K,MATCH($C382,'Policy Characteristics'!$C:$C,0))),"",INDEX('Policy Characteristics'!K:K,MATCH($C382,'Policy Characteristics'!$C:$C,0)))</f>
        <v/>
      </c>
      <c r="R382" s="254" t="str">
        <f>IF(ISBLANK(INDEX('Policy Characteristics'!L:L,MATCH($C382,'Policy Characteristics'!$C:$C,0))),"",INDEX('Policy Characteristics'!L:L,MATCH($C382,'Policy Characteristics'!$C:$C,0)))</f>
        <v/>
      </c>
    </row>
    <row r="383" spans="1:18" x14ac:dyDescent="0.3">
      <c r="A383" s="254" t="str">
        <f>IF(ISBLANK(INDEX('Policy Characteristics'!A:A,MATCH($C383,'Policy Characteristics'!$C:$C,0))),"",INDEX('Policy Characteristics'!A:A,MATCH($C383,'Policy Characteristics'!$C:$C,0)))</f>
        <v>Electricity Supply</v>
      </c>
      <c r="B383" s="262" t="str">
        <f>IF(ISBLANK(INDEX('Policy Characteristics'!B:B,MATCH($C383,'Policy Characteristics'!$C:$C,0))),"",INDEX('Policy Characteristics'!B:B,MATCH($C383,'Policy Characteristics'!$C:$C,0)))</f>
        <v>Non BAU Capacity Retirement Schedule</v>
      </c>
      <c r="C383" s="254" t="str">
        <f t="shared" si="23"/>
        <v>Boolean Use Non BAU Capacity Retirement Schedule</v>
      </c>
      <c r="D383" s="6" t="s">
        <v>78</v>
      </c>
      <c r="E383" s="45"/>
      <c r="F383" s="6" t="s">
        <v>90</v>
      </c>
      <c r="G383" s="45"/>
      <c r="H383" s="43">
        <v>865</v>
      </c>
      <c r="I383" s="324" t="s">
        <v>44</v>
      </c>
      <c r="J383" s="255" t="str">
        <f>IF(ISBLANK(INDEX('Policy Characteristics'!D:D,MATCH($C383,'Policy Characteristics'!$C:$C,0))),"",INDEX('Policy Characteristics'!D:D,MATCH($C383,'Policy Characteristics'!$C:$C,0)))</f>
        <v>Non BAU Capacity Retirement Schedule</v>
      </c>
      <c r="K383" s="254" t="str">
        <f>IF(ISBLANK(INDEX('Policy Characteristics'!E:E,MATCH($C383,'Policy Characteristics'!$C:$C,0))),"",INDEX('Policy Characteristics'!E:E,MATCH($C383,'Policy Characteristics'!$C:$C,0)))</f>
        <v/>
      </c>
      <c r="L383" s="254">
        <f>IF(ISBLANK(INDEX('Policy Characteristics'!F:F,MATCH($C383,'Policy Characteristics'!$C:$C,0))),"",INDEX('Policy Characteristics'!F:F,MATCH($C383,'Policy Characteristics'!$C:$C,0)))</f>
        <v>0</v>
      </c>
      <c r="M383" s="254">
        <f>IF(ISBLANK(INDEX('Policy Characteristics'!G:G,MATCH($C383,'Policy Characteristics'!$C:$C,0))),"",INDEX('Policy Characteristics'!G:G,MATCH($C383,'Policy Characteristics'!$C:$C,0)))</f>
        <v>1</v>
      </c>
      <c r="N383" s="254">
        <f>IF(ISBLANK(INDEX('Policy Characteristics'!H:H,MATCH($C383,'Policy Characteristics'!$C:$C,0))),"",INDEX('Policy Characteristics'!H:H,MATCH($C383,'Policy Characteristics'!$C:$C,0)))</f>
        <v>1</v>
      </c>
      <c r="O383" s="254" t="str">
        <f>IF(ISBLANK(INDEX('Policy Characteristics'!I:I,MATCH($C383,'Policy Characteristics'!$C:$C,0))),"",INDEX('Policy Characteristics'!I:I,MATCH($C383,'Policy Characteristics'!$C:$C,0)))</f>
        <v>on/off</v>
      </c>
      <c r="P383" s="254" t="str">
        <f>IF(ISBLANK(INDEX('Policy Characteristics'!J:J,MATCH($C383,'Policy Characteristics'!$C:$C,0))),"",INDEX('Policy Characteristics'!J:J,MATCH($C383,'Policy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3" s="254" t="str">
        <f>IF(ISBLANK(INDEX('Policy Characteristics'!K:K,MATCH($C383,'Policy Characteristics'!$C:$C,0))),"",INDEX('Policy Characteristics'!K:K,MATCH($C383,'Policy Characteristics'!$C:$C,0)))</f>
        <v/>
      </c>
      <c r="R383" s="254" t="str">
        <f>IF(ISBLANK(INDEX('Policy Characteristics'!L:L,MATCH($C383,'Policy Characteristics'!$C:$C,0))),"",INDEX('Policy Characteristics'!L:L,MATCH($C383,'Policy Characteristics'!$C:$C,0)))</f>
        <v/>
      </c>
    </row>
    <row r="384" spans="1:18" x14ac:dyDescent="0.3">
      <c r="A384" s="254" t="str">
        <f>IF(ISBLANK(INDEX('Policy Characteristics'!A:A,MATCH($C384,'Policy Characteristics'!$C:$C,0))),"",INDEX('Policy Characteristics'!A:A,MATCH($C384,'Policy Characteristics'!$C:$C,0)))</f>
        <v>Electricity Supply</v>
      </c>
      <c r="B384" s="262" t="str">
        <f>IF(ISBLANK(INDEX('Policy Characteristics'!B:B,MATCH($C384,'Policy Characteristics'!$C:$C,0))),"",INDEX('Policy Characteristics'!B:B,MATCH($C384,'Policy Characteristics'!$C:$C,0)))</f>
        <v>Non BAU Capacity Retirement Schedule</v>
      </c>
      <c r="C384" s="254" t="str">
        <f t="shared" si="23"/>
        <v>Boolean Use Non BAU Capacity Retirement Schedule</v>
      </c>
      <c r="D384" s="6" t="s">
        <v>79</v>
      </c>
      <c r="E384" s="45"/>
      <c r="F384" s="6" t="s">
        <v>91</v>
      </c>
      <c r="G384" s="45"/>
      <c r="H384" s="43">
        <v>866</v>
      </c>
      <c r="I384" s="324" t="s">
        <v>44</v>
      </c>
      <c r="J384" s="255" t="str">
        <f>IF(ISBLANK(INDEX('Policy Characteristics'!D:D,MATCH($C384,'Policy Characteristics'!$C:$C,0))),"",INDEX('Policy Characteristics'!D:D,MATCH($C384,'Policy Characteristics'!$C:$C,0)))</f>
        <v>Non BAU Capacity Retirement Schedule</v>
      </c>
      <c r="K384" s="254" t="str">
        <f>IF(ISBLANK(INDEX('Policy Characteristics'!E:E,MATCH($C384,'Policy Characteristics'!$C:$C,0))),"",INDEX('Policy Characteristics'!E:E,MATCH($C384,'Policy Characteristics'!$C:$C,0)))</f>
        <v/>
      </c>
      <c r="L384" s="254">
        <f>IF(ISBLANK(INDEX('Policy Characteristics'!F:F,MATCH($C384,'Policy Characteristics'!$C:$C,0))),"",INDEX('Policy Characteristics'!F:F,MATCH($C384,'Policy Characteristics'!$C:$C,0)))</f>
        <v>0</v>
      </c>
      <c r="M384" s="254">
        <f>IF(ISBLANK(INDEX('Policy Characteristics'!G:G,MATCH($C384,'Policy Characteristics'!$C:$C,0))),"",INDEX('Policy Characteristics'!G:G,MATCH($C384,'Policy Characteristics'!$C:$C,0)))</f>
        <v>1</v>
      </c>
      <c r="N384" s="254">
        <f>IF(ISBLANK(INDEX('Policy Characteristics'!H:H,MATCH($C384,'Policy Characteristics'!$C:$C,0))),"",INDEX('Policy Characteristics'!H:H,MATCH($C384,'Policy Characteristics'!$C:$C,0)))</f>
        <v>1</v>
      </c>
      <c r="O384" s="254" t="str">
        <f>IF(ISBLANK(INDEX('Policy Characteristics'!I:I,MATCH($C384,'Policy Characteristics'!$C:$C,0))),"",INDEX('Policy Characteristics'!I:I,MATCH($C384,'Policy Characteristics'!$C:$C,0)))</f>
        <v>on/off</v>
      </c>
      <c r="P384" s="254" t="str">
        <f>IF(ISBLANK(INDEX('Policy Characteristics'!J:J,MATCH($C384,'Policy Characteristics'!$C:$C,0))),"",INDEX('Policy Characteristics'!J:J,MATCH($C384,'Policy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4" s="254" t="str">
        <f>IF(ISBLANK(INDEX('Policy Characteristics'!K:K,MATCH($C384,'Policy Characteristics'!$C:$C,0))),"",INDEX('Policy Characteristics'!K:K,MATCH($C384,'Policy Characteristics'!$C:$C,0)))</f>
        <v/>
      </c>
      <c r="R384" s="254" t="str">
        <f>IF(ISBLANK(INDEX('Policy Characteristics'!L:L,MATCH($C384,'Policy Characteristics'!$C:$C,0))),"",INDEX('Policy Characteristics'!L:L,MATCH($C384,'Policy Characteristics'!$C:$C,0)))</f>
        <v/>
      </c>
    </row>
    <row r="385" spans="1:18" x14ac:dyDescent="0.3">
      <c r="A385" s="254" t="str">
        <f>IF(ISBLANK(INDEX('Policy Characteristics'!A:A,MATCH($C385,'Policy Characteristics'!$C:$C,0))),"",INDEX('Policy Characteristics'!A:A,MATCH($C385,'Policy Characteristics'!$C:$C,0)))</f>
        <v>Electricity Supply</v>
      </c>
      <c r="B385" s="262" t="str">
        <f>IF(ISBLANK(INDEX('Policy Characteristics'!B:B,MATCH($C385,'Policy Characteristics'!$C:$C,0))),"",INDEX('Policy Characteristics'!B:B,MATCH($C385,'Policy Characteristics'!$C:$C,0)))</f>
        <v>Non BAU Capacity Retirement Schedule</v>
      </c>
      <c r="C385" s="254" t="str">
        <f t="shared" si="23"/>
        <v>Boolean Use Non BAU Capacity Retirement Schedule</v>
      </c>
      <c r="D385" s="6" t="s">
        <v>80</v>
      </c>
      <c r="E385" s="45"/>
      <c r="F385" s="6" t="s">
        <v>92</v>
      </c>
      <c r="G385" s="45"/>
      <c r="H385" s="43">
        <v>867</v>
      </c>
      <c r="I385" s="324" t="s">
        <v>44</v>
      </c>
      <c r="J385" s="255" t="str">
        <f>IF(ISBLANK(INDEX('Policy Characteristics'!D:D,MATCH($C385,'Policy Characteristics'!$C:$C,0))),"",INDEX('Policy Characteristics'!D:D,MATCH($C385,'Policy Characteristics'!$C:$C,0)))</f>
        <v>Non BAU Capacity Retirement Schedule</v>
      </c>
      <c r="K385" s="254" t="str">
        <f>IF(ISBLANK(INDEX('Policy Characteristics'!E:E,MATCH($C385,'Policy Characteristics'!$C:$C,0))),"",INDEX('Policy Characteristics'!E:E,MATCH($C385,'Policy Characteristics'!$C:$C,0)))</f>
        <v/>
      </c>
      <c r="L385" s="254">
        <f>IF(ISBLANK(INDEX('Policy Characteristics'!F:F,MATCH($C385,'Policy Characteristics'!$C:$C,0))),"",INDEX('Policy Characteristics'!F:F,MATCH($C385,'Policy Characteristics'!$C:$C,0)))</f>
        <v>0</v>
      </c>
      <c r="M385" s="254">
        <f>IF(ISBLANK(INDEX('Policy Characteristics'!G:G,MATCH($C385,'Policy Characteristics'!$C:$C,0))),"",INDEX('Policy Characteristics'!G:G,MATCH($C385,'Policy Characteristics'!$C:$C,0)))</f>
        <v>1</v>
      </c>
      <c r="N385" s="254">
        <f>IF(ISBLANK(INDEX('Policy Characteristics'!H:H,MATCH($C385,'Policy Characteristics'!$C:$C,0))),"",INDEX('Policy Characteristics'!H:H,MATCH($C385,'Policy Characteristics'!$C:$C,0)))</f>
        <v>1</v>
      </c>
      <c r="O385" s="254" t="str">
        <f>IF(ISBLANK(INDEX('Policy Characteristics'!I:I,MATCH($C385,'Policy Characteristics'!$C:$C,0))),"",INDEX('Policy Characteristics'!I:I,MATCH($C385,'Policy Characteristics'!$C:$C,0)))</f>
        <v>on/off</v>
      </c>
      <c r="P385" s="254" t="str">
        <f>IF(ISBLANK(INDEX('Policy Characteristics'!J:J,MATCH($C385,'Policy Characteristics'!$C:$C,0))),"",INDEX('Policy Characteristics'!J:J,MATCH($C385,'Policy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5" s="254" t="str">
        <f>IF(ISBLANK(INDEX('Policy Characteristics'!K:K,MATCH($C385,'Policy Characteristics'!$C:$C,0))),"",INDEX('Policy Characteristics'!K:K,MATCH($C385,'Policy Characteristics'!$C:$C,0)))</f>
        <v/>
      </c>
      <c r="R385" s="254" t="str">
        <f>IF(ISBLANK(INDEX('Policy Characteristics'!L:L,MATCH($C385,'Policy Characteristics'!$C:$C,0))),"",INDEX('Policy Characteristics'!L:L,MATCH($C385,'Policy Characteristics'!$C:$C,0)))</f>
        <v/>
      </c>
    </row>
    <row r="386" spans="1:18" x14ac:dyDescent="0.3">
      <c r="A386" s="254" t="str">
        <f>IF(ISBLANK(INDEX('Policy Characteristics'!A:A,MATCH($C386,'Policy Characteristics'!$C:$C,0))),"",INDEX('Policy Characteristics'!A:A,MATCH($C386,'Policy Characteristics'!$C:$C,0)))</f>
        <v>Electricity Supply</v>
      </c>
      <c r="B386" s="262" t="str">
        <f>IF(ISBLANK(INDEX('Policy Characteristics'!B:B,MATCH($C386,'Policy Characteristics'!$C:$C,0))),"",INDEX('Policy Characteristics'!B:B,MATCH($C386,'Policy Characteristics'!$C:$C,0)))</f>
        <v>Non BAU Capacity Retirement Schedule</v>
      </c>
      <c r="C386" s="254" t="str">
        <f t="shared" si="23"/>
        <v>Boolean Use Non BAU Capacity Retirement Schedule</v>
      </c>
      <c r="D386" s="6" t="s">
        <v>2425</v>
      </c>
      <c r="E386" s="45"/>
      <c r="F386" s="6" t="s">
        <v>436</v>
      </c>
      <c r="G386" s="45"/>
      <c r="H386" s="43">
        <v>868</v>
      </c>
      <c r="I386" s="324" t="s">
        <v>44</v>
      </c>
      <c r="J386" s="255" t="str">
        <f>IF(ISBLANK(INDEX('Policy Characteristics'!D:D,MATCH($C386,'Policy Characteristics'!$C:$C,0))),"",INDEX('Policy Characteristics'!D:D,MATCH($C386,'Policy Characteristics'!$C:$C,0)))</f>
        <v>Non BAU Capacity Retirement Schedule</v>
      </c>
      <c r="K386" s="254" t="str">
        <f>IF(ISBLANK(INDEX('Policy Characteristics'!E:E,MATCH($C386,'Policy Characteristics'!$C:$C,0))),"",INDEX('Policy Characteristics'!E:E,MATCH($C386,'Policy Characteristics'!$C:$C,0)))</f>
        <v/>
      </c>
      <c r="L386" s="254">
        <f>IF(ISBLANK(INDEX('Policy Characteristics'!F:F,MATCH($C386,'Policy Characteristics'!$C:$C,0))),"",INDEX('Policy Characteristics'!F:F,MATCH($C386,'Policy Characteristics'!$C:$C,0)))</f>
        <v>0</v>
      </c>
      <c r="M386" s="254">
        <f>IF(ISBLANK(INDEX('Policy Characteristics'!G:G,MATCH($C386,'Policy Characteristics'!$C:$C,0))),"",INDEX('Policy Characteristics'!G:G,MATCH($C386,'Policy Characteristics'!$C:$C,0)))</f>
        <v>1</v>
      </c>
      <c r="N386" s="254">
        <f>IF(ISBLANK(INDEX('Policy Characteristics'!H:H,MATCH($C386,'Policy Characteristics'!$C:$C,0))),"",INDEX('Policy Characteristics'!H:H,MATCH($C386,'Policy Characteristics'!$C:$C,0)))</f>
        <v>1</v>
      </c>
      <c r="O386" s="254" t="str">
        <f>IF(ISBLANK(INDEX('Policy Characteristics'!I:I,MATCH($C386,'Policy Characteristics'!$C:$C,0))),"",INDEX('Policy Characteristics'!I:I,MATCH($C386,'Policy Characteristics'!$C:$C,0)))</f>
        <v>on/off</v>
      </c>
      <c r="P386" s="254" t="str">
        <f>IF(ISBLANK(INDEX('Policy Characteristics'!J:J,MATCH($C386,'Policy Characteristics'!$C:$C,0))),"",INDEX('Policy Characteristics'!J:J,MATCH($C386,'Policy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6" s="254" t="str">
        <f>IF(ISBLANK(INDEX('Policy Characteristics'!K:K,MATCH($C386,'Policy Characteristics'!$C:$C,0))),"",INDEX('Policy Characteristics'!K:K,MATCH($C386,'Policy Characteristics'!$C:$C,0)))</f>
        <v/>
      </c>
      <c r="R386" s="254" t="str">
        <f>IF(ISBLANK(INDEX('Policy Characteristics'!L:L,MATCH($C386,'Policy Characteristics'!$C:$C,0))),"",INDEX('Policy Characteristics'!L:L,MATCH($C386,'Policy Characteristics'!$C:$C,0)))</f>
        <v/>
      </c>
    </row>
    <row r="387" spans="1:18" x14ac:dyDescent="0.3">
      <c r="A387" s="254" t="str">
        <f>IF(ISBLANK(INDEX('Policy Characteristics'!A:A,MATCH($C387,'Policy Characteristics'!$C:$C,0))),"",INDEX('Policy Characteristics'!A:A,MATCH($C387,'Policy Characteristics'!$C:$C,0)))</f>
        <v>Electricity Supply</v>
      </c>
      <c r="B387" s="262" t="str">
        <f>IF(ISBLANK(INDEX('Policy Characteristics'!B:B,MATCH($C387,'Policy Characteristics'!$C:$C,0))),"",INDEX('Policy Characteristics'!B:B,MATCH($C387,'Policy Characteristics'!$C:$C,0)))</f>
        <v>Non BAU Capacity Retirement Schedule</v>
      </c>
      <c r="C387" s="254" t="str">
        <f t="shared" si="23"/>
        <v>Boolean Use Non BAU Capacity Retirement Schedule</v>
      </c>
      <c r="D387" s="6" t="s">
        <v>308</v>
      </c>
      <c r="E387" s="45"/>
      <c r="F387" s="6" t="s">
        <v>310</v>
      </c>
      <c r="G387" s="45"/>
      <c r="H387" s="43">
        <v>869</v>
      </c>
      <c r="I387" s="324" t="s">
        <v>44</v>
      </c>
      <c r="J387" s="255" t="str">
        <f>IF(ISBLANK(INDEX('Policy Characteristics'!D:D,MATCH($C387,'Policy Characteristics'!$C:$C,0))),"",INDEX('Policy Characteristics'!D:D,MATCH($C387,'Policy Characteristics'!$C:$C,0)))</f>
        <v>Non BAU Capacity Retirement Schedule</v>
      </c>
      <c r="K387" s="254" t="str">
        <f>IF(ISBLANK(INDEX('Policy Characteristics'!E:E,MATCH($C387,'Policy Characteristics'!$C:$C,0))),"",INDEX('Policy Characteristics'!E:E,MATCH($C387,'Policy Characteristics'!$C:$C,0)))</f>
        <v/>
      </c>
      <c r="L387" s="254">
        <f>IF(ISBLANK(INDEX('Policy Characteristics'!F:F,MATCH($C387,'Policy Characteristics'!$C:$C,0))),"",INDEX('Policy Characteristics'!F:F,MATCH($C387,'Policy Characteristics'!$C:$C,0)))</f>
        <v>0</v>
      </c>
      <c r="M387" s="254">
        <f>IF(ISBLANK(INDEX('Policy Characteristics'!G:G,MATCH($C387,'Policy Characteristics'!$C:$C,0))),"",INDEX('Policy Characteristics'!G:G,MATCH($C387,'Policy Characteristics'!$C:$C,0)))</f>
        <v>1</v>
      </c>
      <c r="N387" s="254">
        <f>IF(ISBLANK(INDEX('Policy Characteristics'!H:H,MATCH($C387,'Policy Characteristics'!$C:$C,0))),"",INDEX('Policy Characteristics'!H:H,MATCH($C387,'Policy Characteristics'!$C:$C,0)))</f>
        <v>1</v>
      </c>
      <c r="O387" s="254" t="str">
        <f>IF(ISBLANK(INDEX('Policy Characteristics'!I:I,MATCH($C387,'Policy Characteristics'!$C:$C,0))),"",INDEX('Policy Characteristics'!I:I,MATCH($C387,'Policy Characteristics'!$C:$C,0)))</f>
        <v>on/off</v>
      </c>
      <c r="P387" s="254" t="str">
        <f>IF(ISBLANK(INDEX('Policy Characteristics'!J:J,MATCH($C387,'Policy Characteristics'!$C:$C,0))),"",INDEX('Policy Characteristics'!J:J,MATCH($C387,'Policy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7" s="254" t="str">
        <f>IF(ISBLANK(INDEX('Policy Characteristics'!K:K,MATCH($C387,'Policy Characteristics'!$C:$C,0))),"",INDEX('Policy Characteristics'!K:K,MATCH($C387,'Policy Characteristics'!$C:$C,0)))</f>
        <v/>
      </c>
      <c r="R387" s="254" t="str">
        <f>IF(ISBLANK(INDEX('Policy Characteristics'!L:L,MATCH($C387,'Policy Characteristics'!$C:$C,0))),"",INDEX('Policy Characteristics'!L:L,MATCH($C387,'Policy Characteristics'!$C:$C,0)))</f>
        <v/>
      </c>
    </row>
    <row r="388" spans="1:18" x14ac:dyDescent="0.3">
      <c r="A388" s="254" t="str">
        <f>IF(ISBLANK(INDEX('Policy Characteristics'!A:A,MATCH($C388,'Policy Characteristics'!$C:$C,0))),"",INDEX('Policy Characteristics'!A:A,MATCH($C388,'Policy Characteristics'!$C:$C,0)))</f>
        <v>Electricity Supply</v>
      </c>
      <c r="B388" s="262" t="str">
        <f>IF(ISBLANK(INDEX('Policy Characteristics'!B:B,MATCH($C388,'Policy Characteristics'!$C:$C,0))),"",INDEX('Policy Characteristics'!B:B,MATCH($C388,'Policy Characteristics'!$C:$C,0)))</f>
        <v>Non BAU Capacity Retirement Schedule</v>
      </c>
      <c r="C388" s="254" t="str">
        <f t="shared" si="23"/>
        <v>Boolean Use Non BAU Capacity Retirement Schedule</v>
      </c>
      <c r="D388" s="6" t="s">
        <v>309</v>
      </c>
      <c r="E388" s="45"/>
      <c r="F388" s="6" t="s">
        <v>311</v>
      </c>
      <c r="G388" s="45"/>
      <c r="H388" s="43">
        <v>870</v>
      </c>
      <c r="I388" s="324" t="s">
        <v>44</v>
      </c>
      <c r="J388" s="255" t="str">
        <f>IF(ISBLANK(INDEX('Policy Characteristics'!D:D,MATCH($C388,'Policy Characteristics'!$C:$C,0))),"",INDEX('Policy Characteristics'!D:D,MATCH($C388,'Policy Characteristics'!$C:$C,0)))</f>
        <v>Non BAU Capacity Retirement Schedule</v>
      </c>
      <c r="K388" s="254" t="str">
        <f>IF(ISBLANK(INDEX('Policy Characteristics'!E:E,MATCH($C388,'Policy Characteristics'!$C:$C,0))),"",INDEX('Policy Characteristics'!E:E,MATCH($C388,'Policy Characteristics'!$C:$C,0)))</f>
        <v/>
      </c>
      <c r="L388" s="254">
        <f>IF(ISBLANK(INDEX('Policy Characteristics'!F:F,MATCH($C388,'Policy Characteristics'!$C:$C,0))),"",INDEX('Policy Characteristics'!F:F,MATCH($C388,'Policy Characteristics'!$C:$C,0)))</f>
        <v>0</v>
      </c>
      <c r="M388" s="254">
        <f>IF(ISBLANK(INDEX('Policy Characteristics'!G:G,MATCH($C388,'Policy Characteristics'!$C:$C,0))),"",INDEX('Policy Characteristics'!G:G,MATCH($C388,'Policy Characteristics'!$C:$C,0)))</f>
        <v>1</v>
      </c>
      <c r="N388" s="254">
        <f>IF(ISBLANK(INDEX('Policy Characteristics'!H:H,MATCH($C388,'Policy Characteristics'!$C:$C,0))),"",INDEX('Policy Characteristics'!H:H,MATCH($C388,'Policy Characteristics'!$C:$C,0)))</f>
        <v>1</v>
      </c>
      <c r="O388" s="254" t="str">
        <f>IF(ISBLANK(INDEX('Policy Characteristics'!I:I,MATCH($C388,'Policy Characteristics'!$C:$C,0))),"",INDEX('Policy Characteristics'!I:I,MATCH($C388,'Policy Characteristics'!$C:$C,0)))</f>
        <v>on/off</v>
      </c>
      <c r="P388" s="254" t="str">
        <f>IF(ISBLANK(INDEX('Policy Characteristics'!J:J,MATCH($C388,'Policy Characteristics'!$C:$C,0))),"",INDEX('Policy Characteristics'!J:J,MATCH($C388,'Policy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8" s="254" t="str">
        <f>IF(ISBLANK(INDEX('Policy Characteristics'!K:K,MATCH($C388,'Policy Characteristics'!$C:$C,0))),"",INDEX('Policy Characteristics'!K:K,MATCH($C388,'Policy Characteristics'!$C:$C,0)))</f>
        <v/>
      </c>
      <c r="R388" s="254" t="str">
        <f>IF(ISBLANK(INDEX('Policy Characteristics'!L:L,MATCH($C388,'Policy Characteristics'!$C:$C,0))),"",INDEX('Policy Characteristics'!L:L,MATCH($C388,'Policy Characteristics'!$C:$C,0)))</f>
        <v/>
      </c>
    </row>
    <row r="389" spans="1:18" x14ac:dyDescent="0.3">
      <c r="A389" s="254" t="str">
        <f>IF(ISBLANK(INDEX('Policy Characteristics'!A:A,MATCH($C389,'Policy Characteristics'!$C:$C,0))),"",INDEX('Policy Characteristics'!A:A,MATCH($C389,'Policy Characteristics'!$C:$C,0)))</f>
        <v>Electricity Supply</v>
      </c>
      <c r="B389" s="262" t="str">
        <f>IF(ISBLANK(INDEX('Policy Characteristics'!B:B,MATCH($C389,'Policy Characteristics'!$C:$C,0))),"",INDEX('Policy Characteristics'!B:B,MATCH($C389,'Policy Characteristics'!$C:$C,0)))</f>
        <v>Non BAU Capacity Retirement Schedule</v>
      </c>
      <c r="C389" s="254" t="str">
        <f t="shared" si="23"/>
        <v>Boolean Use Non BAU Capacity Retirement Schedule</v>
      </c>
      <c r="D389" s="6" t="s">
        <v>444</v>
      </c>
      <c r="E389" s="45"/>
      <c r="F389" s="6" t="s">
        <v>443</v>
      </c>
      <c r="G389" s="45"/>
      <c r="H389" s="43">
        <v>871</v>
      </c>
      <c r="I389" s="324" t="s">
        <v>44</v>
      </c>
      <c r="J389" s="255" t="str">
        <f>IF(ISBLANK(INDEX('Policy Characteristics'!D:D,MATCH($C389,'Policy Characteristics'!$C:$C,0))),"",INDEX('Policy Characteristics'!D:D,MATCH($C389,'Policy Characteristics'!$C:$C,0)))</f>
        <v>Non BAU Capacity Retirement Schedule</v>
      </c>
      <c r="K389" s="254" t="str">
        <f>IF(ISBLANK(INDEX('Policy Characteristics'!E:E,MATCH($C389,'Policy Characteristics'!$C:$C,0))),"",INDEX('Policy Characteristics'!E:E,MATCH($C389,'Policy Characteristics'!$C:$C,0)))</f>
        <v/>
      </c>
      <c r="L389" s="254">
        <f>IF(ISBLANK(INDEX('Policy Characteristics'!F:F,MATCH($C389,'Policy Characteristics'!$C:$C,0))),"",INDEX('Policy Characteristics'!F:F,MATCH($C389,'Policy Characteristics'!$C:$C,0)))</f>
        <v>0</v>
      </c>
      <c r="M389" s="254">
        <f>IF(ISBLANK(INDEX('Policy Characteristics'!G:G,MATCH($C389,'Policy Characteristics'!$C:$C,0))),"",INDEX('Policy Characteristics'!G:G,MATCH($C389,'Policy Characteristics'!$C:$C,0)))</f>
        <v>1</v>
      </c>
      <c r="N389" s="254">
        <f>IF(ISBLANK(INDEX('Policy Characteristics'!H:H,MATCH($C389,'Policy Characteristics'!$C:$C,0))),"",INDEX('Policy Characteristics'!H:H,MATCH($C389,'Policy Characteristics'!$C:$C,0)))</f>
        <v>1</v>
      </c>
      <c r="O389" s="254" t="str">
        <f>IF(ISBLANK(INDEX('Policy Characteristics'!I:I,MATCH($C389,'Policy Characteristics'!$C:$C,0))),"",INDEX('Policy Characteristics'!I:I,MATCH($C389,'Policy Characteristics'!$C:$C,0)))</f>
        <v>on/off</v>
      </c>
      <c r="P389" s="254" t="str">
        <f>IF(ISBLANK(INDEX('Policy Characteristics'!J:J,MATCH($C389,'Policy Characteristics'!$C:$C,0))),"",INDEX('Policy Characteristics'!J:J,MATCH($C389,'Policy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89" s="254" t="str">
        <f>IF(ISBLANK(INDEX('Policy Characteristics'!K:K,MATCH($C389,'Policy Characteristics'!$C:$C,0))),"",INDEX('Policy Characteristics'!K:K,MATCH($C389,'Policy Characteristics'!$C:$C,0)))</f>
        <v/>
      </c>
      <c r="R389" s="254" t="str">
        <f>IF(ISBLANK(INDEX('Policy Characteristics'!L:L,MATCH($C389,'Policy Characteristics'!$C:$C,0))),"",INDEX('Policy Characteristics'!L:L,MATCH($C389,'Policy Characteristics'!$C:$C,0)))</f>
        <v/>
      </c>
    </row>
    <row r="390" spans="1:18" x14ac:dyDescent="0.3">
      <c r="A390" s="254" t="str">
        <f>IF(ISBLANK(INDEX('Policy Characteristics'!A:A,MATCH($C390,'Policy Characteristics'!$C:$C,0))),"",INDEX('Policy Characteristics'!A:A,MATCH($C390,'Policy Characteristics'!$C:$C,0)))</f>
        <v>Electricity Supply</v>
      </c>
      <c r="B390" s="262" t="str">
        <f>IF(ISBLANK(INDEX('Policy Characteristics'!B:B,MATCH($C390,'Policy Characteristics'!$C:$C,0))),"",INDEX('Policy Characteristics'!B:B,MATCH($C390,'Policy Characteristics'!$C:$C,0)))</f>
        <v>Non BAU Capacity Retirement Schedule</v>
      </c>
      <c r="C390" s="254" t="str">
        <f t="shared" si="23"/>
        <v>Boolean Use Non BAU Capacity Retirement Schedule</v>
      </c>
      <c r="D390" s="6" t="s">
        <v>453</v>
      </c>
      <c r="E390" s="45"/>
      <c r="F390" s="6" t="s">
        <v>454</v>
      </c>
      <c r="G390" s="45"/>
      <c r="H390" s="43">
        <v>872</v>
      </c>
      <c r="I390" s="324" t="s">
        <v>44</v>
      </c>
      <c r="J390" s="255" t="str">
        <f>IF(ISBLANK(INDEX('Policy Characteristics'!D:D,MATCH($C390,'Policy Characteristics'!$C:$C,0))),"",INDEX('Policy Characteristics'!D:D,MATCH($C390,'Policy Characteristics'!$C:$C,0)))</f>
        <v>Non BAU Capacity Retirement Schedule</v>
      </c>
      <c r="K390" s="254" t="str">
        <f>IF(ISBLANK(INDEX('Policy Characteristics'!E:E,MATCH($C390,'Policy Characteristics'!$C:$C,0))),"",INDEX('Policy Characteristics'!E:E,MATCH($C390,'Policy Characteristics'!$C:$C,0)))</f>
        <v/>
      </c>
      <c r="L390" s="254">
        <f>IF(ISBLANK(INDEX('Policy Characteristics'!F:F,MATCH($C390,'Policy Characteristics'!$C:$C,0))),"",INDEX('Policy Characteristics'!F:F,MATCH($C390,'Policy Characteristics'!$C:$C,0)))</f>
        <v>0</v>
      </c>
      <c r="M390" s="254">
        <f>IF(ISBLANK(INDEX('Policy Characteristics'!G:G,MATCH($C390,'Policy Characteristics'!$C:$C,0))),"",INDEX('Policy Characteristics'!G:G,MATCH($C390,'Policy Characteristics'!$C:$C,0)))</f>
        <v>1</v>
      </c>
      <c r="N390" s="254">
        <f>IF(ISBLANK(INDEX('Policy Characteristics'!H:H,MATCH($C390,'Policy Characteristics'!$C:$C,0))),"",INDEX('Policy Characteristics'!H:H,MATCH($C390,'Policy Characteristics'!$C:$C,0)))</f>
        <v>1</v>
      </c>
      <c r="O390" s="254" t="str">
        <f>IF(ISBLANK(INDEX('Policy Characteristics'!I:I,MATCH($C390,'Policy Characteristics'!$C:$C,0))),"",INDEX('Policy Characteristics'!I:I,MATCH($C390,'Policy Characteristics'!$C:$C,0)))</f>
        <v>on/off</v>
      </c>
      <c r="P390" s="254" t="str">
        <f>IF(ISBLANK(INDEX('Policy Characteristics'!J:J,MATCH($C390,'Policy Characteristics'!$C:$C,0))),"",INDEX('Policy Characteristics'!J:J,MATCH($C390,'Policy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0" s="254" t="str">
        <f>IF(ISBLANK(INDEX('Policy Characteristics'!K:K,MATCH($C390,'Policy Characteristics'!$C:$C,0))),"",INDEX('Policy Characteristics'!K:K,MATCH($C390,'Policy Characteristics'!$C:$C,0)))</f>
        <v/>
      </c>
      <c r="R390" s="254" t="str">
        <f>IF(ISBLANK(INDEX('Policy Characteristics'!L:L,MATCH($C390,'Policy Characteristics'!$C:$C,0))),"",INDEX('Policy Characteristics'!L:L,MATCH($C390,'Policy Characteristics'!$C:$C,0)))</f>
        <v/>
      </c>
    </row>
    <row r="391" spans="1:18" x14ac:dyDescent="0.3">
      <c r="A391" s="254" t="str">
        <f>IF(ISBLANK(INDEX('Policy Characteristics'!A:A,MATCH($C391,'Policy Characteristics'!$C:$C,0))),"",INDEX('Policy Characteristics'!A:A,MATCH($C391,'Policy Characteristics'!$C:$C,0)))</f>
        <v>Electricity Supply</v>
      </c>
      <c r="B391" s="262" t="str">
        <f>IF(ISBLANK(INDEX('Policy Characteristics'!B:B,MATCH($C391,'Policy Characteristics'!$C:$C,0))),"",INDEX('Policy Characteristics'!B:B,MATCH($C391,'Policy Characteristics'!$C:$C,0)))</f>
        <v>Non BAU Capacity Retirement Schedule</v>
      </c>
      <c r="C391" s="254" t="str">
        <f t="shared" si="23"/>
        <v>Boolean Use Non BAU Capacity Retirement Schedule</v>
      </c>
      <c r="D391" s="6" t="s">
        <v>2748</v>
      </c>
      <c r="E391" s="45"/>
      <c r="F391" s="6" t="s">
        <v>2469</v>
      </c>
      <c r="G391" s="45"/>
      <c r="H391" s="43">
        <v>873</v>
      </c>
      <c r="I391" s="324" t="s">
        <v>44</v>
      </c>
      <c r="J391" s="255" t="str">
        <f>IF(ISBLANK(INDEX('Policy Characteristics'!D:D,MATCH($C391,'Policy Characteristics'!$C:$C,0))),"",INDEX('Policy Characteristics'!D:D,MATCH($C391,'Policy Characteristics'!$C:$C,0)))</f>
        <v>Non BAU Capacity Retirement Schedule</v>
      </c>
      <c r="K391" s="254" t="str">
        <f>IF(ISBLANK(INDEX('Policy Characteristics'!E:E,MATCH($C391,'Policy Characteristics'!$C:$C,0))),"",INDEX('Policy Characteristics'!E:E,MATCH($C391,'Policy Characteristics'!$C:$C,0)))</f>
        <v/>
      </c>
      <c r="L391" s="254">
        <f>IF(ISBLANK(INDEX('Policy Characteristics'!F:F,MATCH($C391,'Policy Characteristics'!$C:$C,0))),"",INDEX('Policy Characteristics'!F:F,MATCH($C391,'Policy Characteristics'!$C:$C,0)))</f>
        <v>0</v>
      </c>
      <c r="M391" s="254">
        <f>IF(ISBLANK(INDEX('Policy Characteristics'!G:G,MATCH($C391,'Policy Characteristics'!$C:$C,0))),"",INDEX('Policy Characteristics'!G:G,MATCH($C391,'Policy Characteristics'!$C:$C,0)))</f>
        <v>1</v>
      </c>
      <c r="N391" s="254">
        <f>IF(ISBLANK(INDEX('Policy Characteristics'!H:H,MATCH($C391,'Policy Characteristics'!$C:$C,0))),"",INDEX('Policy Characteristics'!H:H,MATCH($C391,'Policy Characteristics'!$C:$C,0)))</f>
        <v>1</v>
      </c>
      <c r="O391" s="254" t="str">
        <f>IF(ISBLANK(INDEX('Policy Characteristics'!I:I,MATCH($C391,'Policy Characteristics'!$C:$C,0))),"",INDEX('Policy Characteristics'!I:I,MATCH($C391,'Policy Characteristics'!$C:$C,0)))</f>
        <v>on/off</v>
      </c>
      <c r="P391" s="254" t="str">
        <f>IF(ISBLANK(INDEX('Policy Characteristics'!J:J,MATCH($C391,'Policy Characteristics'!$C:$C,0))),"",INDEX('Policy Characteristics'!J:J,MATCH($C391,'Policy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1" s="254" t="str">
        <f>IF(ISBLANK(INDEX('Policy Characteristics'!K:K,MATCH($C391,'Policy Characteristics'!$C:$C,0))),"",INDEX('Policy Characteristics'!K:K,MATCH($C391,'Policy Characteristics'!$C:$C,0)))</f>
        <v/>
      </c>
      <c r="R391" s="254" t="str">
        <f>IF(ISBLANK(INDEX('Policy Characteristics'!L:L,MATCH($C391,'Policy Characteristics'!$C:$C,0))),"",INDEX('Policy Characteristics'!L:L,MATCH($C391,'Policy Characteristics'!$C:$C,0)))</f>
        <v/>
      </c>
    </row>
    <row r="392" spans="1:18" x14ac:dyDescent="0.3">
      <c r="A392" s="254" t="str">
        <f>IF(ISBLANK(INDEX('Policy Characteristics'!A:A,MATCH($C392,'Policy Characteristics'!$C:$C,0))),"",INDEX('Policy Characteristics'!A:A,MATCH($C392,'Policy Characteristics'!$C:$C,0)))</f>
        <v>Electricity Supply</v>
      </c>
      <c r="B392" s="262" t="str">
        <f>IF(ISBLANK(INDEX('Policy Characteristics'!B:B,MATCH($C392,'Policy Characteristics'!$C:$C,0))),"",INDEX('Policy Characteristics'!B:B,MATCH($C392,'Policy Characteristics'!$C:$C,0)))</f>
        <v>Non BAU Capacity Retirement Schedule</v>
      </c>
      <c r="C392" s="254" t="str">
        <f t="shared" si="23"/>
        <v>Boolean Use Non BAU Capacity Retirement Schedule</v>
      </c>
      <c r="D392" s="6" t="s">
        <v>2749</v>
      </c>
      <c r="E392" s="45"/>
      <c r="F392" s="6" t="s">
        <v>2592</v>
      </c>
      <c r="G392" s="45"/>
      <c r="H392" s="43">
        <v>874</v>
      </c>
      <c r="I392" s="324" t="s">
        <v>44</v>
      </c>
      <c r="J392" s="255" t="str">
        <f>IF(ISBLANK(INDEX('Policy Characteristics'!D:D,MATCH($C392,'Policy Characteristics'!$C:$C,0))),"",INDEX('Policy Characteristics'!D:D,MATCH($C392,'Policy Characteristics'!$C:$C,0)))</f>
        <v>Non BAU Capacity Retirement Schedule</v>
      </c>
      <c r="K392" s="254" t="str">
        <f>IF(ISBLANK(INDEX('Policy Characteristics'!E:E,MATCH($C392,'Policy Characteristics'!$C:$C,0))),"",INDEX('Policy Characteristics'!E:E,MATCH($C392,'Policy Characteristics'!$C:$C,0)))</f>
        <v/>
      </c>
      <c r="L392" s="254">
        <f>IF(ISBLANK(INDEX('Policy Characteristics'!F:F,MATCH($C392,'Policy Characteristics'!$C:$C,0))),"",INDEX('Policy Characteristics'!F:F,MATCH($C392,'Policy Characteristics'!$C:$C,0)))</f>
        <v>0</v>
      </c>
      <c r="M392" s="254">
        <f>IF(ISBLANK(INDEX('Policy Characteristics'!G:G,MATCH($C392,'Policy Characteristics'!$C:$C,0))),"",INDEX('Policy Characteristics'!G:G,MATCH($C392,'Policy Characteristics'!$C:$C,0)))</f>
        <v>1</v>
      </c>
      <c r="N392" s="254">
        <f>IF(ISBLANK(INDEX('Policy Characteristics'!H:H,MATCH($C392,'Policy Characteristics'!$C:$C,0))),"",INDEX('Policy Characteristics'!H:H,MATCH($C392,'Policy Characteristics'!$C:$C,0)))</f>
        <v>1</v>
      </c>
      <c r="O392" s="254" t="str">
        <f>IF(ISBLANK(INDEX('Policy Characteristics'!I:I,MATCH($C392,'Policy Characteristics'!$C:$C,0))),"",INDEX('Policy Characteristics'!I:I,MATCH($C392,'Policy Characteristics'!$C:$C,0)))</f>
        <v>on/off</v>
      </c>
      <c r="P392" s="254" t="str">
        <f>IF(ISBLANK(INDEX('Policy Characteristics'!J:J,MATCH($C392,'Policy Characteristics'!$C:$C,0))),"",INDEX('Policy Characteristics'!J:J,MATCH($C392,'Policy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2" s="254" t="str">
        <f>IF(ISBLANK(INDEX('Policy Characteristics'!K:K,MATCH($C392,'Policy Characteristics'!$C:$C,0))),"",INDEX('Policy Characteristics'!K:K,MATCH($C392,'Policy Characteristics'!$C:$C,0)))</f>
        <v/>
      </c>
      <c r="R392" s="254" t="str">
        <f>IF(ISBLANK(INDEX('Policy Characteristics'!L:L,MATCH($C392,'Policy Characteristics'!$C:$C,0))),"",INDEX('Policy Characteristics'!L:L,MATCH($C392,'Policy Characteristics'!$C:$C,0)))</f>
        <v/>
      </c>
    </row>
    <row r="393" spans="1:18" x14ac:dyDescent="0.3">
      <c r="A393" s="254" t="str">
        <f>IF(ISBLANK(INDEX('Policy Characteristics'!A:A,MATCH($C393,'Policy Characteristics'!$C:$C,0))),"",INDEX('Policy Characteristics'!A:A,MATCH($C393,'Policy Characteristics'!$C:$C,0)))</f>
        <v>Electricity Supply</v>
      </c>
      <c r="B393" s="262" t="str">
        <f>IF(ISBLANK(INDEX('Policy Characteristics'!B:B,MATCH($C393,'Policy Characteristics'!$C:$C,0))),"",INDEX('Policy Characteristics'!B:B,MATCH($C393,'Policy Characteristics'!$C:$C,0)))</f>
        <v>Non BAU Capacity Retirement Schedule</v>
      </c>
      <c r="C393" s="254" t="str">
        <f t="shared" si="23"/>
        <v>Boolean Use Non BAU Capacity Retirement Schedule</v>
      </c>
      <c r="D393" s="6" t="s">
        <v>2750</v>
      </c>
      <c r="E393" s="45"/>
      <c r="F393" s="6" t="s">
        <v>2471</v>
      </c>
      <c r="G393" s="45"/>
      <c r="H393" s="43">
        <v>875</v>
      </c>
      <c r="I393" s="324" t="s">
        <v>44</v>
      </c>
      <c r="J393" s="255" t="str">
        <f>IF(ISBLANK(INDEX('Policy Characteristics'!D:D,MATCH($C393,'Policy Characteristics'!$C:$C,0))),"",INDEX('Policy Characteristics'!D:D,MATCH($C393,'Policy Characteristics'!$C:$C,0)))</f>
        <v>Non BAU Capacity Retirement Schedule</v>
      </c>
      <c r="K393" s="254" t="str">
        <f>IF(ISBLANK(INDEX('Policy Characteristics'!E:E,MATCH($C393,'Policy Characteristics'!$C:$C,0))),"",INDEX('Policy Characteristics'!E:E,MATCH($C393,'Policy Characteristics'!$C:$C,0)))</f>
        <v/>
      </c>
      <c r="L393" s="254">
        <f>IF(ISBLANK(INDEX('Policy Characteristics'!F:F,MATCH($C393,'Policy Characteristics'!$C:$C,0))),"",INDEX('Policy Characteristics'!F:F,MATCH($C393,'Policy Characteristics'!$C:$C,0)))</f>
        <v>0</v>
      </c>
      <c r="M393" s="254">
        <f>IF(ISBLANK(INDEX('Policy Characteristics'!G:G,MATCH($C393,'Policy Characteristics'!$C:$C,0))),"",INDEX('Policy Characteristics'!G:G,MATCH($C393,'Policy Characteristics'!$C:$C,0)))</f>
        <v>1</v>
      </c>
      <c r="N393" s="254">
        <f>IF(ISBLANK(INDEX('Policy Characteristics'!H:H,MATCH($C393,'Policy Characteristics'!$C:$C,0))),"",INDEX('Policy Characteristics'!H:H,MATCH($C393,'Policy Characteristics'!$C:$C,0)))</f>
        <v>1</v>
      </c>
      <c r="O393" s="254" t="str">
        <f>IF(ISBLANK(INDEX('Policy Characteristics'!I:I,MATCH($C393,'Policy Characteristics'!$C:$C,0))),"",INDEX('Policy Characteristics'!I:I,MATCH($C393,'Policy Characteristics'!$C:$C,0)))</f>
        <v>on/off</v>
      </c>
      <c r="P393" s="254" t="str">
        <f>IF(ISBLANK(INDEX('Policy Characteristics'!J:J,MATCH($C393,'Policy Characteristics'!$C:$C,0))),"",INDEX('Policy Characteristics'!J:J,MATCH($C393,'Policy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3" s="254" t="str">
        <f>IF(ISBLANK(INDEX('Policy Characteristics'!K:K,MATCH($C393,'Policy Characteristics'!$C:$C,0))),"",INDEX('Policy Characteristics'!K:K,MATCH($C393,'Policy Characteristics'!$C:$C,0)))</f>
        <v/>
      </c>
      <c r="R393" s="254" t="str">
        <f>IF(ISBLANK(INDEX('Policy Characteristics'!L:L,MATCH($C393,'Policy Characteristics'!$C:$C,0))),"",INDEX('Policy Characteristics'!L:L,MATCH($C393,'Policy Characteristics'!$C:$C,0)))</f>
        <v/>
      </c>
    </row>
    <row r="394" spans="1:18" x14ac:dyDescent="0.3">
      <c r="A394" s="254" t="str">
        <f>IF(ISBLANK(INDEX('Policy Characteristics'!A:A,MATCH($C394,'Policy Characteristics'!$C:$C,0))),"",INDEX('Policy Characteristics'!A:A,MATCH($C394,'Policy Characteristics'!$C:$C,0)))</f>
        <v>Electricity Supply</v>
      </c>
      <c r="B394" s="262" t="str">
        <f>IF(ISBLANK(INDEX('Policy Characteristics'!B:B,MATCH($C394,'Policy Characteristics'!$C:$C,0))),"",INDEX('Policy Characteristics'!B:B,MATCH($C394,'Policy Characteristics'!$C:$C,0)))</f>
        <v>Non BAU Capacity Retirement Schedule</v>
      </c>
      <c r="C394" s="254" t="str">
        <f t="shared" si="23"/>
        <v>Boolean Use Non BAU Capacity Retirement Schedule</v>
      </c>
      <c r="D394" s="6" t="s">
        <v>3487</v>
      </c>
      <c r="E394" s="45"/>
      <c r="F394" s="6" t="s">
        <v>3494</v>
      </c>
      <c r="G394" s="45"/>
      <c r="H394" s="43">
        <v>1768</v>
      </c>
      <c r="I394" s="324" t="s">
        <v>44</v>
      </c>
      <c r="J394" s="255" t="str">
        <f>IF(ISBLANK(INDEX('Policy Characteristics'!D:D,MATCH($C394,'Policy Characteristics'!$C:$C,0))),"",INDEX('Policy Characteristics'!D:D,MATCH($C394,'Policy Characteristics'!$C:$C,0)))</f>
        <v>Non BAU Capacity Retirement Schedule</v>
      </c>
      <c r="K394" s="254" t="str">
        <f>IF(ISBLANK(INDEX('Policy Characteristics'!E:E,MATCH($C394,'Policy Characteristics'!$C:$C,0))),"",INDEX('Policy Characteristics'!E:E,MATCH($C394,'Policy Characteristics'!$C:$C,0)))</f>
        <v/>
      </c>
      <c r="L394" s="254">
        <f>IF(ISBLANK(INDEX('Policy Characteristics'!F:F,MATCH($C394,'Policy Characteristics'!$C:$C,0))),"",INDEX('Policy Characteristics'!F:F,MATCH($C394,'Policy Characteristics'!$C:$C,0)))</f>
        <v>0</v>
      </c>
      <c r="M394" s="254">
        <f>IF(ISBLANK(INDEX('Policy Characteristics'!G:G,MATCH($C394,'Policy Characteristics'!$C:$C,0))),"",INDEX('Policy Characteristics'!G:G,MATCH($C394,'Policy Characteristics'!$C:$C,0)))</f>
        <v>1</v>
      </c>
      <c r="N394" s="254">
        <f>IF(ISBLANK(INDEX('Policy Characteristics'!H:H,MATCH($C394,'Policy Characteristics'!$C:$C,0))),"",INDEX('Policy Characteristics'!H:H,MATCH($C394,'Policy Characteristics'!$C:$C,0)))</f>
        <v>1</v>
      </c>
      <c r="O394" s="254" t="str">
        <f>IF(ISBLANK(INDEX('Policy Characteristics'!I:I,MATCH($C394,'Policy Characteristics'!$C:$C,0))),"",INDEX('Policy Characteristics'!I:I,MATCH($C394,'Policy Characteristics'!$C:$C,0)))</f>
        <v>on/off</v>
      </c>
      <c r="P394" s="254" t="str">
        <f>IF(ISBLANK(INDEX('Policy Characteristics'!J:J,MATCH($C394,'Policy Characteristics'!$C:$C,0))),"",INDEX('Policy Characteristics'!J:J,MATCH($C394,'Policy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4" s="254" t="str">
        <f>IF(ISBLANK(INDEX('Policy Characteristics'!K:K,MATCH($C394,'Policy Characteristics'!$C:$C,0))),"",INDEX('Policy Characteristics'!K:K,MATCH($C394,'Policy Characteristics'!$C:$C,0)))</f>
        <v/>
      </c>
      <c r="R394" s="254" t="str">
        <f>IF(ISBLANK(INDEX('Policy Characteristics'!L:L,MATCH($C394,'Policy Characteristics'!$C:$C,0))),"",INDEX('Policy Characteristics'!L:L,MATCH($C394,'Policy Characteristics'!$C:$C,0)))</f>
        <v/>
      </c>
    </row>
    <row r="395" spans="1:18" x14ac:dyDescent="0.3">
      <c r="A395" s="254" t="str">
        <f>IF(ISBLANK(INDEX('Policy Characteristics'!A:A,MATCH($C395,'Policy Characteristics'!$C:$C,0))),"",INDEX('Policy Characteristics'!A:A,MATCH($C395,'Policy Characteristics'!$C:$C,0)))</f>
        <v>Electricity Supply</v>
      </c>
      <c r="B395" s="262" t="str">
        <f>IF(ISBLANK(INDEX('Policy Characteristics'!B:B,MATCH($C395,'Policy Characteristics'!$C:$C,0))),"",INDEX('Policy Characteristics'!B:B,MATCH($C395,'Policy Characteristics'!$C:$C,0)))</f>
        <v>Non BAU Capacity Retirement Schedule</v>
      </c>
      <c r="C395" s="254" t="str">
        <f t="shared" si="23"/>
        <v>Boolean Use Non BAU Capacity Retirement Schedule</v>
      </c>
      <c r="D395" s="6" t="s">
        <v>3490</v>
      </c>
      <c r="E395" s="45"/>
      <c r="F395" s="6" t="s">
        <v>3495</v>
      </c>
      <c r="G395" s="45"/>
      <c r="H395" s="43">
        <v>1769</v>
      </c>
      <c r="I395" s="324" t="s">
        <v>44</v>
      </c>
      <c r="J395" s="255" t="str">
        <f>IF(ISBLANK(INDEX('Policy Characteristics'!D:D,MATCH($C395,'Policy Characteristics'!$C:$C,0))),"",INDEX('Policy Characteristics'!D:D,MATCH($C395,'Policy Characteristics'!$C:$C,0)))</f>
        <v>Non BAU Capacity Retirement Schedule</v>
      </c>
      <c r="K395" s="254" t="str">
        <f>IF(ISBLANK(INDEX('Policy Characteristics'!E:E,MATCH($C395,'Policy Characteristics'!$C:$C,0))),"",INDEX('Policy Characteristics'!E:E,MATCH($C395,'Policy Characteristics'!$C:$C,0)))</f>
        <v/>
      </c>
      <c r="L395" s="254">
        <f>IF(ISBLANK(INDEX('Policy Characteristics'!F:F,MATCH($C395,'Policy Characteristics'!$C:$C,0))),"",INDEX('Policy Characteristics'!F:F,MATCH($C395,'Policy Characteristics'!$C:$C,0)))</f>
        <v>0</v>
      </c>
      <c r="M395" s="254">
        <f>IF(ISBLANK(INDEX('Policy Characteristics'!G:G,MATCH($C395,'Policy Characteristics'!$C:$C,0))),"",INDEX('Policy Characteristics'!G:G,MATCH($C395,'Policy Characteristics'!$C:$C,0)))</f>
        <v>1</v>
      </c>
      <c r="N395" s="254">
        <f>IF(ISBLANK(INDEX('Policy Characteristics'!H:H,MATCH($C395,'Policy Characteristics'!$C:$C,0))),"",INDEX('Policy Characteristics'!H:H,MATCH($C395,'Policy Characteristics'!$C:$C,0)))</f>
        <v>1</v>
      </c>
      <c r="O395" s="254" t="str">
        <f>IF(ISBLANK(INDEX('Policy Characteristics'!I:I,MATCH($C395,'Policy Characteristics'!$C:$C,0))),"",INDEX('Policy Characteristics'!I:I,MATCH($C395,'Policy Characteristics'!$C:$C,0)))</f>
        <v>on/off</v>
      </c>
      <c r="P395" s="254" t="str">
        <f>IF(ISBLANK(INDEX('Policy Characteristics'!J:J,MATCH($C395,'Policy Characteristics'!$C:$C,0))),"",INDEX('Policy Characteristics'!J:J,MATCH($C395,'Policy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5" s="254" t="str">
        <f>IF(ISBLANK(INDEX('Policy Characteristics'!K:K,MATCH($C395,'Policy Characteristics'!$C:$C,0))),"",INDEX('Policy Characteristics'!K:K,MATCH($C395,'Policy Characteristics'!$C:$C,0)))</f>
        <v/>
      </c>
      <c r="R395" s="254" t="str">
        <f>IF(ISBLANK(INDEX('Policy Characteristics'!L:L,MATCH($C395,'Policy Characteristics'!$C:$C,0))),"",INDEX('Policy Characteristics'!L:L,MATCH($C395,'Policy Characteristics'!$C:$C,0)))</f>
        <v/>
      </c>
    </row>
    <row r="396" spans="1:18" x14ac:dyDescent="0.3">
      <c r="A396" s="254" t="str">
        <f>IF(ISBLANK(INDEX('Policy Characteristics'!A:A,MATCH($C396,'Policy Characteristics'!$C:$C,0))),"",INDEX('Policy Characteristics'!A:A,MATCH($C396,'Policy Characteristics'!$C:$C,0)))</f>
        <v>Electricity Supply</v>
      </c>
      <c r="B396" s="262" t="str">
        <f>IF(ISBLANK(INDEX('Policy Characteristics'!B:B,MATCH($C396,'Policy Characteristics'!$C:$C,0))),"",INDEX('Policy Characteristics'!B:B,MATCH($C396,'Policy Characteristics'!$C:$C,0)))</f>
        <v>Non BAU Capacity Retirement Schedule</v>
      </c>
      <c r="C396" s="254" t="str">
        <f t="shared" si="23"/>
        <v>Boolean Use Non BAU Capacity Retirement Schedule</v>
      </c>
      <c r="D396" s="6" t="s">
        <v>3491</v>
      </c>
      <c r="E396" s="45"/>
      <c r="F396" s="6" t="s">
        <v>3496</v>
      </c>
      <c r="G396" s="45"/>
      <c r="H396" s="43">
        <v>1770</v>
      </c>
      <c r="I396" s="324" t="s">
        <v>44</v>
      </c>
      <c r="J396" s="255" t="str">
        <f>IF(ISBLANK(INDEX('Policy Characteristics'!D:D,MATCH($C396,'Policy Characteristics'!$C:$C,0))),"",INDEX('Policy Characteristics'!D:D,MATCH($C396,'Policy Characteristics'!$C:$C,0)))</f>
        <v>Non BAU Capacity Retirement Schedule</v>
      </c>
      <c r="K396" s="254" t="str">
        <f>IF(ISBLANK(INDEX('Policy Characteristics'!E:E,MATCH($C396,'Policy Characteristics'!$C:$C,0))),"",INDEX('Policy Characteristics'!E:E,MATCH($C396,'Policy Characteristics'!$C:$C,0)))</f>
        <v/>
      </c>
      <c r="L396" s="254">
        <f>IF(ISBLANK(INDEX('Policy Characteristics'!F:F,MATCH($C396,'Policy Characteristics'!$C:$C,0))),"",INDEX('Policy Characteristics'!F:F,MATCH($C396,'Policy Characteristics'!$C:$C,0)))</f>
        <v>0</v>
      </c>
      <c r="M396" s="254">
        <f>IF(ISBLANK(INDEX('Policy Characteristics'!G:G,MATCH($C396,'Policy Characteristics'!$C:$C,0))),"",INDEX('Policy Characteristics'!G:G,MATCH($C396,'Policy Characteristics'!$C:$C,0)))</f>
        <v>1</v>
      </c>
      <c r="N396" s="254">
        <f>IF(ISBLANK(INDEX('Policy Characteristics'!H:H,MATCH($C396,'Policy Characteristics'!$C:$C,0))),"",INDEX('Policy Characteristics'!H:H,MATCH($C396,'Policy Characteristics'!$C:$C,0)))</f>
        <v>1</v>
      </c>
      <c r="O396" s="254" t="str">
        <f>IF(ISBLANK(INDEX('Policy Characteristics'!I:I,MATCH($C396,'Policy Characteristics'!$C:$C,0))),"",INDEX('Policy Characteristics'!I:I,MATCH($C396,'Policy Characteristics'!$C:$C,0)))</f>
        <v>on/off</v>
      </c>
      <c r="P396" s="254" t="str">
        <f>IF(ISBLANK(INDEX('Policy Characteristics'!J:J,MATCH($C396,'Policy Characteristics'!$C:$C,0))),"",INDEX('Policy Characteristics'!J:J,MATCH($C396,'Policy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6" s="254" t="str">
        <f>IF(ISBLANK(INDEX('Policy Characteristics'!K:K,MATCH($C396,'Policy Characteristics'!$C:$C,0))),"",INDEX('Policy Characteristics'!K:K,MATCH($C396,'Policy Characteristics'!$C:$C,0)))</f>
        <v/>
      </c>
      <c r="R396" s="254" t="str">
        <f>IF(ISBLANK(INDEX('Policy Characteristics'!L:L,MATCH($C396,'Policy Characteristics'!$C:$C,0))),"",INDEX('Policy Characteristics'!L:L,MATCH($C396,'Policy Characteristics'!$C:$C,0)))</f>
        <v/>
      </c>
    </row>
    <row r="397" spans="1:18" x14ac:dyDescent="0.3">
      <c r="A397" s="254" t="str">
        <f>IF(ISBLANK(INDEX('Policy Characteristics'!A:A,MATCH($C397,'Policy Characteristics'!$C:$C,0))),"",INDEX('Policy Characteristics'!A:A,MATCH($C397,'Policy Characteristics'!$C:$C,0)))</f>
        <v>Electricity Supply</v>
      </c>
      <c r="B397" s="262" t="str">
        <f>IF(ISBLANK(INDEX('Policy Characteristics'!B:B,MATCH($C397,'Policy Characteristics'!$C:$C,0))),"",INDEX('Policy Characteristics'!B:B,MATCH($C397,'Policy Characteristics'!$C:$C,0)))</f>
        <v>Non BAU Capacity Retirement Schedule</v>
      </c>
      <c r="C397" s="254" t="str">
        <f t="shared" si="23"/>
        <v>Boolean Use Non BAU Capacity Retirement Schedule</v>
      </c>
      <c r="D397" s="6" t="s">
        <v>3492</v>
      </c>
      <c r="E397" s="45"/>
      <c r="F397" s="6" t="s">
        <v>3497</v>
      </c>
      <c r="G397" s="45"/>
      <c r="H397" s="43">
        <v>1771</v>
      </c>
      <c r="I397" s="324" t="s">
        <v>44</v>
      </c>
      <c r="J397" s="255" t="str">
        <f>IF(ISBLANK(INDEX('Policy Characteristics'!D:D,MATCH($C397,'Policy Characteristics'!$C:$C,0))),"",INDEX('Policy Characteristics'!D:D,MATCH($C397,'Policy Characteristics'!$C:$C,0)))</f>
        <v>Non BAU Capacity Retirement Schedule</v>
      </c>
      <c r="K397" s="254" t="str">
        <f>IF(ISBLANK(INDEX('Policy Characteristics'!E:E,MATCH($C397,'Policy Characteristics'!$C:$C,0))),"",INDEX('Policy Characteristics'!E:E,MATCH($C397,'Policy Characteristics'!$C:$C,0)))</f>
        <v/>
      </c>
      <c r="L397" s="254">
        <f>IF(ISBLANK(INDEX('Policy Characteristics'!F:F,MATCH($C397,'Policy Characteristics'!$C:$C,0))),"",INDEX('Policy Characteristics'!F:F,MATCH($C397,'Policy Characteristics'!$C:$C,0)))</f>
        <v>0</v>
      </c>
      <c r="M397" s="254">
        <f>IF(ISBLANK(INDEX('Policy Characteristics'!G:G,MATCH($C397,'Policy Characteristics'!$C:$C,0))),"",INDEX('Policy Characteristics'!G:G,MATCH($C397,'Policy Characteristics'!$C:$C,0)))</f>
        <v>1</v>
      </c>
      <c r="N397" s="254">
        <f>IF(ISBLANK(INDEX('Policy Characteristics'!H:H,MATCH($C397,'Policy Characteristics'!$C:$C,0))),"",INDEX('Policy Characteristics'!H:H,MATCH($C397,'Policy Characteristics'!$C:$C,0)))</f>
        <v>1</v>
      </c>
      <c r="O397" s="254" t="str">
        <f>IF(ISBLANK(INDEX('Policy Characteristics'!I:I,MATCH($C397,'Policy Characteristics'!$C:$C,0))),"",INDEX('Policy Characteristics'!I:I,MATCH($C397,'Policy Characteristics'!$C:$C,0)))</f>
        <v>on/off</v>
      </c>
      <c r="P397" s="254" t="str">
        <f>IF(ISBLANK(INDEX('Policy Characteristics'!J:J,MATCH($C397,'Policy Characteristics'!$C:$C,0))),"",INDEX('Policy Characteristics'!J:J,MATCH($C397,'Policy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7" s="254" t="str">
        <f>IF(ISBLANK(INDEX('Policy Characteristics'!K:K,MATCH($C397,'Policy Characteristics'!$C:$C,0))),"",INDEX('Policy Characteristics'!K:K,MATCH($C397,'Policy Characteristics'!$C:$C,0)))</f>
        <v/>
      </c>
      <c r="R397" s="254" t="str">
        <f>IF(ISBLANK(INDEX('Policy Characteristics'!L:L,MATCH($C397,'Policy Characteristics'!$C:$C,0))),"",INDEX('Policy Characteristics'!L:L,MATCH($C397,'Policy Characteristics'!$C:$C,0)))</f>
        <v/>
      </c>
    </row>
    <row r="398" spans="1:18" x14ac:dyDescent="0.3">
      <c r="A398" s="254" t="str">
        <f>IF(ISBLANK(INDEX('Policy Characteristics'!A:A,MATCH($C398,'Policy Characteristics'!$C:$C,0))),"",INDEX('Policy Characteristics'!A:A,MATCH($C398,'Policy Characteristics'!$C:$C,0)))</f>
        <v>Electricity Supply</v>
      </c>
      <c r="B398" s="262" t="str">
        <f>IF(ISBLANK(INDEX('Policy Characteristics'!B:B,MATCH($C398,'Policy Characteristics'!$C:$C,0))),"",INDEX('Policy Characteristics'!B:B,MATCH($C398,'Policy Characteristics'!$C:$C,0)))</f>
        <v>Non BAU Capacity Retirement Schedule</v>
      </c>
      <c r="C398" s="254" t="str">
        <f t="shared" si="23"/>
        <v>Boolean Use Non BAU Capacity Retirement Schedule</v>
      </c>
      <c r="D398" s="6" t="s">
        <v>3493</v>
      </c>
      <c r="E398" s="45"/>
      <c r="F398" s="6" t="s">
        <v>3498</v>
      </c>
      <c r="G398" s="45"/>
      <c r="H398" s="43">
        <v>1772</v>
      </c>
      <c r="I398" s="324" t="s">
        <v>44</v>
      </c>
      <c r="J398" s="255" t="str">
        <f>IF(ISBLANK(INDEX('Policy Characteristics'!D:D,MATCH($C398,'Policy Characteristics'!$C:$C,0))),"",INDEX('Policy Characteristics'!D:D,MATCH($C398,'Policy Characteristics'!$C:$C,0)))</f>
        <v>Non BAU Capacity Retirement Schedule</v>
      </c>
      <c r="K398" s="254" t="str">
        <f>IF(ISBLANK(INDEX('Policy Characteristics'!E:E,MATCH($C398,'Policy Characteristics'!$C:$C,0))),"",INDEX('Policy Characteristics'!E:E,MATCH($C398,'Policy Characteristics'!$C:$C,0)))</f>
        <v/>
      </c>
      <c r="L398" s="254">
        <f>IF(ISBLANK(INDEX('Policy Characteristics'!F:F,MATCH($C398,'Policy Characteristics'!$C:$C,0))),"",INDEX('Policy Characteristics'!F:F,MATCH($C398,'Policy Characteristics'!$C:$C,0)))</f>
        <v>0</v>
      </c>
      <c r="M398" s="254">
        <f>IF(ISBLANK(INDEX('Policy Characteristics'!G:G,MATCH($C398,'Policy Characteristics'!$C:$C,0))),"",INDEX('Policy Characteristics'!G:G,MATCH($C398,'Policy Characteristics'!$C:$C,0)))</f>
        <v>1</v>
      </c>
      <c r="N398" s="254">
        <f>IF(ISBLANK(INDEX('Policy Characteristics'!H:H,MATCH($C398,'Policy Characteristics'!$C:$C,0))),"",INDEX('Policy Characteristics'!H:H,MATCH($C398,'Policy Characteristics'!$C:$C,0)))</f>
        <v>1</v>
      </c>
      <c r="O398" s="254" t="str">
        <f>IF(ISBLANK(INDEX('Policy Characteristics'!I:I,MATCH($C398,'Policy Characteristics'!$C:$C,0))),"",INDEX('Policy Characteristics'!I:I,MATCH($C398,'Policy Characteristics'!$C:$C,0)))</f>
        <v>on/off</v>
      </c>
      <c r="P398" s="254" t="str">
        <f>IF(ISBLANK(INDEX('Policy Characteristics'!J:J,MATCH($C398,'Policy Characteristics'!$C:$C,0))),"",INDEX('Policy Characteristics'!J:J,MATCH($C398,'Policy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8" s="254" t="str">
        <f>IF(ISBLANK(INDEX('Policy Characteristics'!K:K,MATCH($C398,'Policy Characteristics'!$C:$C,0))),"",INDEX('Policy Characteristics'!K:K,MATCH($C398,'Policy Characteristics'!$C:$C,0)))</f>
        <v/>
      </c>
      <c r="R398" s="254" t="str">
        <f>IF(ISBLANK(INDEX('Policy Characteristics'!L:L,MATCH($C398,'Policy Characteristics'!$C:$C,0))),"",INDEX('Policy Characteristics'!L:L,MATCH($C398,'Policy Characteristics'!$C:$C,0)))</f>
        <v/>
      </c>
    </row>
    <row r="399" spans="1:18" x14ac:dyDescent="0.3">
      <c r="A399" s="254" t="str">
        <f>IF(ISBLANK(INDEX('Policy Characteristics'!A:A,MATCH($C399,'Policy Characteristics'!$C:$C,0))),"",INDEX('Policy Characteristics'!A:A,MATCH($C399,'Policy Characteristics'!$C:$C,0)))</f>
        <v>Electricity Supply</v>
      </c>
      <c r="B399" s="262" t="str">
        <f>IF(ISBLANK(INDEX('Policy Characteristics'!B:B,MATCH($C399,'Policy Characteristics'!$C:$C,0))),"",INDEX('Policy Characteristics'!B:B,MATCH($C399,'Policy Characteristics'!$C:$C,0)))</f>
        <v>Non BAU Capacity Retirement Schedule</v>
      </c>
      <c r="C399" s="254" t="str">
        <f t="shared" si="23"/>
        <v>Boolean Use Non BAU Capacity Retirement Schedule</v>
      </c>
      <c r="D399" s="6" t="s">
        <v>3582</v>
      </c>
      <c r="E399" s="45"/>
      <c r="F399" s="6" t="s">
        <v>3580</v>
      </c>
      <c r="G399" s="45"/>
      <c r="H399" s="43">
        <v>1773</v>
      </c>
      <c r="I399" s="324" t="s">
        <v>44</v>
      </c>
      <c r="J399" s="255" t="str">
        <f>IF(ISBLANK(INDEX('Policy Characteristics'!D:D,MATCH($C399,'Policy Characteristics'!$C:$C,0))),"",INDEX('Policy Characteristics'!D:D,MATCH($C399,'Policy Characteristics'!$C:$C,0)))</f>
        <v>Non BAU Capacity Retirement Schedule</v>
      </c>
      <c r="K399" s="254" t="str">
        <f>IF(ISBLANK(INDEX('Policy Characteristics'!E:E,MATCH($C399,'Policy Characteristics'!$C:$C,0))),"",INDEX('Policy Characteristics'!E:E,MATCH($C399,'Policy Characteristics'!$C:$C,0)))</f>
        <v/>
      </c>
      <c r="L399" s="254">
        <f>IF(ISBLANK(INDEX('Policy Characteristics'!F:F,MATCH($C399,'Policy Characteristics'!$C:$C,0))),"",INDEX('Policy Characteristics'!F:F,MATCH($C399,'Policy Characteristics'!$C:$C,0)))</f>
        <v>0</v>
      </c>
      <c r="M399" s="254">
        <f>IF(ISBLANK(INDEX('Policy Characteristics'!G:G,MATCH($C399,'Policy Characteristics'!$C:$C,0))),"",INDEX('Policy Characteristics'!G:G,MATCH($C399,'Policy Characteristics'!$C:$C,0)))</f>
        <v>1</v>
      </c>
      <c r="N399" s="254">
        <f>IF(ISBLANK(INDEX('Policy Characteristics'!H:H,MATCH($C399,'Policy Characteristics'!$C:$C,0))),"",INDEX('Policy Characteristics'!H:H,MATCH($C399,'Policy Characteristics'!$C:$C,0)))</f>
        <v>1</v>
      </c>
      <c r="O399" s="254" t="str">
        <f>IF(ISBLANK(INDEX('Policy Characteristics'!I:I,MATCH($C399,'Policy Characteristics'!$C:$C,0))),"",INDEX('Policy Characteristics'!I:I,MATCH($C399,'Policy Characteristics'!$C:$C,0)))</f>
        <v>on/off</v>
      </c>
      <c r="P399" s="254" t="str">
        <f>IF(ISBLANK(INDEX('Policy Characteristics'!J:J,MATCH($C399,'Policy Characteristics'!$C:$C,0))),"",INDEX('Policy Characteristics'!J:J,MATCH($C399,'Policy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399" s="254" t="str">
        <f>IF(ISBLANK(INDEX('Policy Characteristics'!K:K,MATCH($C399,'Policy Characteristics'!$C:$C,0))),"",INDEX('Policy Characteristics'!K:K,MATCH($C399,'Policy Characteristics'!$C:$C,0)))</f>
        <v/>
      </c>
      <c r="R399" s="254" t="str">
        <f>IF(ISBLANK(INDEX('Policy Characteristics'!L:L,MATCH($C399,'Policy Characteristics'!$C:$C,0))),"",INDEX('Policy Characteristics'!L:L,MATCH($C399,'Policy Characteristics'!$C:$C,0)))</f>
        <v/>
      </c>
    </row>
    <row r="400" spans="1:18" x14ac:dyDescent="0.3">
      <c r="A400" s="254" t="str">
        <f>IF(ISBLANK(INDEX('Policy Characteristics'!A:A,MATCH($C400,'Policy Characteristics'!$C:$C,0))),"",INDEX('Policy Characteristics'!A:A,MATCH($C400,'Policy Characteristics'!$C:$C,0)))</f>
        <v>Electricity Supply</v>
      </c>
      <c r="B400" s="262" t="str">
        <f>IF(ISBLANK(INDEX('Policy Characteristics'!B:B,MATCH($C400,'Policy Characteristics'!$C:$C,0))),"",INDEX('Policy Characteristics'!B:B,MATCH($C400,'Policy Characteristics'!$C:$C,0)))</f>
        <v>Non BAU Capacity Retirement Schedule</v>
      </c>
      <c r="C400" s="254" t="str">
        <f t="shared" si="23"/>
        <v>Boolean Use Non BAU Capacity Retirement Schedule</v>
      </c>
      <c r="D400" s="6" t="s">
        <v>3583</v>
      </c>
      <c r="E400" s="45"/>
      <c r="F400" s="6" t="s">
        <v>3581</v>
      </c>
      <c r="G400" s="45"/>
      <c r="H400" s="43">
        <v>2240</v>
      </c>
      <c r="I400" s="324" t="s">
        <v>44</v>
      </c>
      <c r="J400" s="255" t="str">
        <f>IF(ISBLANK(INDEX('Policy Characteristics'!D:D,MATCH($C400,'Policy Characteristics'!$C:$C,0))),"",INDEX('Policy Characteristics'!D:D,MATCH($C400,'Policy Characteristics'!$C:$C,0)))</f>
        <v>Non BAU Capacity Retirement Schedule</v>
      </c>
      <c r="K400" s="254" t="str">
        <f>IF(ISBLANK(INDEX('Policy Characteristics'!E:E,MATCH($C400,'Policy Characteristics'!$C:$C,0))),"",INDEX('Policy Characteristics'!E:E,MATCH($C400,'Policy Characteristics'!$C:$C,0)))</f>
        <v/>
      </c>
      <c r="L400" s="254">
        <f>IF(ISBLANK(INDEX('Policy Characteristics'!F:F,MATCH($C400,'Policy Characteristics'!$C:$C,0))),"",INDEX('Policy Characteristics'!F:F,MATCH($C400,'Policy Characteristics'!$C:$C,0)))</f>
        <v>0</v>
      </c>
      <c r="M400" s="254">
        <f>IF(ISBLANK(INDEX('Policy Characteristics'!G:G,MATCH($C400,'Policy Characteristics'!$C:$C,0))),"",INDEX('Policy Characteristics'!G:G,MATCH($C400,'Policy Characteristics'!$C:$C,0)))</f>
        <v>1</v>
      </c>
      <c r="N400" s="254">
        <f>IF(ISBLANK(INDEX('Policy Characteristics'!H:H,MATCH($C400,'Policy Characteristics'!$C:$C,0))),"",INDEX('Policy Characteristics'!H:H,MATCH($C400,'Policy Characteristics'!$C:$C,0)))</f>
        <v>1</v>
      </c>
      <c r="O400" s="254" t="str">
        <f>IF(ISBLANK(INDEX('Policy Characteristics'!I:I,MATCH($C400,'Policy Characteristics'!$C:$C,0))),"",INDEX('Policy Characteristics'!I:I,MATCH($C400,'Policy Characteristics'!$C:$C,0)))</f>
        <v>on/off</v>
      </c>
      <c r="P400" s="254" t="str">
        <f>IF(ISBLANK(INDEX('Policy Characteristics'!J:J,MATCH($C400,'Policy Characteristics'!$C:$C,0))),"",INDEX('Policy Characteristics'!J:J,MATCH($C400,'Policy Characteristics'!$C:$C,0)))</f>
        <v>**Description:** This policy uses an alternative retirement schedule for existing capacity of the selected type(s). // **Guidance for setting values:** The BAU scenario uses retirements from the Energy Information Administration's Annual Energy Outlook (AEO), which includes some economic retirements. Toggling this policy on will only retire announced, planned retirements and exclude the economic retirements listed in the AEO.</v>
      </c>
      <c r="Q400" s="254"/>
      <c r="R400" s="254"/>
    </row>
    <row r="401" spans="1:18" s="4" customFormat="1" x14ac:dyDescent="0.3">
      <c r="A401" s="254" t="str">
        <f>IF(ISBLANK(INDEX('Policy Characteristics'!A:A,MATCH($C401,'Policy Characteristics'!$C:$C,0))),"",INDEX('Policy Characteristics'!A:A,MATCH($C401,'Policy Characteristics'!$C:$C,0)))</f>
        <v>Electricity Supply</v>
      </c>
      <c r="B401" s="262" t="str">
        <f>IF(ISBLANK(INDEX('Policy Characteristics'!B:B,MATCH($C401,'Policy Characteristics'!$C:$C,0))),"",INDEX('Policy Characteristics'!B:B,MATCH($C401,'Policy Characteristics'!$C:$C,0)))</f>
        <v>Non BAU Mandated Capacity Construction</v>
      </c>
      <c r="C401" t="s">
        <v>130</v>
      </c>
      <c r="D401" s="45" t="s">
        <v>447</v>
      </c>
      <c r="E401" s="45"/>
      <c r="F401" s="45" t="s">
        <v>446</v>
      </c>
      <c r="G401" s="45"/>
      <c r="H401" s="43">
        <v>633</v>
      </c>
      <c r="I401" s="324" t="s">
        <v>44</v>
      </c>
      <c r="J401" s="255" t="str">
        <f>IF(ISBLANK(INDEX('Policy Characteristics'!D:D,MATCH($C401,'Policy Characteristics'!$C:$C,0))),"",INDEX('Policy Characteristics'!D:D,MATCH($C401,'Policy Characteristics'!$C:$C,0)))</f>
        <v>Non BAU Mandated Capacity Construction</v>
      </c>
      <c r="K401" s="254" t="str">
        <f>IF(ISBLANK(INDEX('Policy Characteristics'!E:E,MATCH($C401,'Policy Characteristics'!$C:$C,0))),"",INDEX('Policy Characteristics'!E:E,MATCH($C401,'Policy Characteristics'!$C:$C,0)))</f>
        <v/>
      </c>
      <c r="L401" s="254">
        <f>IF(ISBLANK(INDEX('Policy Characteristics'!F:F,MATCH($C401,'Policy Characteristics'!$C:$C,0))),"",INDEX('Policy Characteristics'!F:F,MATCH($C401,'Policy Characteristics'!$C:$C,0)))</f>
        <v>0</v>
      </c>
      <c r="M401" s="254">
        <f>IF(ISBLANK(INDEX('Policy Characteristics'!G:G,MATCH($C401,'Policy Characteristics'!$C:$C,0))),"",INDEX('Policy Characteristics'!G:G,MATCH($C401,'Policy Characteristics'!$C:$C,0)))</f>
        <v>1</v>
      </c>
      <c r="N401" s="254">
        <f>IF(ISBLANK(INDEX('Policy Characteristics'!H:H,MATCH($C401,'Policy Characteristics'!$C:$C,0))),"",INDEX('Policy Characteristics'!H:H,MATCH($C401,'Policy Characteristics'!$C:$C,0)))</f>
        <v>1</v>
      </c>
      <c r="O401" s="254" t="str">
        <f>IF(ISBLANK(INDEX('Policy Characteristics'!I:I,MATCH($C401,'Policy Characteristics'!$C:$C,0))),"",INDEX('Policy Characteristics'!I:I,MATCH($C401,'Policy Characteristics'!$C:$C,0)))</f>
        <v>on/off</v>
      </c>
      <c r="P401" s="254" t="str">
        <f>IF(ISBLANK(INDEX('Policy Characteristics'!J:J,MATCH($C401,'Policy Characteristics'!$C:$C,0))),"",INDEX('Policy Characteristics'!J:J,MATCH($C401,'Policy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1" s="254" t="str">
        <f>IF(ISBLANK(INDEX('Policy Characteristics'!K:K,MATCH($C401,'Policy Characteristics'!$C:$C,0))),"",INDEX('Policy Characteristics'!K:K,MATCH($C401,'Policy Characteristics'!$C:$C,0)))</f>
        <v/>
      </c>
      <c r="R401" s="254" t="str">
        <f>IF(ISBLANK(INDEX('Policy Characteristics'!L:L,MATCH($C401,'Policy Characteristics'!$C:$C,0))),"",INDEX('Policy Characteristics'!L:L,MATCH($C401,'Policy Characteristics'!$C:$C,0)))</f>
        <v/>
      </c>
    </row>
    <row r="402" spans="1:18" s="4" customFormat="1" x14ac:dyDescent="0.3">
      <c r="A402" s="254" t="str">
        <f>IF(ISBLANK(INDEX('Policy Characteristics'!A:A,MATCH($C402,'Policy Characteristics'!$C:$C,0))),"",INDEX('Policy Characteristics'!A:A,MATCH($C402,'Policy Characteristics'!$C:$C,0)))</f>
        <v>Electricity Supply</v>
      </c>
      <c r="B402" s="262" t="str">
        <f>IF(ISBLANK(INDEX('Policy Characteristics'!B:B,MATCH($C402,'Policy Characteristics'!$C:$C,0))),"",INDEX('Policy Characteristics'!B:B,MATCH($C402,'Policy Characteristics'!$C:$C,0)))</f>
        <v>Non BAU Mandated Capacity Construction</v>
      </c>
      <c r="C402" s="254" t="str">
        <f t="shared" ref="C402:C424" si="24">C$401</f>
        <v>Boolean Use Non BAU Mandated Capacity Construction Schedule</v>
      </c>
      <c r="D402" s="6" t="s">
        <v>3488</v>
      </c>
      <c r="E402" s="45"/>
      <c r="F402" s="6" t="s">
        <v>3424</v>
      </c>
      <c r="G402" s="45"/>
      <c r="H402" s="43">
        <v>634</v>
      </c>
      <c r="I402" s="324" t="s">
        <v>44</v>
      </c>
      <c r="J402" s="255" t="str">
        <f>IF(ISBLANK(INDEX('Policy Characteristics'!D:D,MATCH($C402,'Policy Characteristics'!$C:$C,0))),"",INDEX('Policy Characteristics'!D:D,MATCH($C402,'Policy Characteristics'!$C:$C,0)))</f>
        <v>Non BAU Mandated Capacity Construction</v>
      </c>
      <c r="K402" s="254" t="str">
        <f>IF(ISBLANK(INDEX('Policy Characteristics'!E:E,MATCH($C402,'Policy Characteristics'!$C:$C,0))),"",INDEX('Policy Characteristics'!E:E,MATCH($C402,'Policy Characteristics'!$C:$C,0)))</f>
        <v/>
      </c>
      <c r="L402" s="254">
        <f>IF(ISBLANK(INDEX('Policy Characteristics'!F:F,MATCH($C402,'Policy Characteristics'!$C:$C,0))),"",INDEX('Policy Characteristics'!F:F,MATCH($C402,'Policy Characteristics'!$C:$C,0)))</f>
        <v>0</v>
      </c>
      <c r="M402" s="254">
        <f>IF(ISBLANK(INDEX('Policy Characteristics'!G:G,MATCH($C402,'Policy Characteristics'!$C:$C,0))),"",INDEX('Policy Characteristics'!G:G,MATCH($C402,'Policy Characteristics'!$C:$C,0)))</f>
        <v>1</v>
      </c>
      <c r="N402" s="254">
        <f>IF(ISBLANK(INDEX('Policy Characteristics'!H:H,MATCH($C402,'Policy Characteristics'!$C:$C,0))),"",INDEX('Policy Characteristics'!H:H,MATCH($C402,'Policy Characteristics'!$C:$C,0)))</f>
        <v>1</v>
      </c>
      <c r="O402" s="254" t="str">
        <f>IF(ISBLANK(INDEX('Policy Characteristics'!I:I,MATCH($C402,'Policy Characteristics'!$C:$C,0))),"",INDEX('Policy Characteristics'!I:I,MATCH($C402,'Policy Characteristics'!$C:$C,0)))</f>
        <v>on/off</v>
      </c>
      <c r="P402" s="254" t="str">
        <f>IF(ISBLANK(INDEX('Policy Characteristics'!J:J,MATCH($C402,'Policy Characteristics'!$C:$C,0))),"",INDEX('Policy Characteristics'!J:J,MATCH($C402,'Policy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2" s="254" t="str">
        <f>IF(ISBLANK(INDEX('Policy Characteristics'!K:K,MATCH($C402,'Policy Characteristics'!$C:$C,0))),"",INDEX('Policy Characteristics'!K:K,MATCH($C402,'Policy Characteristics'!$C:$C,0)))</f>
        <v/>
      </c>
      <c r="R402" s="254" t="str">
        <f>IF(ISBLANK(INDEX('Policy Characteristics'!L:L,MATCH($C402,'Policy Characteristics'!$C:$C,0))),"",INDEX('Policy Characteristics'!L:L,MATCH($C402,'Policy Characteristics'!$C:$C,0)))</f>
        <v/>
      </c>
    </row>
    <row r="403" spans="1:18" s="4" customFormat="1" x14ac:dyDescent="0.3">
      <c r="A403" s="254" t="str">
        <f>IF(ISBLANK(INDEX('Policy Characteristics'!A:A,MATCH($C403,'Policy Characteristics'!$C:$C,0))),"",INDEX('Policy Characteristics'!A:A,MATCH($C403,'Policy Characteristics'!$C:$C,0)))</f>
        <v>Electricity Supply</v>
      </c>
      <c r="B403" s="262" t="str">
        <f>IF(ISBLANK(INDEX('Policy Characteristics'!B:B,MATCH($C403,'Policy Characteristics'!$C:$C,0))),"",INDEX('Policy Characteristics'!B:B,MATCH($C403,'Policy Characteristics'!$C:$C,0)))</f>
        <v>Non BAU Mandated Capacity Construction</v>
      </c>
      <c r="C403" s="254" t="str">
        <f t="shared" si="24"/>
        <v>Boolean Use Non BAU Mandated Capacity Construction Schedule</v>
      </c>
      <c r="D403" s="6" t="s">
        <v>3489</v>
      </c>
      <c r="E403" s="45"/>
      <c r="F403" s="6" t="s">
        <v>3425</v>
      </c>
      <c r="G403" s="45"/>
      <c r="H403" s="43">
        <v>1774</v>
      </c>
      <c r="I403" s="324" t="s">
        <v>44</v>
      </c>
      <c r="J403" s="255" t="str">
        <f>IF(ISBLANK(INDEX('Policy Characteristics'!D:D,MATCH($C403,'Policy Characteristics'!$C:$C,0))),"",INDEX('Policy Characteristics'!D:D,MATCH($C403,'Policy Characteristics'!$C:$C,0)))</f>
        <v>Non BAU Mandated Capacity Construction</v>
      </c>
      <c r="K403" s="254" t="str">
        <f>IF(ISBLANK(INDEX('Policy Characteristics'!E:E,MATCH($C403,'Policy Characteristics'!$C:$C,0))),"",INDEX('Policy Characteristics'!E:E,MATCH($C403,'Policy Characteristics'!$C:$C,0)))</f>
        <v/>
      </c>
      <c r="L403" s="254">
        <f>IF(ISBLANK(INDEX('Policy Characteristics'!F:F,MATCH($C403,'Policy Characteristics'!$C:$C,0))),"",INDEX('Policy Characteristics'!F:F,MATCH($C403,'Policy Characteristics'!$C:$C,0)))</f>
        <v>0</v>
      </c>
      <c r="M403" s="254">
        <f>IF(ISBLANK(INDEX('Policy Characteristics'!G:G,MATCH($C403,'Policy Characteristics'!$C:$C,0))),"",INDEX('Policy Characteristics'!G:G,MATCH($C403,'Policy Characteristics'!$C:$C,0)))</f>
        <v>1</v>
      </c>
      <c r="N403" s="254">
        <f>IF(ISBLANK(INDEX('Policy Characteristics'!H:H,MATCH($C403,'Policy Characteristics'!$C:$C,0))),"",INDEX('Policy Characteristics'!H:H,MATCH($C403,'Policy Characteristics'!$C:$C,0)))</f>
        <v>1</v>
      </c>
      <c r="O403" s="254" t="str">
        <f>IF(ISBLANK(INDEX('Policy Characteristics'!I:I,MATCH($C403,'Policy Characteristics'!$C:$C,0))),"",INDEX('Policy Characteristics'!I:I,MATCH($C403,'Policy Characteristics'!$C:$C,0)))</f>
        <v>on/off</v>
      </c>
      <c r="P403" s="254" t="str">
        <f>IF(ISBLANK(INDEX('Policy Characteristics'!J:J,MATCH($C403,'Policy Characteristics'!$C:$C,0))),"",INDEX('Policy Characteristics'!J:J,MATCH($C403,'Policy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3" s="254" t="str">
        <f>IF(ISBLANK(INDEX('Policy Characteristics'!K:K,MATCH($C403,'Policy Characteristics'!$C:$C,0))),"",INDEX('Policy Characteristics'!K:K,MATCH($C403,'Policy Characteristics'!$C:$C,0)))</f>
        <v/>
      </c>
      <c r="R403" s="254" t="str">
        <f>IF(ISBLANK(INDEX('Policy Characteristics'!L:L,MATCH($C403,'Policy Characteristics'!$C:$C,0))),"",INDEX('Policy Characteristics'!L:L,MATCH($C403,'Policy Characteristics'!$C:$C,0)))</f>
        <v/>
      </c>
    </row>
    <row r="404" spans="1:18" s="4" customFormat="1" x14ac:dyDescent="0.3">
      <c r="A404" s="254" t="str">
        <f>IF(ISBLANK(INDEX('Policy Characteristics'!A:A,MATCH($C404,'Policy Characteristics'!$C:$C,0))),"",INDEX('Policy Characteristics'!A:A,MATCH($C404,'Policy Characteristics'!$C:$C,0)))</f>
        <v>Electricity Supply</v>
      </c>
      <c r="B404" s="262" t="str">
        <f>IF(ISBLANK(INDEX('Policy Characteristics'!B:B,MATCH($C404,'Policy Characteristics'!$C:$C,0))),"",INDEX('Policy Characteristics'!B:B,MATCH($C404,'Policy Characteristics'!$C:$C,0)))</f>
        <v>Non BAU Mandated Capacity Construction</v>
      </c>
      <c r="C404" s="254" t="str">
        <f t="shared" si="24"/>
        <v>Boolean Use Non BAU Mandated Capacity Construction Schedule</v>
      </c>
      <c r="D404" s="6" t="s">
        <v>76</v>
      </c>
      <c r="E404" s="45"/>
      <c r="F404" s="6" t="s">
        <v>3499</v>
      </c>
      <c r="G404" s="45"/>
      <c r="H404" s="43">
        <v>635</v>
      </c>
      <c r="I404" s="324" t="s">
        <v>44</v>
      </c>
      <c r="J404" s="255" t="str">
        <f>IF(ISBLANK(INDEX('Policy Characteristics'!D:D,MATCH($C404,'Policy Characteristics'!$C:$C,0))),"",INDEX('Policy Characteristics'!D:D,MATCH($C404,'Policy Characteristics'!$C:$C,0)))</f>
        <v>Non BAU Mandated Capacity Construction</v>
      </c>
      <c r="K404" s="254" t="str">
        <f>IF(ISBLANK(INDEX('Policy Characteristics'!E:E,MATCH($C404,'Policy Characteristics'!$C:$C,0))),"",INDEX('Policy Characteristics'!E:E,MATCH($C404,'Policy Characteristics'!$C:$C,0)))</f>
        <v/>
      </c>
      <c r="L404" s="254">
        <f>IF(ISBLANK(INDEX('Policy Characteristics'!F:F,MATCH($C404,'Policy Characteristics'!$C:$C,0))),"",INDEX('Policy Characteristics'!F:F,MATCH($C404,'Policy Characteristics'!$C:$C,0)))</f>
        <v>0</v>
      </c>
      <c r="M404" s="254">
        <f>IF(ISBLANK(INDEX('Policy Characteristics'!G:G,MATCH($C404,'Policy Characteristics'!$C:$C,0))),"",INDEX('Policy Characteristics'!G:G,MATCH($C404,'Policy Characteristics'!$C:$C,0)))</f>
        <v>1</v>
      </c>
      <c r="N404" s="254">
        <f>IF(ISBLANK(INDEX('Policy Characteristics'!H:H,MATCH($C404,'Policy Characteristics'!$C:$C,0))),"",INDEX('Policy Characteristics'!H:H,MATCH($C404,'Policy Characteristics'!$C:$C,0)))</f>
        <v>1</v>
      </c>
      <c r="O404" s="254" t="str">
        <f>IF(ISBLANK(INDEX('Policy Characteristics'!I:I,MATCH($C404,'Policy Characteristics'!$C:$C,0))),"",INDEX('Policy Characteristics'!I:I,MATCH($C404,'Policy Characteristics'!$C:$C,0)))</f>
        <v>on/off</v>
      </c>
      <c r="P404" s="254" t="str">
        <f>IF(ISBLANK(INDEX('Policy Characteristics'!J:J,MATCH($C404,'Policy Characteristics'!$C:$C,0))),"",INDEX('Policy Characteristics'!J:J,MATCH($C404,'Policy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4" s="254" t="str">
        <f>IF(ISBLANK(INDEX('Policy Characteristics'!K:K,MATCH($C404,'Policy Characteristics'!$C:$C,0))),"",INDEX('Policy Characteristics'!K:K,MATCH($C404,'Policy Characteristics'!$C:$C,0)))</f>
        <v/>
      </c>
      <c r="R404" s="254" t="str">
        <f>IF(ISBLANK(INDEX('Policy Characteristics'!L:L,MATCH($C404,'Policy Characteristics'!$C:$C,0))),"",INDEX('Policy Characteristics'!L:L,MATCH($C404,'Policy Characteristics'!$C:$C,0)))</f>
        <v/>
      </c>
    </row>
    <row r="405" spans="1:18" s="4" customFormat="1" x14ac:dyDescent="0.3">
      <c r="A405" s="254" t="str">
        <f>IF(ISBLANK(INDEX('Policy Characteristics'!A:A,MATCH($C405,'Policy Characteristics'!$C:$C,0))),"",INDEX('Policy Characteristics'!A:A,MATCH($C405,'Policy Characteristics'!$C:$C,0)))</f>
        <v>Electricity Supply</v>
      </c>
      <c r="B405" s="262" t="str">
        <f>IF(ISBLANK(INDEX('Policy Characteristics'!B:B,MATCH($C405,'Policy Characteristics'!$C:$C,0))),"",INDEX('Policy Characteristics'!B:B,MATCH($C405,'Policy Characteristics'!$C:$C,0)))</f>
        <v>Non BAU Mandated Capacity Construction</v>
      </c>
      <c r="C405" s="254" t="str">
        <f t="shared" si="24"/>
        <v>Boolean Use Non BAU Mandated Capacity Construction Schedule</v>
      </c>
      <c r="D405" s="6" t="s">
        <v>77</v>
      </c>
      <c r="E405" s="45"/>
      <c r="F405" s="6" t="s">
        <v>89</v>
      </c>
      <c r="G405" s="45"/>
      <c r="H405" s="43">
        <v>636</v>
      </c>
      <c r="I405" s="324" t="s">
        <v>44</v>
      </c>
      <c r="J405" s="255" t="str">
        <f>IF(ISBLANK(INDEX('Policy Characteristics'!D:D,MATCH($C405,'Policy Characteristics'!$C:$C,0))),"",INDEX('Policy Characteristics'!D:D,MATCH($C405,'Policy Characteristics'!$C:$C,0)))</f>
        <v>Non BAU Mandated Capacity Construction</v>
      </c>
      <c r="K405" s="254" t="str">
        <f>IF(ISBLANK(INDEX('Policy Characteristics'!E:E,MATCH($C405,'Policy Characteristics'!$C:$C,0))),"",INDEX('Policy Characteristics'!E:E,MATCH($C405,'Policy Characteristics'!$C:$C,0)))</f>
        <v/>
      </c>
      <c r="L405" s="254">
        <f>IF(ISBLANK(INDEX('Policy Characteristics'!F:F,MATCH($C405,'Policy Characteristics'!$C:$C,0))),"",INDEX('Policy Characteristics'!F:F,MATCH($C405,'Policy Characteristics'!$C:$C,0)))</f>
        <v>0</v>
      </c>
      <c r="M405" s="254">
        <f>IF(ISBLANK(INDEX('Policy Characteristics'!G:G,MATCH($C405,'Policy Characteristics'!$C:$C,0))),"",INDEX('Policy Characteristics'!G:G,MATCH($C405,'Policy Characteristics'!$C:$C,0)))</f>
        <v>1</v>
      </c>
      <c r="N405" s="254">
        <f>IF(ISBLANK(INDEX('Policy Characteristics'!H:H,MATCH($C405,'Policy Characteristics'!$C:$C,0))),"",INDEX('Policy Characteristics'!H:H,MATCH($C405,'Policy Characteristics'!$C:$C,0)))</f>
        <v>1</v>
      </c>
      <c r="O405" s="254" t="str">
        <f>IF(ISBLANK(INDEX('Policy Characteristics'!I:I,MATCH($C405,'Policy Characteristics'!$C:$C,0))),"",INDEX('Policy Characteristics'!I:I,MATCH($C405,'Policy Characteristics'!$C:$C,0)))</f>
        <v>on/off</v>
      </c>
      <c r="P405" s="254" t="str">
        <f>IF(ISBLANK(INDEX('Policy Characteristics'!J:J,MATCH($C405,'Policy Characteristics'!$C:$C,0))),"",INDEX('Policy Characteristics'!J:J,MATCH($C405,'Policy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5" s="254" t="str">
        <f>IF(ISBLANK(INDEX('Policy Characteristics'!K:K,MATCH($C405,'Policy Characteristics'!$C:$C,0))),"",INDEX('Policy Characteristics'!K:K,MATCH($C405,'Policy Characteristics'!$C:$C,0)))</f>
        <v/>
      </c>
      <c r="R405" s="254" t="str">
        <f>IF(ISBLANK(INDEX('Policy Characteristics'!L:L,MATCH($C405,'Policy Characteristics'!$C:$C,0))),"",INDEX('Policy Characteristics'!L:L,MATCH($C405,'Policy Characteristics'!$C:$C,0)))</f>
        <v/>
      </c>
    </row>
    <row r="406" spans="1:18" s="4" customFormat="1" x14ac:dyDescent="0.3">
      <c r="A406" s="254" t="str">
        <f>IF(ISBLANK(INDEX('Policy Characteristics'!A:A,MATCH($C406,'Policy Characteristics'!$C:$C,0))),"",INDEX('Policy Characteristics'!A:A,MATCH($C406,'Policy Characteristics'!$C:$C,0)))</f>
        <v>Electricity Supply</v>
      </c>
      <c r="B406" s="262" t="str">
        <f>IF(ISBLANK(INDEX('Policy Characteristics'!B:B,MATCH($C406,'Policy Characteristics'!$C:$C,0))),"",INDEX('Policy Characteristics'!B:B,MATCH($C406,'Policy Characteristics'!$C:$C,0)))</f>
        <v>Non BAU Mandated Capacity Construction</v>
      </c>
      <c r="C406" s="254" t="str">
        <f t="shared" si="24"/>
        <v>Boolean Use Non BAU Mandated Capacity Construction Schedule</v>
      </c>
      <c r="D406" s="6" t="s">
        <v>448</v>
      </c>
      <c r="E406" s="45"/>
      <c r="F406" s="6" t="s">
        <v>451</v>
      </c>
      <c r="G406" s="45"/>
      <c r="H406" s="43">
        <v>637</v>
      </c>
      <c r="I406" s="324" t="s">
        <v>44</v>
      </c>
      <c r="J406" s="255" t="str">
        <f>IF(ISBLANK(INDEX('Policy Characteristics'!D:D,MATCH($C406,'Policy Characteristics'!$C:$C,0))),"",INDEX('Policy Characteristics'!D:D,MATCH($C406,'Policy Characteristics'!$C:$C,0)))</f>
        <v>Non BAU Mandated Capacity Construction</v>
      </c>
      <c r="K406" s="254" t="str">
        <f>IF(ISBLANK(INDEX('Policy Characteristics'!E:E,MATCH($C406,'Policy Characteristics'!$C:$C,0))),"",INDEX('Policy Characteristics'!E:E,MATCH($C406,'Policy Characteristics'!$C:$C,0)))</f>
        <v/>
      </c>
      <c r="L406" s="254">
        <f>IF(ISBLANK(INDEX('Policy Characteristics'!F:F,MATCH($C406,'Policy Characteristics'!$C:$C,0))),"",INDEX('Policy Characteristics'!F:F,MATCH($C406,'Policy Characteristics'!$C:$C,0)))</f>
        <v>0</v>
      </c>
      <c r="M406" s="254">
        <f>IF(ISBLANK(INDEX('Policy Characteristics'!G:G,MATCH($C406,'Policy Characteristics'!$C:$C,0))),"",INDEX('Policy Characteristics'!G:G,MATCH($C406,'Policy Characteristics'!$C:$C,0)))</f>
        <v>1</v>
      </c>
      <c r="N406" s="254">
        <f>IF(ISBLANK(INDEX('Policy Characteristics'!H:H,MATCH($C406,'Policy Characteristics'!$C:$C,0))),"",INDEX('Policy Characteristics'!H:H,MATCH($C406,'Policy Characteristics'!$C:$C,0)))</f>
        <v>1</v>
      </c>
      <c r="O406" s="254" t="str">
        <f>IF(ISBLANK(INDEX('Policy Characteristics'!I:I,MATCH($C406,'Policy Characteristics'!$C:$C,0))),"",INDEX('Policy Characteristics'!I:I,MATCH($C406,'Policy Characteristics'!$C:$C,0)))</f>
        <v>on/off</v>
      </c>
      <c r="P406" s="254" t="str">
        <f>IF(ISBLANK(INDEX('Policy Characteristics'!J:J,MATCH($C406,'Policy Characteristics'!$C:$C,0))),"",INDEX('Policy Characteristics'!J:J,MATCH($C406,'Policy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6" s="254" t="str">
        <f>IF(ISBLANK(INDEX('Policy Characteristics'!K:K,MATCH($C406,'Policy Characteristics'!$C:$C,0))),"",INDEX('Policy Characteristics'!K:K,MATCH($C406,'Policy Characteristics'!$C:$C,0)))</f>
        <v/>
      </c>
      <c r="R406" s="254" t="str">
        <f>IF(ISBLANK(INDEX('Policy Characteristics'!L:L,MATCH($C406,'Policy Characteristics'!$C:$C,0))),"",INDEX('Policy Characteristics'!L:L,MATCH($C406,'Policy Characteristics'!$C:$C,0)))</f>
        <v/>
      </c>
    </row>
    <row r="407" spans="1:18" s="4" customFormat="1" x14ac:dyDescent="0.3">
      <c r="A407" s="254" t="str">
        <f>IF(ISBLANK(INDEX('Policy Characteristics'!A:A,MATCH($C407,'Policy Characteristics'!$C:$C,0))),"",INDEX('Policy Characteristics'!A:A,MATCH($C407,'Policy Characteristics'!$C:$C,0)))</f>
        <v>Electricity Supply</v>
      </c>
      <c r="B407" s="262" t="str">
        <f>IF(ISBLANK(INDEX('Policy Characteristics'!B:B,MATCH($C407,'Policy Characteristics'!$C:$C,0))),"",INDEX('Policy Characteristics'!B:B,MATCH($C407,'Policy Characteristics'!$C:$C,0)))</f>
        <v>Non BAU Mandated Capacity Construction</v>
      </c>
      <c r="C407" s="254" t="str">
        <f t="shared" si="24"/>
        <v>Boolean Use Non BAU Mandated Capacity Construction Schedule</v>
      </c>
      <c r="D407" s="6" t="s">
        <v>78</v>
      </c>
      <c r="E407" s="45"/>
      <c r="F407" s="6" t="s">
        <v>90</v>
      </c>
      <c r="G407" s="45"/>
      <c r="H407" s="43">
        <v>638</v>
      </c>
      <c r="I407" s="324" t="s">
        <v>44</v>
      </c>
      <c r="J407" s="255" t="str">
        <f>IF(ISBLANK(INDEX('Policy Characteristics'!D:D,MATCH($C407,'Policy Characteristics'!$C:$C,0))),"",INDEX('Policy Characteristics'!D:D,MATCH($C407,'Policy Characteristics'!$C:$C,0)))</f>
        <v>Non BAU Mandated Capacity Construction</v>
      </c>
      <c r="K407" s="254" t="str">
        <f>IF(ISBLANK(INDEX('Policy Characteristics'!E:E,MATCH($C407,'Policy Characteristics'!$C:$C,0))),"",INDEX('Policy Characteristics'!E:E,MATCH($C407,'Policy Characteristics'!$C:$C,0)))</f>
        <v/>
      </c>
      <c r="L407" s="254">
        <f>IF(ISBLANK(INDEX('Policy Characteristics'!F:F,MATCH($C407,'Policy Characteristics'!$C:$C,0))),"",INDEX('Policy Characteristics'!F:F,MATCH($C407,'Policy Characteristics'!$C:$C,0)))</f>
        <v>0</v>
      </c>
      <c r="M407" s="254">
        <f>IF(ISBLANK(INDEX('Policy Characteristics'!G:G,MATCH($C407,'Policy Characteristics'!$C:$C,0))),"",INDEX('Policy Characteristics'!G:G,MATCH($C407,'Policy Characteristics'!$C:$C,0)))</f>
        <v>1</v>
      </c>
      <c r="N407" s="254">
        <f>IF(ISBLANK(INDEX('Policy Characteristics'!H:H,MATCH($C407,'Policy Characteristics'!$C:$C,0))),"",INDEX('Policy Characteristics'!H:H,MATCH($C407,'Policy Characteristics'!$C:$C,0)))</f>
        <v>1</v>
      </c>
      <c r="O407" s="254" t="str">
        <f>IF(ISBLANK(INDEX('Policy Characteristics'!I:I,MATCH($C407,'Policy Characteristics'!$C:$C,0))),"",INDEX('Policy Characteristics'!I:I,MATCH($C407,'Policy Characteristics'!$C:$C,0)))</f>
        <v>on/off</v>
      </c>
      <c r="P407" s="254" t="str">
        <f>IF(ISBLANK(INDEX('Policy Characteristics'!J:J,MATCH($C407,'Policy Characteristics'!$C:$C,0))),"",INDEX('Policy Characteristics'!J:J,MATCH($C407,'Policy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7" s="254" t="str">
        <f>IF(ISBLANK(INDEX('Policy Characteristics'!K:K,MATCH($C407,'Policy Characteristics'!$C:$C,0))),"",INDEX('Policy Characteristics'!K:K,MATCH($C407,'Policy Characteristics'!$C:$C,0)))</f>
        <v/>
      </c>
      <c r="R407" s="254" t="str">
        <f>IF(ISBLANK(INDEX('Policy Characteristics'!L:L,MATCH($C407,'Policy Characteristics'!$C:$C,0))),"",INDEX('Policy Characteristics'!L:L,MATCH($C407,'Policy Characteristics'!$C:$C,0)))</f>
        <v/>
      </c>
    </row>
    <row r="408" spans="1:18" s="4" customFormat="1" x14ac:dyDescent="0.3">
      <c r="A408" s="254" t="str">
        <f>IF(ISBLANK(INDEX('Policy Characteristics'!A:A,MATCH($C408,'Policy Characteristics'!$C:$C,0))),"",INDEX('Policy Characteristics'!A:A,MATCH($C408,'Policy Characteristics'!$C:$C,0)))</f>
        <v>Electricity Supply</v>
      </c>
      <c r="B408" s="262" t="str">
        <f>IF(ISBLANK(INDEX('Policy Characteristics'!B:B,MATCH($C408,'Policy Characteristics'!$C:$C,0))),"",INDEX('Policy Characteristics'!B:B,MATCH($C408,'Policy Characteristics'!$C:$C,0)))</f>
        <v>Non BAU Mandated Capacity Construction</v>
      </c>
      <c r="C408" s="254" t="str">
        <f t="shared" si="24"/>
        <v>Boolean Use Non BAU Mandated Capacity Construction Schedule</v>
      </c>
      <c r="D408" s="6" t="s">
        <v>79</v>
      </c>
      <c r="E408" s="45"/>
      <c r="F408" s="6" t="s">
        <v>91</v>
      </c>
      <c r="G408" s="45"/>
      <c r="H408" s="43">
        <v>639</v>
      </c>
      <c r="I408" s="324" t="s">
        <v>44</v>
      </c>
      <c r="J408" s="255" t="str">
        <f>IF(ISBLANK(INDEX('Policy Characteristics'!D:D,MATCH($C408,'Policy Characteristics'!$C:$C,0))),"",INDEX('Policy Characteristics'!D:D,MATCH($C408,'Policy Characteristics'!$C:$C,0)))</f>
        <v>Non BAU Mandated Capacity Construction</v>
      </c>
      <c r="K408" s="254" t="str">
        <f>IF(ISBLANK(INDEX('Policy Characteristics'!E:E,MATCH($C408,'Policy Characteristics'!$C:$C,0))),"",INDEX('Policy Characteristics'!E:E,MATCH($C408,'Policy Characteristics'!$C:$C,0)))</f>
        <v/>
      </c>
      <c r="L408" s="254">
        <f>IF(ISBLANK(INDEX('Policy Characteristics'!F:F,MATCH($C408,'Policy Characteristics'!$C:$C,0))),"",INDEX('Policy Characteristics'!F:F,MATCH($C408,'Policy Characteristics'!$C:$C,0)))</f>
        <v>0</v>
      </c>
      <c r="M408" s="254">
        <f>IF(ISBLANK(INDEX('Policy Characteristics'!G:G,MATCH($C408,'Policy Characteristics'!$C:$C,0))),"",INDEX('Policy Characteristics'!G:G,MATCH($C408,'Policy Characteristics'!$C:$C,0)))</f>
        <v>1</v>
      </c>
      <c r="N408" s="254">
        <f>IF(ISBLANK(INDEX('Policy Characteristics'!H:H,MATCH($C408,'Policy Characteristics'!$C:$C,0))),"",INDEX('Policy Characteristics'!H:H,MATCH($C408,'Policy Characteristics'!$C:$C,0)))</f>
        <v>1</v>
      </c>
      <c r="O408" s="254" t="str">
        <f>IF(ISBLANK(INDEX('Policy Characteristics'!I:I,MATCH($C408,'Policy Characteristics'!$C:$C,0))),"",INDEX('Policy Characteristics'!I:I,MATCH($C408,'Policy Characteristics'!$C:$C,0)))</f>
        <v>on/off</v>
      </c>
      <c r="P408" s="254" t="str">
        <f>IF(ISBLANK(INDEX('Policy Characteristics'!J:J,MATCH($C408,'Policy Characteristics'!$C:$C,0))),"",INDEX('Policy Characteristics'!J:J,MATCH($C408,'Policy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8" s="254" t="str">
        <f>IF(ISBLANK(INDEX('Policy Characteristics'!K:K,MATCH($C408,'Policy Characteristics'!$C:$C,0))),"",INDEX('Policy Characteristics'!K:K,MATCH($C408,'Policy Characteristics'!$C:$C,0)))</f>
        <v/>
      </c>
      <c r="R408" s="254" t="str">
        <f>IF(ISBLANK(INDEX('Policy Characteristics'!L:L,MATCH($C408,'Policy Characteristics'!$C:$C,0))),"",INDEX('Policy Characteristics'!L:L,MATCH($C408,'Policy Characteristics'!$C:$C,0)))</f>
        <v/>
      </c>
    </row>
    <row r="409" spans="1:18" s="4" customFormat="1" x14ac:dyDescent="0.3">
      <c r="A409" s="254" t="str">
        <f>IF(ISBLANK(INDEX('Policy Characteristics'!A:A,MATCH($C409,'Policy Characteristics'!$C:$C,0))),"",INDEX('Policy Characteristics'!A:A,MATCH($C409,'Policy Characteristics'!$C:$C,0)))</f>
        <v>Electricity Supply</v>
      </c>
      <c r="B409" s="262" t="str">
        <f>IF(ISBLANK(INDEX('Policy Characteristics'!B:B,MATCH($C409,'Policy Characteristics'!$C:$C,0))),"",INDEX('Policy Characteristics'!B:B,MATCH($C409,'Policy Characteristics'!$C:$C,0)))</f>
        <v>Non BAU Mandated Capacity Construction</v>
      </c>
      <c r="C409" s="254" t="str">
        <f t="shared" si="24"/>
        <v>Boolean Use Non BAU Mandated Capacity Construction Schedule</v>
      </c>
      <c r="D409" s="6" t="s">
        <v>80</v>
      </c>
      <c r="E409" s="45"/>
      <c r="F409" s="6" t="s">
        <v>92</v>
      </c>
      <c r="G409" s="45"/>
      <c r="H409" s="43">
        <v>640</v>
      </c>
      <c r="I409" s="324" t="s">
        <v>44</v>
      </c>
      <c r="J409" s="255" t="str">
        <f>IF(ISBLANK(INDEX('Policy Characteristics'!D:D,MATCH($C409,'Policy Characteristics'!$C:$C,0))),"",INDEX('Policy Characteristics'!D:D,MATCH($C409,'Policy Characteristics'!$C:$C,0)))</f>
        <v>Non BAU Mandated Capacity Construction</v>
      </c>
      <c r="K409" s="254" t="str">
        <f>IF(ISBLANK(INDEX('Policy Characteristics'!E:E,MATCH($C409,'Policy Characteristics'!$C:$C,0))),"",INDEX('Policy Characteristics'!E:E,MATCH($C409,'Policy Characteristics'!$C:$C,0)))</f>
        <v/>
      </c>
      <c r="L409" s="254">
        <f>IF(ISBLANK(INDEX('Policy Characteristics'!F:F,MATCH($C409,'Policy Characteristics'!$C:$C,0))),"",INDEX('Policy Characteristics'!F:F,MATCH($C409,'Policy Characteristics'!$C:$C,0)))</f>
        <v>0</v>
      </c>
      <c r="M409" s="254">
        <f>IF(ISBLANK(INDEX('Policy Characteristics'!G:G,MATCH($C409,'Policy Characteristics'!$C:$C,0))),"",INDEX('Policy Characteristics'!G:G,MATCH($C409,'Policy Characteristics'!$C:$C,0)))</f>
        <v>1</v>
      </c>
      <c r="N409" s="254">
        <f>IF(ISBLANK(INDEX('Policy Characteristics'!H:H,MATCH($C409,'Policy Characteristics'!$C:$C,0))),"",INDEX('Policy Characteristics'!H:H,MATCH($C409,'Policy Characteristics'!$C:$C,0)))</f>
        <v>1</v>
      </c>
      <c r="O409" s="254" t="str">
        <f>IF(ISBLANK(INDEX('Policy Characteristics'!I:I,MATCH($C409,'Policy Characteristics'!$C:$C,0))),"",INDEX('Policy Characteristics'!I:I,MATCH($C409,'Policy Characteristics'!$C:$C,0)))</f>
        <v>on/off</v>
      </c>
      <c r="P409" s="254" t="str">
        <f>IF(ISBLANK(INDEX('Policy Characteristics'!J:J,MATCH($C409,'Policy Characteristics'!$C:$C,0))),"",INDEX('Policy Characteristics'!J:J,MATCH($C409,'Policy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09" s="254" t="str">
        <f>IF(ISBLANK(INDEX('Policy Characteristics'!K:K,MATCH($C409,'Policy Characteristics'!$C:$C,0))),"",INDEX('Policy Characteristics'!K:K,MATCH($C409,'Policy Characteristics'!$C:$C,0)))</f>
        <v/>
      </c>
      <c r="R409" s="254" t="str">
        <f>IF(ISBLANK(INDEX('Policy Characteristics'!L:L,MATCH($C409,'Policy Characteristics'!$C:$C,0))),"",INDEX('Policy Characteristics'!L:L,MATCH($C409,'Policy Characteristics'!$C:$C,0)))</f>
        <v/>
      </c>
    </row>
    <row r="410" spans="1:18" s="4" customFormat="1" x14ac:dyDescent="0.3">
      <c r="A410" s="254" t="str">
        <f>IF(ISBLANK(INDEX('Policy Characteristics'!A:A,MATCH($C410,'Policy Characteristics'!$C:$C,0))),"",INDEX('Policy Characteristics'!A:A,MATCH($C410,'Policy Characteristics'!$C:$C,0)))</f>
        <v>Electricity Supply</v>
      </c>
      <c r="B410" s="262" t="str">
        <f>IF(ISBLANK(INDEX('Policy Characteristics'!B:B,MATCH($C410,'Policy Characteristics'!$C:$C,0))),"",INDEX('Policy Characteristics'!B:B,MATCH($C410,'Policy Characteristics'!$C:$C,0)))</f>
        <v>Non BAU Mandated Capacity Construction</v>
      </c>
      <c r="C410" s="254" t="str">
        <f t="shared" si="24"/>
        <v>Boolean Use Non BAU Mandated Capacity Construction Schedule</v>
      </c>
      <c r="D410" s="6" t="s">
        <v>2425</v>
      </c>
      <c r="E410" s="45"/>
      <c r="F410" s="6" t="s">
        <v>436</v>
      </c>
      <c r="G410" s="45"/>
      <c r="H410" s="43">
        <v>641</v>
      </c>
      <c r="I410" s="324" t="s">
        <v>44</v>
      </c>
      <c r="J410" s="255" t="str">
        <f>IF(ISBLANK(INDEX('Policy Characteristics'!D:D,MATCH($C410,'Policy Characteristics'!$C:$C,0))),"",INDEX('Policy Characteristics'!D:D,MATCH($C410,'Policy Characteristics'!$C:$C,0)))</f>
        <v>Non BAU Mandated Capacity Construction</v>
      </c>
      <c r="K410" s="254" t="str">
        <f>IF(ISBLANK(INDEX('Policy Characteristics'!E:E,MATCH($C410,'Policy Characteristics'!$C:$C,0))),"",INDEX('Policy Characteristics'!E:E,MATCH($C410,'Policy Characteristics'!$C:$C,0)))</f>
        <v/>
      </c>
      <c r="L410" s="254">
        <f>IF(ISBLANK(INDEX('Policy Characteristics'!F:F,MATCH($C410,'Policy Characteristics'!$C:$C,0))),"",INDEX('Policy Characteristics'!F:F,MATCH($C410,'Policy Characteristics'!$C:$C,0)))</f>
        <v>0</v>
      </c>
      <c r="M410" s="254">
        <f>IF(ISBLANK(INDEX('Policy Characteristics'!G:G,MATCH($C410,'Policy Characteristics'!$C:$C,0))),"",INDEX('Policy Characteristics'!G:G,MATCH($C410,'Policy Characteristics'!$C:$C,0)))</f>
        <v>1</v>
      </c>
      <c r="N410" s="254">
        <f>IF(ISBLANK(INDEX('Policy Characteristics'!H:H,MATCH($C410,'Policy Characteristics'!$C:$C,0))),"",INDEX('Policy Characteristics'!H:H,MATCH($C410,'Policy Characteristics'!$C:$C,0)))</f>
        <v>1</v>
      </c>
      <c r="O410" s="254" t="str">
        <f>IF(ISBLANK(INDEX('Policy Characteristics'!I:I,MATCH($C410,'Policy Characteristics'!$C:$C,0))),"",INDEX('Policy Characteristics'!I:I,MATCH($C410,'Policy Characteristics'!$C:$C,0)))</f>
        <v>on/off</v>
      </c>
      <c r="P410" s="254" t="str">
        <f>IF(ISBLANK(INDEX('Policy Characteristics'!J:J,MATCH($C410,'Policy Characteristics'!$C:$C,0))),"",INDEX('Policy Characteristics'!J:J,MATCH($C410,'Policy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0" s="254" t="str">
        <f>IF(ISBLANK(INDEX('Policy Characteristics'!K:K,MATCH($C410,'Policy Characteristics'!$C:$C,0))),"",INDEX('Policy Characteristics'!K:K,MATCH($C410,'Policy Characteristics'!$C:$C,0)))</f>
        <v/>
      </c>
      <c r="R410" s="254" t="str">
        <f>IF(ISBLANK(INDEX('Policy Characteristics'!L:L,MATCH($C410,'Policy Characteristics'!$C:$C,0))),"",INDEX('Policy Characteristics'!L:L,MATCH($C410,'Policy Characteristics'!$C:$C,0)))</f>
        <v/>
      </c>
    </row>
    <row r="411" spans="1:18" s="4" customFormat="1" x14ac:dyDescent="0.3">
      <c r="A411" s="254" t="str">
        <f>IF(ISBLANK(INDEX('Policy Characteristics'!A:A,MATCH($C411,'Policy Characteristics'!$C:$C,0))),"",INDEX('Policy Characteristics'!A:A,MATCH($C411,'Policy Characteristics'!$C:$C,0)))</f>
        <v>Electricity Supply</v>
      </c>
      <c r="B411" s="262" t="str">
        <f>IF(ISBLANK(INDEX('Policy Characteristics'!B:B,MATCH($C411,'Policy Characteristics'!$C:$C,0))),"",INDEX('Policy Characteristics'!B:B,MATCH($C411,'Policy Characteristics'!$C:$C,0)))</f>
        <v>Non BAU Mandated Capacity Construction</v>
      </c>
      <c r="C411" s="254" t="str">
        <f t="shared" si="24"/>
        <v>Boolean Use Non BAU Mandated Capacity Construction Schedule</v>
      </c>
      <c r="D411" s="6" t="s">
        <v>308</v>
      </c>
      <c r="E411" s="45"/>
      <c r="F411" s="6" t="s">
        <v>310</v>
      </c>
      <c r="G411" s="45"/>
      <c r="H411" s="43">
        <v>642</v>
      </c>
      <c r="I411" s="324" t="s">
        <v>44</v>
      </c>
      <c r="J411" s="255" t="str">
        <f>IF(ISBLANK(INDEX('Policy Characteristics'!D:D,MATCH($C411,'Policy Characteristics'!$C:$C,0))),"",INDEX('Policy Characteristics'!D:D,MATCH($C411,'Policy Characteristics'!$C:$C,0)))</f>
        <v>Non BAU Mandated Capacity Construction</v>
      </c>
      <c r="K411" s="254" t="str">
        <f>IF(ISBLANK(INDEX('Policy Characteristics'!E:E,MATCH($C411,'Policy Characteristics'!$C:$C,0))),"",INDEX('Policy Characteristics'!E:E,MATCH($C411,'Policy Characteristics'!$C:$C,0)))</f>
        <v/>
      </c>
      <c r="L411" s="254">
        <f>IF(ISBLANK(INDEX('Policy Characteristics'!F:F,MATCH($C411,'Policy Characteristics'!$C:$C,0))),"",INDEX('Policy Characteristics'!F:F,MATCH($C411,'Policy Characteristics'!$C:$C,0)))</f>
        <v>0</v>
      </c>
      <c r="M411" s="254">
        <f>IF(ISBLANK(INDEX('Policy Characteristics'!G:G,MATCH($C411,'Policy Characteristics'!$C:$C,0))),"",INDEX('Policy Characteristics'!G:G,MATCH($C411,'Policy Characteristics'!$C:$C,0)))</f>
        <v>1</v>
      </c>
      <c r="N411" s="254">
        <f>IF(ISBLANK(INDEX('Policy Characteristics'!H:H,MATCH($C411,'Policy Characteristics'!$C:$C,0))),"",INDEX('Policy Characteristics'!H:H,MATCH($C411,'Policy Characteristics'!$C:$C,0)))</f>
        <v>1</v>
      </c>
      <c r="O411" s="254" t="str">
        <f>IF(ISBLANK(INDEX('Policy Characteristics'!I:I,MATCH($C411,'Policy Characteristics'!$C:$C,0))),"",INDEX('Policy Characteristics'!I:I,MATCH($C411,'Policy Characteristics'!$C:$C,0)))</f>
        <v>on/off</v>
      </c>
      <c r="P411" s="254" t="str">
        <f>IF(ISBLANK(INDEX('Policy Characteristics'!J:J,MATCH($C411,'Policy Characteristics'!$C:$C,0))),"",INDEX('Policy Characteristics'!J:J,MATCH($C411,'Policy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1" s="254" t="str">
        <f>IF(ISBLANK(INDEX('Policy Characteristics'!K:K,MATCH($C411,'Policy Characteristics'!$C:$C,0))),"",INDEX('Policy Characteristics'!K:K,MATCH($C411,'Policy Characteristics'!$C:$C,0)))</f>
        <v/>
      </c>
      <c r="R411" s="254" t="str">
        <f>IF(ISBLANK(INDEX('Policy Characteristics'!L:L,MATCH($C411,'Policy Characteristics'!$C:$C,0))),"",INDEX('Policy Characteristics'!L:L,MATCH($C411,'Policy Characteristics'!$C:$C,0)))</f>
        <v/>
      </c>
    </row>
    <row r="412" spans="1:18" s="4" customFormat="1" x14ac:dyDescent="0.3">
      <c r="A412" s="254" t="str">
        <f>IF(ISBLANK(INDEX('Policy Characteristics'!A:A,MATCH($C412,'Policy Characteristics'!$C:$C,0))),"",INDEX('Policy Characteristics'!A:A,MATCH($C412,'Policy Characteristics'!$C:$C,0)))</f>
        <v>Electricity Supply</v>
      </c>
      <c r="B412" s="262" t="str">
        <f>IF(ISBLANK(INDEX('Policy Characteristics'!B:B,MATCH($C412,'Policy Characteristics'!$C:$C,0))),"",INDEX('Policy Characteristics'!B:B,MATCH($C412,'Policy Characteristics'!$C:$C,0)))</f>
        <v>Non BAU Mandated Capacity Construction</v>
      </c>
      <c r="C412" s="254" t="str">
        <f t="shared" si="24"/>
        <v>Boolean Use Non BAU Mandated Capacity Construction Schedule</v>
      </c>
      <c r="D412" s="6" t="s">
        <v>309</v>
      </c>
      <c r="E412" s="45"/>
      <c r="F412" s="6" t="s">
        <v>311</v>
      </c>
      <c r="G412" s="45"/>
      <c r="H412" s="43">
        <v>643</v>
      </c>
      <c r="I412" s="324" t="s">
        <v>44</v>
      </c>
      <c r="J412" s="255" t="str">
        <f>IF(ISBLANK(INDEX('Policy Characteristics'!D:D,MATCH($C412,'Policy Characteristics'!$C:$C,0))),"",INDEX('Policy Characteristics'!D:D,MATCH($C412,'Policy Characteristics'!$C:$C,0)))</f>
        <v>Non BAU Mandated Capacity Construction</v>
      </c>
      <c r="K412" s="254" t="str">
        <f>IF(ISBLANK(INDEX('Policy Characteristics'!E:E,MATCH($C412,'Policy Characteristics'!$C:$C,0))),"",INDEX('Policy Characteristics'!E:E,MATCH($C412,'Policy Characteristics'!$C:$C,0)))</f>
        <v/>
      </c>
      <c r="L412" s="254">
        <f>IF(ISBLANK(INDEX('Policy Characteristics'!F:F,MATCH($C412,'Policy Characteristics'!$C:$C,0))),"",INDEX('Policy Characteristics'!F:F,MATCH($C412,'Policy Characteristics'!$C:$C,0)))</f>
        <v>0</v>
      </c>
      <c r="M412" s="254">
        <f>IF(ISBLANK(INDEX('Policy Characteristics'!G:G,MATCH($C412,'Policy Characteristics'!$C:$C,0))),"",INDEX('Policy Characteristics'!G:G,MATCH($C412,'Policy Characteristics'!$C:$C,0)))</f>
        <v>1</v>
      </c>
      <c r="N412" s="254">
        <f>IF(ISBLANK(INDEX('Policy Characteristics'!H:H,MATCH($C412,'Policy Characteristics'!$C:$C,0))),"",INDEX('Policy Characteristics'!H:H,MATCH($C412,'Policy Characteristics'!$C:$C,0)))</f>
        <v>1</v>
      </c>
      <c r="O412" s="254" t="str">
        <f>IF(ISBLANK(INDEX('Policy Characteristics'!I:I,MATCH($C412,'Policy Characteristics'!$C:$C,0))),"",INDEX('Policy Characteristics'!I:I,MATCH($C412,'Policy Characteristics'!$C:$C,0)))</f>
        <v>on/off</v>
      </c>
      <c r="P412" s="254" t="str">
        <f>IF(ISBLANK(INDEX('Policy Characteristics'!J:J,MATCH($C412,'Policy Characteristics'!$C:$C,0))),"",INDEX('Policy Characteristics'!J:J,MATCH($C412,'Policy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2" s="254" t="str">
        <f>IF(ISBLANK(INDEX('Policy Characteristics'!K:K,MATCH($C412,'Policy Characteristics'!$C:$C,0))),"",INDEX('Policy Characteristics'!K:K,MATCH($C412,'Policy Characteristics'!$C:$C,0)))</f>
        <v/>
      </c>
      <c r="R412" s="254" t="str">
        <f>IF(ISBLANK(INDEX('Policy Characteristics'!L:L,MATCH($C412,'Policy Characteristics'!$C:$C,0))),"",INDEX('Policy Characteristics'!L:L,MATCH($C412,'Policy Characteristics'!$C:$C,0)))</f>
        <v/>
      </c>
    </row>
    <row r="413" spans="1:18" s="4" customFormat="1" x14ac:dyDescent="0.3">
      <c r="A413" s="254" t="str">
        <f>IF(ISBLANK(INDEX('Policy Characteristics'!A:A,MATCH($C413,'Policy Characteristics'!$C:$C,0))),"",INDEX('Policy Characteristics'!A:A,MATCH($C413,'Policy Characteristics'!$C:$C,0)))</f>
        <v>Electricity Supply</v>
      </c>
      <c r="B413" s="262" t="str">
        <f>IF(ISBLANK(INDEX('Policy Characteristics'!B:B,MATCH($C413,'Policy Characteristics'!$C:$C,0))),"",INDEX('Policy Characteristics'!B:B,MATCH($C413,'Policy Characteristics'!$C:$C,0)))</f>
        <v>Non BAU Mandated Capacity Construction</v>
      </c>
      <c r="C413" s="254" t="str">
        <f t="shared" si="24"/>
        <v>Boolean Use Non BAU Mandated Capacity Construction Schedule</v>
      </c>
      <c r="D413" s="6" t="s">
        <v>444</v>
      </c>
      <c r="E413" s="45"/>
      <c r="F413" s="6" t="s">
        <v>443</v>
      </c>
      <c r="G413" s="45"/>
      <c r="H413" s="43">
        <v>644</v>
      </c>
      <c r="I413" s="324" t="s">
        <v>44</v>
      </c>
      <c r="J413" s="255" t="str">
        <f>IF(ISBLANK(INDEX('Policy Characteristics'!D:D,MATCH($C413,'Policy Characteristics'!$C:$C,0))),"",INDEX('Policy Characteristics'!D:D,MATCH($C413,'Policy Characteristics'!$C:$C,0)))</f>
        <v>Non BAU Mandated Capacity Construction</v>
      </c>
      <c r="K413" s="254" t="str">
        <f>IF(ISBLANK(INDEX('Policy Characteristics'!E:E,MATCH($C413,'Policy Characteristics'!$C:$C,0))),"",INDEX('Policy Characteristics'!E:E,MATCH($C413,'Policy Characteristics'!$C:$C,0)))</f>
        <v/>
      </c>
      <c r="L413" s="254">
        <f>IF(ISBLANK(INDEX('Policy Characteristics'!F:F,MATCH($C413,'Policy Characteristics'!$C:$C,0))),"",INDEX('Policy Characteristics'!F:F,MATCH($C413,'Policy Characteristics'!$C:$C,0)))</f>
        <v>0</v>
      </c>
      <c r="M413" s="254">
        <f>IF(ISBLANK(INDEX('Policy Characteristics'!G:G,MATCH($C413,'Policy Characteristics'!$C:$C,0))),"",INDEX('Policy Characteristics'!G:G,MATCH($C413,'Policy Characteristics'!$C:$C,0)))</f>
        <v>1</v>
      </c>
      <c r="N413" s="254">
        <f>IF(ISBLANK(INDEX('Policy Characteristics'!H:H,MATCH($C413,'Policy Characteristics'!$C:$C,0))),"",INDEX('Policy Characteristics'!H:H,MATCH($C413,'Policy Characteristics'!$C:$C,0)))</f>
        <v>1</v>
      </c>
      <c r="O413" s="254" t="str">
        <f>IF(ISBLANK(INDEX('Policy Characteristics'!I:I,MATCH($C413,'Policy Characteristics'!$C:$C,0))),"",INDEX('Policy Characteristics'!I:I,MATCH($C413,'Policy Characteristics'!$C:$C,0)))</f>
        <v>on/off</v>
      </c>
      <c r="P413" s="254" t="str">
        <f>IF(ISBLANK(INDEX('Policy Characteristics'!J:J,MATCH($C413,'Policy Characteristics'!$C:$C,0))),"",INDEX('Policy Characteristics'!J:J,MATCH($C413,'Policy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3" s="254" t="str">
        <f>IF(ISBLANK(INDEX('Policy Characteristics'!K:K,MATCH($C413,'Policy Characteristics'!$C:$C,0))),"",INDEX('Policy Characteristics'!K:K,MATCH($C413,'Policy Characteristics'!$C:$C,0)))</f>
        <v/>
      </c>
      <c r="R413" s="254" t="str">
        <f>IF(ISBLANK(INDEX('Policy Characteristics'!L:L,MATCH($C413,'Policy Characteristics'!$C:$C,0))),"",INDEX('Policy Characteristics'!L:L,MATCH($C413,'Policy Characteristics'!$C:$C,0)))</f>
        <v/>
      </c>
    </row>
    <row r="414" spans="1:18" s="4" customFormat="1" x14ac:dyDescent="0.3">
      <c r="A414" s="254" t="str">
        <f>IF(ISBLANK(INDEX('Policy Characteristics'!A:A,MATCH($C414,'Policy Characteristics'!$C:$C,0))),"",INDEX('Policy Characteristics'!A:A,MATCH($C414,'Policy Characteristics'!$C:$C,0)))</f>
        <v>Electricity Supply</v>
      </c>
      <c r="B414" s="262" t="str">
        <f>IF(ISBLANK(INDEX('Policy Characteristics'!B:B,MATCH($C414,'Policy Characteristics'!$C:$C,0))),"",INDEX('Policy Characteristics'!B:B,MATCH($C414,'Policy Characteristics'!$C:$C,0)))</f>
        <v>Non BAU Mandated Capacity Construction</v>
      </c>
      <c r="C414" s="254" t="str">
        <f t="shared" si="24"/>
        <v>Boolean Use Non BAU Mandated Capacity Construction Schedule</v>
      </c>
      <c r="D414" s="6" t="s">
        <v>453</v>
      </c>
      <c r="E414" s="45"/>
      <c r="F414" s="6" t="s">
        <v>454</v>
      </c>
      <c r="G414" s="45"/>
      <c r="H414" s="43">
        <v>645</v>
      </c>
      <c r="I414" s="324" t="s">
        <v>43</v>
      </c>
      <c r="J414" s="255" t="str">
        <f>IF(ISBLANK(INDEX('Policy Characteristics'!D:D,MATCH($C414,'Policy Characteristics'!$C:$C,0))),"",INDEX('Policy Characteristics'!D:D,MATCH($C414,'Policy Characteristics'!$C:$C,0)))</f>
        <v>Non BAU Mandated Capacity Construction</v>
      </c>
      <c r="K414" s="254" t="str">
        <f>IF(ISBLANK(INDEX('Policy Characteristics'!E:E,MATCH($C414,'Policy Characteristics'!$C:$C,0))),"",INDEX('Policy Characteristics'!E:E,MATCH($C414,'Policy Characteristics'!$C:$C,0)))</f>
        <v/>
      </c>
      <c r="L414" s="254">
        <f>IF(ISBLANK(INDEX('Policy Characteristics'!F:F,MATCH($C414,'Policy Characteristics'!$C:$C,0))),"",INDEX('Policy Characteristics'!F:F,MATCH($C414,'Policy Characteristics'!$C:$C,0)))</f>
        <v>0</v>
      </c>
      <c r="M414" s="254">
        <f>IF(ISBLANK(INDEX('Policy Characteristics'!G:G,MATCH($C414,'Policy Characteristics'!$C:$C,0))),"",INDEX('Policy Characteristics'!G:G,MATCH($C414,'Policy Characteristics'!$C:$C,0)))</f>
        <v>1</v>
      </c>
      <c r="N414" s="254">
        <f>IF(ISBLANK(INDEX('Policy Characteristics'!H:H,MATCH($C414,'Policy Characteristics'!$C:$C,0))),"",INDEX('Policy Characteristics'!H:H,MATCH($C414,'Policy Characteristics'!$C:$C,0)))</f>
        <v>1</v>
      </c>
      <c r="O414" s="254" t="str">
        <f>IF(ISBLANK(INDEX('Policy Characteristics'!I:I,MATCH($C414,'Policy Characteristics'!$C:$C,0))),"",INDEX('Policy Characteristics'!I:I,MATCH($C414,'Policy Characteristics'!$C:$C,0)))</f>
        <v>on/off</v>
      </c>
      <c r="P414" s="254" t="str">
        <f>IF(ISBLANK(INDEX('Policy Characteristics'!J:J,MATCH($C414,'Policy Characteristics'!$C:$C,0))),"",INDEX('Policy Characteristics'!J:J,MATCH($C414,'Policy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4" s="254" t="str">
        <f>IF(ISBLANK(INDEX('Policy Characteristics'!K:K,MATCH($C414,'Policy Characteristics'!$C:$C,0))),"",INDEX('Policy Characteristics'!K:K,MATCH($C414,'Policy Characteristics'!$C:$C,0)))</f>
        <v/>
      </c>
      <c r="R414" s="254" t="str">
        <f>IF(ISBLANK(INDEX('Policy Characteristics'!L:L,MATCH($C414,'Policy Characteristics'!$C:$C,0))),"",INDEX('Policy Characteristics'!L:L,MATCH($C414,'Policy Characteristics'!$C:$C,0)))</f>
        <v/>
      </c>
    </row>
    <row r="415" spans="1:18" s="4" customFormat="1" x14ac:dyDescent="0.3">
      <c r="A415" s="254" t="str">
        <f>IF(ISBLANK(INDEX('Policy Characteristics'!A:A,MATCH($C415,'Policy Characteristics'!$C:$C,0))),"",INDEX('Policy Characteristics'!A:A,MATCH($C415,'Policy Characteristics'!$C:$C,0)))</f>
        <v>Electricity Supply</v>
      </c>
      <c r="B415" s="262" t="str">
        <f>IF(ISBLANK(INDEX('Policy Characteristics'!B:B,MATCH($C415,'Policy Characteristics'!$C:$C,0))),"",INDEX('Policy Characteristics'!B:B,MATCH($C415,'Policy Characteristics'!$C:$C,0)))</f>
        <v>Non BAU Mandated Capacity Construction</v>
      </c>
      <c r="C415" s="254" t="str">
        <f t="shared" si="24"/>
        <v>Boolean Use Non BAU Mandated Capacity Construction Schedule</v>
      </c>
      <c r="D415" s="6" t="s">
        <v>2748</v>
      </c>
      <c r="E415" s="45"/>
      <c r="F415" s="6" t="s">
        <v>2469</v>
      </c>
      <c r="G415" s="45"/>
      <c r="H415" s="43">
        <v>646</v>
      </c>
      <c r="I415" s="324" t="s">
        <v>44</v>
      </c>
      <c r="J415" s="255" t="str">
        <f>IF(ISBLANK(INDEX('Policy Characteristics'!D:D,MATCH($C415,'Policy Characteristics'!$C:$C,0))),"",INDEX('Policy Characteristics'!D:D,MATCH($C415,'Policy Characteristics'!$C:$C,0)))</f>
        <v>Non BAU Mandated Capacity Construction</v>
      </c>
      <c r="K415" s="254" t="str">
        <f>IF(ISBLANK(INDEX('Policy Characteristics'!E:E,MATCH($C415,'Policy Characteristics'!$C:$C,0))),"",INDEX('Policy Characteristics'!E:E,MATCH($C415,'Policy Characteristics'!$C:$C,0)))</f>
        <v/>
      </c>
      <c r="L415" s="254">
        <f>IF(ISBLANK(INDEX('Policy Characteristics'!F:F,MATCH($C415,'Policy Characteristics'!$C:$C,0))),"",INDEX('Policy Characteristics'!F:F,MATCH($C415,'Policy Characteristics'!$C:$C,0)))</f>
        <v>0</v>
      </c>
      <c r="M415" s="254">
        <f>IF(ISBLANK(INDEX('Policy Characteristics'!G:G,MATCH($C415,'Policy Characteristics'!$C:$C,0))),"",INDEX('Policy Characteristics'!G:G,MATCH($C415,'Policy Characteristics'!$C:$C,0)))</f>
        <v>1</v>
      </c>
      <c r="N415" s="254">
        <f>IF(ISBLANK(INDEX('Policy Characteristics'!H:H,MATCH($C415,'Policy Characteristics'!$C:$C,0))),"",INDEX('Policy Characteristics'!H:H,MATCH($C415,'Policy Characteristics'!$C:$C,0)))</f>
        <v>1</v>
      </c>
      <c r="O415" s="254" t="str">
        <f>IF(ISBLANK(INDEX('Policy Characteristics'!I:I,MATCH($C415,'Policy Characteristics'!$C:$C,0))),"",INDEX('Policy Characteristics'!I:I,MATCH($C415,'Policy Characteristics'!$C:$C,0)))</f>
        <v>on/off</v>
      </c>
      <c r="P415" s="254" t="str">
        <f>IF(ISBLANK(INDEX('Policy Characteristics'!J:J,MATCH($C415,'Policy Characteristics'!$C:$C,0))),"",INDEX('Policy Characteristics'!J:J,MATCH($C415,'Policy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5" s="254" t="str">
        <f>IF(ISBLANK(INDEX('Policy Characteristics'!K:K,MATCH($C415,'Policy Characteristics'!$C:$C,0))),"",INDEX('Policy Characteristics'!K:K,MATCH($C415,'Policy Characteristics'!$C:$C,0)))</f>
        <v/>
      </c>
      <c r="R415" s="254" t="str">
        <f>IF(ISBLANK(INDEX('Policy Characteristics'!L:L,MATCH($C415,'Policy Characteristics'!$C:$C,0))),"",INDEX('Policy Characteristics'!L:L,MATCH($C415,'Policy Characteristics'!$C:$C,0)))</f>
        <v/>
      </c>
    </row>
    <row r="416" spans="1:18" s="4" customFormat="1" x14ac:dyDescent="0.3">
      <c r="A416" s="254" t="str">
        <f>IF(ISBLANK(INDEX('Policy Characteristics'!A:A,MATCH($C416,'Policy Characteristics'!$C:$C,0))),"",INDEX('Policy Characteristics'!A:A,MATCH($C416,'Policy Characteristics'!$C:$C,0)))</f>
        <v>Electricity Supply</v>
      </c>
      <c r="B416" s="262" t="str">
        <f>IF(ISBLANK(INDEX('Policy Characteristics'!B:B,MATCH($C416,'Policy Characteristics'!$C:$C,0))),"",INDEX('Policy Characteristics'!B:B,MATCH($C416,'Policy Characteristics'!$C:$C,0)))</f>
        <v>Non BAU Mandated Capacity Construction</v>
      </c>
      <c r="C416" s="254" t="str">
        <f t="shared" si="24"/>
        <v>Boolean Use Non BAU Mandated Capacity Construction Schedule</v>
      </c>
      <c r="D416" s="6" t="s">
        <v>2749</v>
      </c>
      <c r="E416" s="45"/>
      <c r="F416" s="6" t="s">
        <v>2592</v>
      </c>
      <c r="G416" s="45"/>
      <c r="H416" s="43">
        <v>647</v>
      </c>
      <c r="I416" s="324" t="s">
        <v>44</v>
      </c>
      <c r="J416" s="255" t="str">
        <f>IF(ISBLANK(INDEX('Policy Characteristics'!D:D,MATCH($C416,'Policy Characteristics'!$C:$C,0))),"",INDEX('Policy Characteristics'!D:D,MATCH($C416,'Policy Characteristics'!$C:$C,0)))</f>
        <v>Non BAU Mandated Capacity Construction</v>
      </c>
      <c r="K416" s="254" t="str">
        <f>IF(ISBLANK(INDEX('Policy Characteristics'!E:E,MATCH($C416,'Policy Characteristics'!$C:$C,0))),"",INDEX('Policy Characteristics'!E:E,MATCH($C416,'Policy Characteristics'!$C:$C,0)))</f>
        <v/>
      </c>
      <c r="L416" s="254">
        <f>IF(ISBLANK(INDEX('Policy Characteristics'!F:F,MATCH($C416,'Policy Characteristics'!$C:$C,0))),"",INDEX('Policy Characteristics'!F:F,MATCH($C416,'Policy Characteristics'!$C:$C,0)))</f>
        <v>0</v>
      </c>
      <c r="M416" s="254">
        <f>IF(ISBLANK(INDEX('Policy Characteristics'!G:G,MATCH($C416,'Policy Characteristics'!$C:$C,0))),"",INDEX('Policy Characteristics'!G:G,MATCH($C416,'Policy Characteristics'!$C:$C,0)))</f>
        <v>1</v>
      </c>
      <c r="N416" s="254">
        <f>IF(ISBLANK(INDEX('Policy Characteristics'!H:H,MATCH($C416,'Policy Characteristics'!$C:$C,0))),"",INDEX('Policy Characteristics'!H:H,MATCH($C416,'Policy Characteristics'!$C:$C,0)))</f>
        <v>1</v>
      </c>
      <c r="O416" s="254" t="str">
        <f>IF(ISBLANK(INDEX('Policy Characteristics'!I:I,MATCH($C416,'Policy Characteristics'!$C:$C,0))),"",INDEX('Policy Characteristics'!I:I,MATCH($C416,'Policy Characteristics'!$C:$C,0)))</f>
        <v>on/off</v>
      </c>
      <c r="P416" s="254" t="str">
        <f>IF(ISBLANK(INDEX('Policy Characteristics'!J:J,MATCH($C416,'Policy Characteristics'!$C:$C,0))),"",INDEX('Policy Characteristics'!J:J,MATCH($C416,'Policy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6" s="254" t="str">
        <f>IF(ISBLANK(INDEX('Policy Characteristics'!K:K,MATCH($C416,'Policy Characteristics'!$C:$C,0))),"",INDEX('Policy Characteristics'!K:K,MATCH($C416,'Policy Characteristics'!$C:$C,0)))</f>
        <v/>
      </c>
      <c r="R416" s="254" t="str">
        <f>IF(ISBLANK(INDEX('Policy Characteristics'!L:L,MATCH($C416,'Policy Characteristics'!$C:$C,0))),"",INDEX('Policy Characteristics'!L:L,MATCH($C416,'Policy Characteristics'!$C:$C,0)))</f>
        <v/>
      </c>
    </row>
    <row r="417" spans="1:18" s="4" customFormat="1" x14ac:dyDescent="0.3">
      <c r="A417" s="254" t="str">
        <f>IF(ISBLANK(INDEX('Policy Characteristics'!A:A,MATCH($C417,'Policy Characteristics'!$C:$C,0))),"",INDEX('Policy Characteristics'!A:A,MATCH($C417,'Policy Characteristics'!$C:$C,0)))</f>
        <v>Electricity Supply</v>
      </c>
      <c r="B417" s="262" t="str">
        <f>IF(ISBLANK(INDEX('Policy Characteristics'!B:B,MATCH($C417,'Policy Characteristics'!$C:$C,0))),"",INDEX('Policy Characteristics'!B:B,MATCH($C417,'Policy Characteristics'!$C:$C,0)))</f>
        <v>Non BAU Mandated Capacity Construction</v>
      </c>
      <c r="C417" s="254" t="str">
        <f t="shared" si="24"/>
        <v>Boolean Use Non BAU Mandated Capacity Construction Schedule</v>
      </c>
      <c r="D417" s="6" t="s">
        <v>2750</v>
      </c>
      <c r="E417" s="45"/>
      <c r="F417" s="6" t="s">
        <v>2471</v>
      </c>
      <c r="G417" s="45"/>
      <c r="H417" s="43">
        <v>648</v>
      </c>
      <c r="I417" s="324" t="s">
        <v>44</v>
      </c>
      <c r="J417" s="255" t="str">
        <f>IF(ISBLANK(INDEX('Policy Characteristics'!D:D,MATCH($C417,'Policy Characteristics'!$C:$C,0))),"",INDEX('Policy Characteristics'!D:D,MATCH($C417,'Policy Characteristics'!$C:$C,0)))</f>
        <v>Non BAU Mandated Capacity Construction</v>
      </c>
      <c r="K417" s="254" t="str">
        <f>IF(ISBLANK(INDEX('Policy Characteristics'!E:E,MATCH($C417,'Policy Characteristics'!$C:$C,0))),"",INDEX('Policy Characteristics'!E:E,MATCH($C417,'Policy Characteristics'!$C:$C,0)))</f>
        <v/>
      </c>
      <c r="L417" s="254">
        <f>IF(ISBLANK(INDEX('Policy Characteristics'!F:F,MATCH($C417,'Policy Characteristics'!$C:$C,0))),"",INDEX('Policy Characteristics'!F:F,MATCH($C417,'Policy Characteristics'!$C:$C,0)))</f>
        <v>0</v>
      </c>
      <c r="M417" s="254">
        <f>IF(ISBLANK(INDEX('Policy Characteristics'!G:G,MATCH($C417,'Policy Characteristics'!$C:$C,0))),"",INDEX('Policy Characteristics'!G:G,MATCH($C417,'Policy Characteristics'!$C:$C,0)))</f>
        <v>1</v>
      </c>
      <c r="N417" s="254">
        <f>IF(ISBLANK(INDEX('Policy Characteristics'!H:H,MATCH($C417,'Policy Characteristics'!$C:$C,0))),"",INDEX('Policy Characteristics'!H:H,MATCH($C417,'Policy Characteristics'!$C:$C,0)))</f>
        <v>1</v>
      </c>
      <c r="O417" s="254" t="str">
        <f>IF(ISBLANK(INDEX('Policy Characteristics'!I:I,MATCH($C417,'Policy Characteristics'!$C:$C,0))),"",INDEX('Policy Characteristics'!I:I,MATCH($C417,'Policy Characteristics'!$C:$C,0)))</f>
        <v>on/off</v>
      </c>
      <c r="P417" s="254" t="str">
        <f>IF(ISBLANK(INDEX('Policy Characteristics'!J:J,MATCH($C417,'Policy Characteristics'!$C:$C,0))),"",INDEX('Policy Characteristics'!J:J,MATCH($C417,'Policy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7" s="254" t="str">
        <f>IF(ISBLANK(INDEX('Policy Characteristics'!K:K,MATCH($C417,'Policy Characteristics'!$C:$C,0))),"",INDEX('Policy Characteristics'!K:K,MATCH($C417,'Policy Characteristics'!$C:$C,0)))</f>
        <v/>
      </c>
      <c r="R417" s="254" t="str">
        <f>IF(ISBLANK(INDEX('Policy Characteristics'!L:L,MATCH($C417,'Policy Characteristics'!$C:$C,0))),"",INDEX('Policy Characteristics'!L:L,MATCH($C417,'Policy Characteristics'!$C:$C,0)))</f>
        <v/>
      </c>
    </row>
    <row r="418" spans="1:18" s="4" customFormat="1" x14ac:dyDescent="0.3">
      <c r="A418" s="254" t="str">
        <f>IF(ISBLANK(INDEX('Policy Characteristics'!A:A,MATCH($C418,'Policy Characteristics'!$C:$C,0))),"",INDEX('Policy Characteristics'!A:A,MATCH($C418,'Policy Characteristics'!$C:$C,0)))</f>
        <v>Electricity Supply</v>
      </c>
      <c r="B418" s="262" t="str">
        <f>IF(ISBLANK(INDEX('Policy Characteristics'!B:B,MATCH($C418,'Policy Characteristics'!$C:$C,0))),"",INDEX('Policy Characteristics'!B:B,MATCH($C418,'Policy Characteristics'!$C:$C,0)))</f>
        <v>Non BAU Mandated Capacity Construction</v>
      </c>
      <c r="C418" s="254" t="str">
        <f t="shared" si="24"/>
        <v>Boolean Use Non BAU Mandated Capacity Construction Schedule</v>
      </c>
      <c r="D418" s="6" t="s">
        <v>3487</v>
      </c>
      <c r="E418" s="45"/>
      <c r="F418" s="6" t="s">
        <v>3494</v>
      </c>
      <c r="G418" s="45"/>
      <c r="H418" s="43">
        <v>1775</v>
      </c>
      <c r="I418" s="324" t="s">
        <v>44</v>
      </c>
      <c r="J418" s="255" t="str">
        <f>IF(ISBLANK(INDEX('Policy Characteristics'!D:D,MATCH($C418,'Policy Characteristics'!$C:$C,0))),"",INDEX('Policy Characteristics'!D:D,MATCH($C418,'Policy Characteristics'!$C:$C,0)))</f>
        <v>Non BAU Mandated Capacity Construction</v>
      </c>
      <c r="K418" s="254" t="str">
        <f>IF(ISBLANK(INDEX('Policy Characteristics'!E:E,MATCH($C418,'Policy Characteristics'!$C:$C,0))),"",INDEX('Policy Characteristics'!E:E,MATCH($C418,'Policy Characteristics'!$C:$C,0)))</f>
        <v/>
      </c>
      <c r="L418" s="254">
        <f>IF(ISBLANK(INDEX('Policy Characteristics'!F:F,MATCH($C418,'Policy Characteristics'!$C:$C,0))),"",INDEX('Policy Characteristics'!F:F,MATCH($C418,'Policy Characteristics'!$C:$C,0)))</f>
        <v>0</v>
      </c>
      <c r="M418" s="254">
        <f>IF(ISBLANK(INDEX('Policy Characteristics'!G:G,MATCH($C418,'Policy Characteristics'!$C:$C,0))),"",INDEX('Policy Characteristics'!G:G,MATCH($C418,'Policy Characteristics'!$C:$C,0)))</f>
        <v>1</v>
      </c>
      <c r="N418" s="254">
        <f>IF(ISBLANK(INDEX('Policy Characteristics'!H:H,MATCH($C418,'Policy Characteristics'!$C:$C,0))),"",INDEX('Policy Characteristics'!H:H,MATCH($C418,'Policy Characteristics'!$C:$C,0)))</f>
        <v>1</v>
      </c>
      <c r="O418" s="254" t="str">
        <f>IF(ISBLANK(INDEX('Policy Characteristics'!I:I,MATCH($C418,'Policy Characteristics'!$C:$C,0))),"",INDEX('Policy Characteristics'!I:I,MATCH($C418,'Policy Characteristics'!$C:$C,0)))</f>
        <v>on/off</v>
      </c>
      <c r="P418" s="254" t="str">
        <f>IF(ISBLANK(INDEX('Policy Characteristics'!J:J,MATCH($C418,'Policy Characteristics'!$C:$C,0))),"",INDEX('Policy Characteristics'!J:J,MATCH($C418,'Policy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8" s="254" t="str">
        <f>IF(ISBLANK(INDEX('Policy Characteristics'!K:K,MATCH($C418,'Policy Characteristics'!$C:$C,0))),"",INDEX('Policy Characteristics'!K:K,MATCH($C418,'Policy Characteristics'!$C:$C,0)))</f>
        <v/>
      </c>
      <c r="R418" s="254" t="str">
        <f>IF(ISBLANK(INDEX('Policy Characteristics'!L:L,MATCH($C418,'Policy Characteristics'!$C:$C,0))),"",INDEX('Policy Characteristics'!L:L,MATCH($C418,'Policy Characteristics'!$C:$C,0)))</f>
        <v/>
      </c>
    </row>
    <row r="419" spans="1:18" s="4" customFormat="1" x14ac:dyDescent="0.3">
      <c r="A419" s="254" t="str">
        <f>IF(ISBLANK(INDEX('Policy Characteristics'!A:A,MATCH($C419,'Policy Characteristics'!$C:$C,0))),"",INDEX('Policy Characteristics'!A:A,MATCH($C419,'Policy Characteristics'!$C:$C,0)))</f>
        <v>Electricity Supply</v>
      </c>
      <c r="B419" s="262" t="str">
        <f>IF(ISBLANK(INDEX('Policy Characteristics'!B:B,MATCH($C419,'Policy Characteristics'!$C:$C,0))),"",INDEX('Policy Characteristics'!B:B,MATCH($C419,'Policy Characteristics'!$C:$C,0)))</f>
        <v>Non BAU Mandated Capacity Construction</v>
      </c>
      <c r="C419" s="254" t="str">
        <f t="shared" si="24"/>
        <v>Boolean Use Non BAU Mandated Capacity Construction Schedule</v>
      </c>
      <c r="D419" s="6" t="s">
        <v>3490</v>
      </c>
      <c r="E419" s="45"/>
      <c r="F419" s="6" t="s">
        <v>3495</v>
      </c>
      <c r="G419" s="45"/>
      <c r="H419" s="43">
        <v>1776</v>
      </c>
      <c r="I419" s="324" t="s">
        <v>44</v>
      </c>
      <c r="J419" s="255" t="str">
        <f>IF(ISBLANK(INDEX('Policy Characteristics'!D:D,MATCH($C419,'Policy Characteristics'!$C:$C,0))),"",INDEX('Policy Characteristics'!D:D,MATCH($C419,'Policy Characteristics'!$C:$C,0)))</f>
        <v>Non BAU Mandated Capacity Construction</v>
      </c>
      <c r="K419" s="254" t="str">
        <f>IF(ISBLANK(INDEX('Policy Characteristics'!E:E,MATCH($C419,'Policy Characteristics'!$C:$C,0))),"",INDEX('Policy Characteristics'!E:E,MATCH($C419,'Policy Characteristics'!$C:$C,0)))</f>
        <v/>
      </c>
      <c r="L419" s="254">
        <f>IF(ISBLANK(INDEX('Policy Characteristics'!F:F,MATCH($C419,'Policy Characteristics'!$C:$C,0))),"",INDEX('Policy Characteristics'!F:F,MATCH($C419,'Policy Characteristics'!$C:$C,0)))</f>
        <v>0</v>
      </c>
      <c r="M419" s="254">
        <f>IF(ISBLANK(INDEX('Policy Characteristics'!G:G,MATCH($C419,'Policy Characteristics'!$C:$C,0))),"",INDEX('Policy Characteristics'!G:G,MATCH($C419,'Policy Characteristics'!$C:$C,0)))</f>
        <v>1</v>
      </c>
      <c r="N419" s="254">
        <f>IF(ISBLANK(INDEX('Policy Characteristics'!H:H,MATCH($C419,'Policy Characteristics'!$C:$C,0))),"",INDEX('Policy Characteristics'!H:H,MATCH($C419,'Policy Characteristics'!$C:$C,0)))</f>
        <v>1</v>
      </c>
      <c r="O419" s="254" t="str">
        <f>IF(ISBLANK(INDEX('Policy Characteristics'!I:I,MATCH($C419,'Policy Characteristics'!$C:$C,0))),"",INDEX('Policy Characteristics'!I:I,MATCH($C419,'Policy Characteristics'!$C:$C,0)))</f>
        <v>on/off</v>
      </c>
      <c r="P419" s="254" t="str">
        <f>IF(ISBLANK(INDEX('Policy Characteristics'!J:J,MATCH($C419,'Policy Characteristics'!$C:$C,0))),"",INDEX('Policy Characteristics'!J:J,MATCH($C419,'Policy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19" s="254" t="str">
        <f>IF(ISBLANK(INDEX('Policy Characteristics'!K:K,MATCH($C419,'Policy Characteristics'!$C:$C,0))),"",INDEX('Policy Characteristics'!K:K,MATCH($C419,'Policy Characteristics'!$C:$C,0)))</f>
        <v/>
      </c>
      <c r="R419" s="254" t="str">
        <f>IF(ISBLANK(INDEX('Policy Characteristics'!L:L,MATCH($C419,'Policy Characteristics'!$C:$C,0))),"",INDEX('Policy Characteristics'!L:L,MATCH($C419,'Policy Characteristics'!$C:$C,0)))</f>
        <v/>
      </c>
    </row>
    <row r="420" spans="1:18" s="4" customFormat="1" x14ac:dyDescent="0.3">
      <c r="A420" s="254" t="str">
        <f>IF(ISBLANK(INDEX('Policy Characteristics'!A:A,MATCH($C420,'Policy Characteristics'!$C:$C,0))),"",INDEX('Policy Characteristics'!A:A,MATCH($C420,'Policy Characteristics'!$C:$C,0)))</f>
        <v>Electricity Supply</v>
      </c>
      <c r="B420" s="262" t="str">
        <f>IF(ISBLANK(INDEX('Policy Characteristics'!B:B,MATCH($C420,'Policy Characteristics'!$C:$C,0))),"",INDEX('Policy Characteristics'!B:B,MATCH($C420,'Policy Characteristics'!$C:$C,0)))</f>
        <v>Non BAU Mandated Capacity Construction</v>
      </c>
      <c r="C420" s="254" t="str">
        <f t="shared" si="24"/>
        <v>Boolean Use Non BAU Mandated Capacity Construction Schedule</v>
      </c>
      <c r="D420" s="6" t="s">
        <v>3491</v>
      </c>
      <c r="E420" s="45"/>
      <c r="F420" s="6" t="s">
        <v>3496</v>
      </c>
      <c r="G420" s="45"/>
      <c r="H420" s="43">
        <v>1777</v>
      </c>
      <c r="I420" s="324" t="s">
        <v>44</v>
      </c>
      <c r="J420" s="255" t="str">
        <f>IF(ISBLANK(INDEX('Policy Characteristics'!D:D,MATCH($C420,'Policy Characteristics'!$C:$C,0))),"",INDEX('Policy Characteristics'!D:D,MATCH($C420,'Policy Characteristics'!$C:$C,0)))</f>
        <v>Non BAU Mandated Capacity Construction</v>
      </c>
      <c r="K420" s="254" t="str">
        <f>IF(ISBLANK(INDEX('Policy Characteristics'!E:E,MATCH($C420,'Policy Characteristics'!$C:$C,0))),"",INDEX('Policy Characteristics'!E:E,MATCH($C420,'Policy Characteristics'!$C:$C,0)))</f>
        <v/>
      </c>
      <c r="L420" s="254">
        <f>IF(ISBLANK(INDEX('Policy Characteristics'!F:F,MATCH($C420,'Policy Characteristics'!$C:$C,0))),"",INDEX('Policy Characteristics'!F:F,MATCH($C420,'Policy Characteristics'!$C:$C,0)))</f>
        <v>0</v>
      </c>
      <c r="M420" s="254">
        <f>IF(ISBLANK(INDEX('Policy Characteristics'!G:G,MATCH($C420,'Policy Characteristics'!$C:$C,0))),"",INDEX('Policy Characteristics'!G:G,MATCH($C420,'Policy Characteristics'!$C:$C,0)))</f>
        <v>1</v>
      </c>
      <c r="N420" s="254">
        <f>IF(ISBLANK(INDEX('Policy Characteristics'!H:H,MATCH($C420,'Policy Characteristics'!$C:$C,0))),"",INDEX('Policy Characteristics'!H:H,MATCH($C420,'Policy Characteristics'!$C:$C,0)))</f>
        <v>1</v>
      </c>
      <c r="O420" s="254" t="str">
        <f>IF(ISBLANK(INDEX('Policy Characteristics'!I:I,MATCH($C420,'Policy Characteristics'!$C:$C,0))),"",INDEX('Policy Characteristics'!I:I,MATCH($C420,'Policy Characteristics'!$C:$C,0)))</f>
        <v>on/off</v>
      </c>
      <c r="P420" s="254" t="str">
        <f>IF(ISBLANK(INDEX('Policy Characteristics'!J:J,MATCH($C420,'Policy Characteristics'!$C:$C,0))),"",INDEX('Policy Characteristics'!J:J,MATCH($C420,'Policy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0" s="254" t="str">
        <f>IF(ISBLANK(INDEX('Policy Characteristics'!K:K,MATCH($C420,'Policy Characteristics'!$C:$C,0))),"",INDEX('Policy Characteristics'!K:K,MATCH($C420,'Policy Characteristics'!$C:$C,0)))</f>
        <v/>
      </c>
      <c r="R420" s="254" t="str">
        <f>IF(ISBLANK(INDEX('Policy Characteristics'!L:L,MATCH($C420,'Policy Characteristics'!$C:$C,0))),"",INDEX('Policy Characteristics'!L:L,MATCH($C420,'Policy Characteristics'!$C:$C,0)))</f>
        <v/>
      </c>
    </row>
    <row r="421" spans="1:18" s="4" customFormat="1" x14ac:dyDescent="0.3">
      <c r="A421" s="254" t="str">
        <f>IF(ISBLANK(INDEX('Policy Characteristics'!A:A,MATCH($C421,'Policy Characteristics'!$C:$C,0))),"",INDEX('Policy Characteristics'!A:A,MATCH($C421,'Policy Characteristics'!$C:$C,0)))</f>
        <v>Electricity Supply</v>
      </c>
      <c r="B421" s="262" t="str">
        <f>IF(ISBLANK(INDEX('Policy Characteristics'!B:B,MATCH($C421,'Policy Characteristics'!$C:$C,0))),"",INDEX('Policy Characteristics'!B:B,MATCH($C421,'Policy Characteristics'!$C:$C,0)))</f>
        <v>Non BAU Mandated Capacity Construction</v>
      </c>
      <c r="C421" s="254" t="str">
        <f t="shared" si="24"/>
        <v>Boolean Use Non BAU Mandated Capacity Construction Schedule</v>
      </c>
      <c r="D421" s="6" t="s">
        <v>3492</v>
      </c>
      <c r="E421" s="45"/>
      <c r="F421" s="6" t="s">
        <v>3497</v>
      </c>
      <c r="G421" s="45"/>
      <c r="H421" s="43">
        <v>1778</v>
      </c>
      <c r="I421" s="324" t="s">
        <v>44</v>
      </c>
      <c r="J421" s="255" t="str">
        <f>IF(ISBLANK(INDEX('Policy Characteristics'!D:D,MATCH($C421,'Policy Characteristics'!$C:$C,0))),"",INDEX('Policy Characteristics'!D:D,MATCH($C421,'Policy Characteristics'!$C:$C,0)))</f>
        <v>Non BAU Mandated Capacity Construction</v>
      </c>
      <c r="K421" s="254" t="str">
        <f>IF(ISBLANK(INDEX('Policy Characteristics'!E:E,MATCH($C421,'Policy Characteristics'!$C:$C,0))),"",INDEX('Policy Characteristics'!E:E,MATCH($C421,'Policy Characteristics'!$C:$C,0)))</f>
        <v/>
      </c>
      <c r="L421" s="254">
        <f>IF(ISBLANK(INDEX('Policy Characteristics'!F:F,MATCH($C421,'Policy Characteristics'!$C:$C,0))),"",INDEX('Policy Characteristics'!F:F,MATCH($C421,'Policy Characteristics'!$C:$C,0)))</f>
        <v>0</v>
      </c>
      <c r="M421" s="254">
        <f>IF(ISBLANK(INDEX('Policy Characteristics'!G:G,MATCH($C421,'Policy Characteristics'!$C:$C,0))),"",INDEX('Policy Characteristics'!G:G,MATCH($C421,'Policy Characteristics'!$C:$C,0)))</f>
        <v>1</v>
      </c>
      <c r="N421" s="254">
        <f>IF(ISBLANK(INDEX('Policy Characteristics'!H:H,MATCH($C421,'Policy Characteristics'!$C:$C,0))),"",INDEX('Policy Characteristics'!H:H,MATCH($C421,'Policy Characteristics'!$C:$C,0)))</f>
        <v>1</v>
      </c>
      <c r="O421" s="254" t="str">
        <f>IF(ISBLANK(INDEX('Policy Characteristics'!I:I,MATCH($C421,'Policy Characteristics'!$C:$C,0))),"",INDEX('Policy Characteristics'!I:I,MATCH($C421,'Policy Characteristics'!$C:$C,0)))</f>
        <v>on/off</v>
      </c>
      <c r="P421" s="254" t="str">
        <f>IF(ISBLANK(INDEX('Policy Characteristics'!J:J,MATCH($C421,'Policy Characteristics'!$C:$C,0))),"",INDEX('Policy Characteristics'!J:J,MATCH($C421,'Policy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1" s="254" t="str">
        <f>IF(ISBLANK(INDEX('Policy Characteristics'!K:K,MATCH($C421,'Policy Characteristics'!$C:$C,0))),"",INDEX('Policy Characteristics'!K:K,MATCH($C421,'Policy Characteristics'!$C:$C,0)))</f>
        <v/>
      </c>
      <c r="R421" s="254" t="str">
        <f>IF(ISBLANK(INDEX('Policy Characteristics'!L:L,MATCH($C421,'Policy Characteristics'!$C:$C,0))),"",INDEX('Policy Characteristics'!L:L,MATCH($C421,'Policy Characteristics'!$C:$C,0)))</f>
        <v/>
      </c>
    </row>
    <row r="422" spans="1:18" s="4" customFormat="1" x14ac:dyDescent="0.3">
      <c r="A422" s="254" t="str">
        <f>IF(ISBLANK(INDEX('Policy Characteristics'!A:A,MATCH($C422,'Policy Characteristics'!$C:$C,0))),"",INDEX('Policy Characteristics'!A:A,MATCH($C422,'Policy Characteristics'!$C:$C,0)))</f>
        <v>Electricity Supply</v>
      </c>
      <c r="B422" s="262" t="str">
        <f>IF(ISBLANK(INDEX('Policy Characteristics'!B:B,MATCH($C422,'Policy Characteristics'!$C:$C,0))),"",INDEX('Policy Characteristics'!B:B,MATCH($C422,'Policy Characteristics'!$C:$C,0)))</f>
        <v>Non BAU Mandated Capacity Construction</v>
      </c>
      <c r="C422" s="254" t="str">
        <f t="shared" si="24"/>
        <v>Boolean Use Non BAU Mandated Capacity Construction Schedule</v>
      </c>
      <c r="D422" s="6" t="s">
        <v>3493</v>
      </c>
      <c r="E422" s="45"/>
      <c r="F422" s="6" t="s">
        <v>3498</v>
      </c>
      <c r="G422" s="45"/>
      <c r="H422" s="43">
        <v>1779</v>
      </c>
      <c r="I422" s="324" t="s">
        <v>44</v>
      </c>
      <c r="J422" s="255" t="str">
        <f>IF(ISBLANK(INDEX('Policy Characteristics'!D:D,MATCH($C422,'Policy Characteristics'!$C:$C,0))),"",INDEX('Policy Characteristics'!D:D,MATCH($C422,'Policy Characteristics'!$C:$C,0)))</f>
        <v>Non BAU Mandated Capacity Construction</v>
      </c>
      <c r="K422" s="254" t="str">
        <f>IF(ISBLANK(INDEX('Policy Characteristics'!E:E,MATCH($C422,'Policy Characteristics'!$C:$C,0))),"",INDEX('Policy Characteristics'!E:E,MATCH($C422,'Policy Characteristics'!$C:$C,0)))</f>
        <v/>
      </c>
      <c r="L422" s="254">
        <f>IF(ISBLANK(INDEX('Policy Characteristics'!F:F,MATCH($C422,'Policy Characteristics'!$C:$C,0))),"",INDEX('Policy Characteristics'!F:F,MATCH($C422,'Policy Characteristics'!$C:$C,0)))</f>
        <v>0</v>
      </c>
      <c r="M422" s="254">
        <f>IF(ISBLANK(INDEX('Policy Characteristics'!G:G,MATCH($C422,'Policy Characteristics'!$C:$C,0))),"",INDEX('Policy Characteristics'!G:G,MATCH($C422,'Policy Characteristics'!$C:$C,0)))</f>
        <v>1</v>
      </c>
      <c r="N422" s="254">
        <f>IF(ISBLANK(INDEX('Policy Characteristics'!H:H,MATCH($C422,'Policy Characteristics'!$C:$C,0))),"",INDEX('Policy Characteristics'!H:H,MATCH($C422,'Policy Characteristics'!$C:$C,0)))</f>
        <v>1</v>
      </c>
      <c r="O422" s="254" t="str">
        <f>IF(ISBLANK(INDEX('Policy Characteristics'!I:I,MATCH($C422,'Policy Characteristics'!$C:$C,0))),"",INDEX('Policy Characteristics'!I:I,MATCH($C422,'Policy Characteristics'!$C:$C,0)))</f>
        <v>on/off</v>
      </c>
      <c r="P422" s="254" t="str">
        <f>IF(ISBLANK(INDEX('Policy Characteristics'!J:J,MATCH($C422,'Policy Characteristics'!$C:$C,0))),"",INDEX('Policy Characteristics'!J:J,MATCH($C422,'Policy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2" s="254" t="str">
        <f>IF(ISBLANK(INDEX('Policy Characteristics'!K:K,MATCH($C422,'Policy Characteristics'!$C:$C,0))),"",INDEX('Policy Characteristics'!K:K,MATCH($C422,'Policy Characteristics'!$C:$C,0)))</f>
        <v/>
      </c>
      <c r="R422" s="254" t="str">
        <f>IF(ISBLANK(INDEX('Policy Characteristics'!L:L,MATCH($C422,'Policy Characteristics'!$C:$C,0))),"",INDEX('Policy Characteristics'!L:L,MATCH($C422,'Policy Characteristics'!$C:$C,0)))</f>
        <v/>
      </c>
    </row>
    <row r="423" spans="1:18" s="4" customFormat="1" x14ac:dyDescent="0.3">
      <c r="A423" s="254" t="str">
        <f>IF(ISBLANK(INDEX('Policy Characteristics'!A:A,MATCH($C423,'Policy Characteristics'!$C:$C,0))),"",INDEX('Policy Characteristics'!A:A,MATCH($C423,'Policy Characteristics'!$C:$C,0)))</f>
        <v>Electricity Supply</v>
      </c>
      <c r="B423" s="262" t="str">
        <f>IF(ISBLANK(INDEX('Policy Characteristics'!B:B,MATCH($C423,'Policy Characteristics'!$C:$C,0))),"",INDEX('Policy Characteristics'!B:B,MATCH($C423,'Policy Characteristics'!$C:$C,0)))</f>
        <v>Non BAU Mandated Capacity Construction</v>
      </c>
      <c r="C423" s="254" t="str">
        <f t="shared" si="24"/>
        <v>Boolean Use Non BAU Mandated Capacity Construction Schedule</v>
      </c>
      <c r="D423" s="6" t="s">
        <v>3582</v>
      </c>
      <c r="E423" s="45"/>
      <c r="F423" s="6" t="s">
        <v>3580</v>
      </c>
      <c r="G423" s="45"/>
      <c r="H423" s="43">
        <v>1780</v>
      </c>
      <c r="I423" s="324" t="s">
        <v>44</v>
      </c>
      <c r="J423" s="255" t="str">
        <f>IF(ISBLANK(INDEX('Policy Characteristics'!D:D,MATCH($C423,'Policy Characteristics'!$C:$C,0))),"",INDEX('Policy Characteristics'!D:D,MATCH($C423,'Policy Characteristics'!$C:$C,0)))</f>
        <v>Non BAU Mandated Capacity Construction</v>
      </c>
      <c r="K423" s="254" t="str">
        <f>IF(ISBLANK(INDEX('Policy Characteristics'!E:E,MATCH($C423,'Policy Characteristics'!$C:$C,0))),"",INDEX('Policy Characteristics'!E:E,MATCH($C423,'Policy Characteristics'!$C:$C,0)))</f>
        <v/>
      </c>
      <c r="L423" s="254">
        <f>IF(ISBLANK(INDEX('Policy Characteristics'!F:F,MATCH($C423,'Policy Characteristics'!$C:$C,0))),"",INDEX('Policy Characteristics'!F:F,MATCH($C423,'Policy Characteristics'!$C:$C,0)))</f>
        <v>0</v>
      </c>
      <c r="M423" s="254">
        <f>IF(ISBLANK(INDEX('Policy Characteristics'!G:G,MATCH($C423,'Policy Characteristics'!$C:$C,0))),"",INDEX('Policy Characteristics'!G:G,MATCH($C423,'Policy Characteristics'!$C:$C,0)))</f>
        <v>1</v>
      </c>
      <c r="N423" s="254">
        <f>IF(ISBLANK(INDEX('Policy Characteristics'!H:H,MATCH($C423,'Policy Characteristics'!$C:$C,0))),"",INDEX('Policy Characteristics'!H:H,MATCH($C423,'Policy Characteristics'!$C:$C,0)))</f>
        <v>1</v>
      </c>
      <c r="O423" s="254" t="str">
        <f>IF(ISBLANK(INDEX('Policy Characteristics'!I:I,MATCH($C423,'Policy Characteristics'!$C:$C,0))),"",INDEX('Policy Characteristics'!I:I,MATCH($C423,'Policy Characteristics'!$C:$C,0)))</f>
        <v>on/off</v>
      </c>
      <c r="P423" s="254" t="str">
        <f>IF(ISBLANK(INDEX('Policy Characteristics'!J:J,MATCH($C423,'Policy Characteristics'!$C:$C,0))),"",INDEX('Policy Characteristics'!J:J,MATCH($C423,'Policy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3" s="254" t="str">
        <f>IF(ISBLANK(INDEX('Policy Characteristics'!K:K,MATCH($C423,'Policy Characteristics'!$C:$C,0))),"",INDEX('Policy Characteristics'!K:K,MATCH($C423,'Policy Characteristics'!$C:$C,0)))</f>
        <v/>
      </c>
      <c r="R423" s="254" t="str">
        <f>IF(ISBLANK(INDEX('Policy Characteristics'!L:L,MATCH($C423,'Policy Characteristics'!$C:$C,0))),"",INDEX('Policy Characteristics'!L:L,MATCH($C423,'Policy Characteristics'!$C:$C,0)))</f>
        <v/>
      </c>
    </row>
    <row r="424" spans="1:18" s="4" customFormat="1" x14ac:dyDescent="0.3">
      <c r="A424" s="254" t="str">
        <f>IF(ISBLANK(INDEX('Policy Characteristics'!A:A,MATCH($C424,'Policy Characteristics'!$C:$C,0))),"",INDEX('Policy Characteristics'!A:A,MATCH($C424,'Policy Characteristics'!$C:$C,0)))</f>
        <v>Electricity Supply</v>
      </c>
      <c r="B424" s="262" t="str">
        <f>IF(ISBLANK(INDEX('Policy Characteristics'!B:B,MATCH($C424,'Policy Characteristics'!$C:$C,0))),"",INDEX('Policy Characteristics'!B:B,MATCH($C424,'Policy Characteristics'!$C:$C,0)))</f>
        <v>Non BAU Mandated Capacity Construction</v>
      </c>
      <c r="C424" s="254" t="str">
        <f t="shared" si="24"/>
        <v>Boolean Use Non BAU Mandated Capacity Construction Schedule</v>
      </c>
      <c r="D424" s="6" t="s">
        <v>3583</v>
      </c>
      <c r="E424" s="45"/>
      <c r="F424" s="6" t="s">
        <v>3581</v>
      </c>
      <c r="G424" s="45"/>
      <c r="H424" s="43">
        <v>2241</v>
      </c>
      <c r="I424" s="324" t="s">
        <v>44</v>
      </c>
      <c r="J424" s="255" t="str">
        <f>IF(ISBLANK(INDEX('Policy Characteristics'!D:D,MATCH($C424,'Policy Characteristics'!$C:$C,0))),"",INDEX('Policy Characteristics'!D:D,MATCH($C424,'Policy Characteristics'!$C:$C,0)))</f>
        <v>Non BAU Mandated Capacity Construction</v>
      </c>
      <c r="K424" s="254" t="str">
        <f>IF(ISBLANK(INDEX('Policy Characteristics'!E:E,MATCH($C424,'Policy Characteristics'!$C:$C,0))),"",INDEX('Policy Characteristics'!E:E,MATCH($C424,'Policy Characteristics'!$C:$C,0)))</f>
        <v/>
      </c>
      <c r="L424" s="254">
        <f>IF(ISBLANK(INDEX('Policy Characteristics'!F:F,MATCH($C424,'Policy Characteristics'!$C:$C,0))),"",INDEX('Policy Characteristics'!F:F,MATCH($C424,'Policy Characteristics'!$C:$C,0)))</f>
        <v>0</v>
      </c>
      <c r="M424" s="254">
        <f>IF(ISBLANK(INDEX('Policy Characteristics'!G:G,MATCH($C424,'Policy Characteristics'!$C:$C,0))),"",INDEX('Policy Characteristics'!G:G,MATCH($C424,'Policy Characteristics'!$C:$C,0)))</f>
        <v>1</v>
      </c>
      <c r="N424" s="254">
        <f>IF(ISBLANK(INDEX('Policy Characteristics'!H:H,MATCH($C424,'Policy Characteristics'!$C:$C,0))),"",INDEX('Policy Characteristics'!H:H,MATCH($C424,'Policy Characteristics'!$C:$C,0)))</f>
        <v>1</v>
      </c>
      <c r="O424" s="254" t="str">
        <f>IF(ISBLANK(INDEX('Policy Characteristics'!I:I,MATCH($C424,'Policy Characteristics'!$C:$C,0))),"",INDEX('Policy Characteristics'!I:I,MATCH($C424,'Policy Characteristics'!$C:$C,0)))</f>
        <v>on/off</v>
      </c>
      <c r="P424" s="254" t="str">
        <f>IF(ISBLANK(INDEX('Policy Characteristics'!J:J,MATCH($C424,'Policy Characteristics'!$C:$C,0))),"",INDEX('Policy Characteristics'!J:J,MATCH($C424,'Policy Characteristics'!$C:$C,0)))</f>
        <v>**Description:** The business-as-usual case includes all planned capacity additions (provided by the U.S. Energy Information Administration). This policy uses an alternatie set of planned capacity additions. // **Guidance for setting values:** // **Offshore Wind:** When used in the context of the NDC scenario, this policy results in roughly 30 GW of offshore wind by 2030 and 220 of offshore wind by 2050.</v>
      </c>
      <c r="Q424" s="254"/>
      <c r="R424" s="254"/>
    </row>
    <row r="425" spans="1:18" s="4" customFormat="1" x14ac:dyDescent="0.3">
      <c r="A425" s="254" t="str">
        <f>IF(ISBLANK(INDEX('Policy Characteristics'!A:A,MATCH($C425,'Policy Characteristics'!$C:$C,0))),"",INDEX('Policy Characteristics'!A:A,MATCH($C425,'Policy Characteristics'!$C:$C,0)))</f>
        <v>Electricity Supply</v>
      </c>
      <c r="B425" s="262" t="str">
        <f>IF(ISBLANK(INDEX('Policy Characteristics'!B:B,MATCH($C425,'Policy Characteristics'!$C:$C,0))),"",INDEX('Policy Characteristics'!B:B,MATCH($C425,'Policy Characteristics'!$C:$C,0)))</f>
        <v>Non BAU Mandated Capacity CCUS Retrofits</v>
      </c>
      <c r="C425" t="s">
        <v>3733</v>
      </c>
      <c r="D425" s="45" t="s">
        <v>447</v>
      </c>
      <c r="E425" s="45"/>
      <c r="F425" s="45" t="s">
        <v>446</v>
      </c>
      <c r="G425" s="45"/>
      <c r="H425" s="43">
        <v>2289</v>
      </c>
      <c r="I425" s="324" t="s">
        <v>44</v>
      </c>
      <c r="J425" s="255" t="str">
        <f>IF(ISBLANK(INDEX('Policy Characteristics'!D:D,MATCH($C425,'Policy Characteristics'!$C:$C,0))),"",INDEX('Policy Characteristics'!D:D,MATCH($C425,'Policy Characteristics'!$C:$C,0)))</f>
        <v>Non BAU Mandated Capacity CCUS Retrofits</v>
      </c>
      <c r="K425" s="254" t="str">
        <f>IF(ISBLANK(INDEX('Policy Characteristics'!E:E,MATCH($C425,'Policy Characteristics'!$C:$C,0))),"",INDEX('Policy Characteristics'!E:E,MATCH($C425,'Policy Characteristics'!$C:$C,0)))</f>
        <v/>
      </c>
      <c r="L425" s="254">
        <f>IF(ISBLANK(INDEX('Policy Characteristics'!F:F,MATCH($C425,'Policy Characteristics'!$C:$C,0))),"",INDEX('Policy Characteristics'!F:F,MATCH($C425,'Policy Characteristics'!$C:$C,0)))</f>
        <v>0</v>
      </c>
      <c r="M425" s="254">
        <f>IF(ISBLANK(INDEX('Policy Characteristics'!G:G,MATCH($C425,'Policy Characteristics'!$C:$C,0))),"",INDEX('Policy Characteristics'!G:G,MATCH($C425,'Policy Characteristics'!$C:$C,0)))</f>
        <v>1</v>
      </c>
      <c r="N425" s="254">
        <f>IF(ISBLANK(INDEX('Policy Characteristics'!H:H,MATCH($C425,'Policy Characteristics'!$C:$C,0))),"",INDEX('Policy Characteristics'!H:H,MATCH($C425,'Policy Characteristics'!$C:$C,0)))</f>
        <v>1</v>
      </c>
      <c r="O425" s="254" t="str">
        <f>IF(ISBLANK(INDEX('Policy Characteristics'!I:I,MATCH($C425,'Policy Characteristics'!$C:$C,0))),"",INDEX('Policy Characteristics'!I:I,MATCH($C425,'Policy Characteristics'!$C:$C,0)))</f>
        <v>on/off</v>
      </c>
      <c r="P425" s="254" t="str">
        <f>IF(ISBLANK(INDEX('Policy Characteristics'!J:J,MATCH($C425,'Policy Characteristics'!$C:$C,0))),"",INDEX('Policy Characteristics'!J:J,MATCH($C425,'Policy Characteristics'!$C:$C,0)))</f>
        <v xml:space="preserve">**Description:** The business-as-usual case includes all planned CCUS retrofits (as modeled by the EPA for its latest GHG standards for power plants). This policy uses an alternative set of data for CCUS retrofits. </v>
      </c>
      <c r="Q425" s="254" t="str">
        <f>IF(ISBLANK(INDEX('Policy Characteristics'!K:K,MATCH($C425,'Policy Characteristics'!$C:$C,0))),"",INDEX('Policy Characteristics'!K:K,MATCH($C425,'Policy Characteristics'!$C:$C,0)))</f>
        <v/>
      </c>
      <c r="R425" s="254" t="str">
        <f>IF(ISBLANK(INDEX('Policy Characteristics'!L:L,MATCH($C425,'Policy Characteristics'!$C:$C,0))),"",INDEX('Policy Characteristics'!L:L,MATCH($C425,'Policy Characteristics'!$C:$C,0)))</f>
        <v/>
      </c>
    </row>
    <row r="426" spans="1:18" s="4" customFormat="1" x14ac:dyDescent="0.3">
      <c r="A426" s="254" t="str">
        <f>IF(ISBLANK(INDEX('Policy Characteristics'!A:A,MATCH($C426,'Policy Characteristics'!$C:$C,0))),"",INDEX('Policy Characteristics'!A:A,MATCH($C426,'Policy Characteristics'!$C:$C,0)))</f>
        <v>Electricity Supply</v>
      </c>
      <c r="B426" s="262" t="str">
        <f>IF(ISBLANK(INDEX('Policy Characteristics'!B:B,MATCH($C426,'Policy Characteristics'!$C:$C,0))),"",INDEX('Policy Characteristics'!B:B,MATCH($C426,'Policy Characteristics'!$C:$C,0)))</f>
        <v>Non BAU Mandated Capacity CCUS Retrofits</v>
      </c>
      <c r="C426" s="254" t="str">
        <f>$C$425</f>
        <v>Boolean Use Non BAU Mandated Capacity Retrofit Schedule</v>
      </c>
      <c r="D426" s="6" t="s">
        <v>3488</v>
      </c>
      <c r="E426" s="45"/>
      <c r="F426" s="6" t="s">
        <v>3424</v>
      </c>
      <c r="G426" s="45"/>
      <c r="H426" s="43">
        <v>2290</v>
      </c>
      <c r="I426" s="324" t="s">
        <v>44</v>
      </c>
      <c r="J426" s="255" t="str">
        <f>IF(ISBLANK(INDEX('Policy Characteristics'!D:D,MATCH($C426,'Policy Characteristics'!$C:$C,0))),"",INDEX('Policy Characteristics'!D:D,MATCH($C426,'Policy Characteristics'!$C:$C,0)))</f>
        <v>Non BAU Mandated Capacity CCUS Retrofits</v>
      </c>
      <c r="K426" s="254" t="str">
        <f>IF(ISBLANK(INDEX('Policy Characteristics'!E:E,MATCH($C426,'Policy Characteristics'!$C:$C,0))),"",INDEX('Policy Characteristics'!E:E,MATCH($C426,'Policy Characteristics'!$C:$C,0)))</f>
        <v/>
      </c>
      <c r="L426" s="254">
        <f>IF(ISBLANK(INDEX('Policy Characteristics'!F:F,MATCH($C426,'Policy Characteristics'!$C:$C,0))),"",INDEX('Policy Characteristics'!F:F,MATCH($C426,'Policy Characteristics'!$C:$C,0)))</f>
        <v>0</v>
      </c>
      <c r="M426" s="254">
        <f>IF(ISBLANK(INDEX('Policy Characteristics'!G:G,MATCH($C426,'Policy Characteristics'!$C:$C,0))),"",INDEX('Policy Characteristics'!G:G,MATCH($C426,'Policy Characteristics'!$C:$C,0)))</f>
        <v>1</v>
      </c>
      <c r="N426" s="254">
        <f>IF(ISBLANK(INDEX('Policy Characteristics'!H:H,MATCH($C426,'Policy Characteristics'!$C:$C,0))),"",INDEX('Policy Characteristics'!H:H,MATCH($C426,'Policy Characteristics'!$C:$C,0)))</f>
        <v>1</v>
      </c>
      <c r="O426" s="254" t="str">
        <f>IF(ISBLANK(INDEX('Policy Characteristics'!I:I,MATCH($C426,'Policy Characteristics'!$C:$C,0))),"",INDEX('Policy Characteristics'!I:I,MATCH($C426,'Policy Characteristics'!$C:$C,0)))</f>
        <v>on/off</v>
      </c>
      <c r="P426" s="254" t="str">
        <f>IF(ISBLANK(INDEX('Policy Characteristics'!J:J,MATCH($C426,'Policy Characteristics'!$C:$C,0))),"",INDEX('Policy Characteristics'!J:J,MATCH($C426,'Policy Characteristics'!$C:$C,0)))</f>
        <v xml:space="preserve">**Description:** The business-as-usual case includes all planned CCUS retrofits (as modeled by the EPA for its latest GHG standards for power plants). This policy uses an alternative set of data for CCUS retrofits. </v>
      </c>
      <c r="Q426" s="254" t="str">
        <f>IF(ISBLANK(INDEX('Policy Characteristics'!K:K,MATCH($C426,'Policy Characteristics'!$C:$C,0))),"",INDEX('Policy Characteristics'!K:K,MATCH($C426,'Policy Characteristics'!$C:$C,0)))</f>
        <v/>
      </c>
      <c r="R426" s="254" t="str">
        <f>IF(ISBLANK(INDEX('Policy Characteristics'!L:L,MATCH($C426,'Policy Characteristics'!$C:$C,0))),"",INDEX('Policy Characteristics'!L:L,MATCH($C426,'Policy Characteristics'!$C:$C,0)))</f>
        <v/>
      </c>
    </row>
    <row r="427" spans="1:18" s="4" customFormat="1" x14ac:dyDescent="0.3">
      <c r="A427" s="254" t="str">
        <f>IF(ISBLANK(INDEX('Policy Characteristics'!A:A,MATCH($C427,'Policy Characteristics'!$C:$C,0))),"",INDEX('Policy Characteristics'!A:A,MATCH($C427,'Policy Characteristics'!$C:$C,0)))</f>
        <v>Electricity Supply</v>
      </c>
      <c r="B427" s="262" t="str">
        <f>IF(ISBLANK(INDEX('Policy Characteristics'!B:B,MATCH($C427,'Policy Characteristics'!$C:$C,0))),"",INDEX('Policy Characteristics'!B:B,MATCH($C427,'Policy Characteristics'!$C:$C,0)))</f>
        <v>Non BAU Mandated Capacity CCUS Retrofits</v>
      </c>
      <c r="C427" s="254" t="str">
        <f t="shared" ref="C427:C448" si="25">$C$425</f>
        <v>Boolean Use Non BAU Mandated Capacity Retrofit Schedule</v>
      </c>
      <c r="D427" s="6" t="s">
        <v>3489</v>
      </c>
      <c r="E427" s="45"/>
      <c r="F427" s="6" t="s">
        <v>3425</v>
      </c>
      <c r="G427" s="45"/>
      <c r="H427" s="43">
        <v>2291</v>
      </c>
      <c r="I427" s="324" t="s">
        <v>44</v>
      </c>
      <c r="J427" s="255" t="str">
        <f>IF(ISBLANK(INDEX('Policy Characteristics'!D:D,MATCH($C427,'Policy Characteristics'!$C:$C,0))),"",INDEX('Policy Characteristics'!D:D,MATCH($C427,'Policy Characteristics'!$C:$C,0)))</f>
        <v>Non BAU Mandated Capacity CCUS Retrofits</v>
      </c>
      <c r="K427" s="254" t="str">
        <f>IF(ISBLANK(INDEX('Policy Characteristics'!E:E,MATCH($C427,'Policy Characteristics'!$C:$C,0))),"",INDEX('Policy Characteristics'!E:E,MATCH($C427,'Policy Characteristics'!$C:$C,0)))</f>
        <v/>
      </c>
      <c r="L427" s="254">
        <f>IF(ISBLANK(INDEX('Policy Characteristics'!F:F,MATCH($C427,'Policy Characteristics'!$C:$C,0))),"",INDEX('Policy Characteristics'!F:F,MATCH($C427,'Policy Characteristics'!$C:$C,0)))</f>
        <v>0</v>
      </c>
      <c r="M427" s="254">
        <f>IF(ISBLANK(INDEX('Policy Characteristics'!G:G,MATCH($C427,'Policy Characteristics'!$C:$C,0))),"",INDEX('Policy Characteristics'!G:G,MATCH($C427,'Policy Characteristics'!$C:$C,0)))</f>
        <v>1</v>
      </c>
      <c r="N427" s="254">
        <f>IF(ISBLANK(INDEX('Policy Characteristics'!H:H,MATCH($C427,'Policy Characteristics'!$C:$C,0))),"",INDEX('Policy Characteristics'!H:H,MATCH($C427,'Policy Characteristics'!$C:$C,0)))</f>
        <v>1</v>
      </c>
      <c r="O427" s="254" t="str">
        <f>IF(ISBLANK(INDEX('Policy Characteristics'!I:I,MATCH($C427,'Policy Characteristics'!$C:$C,0))),"",INDEX('Policy Characteristics'!I:I,MATCH($C427,'Policy Characteristics'!$C:$C,0)))</f>
        <v>on/off</v>
      </c>
      <c r="P427" s="254" t="str">
        <f>IF(ISBLANK(INDEX('Policy Characteristics'!J:J,MATCH($C427,'Policy Characteristics'!$C:$C,0))),"",INDEX('Policy Characteristics'!J:J,MATCH($C427,'Policy Characteristics'!$C:$C,0)))</f>
        <v xml:space="preserve">**Description:** The business-as-usual case includes all planned CCUS retrofits (as modeled by the EPA for its latest GHG standards for power plants). This policy uses an alternative set of data for CCUS retrofits. </v>
      </c>
      <c r="Q427" s="254" t="str">
        <f>IF(ISBLANK(INDEX('Policy Characteristics'!K:K,MATCH($C427,'Policy Characteristics'!$C:$C,0))),"",INDEX('Policy Characteristics'!K:K,MATCH($C427,'Policy Characteristics'!$C:$C,0)))</f>
        <v/>
      </c>
      <c r="R427" s="254" t="str">
        <f>IF(ISBLANK(INDEX('Policy Characteristics'!L:L,MATCH($C427,'Policy Characteristics'!$C:$C,0))),"",INDEX('Policy Characteristics'!L:L,MATCH($C427,'Policy Characteristics'!$C:$C,0)))</f>
        <v/>
      </c>
    </row>
    <row r="428" spans="1:18" s="4" customFormat="1" x14ac:dyDescent="0.3">
      <c r="A428" s="254" t="str">
        <f>IF(ISBLANK(INDEX('Policy Characteristics'!A:A,MATCH($C428,'Policy Characteristics'!$C:$C,0))),"",INDEX('Policy Characteristics'!A:A,MATCH($C428,'Policy Characteristics'!$C:$C,0)))</f>
        <v>Electricity Supply</v>
      </c>
      <c r="B428" s="262" t="str">
        <f>IF(ISBLANK(INDEX('Policy Characteristics'!B:B,MATCH($C428,'Policy Characteristics'!$C:$C,0))),"",INDEX('Policy Characteristics'!B:B,MATCH($C428,'Policy Characteristics'!$C:$C,0)))</f>
        <v>Non BAU Mandated Capacity CCUS Retrofits</v>
      </c>
      <c r="C428" s="254" t="str">
        <f t="shared" si="25"/>
        <v>Boolean Use Non BAU Mandated Capacity Retrofit Schedule</v>
      </c>
      <c r="D428" s="6" t="s">
        <v>76</v>
      </c>
      <c r="E428" s="45"/>
      <c r="F428" s="6" t="s">
        <v>3499</v>
      </c>
      <c r="G428" s="45"/>
      <c r="H428" s="43">
        <v>2292</v>
      </c>
      <c r="I428" s="324" t="s">
        <v>44</v>
      </c>
      <c r="J428" s="255" t="str">
        <f>IF(ISBLANK(INDEX('Policy Characteristics'!D:D,MATCH($C428,'Policy Characteristics'!$C:$C,0))),"",INDEX('Policy Characteristics'!D:D,MATCH($C428,'Policy Characteristics'!$C:$C,0)))</f>
        <v>Non BAU Mandated Capacity CCUS Retrofits</v>
      </c>
      <c r="K428" s="254" t="str">
        <f>IF(ISBLANK(INDEX('Policy Characteristics'!E:E,MATCH($C428,'Policy Characteristics'!$C:$C,0))),"",INDEX('Policy Characteristics'!E:E,MATCH($C428,'Policy Characteristics'!$C:$C,0)))</f>
        <v/>
      </c>
      <c r="L428" s="254">
        <f>IF(ISBLANK(INDEX('Policy Characteristics'!F:F,MATCH($C428,'Policy Characteristics'!$C:$C,0))),"",INDEX('Policy Characteristics'!F:F,MATCH($C428,'Policy Characteristics'!$C:$C,0)))</f>
        <v>0</v>
      </c>
      <c r="M428" s="254">
        <f>IF(ISBLANK(INDEX('Policy Characteristics'!G:G,MATCH($C428,'Policy Characteristics'!$C:$C,0))),"",INDEX('Policy Characteristics'!G:G,MATCH($C428,'Policy Characteristics'!$C:$C,0)))</f>
        <v>1</v>
      </c>
      <c r="N428" s="254">
        <f>IF(ISBLANK(INDEX('Policy Characteristics'!H:H,MATCH($C428,'Policy Characteristics'!$C:$C,0))),"",INDEX('Policy Characteristics'!H:H,MATCH($C428,'Policy Characteristics'!$C:$C,0)))</f>
        <v>1</v>
      </c>
      <c r="O428" s="254" t="str">
        <f>IF(ISBLANK(INDEX('Policy Characteristics'!I:I,MATCH($C428,'Policy Characteristics'!$C:$C,0))),"",INDEX('Policy Characteristics'!I:I,MATCH($C428,'Policy Characteristics'!$C:$C,0)))</f>
        <v>on/off</v>
      </c>
      <c r="P428" s="254" t="str">
        <f>IF(ISBLANK(INDEX('Policy Characteristics'!J:J,MATCH($C428,'Policy Characteristics'!$C:$C,0))),"",INDEX('Policy Characteristics'!J:J,MATCH($C428,'Policy Characteristics'!$C:$C,0)))</f>
        <v xml:space="preserve">**Description:** The business-as-usual case includes all planned CCUS retrofits (as modeled by the EPA for its latest GHG standards for power plants). This policy uses an alternative set of data for CCUS retrofits. </v>
      </c>
      <c r="Q428" s="254" t="str">
        <f>IF(ISBLANK(INDEX('Policy Characteristics'!K:K,MATCH($C428,'Policy Characteristics'!$C:$C,0))),"",INDEX('Policy Characteristics'!K:K,MATCH($C428,'Policy Characteristics'!$C:$C,0)))</f>
        <v/>
      </c>
      <c r="R428" s="254" t="str">
        <f>IF(ISBLANK(INDEX('Policy Characteristics'!L:L,MATCH($C428,'Policy Characteristics'!$C:$C,0))),"",INDEX('Policy Characteristics'!L:L,MATCH($C428,'Policy Characteristics'!$C:$C,0)))</f>
        <v/>
      </c>
    </row>
    <row r="429" spans="1:18" s="4" customFormat="1" x14ac:dyDescent="0.3">
      <c r="A429" s="254" t="str">
        <f>IF(ISBLANK(INDEX('Policy Characteristics'!A:A,MATCH($C429,'Policy Characteristics'!$C:$C,0))),"",INDEX('Policy Characteristics'!A:A,MATCH($C429,'Policy Characteristics'!$C:$C,0)))</f>
        <v>Electricity Supply</v>
      </c>
      <c r="B429" s="262" t="str">
        <f>IF(ISBLANK(INDEX('Policy Characteristics'!B:B,MATCH($C429,'Policy Characteristics'!$C:$C,0))),"",INDEX('Policy Characteristics'!B:B,MATCH($C429,'Policy Characteristics'!$C:$C,0)))</f>
        <v>Non BAU Mandated Capacity CCUS Retrofits</v>
      </c>
      <c r="C429" s="254" t="str">
        <f t="shared" si="25"/>
        <v>Boolean Use Non BAU Mandated Capacity Retrofit Schedule</v>
      </c>
      <c r="D429" s="6" t="s">
        <v>77</v>
      </c>
      <c r="E429" s="45"/>
      <c r="F429" s="6" t="s">
        <v>89</v>
      </c>
      <c r="G429" s="45"/>
      <c r="H429" s="43">
        <v>2293</v>
      </c>
      <c r="I429" s="324" t="s">
        <v>44</v>
      </c>
      <c r="J429" s="255" t="str">
        <f>IF(ISBLANK(INDEX('Policy Characteristics'!D:D,MATCH($C429,'Policy Characteristics'!$C:$C,0))),"",INDEX('Policy Characteristics'!D:D,MATCH($C429,'Policy Characteristics'!$C:$C,0)))</f>
        <v>Non BAU Mandated Capacity CCUS Retrofits</v>
      </c>
      <c r="K429" s="254" t="str">
        <f>IF(ISBLANK(INDEX('Policy Characteristics'!E:E,MATCH($C429,'Policy Characteristics'!$C:$C,0))),"",INDEX('Policy Characteristics'!E:E,MATCH($C429,'Policy Characteristics'!$C:$C,0)))</f>
        <v/>
      </c>
      <c r="L429" s="254">
        <f>IF(ISBLANK(INDEX('Policy Characteristics'!F:F,MATCH($C429,'Policy Characteristics'!$C:$C,0))),"",INDEX('Policy Characteristics'!F:F,MATCH($C429,'Policy Characteristics'!$C:$C,0)))</f>
        <v>0</v>
      </c>
      <c r="M429" s="254">
        <f>IF(ISBLANK(INDEX('Policy Characteristics'!G:G,MATCH($C429,'Policy Characteristics'!$C:$C,0))),"",INDEX('Policy Characteristics'!G:G,MATCH($C429,'Policy Characteristics'!$C:$C,0)))</f>
        <v>1</v>
      </c>
      <c r="N429" s="254">
        <f>IF(ISBLANK(INDEX('Policy Characteristics'!H:H,MATCH($C429,'Policy Characteristics'!$C:$C,0))),"",INDEX('Policy Characteristics'!H:H,MATCH($C429,'Policy Characteristics'!$C:$C,0)))</f>
        <v>1</v>
      </c>
      <c r="O429" s="254" t="str">
        <f>IF(ISBLANK(INDEX('Policy Characteristics'!I:I,MATCH($C429,'Policy Characteristics'!$C:$C,0))),"",INDEX('Policy Characteristics'!I:I,MATCH($C429,'Policy Characteristics'!$C:$C,0)))</f>
        <v>on/off</v>
      </c>
      <c r="P429" s="254" t="str">
        <f>IF(ISBLANK(INDEX('Policy Characteristics'!J:J,MATCH($C429,'Policy Characteristics'!$C:$C,0))),"",INDEX('Policy Characteristics'!J:J,MATCH($C429,'Policy Characteristics'!$C:$C,0)))</f>
        <v xml:space="preserve">**Description:** The business-as-usual case includes all planned CCUS retrofits (as modeled by the EPA for its latest GHG standards for power plants). This policy uses an alternative set of data for CCUS retrofits. </v>
      </c>
      <c r="Q429" s="254" t="str">
        <f>IF(ISBLANK(INDEX('Policy Characteristics'!K:K,MATCH($C429,'Policy Characteristics'!$C:$C,0))),"",INDEX('Policy Characteristics'!K:K,MATCH($C429,'Policy Characteristics'!$C:$C,0)))</f>
        <v/>
      </c>
      <c r="R429" s="254" t="str">
        <f>IF(ISBLANK(INDEX('Policy Characteristics'!L:L,MATCH($C429,'Policy Characteristics'!$C:$C,0))),"",INDEX('Policy Characteristics'!L:L,MATCH($C429,'Policy Characteristics'!$C:$C,0)))</f>
        <v/>
      </c>
    </row>
    <row r="430" spans="1:18" s="4" customFormat="1" x14ac:dyDescent="0.3">
      <c r="A430" s="254" t="str">
        <f>IF(ISBLANK(INDEX('Policy Characteristics'!A:A,MATCH($C430,'Policy Characteristics'!$C:$C,0))),"",INDEX('Policy Characteristics'!A:A,MATCH($C430,'Policy Characteristics'!$C:$C,0)))</f>
        <v>Electricity Supply</v>
      </c>
      <c r="B430" s="262" t="str">
        <f>IF(ISBLANK(INDEX('Policy Characteristics'!B:B,MATCH($C430,'Policy Characteristics'!$C:$C,0))),"",INDEX('Policy Characteristics'!B:B,MATCH($C430,'Policy Characteristics'!$C:$C,0)))</f>
        <v>Non BAU Mandated Capacity CCUS Retrofits</v>
      </c>
      <c r="C430" s="254" t="str">
        <f t="shared" si="25"/>
        <v>Boolean Use Non BAU Mandated Capacity Retrofit Schedule</v>
      </c>
      <c r="D430" s="6" t="s">
        <v>448</v>
      </c>
      <c r="E430" s="45"/>
      <c r="F430" s="6" t="s">
        <v>451</v>
      </c>
      <c r="G430" s="45"/>
      <c r="H430" s="43">
        <v>2294</v>
      </c>
      <c r="I430" s="324" t="s">
        <v>44</v>
      </c>
      <c r="J430" s="255" t="str">
        <f>IF(ISBLANK(INDEX('Policy Characteristics'!D:D,MATCH($C430,'Policy Characteristics'!$C:$C,0))),"",INDEX('Policy Characteristics'!D:D,MATCH($C430,'Policy Characteristics'!$C:$C,0)))</f>
        <v>Non BAU Mandated Capacity CCUS Retrofits</v>
      </c>
      <c r="K430" s="254" t="str">
        <f>IF(ISBLANK(INDEX('Policy Characteristics'!E:E,MATCH($C430,'Policy Characteristics'!$C:$C,0))),"",INDEX('Policy Characteristics'!E:E,MATCH($C430,'Policy Characteristics'!$C:$C,0)))</f>
        <v/>
      </c>
      <c r="L430" s="254">
        <f>IF(ISBLANK(INDEX('Policy Characteristics'!F:F,MATCH($C430,'Policy Characteristics'!$C:$C,0))),"",INDEX('Policy Characteristics'!F:F,MATCH($C430,'Policy Characteristics'!$C:$C,0)))</f>
        <v>0</v>
      </c>
      <c r="M430" s="254">
        <f>IF(ISBLANK(INDEX('Policy Characteristics'!G:G,MATCH($C430,'Policy Characteristics'!$C:$C,0))),"",INDEX('Policy Characteristics'!G:G,MATCH($C430,'Policy Characteristics'!$C:$C,0)))</f>
        <v>1</v>
      </c>
      <c r="N430" s="254">
        <f>IF(ISBLANK(INDEX('Policy Characteristics'!H:H,MATCH($C430,'Policy Characteristics'!$C:$C,0))),"",INDEX('Policy Characteristics'!H:H,MATCH($C430,'Policy Characteristics'!$C:$C,0)))</f>
        <v>1</v>
      </c>
      <c r="O430" s="254" t="str">
        <f>IF(ISBLANK(INDEX('Policy Characteristics'!I:I,MATCH($C430,'Policy Characteristics'!$C:$C,0))),"",INDEX('Policy Characteristics'!I:I,MATCH($C430,'Policy Characteristics'!$C:$C,0)))</f>
        <v>on/off</v>
      </c>
      <c r="P430" s="254" t="str">
        <f>IF(ISBLANK(INDEX('Policy Characteristics'!J:J,MATCH($C430,'Policy Characteristics'!$C:$C,0))),"",INDEX('Policy Characteristics'!J:J,MATCH($C430,'Policy Characteristics'!$C:$C,0)))</f>
        <v xml:space="preserve">**Description:** The business-as-usual case includes all planned CCUS retrofits (as modeled by the EPA for its latest GHG standards for power plants). This policy uses an alternative set of data for CCUS retrofits. </v>
      </c>
      <c r="Q430" s="254" t="str">
        <f>IF(ISBLANK(INDEX('Policy Characteristics'!K:K,MATCH($C430,'Policy Characteristics'!$C:$C,0))),"",INDEX('Policy Characteristics'!K:K,MATCH($C430,'Policy Characteristics'!$C:$C,0)))</f>
        <v/>
      </c>
      <c r="R430" s="254" t="str">
        <f>IF(ISBLANK(INDEX('Policy Characteristics'!L:L,MATCH($C430,'Policy Characteristics'!$C:$C,0))),"",INDEX('Policy Characteristics'!L:L,MATCH($C430,'Policy Characteristics'!$C:$C,0)))</f>
        <v/>
      </c>
    </row>
    <row r="431" spans="1:18" s="4" customFormat="1" x14ac:dyDescent="0.3">
      <c r="A431" s="254" t="str">
        <f>IF(ISBLANK(INDEX('Policy Characteristics'!A:A,MATCH($C431,'Policy Characteristics'!$C:$C,0))),"",INDEX('Policy Characteristics'!A:A,MATCH($C431,'Policy Characteristics'!$C:$C,0)))</f>
        <v>Electricity Supply</v>
      </c>
      <c r="B431" s="262" t="str">
        <f>IF(ISBLANK(INDEX('Policy Characteristics'!B:B,MATCH($C431,'Policy Characteristics'!$C:$C,0))),"",INDEX('Policy Characteristics'!B:B,MATCH($C431,'Policy Characteristics'!$C:$C,0)))</f>
        <v>Non BAU Mandated Capacity CCUS Retrofits</v>
      </c>
      <c r="C431" s="254" t="str">
        <f t="shared" si="25"/>
        <v>Boolean Use Non BAU Mandated Capacity Retrofit Schedule</v>
      </c>
      <c r="D431" s="6" t="s">
        <v>78</v>
      </c>
      <c r="E431" s="45"/>
      <c r="F431" s="6" t="s">
        <v>90</v>
      </c>
      <c r="G431" s="45"/>
      <c r="H431" s="43">
        <v>2295</v>
      </c>
      <c r="I431" s="324" t="s">
        <v>44</v>
      </c>
      <c r="J431" s="255" t="str">
        <f>IF(ISBLANK(INDEX('Policy Characteristics'!D:D,MATCH($C431,'Policy Characteristics'!$C:$C,0))),"",INDEX('Policy Characteristics'!D:D,MATCH($C431,'Policy Characteristics'!$C:$C,0)))</f>
        <v>Non BAU Mandated Capacity CCUS Retrofits</v>
      </c>
      <c r="K431" s="254" t="str">
        <f>IF(ISBLANK(INDEX('Policy Characteristics'!E:E,MATCH($C431,'Policy Characteristics'!$C:$C,0))),"",INDEX('Policy Characteristics'!E:E,MATCH($C431,'Policy Characteristics'!$C:$C,0)))</f>
        <v/>
      </c>
      <c r="L431" s="254">
        <f>IF(ISBLANK(INDEX('Policy Characteristics'!F:F,MATCH($C431,'Policy Characteristics'!$C:$C,0))),"",INDEX('Policy Characteristics'!F:F,MATCH($C431,'Policy Characteristics'!$C:$C,0)))</f>
        <v>0</v>
      </c>
      <c r="M431" s="254">
        <f>IF(ISBLANK(INDEX('Policy Characteristics'!G:G,MATCH($C431,'Policy Characteristics'!$C:$C,0))),"",INDEX('Policy Characteristics'!G:G,MATCH($C431,'Policy Characteristics'!$C:$C,0)))</f>
        <v>1</v>
      </c>
      <c r="N431" s="254">
        <f>IF(ISBLANK(INDEX('Policy Characteristics'!H:H,MATCH($C431,'Policy Characteristics'!$C:$C,0))),"",INDEX('Policy Characteristics'!H:H,MATCH($C431,'Policy Characteristics'!$C:$C,0)))</f>
        <v>1</v>
      </c>
      <c r="O431" s="254" t="str">
        <f>IF(ISBLANK(INDEX('Policy Characteristics'!I:I,MATCH($C431,'Policy Characteristics'!$C:$C,0))),"",INDEX('Policy Characteristics'!I:I,MATCH($C431,'Policy Characteristics'!$C:$C,0)))</f>
        <v>on/off</v>
      </c>
      <c r="P431" s="254" t="str">
        <f>IF(ISBLANK(INDEX('Policy Characteristics'!J:J,MATCH($C431,'Policy Characteristics'!$C:$C,0))),"",INDEX('Policy Characteristics'!J:J,MATCH($C431,'Policy Characteristics'!$C:$C,0)))</f>
        <v xml:space="preserve">**Description:** The business-as-usual case includes all planned CCUS retrofits (as modeled by the EPA for its latest GHG standards for power plants). This policy uses an alternative set of data for CCUS retrofits. </v>
      </c>
      <c r="Q431" s="254" t="str">
        <f>IF(ISBLANK(INDEX('Policy Characteristics'!K:K,MATCH($C431,'Policy Characteristics'!$C:$C,0))),"",INDEX('Policy Characteristics'!K:K,MATCH($C431,'Policy Characteristics'!$C:$C,0)))</f>
        <v/>
      </c>
      <c r="R431" s="254" t="str">
        <f>IF(ISBLANK(INDEX('Policy Characteristics'!L:L,MATCH($C431,'Policy Characteristics'!$C:$C,0))),"",INDEX('Policy Characteristics'!L:L,MATCH($C431,'Policy Characteristics'!$C:$C,0)))</f>
        <v/>
      </c>
    </row>
    <row r="432" spans="1:18" s="4" customFormat="1" x14ac:dyDescent="0.3">
      <c r="A432" s="254" t="str">
        <f>IF(ISBLANK(INDEX('Policy Characteristics'!A:A,MATCH($C432,'Policy Characteristics'!$C:$C,0))),"",INDEX('Policy Characteristics'!A:A,MATCH($C432,'Policy Characteristics'!$C:$C,0)))</f>
        <v>Electricity Supply</v>
      </c>
      <c r="B432" s="262" t="str">
        <f>IF(ISBLANK(INDEX('Policy Characteristics'!B:B,MATCH($C432,'Policy Characteristics'!$C:$C,0))),"",INDEX('Policy Characteristics'!B:B,MATCH($C432,'Policy Characteristics'!$C:$C,0)))</f>
        <v>Non BAU Mandated Capacity CCUS Retrofits</v>
      </c>
      <c r="C432" s="254" t="str">
        <f t="shared" si="25"/>
        <v>Boolean Use Non BAU Mandated Capacity Retrofit Schedule</v>
      </c>
      <c r="D432" s="6" t="s">
        <v>79</v>
      </c>
      <c r="E432" s="45"/>
      <c r="F432" s="6" t="s">
        <v>91</v>
      </c>
      <c r="G432" s="45"/>
      <c r="H432" s="43">
        <v>2296</v>
      </c>
      <c r="I432" s="324" t="s">
        <v>44</v>
      </c>
      <c r="J432" s="255" t="str">
        <f>IF(ISBLANK(INDEX('Policy Characteristics'!D:D,MATCH($C432,'Policy Characteristics'!$C:$C,0))),"",INDEX('Policy Characteristics'!D:D,MATCH($C432,'Policy Characteristics'!$C:$C,0)))</f>
        <v>Non BAU Mandated Capacity CCUS Retrofits</v>
      </c>
      <c r="K432" s="254" t="str">
        <f>IF(ISBLANK(INDEX('Policy Characteristics'!E:E,MATCH($C432,'Policy Characteristics'!$C:$C,0))),"",INDEX('Policy Characteristics'!E:E,MATCH($C432,'Policy Characteristics'!$C:$C,0)))</f>
        <v/>
      </c>
      <c r="L432" s="254">
        <f>IF(ISBLANK(INDEX('Policy Characteristics'!F:F,MATCH($C432,'Policy Characteristics'!$C:$C,0))),"",INDEX('Policy Characteristics'!F:F,MATCH($C432,'Policy Characteristics'!$C:$C,0)))</f>
        <v>0</v>
      </c>
      <c r="M432" s="254">
        <f>IF(ISBLANK(INDEX('Policy Characteristics'!G:G,MATCH($C432,'Policy Characteristics'!$C:$C,0))),"",INDEX('Policy Characteristics'!G:G,MATCH($C432,'Policy Characteristics'!$C:$C,0)))</f>
        <v>1</v>
      </c>
      <c r="N432" s="254">
        <f>IF(ISBLANK(INDEX('Policy Characteristics'!H:H,MATCH($C432,'Policy Characteristics'!$C:$C,0))),"",INDEX('Policy Characteristics'!H:H,MATCH($C432,'Policy Characteristics'!$C:$C,0)))</f>
        <v>1</v>
      </c>
      <c r="O432" s="254" t="str">
        <f>IF(ISBLANK(INDEX('Policy Characteristics'!I:I,MATCH($C432,'Policy Characteristics'!$C:$C,0))),"",INDEX('Policy Characteristics'!I:I,MATCH($C432,'Policy Characteristics'!$C:$C,0)))</f>
        <v>on/off</v>
      </c>
      <c r="P432" s="254" t="str">
        <f>IF(ISBLANK(INDEX('Policy Characteristics'!J:J,MATCH($C432,'Policy Characteristics'!$C:$C,0))),"",INDEX('Policy Characteristics'!J:J,MATCH($C432,'Policy Characteristics'!$C:$C,0)))</f>
        <v xml:space="preserve">**Description:** The business-as-usual case includes all planned CCUS retrofits (as modeled by the EPA for its latest GHG standards for power plants). This policy uses an alternative set of data for CCUS retrofits. </v>
      </c>
      <c r="Q432" s="254" t="str">
        <f>IF(ISBLANK(INDEX('Policy Characteristics'!K:K,MATCH($C432,'Policy Characteristics'!$C:$C,0))),"",INDEX('Policy Characteristics'!K:K,MATCH($C432,'Policy Characteristics'!$C:$C,0)))</f>
        <v/>
      </c>
      <c r="R432" s="254" t="str">
        <f>IF(ISBLANK(INDEX('Policy Characteristics'!L:L,MATCH($C432,'Policy Characteristics'!$C:$C,0))),"",INDEX('Policy Characteristics'!L:L,MATCH($C432,'Policy Characteristics'!$C:$C,0)))</f>
        <v/>
      </c>
    </row>
    <row r="433" spans="1:18" s="4" customFormat="1" x14ac:dyDescent="0.3">
      <c r="A433" s="254" t="str">
        <f>IF(ISBLANK(INDEX('Policy Characteristics'!A:A,MATCH($C433,'Policy Characteristics'!$C:$C,0))),"",INDEX('Policy Characteristics'!A:A,MATCH($C433,'Policy Characteristics'!$C:$C,0)))</f>
        <v>Electricity Supply</v>
      </c>
      <c r="B433" s="262" t="str">
        <f>IF(ISBLANK(INDEX('Policy Characteristics'!B:B,MATCH($C433,'Policy Characteristics'!$C:$C,0))),"",INDEX('Policy Characteristics'!B:B,MATCH($C433,'Policy Characteristics'!$C:$C,0)))</f>
        <v>Non BAU Mandated Capacity CCUS Retrofits</v>
      </c>
      <c r="C433" s="254" t="str">
        <f t="shared" si="25"/>
        <v>Boolean Use Non BAU Mandated Capacity Retrofit Schedule</v>
      </c>
      <c r="D433" s="6" t="s">
        <v>80</v>
      </c>
      <c r="E433" s="45"/>
      <c r="F433" s="6" t="s">
        <v>92</v>
      </c>
      <c r="G433" s="45"/>
      <c r="H433" s="43">
        <v>2297</v>
      </c>
      <c r="I433" s="324" t="s">
        <v>44</v>
      </c>
      <c r="J433" s="255" t="str">
        <f>IF(ISBLANK(INDEX('Policy Characteristics'!D:D,MATCH($C433,'Policy Characteristics'!$C:$C,0))),"",INDEX('Policy Characteristics'!D:D,MATCH($C433,'Policy Characteristics'!$C:$C,0)))</f>
        <v>Non BAU Mandated Capacity CCUS Retrofits</v>
      </c>
      <c r="K433" s="254" t="str">
        <f>IF(ISBLANK(INDEX('Policy Characteristics'!E:E,MATCH($C433,'Policy Characteristics'!$C:$C,0))),"",INDEX('Policy Characteristics'!E:E,MATCH($C433,'Policy Characteristics'!$C:$C,0)))</f>
        <v/>
      </c>
      <c r="L433" s="254">
        <f>IF(ISBLANK(INDEX('Policy Characteristics'!F:F,MATCH($C433,'Policy Characteristics'!$C:$C,0))),"",INDEX('Policy Characteristics'!F:F,MATCH($C433,'Policy Characteristics'!$C:$C,0)))</f>
        <v>0</v>
      </c>
      <c r="M433" s="254">
        <f>IF(ISBLANK(INDEX('Policy Characteristics'!G:G,MATCH($C433,'Policy Characteristics'!$C:$C,0))),"",INDEX('Policy Characteristics'!G:G,MATCH($C433,'Policy Characteristics'!$C:$C,0)))</f>
        <v>1</v>
      </c>
      <c r="N433" s="254">
        <f>IF(ISBLANK(INDEX('Policy Characteristics'!H:H,MATCH($C433,'Policy Characteristics'!$C:$C,0))),"",INDEX('Policy Characteristics'!H:H,MATCH($C433,'Policy Characteristics'!$C:$C,0)))</f>
        <v>1</v>
      </c>
      <c r="O433" s="254" t="str">
        <f>IF(ISBLANK(INDEX('Policy Characteristics'!I:I,MATCH($C433,'Policy Characteristics'!$C:$C,0))),"",INDEX('Policy Characteristics'!I:I,MATCH($C433,'Policy Characteristics'!$C:$C,0)))</f>
        <v>on/off</v>
      </c>
      <c r="P433" s="254" t="str">
        <f>IF(ISBLANK(INDEX('Policy Characteristics'!J:J,MATCH($C433,'Policy Characteristics'!$C:$C,0))),"",INDEX('Policy Characteristics'!J:J,MATCH($C433,'Policy Characteristics'!$C:$C,0)))</f>
        <v xml:space="preserve">**Description:** The business-as-usual case includes all planned CCUS retrofits (as modeled by the EPA for its latest GHG standards for power plants). This policy uses an alternative set of data for CCUS retrofits. </v>
      </c>
      <c r="Q433" s="254" t="str">
        <f>IF(ISBLANK(INDEX('Policy Characteristics'!K:K,MATCH($C433,'Policy Characteristics'!$C:$C,0))),"",INDEX('Policy Characteristics'!K:K,MATCH($C433,'Policy Characteristics'!$C:$C,0)))</f>
        <v/>
      </c>
      <c r="R433" s="254" t="str">
        <f>IF(ISBLANK(INDEX('Policy Characteristics'!L:L,MATCH($C433,'Policy Characteristics'!$C:$C,0))),"",INDEX('Policy Characteristics'!L:L,MATCH($C433,'Policy Characteristics'!$C:$C,0)))</f>
        <v/>
      </c>
    </row>
    <row r="434" spans="1:18" s="4" customFormat="1" x14ac:dyDescent="0.3">
      <c r="A434" s="254" t="str">
        <f>IF(ISBLANK(INDEX('Policy Characteristics'!A:A,MATCH($C434,'Policy Characteristics'!$C:$C,0))),"",INDEX('Policy Characteristics'!A:A,MATCH($C434,'Policy Characteristics'!$C:$C,0)))</f>
        <v>Electricity Supply</v>
      </c>
      <c r="B434" s="262" t="str">
        <f>IF(ISBLANK(INDEX('Policy Characteristics'!B:B,MATCH($C434,'Policy Characteristics'!$C:$C,0))),"",INDEX('Policy Characteristics'!B:B,MATCH($C434,'Policy Characteristics'!$C:$C,0)))</f>
        <v>Non BAU Mandated Capacity CCUS Retrofits</v>
      </c>
      <c r="C434" s="254" t="str">
        <f t="shared" si="25"/>
        <v>Boolean Use Non BAU Mandated Capacity Retrofit Schedule</v>
      </c>
      <c r="D434" s="6" t="s">
        <v>2425</v>
      </c>
      <c r="E434" s="45"/>
      <c r="F434" s="6" t="s">
        <v>436</v>
      </c>
      <c r="G434" s="45"/>
      <c r="H434" s="43">
        <v>2298</v>
      </c>
      <c r="I434" s="324" t="s">
        <v>44</v>
      </c>
      <c r="J434" s="255" t="str">
        <f>IF(ISBLANK(INDEX('Policy Characteristics'!D:D,MATCH($C434,'Policy Characteristics'!$C:$C,0))),"",INDEX('Policy Characteristics'!D:D,MATCH($C434,'Policy Characteristics'!$C:$C,0)))</f>
        <v>Non BAU Mandated Capacity CCUS Retrofits</v>
      </c>
      <c r="K434" s="254" t="str">
        <f>IF(ISBLANK(INDEX('Policy Characteristics'!E:E,MATCH($C434,'Policy Characteristics'!$C:$C,0))),"",INDEX('Policy Characteristics'!E:E,MATCH($C434,'Policy Characteristics'!$C:$C,0)))</f>
        <v/>
      </c>
      <c r="L434" s="254">
        <f>IF(ISBLANK(INDEX('Policy Characteristics'!F:F,MATCH($C434,'Policy Characteristics'!$C:$C,0))),"",INDEX('Policy Characteristics'!F:F,MATCH($C434,'Policy Characteristics'!$C:$C,0)))</f>
        <v>0</v>
      </c>
      <c r="M434" s="254">
        <f>IF(ISBLANK(INDEX('Policy Characteristics'!G:G,MATCH($C434,'Policy Characteristics'!$C:$C,0))),"",INDEX('Policy Characteristics'!G:G,MATCH($C434,'Policy Characteristics'!$C:$C,0)))</f>
        <v>1</v>
      </c>
      <c r="N434" s="254">
        <f>IF(ISBLANK(INDEX('Policy Characteristics'!H:H,MATCH($C434,'Policy Characteristics'!$C:$C,0))),"",INDEX('Policy Characteristics'!H:H,MATCH($C434,'Policy Characteristics'!$C:$C,0)))</f>
        <v>1</v>
      </c>
      <c r="O434" s="254" t="str">
        <f>IF(ISBLANK(INDEX('Policy Characteristics'!I:I,MATCH($C434,'Policy Characteristics'!$C:$C,0))),"",INDEX('Policy Characteristics'!I:I,MATCH($C434,'Policy Characteristics'!$C:$C,0)))</f>
        <v>on/off</v>
      </c>
      <c r="P434" s="254" t="str">
        <f>IF(ISBLANK(INDEX('Policy Characteristics'!J:J,MATCH($C434,'Policy Characteristics'!$C:$C,0))),"",INDEX('Policy Characteristics'!J:J,MATCH($C434,'Policy Characteristics'!$C:$C,0)))</f>
        <v xml:space="preserve">**Description:** The business-as-usual case includes all planned CCUS retrofits (as modeled by the EPA for its latest GHG standards for power plants). This policy uses an alternative set of data for CCUS retrofits. </v>
      </c>
      <c r="Q434" s="254" t="str">
        <f>IF(ISBLANK(INDEX('Policy Characteristics'!K:K,MATCH($C434,'Policy Characteristics'!$C:$C,0))),"",INDEX('Policy Characteristics'!K:K,MATCH($C434,'Policy Characteristics'!$C:$C,0)))</f>
        <v/>
      </c>
      <c r="R434" s="254" t="str">
        <f>IF(ISBLANK(INDEX('Policy Characteristics'!L:L,MATCH($C434,'Policy Characteristics'!$C:$C,0))),"",INDEX('Policy Characteristics'!L:L,MATCH($C434,'Policy Characteristics'!$C:$C,0)))</f>
        <v/>
      </c>
    </row>
    <row r="435" spans="1:18" s="4" customFormat="1" x14ac:dyDescent="0.3">
      <c r="A435" s="254" t="str">
        <f>IF(ISBLANK(INDEX('Policy Characteristics'!A:A,MATCH($C435,'Policy Characteristics'!$C:$C,0))),"",INDEX('Policy Characteristics'!A:A,MATCH($C435,'Policy Characteristics'!$C:$C,0)))</f>
        <v>Electricity Supply</v>
      </c>
      <c r="B435" s="262" t="str">
        <f>IF(ISBLANK(INDEX('Policy Characteristics'!B:B,MATCH($C435,'Policy Characteristics'!$C:$C,0))),"",INDEX('Policy Characteristics'!B:B,MATCH($C435,'Policy Characteristics'!$C:$C,0)))</f>
        <v>Non BAU Mandated Capacity CCUS Retrofits</v>
      </c>
      <c r="C435" s="254" t="str">
        <f t="shared" si="25"/>
        <v>Boolean Use Non BAU Mandated Capacity Retrofit Schedule</v>
      </c>
      <c r="D435" s="6" t="s">
        <v>308</v>
      </c>
      <c r="E435" s="45"/>
      <c r="F435" s="6" t="s">
        <v>310</v>
      </c>
      <c r="G435" s="45"/>
      <c r="H435" s="43">
        <v>2299</v>
      </c>
      <c r="I435" s="324" t="s">
        <v>44</v>
      </c>
      <c r="J435" s="255" t="str">
        <f>IF(ISBLANK(INDEX('Policy Characteristics'!D:D,MATCH($C435,'Policy Characteristics'!$C:$C,0))),"",INDEX('Policy Characteristics'!D:D,MATCH($C435,'Policy Characteristics'!$C:$C,0)))</f>
        <v>Non BAU Mandated Capacity CCUS Retrofits</v>
      </c>
      <c r="K435" s="254" t="str">
        <f>IF(ISBLANK(INDEX('Policy Characteristics'!E:E,MATCH($C435,'Policy Characteristics'!$C:$C,0))),"",INDEX('Policy Characteristics'!E:E,MATCH($C435,'Policy Characteristics'!$C:$C,0)))</f>
        <v/>
      </c>
      <c r="L435" s="254">
        <f>IF(ISBLANK(INDEX('Policy Characteristics'!F:F,MATCH($C435,'Policy Characteristics'!$C:$C,0))),"",INDEX('Policy Characteristics'!F:F,MATCH($C435,'Policy Characteristics'!$C:$C,0)))</f>
        <v>0</v>
      </c>
      <c r="M435" s="254">
        <f>IF(ISBLANK(INDEX('Policy Characteristics'!G:G,MATCH($C435,'Policy Characteristics'!$C:$C,0))),"",INDEX('Policy Characteristics'!G:G,MATCH($C435,'Policy Characteristics'!$C:$C,0)))</f>
        <v>1</v>
      </c>
      <c r="N435" s="254">
        <f>IF(ISBLANK(INDEX('Policy Characteristics'!H:H,MATCH($C435,'Policy Characteristics'!$C:$C,0))),"",INDEX('Policy Characteristics'!H:H,MATCH($C435,'Policy Characteristics'!$C:$C,0)))</f>
        <v>1</v>
      </c>
      <c r="O435" s="254" t="str">
        <f>IF(ISBLANK(INDEX('Policy Characteristics'!I:I,MATCH($C435,'Policy Characteristics'!$C:$C,0))),"",INDEX('Policy Characteristics'!I:I,MATCH($C435,'Policy Characteristics'!$C:$C,0)))</f>
        <v>on/off</v>
      </c>
      <c r="P435" s="254" t="str">
        <f>IF(ISBLANK(INDEX('Policy Characteristics'!J:J,MATCH($C435,'Policy Characteristics'!$C:$C,0))),"",INDEX('Policy Characteristics'!J:J,MATCH($C435,'Policy Characteristics'!$C:$C,0)))</f>
        <v xml:space="preserve">**Description:** The business-as-usual case includes all planned CCUS retrofits (as modeled by the EPA for its latest GHG standards for power plants). This policy uses an alternative set of data for CCUS retrofits. </v>
      </c>
      <c r="Q435" s="254" t="str">
        <f>IF(ISBLANK(INDEX('Policy Characteristics'!K:K,MATCH($C435,'Policy Characteristics'!$C:$C,0))),"",INDEX('Policy Characteristics'!K:K,MATCH($C435,'Policy Characteristics'!$C:$C,0)))</f>
        <v/>
      </c>
      <c r="R435" s="254" t="str">
        <f>IF(ISBLANK(INDEX('Policy Characteristics'!L:L,MATCH($C435,'Policy Characteristics'!$C:$C,0))),"",INDEX('Policy Characteristics'!L:L,MATCH($C435,'Policy Characteristics'!$C:$C,0)))</f>
        <v/>
      </c>
    </row>
    <row r="436" spans="1:18" s="4" customFormat="1" x14ac:dyDescent="0.3">
      <c r="A436" s="254" t="str">
        <f>IF(ISBLANK(INDEX('Policy Characteristics'!A:A,MATCH($C436,'Policy Characteristics'!$C:$C,0))),"",INDEX('Policy Characteristics'!A:A,MATCH($C436,'Policy Characteristics'!$C:$C,0)))</f>
        <v>Electricity Supply</v>
      </c>
      <c r="B436" s="262" t="str">
        <f>IF(ISBLANK(INDEX('Policy Characteristics'!B:B,MATCH($C436,'Policy Characteristics'!$C:$C,0))),"",INDEX('Policy Characteristics'!B:B,MATCH($C436,'Policy Characteristics'!$C:$C,0)))</f>
        <v>Non BAU Mandated Capacity CCUS Retrofits</v>
      </c>
      <c r="C436" s="254" t="str">
        <f t="shared" si="25"/>
        <v>Boolean Use Non BAU Mandated Capacity Retrofit Schedule</v>
      </c>
      <c r="D436" s="6" t="s">
        <v>309</v>
      </c>
      <c r="E436" s="45"/>
      <c r="F436" s="6" t="s">
        <v>311</v>
      </c>
      <c r="G436" s="45"/>
      <c r="H436" s="43">
        <v>2300</v>
      </c>
      <c r="I436" s="324" t="s">
        <v>44</v>
      </c>
      <c r="J436" s="255" t="str">
        <f>IF(ISBLANK(INDEX('Policy Characteristics'!D:D,MATCH($C436,'Policy Characteristics'!$C:$C,0))),"",INDEX('Policy Characteristics'!D:D,MATCH($C436,'Policy Characteristics'!$C:$C,0)))</f>
        <v>Non BAU Mandated Capacity CCUS Retrofits</v>
      </c>
      <c r="K436" s="254" t="str">
        <f>IF(ISBLANK(INDEX('Policy Characteristics'!E:E,MATCH($C436,'Policy Characteristics'!$C:$C,0))),"",INDEX('Policy Characteristics'!E:E,MATCH($C436,'Policy Characteristics'!$C:$C,0)))</f>
        <v/>
      </c>
      <c r="L436" s="254">
        <f>IF(ISBLANK(INDEX('Policy Characteristics'!F:F,MATCH($C436,'Policy Characteristics'!$C:$C,0))),"",INDEX('Policy Characteristics'!F:F,MATCH($C436,'Policy Characteristics'!$C:$C,0)))</f>
        <v>0</v>
      </c>
      <c r="M436" s="254">
        <f>IF(ISBLANK(INDEX('Policy Characteristics'!G:G,MATCH($C436,'Policy Characteristics'!$C:$C,0))),"",INDEX('Policy Characteristics'!G:G,MATCH($C436,'Policy Characteristics'!$C:$C,0)))</f>
        <v>1</v>
      </c>
      <c r="N436" s="254">
        <f>IF(ISBLANK(INDEX('Policy Characteristics'!H:H,MATCH($C436,'Policy Characteristics'!$C:$C,0))),"",INDEX('Policy Characteristics'!H:H,MATCH($C436,'Policy Characteristics'!$C:$C,0)))</f>
        <v>1</v>
      </c>
      <c r="O436" s="254" t="str">
        <f>IF(ISBLANK(INDEX('Policy Characteristics'!I:I,MATCH($C436,'Policy Characteristics'!$C:$C,0))),"",INDEX('Policy Characteristics'!I:I,MATCH($C436,'Policy Characteristics'!$C:$C,0)))</f>
        <v>on/off</v>
      </c>
      <c r="P436" s="254" t="str">
        <f>IF(ISBLANK(INDEX('Policy Characteristics'!J:J,MATCH($C436,'Policy Characteristics'!$C:$C,0))),"",INDEX('Policy Characteristics'!J:J,MATCH($C436,'Policy Characteristics'!$C:$C,0)))</f>
        <v xml:space="preserve">**Description:** The business-as-usual case includes all planned CCUS retrofits (as modeled by the EPA for its latest GHG standards for power plants). This policy uses an alternative set of data for CCUS retrofits. </v>
      </c>
      <c r="Q436" s="254" t="str">
        <f>IF(ISBLANK(INDEX('Policy Characteristics'!K:K,MATCH($C436,'Policy Characteristics'!$C:$C,0))),"",INDEX('Policy Characteristics'!K:K,MATCH($C436,'Policy Characteristics'!$C:$C,0)))</f>
        <v/>
      </c>
      <c r="R436" s="254" t="str">
        <f>IF(ISBLANK(INDEX('Policy Characteristics'!L:L,MATCH($C436,'Policy Characteristics'!$C:$C,0))),"",INDEX('Policy Characteristics'!L:L,MATCH($C436,'Policy Characteristics'!$C:$C,0)))</f>
        <v/>
      </c>
    </row>
    <row r="437" spans="1:18" s="4" customFormat="1" x14ac:dyDescent="0.3">
      <c r="A437" s="254" t="str">
        <f>IF(ISBLANK(INDEX('Policy Characteristics'!A:A,MATCH($C437,'Policy Characteristics'!$C:$C,0))),"",INDEX('Policy Characteristics'!A:A,MATCH($C437,'Policy Characteristics'!$C:$C,0)))</f>
        <v>Electricity Supply</v>
      </c>
      <c r="B437" s="262" t="str">
        <f>IF(ISBLANK(INDEX('Policy Characteristics'!B:B,MATCH($C437,'Policy Characteristics'!$C:$C,0))),"",INDEX('Policy Characteristics'!B:B,MATCH($C437,'Policy Characteristics'!$C:$C,0)))</f>
        <v>Non BAU Mandated Capacity CCUS Retrofits</v>
      </c>
      <c r="C437" s="254" t="str">
        <f t="shared" si="25"/>
        <v>Boolean Use Non BAU Mandated Capacity Retrofit Schedule</v>
      </c>
      <c r="D437" s="6" t="s">
        <v>444</v>
      </c>
      <c r="E437" s="45"/>
      <c r="F437" s="6" t="s">
        <v>443</v>
      </c>
      <c r="G437" s="45"/>
      <c r="H437" s="43">
        <v>2301</v>
      </c>
      <c r="I437" s="324" t="s">
        <v>44</v>
      </c>
      <c r="J437" s="255" t="str">
        <f>IF(ISBLANK(INDEX('Policy Characteristics'!D:D,MATCH($C437,'Policy Characteristics'!$C:$C,0))),"",INDEX('Policy Characteristics'!D:D,MATCH($C437,'Policy Characteristics'!$C:$C,0)))</f>
        <v>Non BAU Mandated Capacity CCUS Retrofits</v>
      </c>
      <c r="K437" s="254" t="str">
        <f>IF(ISBLANK(INDEX('Policy Characteristics'!E:E,MATCH($C437,'Policy Characteristics'!$C:$C,0))),"",INDEX('Policy Characteristics'!E:E,MATCH($C437,'Policy Characteristics'!$C:$C,0)))</f>
        <v/>
      </c>
      <c r="L437" s="254">
        <f>IF(ISBLANK(INDEX('Policy Characteristics'!F:F,MATCH($C437,'Policy Characteristics'!$C:$C,0))),"",INDEX('Policy Characteristics'!F:F,MATCH($C437,'Policy Characteristics'!$C:$C,0)))</f>
        <v>0</v>
      </c>
      <c r="M437" s="254">
        <f>IF(ISBLANK(INDEX('Policy Characteristics'!G:G,MATCH($C437,'Policy Characteristics'!$C:$C,0))),"",INDEX('Policy Characteristics'!G:G,MATCH($C437,'Policy Characteristics'!$C:$C,0)))</f>
        <v>1</v>
      </c>
      <c r="N437" s="254">
        <f>IF(ISBLANK(INDEX('Policy Characteristics'!H:H,MATCH($C437,'Policy Characteristics'!$C:$C,0))),"",INDEX('Policy Characteristics'!H:H,MATCH($C437,'Policy Characteristics'!$C:$C,0)))</f>
        <v>1</v>
      </c>
      <c r="O437" s="254" t="str">
        <f>IF(ISBLANK(INDEX('Policy Characteristics'!I:I,MATCH($C437,'Policy Characteristics'!$C:$C,0))),"",INDEX('Policy Characteristics'!I:I,MATCH($C437,'Policy Characteristics'!$C:$C,0)))</f>
        <v>on/off</v>
      </c>
      <c r="P437" s="254" t="str">
        <f>IF(ISBLANK(INDEX('Policy Characteristics'!J:J,MATCH($C437,'Policy Characteristics'!$C:$C,0))),"",INDEX('Policy Characteristics'!J:J,MATCH($C437,'Policy Characteristics'!$C:$C,0)))</f>
        <v xml:space="preserve">**Description:** The business-as-usual case includes all planned CCUS retrofits (as modeled by the EPA for its latest GHG standards for power plants). This policy uses an alternative set of data for CCUS retrofits. </v>
      </c>
      <c r="Q437" s="254" t="str">
        <f>IF(ISBLANK(INDEX('Policy Characteristics'!K:K,MATCH($C437,'Policy Characteristics'!$C:$C,0))),"",INDEX('Policy Characteristics'!K:K,MATCH($C437,'Policy Characteristics'!$C:$C,0)))</f>
        <v/>
      </c>
      <c r="R437" s="254" t="str">
        <f>IF(ISBLANK(INDEX('Policy Characteristics'!L:L,MATCH($C437,'Policy Characteristics'!$C:$C,0))),"",INDEX('Policy Characteristics'!L:L,MATCH($C437,'Policy Characteristics'!$C:$C,0)))</f>
        <v/>
      </c>
    </row>
    <row r="438" spans="1:18" s="4" customFormat="1" x14ac:dyDescent="0.3">
      <c r="A438" s="254" t="str">
        <f>IF(ISBLANK(INDEX('Policy Characteristics'!A:A,MATCH($C438,'Policy Characteristics'!$C:$C,0))),"",INDEX('Policy Characteristics'!A:A,MATCH($C438,'Policy Characteristics'!$C:$C,0)))</f>
        <v>Electricity Supply</v>
      </c>
      <c r="B438" s="262" t="str">
        <f>IF(ISBLANK(INDEX('Policy Characteristics'!B:B,MATCH($C438,'Policy Characteristics'!$C:$C,0))),"",INDEX('Policy Characteristics'!B:B,MATCH($C438,'Policy Characteristics'!$C:$C,0)))</f>
        <v>Non BAU Mandated Capacity CCUS Retrofits</v>
      </c>
      <c r="C438" s="254" t="str">
        <f t="shared" si="25"/>
        <v>Boolean Use Non BAU Mandated Capacity Retrofit Schedule</v>
      </c>
      <c r="D438" s="6" t="s">
        <v>453</v>
      </c>
      <c r="E438" s="45"/>
      <c r="F438" s="6" t="s">
        <v>454</v>
      </c>
      <c r="G438" s="45"/>
      <c r="H438" s="43">
        <v>2302</v>
      </c>
      <c r="I438" s="324" t="s">
        <v>44</v>
      </c>
      <c r="J438" s="255" t="str">
        <f>IF(ISBLANK(INDEX('Policy Characteristics'!D:D,MATCH($C438,'Policy Characteristics'!$C:$C,0))),"",INDEX('Policy Characteristics'!D:D,MATCH($C438,'Policy Characteristics'!$C:$C,0)))</f>
        <v>Non BAU Mandated Capacity CCUS Retrofits</v>
      </c>
      <c r="K438" s="254" t="str">
        <f>IF(ISBLANK(INDEX('Policy Characteristics'!E:E,MATCH($C438,'Policy Characteristics'!$C:$C,0))),"",INDEX('Policy Characteristics'!E:E,MATCH($C438,'Policy Characteristics'!$C:$C,0)))</f>
        <v/>
      </c>
      <c r="L438" s="254">
        <f>IF(ISBLANK(INDEX('Policy Characteristics'!F:F,MATCH($C438,'Policy Characteristics'!$C:$C,0))),"",INDEX('Policy Characteristics'!F:F,MATCH($C438,'Policy Characteristics'!$C:$C,0)))</f>
        <v>0</v>
      </c>
      <c r="M438" s="254">
        <f>IF(ISBLANK(INDEX('Policy Characteristics'!G:G,MATCH($C438,'Policy Characteristics'!$C:$C,0))),"",INDEX('Policy Characteristics'!G:G,MATCH($C438,'Policy Characteristics'!$C:$C,0)))</f>
        <v>1</v>
      </c>
      <c r="N438" s="254">
        <f>IF(ISBLANK(INDEX('Policy Characteristics'!H:H,MATCH($C438,'Policy Characteristics'!$C:$C,0))),"",INDEX('Policy Characteristics'!H:H,MATCH($C438,'Policy Characteristics'!$C:$C,0)))</f>
        <v>1</v>
      </c>
      <c r="O438" s="254" t="str">
        <f>IF(ISBLANK(INDEX('Policy Characteristics'!I:I,MATCH($C438,'Policy Characteristics'!$C:$C,0))),"",INDEX('Policy Characteristics'!I:I,MATCH($C438,'Policy Characteristics'!$C:$C,0)))</f>
        <v>on/off</v>
      </c>
      <c r="P438" s="254" t="str">
        <f>IF(ISBLANK(INDEX('Policy Characteristics'!J:J,MATCH($C438,'Policy Characteristics'!$C:$C,0))),"",INDEX('Policy Characteristics'!J:J,MATCH($C438,'Policy Characteristics'!$C:$C,0)))</f>
        <v xml:space="preserve">**Description:** The business-as-usual case includes all planned CCUS retrofits (as modeled by the EPA for its latest GHG standards for power plants). This policy uses an alternative set of data for CCUS retrofits. </v>
      </c>
      <c r="Q438" s="254" t="str">
        <f>IF(ISBLANK(INDEX('Policy Characteristics'!K:K,MATCH($C438,'Policy Characteristics'!$C:$C,0))),"",INDEX('Policy Characteristics'!K:K,MATCH($C438,'Policy Characteristics'!$C:$C,0)))</f>
        <v/>
      </c>
      <c r="R438" s="254" t="str">
        <f>IF(ISBLANK(INDEX('Policy Characteristics'!L:L,MATCH($C438,'Policy Characteristics'!$C:$C,0))),"",INDEX('Policy Characteristics'!L:L,MATCH($C438,'Policy Characteristics'!$C:$C,0)))</f>
        <v/>
      </c>
    </row>
    <row r="439" spans="1:18" s="4" customFormat="1" x14ac:dyDescent="0.3">
      <c r="A439" s="254" t="str">
        <f>IF(ISBLANK(INDEX('Policy Characteristics'!A:A,MATCH($C439,'Policy Characteristics'!$C:$C,0))),"",INDEX('Policy Characteristics'!A:A,MATCH($C439,'Policy Characteristics'!$C:$C,0)))</f>
        <v>Electricity Supply</v>
      </c>
      <c r="B439" s="262" t="str">
        <f>IF(ISBLANK(INDEX('Policy Characteristics'!B:B,MATCH($C439,'Policy Characteristics'!$C:$C,0))),"",INDEX('Policy Characteristics'!B:B,MATCH($C439,'Policy Characteristics'!$C:$C,0)))</f>
        <v>Non BAU Mandated Capacity CCUS Retrofits</v>
      </c>
      <c r="C439" s="254" t="str">
        <f t="shared" si="25"/>
        <v>Boolean Use Non BAU Mandated Capacity Retrofit Schedule</v>
      </c>
      <c r="D439" s="6" t="s">
        <v>2748</v>
      </c>
      <c r="E439" s="45"/>
      <c r="F439" s="6" t="s">
        <v>2469</v>
      </c>
      <c r="G439" s="45"/>
      <c r="H439" s="43">
        <v>2303</v>
      </c>
      <c r="I439" s="324" t="s">
        <v>44</v>
      </c>
      <c r="J439" s="255" t="str">
        <f>IF(ISBLANK(INDEX('Policy Characteristics'!D:D,MATCH($C439,'Policy Characteristics'!$C:$C,0))),"",INDEX('Policy Characteristics'!D:D,MATCH($C439,'Policy Characteristics'!$C:$C,0)))</f>
        <v>Non BAU Mandated Capacity CCUS Retrofits</v>
      </c>
      <c r="K439" s="254" t="str">
        <f>IF(ISBLANK(INDEX('Policy Characteristics'!E:E,MATCH($C439,'Policy Characteristics'!$C:$C,0))),"",INDEX('Policy Characteristics'!E:E,MATCH($C439,'Policy Characteristics'!$C:$C,0)))</f>
        <v/>
      </c>
      <c r="L439" s="254">
        <f>IF(ISBLANK(INDEX('Policy Characteristics'!F:F,MATCH($C439,'Policy Characteristics'!$C:$C,0))),"",INDEX('Policy Characteristics'!F:F,MATCH($C439,'Policy Characteristics'!$C:$C,0)))</f>
        <v>0</v>
      </c>
      <c r="M439" s="254">
        <f>IF(ISBLANK(INDEX('Policy Characteristics'!G:G,MATCH($C439,'Policy Characteristics'!$C:$C,0))),"",INDEX('Policy Characteristics'!G:G,MATCH($C439,'Policy Characteristics'!$C:$C,0)))</f>
        <v>1</v>
      </c>
      <c r="N439" s="254">
        <f>IF(ISBLANK(INDEX('Policy Characteristics'!H:H,MATCH($C439,'Policy Characteristics'!$C:$C,0))),"",INDEX('Policy Characteristics'!H:H,MATCH($C439,'Policy Characteristics'!$C:$C,0)))</f>
        <v>1</v>
      </c>
      <c r="O439" s="254" t="str">
        <f>IF(ISBLANK(INDEX('Policy Characteristics'!I:I,MATCH($C439,'Policy Characteristics'!$C:$C,0))),"",INDEX('Policy Characteristics'!I:I,MATCH($C439,'Policy Characteristics'!$C:$C,0)))</f>
        <v>on/off</v>
      </c>
      <c r="P439" s="254" t="str">
        <f>IF(ISBLANK(INDEX('Policy Characteristics'!J:J,MATCH($C439,'Policy Characteristics'!$C:$C,0))),"",INDEX('Policy Characteristics'!J:J,MATCH($C439,'Policy Characteristics'!$C:$C,0)))</f>
        <v xml:space="preserve">**Description:** The business-as-usual case includes all planned CCUS retrofits (as modeled by the EPA for its latest GHG standards for power plants). This policy uses an alternative set of data for CCUS retrofits. </v>
      </c>
      <c r="Q439" s="254" t="str">
        <f>IF(ISBLANK(INDEX('Policy Characteristics'!K:K,MATCH($C439,'Policy Characteristics'!$C:$C,0))),"",INDEX('Policy Characteristics'!K:K,MATCH($C439,'Policy Characteristics'!$C:$C,0)))</f>
        <v/>
      </c>
      <c r="R439" s="254" t="str">
        <f>IF(ISBLANK(INDEX('Policy Characteristics'!L:L,MATCH($C439,'Policy Characteristics'!$C:$C,0))),"",INDEX('Policy Characteristics'!L:L,MATCH($C439,'Policy Characteristics'!$C:$C,0)))</f>
        <v/>
      </c>
    </row>
    <row r="440" spans="1:18" s="4" customFormat="1" x14ac:dyDescent="0.3">
      <c r="A440" s="254" t="str">
        <f>IF(ISBLANK(INDEX('Policy Characteristics'!A:A,MATCH($C440,'Policy Characteristics'!$C:$C,0))),"",INDEX('Policy Characteristics'!A:A,MATCH($C440,'Policy Characteristics'!$C:$C,0)))</f>
        <v>Electricity Supply</v>
      </c>
      <c r="B440" s="262" t="str">
        <f>IF(ISBLANK(INDEX('Policy Characteristics'!B:B,MATCH($C440,'Policy Characteristics'!$C:$C,0))),"",INDEX('Policy Characteristics'!B:B,MATCH($C440,'Policy Characteristics'!$C:$C,0)))</f>
        <v>Non BAU Mandated Capacity CCUS Retrofits</v>
      </c>
      <c r="C440" s="254" t="str">
        <f t="shared" si="25"/>
        <v>Boolean Use Non BAU Mandated Capacity Retrofit Schedule</v>
      </c>
      <c r="D440" s="6" t="s">
        <v>2749</v>
      </c>
      <c r="E440" s="45"/>
      <c r="F440" s="6" t="s">
        <v>2592</v>
      </c>
      <c r="G440" s="45"/>
      <c r="H440" s="43">
        <v>2304</v>
      </c>
      <c r="I440" s="324" t="s">
        <v>44</v>
      </c>
      <c r="J440" s="255" t="str">
        <f>IF(ISBLANK(INDEX('Policy Characteristics'!D:D,MATCH($C440,'Policy Characteristics'!$C:$C,0))),"",INDEX('Policy Characteristics'!D:D,MATCH($C440,'Policy Characteristics'!$C:$C,0)))</f>
        <v>Non BAU Mandated Capacity CCUS Retrofits</v>
      </c>
      <c r="K440" s="254" t="str">
        <f>IF(ISBLANK(INDEX('Policy Characteristics'!E:E,MATCH($C440,'Policy Characteristics'!$C:$C,0))),"",INDEX('Policy Characteristics'!E:E,MATCH($C440,'Policy Characteristics'!$C:$C,0)))</f>
        <v/>
      </c>
      <c r="L440" s="254">
        <f>IF(ISBLANK(INDEX('Policy Characteristics'!F:F,MATCH($C440,'Policy Characteristics'!$C:$C,0))),"",INDEX('Policy Characteristics'!F:F,MATCH($C440,'Policy Characteristics'!$C:$C,0)))</f>
        <v>0</v>
      </c>
      <c r="M440" s="254">
        <f>IF(ISBLANK(INDEX('Policy Characteristics'!G:G,MATCH($C440,'Policy Characteristics'!$C:$C,0))),"",INDEX('Policy Characteristics'!G:G,MATCH($C440,'Policy Characteristics'!$C:$C,0)))</f>
        <v>1</v>
      </c>
      <c r="N440" s="254">
        <f>IF(ISBLANK(INDEX('Policy Characteristics'!H:H,MATCH($C440,'Policy Characteristics'!$C:$C,0))),"",INDEX('Policy Characteristics'!H:H,MATCH($C440,'Policy Characteristics'!$C:$C,0)))</f>
        <v>1</v>
      </c>
      <c r="O440" s="254" t="str">
        <f>IF(ISBLANK(INDEX('Policy Characteristics'!I:I,MATCH($C440,'Policy Characteristics'!$C:$C,0))),"",INDEX('Policy Characteristics'!I:I,MATCH($C440,'Policy Characteristics'!$C:$C,0)))</f>
        <v>on/off</v>
      </c>
      <c r="P440" s="254" t="str">
        <f>IF(ISBLANK(INDEX('Policy Characteristics'!J:J,MATCH($C440,'Policy Characteristics'!$C:$C,0))),"",INDEX('Policy Characteristics'!J:J,MATCH($C440,'Policy Characteristics'!$C:$C,0)))</f>
        <v xml:space="preserve">**Description:** The business-as-usual case includes all planned CCUS retrofits (as modeled by the EPA for its latest GHG standards for power plants). This policy uses an alternative set of data for CCUS retrofits. </v>
      </c>
      <c r="Q440" s="254" t="str">
        <f>IF(ISBLANK(INDEX('Policy Characteristics'!K:K,MATCH($C440,'Policy Characteristics'!$C:$C,0))),"",INDEX('Policy Characteristics'!K:K,MATCH($C440,'Policy Characteristics'!$C:$C,0)))</f>
        <v/>
      </c>
      <c r="R440" s="254" t="str">
        <f>IF(ISBLANK(INDEX('Policy Characteristics'!L:L,MATCH($C440,'Policy Characteristics'!$C:$C,0))),"",INDEX('Policy Characteristics'!L:L,MATCH($C440,'Policy Characteristics'!$C:$C,0)))</f>
        <v/>
      </c>
    </row>
    <row r="441" spans="1:18" s="4" customFormat="1" x14ac:dyDescent="0.3">
      <c r="A441" s="254" t="str">
        <f>IF(ISBLANK(INDEX('Policy Characteristics'!A:A,MATCH($C441,'Policy Characteristics'!$C:$C,0))),"",INDEX('Policy Characteristics'!A:A,MATCH($C441,'Policy Characteristics'!$C:$C,0)))</f>
        <v>Electricity Supply</v>
      </c>
      <c r="B441" s="262" t="str">
        <f>IF(ISBLANK(INDEX('Policy Characteristics'!B:B,MATCH($C441,'Policy Characteristics'!$C:$C,0))),"",INDEX('Policy Characteristics'!B:B,MATCH($C441,'Policy Characteristics'!$C:$C,0)))</f>
        <v>Non BAU Mandated Capacity CCUS Retrofits</v>
      </c>
      <c r="C441" s="254" t="str">
        <f t="shared" si="25"/>
        <v>Boolean Use Non BAU Mandated Capacity Retrofit Schedule</v>
      </c>
      <c r="D441" s="6" t="s">
        <v>2750</v>
      </c>
      <c r="E441" s="45"/>
      <c r="F441" s="6" t="s">
        <v>2471</v>
      </c>
      <c r="G441" s="45"/>
      <c r="H441" s="43">
        <v>2305</v>
      </c>
      <c r="I441" s="324" t="s">
        <v>44</v>
      </c>
      <c r="J441" s="255" t="str">
        <f>IF(ISBLANK(INDEX('Policy Characteristics'!D:D,MATCH($C441,'Policy Characteristics'!$C:$C,0))),"",INDEX('Policy Characteristics'!D:D,MATCH($C441,'Policy Characteristics'!$C:$C,0)))</f>
        <v>Non BAU Mandated Capacity CCUS Retrofits</v>
      </c>
      <c r="K441" s="254" t="str">
        <f>IF(ISBLANK(INDEX('Policy Characteristics'!E:E,MATCH($C441,'Policy Characteristics'!$C:$C,0))),"",INDEX('Policy Characteristics'!E:E,MATCH($C441,'Policy Characteristics'!$C:$C,0)))</f>
        <v/>
      </c>
      <c r="L441" s="254">
        <f>IF(ISBLANK(INDEX('Policy Characteristics'!F:F,MATCH($C441,'Policy Characteristics'!$C:$C,0))),"",INDEX('Policy Characteristics'!F:F,MATCH($C441,'Policy Characteristics'!$C:$C,0)))</f>
        <v>0</v>
      </c>
      <c r="M441" s="254">
        <f>IF(ISBLANK(INDEX('Policy Characteristics'!G:G,MATCH($C441,'Policy Characteristics'!$C:$C,0))),"",INDEX('Policy Characteristics'!G:G,MATCH($C441,'Policy Characteristics'!$C:$C,0)))</f>
        <v>1</v>
      </c>
      <c r="N441" s="254">
        <f>IF(ISBLANK(INDEX('Policy Characteristics'!H:H,MATCH($C441,'Policy Characteristics'!$C:$C,0))),"",INDEX('Policy Characteristics'!H:H,MATCH($C441,'Policy Characteristics'!$C:$C,0)))</f>
        <v>1</v>
      </c>
      <c r="O441" s="254" t="str">
        <f>IF(ISBLANK(INDEX('Policy Characteristics'!I:I,MATCH($C441,'Policy Characteristics'!$C:$C,0))),"",INDEX('Policy Characteristics'!I:I,MATCH($C441,'Policy Characteristics'!$C:$C,0)))</f>
        <v>on/off</v>
      </c>
      <c r="P441" s="254" t="str">
        <f>IF(ISBLANK(INDEX('Policy Characteristics'!J:J,MATCH($C441,'Policy Characteristics'!$C:$C,0))),"",INDEX('Policy Characteristics'!J:J,MATCH($C441,'Policy Characteristics'!$C:$C,0)))</f>
        <v xml:space="preserve">**Description:** The business-as-usual case includes all planned CCUS retrofits (as modeled by the EPA for its latest GHG standards for power plants). This policy uses an alternative set of data for CCUS retrofits. </v>
      </c>
      <c r="Q441" s="254" t="str">
        <f>IF(ISBLANK(INDEX('Policy Characteristics'!K:K,MATCH($C441,'Policy Characteristics'!$C:$C,0))),"",INDEX('Policy Characteristics'!K:K,MATCH($C441,'Policy Characteristics'!$C:$C,0)))</f>
        <v/>
      </c>
      <c r="R441" s="254" t="str">
        <f>IF(ISBLANK(INDEX('Policy Characteristics'!L:L,MATCH($C441,'Policy Characteristics'!$C:$C,0))),"",INDEX('Policy Characteristics'!L:L,MATCH($C441,'Policy Characteristics'!$C:$C,0)))</f>
        <v/>
      </c>
    </row>
    <row r="442" spans="1:18" s="4" customFormat="1" x14ac:dyDescent="0.3">
      <c r="A442" s="254" t="str">
        <f>IF(ISBLANK(INDEX('Policy Characteristics'!A:A,MATCH($C442,'Policy Characteristics'!$C:$C,0))),"",INDEX('Policy Characteristics'!A:A,MATCH($C442,'Policy Characteristics'!$C:$C,0)))</f>
        <v>Electricity Supply</v>
      </c>
      <c r="B442" s="262" t="str">
        <f>IF(ISBLANK(INDEX('Policy Characteristics'!B:B,MATCH($C442,'Policy Characteristics'!$C:$C,0))),"",INDEX('Policy Characteristics'!B:B,MATCH($C442,'Policy Characteristics'!$C:$C,0)))</f>
        <v>Non BAU Mandated Capacity CCUS Retrofits</v>
      </c>
      <c r="C442" s="254" t="str">
        <f t="shared" si="25"/>
        <v>Boolean Use Non BAU Mandated Capacity Retrofit Schedule</v>
      </c>
      <c r="D442" s="6" t="s">
        <v>3487</v>
      </c>
      <c r="E442" s="45"/>
      <c r="F442" s="6" t="s">
        <v>3494</v>
      </c>
      <c r="G442" s="45"/>
      <c r="H442" s="43">
        <v>2306</v>
      </c>
      <c r="I442" s="324" t="s">
        <v>44</v>
      </c>
      <c r="J442" s="255" t="str">
        <f>IF(ISBLANK(INDEX('Policy Characteristics'!D:D,MATCH($C442,'Policy Characteristics'!$C:$C,0))),"",INDEX('Policy Characteristics'!D:D,MATCH($C442,'Policy Characteristics'!$C:$C,0)))</f>
        <v>Non BAU Mandated Capacity CCUS Retrofits</v>
      </c>
      <c r="K442" s="254" t="str">
        <f>IF(ISBLANK(INDEX('Policy Characteristics'!E:E,MATCH($C442,'Policy Characteristics'!$C:$C,0))),"",INDEX('Policy Characteristics'!E:E,MATCH($C442,'Policy Characteristics'!$C:$C,0)))</f>
        <v/>
      </c>
      <c r="L442" s="254">
        <f>IF(ISBLANK(INDEX('Policy Characteristics'!F:F,MATCH($C442,'Policy Characteristics'!$C:$C,0))),"",INDEX('Policy Characteristics'!F:F,MATCH($C442,'Policy Characteristics'!$C:$C,0)))</f>
        <v>0</v>
      </c>
      <c r="M442" s="254">
        <f>IF(ISBLANK(INDEX('Policy Characteristics'!G:G,MATCH($C442,'Policy Characteristics'!$C:$C,0))),"",INDEX('Policy Characteristics'!G:G,MATCH($C442,'Policy Characteristics'!$C:$C,0)))</f>
        <v>1</v>
      </c>
      <c r="N442" s="254">
        <f>IF(ISBLANK(INDEX('Policy Characteristics'!H:H,MATCH($C442,'Policy Characteristics'!$C:$C,0))),"",INDEX('Policy Characteristics'!H:H,MATCH($C442,'Policy Characteristics'!$C:$C,0)))</f>
        <v>1</v>
      </c>
      <c r="O442" s="254" t="str">
        <f>IF(ISBLANK(INDEX('Policy Characteristics'!I:I,MATCH($C442,'Policy Characteristics'!$C:$C,0))),"",INDEX('Policy Characteristics'!I:I,MATCH($C442,'Policy Characteristics'!$C:$C,0)))</f>
        <v>on/off</v>
      </c>
      <c r="P442" s="254" t="str">
        <f>IF(ISBLANK(INDEX('Policy Characteristics'!J:J,MATCH($C442,'Policy Characteristics'!$C:$C,0))),"",INDEX('Policy Characteristics'!J:J,MATCH($C442,'Policy Characteristics'!$C:$C,0)))</f>
        <v xml:space="preserve">**Description:** The business-as-usual case includes all planned CCUS retrofits (as modeled by the EPA for its latest GHG standards for power plants). This policy uses an alternative set of data for CCUS retrofits. </v>
      </c>
      <c r="Q442" s="254" t="str">
        <f>IF(ISBLANK(INDEX('Policy Characteristics'!K:K,MATCH($C442,'Policy Characteristics'!$C:$C,0))),"",INDEX('Policy Characteristics'!K:K,MATCH($C442,'Policy Characteristics'!$C:$C,0)))</f>
        <v/>
      </c>
      <c r="R442" s="254" t="str">
        <f>IF(ISBLANK(INDEX('Policy Characteristics'!L:L,MATCH($C442,'Policy Characteristics'!$C:$C,0))),"",INDEX('Policy Characteristics'!L:L,MATCH($C442,'Policy Characteristics'!$C:$C,0)))</f>
        <v/>
      </c>
    </row>
    <row r="443" spans="1:18" s="4" customFormat="1" x14ac:dyDescent="0.3">
      <c r="A443" s="254" t="str">
        <f>IF(ISBLANK(INDEX('Policy Characteristics'!A:A,MATCH($C443,'Policy Characteristics'!$C:$C,0))),"",INDEX('Policy Characteristics'!A:A,MATCH($C443,'Policy Characteristics'!$C:$C,0)))</f>
        <v>Electricity Supply</v>
      </c>
      <c r="B443" s="262" t="str">
        <f>IF(ISBLANK(INDEX('Policy Characteristics'!B:B,MATCH($C443,'Policy Characteristics'!$C:$C,0))),"",INDEX('Policy Characteristics'!B:B,MATCH($C443,'Policy Characteristics'!$C:$C,0)))</f>
        <v>Non BAU Mandated Capacity CCUS Retrofits</v>
      </c>
      <c r="C443" s="254" t="str">
        <f t="shared" si="25"/>
        <v>Boolean Use Non BAU Mandated Capacity Retrofit Schedule</v>
      </c>
      <c r="D443" s="6" t="s">
        <v>3490</v>
      </c>
      <c r="E443" s="45"/>
      <c r="F443" s="6" t="s">
        <v>3495</v>
      </c>
      <c r="G443" s="45"/>
      <c r="H443" s="43">
        <v>2307</v>
      </c>
      <c r="I443" s="324" t="s">
        <v>44</v>
      </c>
      <c r="J443" s="255" t="str">
        <f>IF(ISBLANK(INDEX('Policy Characteristics'!D:D,MATCH($C443,'Policy Characteristics'!$C:$C,0))),"",INDEX('Policy Characteristics'!D:D,MATCH($C443,'Policy Characteristics'!$C:$C,0)))</f>
        <v>Non BAU Mandated Capacity CCUS Retrofits</v>
      </c>
      <c r="K443" s="254" t="str">
        <f>IF(ISBLANK(INDEX('Policy Characteristics'!E:E,MATCH($C443,'Policy Characteristics'!$C:$C,0))),"",INDEX('Policy Characteristics'!E:E,MATCH($C443,'Policy Characteristics'!$C:$C,0)))</f>
        <v/>
      </c>
      <c r="L443" s="254">
        <f>IF(ISBLANK(INDEX('Policy Characteristics'!F:F,MATCH($C443,'Policy Characteristics'!$C:$C,0))),"",INDEX('Policy Characteristics'!F:F,MATCH($C443,'Policy Characteristics'!$C:$C,0)))</f>
        <v>0</v>
      </c>
      <c r="M443" s="254">
        <f>IF(ISBLANK(INDEX('Policy Characteristics'!G:G,MATCH($C443,'Policy Characteristics'!$C:$C,0))),"",INDEX('Policy Characteristics'!G:G,MATCH($C443,'Policy Characteristics'!$C:$C,0)))</f>
        <v>1</v>
      </c>
      <c r="N443" s="254">
        <f>IF(ISBLANK(INDEX('Policy Characteristics'!H:H,MATCH($C443,'Policy Characteristics'!$C:$C,0))),"",INDEX('Policy Characteristics'!H:H,MATCH($C443,'Policy Characteristics'!$C:$C,0)))</f>
        <v>1</v>
      </c>
      <c r="O443" s="254" t="str">
        <f>IF(ISBLANK(INDEX('Policy Characteristics'!I:I,MATCH($C443,'Policy Characteristics'!$C:$C,0))),"",INDEX('Policy Characteristics'!I:I,MATCH($C443,'Policy Characteristics'!$C:$C,0)))</f>
        <v>on/off</v>
      </c>
      <c r="P443" s="254" t="str">
        <f>IF(ISBLANK(INDEX('Policy Characteristics'!J:J,MATCH($C443,'Policy Characteristics'!$C:$C,0))),"",INDEX('Policy Characteristics'!J:J,MATCH($C443,'Policy Characteristics'!$C:$C,0)))</f>
        <v xml:space="preserve">**Description:** The business-as-usual case includes all planned CCUS retrofits (as modeled by the EPA for its latest GHG standards for power plants). This policy uses an alternative set of data for CCUS retrofits. </v>
      </c>
      <c r="Q443" s="254" t="str">
        <f>IF(ISBLANK(INDEX('Policy Characteristics'!K:K,MATCH($C443,'Policy Characteristics'!$C:$C,0))),"",INDEX('Policy Characteristics'!K:K,MATCH($C443,'Policy Characteristics'!$C:$C,0)))</f>
        <v/>
      </c>
      <c r="R443" s="254" t="str">
        <f>IF(ISBLANK(INDEX('Policy Characteristics'!L:L,MATCH($C443,'Policy Characteristics'!$C:$C,0))),"",INDEX('Policy Characteristics'!L:L,MATCH($C443,'Policy Characteristics'!$C:$C,0)))</f>
        <v/>
      </c>
    </row>
    <row r="444" spans="1:18" s="4" customFormat="1" x14ac:dyDescent="0.3">
      <c r="A444" s="254" t="str">
        <f>IF(ISBLANK(INDEX('Policy Characteristics'!A:A,MATCH($C444,'Policy Characteristics'!$C:$C,0))),"",INDEX('Policy Characteristics'!A:A,MATCH($C444,'Policy Characteristics'!$C:$C,0)))</f>
        <v>Electricity Supply</v>
      </c>
      <c r="B444" s="262" t="str">
        <f>IF(ISBLANK(INDEX('Policy Characteristics'!B:B,MATCH($C444,'Policy Characteristics'!$C:$C,0))),"",INDEX('Policy Characteristics'!B:B,MATCH($C444,'Policy Characteristics'!$C:$C,0)))</f>
        <v>Non BAU Mandated Capacity CCUS Retrofits</v>
      </c>
      <c r="C444" s="254" t="str">
        <f t="shared" si="25"/>
        <v>Boolean Use Non BAU Mandated Capacity Retrofit Schedule</v>
      </c>
      <c r="D444" s="6" t="s">
        <v>3491</v>
      </c>
      <c r="E444" s="45"/>
      <c r="F444" s="6" t="s">
        <v>3496</v>
      </c>
      <c r="G444" s="45"/>
      <c r="H444" s="43">
        <v>2308</v>
      </c>
      <c r="I444" s="324" t="s">
        <v>44</v>
      </c>
      <c r="J444" s="255" t="str">
        <f>IF(ISBLANK(INDEX('Policy Characteristics'!D:D,MATCH($C444,'Policy Characteristics'!$C:$C,0))),"",INDEX('Policy Characteristics'!D:D,MATCH($C444,'Policy Characteristics'!$C:$C,0)))</f>
        <v>Non BAU Mandated Capacity CCUS Retrofits</v>
      </c>
      <c r="K444" s="254" t="str">
        <f>IF(ISBLANK(INDEX('Policy Characteristics'!E:E,MATCH($C444,'Policy Characteristics'!$C:$C,0))),"",INDEX('Policy Characteristics'!E:E,MATCH($C444,'Policy Characteristics'!$C:$C,0)))</f>
        <v/>
      </c>
      <c r="L444" s="254">
        <f>IF(ISBLANK(INDEX('Policy Characteristics'!F:F,MATCH($C444,'Policy Characteristics'!$C:$C,0))),"",INDEX('Policy Characteristics'!F:F,MATCH($C444,'Policy Characteristics'!$C:$C,0)))</f>
        <v>0</v>
      </c>
      <c r="M444" s="254">
        <f>IF(ISBLANK(INDEX('Policy Characteristics'!G:G,MATCH($C444,'Policy Characteristics'!$C:$C,0))),"",INDEX('Policy Characteristics'!G:G,MATCH($C444,'Policy Characteristics'!$C:$C,0)))</f>
        <v>1</v>
      </c>
      <c r="N444" s="254">
        <f>IF(ISBLANK(INDEX('Policy Characteristics'!H:H,MATCH($C444,'Policy Characteristics'!$C:$C,0))),"",INDEX('Policy Characteristics'!H:H,MATCH($C444,'Policy Characteristics'!$C:$C,0)))</f>
        <v>1</v>
      </c>
      <c r="O444" s="254" t="str">
        <f>IF(ISBLANK(INDEX('Policy Characteristics'!I:I,MATCH($C444,'Policy Characteristics'!$C:$C,0))),"",INDEX('Policy Characteristics'!I:I,MATCH($C444,'Policy Characteristics'!$C:$C,0)))</f>
        <v>on/off</v>
      </c>
      <c r="P444" s="254" t="str">
        <f>IF(ISBLANK(INDEX('Policy Characteristics'!J:J,MATCH($C444,'Policy Characteristics'!$C:$C,0))),"",INDEX('Policy Characteristics'!J:J,MATCH($C444,'Policy Characteristics'!$C:$C,0)))</f>
        <v xml:space="preserve">**Description:** The business-as-usual case includes all planned CCUS retrofits (as modeled by the EPA for its latest GHG standards for power plants). This policy uses an alternative set of data for CCUS retrofits. </v>
      </c>
      <c r="Q444" s="254" t="str">
        <f>IF(ISBLANK(INDEX('Policy Characteristics'!K:K,MATCH($C444,'Policy Characteristics'!$C:$C,0))),"",INDEX('Policy Characteristics'!K:K,MATCH($C444,'Policy Characteristics'!$C:$C,0)))</f>
        <v/>
      </c>
      <c r="R444" s="254" t="str">
        <f>IF(ISBLANK(INDEX('Policy Characteristics'!L:L,MATCH($C444,'Policy Characteristics'!$C:$C,0))),"",INDEX('Policy Characteristics'!L:L,MATCH($C444,'Policy Characteristics'!$C:$C,0)))</f>
        <v/>
      </c>
    </row>
    <row r="445" spans="1:18" s="4" customFormat="1" x14ac:dyDescent="0.3">
      <c r="A445" s="254" t="str">
        <f>IF(ISBLANK(INDEX('Policy Characteristics'!A:A,MATCH($C445,'Policy Characteristics'!$C:$C,0))),"",INDEX('Policy Characteristics'!A:A,MATCH($C445,'Policy Characteristics'!$C:$C,0)))</f>
        <v>Electricity Supply</v>
      </c>
      <c r="B445" s="262" t="str">
        <f>IF(ISBLANK(INDEX('Policy Characteristics'!B:B,MATCH($C445,'Policy Characteristics'!$C:$C,0))),"",INDEX('Policy Characteristics'!B:B,MATCH($C445,'Policy Characteristics'!$C:$C,0)))</f>
        <v>Non BAU Mandated Capacity CCUS Retrofits</v>
      </c>
      <c r="C445" s="254" t="str">
        <f t="shared" si="25"/>
        <v>Boolean Use Non BAU Mandated Capacity Retrofit Schedule</v>
      </c>
      <c r="D445" s="6" t="s">
        <v>3492</v>
      </c>
      <c r="E445" s="45"/>
      <c r="F445" s="6" t="s">
        <v>3497</v>
      </c>
      <c r="G445" s="45"/>
      <c r="H445" s="43">
        <v>2309</v>
      </c>
      <c r="I445" s="324" t="s">
        <v>44</v>
      </c>
      <c r="J445" s="255" t="str">
        <f>IF(ISBLANK(INDEX('Policy Characteristics'!D:D,MATCH($C445,'Policy Characteristics'!$C:$C,0))),"",INDEX('Policy Characteristics'!D:D,MATCH($C445,'Policy Characteristics'!$C:$C,0)))</f>
        <v>Non BAU Mandated Capacity CCUS Retrofits</v>
      </c>
      <c r="K445" s="254" t="str">
        <f>IF(ISBLANK(INDEX('Policy Characteristics'!E:E,MATCH($C445,'Policy Characteristics'!$C:$C,0))),"",INDEX('Policy Characteristics'!E:E,MATCH($C445,'Policy Characteristics'!$C:$C,0)))</f>
        <v/>
      </c>
      <c r="L445" s="254">
        <f>IF(ISBLANK(INDEX('Policy Characteristics'!F:F,MATCH($C445,'Policy Characteristics'!$C:$C,0))),"",INDEX('Policy Characteristics'!F:F,MATCH($C445,'Policy Characteristics'!$C:$C,0)))</f>
        <v>0</v>
      </c>
      <c r="M445" s="254">
        <f>IF(ISBLANK(INDEX('Policy Characteristics'!G:G,MATCH($C445,'Policy Characteristics'!$C:$C,0))),"",INDEX('Policy Characteristics'!G:G,MATCH($C445,'Policy Characteristics'!$C:$C,0)))</f>
        <v>1</v>
      </c>
      <c r="N445" s="254">
        <f>IF(ISBLANK(INDEX('Policy Characteristics'!H:H,MATCH($C445,'Policy Characteristics'!$C:$C,0))),"",INDEX('Policy Characteristics'!H:H,MATCH($C445,'Policy Characteristics'!$C:$C,0)))</f>
        <v>1</v>
      </c>
      <c r="O445" s="254" t="str">
        <f>IF(ISBLANK(INDEX('Policy Characteristics'!I:I,MATCH($C445,'Policy Characteristics'!$C:$C,0))),"",INDEX('Policy Characteristics'!I:I,MATCH($C445,'Policy Characteristics'!$C:$C,0)))</f>
        <v>on/off</v>
      </c>
      <c r="P445" s="254" t="str">
        <f>IF(ISBLANK(INDEX('Policy Characteristics'!J:J,MATCH($C445,'Policy Characteristics'!$C:$C,0))),"",INDEX('Policy Characteristics'!J:J,MATCH($C445,'Policy Characteristics'!$C:$C,0)))</f>
        <v xml:space="preserve">**Description:** The business-as-usual case includes all planned CCUS retrofits (as modeled by the EPA for its latest GHG standards for power plants). This policy uses an alternative set of data for CCUS retrofits. </v>
      </c>
      <c r="Q445" s="254" t="str">
        <f>IF(ISBLANK(INDEX('Policy Characteristics'!K:K,MATCH($C445,'Policy Characteristics'!$C:$C,0))),"",INDEX('Policy Characteristics'!K:K,MATCH($C445,'Policy Characteristics'!$C:$C,0)))</f>
        <v/>
      </c>
      <c r="R445" s="254" t="str">
        <f>IF(ISBLANK(INDEX('Policy Characteristics'!L:L,MATCH($C445,'Policy Characteristics'!$C:$C,0))),"",INDEX('Policy Characteristics'!L:L,MATCH($C445,'Policy Characteristics'!$C:$C,0)))</f>
        <v/>
      </c>
    </row>
    <row r="446" spans="1:18" s="4" customFormat="1" x14ac:dyDescent="0.3">
      <c r="A446" s="254" t="str">
        <f>IF(ISBLANK(INDEX('Policy Characteristics'!A:A,MATCH($C446,'Policy Characteristics'!$C:$C,0))),"",INDEX('Policy Characteristics'!A:A,MATCH($C446,'Policy Characteristics'!$C:$C,0)))</f>
        <v>Electricity Supply</v>
      </c>
      <c r="B446" s="262" t="str">
        <f>IF(ISBLANK(INDEX('Policy Characteristics'!B:B,MATCH($C446,'Policy Characteristics'!$C:$C,0))),"",INDEX('Policy Characteristics'!B:B,MATCH($C446,'Policy Characteristics'!$C:$C,0)))</f>
        <v>Non BAU Mandated Capacity CCUS Retrofits</v>
      </c>
      <c r="C446" s="254" t="str">
        <f t="shared" si="25"/>
        <v>Boolean Use Non BAU Mandated Capacity Retrofit Schedule</v>
      </c>
      <c r="D446" s="6" t="s">
        <v>3493</v>
      </c>
      <c r="E446" s="45"/>
      <c r="F446" s="6" t="s">
        <v>3498</v>
      </c>
      <c r="G446" s="45"/>
      <c r="H446" s="43">
        <v>2310</v>
      </c>
      <c r="I446" s="324" t="s">
        <v>44</v>
      </c>
      <c r="J446" s="255" t="str">
        <f>IF(ISBLANK(INDEX('Policy Characteristics'!D:D,MATCH($C446,'Policy Characteristics'!$C:$C,0))),"",INDEX('Policy Characteristics'!D:D,MATCH($C446,'Policy Characteristics'!$C:$C,0)))</f>
        <v>Non BAU Mandated Capacity CCUS Retrofits</v>
      </c>
      <c r="K446" s="254" t="str">
        <f>IF(ISBLANK(INDEX('Policy Characteristics'!E:E,MATCH($C446,'Policy Characteristics'!$C:$C,0))),"",INDEX('Policy Characteristics'!E:E,MATCH($C446,'Policy Characteristics'!$C:$C,0)))</f>
        <v/>
      </c>
      <c r="L446" s="254">
        <f>IF(ISBLANK(INDEX('Policy Characteristics'!F:F,MATCH($C446,'Policy Characteristics'!$C:$C,0))),"",INDEX('Policy Characteristics'!F:F,MATCH($C446,'Policy Characteristics'!$C:$C,0)))</f>
        <v>0</v>
      </c>
      <c r="M446" s="254">
        <f>IF(ISBLANK(INDEX('Policy Characteristics'!G:G,MATCH($C446,'Policy Characteristics'!$C:$C,0))),"",INDEX('Policy Characteristics'!G:G,MATCH($C446,'Policy Characteristics'!$C:$C,0)))</f>
        <v>1</v>
      </c>
      <c r="N446" s="254">
        <f>IF(ISBLANK(INDEX('Policy Characteristics'!H:H,MATCH($C446,'Policy Characteristics'!$C:$C,0))),"",INDEX('Policy Characteristics'!H:H,MATCH($C446,'Policy Characteristics'!$C:$C,0)))</f>
        <v>1</v>
      </c>
      <c r="O446" s="254" t="str">
        <f>IF(ISBLANK(INDEX('Policy Characteristics'!I:I,MATCH($C446,'Policy Characteristics'!$C:$C,0))),"",INDEX('Policy Characteristics'!I:I,MATCH($C446,'Policy Characteristics'!$C:$C,0)))</f>
        <v>on/off</v>
      </c>
      <c r="P446" s="254" t="str">
        <f>IF(ISBLANK(INDEX('Policy Characteristics'!J:J,MATCH($C446,'Policy Characteristics'!$C:$C,0))),"",INDEX('Policy Characteristics'!J:J,MATCH($C446,'Policy Characteristics'!$C:$C,0)))</f>
        <v xml:space="preserve">**Description:** The business-as-usual case includes all planned CCUS retrofits (as modeled by the EPA for its latest GHG standards for power plants). This policy uses an alternative set of data for CCUS retrofits. </v>
      </c>
      <c r="Q446" s="254" t="str">
        <f>IF(ISBLANK(INDEX('Policy Characteristics'!K:K,MATCH($C446,'Policy Characteristics'!$C:$C,0))),"",INDEX('Policy Characteristics'!K:K,MATCH($C446,'Policy Characteristics'!$C:$C,0)))</f>
        <v/>
      </c>
      <c r="R446" s="254" t="str">
        <f>IF(ISBLANK(INDEX('Policy Characteristics'!L:L,MATCH($C446,'Policy Characteristics'!$C:$C,0))),"",INDEX('Policy Characteristics'!L:L,MATCH($C446,'Policy Characteristics'!$C:$C,0)))</f>
        <v/>
      </c>
    </row>
    <row r="447" spans="1:18" s="4" customFormat="1" x14ac:dyDescent="0.3">
      <c r="A447" s="254" t="str">
        <f>IF(ISBLANK(INDEX('Policy Characteristics'!A:A,MATCH($C447,'Policy Characteristics'!$C:$C,0))),"",INDEX('Policy Characteristics'!A:A,MATCH($C447,'Policy Characteristics'!$C:$C,0)))</f>
        <v>Electricity Supply</v>
      </c>
      <c r="B447" s="262" t="str">
        <f>IF(ISBLANK(INDEX('Policy Characteristics'!B:B,MATCH($C447,'Policy Characteristics'!$C:$C,0))),"",INDEX('Policy Characteristics'!B:B,MATCH($C447,'Policy Characteristics'!$C:$C,0)))</f>
        <v>Non BAU Mandated Capacity CCUS Retrofits</v>
      </c>
      <c r="C447" s="254" t="str">
        <f t="shared" si="25"/>
        <v>Boolean Use Non BAU Mandated Capacity Retrofit Schedule</v>
      </c>
      <c r="D447" s="6" t="s">
        <v>3582</v>
      </c>
      <c r="E447" s="45"/>
      <c r="F447" s="6" t="s">
        <v>3580</v>
      </c>
      <c r="G447" s="45"/>
      <c r="H447" s="43">
        <v>2311</v>
      </c>
      <c r="I447" s="324" t="s">
        <v>44</v>
      </c>
      <c r="J447" s="255" t="str">
        <f>IF(ISBLANK(INDEX('Policy Characteristics'!D:D,MATCH($C447,'Policy Characteristics'!$C:$C,0))),"",INDEX('Policy Characteristics'!D:D,MATCH($C447,'Policy Characteristics'!$C:$C,0)))</f>
        <v>Non BAU Mandated Capacity CCUS Retrofits</v>
      </c>
      <c r="K447" s="254" t="str">
        <f>IF(ISBLANK(INDEX('Policy Characteristics'!E:E,MATCH($C447,'Policy Characteristics'!$C:$C,0))),"",INDEX('Policy Characteristics'!E:E,MATCH($C447,'Policy Characteristics'!$C:$C,0)))</f>
        <v/>
      </c>
      <c r="L447" s="254">
        <f>IF(ISBLANK(INDEX('Policy Characteristics'!F:F,MATCH($C447,'Policy Characteristics'!$C:$C,0))),"",INDEX('Policy Characteristics'!F:F,MATCH($C447,'Policy Characteristics'!$C:$C,0)))</f>
        <v>0</v>
      </c>
      <c r="M447" s="254">
        <f>IF(ISBLANK(INDEX('Policy Characteristics'!G:G,MATCH($C447,'Policy Characteristics'!$C:$C,0))),"",INDEX('Policy Characteristics'!G:G,MATCH($C447,'Policy Characteristics'!$C:$C,0)))</f>
        <v>1</v>
      </c>
      <c r="N447" s="254">
        <f>IF(ISBLANK(INDEX('Policy Characteristics'!H:H,MATCH($C447,'Policy Characteristics'!$C:$C,0))),"",INDEX('Policy Characteristics'!H:H,MATCH($C447,'Policy Characteristics'!$C:$C,0)))</f>
        <v>1</v>
      </c>
      <c r="O447" s="254" t="str">
        <f>IF(ISBLANK(INDEX('Policy Characteristics'!I:I,MATCH($C447,'Policy Characteristics'!$C:$C,0))),"",INDEX('Policy Characteristics'!I:I,MATCH($C447,'Policy Characteristics'!$C:$C,0)))</f>
        <v>on/off</v>
      </c>
      <c r="P447" s="254" t="str">
        <f>IF(ISBLANK(INDEX('Policy Characteristics'!J:J,MATCH($C447,'Policy Characteristics'!$C:$C,0))),"",INDEX('Policy Characteristics'!J:J,MATCH($C447,'Policy Characteristics'!$C:$C,0)))</f>
        <v xml:space="preserve">**Description:** The business-as-usual case includes all planned CCUS retrofits (as modeled by the EPA for its latest GHG standards for power plants). This policy uses an alternative set of data for CCUS retrofits. </v>
      </c>
      <c r="Q447" s="254" t="str">
        <f>IF(ISBLANK(INDEX('Policy Characteristics'!K:K,MATCH($C447,'Policy Characteristics'!$C:$C,0))),"",INDEX('Policy Characteristics'!K:K,MATCH($C447,'Policy Characteristics'!$C:$C,0)))</f>
        <v/>
      </c>
      <c r="R447" s="254" t="str">
        <f>IF(ISBLANK(INDEX('Policy Characteristics'!L:L,MATCH($C447,'Policy Characteristics'!$C:$C,0))),"",INDEX('Policy Characteristics'!L:L,MATCH($C447,'Policy Characteristics'!$C:$C,0)))</f>
        <v/>
      </c>
    </row>
    <row r="448" spans="1:18" s="4" customFormat="1" x14ac:dyDescent="0.3">
      <c r="A448" s="254" t="str">
        <f>IF(ISBLANK(INDEX('Policy Characteristics'!A:A,MATCH($C448,'Policy Characteristics'!$C:$C,0))),"",INDEX('Policy Characteristics'!A:A,MATCH($C448,'Policy Characteristics'!$C:$C,0)))</f>
        <v>Electricity Supply</v>
      </c>
      <c r="B448" s="262" t="str">
        <f>IF(ISBLANK(INDEX('Policy Characteristics'!B:B,MATCH($C448,'Policy Characteristics'!$C:$C,0))),"",INDEX('Policy Characteristics'!B:B,MATCH($C448,'Policy Characteristics'!$C:$C,0)))</f>
        <v>Non BAU Mandated Capacity CCUS Retrofits</v>
      </c>
      <c r="C448" s="254" t="str">
        <f t="shared" si="25"/>
        <v>Boolean Use Non BAU Mandated Capacity Retrofit Schedule</v>
      </c>
      <c r="D448" s="6" t="s">
        <v>3583</v>
      </c>
      <c r="E448" s="45"/>
      <c r="F448" s="6" t="s">
        <v>3581</v>
      </c>
      <c r="G448" s="45"/>
      <c r="H448" s="43">
        <v>2312</v>
      </c>
      <c r="I448" s="324" t="s">
        <v>44</v>
      </c>
      <c r="J448" s="255" t="str">
        <f>IF(ISBLANK(INDEX('Policy Characteristics'!D:D,MATCH($C448,'Policy Characteristics'!$C:$C,0))),"",INDEX('Policy Characteristics'!D:D,MATCH($C448,'Policy Characteristics'!$C:$C,0)))</f>
        <v>Non BAU Mandated Capacity CCUS Retrofits</v>
      </c>
      <c r="K448" s="254" t="str">
        <f>IF(ISBLANK(INDEX('Policy Characteristics'!E:E,MATCH($C448,'Policy Characteristics'!$C:$C,0))),"",INDEX('Policy Characteristics'!E:E,MATCH($C448,'Policy Characteristics'!$C:$C,0)))</f>
        <v/>
      </c>
      <c r="L448" s="254">
        <f>IF(ISBLANK(INDEX('Policy Characteristics'!F:F,MATCH($C448,'Policy Characteristics'!$C:$C,0))),"",INDEX('Policy Characteristics'!F:F,MATCH($C448,'Policy Characteristics'!$C:$C,0)))</f>
        <v>0</v>
      </c>
      <c r="M448" s="254">
        <f>IF(ISBLANK(INDEX('Policy Characteristics'!G:G,MATCH($C448,'Policy Characteristics'!$C:$C,0))),"",INDEX('Policy Characteristics'!G:G,MATCH($C448,'Policy Characteristics'!$C:$C,0)))</f>
        <v>1</v>
      </c>
      <c r="N448" s="254">
        <f>IF(ISBLANK(INDEX('Policy Characteristics'!H:H,MATCH($C448,'Policy Characteristics'!$C:$C,0))),"",INDEX('Policy Characteristics'!H:H,MATCH($C448,'Policy Characteristics'!$C:$C,0)))</f>
        <v>1</v>
      </c>
      <c r="O448" s="254" t="str">
        <f>IF(ISBLANK(INDEX('Policy Characteristics'!I:I,MATCH($C448,'Policy Characteristics'!$C:$C,0))),"",INDEX('Policy Characteristics'!I:I,MATCH($C448,'Policy Characteristics'!$C:$C,0)))</f>
        <v>on/off</v>
      </c>
      <c r="P448" s="254" t="str">
        <f>IF(ISBLANK(INDEX('Policy Characteristics'!J:J,MATCH($C448,'Policy Characteristics'!$C:$C,0))),"",INDEX('Policy Characteristics'!J:J,MATCH($C448,'Policy Characteristics'!$C:$C,0)))</f>
        <v xml:space="preserve">**Description:** The business-as-usual case includes all planned CCUS retrofits (as modeled by the EPA for its latest GHG standards for power plants). This policy uses an alternative set of data for CCUS retrofits. </v>
      </c>
      <c r="Q448" s="254"/>
      <c r="R448" s="254"/>
    </row>
    <row r="449" spans="1:18" s="2" customFormat="1" x14ac:dyDescent="0.3">
      <c r="A449" s="254" t="str">
        <f>IF(ISBLANK(INDEX('Policy Characteristics'!A:A,MATCH($C449,'Policy Characteristics'!$C:$C,0))),"",INDEX('Policy Characteristics'!A:A,MATCH($C449,'Policy Characteristics'!$C:$C,0)))</f>
        <v>Electricity Supply</v>
      </c>
      <c r="B449" s="262" t="str">
        <f>IF(ISBLANK(INDEX('Policy Characteristics'!B:B,MATCH($C449,'Policy Characteristics'!$C:$C,0))),"",INDEX('Policy Characteristics'!B:B,MATCH($C449,'Policy Characteristics'!$C:$C,0)))</f>
        <v>Reduce Plant Downtime</v>
      </c>
      <c r="C449" s="1" t="s">
        <v>255</v>
      </c>
      <c r="D449" s="45" t="s">
        <v>447</v>
      </c>
      <c r="E449" s="45"/>
      <c r="F449" s="45" t="s">
        <v>446</v>
      </c>
      <c r="G449" s="6"/>
      <c r="H449" s="47">
        <v>652</v>
      </c>
      <c r="I449" s="325" t="s">
        <v>44</v>
      </c>
      <c r="J449" s="255" t="str">
        <f>IF(ISBLANK(INDEX('Policy Characteristics'!D:D,MATCH($C449,'Policy Characteristics'!$C:$C,0))),"",INDEX('Policy Characteristics'!D:D,MATCH($C449,'Policy Characteristics'!$C:$C,0)))</f>
        <v>Reduce Plant Downtime</v>
      </c>
      <c r="K449" s="254" t="str">
        <f>IF(ISBLANK(INDEX('Policy Characteristics'!E:E,MATCH($C449,'Policy Characteristics'!$C:$C,0))),"",INDEX('Policy Characteristics'!E:E,MATCH($C449,'Policy Characteristics'!$C:$C,0)))</f>
        <v>elec reduce plant downtime</v>
      </c>
      <c r="L449" s="261">
        <f>IF(ISBLANK(INDEX('Policy Characteristics'!F:F,MATCH($C449,'Policy Characteristics'!$C:$C,0))),"",INDEX('Policy Characteristics'!F:F,MATCH($C449,'Policy Characteristics'!$C:$C,0)))</f>
        <v>0</v>
      </c>
      <c r="M449" s="261">
        <f>IF(ISBLANK(INDEX('Policy Characteristics'!G:G,MATCH($C449,'Policy Characteristics'!$C:$C,0))),"",INDEX('Policy Characteristics'!G:G,MATCH($C449,'Policy Characteristics'!$C:$C,0)))</f>
        <v>0.6</v>
      </c>
      <c r="N449" s="261">
        <f>IF(ISBLANK(INDEX('Policy Characteristics'!H:H,MATCH($C449,'Policy Characteristics'!$C:$C,0))),"",INDEX('Policy Characteristics'!H:H,MATCH($C449,'Policy Characteristics'!$C:$C,0)))</f>
        <v>0.01</v>
      </c>
      <c r="O449" s="254" t="str">
        <f>IF(ISBLANK(INDEX('Policy Characteristics'!I:I,MATCH($C449,'Policy Characteristics'!$C:$C,0))),"",INDEX('Policy Characteristics'!I:I,MATCH($C449,'Policy Characteristics'!$C:$C,0)))</f>
        <v>% reduction in downtime</v>
      </c>
      <c r="P449" s="254" t="str">
        <f>IF(ISBLANK(INDEX('Policy Characteristics'!J:J,MATCH($C449,'Policy Characteristics'!$C:$C,0))),"",INDEX('Policy Characteristics'!J:J,MATCH($C449,'Policy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49" s="254" t="str">
        <f>IF(ISBLANK(INDEX('Policy Characteristics'!K:K,MATCH($C449,'Policy Characteristics'!$C:$C,0))),"",INDEX('Policy Characteristics'!K:K,MATCH($C449,'Policy Characteristics'!$C:$C,0)))</f>
        <v>electricity-sector-main.html#red-downtime</v>
      </c>
      <c r="R449" s="254" t="str">
        <f>IF(ISBLANK(INDEX('Policy Characteristics'!L:L,MATCH($C449,'Policy Characteristics'!$C:$C,0))),"",INDEX('Policy Characteristics'!L:L,MATCH($C449,'Policy Characteristics'!$C:$C,0)))</f>
        <v>reduce-downtime.html</v>
      </c>
    </row>
    <row r="450" spans="1:18" s="2" customFormat="1" x14ac:dyDescent="0.3">
      <c r="A450" s="254" t="str">
        <f>IF(ISBLANK(INDEX('Policy Characteristics'!A:A,MATCH($C450,'Policy Characteristics'!$C:$C,0))),"",INDEX('Policy Characteristics'!A:A,MATCH($C450,'Policy Characteristics'!$C:$C,0)))</f>
        <v>Electricity Supply</v>
      </c>
      <c r="B450" s="262" t="str">
        <f>IF(ISBLANK(INDEX('Policy Characteristics'!B:B,MATCH($C450,'Policy Characteristics'!$C:$C,0))),"",INDEX('Policy Characteristics'!B:B,MATCH($C450,'Policy Characteristics'!$C:$C,0)))</f>
        <v>Reduce Plant Downtime</v>
      </c>
      <c r="C450" s="318" t="str">
        <f>$C$449</f>
        <v>Percentage Reduction in Plant Downtime</v>
      </c>
      <c r="D450" s="6" t="s">
        <v>3488</v>
      </c>
      <c r="E450" s="45"/>
      <c r="F450" s="6" t="s">
        <v>3424</v>
      </c>
      <c r="G450" s="6"/>
      <c r="H450" s="47">
        <v>654</v>
      </c>
      <c r="I450" s="325" t="s">
        <v>44</v>
      </c>
      <c r="J450" s="255" t="str">
        <f>IF(ISBLANK(INDEX('Policy Characteristics'!D:D,MATCH($C450,'Policy Characteristics'!$C:$C,0))),"",INDEX('Policy Characteristics'!D:D,MATCH($C450,'Policy Characteristics'!$C:$C,0)))</f>
        <v>Reduce Plant Downtime</v>
      </c>
      <c r="K450" s="254" t="str">
        <f>IF(ISBLANK(INDEX('Policy Characteristics'!E:E,MATCH($C450,'Policy Characteristics'!$C:$C,0))),"",INDEX('Policy Characteristics'!E:E,MATCH($C450,'Policy Characteristics'!$C:$C,0)))</f>
        <v>elec reduce plant downtime</v>
      </c>
      <c r="L450" s="261">
        <f>IF(ISBLANK(INDEX('Policy Characteristics'!F:F,MATCH($C450,'Policy Characteristics'!$C:$C,0))),"",INDEX('Policy Characteristics'!F:F,MATCH($C450,'Policy Characteristics'!$C:$C,0)))</f>
        <v>0</v>
      </c>
      <c r="M450" s="261">
        <f>IF(ISBLANK(INDEX('Policy Characteristics'!G:G,MATCH($C450,'Policy Characteristics'!$C:$C,0))),"",INDEX('Policy Characteristics'!G:G,MATCH($C450,'Policy Characteristics'!$C:$C,0)))</f>
        <v>0.6</v>
      </c>
      <c r="N450" s="261">
        <f>IF(ISBLANK(INDEX('Policy Characteristics'!H:H,MATCH($C450,'Policy Characteristics'!$C:$C,0))),"",INDEX('Policy Characteristics'!H:H,MATCH($C450,'Policy Characteristics'!$C:$C,0)))</f>
        <v>0.01</v>
      </c>
      <c r="O450" s="254" t="str">
        <f>IF(ISBLANK(INDEX('Policy Characteristics'!I:I,MATCH($C450,'Policy Characteristics'!$C:$C,0))),"",INDEX('Policy Characteristics'!I:I,MATCH($C450,'Policy Characteristics'!$C:$C,0)))</f>
        <v>% reduction in downtime</v>
      </c>
      <c r="P450" s="254" t="str">
        <f>IF(ISBLANK(INDEX('Policy Characteristics'!J:J,MATCH($C450,'Policy Characteristics'!$C:$C,0))),"",INDEX('Policy Characteristics'!J:J,MATCH($C450,'Policy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0" s="254" t="str">
        <f>IF(ISBLANK(INDEX('Policy Characteristics'!K:K,MATCH($C450,'Policy Characteristics'!$C:$C,0))),"",INDEX('Policy Characteristics'!K:K,MATCH($C450,'Policy Characteristics'!$C:$C,0)))</f>
        <v>electricity-sector-main.html#red-downtime</v>
      </c>
      <c r="R450" s="254" t="str">
        <f>IF(ISBLANK(INDEX('Policy Characteristics'!L:L,MATCH($C450,'Policy Characteristics'!$C:$C,0))),"",INDEX('Policy Characteristics'!L:L,MATCH($C450,'Policy Characteristics'!$C:$C,0)))</f>
        <v>reduce-downtime.html</v>
      </c>
    </row>
    <row r="451" spans="1:18" s="2" customFormat="1" x14ac:dyDescent="0.3">
      <c r="A451" s="254" t="str">
        <f>IF(ISBLANK(INDEX('Policy Characteristics'!A:A,MATCH($C451,'Policy Characteristics'!$C:$C,0))),"",INDEX('Policy Characteristics'!A:A,MATCH($C451,'Policy Characteristics'!$C:$C,0)))</f>
        <v>Electricity Supply</v>
      </c>
      <c r="B451" s="262" t="str">
        <f>IF(ISBLANK(INDEX('Policy Characteristics'!B:B,MATCH($C451,'Policy Characteristics'!$C:$C,0))),"",INDEX('Policy Characteristics'!B:B,MATCH($C451,'Policy Characteristics'!$C:$C,0)))</f>
        <v>Reduce Plant Downtime</v>
      </c>
      <c r="C451" s="318" t="str">
        <f t="shared" ref="C451:C472" si="26">$C$449</f>
        <v>Percentage Reduction in Plant Downtime</v>
      </c>
      <c r="D451" s="6" t="s">
        <v>3489</v>
      </c>
      <c r="E451" s="45"/>
      <c r="F451" s="6" t="s">
        <v>3425</v>
      </c>
      <c r="G451" s="6"/>
      <c r="H451" s="47">
        <v>1781</v>
      </c>
      <c r="I451" s="325" t="s">
        <v>44</v>
      </c>
      <c r="J451" s="255" t="str">
        <f>IF(ISBLANK(INDEX('Policy Characteristics'!D:D,MATCH($C451,'Policy Characteristics'!$C:$C,0))),"",INDEX('Policy Characteristics'!D:D,MATCH($C451,'Policy Characteristics'!$C:$C,0)))</f>
        <v>Reduce Plant Downtime</v>
      </c>
      <c r="K451" s="254" t="str">
        <f>IF(ISBLANK(INDEX('Policy Characteristics'!E:E,MATCH($C451,'Policy Characteristics'!$C:$C,0))),"",INDEX('Policy Characteristics'!E:E,MATCH($C451,'Policy Characteristics'!$C:$C,0)))</f>
        <v>elec reduce plant downtime</v>
      </c>
      <c r="L451" s="261">
        <f>IF(ISBLANK(INDEX('Policy Characteristics'!F:F,MATCH($C451,'Policy Characteristics'!$C:$C,0))),"",INDEX('Policy Characteristics'!F:F,MATCH($C451,'Policy Characteristics'!$C:$C,0)))</f>
        <v>0</v>
      </c>
      <c r="M451" s="261">
        <f>IF(ISBLANK(INDEX('Policy Characteristics'!G:G,MATCH($C451,'Policy Characteristics'!$C:$C,0))),"",INDEX('Policy Characteristics'!G:G,MATCH($C451,'Policy Characteristics'!$C:$C,0)))</f>
        <v>0.6</v>
      </c>
      <c r="N451" s="261">
        <f>IF(ISBLANK(INDEX('Policy Characteristics'!H:H,MATCH($C451,'Policy Characteristics'!$C:$C,0))),"",INDEX('Policy Characteristics'!H:H,MATCH($C451,'Policy Characteristics'!$C:$C,0)))</f>
        <v>0.01</v>
      </c>
      <c r="O451" s="254" t="str">
        <f>IF(ISBLANK(INDEX('Policy Characteristics'!I:I,MATCH($C451,'Policy Characteristics'!$C:$C,0))),"",INDEX('Policy Characteristics'!I:I,MATCH($C451,'Policy Characteristics'!$C:$C,0)))</f>
        <v>% reduction in downtime</v>
      </c>
      <c r="P451" s="254" t="str">
        <f>IF(ISBLANK(INDEX('Policy Characteristics'!J:J,MATCH($C451,'Policy Characteristics'!$C:$C,0))),"",INDEX('Policy Characteristics'!J:J,MATCH($C451,'Policy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1" s="254" t="str">
        <f>IF(ISBLANK(INDEX('Policy Characteristics'!K:K,MATCH($C451,'Policy Characteristics'!$C:$C,0))),"",INDEX('Policy Characteristics'!K:K,MATCH($C451,'Policy Characteristics'!$C:$C,0)))</f>
        <v>electricity-sector-main.html#red-downtime</v>
      </c>
      <c r="R451" s="254" t="str">
        <f>IF(ISBLANK(INDEX('Policy Characteristics'!L:L,MATCH($C451,'Policy Characteristics'!$C:$C,0))),"",INDEX('Policy Characteristics'!L:L,MATCH($C451,'Policy Characteristics'!$C:$C,0)))</f>
        <v>reduce-downtime.html</v>
      </c>
    </row>
    <row r="452" spans="1:18" s="2" customFormat="1" x14ac:dyDescent="0.3">
      <c r="A452" s="254" t="str">
        <f>IF(ISBLANK(INDEX('Policy Characteristics'!A:A,MATCH($C452,'Policy Characteristics'!$C:$C,0))),"",INDEX('Policy Characteristics'!A:A,MATCH($C452,'Policy Characteristics'!$C:$C,0)))</f>
        <v>Electricity Supply</v>
      </c>
      <c r="B452" s="262" t="str">
        <f>IF(ISBLANK(INDEX('Policy Characteristics'!B:B,MATCH($C452,'Policy Characteristics'!$C:$C,0))),"",INDEX('Policy Characteristics'!B:B,MATCH($C452,'Policy Characteristics'!$C:$C,0)))</f>
        <v>Reduce Plant Downtime</v>
      </c>
      <c r="C452" s="318" t="str">
        <f t="shared" si="26"/>
        <v>Percentage Reduction in Plant Downtime</v>
      </c>
      <c r="D452" s="6" t="s">
        <v>76</v>
      </c>
      <c r="E452" s="45"/>
      <c r="F452" s="6" t="s">
        <v>3499</v>
      </c>
      <c r="G452" s="6"/>
      <c r="H452" s="47">
        <v>657</v>
      </c>
      <c r="I452" s="325" t="s">
        <v>44</v>
      </c>
      <c r="J452" s="255" t="str">
        <f>IF(ISBLANK(INDEX('Policy Characteristics'!D:D,MATCH($C452,'Policy Characteristics'!$C:$C,0))),"",INDEX('Policy Characteristics'!D:D,MATCH($C452,'Policy Characteristics'!$C:$C,0)))</f>
        <v>Reduce Plant Downtime</v>
      </c>
      <c r="K452" s="254" t="str">
        <f>IF(ISBLANK(INDEX('Policy Characteristics'!E:E,MATCH($C452,'Policy Characteristics'!$C:$C,0))),"",INDEX('Policy Characteristics'!E:E,MATCH($C452,'Policy Characteristics'!$C:$C,0)))</f>
        <v>elec reduce plant downtime</v>
      </c>
      <c r="L452" s="261">
        <f>IF(ISBLANK(INDEX('Policy Characteristics'!F:F,MATCH($C452,'Policy Characteristics'!$C:$C,0))),"",INDEX('Policy Characteristics'!F:F,MATCH($C452,'Policy Characteristics'!$C:$C,0)))</f>
        <v>0</v>
      </c>
      <c r="M452" s="261">
        <f>IF(ISBLANK(INDEX('Policy Characteristics'!G:G,MATCH($C452,'Policy Characteristics'!$C:$C,0))),"",INDEX('Policy Characteristics'!G:G,MATCH($C452,'Policy Characteristics'!$C:$C,0)))</f>
        <v>0.6</v>
      </c>
      <c r="N452" s="261">
        <f>IF(ISBLANK(INDEX('Policy Characteristics'!H:H,MATCH($C452,'Policy Characteristics'!$C:$C,0))),"",INDEX('Policy Characteristics'!H:H,MATCH($C452,'Policy Characteristics'!$C:$C,0)))</f>
        <v>0.01</v>
      </c>
      <c r="O452" s="254" t="str">
        <f>IF(ISBLANK(INDEX('Policy Characteristics'!I:I,MATCH($C452,'Policy Characteristics'!$C:$C,0))),"",INDEX('Policy Characteristics'!I:I,MATCH($C452,'Policy Characteristics'!$C:$C,0)))</f>
        <v>% reduction in downtime</v>
      </c>
      <c r="P452" s="254" t="str">
        <f>IF(ISBLANK(INDEX('Policy Characteristics'!J:J,MATCH($C452,'Policy Characteristics'!$C:$C,0))),"",INDEX('Policy Characteristics'!J:J,MATCH($C452,'Policy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2" s="254" t="str">
        <f>IF(ISBLANK(INDEX('Policy Characteristics'!K:K,MATCH($C452,'Policy Characteristics'!$C:$C,0))),"",INDEX('Policy Characteristics'!K:K,MATCH($C452,'Policy Characteristics'!$C:$C,0)))</f>
        <v>electricity-sector-main.html#red-downtime</v>
      </c>
      <c r="R452" s="254" t="str">
        <f>IF(ISBLANK(INDEX('Policy Characteristics'!L:L,MATCH($C452,'Policy Characteristics'!$C:$C,0))),"",INDEX('Policy Characteristics'!L:L,MATCH($C452,'Policy Characteristics'!$C:$C,0)))</f>
        <v>reduce-downtime.html</v>
      </c>
    </row>
    <row r="453" spans="1:18" s="2" customFormat="1" x14ac:dyDescent="0.3">
      <c r="A453" s="254" t="str">
        <f>IF(ISBLANK(INDEX('Policy Characteristics'!A:A,MATCH($C453,'Policy Characteristics'!$C:$C,0))),"",INDEX('Policy Characteristics'!A:A,MATCH($C453,'Policy Characteristics'!$C:$C,0)))</f>
        <v>Electricity Supply</v>
      </c>
      <c r="B453" s="262" t="str">
        <f>IF(ISBLANK(INDEX('Policy Characteristics'!B:B,MATCH($C453,'Policy Characteristics'!$C:$C,0))),"",INDEX('Policy Characteristics'!B:B,MATCH($C453,'Policy Characteristics'!$C:$C,0)))</f>
        <v>Reduce Plant Downtime</v>
      </c>
      <c r="C453" s="318" t="str">
        <f t="shared" si="26"/>
        <v>Percentage Reduction in Plant Downtime</v>
      </c>
      <c r="D453" s="6" t="s">
        <v>77</v>
      </c>
      <c r="E453" s="45"/>
      <c r="F453" s="6" t="s">
        <v>89</v>
      </c>
      <c r="G453" s="6"/>
      <c r="H453" s="47">
        <v>660</v>
      </c>
      <c r="I453" s="325" t="s">
        <v>44</v>
      </c>
      <c r="J453" s="255" t="str">
        <f>IF(ISBLANK(INDEX('Policy Characteristics'!D:D,MATCH($C453,'Policy Characteristics'!$C:$C,0))),"",INDEX('Policy Characteristics'!D:D,MATCH($C453,'Policy Characteristics'!$C:$C,0)))</f>
        <v>Reduce Plant Downtime</v>
      </c>
      <c r="K453" s="254" t="str">
        <f>IF(ISBLANK(INDEX('Policy Characteristics'!E:E,MATCH($C453,'Policy Characteristics'!$C:$C,0))),"",INDEX('Policy Characteristics'!E:E,MATCH($C453,'Policy Characteristics'!$C:$C,0)))</f>
        <v>elec reduce plant downtime</v>
      </c>
      <c r="L453" s="261">
        <f>IF(ISBLANK(INDEX('Policy Characteristics'!F:F,MATCH($C453,'Policy Characteristics'!$C:$C,0))),"",INDEX('Policy Characteristics'!F:F,MATCH($C453,'Policy Characteristics'!$C:$C,0)))</f>
        <v>0</v>
      </c>
      <c r="M453" s="261">
        <f>IF(ISBLANK(INDEX('Policy Characteristics'!G:G,MATCH($C453,'Policy Characteristics'!$C:$C,0))),"",INDEX('Policy Characteristics'!G:G,MATCH($C453,'Policy Characteristics'!$C:$C,0)))</f>
        <v>0.6</v>
      </c>
      <c r="N453" s="261">
        <f>IF(ISBLANK(INDEX('Policy Characteristics'!H:H,MATCH($C453,'Policy Characteristics'!$C:$C,0))),"",INDEX('Policy Characteristics'!H:H,MATCH($C453,'Policy Characteristics'!$C:$C,0)))</f>
        <v>0.01</v>
      </c>
      <c r="O453" s="254" t="str">
        <f>IF(ISBLANK(INDEX('Policy Characteristics'!I:I,MATCH($C453,'Policy Characteristics'!$C:$C,0))),"",INDEX('Policy Characteristics'!I:I,MATCH($C453,'Policy Characteristics'!$C:$C,0)))</f>
        <v>% reduction in downtime</v>
      </c>
      <c r="P453" s="254" t="str">
        <f>IF(ISBLANK(INDEX('Policy Characteristics'!J:J,MATCH($C453,'Policy Characteristics'!$C:$C,0))),"",INDEX('Policy Characteristics'!J:J,MATCH($C453,'Policy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3" s="254" t="str">
        <f>IF(ISBLANK(INDEX('Policy Characteristics'!K:K,MATCH($C453,'Policy Characteristics'!$C:$C,0))),"",INDEX('Policy Characteristics'!K:K,MATCH($C453,'Policy Characteristics'!$C:$C,0)))</f>
        <v>electricity-sector-main.html#red-downtime</v>
      </c>
      <c r="R453" s="254" t="str">
        <f>IF(ISBLANK(INDEX('Policy Characteristics'!L:L,MATCH($C453,'Policy Characteristics'!$C:$C,0))),"",INDEX('Policy Characteristics'!L:L,MATCH($C453,'Policy Characteristics'!$C:$C,0)))</f>
        <v>reduce-downtime.html</v>
      </c>
    </row>
    <row r="454" spans="1:18" s="2" customFormat="1" x14ac:dyDescent="0.3">
      <c r="A454" s="254" t="str">
        <f>IF(ISBLANK(INDEX('Policy Characteristics'!A:A,MATCH($C454,'Policy Characteristics'!$C:$C,0))),"",INDEX('Policy Characteristics'!A:A,MATCH($C454,'Policy Characteristics'!$C:$C,0)))</f>
        <v>Electricity Supply</v>
      </c>
      <c r="B454" s="262" t="str">
        <f>IF(ISBLANK(INDEX('Policy Characteristics'!B:B,MATCH($C454,'Policy Characteristics'!$C:$C,0))),"",INDEX('Policy Characteristics'!B:B,MATCH($C454,'Policy Characteristics'!$C:$C,0)))</f>
        <v>Reduce Plant Downtime</v>
      </c>
      <c r="C454" s="318" t="str">
        <f t="shared" si="26"/>
        <v>Percentage Reduction in Plant Downtime</v>
      </c>
      <c r="D454" s="6" t="s">
        <v>448</v>
      </c>
      <c r="E454" s="45"/>
      <c r="F454" s="6" t="s">
        <v>451</v>
      </c>
      <c r="G454" s="6"/>
      <c r="H454" s="47">
        <v>143</v>
      </c>
      <c r="I454" s="325" t="s">
        <v>44</v>
      </c>
      <c r="J454" s="255" t="str">
        <f>IF(ISBLANK(INDEX('Policy Characteristics'!D:D,MATCH($C454,'Policy Characteristics'!$C:$C,0))),"",INDEX('Policy Characteristics'!D:D,MATCH($C454,'Policy Characteristics'!$C:$C,0)))</f>
        <v>Reduce Plant Downtime</v>
      </c>
      <c r="K454" s="254" t="str">
        <f>IF(ISBLANK(INDEX('Policy Characteristics'!E:E,MATCH($C454,'Policy Characteristics'!$C:$C,0))),"",INDEX('Policy Characteristics'!E:E,MATCH($C454,'Policy Characteristics'!$C:$C,0)))</f>
        <v>elec reduce plant downtime</v>
      </c>
      <c r="L454" s="261">
        <f>IF(ISBLANK(INDEX('Policy Characteristics'!F:F,MATCH($C454,'Policy Characteristics'!$C:$C,0))),"",INDEX('Policy Characteristics'!F:F,MATCH($C454,'Policy Characteristics'!$C:$C,0)))</f>
        <v>0</v>
      </c>
      <c r="M454" s="261">
        <f>IF(ISBLANK(INDEX('Policy Characteristics'!G:G,MATCH($C454,'Policy Characteristics'!$C:$C,0))),"",INDEX('Policy Characteristics'!G:G,MATCH($C454,'Policy Characteristics'!$C:$C,0)))</f>
        <v>0.6</v>
      </c>
      <c r="N454" s="261">
        <f>IF(ISBLANK(INDEX('Policy Characteristics'!H:H,MATCH($C454,'Policy Characteristics'!$C:$C,0))),"",INDEX('Policy Characteristics'!H:H,MATCH($C454,'Policy Characteristics'!$C:$C,0)))</f>
        <v>0.01</v>
      </c>
      <c r="O454" s="254" t="str">
        <f>IF(ISBLANK(INDEX('Policy Characteristics'!I:I,MATCH($C454,'Policy Characteristics'!$C:$C,0))),"",INDEX('Policy Characteristics'!I:I,MATCH($C454,'Policy Characteristics'!$C:$C,0)))</f>
        <v>% reduction in downtime</v>
      </c>
      <c r="P454" s="254" t="str">
        <f>IF(ISBLANK(INDEX('Policy Characteristics'!J:J,MATCH($C454,'Policy Characteristics'!$C:$C,0))),"",INDEX('Policy Characteristics'!J:J,MATCH($C454,'Policy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4" s="254" t="str">
        <f>IF(ISBLANK(INDEX('Policy Characteristics'!K:K,MATCH($C454,'Policy Characteristics'!$C:$C,0))),"",INDEX('Policy Characteristics'!K:K,MATCH($C454,'Policy Characteristics'!$C:$C,0)))</f>
        <v>electricity-sector-main.html#red-downtime</v>
      </c>
      <c r="R454" s="254" t="str">
        <f>IF(ISBLANK(INDEX('Policy Characteristics'!L:L,MATCH($C454,'Policy Characteristics'!$C:$C,0))),"",INDEX('Policy Characteristics'!L:L,MATCH($C454,'Policy Characteristics'!$C:$C,0)))</f>
        <v>reduce-downtime.html</v>
      </c>
    </row>
    <row r="455" spans="1:18" s="2" customFormat="1" x14ac:dyDescent="0.3">
      <c r="A455" s="254" t="str">
        <f>IF(ISBLANK(INDEX('Policy Characteristics'!A:A,MATCH($C455,'Policy Characteristics'!$C:$C,0))),"",INDEX('Policy Characteristics'!A:A,MATCH($C455,'Policy Characteristics'!$C:$C,0)))</f>
        <v>Electricity Supply</v>
      </c>
      <c r="B455" s="262" t="str">
        <f>IF(ISBLANK(INDEX('Policy Characteristics'!B:B,MATCH($C455,'Policy Characteristics'!$C:$C,0))),"",INDEX('Policy Characteristics'!B:B,MATCH($C455,'Policy Characteristics'!$C:$C,0)))</f>
        <v>Reduce Plant Downtime</v>
      </c>
      <c r="C455" s="318" t="str">
        <f t="shared" si="26"/>
        <v>Percentage Reduction in Plant Downtime</v>
      </c>
      <c r="D455" s="6" t="s">
        <v>78</v>
      </c>
      <c r="E455" s="45"/>
      <c r="F455" s="6" t="s">
        <v>90</v>
      </c>
      <c r="G455" s="6"/>
      <c r="H455" s="47">
        <v>144</v>
      </c>
      <c r="I455" s="325" t="s">
        <v>44</v>
      </c>
      <c r="J455" s="255" t="str">
        <f>IF(ISBLANK(INDEX('Policy Characteristics'!D:D,MATCH($C455,'Policy Characteristics'!$C:$C,0))),"",INDEX('Policy Characteristics'!D:D,MATCH($C455,'Policy Characteristics'!$C:$C,0)))</f>
        <v>Reduce Plant Downtime</v>
      </c>
      <c r="K455" s="254" t="str">
        <f>IF(ISBLANK(INDEX('Policy Characteristics'!E:E,MATCH($C455,'Policy Characteristics'!$C:$C,0))),"",INDEX('Policy Characteristics'!E:E,MATCH($C455,'Policy Characteristics'!$C:$C,0)))</f>
        <v>elec reduce plant downtime</v>
      </c>
      <c r="L455" s="261">
        <f>IF(ISBLANK(INDEX('Policy Characteristics'!F:F,MATCH($C455,'Policy Characteristics'!$C:$C,0))),"",INDEX('Policy Characteristics'!F:F,MATCH($C455,'Policy Characteristics'!$C:$C,0)))</f>
        <v>0</v>
      </c>
      <c r="M455" s="261">
        <f>IF(ISBLANK(INDEX('Policy Characteristics'!G:G,MATCH($C455,'Policy Characteristics'!$C:$C,0))),"",INDEX('Policy Characteristics'!G:G,MATCH($C455,'Policy Characteristics'!$C:$C,0)))</f>
        <v>0.6</v>
      </c>
      <c r="N455" s="261">
        <f>IF(ISBLANK(INDEX('Policy Characteristics'!H:H,MATCH($C455,'Policy Characteristics'!$C:$C,0))),"",INDEX('Policy Characteristics'!H:H,MATCH($C455,'Policy Characteristics'!$C:$C,0)))</f>
        <v>0.01</v>
      </c>
      <c r="O455" s="254" t="str">
        <f>IF(ISBLANK(INDEX('Policy Characteristics'!I:I,MATCH($C455,'Policy Characteristics'!$C:$C,0))),"",INDEX('Policy Characteristics'!I:I,MATCH($C455,'Policy Characteristics'!$C:$C,0)))</f>
        <v>% reduction in downtime</v>
      </c>
      <c r="P455" s="254" t="str">
        <f>IF(ISBLANK(INDEX('Policy Characteristics'!J:J,MATCH($C455,'Policy Characteristics'!$C:$C,0))),"",INDEX('Policy Characteristics'!J:J,MATCH($C455,'Policy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5" s="254" t="str">
        <f>IF(ISBLANK(INDEX('Policy Characteristics'!K:K,MATCH($C455,'Policy Characteristics'!$C:$C,0))),"",INDEX('Policy Characteristics'!K:K,MATCH($C455,'Policy Characteristics'!$C:$C,0)))</f>
        <v>electricity-sector-main.html#red-downtime</v>
      </c>
      <c r="R455" s="254" t="str">
        <f>IF(ISBLANK(INDEX('Policy Characteristics'!L:L,MATCH($C455,'Policy Characteristics'!$C:$C,0))),"",INDEX('Policy Characteristics'!L:L,MATCH($C455,'Policy Characteristics'!$C:$C,0)))</f>
        <v>reduce-downtime.html</v>
      </c>
    </row>
    <row r="456" spans="1:18" s="2" customFormat="1" x14ac:dyDescent="0.3">
      <c r="A456" s="254" t="str">
        <f>IF(ISBLANK(INDEX('Policy Characteristics'!A:A,MATCH($C456,'Policy Characteristics'!$C:$C,0))),"",INDEX('Policy Characteristics'!A:A,MATCH($C456,'Policy Characteristics'!$C:$C,0)))</f>
        <v>Electricity Supply</v>
      </c>
      <c r="B456" s="262" t="str">
        <f>IF(ISBLANK(INDEX('Policy Characteristics'!B:B,MATCH($C456,'Policy Characteristics'!$C:$C,0))),"",INDEX('Policy Characteristics'!B:B,MATCH($C456,'Policy Characteristics'!$C:$C,0)))</f>
        <v>Reduce Plant Downtime</v>
      </c>
      <c r="C456" s="318" t="str">
        <f t="shared" si="26"/>
        <v>Percentage Reduction in Plant Downtime</v>
      </c>
      <c r="D456" s="6" t="s">
        <v>79</v>
      </c>
      <c r="E456" s="45"/>
      <c r="F456" s="6" t="s">
        <v>91</v>
      </c>
      <c r="G456" s="6"/>
      <c r="H456" s="47">
        <v>667</v>
      </c>
      <c r="I456" s="325" t="s">
        <v>44</v>
      </c>
      <c r="J456" s="255" t="str">
        <f>IF(ISBLANK(INDEX('Policy Characteristics'!D:D,MATCH($C456,'Policy Characteristics'!$C:$C,0))),"",INDEX('Policy Characteristics'!D:D,MATCH($C456,'Policy Characteristics'!$C:$C,0)))</f>
        <v>Reduce Plant Downtime</v>
      </c>
      <c r="K456" s="254" t="str">
        <f>IF(ISBLANK(INDEX('Policy Characteristics'!E:E,MATCH($C456,'Policy Characteristics'!$C:$C,0))),"",INDEX('Policy Characteristics'!E:E,MATCH($C456,'Policy Characteristics'!$C:$C,0)))</f>
        <v>elec reduce plant downtime</v>
      </c>
      <c r="L456" s="261">
        <f>IF(ISBLANK(INDEX('Policy Characteristics'!F:F,MATCH($C456,'Policy Characteristics'!$C:$C,0))),"",INDEX('Policy Characteristics'!F:F,MATCH($C456,'Policy Characteristics'!$C:$C,0)))</f>
        <v>0</v>
      </c>
      <c r="M456" s="261">
        <f>IF(ISBLANK(INDEX('Policy Characteristics'!G:G,MATCH($C456,'Policy Characteristics'!$C:$C,0))),"",INDEX('Policy Characteristics'!G:G,MATCH($C456,'Policy Characteristics'!$C:$C,0)))</f>
        <v>0.6</v>
      </c>
      <c r="N456" s="261">
        <f>IF(ISBLANK(INDEX('Policy Characteristics'!H:H,MATCH($C456,'Policy Characteristics'!$C:$C,0))),"",INDEX('Policy Characteristics'!H:H,MATCH($C456,'Policy Characteristics'!$C:$C,0)))</f>
        <v>0.01</v>
      </c>
      <c r="O456" s="254" t="str">
        <f>IF(ISBLANK(INDEX('Policy Characteristics'!I:I,MATCH($C456,'Policy Characteristics'!$C:$C,0))),"",INDEX('Policy Characteristics'!I:I,MATCH($C456,'Policy Characteristics'!$C:$C,0)))</f>
        <v>% reduction in downtime</v>
      </c>
      <c r="P456" s="254" t="str">
        <f>IF(ISBLANK(INDEX('Policy Characteristics'!J:J,MATCH($C456,'Policy Characteristics'!$C:$C,0))),"",INDEX('Policy Characteristics'!J:J,MATCH($C456,'Policy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6" s="254" t="str">
        <f>IF(ISBLANK(INDEX('Policy Characteristics'!K:K,MATCH($C456,'Policy Characteristics'!$C:$C,0))),"",INDEX('Policy Characteristics'!K:K,MATCH($C456,'Policy Characteristics'!$C:$C,0)))</f>
        <v>electricity-sector-main.html#red-downtime</v>
      </c>
      <c r="R456" s="254" t="str">
        <f>IF(ISBLANK(INDEX('Policy Characteristics'!L:L,MATCH($C456,'Policy Characteristics'!$C:$C,0))),"",INDEX('Policy Characteristics'!L:L,MATCH($C456,'Policy Characteristics'!$C:$C,0)))</f>
        <v>reduce-downtime.html</v>
      </c>
    </row>
    <row r="457" spans="1:18" s="2" customFormat="1" x14ac:dyDescent="0.3">
      <c r="A457" s="254" t="str">
        <f>IF(ISBLANK(INDEX('Policy Characteristics'!A:A,MATCH($C457,'Policy Characteristics'!$C:$C,0))),"",INDEX('Policy Characteristics'!A:A,MATCH($C457,'Policy Characteristics'!$C:$C,0)))</f>
        <v>Electricity Supply</v>
      </c>
      <c r="B457" s="262" t="str">
        <f>IF(ISBLANK(INDEX('Policy Characteristics'!B:B,MATCH($C457,'Policy Characteristics'!$C:$C,0))),"",INDEX('Policy Characteristics'!B:B,MATCH($C457,'Policy Characteristics'!$C:$C,0)))</f>
        <v>Reduce Plant Downtime</v>
      </c>
      <c r="C457" s="318" t="str">
        <f t="shared" si="26"/>
        <v>Percentage Reduction in Plant Downtime</v>
      </c>
      <c r="D457" s="6" t="s">
        <v>80</v>
      </c>
      <c r="E457" s="45"/>
      <c r="F457" s="6" t="s">
        <v>92</v>
      </c>
      <c r="G457" s="6"/>
      <c r="H457" s="47">
        <v>670</v>
      </c>
      <c r="I457" s="325" t="s">
        <v>44</v>
      </c>
      <c r="J457" s="255" t="str">
        <f>IF(ISBLANK(INDEX('Policy Characteristics'!D:D,MATCH($C457,'Policy Characteristics'!$C:$C,0))),"",INDEX('Policy Characteristics'!D:D,MATCH($C457,'Policy Characteristics'!$C:$C,0)))</f>
        <v>Reduce Plant Downtime</v>
      </c>
      <c r="K457" s="254" t="str">
        <f>IF(ISBLANK(INDEX('Policy Characteristics'!E:E,MATCH($C457,'Policy Characteristics'!$C:$C,0))),"",INDEX('Policy Characteristics'!E:E,MATCH($C457,'Policy Characteristics'!$C:$C,0)))</f>
        <v>elec reduce plant downtime</v>
      </c>
      <c r="L457" s="261">
        <f>IF(ISBLANK(INDEX('Policy Characteristics'!F:F,MATCH($C457,'Policy Characteristics'!$C:$C,0))),"",INDEX('Policy Characteristics'!F:F,MATCH($C457,'Policy Characteristics'!$C:$C,0)))</f>
        <v>0</v>
      </c>
      <c r="M457" s="261">
        <f>IF(ISBLANK(INDEX('Policy Characteristics'!G:G,MATCH($C457,'Policy Characteristics'!$C:$C,0))),"",INDEX('Policy Characteristics'!G:G,MATCH($C457,'Policy Characteristics'!$C:$C,0)))</f>
        <v>0.6</v>
      </c>
      <c r="N457" s="261">
        <f>IF(ISBLANK(INDEX('Policy Characteristics'!H:H,MATCH($C457,'Policy Characteristics'!$C:$C,0))),"",INDEX('Policy Characteristics'!H:H,MATCH($C457,'Policy Characteristics'!$C:$C,0)))</f>
        <v>0.01</v>
      </c>
      <c r="O457" s="254" t="str">
        <f>IF(ISBLANK(INDEX('Policy Characteristics'!I:I,MATCH($C457,'Policy Characteristics'!$C:$C,0))),"",INDEX('Policy Characteristics'!I:I,MATCH($C457,'Policy Characteristics'!$C:$C,0)))</f>
        <v>% reduction in downtime</v>
      </c>
      <c r="P457" s="254" t="str">
        <f>IF(ISBLANK(INDEX('Policy Characteristics'!J:J,MATCH($C457,'Policy Characteristics'!$C:$C,0))),"",INDEX('Policy Characteristics'!J:J,MATCH($C457,'Policy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7" s="254" t="str">
        <f>IF(ISBLANK(INDEX('Policy Characteristics'!K:K,MATCH($C457,'Policy Characteristics'!$C:$C,0))),"",INDEX('Policy Characteristics'!K:K,MATCH($C457,'Policy Characteristics'!$C:$C,0)))</f>
        <v>electricity-sector-main.html#red-downtime</v>
      </c>
      <c r="R457" s="254" t="str">
        <f>IF(ISBLANK(INDEX('Policy Characteristics'!L:L,MATCH($C457,'Policy Characteristics'!$C:$C,0))),"",INDEX('Policy Characteristics'!L:L,MATCH($C457,'Policy Characteristics'!$C:$C,0)))</f>
        <v>reduce-downtime.html</v>
      </c>
    </row>
    <row r="458" spans="1:18" s="2" customFormat="1" x14ac:dyDescent="0.3">
      <c r="A458" s="254" t="str">
        <f>IF(ISBLANK(INDEX('Policy Characteristics'!A:A,MATCH($C458,'Policy Characteristics'!$C:$C,0))),"",INDEX('Policy Characteristics'!A:A,MATCH($C458,'Policy Characteristics'!$C:$C,0)))</f>
        <v>Electricity Supply</v>
      </c>
      <c r="B458" s="262" t="str">
        <f>IF(ISBLANK(INDEX('Policy Characteristics'!B:B,MATCH($C458,'Policy Characteristics'!$C:$C,0))),"",INDEX('Policy Characteristics'!B:B,MATCH($C458,'Policy Characteristics'!$C:$C,0)))</f>
        <v>Reduce Plant Downtime</v>
      </c>
      <c r="C458" s="318" t="str">
        <f t="shared" si="26"/>
        <v>Percentage Reduction in Plant Downtime</v>
      </c>
      <c r="D458" s="6" t="s">
        <v>2425</v>
      </c>
      <c r="E458" s="45"/>
      <c r="F458" s="6" t="s">
        <v>436</v>
      </c>
      <c r="G458" s="6"/>
      <c r="H458" s="47">
        <v>673</v>
      </c>
      <c r="I458" s="325" t="s">
        <v>44</v>
      </c>
      <c r="J458" s="255" t="str">
        <f>IF(ISBLANK(INDEX('Policy Characteristics'!D:D,MATCH($C458,'Policy Characteristics'!$C:$C,0))),"",INDEX('Policy Characteristics'!D:D,MATCH($C458,'Policy Characteristics'!$C:$C,0)))</f>
        <v>Reduce Plant Downtime</v>
      </c>
      <c r="K458" s="254" t="str">
        <f>IF(ISBLANK(INDEX('Policy Characteristics'!E:E,MATCH($C458,'Policy Characteristics'!$C:$C,0))),"",INDEX('Policy Characteristics'!E:E,MATCH($C458,'Policy Characteristics'!$C:$C,0)))</f>
        <v>elec reduce plant downtime</v>
      </c>
      <c r="L458" s="261">
        <f>IF(ISBLANK(INDEX('Policy Characteristics'!F:F,MATCH($C458,'Policy Characteristics'!$C:$C,0))),"",INDEX('Policy Characteristics'!F:F,MATCH($C458,'Policy Characteristics'!$C:$C,0)))</f>
        <v>0</v>
      </c>
      <c r="M458" s="261">
        <f>IF(ISBLANK(INDEX('Policy Characteristics'!G:G,MATCH($C458,'Policy Characteristics'!$C:$C,0))),"",INDEX('Policy Characteristics'!G:G,MATCH($C458,'Policy Characteristics'!$C:$C,0)))</f>
        <v>0.6</v>
      </c>
      <c r="N458" s="261">
        <f>IF(ISBLANK(INDEX('Policy Characteristics'!H:H,MATCH($C458,'Policy Characteristics'!$C:$C,0))),"",INDEX('Policy Characteristics'!H:H,MATCH($C458,'Policy Characteristics'!$C:$C,0)))</f>
        <v>0.01</v>
      </c>
      <c r="O458" s="254" t="str">
        <f>IF(ISBLANK(INDEX('Policy Characteristics'!I:I,MATCH($C458,'Policy Characteristics'!$C:$C,0))),"",INDEX('Policy Characteristics'!I:I,MATCH($C458,'Policy Characteristics'!$C:$C,0)))</f>
        <v>% reduction in downtime</v>
      </c>
      <c r="P458" s="254" t="str">
        <f>IF(ISBLANK(INDEX('Policy Characteristics'!J:J,MATCH($C458,'Policy Characteristics'!$C:$C,0))),"",INDEX('Policy Characteristics'!J:J,MATCH($C458,'Policy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8" s="254" t="str">
        <f>IF(ISBLANK(INDEX('Policy Characteristics'!K:K,MATCH($C458,'Policy Characteristics'!$C:$C,0))),"",INDEX('Policy Characteristics'!K:K,MATCH($C458,'Policy Characteristics'!$C:$C,0)))</f>
        <v>electricity-sector-main.html#red-downtime</v>
      </c>
      <c r="R458" s="254" t="str">
        <f>IF(ISBLANK(INDEX('Policy Characteristics'!L:L,MATCH($C458,'Policy Characteristics'!$C:$C,0))),"",INDEX('Policy Characteristics'!L:L,MATCH($C458,'Policy Characteristics'!$C:$C,0)))</f>
        <v>reduce-downtime.html</v>
      </c>
    </row>
    <row r="459" spans="1:18" s="2" customFormat="1" x14ac:dyDescent="0.3">
      <c r="A459" s="254" t="str">
        <f>IF(ISBLANK(INDEX('Policy Characteristics'!A:A,MATCH($C459,'Policy Characteristics'!$C:$C,0))),"",INDEX('Policy Characteristics'!A:A,MATCH($C459,'Policy Characteristics'!$C:$C,0)))</f>
        <v>Electricity Supply</v>
      </c>
      <c r="B459" s="262" t="str">
        <f>IF(ISBLANK(INDEX('Policy Characteristics'!B:B,MATCH($C459,'Policy Characteristics'!$C:$C,0))),"",INDEX('Policy Characteristics'!B:B,MATCH($C459,'Policy Characteristics'!$C:$C,0)))</f>
        <v>Reduce Plant Downtime</v>
      </c>
      <c r="C459" s="318" t="str">
        <f t="shared" si="26"/>
        <v>Percentage Reduction in Plant Downtime</v>
      </c>
      <c r="D459" s="6" t="s">
        <v>308</v>
      </c>
      <c r="E459" s="45"/>
      <c r="F459" s="6" t="s">
        <v>310</v>
      </c>
      <c r="G459" s="6"/>
      <c r="H459" s="47">
        <v>676</v>
      </c>
      <c r="I459" s="325" t="s">
        <v>44</v>
      </c>
      <c r="J459" s="255" t="str">
        <f>IF(ISBLANK(INDEX('Policy Characteristics'!D:D,MATCH($C459,'Policy Characteristics'!$C:$C,0))),"",INDEX('Policy Characteristics'!D:D,MATCH($C459,'Policy Characteristics'!$C:$C,0)))</f>
        <v>Reduce Plant Downtime</v>
      </c>
      <c r="K459" s="254" t="str">
        <f>IF(ISBLANK(INDEX('Policy Characteristics'!E:E,MATCH($C459,'Policy Characteristics'!$C:$C,0))),"",INDEX('Policy Characteristics'!E:E,MATCH($C459,'Policy Characteristics'!$C:$C,0)))</f>
        <v>elec reduce plant downtime</v>
      </c>
      <c r="L459" s="261">
        <f>IF(ISBLANK(INDEX('Policy Characteristics'!F:F,MATCH($C459,'Policy Characteristics'!$C:$C,0))),"",INDEX('Policy Characteristics'!F:F,MATCH($C459,'Policy Characteristics'!$C:$C,0)))</f>
        <v>0</v>
      </c>
      <c r="M459" s="261">
        <f>IF(ISBLANK(INDEX('Policy Characteristics'!G:G,MATCH($C459,'Policy Characteristics'!$C:$C,0))),"",INDEX('Policy Characteristics'!G:G,MATCH($C459,'Policy Characteristics'!$C:$C,0)))</f>
        <v>0.6</v>
      </c>
      <c r="N459" s="261">
        <f>IF(ISBLANK(INDEX('Policy Characteristics'!H:H,MATCH($C459,'Policy Characteristics'!$C:$C,0))),"",INDEX('Policy Characteristics'!H:H,MATCH($C459,'Policy Characteristics'!$C:$C,0)))</f>
        <v>0.01</v>
      </c>
      <c r="O459" s="254" t="str">
        <f>IF(ISBLANK(INDEX('Policy Characteristics'!I:I,MATCH($C459,'Policy Characteristics'!$C:$C,0))),"",INDEX('Policy Characteristics'!I:I,MATCH($C459,'Policy Characteristics'!$C:$C,0)))</f>
        <v>% reduction in downtime</v>
      </c>
      <c r="P459" s="254" t="str">
        <f>IF(ISBLANK(INDEX('Policy Characteristics'!J:J,MATCH($C459,'Policy Characteristics'!$C:$C,0))),"",INDEX('Policy Characteristics'!J:J,MATCH($C459,'Policy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59" s="254" t="str">
        <f>IF(ISBLANK(INDEX('Policy Characteristics'!K:K,MATCH($C459,'Policy Characteristics'!$C:$C,0))),"",INDEX('Policy Characteristics'!K:K,MATCH($C459,'Policy Characteristics'!$C:$C,0)))</f>
        <v>electricity-sector-main.html#red-downtime</v>
      </c>
      <c r="R459" s="254" t="str">
        <f>IF(ISBLANK(INDEX('Policy Characteristics'!L:L,MATCH($C459,'Policy Characteristics'!$C:$C,0))),"",INDEX('Policy Characteristics'!L:L,MATCH($C459,'Policy Characteristics'!$C:$C,0)))</f>
        <v>reduce-downtime.html</v>
      </c>
    </row>
    <row r="460" spans="1:18" s="2" customFormat="1" x14ac:dyDescent="0.3">
      <c r="A460" s="254" t="str">
        <f>IF(ISBLANK(INDEX('Policy Characteristics'!A:A,MATCH($C460,'Policy Characteristics'!$C:$C,0))),"",INDEX('Policy Characteristics'!A:A,MATCH($C460,'Policy Characteristics'!$C:$C,0)))</f>
        <v>Electricity Supply</v>
      </c>
      <c r="B460" s="262" t="str">
        <f>IF(ISBLANK(INDEX('Policy Characteristics'!B:B,MATCH($C460,'Policy Characteristics'!$C:$C,0))),"",INDEX('Policy Characteristics'!B:B,MATCH($C460,'Policy Characteristics'!$C:$C,0)))</f>
        <v>Reduce Plant Downtime</v>
      </c>
      <c r="C460" s="318" t="str">
        <f t="shared" si="26"/>
        <v>Percentage Reduction in Plant Downtime</v>
      </c>
      <c r="D460" s="6" t="s">
        <v>309</v>
      </c>
      <c r="E460" s="45"/>
      <c r="F460" s="6" t="s">
        <v>311</v>
      </c>
      <c r="G460" s="6"/>
      <c r="H460" s="47">
        <v>679</v>
      </c>
      <c r="I460" s="325" t="s">
        <v>44</v>
      </c>
      <c r="J460" s="255" t="str">
        <f>IF(ISBLANK(INDEX('Policy Characteristics'!D:D,MATCH($C460,'Policy Characteristics'!$C:$C,0))),"",INDEX('Policy Characteristics'!D:D,MATCH($C460,'Policy Characteristics'!$C:$C,0)))</f>
        <v>Reduce Plant Downtime</v>
      </c>
      <c r="K460" s="254" t="str">
        <f>IF(ISBLANK(INDEX('Policy Characteristics'!E:E,MATCH($C460,'Policy Characteristics'!$C:$C,0))),"",INDEX('Policy Characteristics'!E:E,MATCH($C460,'Policy Characteristics'!$C:$C,0)))</f>
        <v>elec reduce plant downtime</v>
      </c>
      <c r="L460" s="261">
        <f>IF(ISBLANK(INDEX('Policy Characteristics'!F:F,MATCH($C460,'Policy Characteristics'!$C:$C,0))),"",INDEX('Policy Characteristics'!F:F,MATCH($C460,'Policy Characteristics'!$C:$C,0)))</f>
        <v>0</v>
      </c>
      <c r="M460" s="261">
        <f>IF(ISBLANK(INDEX('Policy Characteristics'!G:G,MATCH($C460,'Policy Characteristics'!$C:$C,0))),"",INDEX('Policy Characteristics'!G:G,MATCH($C460,'Policy Characteristics'!$C:$C,0)))</f>
        <v>0.6</v>
      </c>
      <c r="N460" s="261">
        <f>IF(ISBLANK(INDEX('Policy Characteristics'!H:H,MATCH($C460,'Policy Characteristics'!$C:$C,0))),"",INDEX('Policy Characteristics'!H:H,MATCH($C460,'Policy Characteristics'!$C:$C,0)))</f>
        <v>0.01</v>
      </c>
      <c r="O460" s="254" t="str">
        <f>IF(ISBLANK(INDEX('Policy Characteristics'!I:I,MATCH($C460,'Policy Characteristics'!$C:$C,0))),"",INDEX('Policy Characteristics'!I:I,MATCH($C460,'Policy Characteristics'!$C:$C,0)))</f>
        <v>% reduction in downtime</v>
      </c>
      <c r="P460" s="254" t="str">
        <f>IF(ISBLANK(INDEX('Policy Characteristics'!J:J,MATCH($C460,'Policy Characteristics'!$C:$C,0))),"",INDEX('Policy Characteristics'!J:J,MATCH($C460,'Policy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0" s="254" t="str">
        <f>IF(ISBLANK(INDEX('Policy Characteristics'!K:K,MATCH($C460,'Policy Characteristics'!$C:$C,0))),"",INDEX('Policy Characteristics'!K:K,MATCH($C460,'Policy Characteristics'!$C:$C,0)))</f>
        <v>electricity-sector-main.html#red-downtime</v>
      </c>
      <c r="R460" s="254" t="str">
        <f>IF(ISBLANK(INDEX('Policy Characteristics'!L:L,MATCH($C460,'Policy Characteristics'!$C:$C,0))),"",INDEX('Policy Characteristics'!L:L,MATCH($C460,'Policy Characteristics'!$C:$C,0)))</f>
        <v>reduce-downtime.html</v>
      </c>
    </row>
    <row r="461" spans="1:18" s="2" customFormat="1" x14ac:dyDescent="0.3">
      <c r="A461" s="254" t="str">
        <f>IF(ISBLANK(INDEX('Policy Characteristics'!A:A,MATCH($C461,'Policy Characteristics'!$C:$C,0))),"",INDEX('Policy Characteristics'!A:A,MATCH($C461,'Policy Characteristics'!$C:$C,0)))</f>
        <v>Electricity Supply</v>
      </c>
      <c r="B461" s="262" t="str">
        <f>IF(ISBLANK(INDEX('Policy Characteristics'!B:B,MATCH($C461,'Policy Characteristics'!$C:$C,0))),"",INDEX('Policy Characteristics'!B:B,MATCH($C461,'Policy Characteristics'!$C:$C,0)))</f>
        <v>Reduce Plant Downtime</v>
      </c>
      <c r="C461" s="318" t="str">
        <f t="shared" si="26"/>
        <v>Percentage Reduction in Plant Downtime</v>
      </c>
      <c r="D461" s="6" t="s">
        <v>444</v>
      </c>
      <c r="E461" s="45"/>
      <c r="F461" s="6" t="s">
        <v>443</v>
      </c>
      <c r="G461" s="6"/>
      <c r="H461" s="47">
        <v>182</v>
      </c>
      <c r="I461" s="325" t="s">
        <v>44</v>
      </c>
      <c r="J461" s="255" t="str">
        <f>IF(ISBLANK(INDEX('Policy Characteristics'!D:D,MATCH($C461,'Policy Characteristics'!$C:$C,0))),"",INDEX('Policy Characteristics'!D:D,MATCH($C461,'Policy Characteristics'!$C:$C,0)))</f>
        <v>Reduce Plant Downtime</v>
      </c>
      <c r="K461" s="254" t="str">
        <f>IF(ISBLANK(INDEX('Policy Characteristics'!E:E,MATCH($C461,'Policy Characteristics'!$C:$C,0))),"",INDEX('Policy Characteristics'!E:E,MATCH($C461,'Policy Characteristics'!$C:$C,0)))</f>
        <v>elec reduce plant downtime</v>
      </c>
      <c r="L461" s="261">
        <f>IF(ISBLANK(INDEX('Policy Characteristics'!F:F,MATCH($C461,'Policy Characteristics'!$C:$C,0))),"",INDEX('Policy Characteristics'!F:F,MATCH($C461,'Policy Characteristics'!$C:$C,0)))</f>
        <v>0</v>
      </c>
      <c r="M461" s="261">
        <f>IF(ISBLANK(INDEX('Policy Characteristics'!G:G,MATCH($C461,'Policy Characteristics'!$C:$C,0))),"",INDEX('Policy Characteristics'!G:G,MATCH($C461,'Policy Characteristics'!$C:$C,0)))</f>
        <v>0.6</v>
      </c>
      <c r="N461" s="261">
        <f>IF(ISBLANK(INDEX('Policy Characteristics'!H:H,MATCH($C461,'Policy Characteristics'!$C:$C,0))),"",INDEX('Policy Characteristics'!H:H,MATCH($C461,'Policy Characteristics'!$C:$C,0)))</f>
        <v>0.01</v>
      </c>
      <c r="O461" s="254" t="str">
        <f>IF(ISBLANK(INDEX('Policy Characteristics'!I:I,MATCH($C461,'Policy Characteristics'!$C:$C,0))),"",INDEX('Policy Characteristics'!I:I,MATCH($C461,'Policy Characteristics'!$C:$C,0)))</f>
        <v>% reduction in downtime</v>
      </c>
      <c r="P461" s="254" t="str">
        <f>IF(ISBLANK(INDEX('Policy Characteristics'!J:J,MATCH($C461,'Policy Characteristics'!$C:$C,0))),"",INDEX('Policy Characteristics'!J:J,MATCH($C461,'Policy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1" s="254" t="str">
        <f>IF(ISBLANK(INDEX('Policy Characteristics'!K:K,MATCH($C461,'Policy Characteristics'!$C:$C,0))),"",INDEX('Policy Characteristics'!K:K,MATCH($C461,'Policy Characteristics'!$C:$C,0)))</f>
        <v>electricity-sector-main.html#red-downtime</v>
      </c>
      <c r="R461" s="254" t="str">
        <f>IF(ISBLANK(INDEX('Policy Characteristics'!L:L,MATCH($C461,'Policy Characteristics'!$C:$C,0))),"",INDEX('Policy Characteristics'!L:L,MATCH($C461,'Policy Characteristics'!$C:$C,0)))</f>
        <v>reduce-downtime.html</v>
      </c>
    </row>
    <row r="462" spans="1:18" s="2" customFormat="1" x14ac:dyDescent="0.3">
      <c r="A462" s="254" t="str">
        <f>IF(ISBLANK(INDEX('Policy Characteristics'!A:A,MATCH($C462,'Policy Characteristics'!$C:$C,0))),"",INDEX('Policy Characteristics'!A:A,MATCH($C462,'Policy Characteristics'!$C:$C,0)))</f>
        <v>Electricity Supply</v>
      </c>
      <c r="B462" s="262" t="str">
        <f>IF(ISBLANK(INDEX('Policy Characteristics'!B:B,MATCH($C462,'Policy Characteristics'!$C:$C,0))),"",INDEX('Policy Characteristics'!B:B,MATCH($C462,'Policy Characteristics'!$C:$C,0)))</f>
        <v>Reduce Plant Downtime</v>
      </c>
      <c r="C462" s="318" t="str">
        <f t="shared" si="26"/>
        <v>Percentage Reduction in Plant Downtime</v>
      </c>
      <c r="D462" s="6" t="s">
        <v>453</v>
      </c>
      <c r="E462" s="45"/>
      <c r="F462" s="6" t="s">
        <v>454</v>
      </c>
      <c r="H462" s="47">
        <v>684</v>
      </c>
      <c r="I462" s="325" t="s">
        <v>44</v>
      </c>
      <c r="J462" s="255" t="str">
        <f>IF(ISBLANK(INDEX('Policy Characteristics'!D:D,MATCH($C462,'Policy Characteristics'!$C:$C,0))),"",INDEX('Policy Characteristics'!D:D,MATCH($C462,'Policy Characteristics'!$C:$C,0)))</f>
        <v>Reduce Plant Downtime</v>
      </c>
      <c r="K462" s="254" t="str">
        <f>IF(ISBLANK(INDEX('Policy Characteristics'!E:E,MATCH($C462,'Policy Characteristics'!$C:$C,0))),"",INDEX('Policy Characteristics'!E:E,MATCH($C462,'Policy Characteristics'!$C:$C,0)))</f>
        <v>elec reduce plant downtime</v>
      </c>
      <c r="L462" s="261">
        <f>IF(ISBLANK(INDEX('Policy Characteristics'!F:F,MATCH($C462,'Policy Characteristics'!$C:$C,0))),"",INDEX('Policy Characteristics'!F:F,MATCH($C462,'Policy Characteristics'!$C:$C,0)))</f>
        <v>0</v>
      </c>
      <c r="M462" s="261">
        <f>IF(ISBLANK(INDEX('Policy Characteristics'!G:G,MATCH($C462,'Policy Characteristics'!$C:$C,0))),"",INDEX('Policy Characteristics'!G:G,MATCH($C462,'Policy Characteristics'!$C:$C,0)))</f>
        <v>0.6</v>
      </c>
      <c r="N462" s="261">
        <f>IF(ISBLANK(INDEX('Policy Characteristics'!H:H,MATCH($C462,'Policy Characteristics'!$C:$C,0))),"",INDEX('Policy Characteristics'!H:H,MATCH($C462,'Policy Characteristics'!$C:$C,0)))</f>
        <v>0.01</v>
      </c>
      <c r="O462" s="254" t="str">
        <f>IF(ISBLANK(INDEX('Policy Characteristics'!I:I,MATCH($C462,'Policy Characteristics'!$C:$C,0))),"",INDEX('Policy Characteristics'!I:I,MATCH($C462,'Policy Characteristics'!$C:$C,0)))</f>
        <v>% reduction in downtime</v>
      </c>
      <c r="P462" s="254" t="str">
        <f>IF(ISBLANK(INDEX('Policy Characteristics'!J:J,MATCH($C462,'Policy Characteristics'!$C:$C,0))),"",INDEX('Policy Characteristics'!J:J,MATCH($C462,'Policy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2" s="254" t="str">
        <f>IF(ISBLANK(INDEX('Policy Characteristics'!K:K,MATCH($C462,'Policy Characteristics'!$C:$C,0))),"",INDEX('Policy Characteristics'!K:K,MATCH($C462,'Policy Characteristics'!$C:$C,0)))</f>
        <v>electricity-sector-main.html#red-downtime</v>
      </c>
      <c r="R462" s="254" t="str">
        <f>IF(ISBLANK(INDEX('Policy Characteristics'!L:L,MATCH($C462,'Policy Characteristics'!$C:$C,0))),"",INDEX('Policy Characteristics'!L:L,MATCH($C462,'Policy Characteristics'!$C:$C,0)))</f>
        <v>reduce-downtime.html</v>
      </c>
    </row>
    <row r="463" spans="1:18" s="2" customFormat="1" x14ac:dyDescent="0.3">
      <c r="A463" s="254" t="str">
        <f>IF(ISBLANK(INDEX('Policy Characteristics'!A:A,MATCH($C463,'Policy Characteristics'!$C:$C,0))),"",INDEX('Policy Characteristics'!A:A,MATCH($C463,'Policy Characteristics'!$C:$C,0)))</f>
        <v>Electricity Supply</v>
      </c>
      <c r="B463" s="262" t="str">
        <f>IF(ISBLANK(INDEX('Policy Characteristics'!B:B,MATCH($C463,'Policy Characteristics'!$C:$C,0))),"",INDEX('Policy Characteristics'!B:B,MATCH($C463,'Policy Characteristics'!$C:$C,0)))</f>
        <v>Reduce Plant Downtime</v>
      </c>
      <c r="C463" s="318" t="str">
        <f t="shared" si="26"/>
        <v>Percentage Reduction in Plant Downtime</v>
      </c>
      <c r="D463" s="6" t="s">
        <v>2748</v>
      </c>
      <c r="E463" s="45"/>
      <c r="F463" s="6" t="s">
        <v>2469</v>
      </c>
      <c r="G463" s="6"/>
      <c r="H463" s="47">
        <v>687</v>
      </c>
      <c r="I463" s="325" t="s">
        <v>44</v>
      </c>
      <c r="J463" s="255" t="str">
        <f>IF(ISBLANK(INDEX('Policy Characteristics'!D:D,MATCH($C463,'Policy Characteristics'!$C:$C,0))),"",INDEX('Policy Characteristics'!D:D,MATCH($C463,'Policy Characteristics'!$C:$C,0)))</f>
        <v>Reduce Plant Downtime</v>
      </c>
      <c r="K463" s="254" t="str">
        <f>IF(ISBLANK(INDEX('Policy Characteristics'!E:E,MATCH($C463,'Policy Characteristics'!$C:$C,0))),"",INDEX('Policy Characteristics'!E:E,MATCH($C463,'Policy Characteristics'!$C:$C,0)))</f>
        <v>elec reduce plant downtime</v>
      </c>
      <c r="L463" s="261">
        <f>IF(ISBLANK(INDEX('Policy Characteristics'!F:F,MATCH($C463,'Policy Characteristics'!$C:$C,0))),"",INDEX('Policy Characteristics'!F:F,MATCH($C463,'Policy Characteristics'!$C:$C,0)))</f>
        <v>0</v>
      </c>
      <c r="M463" s="261">
        <f>IF(ISBLANK(INDEX('Policy Characteristics'!G:G,MATCH($C463,'Policy Characteristics'!$C:$C,0))),"",INDEX('Policy Characteristics'!G:G,MATCH($C463,'Policy Characteristics'!$C:$C,0)))</f>
        <v>0.6</v>
      </c>
      <c r="N463" s="261">
        <f>IF(ISBLANK(INDEX('Policy Characteristics'!H:H,MATCH($C463,'Policy Characteristics'!$C:$C,0))),"",INDEX('Policy Characteristics'!H:H,MATCH($C463,'Policy Characteristics'!$C:$C,0)))</f>
        <v>0.01</v>
      </c>
      <c r="O463" s="254" t="str">
        <f>IF(ISBLANK(INDEX('Policy Characteristics'!I:I,MATCH($C463,'Policy Characteristics'!$C:$C,0))),"",INDEX('Policy Characteristics'!I:I,MATCH($C463,'Policy Characteristics'!$C:$C,0)))</f>
        <v>% reduction in downtime</v>
      </c>
      <c r="P463" s="254" t="str">
        <f>IF(ISBLANK(INDEX('Policy Characteristics'!J:J,MATCH($C463,'Policy Characteristics'!$C:$C,0))),"",INDEX('Policy Characteristics'!J:J,MATCH($C463,'Policy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3" s="254" t="str">
        <f>IF(ISBLANK(INDEX('Policy Characteristics'!K:K,MATCH($C463,'Policy Characteristics'!$C:$C,0))),"",INDEX('Policy Characteristics'!K:K,MATCH($C463,'Policy Characteristics'!$C:$C,0)))</f>
        <v>electricity-sector-main.html#red-downtime</v>
      </c>
      <c r="R463" s="254" t="str">
        <f>IF(ISBLANK(INDEX('Policy Characteristics'!L:L,MATCH($C463,'Policy Characteristics'!$C:$C,0))),"",INDEX('Policy Characteristics'!L:L,MATCH($C463,'Policy Characteristics'!$C:$C,0)))</f>
        <v>reduce-downtime.html</v>
      </c>
    </row>
    <row r="464" spans="1:18" s="2" customFormat="1" x14ac:dyDescent="0.3">
      <c r="A464" s="254" t="str">
        <f>IF(ISBLANK(INDEX('Policy Characteristics'!A:A,MATCH($C464,'Policy Characteristics'!$C:$C,0))),"",INDEX('Policy Characteristics'!A:A,MATCH($C464,'Policy Characteristics'!$C:$C,0)))</f>
        <v>Electricity Supply</v>
      </c>
      <c r="B464" s="262" t="str">
        <f>IF(ISBLANK(INDEX('Policy Characteristics'!B:B,MATCH($C464,'Policy Characteristics'!$C:$C,0))),"",INDEX('Policy Characteristics'!B:B,MATCH($C464,'Policy Characteristics'!$C:$C,0)))</f>
        <v>Reduce Plant Downtime</v>
      </c>
      <c r="C464" s="318" t="str">
        <f t="shared" si="26"/>
        <v>Percentage Reduction in Plant Downtime</v>
      </c>
      <c r="D464" s="6" t="s">
        <v>2749</v>
      </c>
      <c r="E464" s="45"/>
      <c r="F464" s="6" t="s">
        <v>2592</v>
      </c>
      <c r="G464" s="6"/>
      <c r="H464" s="47">
        <v>690</v>
      </c>
      <c r="I464" s="325" t="s">
        <v>44</v>
      </c>
      <c r="J464" s="255" t="str">
        <f>IF(ISBLANK(INDEX('Policy Characteristics'!D:D,MATCH($C464,'Policy Characteristics'!$C:$C,0))),"",INDEX('Policy Characteristics'!D:D,MATCH($C464,'Policy Characteristics'!$C:$C,0)))</f>
        <v>Reduce Plant Downtime</v>
      </c>
      <c r="K464" s="254" t="str">
        <f>IF(ISBLANK(INDEX('Policy Characteristics'!E:E,MATCH($C464,'Policy Characteristics'!$C:$C,0))),"",INDEX('Policy Characteristics'!E:E,MATCH($C464,'Policy Characteristics'!$C:$C,0)))</f>
        <v>elec reduce plant downtime</v>
      </c>
      <c r="L464" s="261">
        <f>IF(ISBLANK(INDEX('Policy Characteristics'!F:F,MATCH($C464,'Policy Characteristics'!$C:$C,0))),"",INDEX('Policy Characteristics'!F:F,MATCH($C464,'Policy Characteristics'!$C:$C,0)))</f>
        <v>0</v>
      </c>
      <c r="M464" s="261">
        <f>IF(ISBLANK(INDEX('Policy Characteristics'!G:G,MATCH($C464,'Policy Characteristics'!$C:$C,0))),"",INDEX('Policy Characteristics'!G:G,MATCH($C464,'Policy Characteristics'!$C:$C,0)))</f>
        <v>0.6</v>
      </c>
      <c r="N464" s="261">
        <f>IF(ISBLANK(INDEX('Policy Characteristics'!H:H,MATCH($C464,'Policy Characteristics'!$C:$C,0))),"",INDEX('Policy Characteristics'!H:H,MATCH($C464,'Policy Characteristics'!$C:$C,0)))</f>
        <v>0.01</v>
      </c>
      <c r="O464" s="254" t="str">
        <f>IF(ISBLANK(INDEX('Policy Characteristics'!I:I,MATCH($C464,'Policy Characteristics'!$C:$C,0))),"",INDEX('Policy Characteristics'!I:I,MATCH($C464,'Policy Characteristics'!$C:$C,0)))</f>
        <v>% reduction in downtime</v>
      </c>
      <c r="P464" s="254" t="str">
        <f>IF(ISBLANK(INDEX('Policy Characteristics'!J:J,MATCH($C464,'Policy Characteristics'!$C:$C,0))),"",INDEX('Policy Characteristics'!J:J,MATCH($C464,'Policy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4" s="254" t="str">
        <f>IF(ISBLANK(INDEX('Policy Characteristics'!K:K,MATCH($C464,'Policy Characteristics'!$C:$C,0))),"",INDEX('Policy Characteristics'!K:K,MATCH($C464,'Policy Characteristics'!$C:$C,0)))</f>
        <v>electricity-sector-main.html#red-downtime</v>
      </c>
      <c r="R464" s="254" t="str">
        <f>IF(ISBLANK(INDEX('Policy Characteristics'!L:L,MATCH($C464,'Policy Characteristics'!$C:$C,0))),"",INDEX('Policy Characteristics'!L:L,MATCH($C464,'Policy Characteristics'!$C:$C,0)))</f>
        <v>reduce-downtime.html</v>
      </c>
    </row>
    <row r="465" spans="1:18" s="2" customFormat="1" x14ac:dyDescent="0.3">
      <c r="A465" s="254" t="str">
        <f>IF(ISBLANK(INDEX('Policy Characteristics'!A:A,MATCH($C465,'Policy Characteristics'!$C:$C,0))),"",INDEX('Policy Characteristics'!A:A,MATCH($C465,'Policy Characteristics'!$C:$C,0)))</f>
        <v>Electricity Supply</v>
      </c>
      <c r="B465" s="262" t="str">
        <f>IF(ISBLANK(INDEX('Policy Characteristics'!B:B,MATCH($C465,'Policy Characteristics'!$C:$C,0))),"",INDEX('Policy Characteristics'!B:B,MATCH($C465,'Policy Characteristics'!$C:$C,0)))</f>
        <v>Reduce Plant Downtime</v>
      </c>
      <c r="C465" s="318" t="str">
        <f t="shared" si="26"/>
        <v>Percentage Reduction in Plant Downtime</v>
      </c>
      <c r="D465" s="6" t="s">
        <v>2750</v>
      </c>
      <c r="E465" s="45"/>
      <c r="F465" s="6" t="s">
        <v>2471</v>
      </c>
      <c r="G465" s="6"/>
      <c r="H465" s="47">
        <v>1782</v>
      </c>
      <c r="I465" s="325" t="s">
        <v>44</v>
      </c>
      <c r="J465" s="255" t="str">
        <f>IF(ISBLANK(INDEX('Policy Characteristics'!D:D,MATCH($C465,'Policy Characteristics'!$C:$C,0))),"",INDEX('Policy Characteristics'!D:D,MATCH($C465,'Policy Characteristics'!$C:$C,0)))</f>
        <v>Reduce Plant Downtime</v>
      </c>
      <c r="K465" s="254" t="str">
        <f>IF(ISBLANK(INDEX('Policy Characteristics'!E:E,MATCH($C465,'Policy Characteristics'!$C:$C,0))),"",INDEX('Policy Characteristics'!E:E,MATCH($C465,'Policy Characteristics'!$C:$C,0)))</f>
        <v>elec reduce plant downtime</v>
      </c>
      <c r="L465" s="261">
        <f>IF(ISBLANK(INDEX('Policy Characteristics'!F:F,MATCH($C465,'Policy Characteristics'!$C:$C,0))),"",INDEX('Policy Characteristics'!F:F,MATCH($C465,'Policy Characteristics'!$C:$C,0)))</f>
        <v>0</v>
      </c>
      <c r="M465" s="261">
        <f>IF(ISBLANK(INDEX('Policy Characteristics'!G:G,MATCH($C465,'Policy Characteristics'!$C:$C,0))),"",INDEX('Policy Characteristics'!G:G,MATCH($C465,'Policy Characteristics'!$C:$C,0)))</f>
        <v>0.6</v>
      </c>
      <c r="N465" s="261">
        <f>IF(ISBLANK(INDEX('Policy Characteristics'!H:H,MATCH($C465,'Policy Characteristics'!$C:$C,0))),"",INDEX('Policy Characteristics'!H:H,MATCH($C465,'Policy Characteristics'!$C:$C,0)))</f>
        <v>0.01</v>
      </c>
      <c r="O465" s="254" t="str">
        <f>IF(ISBLANK(INDEX('Policy Characteristics'!I:I,MATCH($C465,'Policy Characteristics'!$C:$C,0))),"",INDEX('Policy Characteristics'!I:I,MATCH($C465,'Policy Characteristics'!$C:$C,0)))</f>
        <v>% reduction in downtime</v>
      </c>
      <c r="P465" s="254" t="str">
        <f>IF(ISBLANK(INDEX('Policy Characteristics'!J:J,MATCH($C465,'Policy Characteristics'!$C:$C,0))),"",INDEX('Policy Characteristics'!J:J,MATCH($C465,'Policy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5" s="254" t="str">
        <f>IF(ISBLANK(INDEX('Policy Characteristics'!K:K,MATCH($C465,'Policy Characteristics'!$C:$C,0))),"",INDEX('Policy Characteristics'!K:K,MATCH($C465,'Policy Characteristics'!$C:$C,0)))</f>
        <v>electricity-sector-main.html#red-downtime</v>
      </c>
      <c r="R465" s="254" t="str">
        <f>IF(ISBLANK(INDEX('Policy Characteristics'!L:L,MATCH($C465,'Policy Characteristics'!$C:$C,0))),"",INDEX('Policy Characteristics'!L:L,MATCH($C465,'Policy Characteristics'!$C:$C,0)))</f>
        <v>reduce-downtime.html</v>
      </c>
    </row>
    <row r="466" spans="1:18" s="2" customFormat="1" x14ac:dyDescent="0.3">
      <c r="A466" s="254" t="str">
        <f>IF(ISBLANK(INDEX('Policy Characteristics'!A:A,MATCH($C466,'Policy Characteristics'!$C:$C,0))),"",INDEX('Policy Characteristics'!A:A,MATCH($C466,'Policy Characteristics'!$C:$C,0)))</f>
        <v>Electricity Supply</v>
      </c>
      <c r="B466" s="262" t="str">
        <f>IF(ISBLANK(INDEX('Policy Characteristics'!B:B,MATCH($C466,'Policy Characteristics'!$C:$C,0))),"",INDEX('Policy Characteristics'!B:B,MATCH($C466,'Policy Characteristics'!$C:$C,0)))</f>
        <v>Reduce Plant Downtime</v>
      </c>
      <c r="C466" s="318" t="str">
        <f t="shared" si="26"/>
        <v>Percentage Reduction in Plant Downtime</v>
      </c>
      <c r="D466" s="6" t="s">
        <v>3487</v>
      </c>
      <c r="E466" s="45"/>
      <c r="F466" s="6" t="s">
        <v>3494</v>
      </c>
      <c r="G466" s="6"/>
      <c r="H466" s="47">
        <v>1783</v>
      </c>
      <c r="I466" s="325" t="s">
        <v>44</v>
      </c>
      <c r="J466" s="255" t="str">
        <f>IF(ISBLANK(INDEX('Policy Characteristics'!D:D,MATCH($C466,'Policy Characteristics'!$C:$C,0))),"",INDEX('Policy Characteristics'!D:D,MATCH($C466,'Policy Characteristics'!$C:$C,0)))</f>
        <v>Reduce Plant Downtime</v>
      </c>
      <c r="K466" s="254" t="str">
        <f>IF(ISBLANK(INDEX('Policy Characteristics'!E:E,MATCH($C466,'Policy Characteristics'!$C:$C,0))),"",INDEX('Policy Characteristics'!E:E,MATCH($C466,'Policy Characteristics'!$C:$C,0)))</f>
        <v>elec reduce plant downtime</v>
      </c>
      <c r="L466" s="261">
        <f>IF(ISBLANK(INDEX('Policy Characteristics'!F:F,MATCH($C466,'Policy Characteristics'!$C:$C,0))),"",INDEX('Policy Characteristics'!F:F,MATCH($C466,'Policy Characteristics'!$C:$C,0)))</f>
        <v>0</v>
      </c>
      <c r="M466" s="261">
        <f>IF(ISBLANK(INDEX('Policy Characteristics'!G:G,MATCH($C466,'Policy Characteristics'!$C:$C,0))),"",INDEX('Policy Characteristics'!G:G,MATCH($C466,'Policy Characteristics'!$C:$C,0)))</f>
        <v>0.6</v>
      </c>
      <c r="N466" s="261">
        <f>IF(ISBLANK(INDEX('Policy Characteristics'!H:H,MATCH($C466,'Policy Characteristics'!$C:$C,0))),"",INDEX('Policy Characteristics'!H:H,MATCH($C466,'Policy Characteristics'!$C:$C,0)))</f>
        <v>0.01</v>
      </c>
      <c r="O466" s="254" t="str">
        <f>IF(ISBLANK(INDEX('Policy Characteristics'!I:I,MATCH($C466,'Policy Characteristics'!$C:$C,0))),"",INDEX('Policy Characteristics'!I:I,MATCH($C466,'Policy Characteristics'!$C:$C,0)))</f>
        <v>% reduction in downtime</v>
      </c>
      <c r="P466" s="254" t="str">
        <f>IF(ISBLANK(INDEX('Policy Characteristics'!J:J,MATCH($C466,'Policy Characteristics'!$C:$C,0))),"",INDEX('Policy Characteristics'!J:J,MATCH($C466,'Policy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6" s="254" t="str">
        <f>IF(ISBLANK(INDEX('Policy Characteristics'!K:K,MATCH($C466,'Policy Characteristics'!$C:$C,0))),"",INDEX('Policy Characteristics'!K:K,MATCH($C466,'Policy Characteristics'!$C:$C,0)))</f>
        <v>electricity-sector-main.html#red-downtime</v>
      </c>
      <c r="R466" s="254" t="str">
        <f>IF(ISBLANK(INDEX('Policy Characteristics'!L:L,MATCH($C466,'Policy Characteristics'!$C:$C,0))),"",INDEX('Policy Characteristics'!L:L,MATCH($C466,'Policy Characteristics'!$C:$C,0)))</f>
        <v>reduce-downtime.html</v>
      </c>
    </row>
    <row r="467" spans="1:18" s="2" customFormat="1" x14ac:dyDescent="0.3">
      <c r="A467" s="254" t="str">
        <f>IF(ISBLANK(INDEX('Policy Characteristics'!A:A,MATCH($C467,'Policy Characteristics'!$C:$C,0))),"",INDEX('Policy Characteristics'!A:A,MATCH($C467,'Policy Characteristics'!$C:$C,0)))</f>
        <v>Electricity Supply</v>
      </c>
      <c r="B467" s="262" t="str">
        <f>IF(ISBLANK(INDEX('Policy Characteristics'!B:B,MATCH($C467,'Policy Characteristics'!$C:$C,0))),"",INDEX('Policy Characteristics'!B:B,MATCH($C467,'Policy Characteristics'!$C:$C,0)))</f>
        <v>Reduce Plant Downtime</v>
      </c>
      <c r="C467" s="318" t="str">
        <f t="shared" si="26"/>
        <v>Percentage Reduction in Plant Downtime</v>
      </c>
      <c r="D467" s="6" t="s">
        <v>3490</v>
      </c>
      <c r="E467" s="45"/>
      <c r="F467" s="6" t="s">
        <v>3495</v>
      </c>
      <c r="G467" s="6"/>
      <c r="H467" s="47">
        <v>1784</v>
      </c>
      <c r="I467" s="325" t="s">
        <v>44</v>
      </c>
      <c r="J467" s="255" t="str">
        <f>IF(ISBLANK(INDEX('Policy Characteristics'!D:D,MATCH($C467,'Policy Characteristics'!$C:$C,0))),"",INDEX('Policy Characteristics'!D:D,MATCH($C467,'Policy Characteristics'!$C:$C,0)))</f>
        <v>Reduce Plant Downtime</v>
      </c>
      <c r="K467" s="254" t="str">
        <f>IF(ISBLANK(INDEX('Policy Characteristics'!E:E,MATCH($C467,'Policy Characteristics'!$C:$C,0))),"",INDEX('Policy Characteristics'!E:E,MATCH($C467,'Policy Characteristics'!$C:$C,0)))</f>
        <v>elec reduce plant downtime</v>
      </c>
      <c r="L467" s="261">
        <f>IF(ISBLANK(INDEX('Policy Characteristics'!F:F,MATCH($C467,'Policy Characteristics'!$C:$C,0))),"",INDEX('Policy Characteristics'!F:F,MATCH($C467,'Policy Characteristics'!$C:$C,0)))</f>
        <v>0</v>
      </c>
      <c r="M467" s="261">
        <f>IF(ISBLANK(INDEX('Policy Characteristics'!G:G,MATCH($C467,'Policy Characteristics'!$C:$C,0))),"",INDEX('Policy Characteristics'!G:G,MATCH($C467,'Policy Characteristics'!$C:$C,0)))</f>
        <v>0.6</v>
      </c>
      <c r="N467" s="261">
        <f>IF(ISBLANK(INDEX('Policy Characteristics'!H:H,MATCH($C467,'Policy Characteristics'!$C:$C,0))),"",INDEX('Policy Characteristics'!H:H,MATCH($C467,'Policy Characteristics'!$C:$C,0)))</f>
        <v>0.01</v>
      </c>
      <c r="O467" s="254" t="str">
        <f>IF(ISBLANK(INDEX('Policy Characteristics'!I:I,MATCH($C467,'Policy Characteristics'!$C:$C,0))),"",INDEX('Policy Characteristics'!I:I,MATCH($C467,'Policy Characteristics'!$C:$C,0)))</f>
        <v>% reduction in downtime</v>
      </c>
      <c r="P467" s="254" t="str">
        <f>IF(ISBLANK(INDEX('Policy Characteristics'!J:J,MATCH($C467,'Policy Characteristics'!$C:$C,0))),"",INDEX('Policy Characteristics'!J:J,MATCH($C467,'Policy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7" s="254" t="str">
        <f>IF(ISBLANK(INDEX('Policy Characteristics'!K:K,MATCH($C467,'Policy Characteristics'!$C:$C,0))),"",INDEX('Policy Characteristics'!K:K,MATCH($C467,'Policy Characteristics'!$C:$C,0)))</f>
        <v>electricity-sector-main.html#red-downtime</v>
      </c>
      <c r="R467" s="254" t="str">
        <f>IF(ISBLANK(INDEX('Policy Characteristics'!L:L,MATCH($C467,'Policy Characteristics'!$C:$C,0))),"",INDEX('Policy Characteristics'!L:L,MATCH($C467,'Policy Characteristics'!$C:$C,0)))</f>
        <v>reduce-downtime.html</v>
      </c>
    </row>
    <row r="468" spans="1:18" s="2" customFormat="1" x14ac:dyDescent="0.3">
      <c r="A468" s="254" t="str">
        <f>IF(ISBLANK(INDEX('Policy Characteristics'!A:A,MATCH($C468,'Policy Characteristics'!$C:$C,0))),"",INDEX('Policy Characteristics'!A:A,MATCH($C468,'Policy Characteristics'!$C:$C,0)))</f>
        <v>Electricity Supply</v>
      </c>
      <c r="B468" s="262" t="str">
        <f>IF(ISBLANK(INDEX('Policy Characteristics'!B:B,MATCH($C468,'Policy Characteristics'!$C:$C,0))),"",INDEX('Policy Characteristics'!B:B,MATCH($C468,'Policy Characteristics'!$C:$C,0)))</f>
        <v>Reduce Plant Downtime</v>
      </c>
      <c r="C468" s="318" t="str">
        <f t="shared" si="26"/>
        <v>Percentage Reduction in Plant Downtime</v>
      </c>
      <c r="D468" s="6" t="s">
        <v>3491</v>
      </c>
      <c r="E468" s="45"/>
      <c r="F468" s="6" t="s">
        <v>3496</v>
      </c>
      <c r="G468" s="6"/>
      <c r="H468" s="47">
        <v>1785</v>
      </c>
      <c r="I468" s="325" t="s">
        <v>44</v>
      </c>
      <c r="J468" s="255" t="str">
        <f>IF(ISBLANK(INDEX('Policy Characteristics'!D:D,MATCH($C468,'Policy Characteristics'!$C:$C,0))),"",INDEX('Policy Characteristics'!D:D,MATCH($C468,'Policy Characteristics'!$C:$C,0)))</f>
        <v>Reduce Plant Downtime</v>
      </c>
      <c r="K468" s="254" t="str">
        <f>IF(ISBLANK(INDEX('Policy Characteristics'!E:E,MATCH($C468,'Policy Characteristics'!$C:$C,0))),"",INDEX('Policy Characteristics'!E:E,MATCH($C468,'Policy Characteristics'!$C:$C,0)))</f>
        <v>elec reduce plant downtime</v>
      </c>
      <c r="L468" s="261">
        <f>IF(ISBLANK(INDEX('Policy Characteristics'!F:F,MATCH($C468,'Policy Characteristics'!$C:$C,0))),"",INDEX('Policy Characteristics'!F:F,MATCH($C468,'Policy Characteristics'!$C:$C,0)))</f>
        <v>0</v>
      </c>
      <c r="M468" s="261">
        <f>IF(ISBLANK(INDEX('Policy Characteristics'!G:G,MATCH($C468,'Policy Characteristics'!$C:$C,0))),"",INDEX('Policy Characteristics'!G:G,MATCH($C468,'Policy Characteristics'!$C:$C,0)))</f>
        <v>0.6</v>
      </c>
      <c r="N468" s="261">
        <f>IF(ISBLANK(INDEX('Policy Characteristics'!H:H,MATCH($C468,'Policy Characteristics'!$C:$C,0))),"",INDEX('Policy Characteristics'!H:H,MATCH($C468,'Policy Characteristics'!$C:$C,0)))</f>
        <v>0.01</v>
      </c>
      <c r="O468" s="254" t="str">
        <f>IF(ISBLANK(INDEX('Policy Characteristics'!I:I,MATCH($C468,'Policy Characteristics'!$C:$C,0))),"",INDEX('Policy Characteristics'!I:I,MATCH($C468,'Policy Characteristics'!$C:$C,0)))</f>
        <v>% reduction in downtime</v>
      </c>
      <c r="P468" s="254" t="str">
        <f>IF(ISBLANK(INDEX('Policy Characteristics'!J:J,MATCH($C468,'Policy Characteristics'!$C:$C,0))),"",INDEX('Policy Characteristics'!J:J,MATCH($C468,'Policy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8" s="254" t="str">
        <f>IF(ISBLANK(INDEX('Policy Characteristics'!K:K,MATCH($C468,'Policy Characteristics'!$C:$C,0))),"",INDEX('Policy Characteristics'!K:K,MATCH($C468,'Policy Characteristics'!$C:$C,0)))</f>
        <v>electricity-sector-main.html#red-downtime</v>
      </c>
      <c r="R468" s="254" t="str">
        <f>IF(ISBLANK(INDEX('Policy Characteristics'!L:L,MATCH($C468,'Policy Characteristics'!$C:$C,0))),"",INDEX('Policy Characteristics'!L:L,MATCH($C468,'Policy Characteristics'!$C:$C,0)))</f>
        <v>reduce-downtime.html</v>
      </c>
    </row>
    <row r="469" spans="1:18" s="2" customFormat="1" x14ac:dyDescent="0.3">
      <c r="A469" s="254" t="str">
        <f>IF(ISBLANK(INDEX('Policy Characteristics'!A:A,MATCH($C469,'Policy Characteristics'!$C:$C,0))),"",INDEX('Policy Characteristics'!A:A,MATCH($C469,'Policy Characteristics'!$C:$C,0)))</f>
        <v>Electricity Supply</v>
      </c>
      <c r="B469" s="262" t="str">
        <f>IF(ISBLANK(INDEX('Policy Characteristics'!B:B,MATCH($C469,'Policy Characteristics'!$C:$C,0))),"",INDEX('Policy Characteristics'!B:B,MATCH($C469,'Policy Characteristics'!$C:$C,0)))</f>
        <v>Reduce Plant Downtime</v>
      </c>
      <c r="C469" s="318" t="str">
        <f t="shared" si="26"/>
        <v>Percentage Reduction in Plant Downtime</v>
      </c>
      <c r="D469" s="6" t="s">
        <v>3492</v>
      </c>
      <c r="E469" s="45"/>
      <c r="F469" s="6" t="s">
        <v>3497</v>
      </c>
      <c r="G469" s="6"/>
      <c r="H469" s="47">
        <v>1786</v>
      </c>
      <c r="I469" s="325" t="s">
        <v>44</v>
      </c>
      <c r="J469" s="255" t="str">
        <f>IF(ISBLANK(INDEX('Policy Characteristics'!D:D,MATCH($C469,'Policy Characteristics'!$C:$C,0))),"",INDEX('Policy Characteristics'!D:D,MATCH($C469,'Policy Characteristics'!$C:$C,0)))</f>
        <v>Reduce Plant Downtime</v>
      </c>
      <c r="K469" s="254" t="str">
        <f>IF(ISBLANK(INDEX('Policy Characteristics'!E:E,MATCH($C469,'Policy Characteristics'!$C:$C,0))),"",INDEX('Policy Characteristics'!E:E,MATCH($C469,'Policy Characteristics'!$C:$C,0)))</f>
        <v>elec reduce plant downtime</v>
      </c>
      <c r="L469" s="261">
        <f>IF(ISBLANK(INDEX('Policy Characteristics'!F:F,MATCH($C469,'Policy Characteristics'!$C:$C,0))),"",INDEX('Policy Characteristics'!F:F,MATCH($C469,'Policy Characteristics'!$C:$C,0)))</f>
        <v>0</v>
      </c>
      <c r="M469" s="261">
        <f>IF(ISBLANK(INDEX('Policy Characteristics'!G:G,MATCH($C469,'Policy Characteristics'!$C:$C,0))),"",INDEX('Policy Characteristics'!G:G,MATCH($C469,'Policy Characteristics'!$C:$C,0)))</f>
        <v>0.6</v>
      </c>
      <c r="N469" s="261">
        <f>IF(ISBLANK(INDEX('Policy Characteristics'!H:H,MATCH($C469,'Policy Characteristics'!$C:$C,0))),"",INDEX('Policy Characteristics'!H:H,MATCH($C469,'Policy Characteristics'!$C:$C,0)))</f>
        <v>0.01</v>
      </c>
      <c r="O469" s="254" t="str">
        <f>IF(ISBLANK(INDEX('Policy Characteristics'!I:I,MATCH($C469,'Policy Characteristics'!$C:$C,0))),"",INDEX('Policy Characteristics'!I:I,MATCH($C469,'Policy Characteristics'!$C:$C,0)))</f>
        <v>% reduction in downtime</v>
      </c>
      <c r="P469" s="254" t="str">
        <f>IF(ISBLANK(INDEX('Policy Characteristics'!J:J,MATCH($C469,'Policy Characteristics'!$C:$C,0))),"",INDEX('Policy Characteristics'!J:J,MATCH($C469,'Policy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69" s="254" t="str">
        <f>IF(ISBLANK(INDEX('Policy Characteristics'!K:K,MATCH($C469,'Policy Characteristics'!$C:$C,0))),"",INDEX('Policy Characteristics'!K:K,MATCH($C469,'Policy Characteristics'!$C:$C,0)))</f>
        <v>electricity-sector-main.html#red-downtime</v>
      </c>
      <c r="R469" s="254" t="str">
        <f>IF(ISBLANK(INDEX('Policy Characteristics'!L:L,MATCH($C469,'Policy Characteristics'!$C:$C,0))),"",INDEX('Policy Characteristics'!L:L,MATCH($C469,'Policy Characteristics'!$C:$C,0)))</f>
        <v>reduce-downtime.html</v>
      </c>
    </row>
    <row r="470" spans="1:18" s="2" customFormat="1" x14ac:dyDescent="0.3">
      <c r="A470" s="254" t="str">
        <f>IF(ISBLANK(INDEX('Policy Characteristics'!A:A,MATCH($C470,'Policy Characteristics'!$C:$C,0))),"",INDEX('Policy Characteristics'!A:A,MATCH($C470,'Policy Characteristics'!$C:$C,0)))</f>
        <v>Electricity Supply</v>
      </c>
      <c r="B470" s="262" t="str">
        <f>IF(ISBLANK(INDEX('Policy Characteristics'!B:B,MATCH($C470,'Policy Characteristics'!$C:$C,0))),"",INDEX('Policy Characteristics'!B:B,MATCH($C470,'Policy Characteristics'!$C:$C,0)))</f>
        <v>Reduce Plant Downtime</v>
      </c>
      <c r="C470" s="318" t="str">
        <f t="shared" si="26"/>
        <v>Percentage Reduction in Plant Downtime</v>
      </c>
      <c r="D470" s="6" t="s">
        <v>3493</v>
      </c>
      <c r="E470" s="45"/>
      <c r="F470" s="6" t="s">
        <v>3498</v>
      </c>
      <c r="G470" s="6"/>
      <c r="H470" s="47">
        <v>1787</v>
      </c>
      <c r="I470" s="325" t="s">
        <v>44</v>
      </c>
      <c r="J470" s="255" t="str">
        <f>IF(ISBLANK(INDEX('Policy Characteristics'!D:D,MATCH($C470,'Policy Characteristics'!$C:$C,0))),"",INDEX('Policy Characteristics'!D:D,MATCH($C470,'Policy Characteristics'!$C:$C,0)))</f>
        <v>Reduce Plant Downtime</v>
      </c>
      <c r="K470" s="254" t="str">
        <f>IF(ISBLANK(INDEX('Policy Characteristics'!E:E,MATCH($C470,'Policy Characteristics'!$C:$C,0))),"",INDEX('Policy Characteristics'!E:E,MATCH($C470,'Policy Characteristics'!$C:$C,0)))</f>
        <v>elec reduce plant downtime</v>
      </c>
      <c r="L470" s="261">
        <f>IF(ISBLANK(INDEX('Policy Characteristics'!F:F,MATCH($C470,'Policy Characteristics'!$C:$C,0))),"",INDEX('Policy Characteristics'!F:F,MATCH($C470,'Policy Characteristics'!$C:$C,0)))</f>
        <v>0</v>
      </c>
      <c r="M470" s="261">
        <f>IF(ISBLANK(INDEX('Policy Characteristics'!G:G,MATCH($C470,'Policy Characteristics'!$C:$C,0))),"",INDEX('Policy Characteristics'!G:G,MATCH($C470,'Policy Characteristics'!$C:$C,0)))</f>
        <v>0.6</v>
      </c>
      <c r="N470" s="261">
        <f>IF(ISBLANK(INDEX('Policy Characteristics'!H:H,MATCH($C470,'Policy Characteristics'!$C:$C,0))),"",INDEX('Policy Characteristics'!H:H,MATCH($C470,'Policy Characteristics'!$C:$C,0)))</f>
        <v>0.01</v>
      </c>
      <c r="O470" s="254" t="str">
        <f>IF(ISBLANK(INDEX('Policy Characteristics'!I:I,MATCH($C470,'Policy Characteristics'!$C:$C,0))),"",INDEX('Policy Characteristics'!I:I,MATCH($C470,'Policy Characteristics'!$C:$C,0)))</f>
        <v>% reduction in downtime</v>
      </c>
      <c r="P470" s="254" t="str">
        <f>IF(ISBLANK(INDEX('Policy Characteristics'!J:J,MATCH($C470,'Policy Characteristics'!$C:$C,0))),"",INDEX('Policy Characteristics'!J:J,MATCH($C470,'Policy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0" s="254" t="str">
        <f>IF(ISBLANK(INDEX('Policy Characteristics'!K:K,MATCH($C470,'Policy Characteristics'!$C:$C,0))),"",INDEX('Policy Characteristics'!K:K,MATCH($C470,'Policy Characteristics'!$C:$C,0)))</f>
        <v>electricity-sector-main.html#red-downtime</v>
      </c>
      <c r="R470" s="254" t="str">
        <f>IF(ISBLANK(INDEX('Policy Characteristics'!L:L,MATCH($C470,'Policy Characteristics'!$C:$C,0))),"",INDEX('Policy Characteristics'!L:L,MATCH($C470,'Policy Characteristics'!$C:$C,0)))</f>
        <v>reduce-downtime.html</v>
      </c>
    </row>
    <row r="471" spans="1:18" s="2" customFormat="1" x14ac:dyDescent="0.3">
      <c r="A471" s="254" t="str">
        <f>IF(ISBLANK(INDEX('Policy Characteristics'!A:A,MATCH($C471,'Policy Characteristics'!$C:$C,0))),"",INDEX('Policy Characteristics'!A:A,MATCH($C471,'Policy Characteristics'!$C:$C,0)))</f>
        <v>Electricity Supply</v>
      </c>
      <c r="B471" s="262" t="str">
        <f>IF(ISBLANK(INDEX('Policy Characteristics'!B:B,MATCH($C471,'Policy Characteristics'!$C:$C,0))),"",INDEX('Policy Characteristics'!B:B,MATCH($C471,'Policy Characteristics'!$C:$C,0)))</f>
        <v>Reduce Plant Downtime</v>
      </c>
      <c r="C471" s="318" t="str">
        <f t="shared" si="26"/>
        <v>Percentage Reduction in Plant Downtime</v>
      </c>
      <c r="D471" s="6" t="s">
        <v>3582</v>
      </c>
      <c r="E471" s="45"/>
      <c r="F471" s="6" t="s">
        <v>3580</v>
      </c>
      <c r="G471" s="6"/>
      <c r="H471" s="47">
        <v>1788</v>
      </c>
      <c r="I471" s="325" t="s">
        <v>44</v>
      </c>
      <c r="J471" s="255" t="str">
        <f>IF(ISBLANK(INDEX('Policy Characteristics'!D:D,MATCH($C471,'Policy Characteristics'!$C:$C,0))),"",INDEX('Policy Characteristics'!D:D,MATCH($C471,'Policy Characteristics'!$C:$C,0)))</f>
        <v>Reduce Plant Downtime</v>
      </c>
      <c r="K471" s="254" t="str">
        <f>IF(ISBLANK(INDEX('Policy Characteristics'!E:E,MATCH($C471,'Policy Characteristics'!$C:$C,0))),"",INDEX('Policy Characteristics'!E:E,MATCH($C471,'Policy Characteristics'!$C:$C,0)))</f>
        <v>elec reduce plant downtime</v>
      </c>
      <c r="L471" s="261">
        <f>IF(ISBLANK(INDEX('Policy Characteristics'!F:F,MATCH($C471,'Policy Characteristics'!$C:$C,0))),"",INDEX('Policy Characteristics'!F:F,MATCH($C471,'Policy Characteristics'!$C:$C,0)))</f>
        <v>0</v>
      </c>
      <c r="M471" s="261">
        <f>IF(ISBLANK(INDEX('Policy Characteristics'!G:G,MATCH($C471,'Policy Characteristics'!$C:$C,0))),"",INDEX('Policy Characteristics'!G:G,MATCH($C471,'Policy Characteristics'!$C:$C,0)))</f>
        <v>0.6</v>
      </c>
      <c r="N471" s="261">
        <f>IF(ISBLANK(INDEX('Policy Characteristics'!H:H,MATCH($C471,'Policy Characteristics'!$C:$C,0))),"",INDEX('Policy Characteristics'!H:H,MATCH($C471,'Policy Characteristics'!$C:$C,0)))</f>
        <v>0.01</v>
      </c>
      <c r="O471" s="254" t="str">
        <f>IF(ISBLANK(INDEX('Policy Characteristics'!I:I,MATCH($C471,'Policy Characteristics'!$C:$C,0))),"",INDEX('Policy Characteristics'!I:I,MATCH($C471,'Policy Characteristics'!$C:$C,0)))</f>
        <v>% reduction in downtime</v>
      </c>
      <c r="P471" s="254" t="str">
        <f>IF(ISBLANK(INDEX('Policy Characteristics'!J:J,MATCH($C471,'Policy Characteristics'!$C:$C,0))),"",INDEX('Policy Characteristics'!J:J,MATCH($C471,'Policy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1" s="254" t="str">
        <f>IF(ISBLANK(INDEX('Policy Characteristics'!K:K,MATCH($C471,'Policy Characteristics'!$C:$C,0))),"",INDEX('Policy Characteristics'!K:K,MATCH($C471,'Policy Characteristics'!$C:$C,0)))</f>
        <v>electricity-sector-main.html#red-downtime</v>
      </c>
      <c r="R471" s="254" t="str">
        <f>IF(ISBLANK(INDEX('Policy Characteristics'!L:L,MATCH($C471,'Policy Characteristics'!$C:$C,0))),"",INDEX('Policy Characteristics'!L:L,MATCH($C471,'Policy Characteristics'!$C:$C,0)))</f>
        <v>reduce-downtime.html</v>
      </c>
    </row>
    <row r="472" spans="1:18" s="2" customFormat="1" x14ac:dyDescent="0.3">
      <c r="A472" s="254" t="str">
        <f>IF(ISBLANK(INDEX('Policy Characteristics'!A:A,MATCH($C472,'Policy Characteristics'!$C:$C,0))),"",INDEX('Policy Characteristics'!A:A,MATCH($C472,'Policy Characteristics'!$C:$C,0)))</f>
        <v>Electricity Supply</v>
      </c>
      <c r="B472" s="262" t="str">
        <f>IF(ISBLANK(INDEX('Policy Characteristics'!B:B,MATCH($C472,'Policy Characteristics'!$C:$C,0))),"",INDEX('Policy Characteristics'!B:B,MATCH($C472,'Policy Characteristics'!$C:$C,0)))</f>
        <v>Reduce Plant Downtime</v>
      </c>
      <c r="C472" s="318" t="str">
        <f t="shared" si="26"/>
        <v>Percentage Reduction in Plant Downtime</v>
      </c>
      <c r="D472" s="6" t="s">
        <v>3583</v>
      </c>
      <c r="E472" s="45"/>
      <c r="F472" s="6" t="s">
        <v>3581</v>
      </c>
      <c r="G472" s="6"/>
      <c r="H472" s="47">
        <v>2242</v>
      </c>
      <c r="I472" s="325" t="s">
        <v>44</v>
      </c>
      <c r="J472" s="255" t="str">
        <f>IF(ISBLANK(INDEX('Policy Characteristics'!D:D,MATCH($C472,'Policy Characteristics'!$C:$C,0))),"",INDEX('Policy Characteristics'!D:D,MATCH($C472,'Policy Characteristics'!$C:$C,0)))</f>
        <v>Reduce Plant Downtime</v>
      </c>
      <c r="K472" s="254" t="str">
        <f>IF(ISBLANK(INDEX('Policy Characteristics'!E:E,MATCH($C472,'Policy Characteristics'!$C:$C,0))),"",INDEX('Policy Characteristics'!E:E,MATCH($C472,'Policy Characteristics'!$C:$C,0)))</f>
        <v>elec reduce plant downtime</v>
      </c>
      <c r="L472" s="261">
        <f>IF(ISBLANK(INDEX('Policy Characteristics'!F:F,MATCH($C472,'Policy Characteristics'!$C:$C,0))),"",INDEX('Policy Characteristics'!F:F,MATCH($C472,'Policy Characteristics'!$C:$C,0)))</f>
        <v>0</v>
      </c>
      <c r="M472" s="261">
        <f>IF(ISBLANK(INDEX('Policy Characteristics'!G:G,MATCH($C472,'Policy Characteristics'!$C:$C,0))),"",INDEX('Policy Characteristics'!G:G,MATCH($C472,'Policy Characteristics'!$C:$C,0)))</f>
        <v>0.6</v>
      </c>
      <c r="N472" s="261">
        <f>IF(ISBLANK(INDEX('Policy Characteristics'!H:H,MATCH($C472,'Policy Characteristics'!$C:$C,0))),"",INDEX('Policy Characteristics'!H:H,MATCH($C472,'Policy Characteristics'!$C:$C,0)))</f>
        <v>0.01</v>
      </c>
      <c r="O472" s="254" t="str">
        <f>IF(ISBLANK(INDEX('Policy Characteristics'!I:I,MATCH($C472,'Policy Characteristics'!$C:$C,0))),"",INDEX('Policy Characteristics'!I:I,MATCH($C472,'Policy Characteristics'!$C:$C,0)))</f>
        <v>% reduction in downtime</v>
      </c>
      <c r="P472" s="254" t="str">
        <f>IF(ISBLANK(INDEX('Policy Characteristics'!J:J,MATCH($C472,'Policy Characteristics'!$C:$C,0))),"",INDEX('Policy Characteristics'!J:J,MATCH($C472,'Policy Characteristics'!$C:$C,0)))</f>
        <v>**Description:** This policy specifies the reduction in downtime (time spent not generating power) for plants of the selected type(s) that exist at the start of the model run. This policy increases these plants' target capacity factors, but it does not force them to be dispatched if it would be uneconomical to do so. // **Guidance for setting values:** // **Natural Gas Combined Cycle:** Preexisting natural gas nonpeaker plants have an average capacity factor of 48%.  As part of the proposed Clean Power Plan, the EPA assumed that nonpeaking natural gas plants could be reach a 75% capacity factor (ramping up to that value over a number of years).  This would represent a 49% reduction in downtime. // **Wind:** Availability of wind cannot be changed by policy, so the main method of increasing capacity factor is technological improvement of wind turbines.  The National Renewable Energy Laboratory estimates that "near-future" wind technology could increase capacity factors by about 10 percentage points in most parts of the country.  The average capacity factor of new turbines in the BAU case is roughly 47%, so an improvement to 57% might be represented as an 19% setting of this policy lever. // **Solar PV:** Availability of sunlight cannot be changed by policy, so the main method of improvement is increasing the efficiency of solar cells.  Typical crystalline silicon cells today have efficiencies of 20-25%, while today's best multi-junction cells (used primarily in concentrator PV and aerospace applications) have efficiencies of 40-45%.  If the typical cells installed in 2050 will have efficiencies similar to today's best multi-junction cells, this might be represented as a 26% setting of this policy lever.</v>
      </c>
      <c r="Q472" s="254" t="str">
        <f>IF(ISBLANK(INDEX('Policy Characteristics'!K:K,MATCH($C472,'Policy Characteristics'!$C:$C,0))),"",INDEX('Policy Characteristics'!K:K,MATCH($C472,'Policy Characteristics'!$C:$C,0)))</f>
        <v>electricity-sector-main.html#red-downtime</v>
      </c>
      <c r="R472" s="254"/>
    </row>
    <row r="473" spans="1:18" s="2" customFormat="1" x14ac:dyDescent="0.3">
      <c r="A473" s="254" t="str">
        <f>IF(ISBLANK(INDEX('Policy Characteristics'!A:A,MATCH($C473,'Policy Characteristics'!$C:$C,0))),"",INDEX('Policy Characteristics'!A:A,MATCH($C473,'Policy Characteristics'!$C:$C,0)))</f>
        <v>Electricity Supply</v>
      </c>
      <c r="B473" s="262" t="str">
        <f>IF(ISBLANK(INDEX('Policy Characteristics'!B:B,MATCH($C473,'Policy Characteristics'!$C:$C,0))),"",INDEX('Policy Characteristics'!B:B,MATCH($C473,'Policy Characteristics'!$C:$C,0)))</f>
        <v>Reduce Soft Costs</v>
      </c>
      <c r="C473" s="319" t="s">
        <v>2323</v>
      </c>
      <c r="D473" s="6" t="s">
        <v>448</v>
      </c>
      <c r="E473" s="6"/>
      <c r="F473" s="6" t="s">
        <v>451</v>
      </c>
      <c r="G473" s="6"/>
      <c r="H473" s="47">
        <v>194</v>
      </c>
      <c r="I473" s="325" t="s">
        <v>43</v>
      </c>
      <c r="J473" s="255" t="str">
        <f>IF(ISBLANK(INDEX('Policy Characteristics'!D:D,MATCH($C473,'Policy Characteristics'!$C:$C,0))),"",INDEX('Policy Characteristics'!D:D,MATCH($C473,'Policy Characteristics'!$C:$C,0)))</f>
        <v>Reduce Soft Costs</v>
      </c>
      <c r="K473" s="254" t="str">
        <f>IF(ISBLANK(INDEX('Policy Characteristics'!E:E,MATCH($C473,'Policy Characteristics'!$C:$C,0))),"",INDEX('Policy Characteristics'!E:E,MATCH($C473,'Policy Characteristics'!$C:$C,0)))</f>
        <v>elec reduce soft costs</v>
      </c>
      <c r="L473" s="261">
        <f>IF(ISBLANK(INDEX('Policy Characteristics'!F:F,MATCH($C473,'Policy Characteristics'!$C:$C,0))),"",INDEX('Policy Characteristics'!F:F,MATCH($C473,'Policy Characteristics'!$C:$C,0)))</f>
        <v>0</v>
      </c>
      <c r="M473" s="261">
        <f>IF(ISBLANK(INDEX('Policy Characteristics'!G:G,MATCH($C473,'Policy Characteristics'!$C:$C,0))),"",INDEX('Policy Characteristics'!G:G,MATCH($C473,'Policy Characteristics'!$C:$C,0)))</f>
        <v>0.9</v>
      </c>
      <c r="N473" s="261">
        <f>IF(ISBLANK(INDEX('Policy Characteristics'!H:H,MATCH($C473,'Policy Characteristics'!$C:$C,0))),"",INDEX('Policy Characteristics'!H:H,MATCH($C473,'Policy Characteristics'!$C:$C,0)))</f>
        <v>0.01</v>
      </c>
      <c r="O473" s="254" t="str">
        <f>IF(ISBLANK(INDEX('Policy Characteristics'!I:I,MATCH($C473,'Policy Characteristics'!$C:$C,0))),"",INDEX('Policy Characteristics'!I:I,MATCH($C473,'Policy Characteristics'!$C:$C,0)))</f>
        <v>% reduction in soft costs</v>
      </c>
      <c r="P473" s="254" t="str">
        <f>IF(ISBLANK(INDEX('Policy Characteristics'!J:J,MATCH($C473,'Policy Characteristics'!$C:$C,0))),"",INDEX('Policy Characteristics'!J:J,MATCH($C473,'Policy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3" s="254" t="str">
        <f>IF(ISBLANK(INDEX('Policy Characteristics'!K:K,MATCH($C473,'Policy Characteristics'!$C:$C,0))),"",INDEX('Policy Characteristics'!K:K,MATCH($C473,'Policy Characteristics'!$C:$C,0)))</f>
        <v>endogenous-learning.html#red-soft-costs</v>
      </c>
      <c r="R473" s="254" t="str">
        <f>IF(ISBLANK(INDEX('Policy Characteristics'!L:L,MATCH($C473,'Policy Characteristics'!$C:$C,0))),"",INDEX('Policy Characteristics'!L:L,MATCH($C473,'Policy Characteristics'!$C:$C,0)))</f>
        <v>reduce-soft-costs.html</v>
      </c>
    </row>
    <row r="474" spans="1:18" s="2" customFormat="1" x14ac:dyDescent="0.3">
      <c r="A474" s="254" t="str">
        <f>IF(ISBLANK(INDEX('Policy Characteristics'!A:A,MATCH($C474,'Policy Characteristics'!$C:$C,0))),"",INDEX('Policy Characteristics'!A:A,MATCH($C474,'Policy Characteristics'!$C:$C,0)))</f>
        <v>Electricity Supply</v>
      </c>
      <c r="B474" s="262" t="str">
        <f>IF(ISBLANK(INDEX('Policy Characteristics'!B:B,MATCH($C474,'Policy Characteristics'!$C:$C,0))),"",INDEX('Policy Characteristics'!B:B,MATCH($C474,'Policy Characteristics'!$C:$C,0)))</f>
        <v>Reduce Soft Costs</v>
      </c>
      <c r="C474" s="318" t="str">
        <f t="shared" ref="C474:C475" si="27">C$473</f>
        <v>Percent Reduction in Soft Costs of Capacity Construction</v>
      </c>
      <c r="D474" s="6" t="s">
        <v>78</v>
      </c>
      <c r="E474" s="6"/>
      <c r="F474" s="6" t="s">
        <v>90</v>
      </c>
      <c r="G474" s="6"/>
      <c r="H474" s="47">
        <v>195</v>
      </c>
      <c r="I474" s="325" t="s">
        <v>43</v>
      </c>
      <c r="J474" s="255" t="str">
        <f>IF(ISBLANK(INDEX('Policy Characteristics'!D:D,MATCH($C474,'Policy Characteristics'!$C:$C,0))),"",INDEX('Policy Characteristics'!D:D,MATCH($C474,'Policy Characteristics'!$C:$C,0)))</f>
        <v>Reduce Soft Costs</v>
      </c>
      <c r="K474" s="254" t="str">
        <f>IF(ISBLANK(INDEX('Policy Characteristics'!E:E,MATCH($C474,'Policy Characteristics'!$C:$C,0))),"",INDEX('Policy Characteristics'!E:E,MATCH($C474,'Policy Characteristics'!$C:$C,0)))</f>
        <v>elec reduce soft costs</v>
      </c>
      <c r="L474" s="261">
        <f>IF(ISBLANK(INDEX('Policy Characteristics'!F:F,MATCH($C474,'Policy Characteristics'!$C:$C,0))),"",INDEX('Policy Characteristics'!F:F,MATCH($C474,'Policy Characteristics'!$C:$C,0)))</f>
        <v>0</v>
      </c>
      <c r="M474" s="261">
        <f>IF(ISBLANK(INDEX('Policy Characteristics'!G:G,MATCH($C474,'Policy Characteristics'!$C:$C,0))),"",INDEX('Policy Characteristics'!G:G,MATCH($C474,'Policy Characteristics'!$C:$C,0)))</f>
        <v>0.9</v>
      </c>
      <c r="N474" s="261">
        <f>IF(ISBLANK(INDEX('Policy Characteristics'!H:H,MATCH($C474,'Policy Characteristics'!$C:$C,0))),"",INDEX('Policy Characteristics'!H:H,MATCH($C474,'Policy Characteristics'!$C:$C,0)))</f>
        <v>0.01</v>
      </c>
      <c r="O474" s="254" t="str">
        <f>IF(ISBLANK(INDEX('Policy Characteristics'!I:I,MATCH($C474,'Policy Characteristics'!$C:$C,0))),"",INDEX('Policy Characteristics'!I:I,MATCH($C474,'Policy Characteristics'!$C:$C,0)))</f>
        <v>% reduction in soft costs</v>
      </c>
      <c r="P474" s="254" t="str">
        <f>IF(ISBLANK(INDEX('Policy Characteristics'!J:J,MATCH($C474,'Policy Characteristics'!$C:$C,0))),"",INDEX('Policy Characteristics'!J:J,MATCH($C474,'Policy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4" s="254" t="str">
        <f>IF(ISBLANK(INDEX('Policy Characteristics'!K:K,MATCH($C474,'Policy Characteristics'!$C:$C,0))),"",INDEX('Policy Characteristics'!K:K,MATCH($C474,'Policy Characteristics'!$C:$C,0)))</f>
        <v>endogenous-learning.html#red-soft-costs</v>
      </c>
      <c r="R474" s="254" t="str">
        <f>IF(ISBLANK(INDEX('Policy Characteristics'!L:L,MATCH($C474,'Policy Characteristics'!$C:$C,0))),"",INDEX('Policy Characteristics'!L:L,MATCH($C474,'Policy Characteristics'!$C:$C,0)))</f>
        <v>reduce-soft-costs.html</v>
      </c>
    </row>
    <row r="475" spans="1:18" s="2" customFormat="1" x14ac:dyDescent="0.3">
      <c r="A475" s="254" t="str">
        <f>IF(ISBLANK(INDEX('Policy Characteristics'!A:A,MATCH($C475,'Policy Characteristics'!$C:$C,0))),"",INDEX('Policy Characteristics'!A:A,MATCH($C475,'Policy Characteristics'!$C:$C,0)))</f>
        <v>Electricity Supply</v>
      </c>
      <c r="B475" s="262" t="str">
        <f>IF(ISBLANK(INDEX('Policy Characteristics'!B:B,MATCH($C475,'Policy Characteristics'!$C:$C,0))),"",INDEX('Policy Characteristics'!B:B,MATCH($C475,'Policy Characteristics'!$C:$C,0)))</f>
        <v>Reduce Soft Costs</v>
      </c>
      <c r="C475" s="318" t="str">
        <f t="shared" si="27"/>
        <v>Percent Reduction in Soft Costs of Capacity Construction</v>
      </c>
      <c r="D475" s="6" t="s">
        <v>453</v>
      </c>
      <c r="E475" s="6"/>
      <c r="F475" s="6" t="s">
        <v>454</v>
      </c>
      <c r="G475" s="6"/>
      <c r="H475" s="47">
        <v>196</v>
      </c>
      <c r="I475" s="325" t="s">
        <v>43</v>
      </c>
      <c r="J475" s="255" t="str">
        <f>IF(ISBLANK(INDEX('Policy Characteristics'!D:D,MATCH($C475,'Policy Characteristics'!$C:$C,0))),"",INDEX('Policy Characteristics'!D:D,MATCH($C475,'Policy Characteristics'!$C:$C,0)))</f>
        <v>Reduce Soft Costs</v>
      </c>
      <c r="K475" s="254" t="str">
        <f>IF(ISBLANK(INDEX('Policy Characteristics'!E:E,MATCH($C475,'Policy Characteristics'!$C:$C,0))),"",INDEX('Policy Characteristics'!E:E,MATCH($C475,'Policy Characteristics'!$C:$C,0)))</f>
        <v>elec reduce soft costs</v>
      </c>
      <c r="L475" s="261">
        <f>IF(ISBLANK(INDEX('Policy Characteristics'!F:F,MATCH($C475,'Policy Characteristics'!$C:$C,0))),"",INDEX('Policy Characteristics'!F:F,MATCH($C475,'Policy Characteristics'!$C:$C,0)))</f>
        <v>0</v>
      </c>
      <c r="M475" s="261">
        <f>IF(ISBLANK(INDEX('Policy Characteristics'!G:G,MATCH($C475,'Policy Characteristics'!$C:$C,0))),"",INDEX('Policy Characteristics'!G:G,MATCH($C475,'Policy Characteristics'!$C:$C,0)))</f>
        <v>0.9</v>
      </c>
      <c r="N475" s="261">
        <f>IF(ISBLANK(INDEX('Policy Characteristics'!H:H,MATCH($C475,'Policy Characteristics'!$C:$C,0))),"",INDEX('Policy Characteristics'!H:H,MATCH($C475,'Policy Characteristics'!$C:$C,0)))</f>
        <v>0.01</v>
      </c>
      <c r="O475" s="254" t="str">
        <f>IF(ISBLANK(INDEX('Policy Characteristics'!I:I,MATCH($C475,'Policy Characteristics'!$C:$C,0))),"",INDEX('Policy Characteristics'!I:I,MATCH($C475,'Policy Characteristics'!$C:$C,0)))</f>
        <v>% reduction in soft costs</v>
      </c>
      <c r="P475" s="254" t="str">
        <f>IF(ISBLANK(INDEX('Policy Characteristics'!J:J,MATCH($C475,'Policy Characteristics'!$C:$C,0))),"",INDEX('Policy Characteristics'!J:J,MATCH($C475,'Policy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5" s="254" t="str">
        <f>IF(ISBLANK(INDEX('Policy Characteristics'!K:K,MATCH($C475,'Policy Characteristics'!$C:$C,0))),"",INDEX('Policy Characteristics'!K:K,MATCH($C475,'Policy Characteristics'!$C:$C,0)))</f>
        <v>endogenous-learning.html#red-soft-costs</v>
      </c>
      <c r="R475" s="254" t="str">
        <f>IF(ISBLANK(INDEX('Policy Characteristics'!L:L,MATCH($C475,'Policy Characteristics'!$C:$C,0))),"",INDEX('Policy Characteristics'!L:L,MATCH($C475,'Policy Characteristics'!$C:$C,0)))</f>
        <v>reduce-soft-costs.html</v>
      </c>
    </row>
    <row r="476" spans="1:18" s="2" customFormat="1" x14ac:dyDescent="0.3">
      <c r="A476" s="254" t="str">
        <f>IF(ISBLANK(INDEX('Policy Characteristics'!A:A,MATCH($C476,'Policy Characteristics'!$C:$C,0))),"",INDEX('Policy Characteristics'!A:A,MATCH($C476,'Policy Characteristics'!$C:$C,0)))</f>
        <v>Electricity Supply</v>
      </c>
      <c r="B476" s="262" t="str">
        <f>IF(ISBLANK(INDEX('Policy Characteristics'!B:B,MATCH($C476,'Policy Characteristics'!$C:$C,0))),"",INDEX('Policy Characteristics'!B:B,MATCH($C476,'Policy Characteristics'!$C:$C,0)))</f>
        <v>Reduce Transmission &amp; Distribution Losses</v>
      </c>
      <c r="C476" s="317" t="s">
        <v>281</v>
      </c>
      <c r="D476" s="6"/>
      <c r="E476" s="6"/>
      <c r="F476" s="6"/>
      <c r="G476" s="6"/>
      <c r="H476" s="47">
        <v>145</v>
      </c>
      <c r="I476" s="325" t="s">
        <v>43</v>
      </c>
      <c r="J476" s="255" t="str">
        <f>IF(ISBLANK(INDEX('Policy Characteristics'!D:D,MATCH($C476,'Policy Characteristics'!$C:$C,0))),"",INDEX('Policy Characteristics'!D:D,MATCH($C476,'Policy Characteristics'!$C:$C,0)))</f>
        <v>Reduce T&amp;D Losses</v>
      </c>
      <c r="K476" s="254" t="str">
        <f>IF(ISBLANK(INDEX('Policy Characteristics'!E:E,MATCH($C476,'Policy Characteristics'!$C:$C,0))),"",INDEX('Policy Characteristics'!E:E,MATCH($C476,'Policy Characteristics'!$C:$C,0)))</f>
        <v>elec avoid TND loss</v>
      </c>
      <c r="L476" s="261">
        <f>IF(ISBLANK(INDEX('Policy Characteristics'!F:F,MATCH($C476,'Policy Characteristics'!$C:$C,0))),"",INDEX('Policy Characteristics'!F:F,MATCH($C476,'Policy Characteristics'!$C:$C,0)))</f>
        <v>0</v>
      </c>
      <c r="M476" s="261">
        <f>IF(ISBLANK(INDEX('Policy Characteristics'!G:G,MATCH($C476,'Policy Characteristics'!$C:$C,0))),"",INDEX('Policy Characteristics'!G:G,MATCH($C476,'Policy Characteristics'!$C:$C,0)))</f>
        <v>0.4</v>
      </c>
      <c r="N476" s="261">
        <f>IF(ISBLANK(INDEX('Policy Characteristics'!H:H,MATCH($C476,'Policy Characteristics'!$C:$C,0))),"",INDEX('Policy Characteristics'!H:H,MATCH($C476,'Policy Characteristics'!$C:$C,0)))</f>
        <v>0.01</v>
      </c>
      <c r="O476" s="254" t="str">
        <f>IF(ISBLANK(INDEX('Policy Characteristics'!I:I,MATCH($C476,'Policy Characteristics'!$C:$C,0))),"",INDEX('Policy Characteristics'!I:I,MATCH($C476,'Policy Characteristics'!$C:$C,0)))</f>
        <v>% of losses avoided</v>
      </c>
      <c r="P476" s="254" t="str">
        <f>IF(ISBLANK(INDEX('Policy Characteristics'!J:J,MATCH($C476,'Policy Characteristics'!$C:$C,0))),"",INDEX('Policy Characteristics'!J:J,MATCH($C476,'Policy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6" s="254" t="str">
        <f>IF(ISBLANK(INDEX('Policy Characteristics'!K:K,MATCH($C476,'Policy Characteristics'!$C:$C,0))),"",INDEX('Policy Characteristics'!K:K,MATCH($C476,'Policy Characteristics'!$C:$C,0)))</f>
        <v>electricity-sector-main.html#red-tnd-losses</v>
      </c>
      <c r="R476" s="254" t="str">
        <f>IF(ISBLANK(INDEX('Policy Characteristics'!L:L,MATCH($C476,'Policy Characteristics'!$C:$C,0))),"",INDEX('Policy Characteristics'!L:L,MATCH($C476,'Policy Characteristics'!$C:$C,0)))</f>
        <v>reduce-tnd-losses.html</v>
      </c>
    </row>
    <row r="477" spans="1:18" s="2" customFormat="1" x14ac:dyDescent="0.3">
      <c r="A477" s="254" t="str">
        <f>IF(ISBLANK(INDEX('Policy Characteristics'!A:A,MATCH($C477,'Policy Characteristics'!$C:$C,0))),"",INDEX('Policy Characteristics'!A:A,MATCH($C477,'Policy Characteristics'!$C:$C,0)))</f>
        <v>Electricity Supply</v>
      </c>
      <c r="B477" s="262" t="str">
        <f>IF(ISBLANK(INDEX('Policy Characteristics'!B:B,MATCH($C477,'Policy Characteristics'!$C:$C,0))),"",INDEX('Policy Characteristics'!B:B,MATCH($C477,'Policy Characteristics'!$C:$C,0)))</f>
        <v>Subsidy for Capacity Construction</v>
      </c>
      <c r="C477" s="317" t="s">
        <v>2788</v>
      </c>
      <c r="D477" s="45" t="s">
        <v>447</v>
      </c>
      <c r="E477" s="45"/>
      <c r="F477" s="45" t="s">
        <v>446</v>
      </c>
      <c r="G477" s="6"/>
      <c r="H477" s="47">
        <v>691</v>
      </c>
      <c r="I477" s="325" t="s">
        <v>44</v>
      </c>
      <c r="J477" s="255" t="str">
        <f>IF(ISBLANK(INDEX('Policy Characteristics'!D:D,MATCH($C477,'Policy Characteristics'!$C:$C,0))),"",INDEX('Policy Characteristics'!D:D,MATCH($C477,'Policy Characteristics'!$C:$C,0)))</f>
        <v>Subsidy for Capacity Construction</v>
      </c>
      <c r="K477" s="254" t="str">
        <f>IF(ISBLANK(INDEX('Policy Characteristics'!E:E,MATCH($C477,'Policy Characteristics'!$C:$C,0))),"",INDEX('Policy Characteristics'!E:E,MATCH($C477,'Policy Characteristics'!$C:$C,0)))</f>
        <v>elec capacity construction subsidy</v>
      </c>
      <c r="L477" s="261">
        <f>IF(ISBLANK(INDEX('Policy Characteristics'!F:F,MATCH($C477,'Policy Characteristics'!$C:$C,0))),"",INDEX('Policy Characteristics'!F:F,MATCH($C477,'Policy Characteristics'!$C:$C,0)))</f>
        <v>0</v>
      </c>
      <c r="M477" s="261">
        <f>IF(ISBLANK(INDEX('Policy Characteristics'!G:G,MATCH($C477,'Policy Characteristics'!$C:$C,0))),"",INDEX('Policy Characteristics'!G:G,MATCH($C477,'Policy Characteristics'!$C:$C,0)))</f>
        <v>0.95</v>
      </c>
      <c r="N477" s="261">
        <f>IF(ISBLANK(INDEX('Policy Characteristics'!H:H,MATCH($C477,'Policy Characteristics'!$C:$C,0))),"",INDEX('Policy Characteristics'!H:H,MATCH($C477,'Policy Characteristics'!$C:$C,0)))</f>
        <v>0.01</v>
      </c>
      <c r="O477" s="254" t="str">
        <f>IF(ISBLANK(INDEX('Policy Characteristics'!I:I,MATCH($C477,'Policy Characteristics'!$C:$C,0))),"",INDEX('Policy Characteristics'!I:I,MATCH($C477,'Policy Characteristics'!$C:$C,0)))</f>
        <v>% of construction cost</v>
      </c>
      <c r="P477" s="254" t="str">
        <f>IF(ISBLANK(INDEX('Policy Characteristics'!J:J,MATCH($C477,'Policy Characteristics'!$C:$C,0))),"",INDEX('Policy Characteristics'!J:J,MATCH($C477,'Policy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77" s="254" t="str">
        <f>IF(ISBLANK(INDEX('Policy Characteristics'!K:K,MATCH($C477,'Policy Characteristics'!$C:$C,0))),"",INDEX('Policy Characteristics'!K:K,MATCH($C477,'Policy Characteristics'!$C:$C,0)))</f>
        <v>electricity-sector-main.html#subsidies</v>
      </c>
      <c r="R477" s="254" t="str">
        <f>IF(ISBLANK(INDEX('Policy Characteristics'!L:L,MATCH($C477,'Policy Characteristics'!$C:$C,0))),"",INDEX('Policy Characteristics'!L:L,MATCH($C477,'Policy Characteristics'!$C:$C,0)))</f>
        <v/>
      </c>
    </row>
    <row r="478" spans="1:18" s="2" customFormat="1" x14ac:dyDescent="0.3">
      <c r="A478" s="254" t="str">
        <f>IF(ISBLANK(INDEX('Policy Characteristics'!A:A,MATCH($C478,'Policy Characteristics'!$C:$C,0))),"",INDEX('Policy Characteristics'!A:A,MATCH($C478,'Policy Characteristics'!$C:$C,0)))</f>
        <v>Electricity Supply</v>
      </c>
      <c r="B478" s="262" t="str">
        <f>IF(ISBLANK(INDEX('Policy Characteristics'!B:B,MATCH($C478,'Policy Characteristics'!$C:$C,0))),"",INDEX('Policy Characteristics'!B:B,MATCH($C478,'Policy Characteristics'!$C:$C,0)))</f>
        <v>Subsidy for Capacity Construction</v>
      </c>
      <c r="C478" s="318" t="str">
        <f>C$477</f>
        <v>Perc Subsidy for Elec Capacity Construction</v>
      </c>
      <c r="D478" s="6" t="s">
        <v>3488</v>
      </c>
      <c r="E478" s="45"/>
      <c r="F478" s="6" t="s">
        <v>3424</v>
      </c>
      <c r="G478" s="6"/>
      <c r="H478" s="47">
        <v>692</v>
      </c>
      <c r="I478" s="325" t="s">
        <v>44</v>
      </c>
      <c r="J478" s="255" t="str">
        <f>IF(ISBLANK(INDEX('Policy Characteristics'!D:D,MATCH($C478,'Policy Characteristics'!$C:$C,0))),"",INDEX('Policy Characteristics'!D:D,MATCH($C478,'Policy Characteristics'!$C:$C,0)))</f>
        <v>Subsidy for Capacity Construction</v>
      </c>
      <c r="K478" s="254" t="str">
        <f>IF(ISBLANK(INDEX('Policy Characteristics'!E:E,MATCH($C478,'Policy Characteristics'!$C:$C,0))),"",INDEX('Policy Characteristics'!E:E,MATCH($C478,'Policy Characteristics'!$C:$C,0)))</f>
        <v>elec capacity construction subsidy</v>
      </c>
      <c r="L478" s="261">
        <f>IF(ISBLANK(INDEX('Policy Characteristics'!F:F,MATCH($C478,'Policy Characteristics'!$C:$C,0))),"",INDEX('Policy Characteristics'!F:F,MATCH($C478,'Policy Characteristics'!$C:$C,0)))</f>
        <v>0</v>
      </c>
      <c r="M478" s="261">
        <f>IF(ISBLANK(INDEX('Policy Characteristics'!G:G,MATCH($C478,'Policy Characteristics'!$C:$C,0))),"",INDEX('Policy Characteristics'!G:G,MATCH($C478,'Policy Characteristics'!$C:$C,0)))</f>
        <v>0.95</v>
      </c>
      <c r="N478" s="261">
        <f>IF(ISBLANK(INDEX('Policy Characteristics'!H:H,MATCH($C478,'Policy Characteristics'!$C:$C,0))),"",INDEX('Policy Characteristics'!H:H,MATCH($C478,'Policy Characteristics'!$C:$C,0)))</f>
        <v>0.01</v>
      </c>
      <c r="O478" s="254" t="str">
        <f>IF(ISBLANK(INDEX('Policy Characteristics'!I:I,MATCH($C478,'Policy Characteristics'!$C:$C,0))),"",INDEX('Policy Characteristics'!I:I,MATCH($C478,'Policy Characteristics'!$C:$C,0)))</f>
        <v>% of construction cost</v>
      </c>
      <c r="P478" s="254" t="str">
        <f>IF(ISBLANK(INDEX('Policy Characteristics'!J:J,MATCH($C478,'Policy Characteristics'!$C:$C,0))),"",INDEX('Policy Characteristics'!J:J,MATCH($C478,'Policy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78" s="254" t="str">
        <f>IF(ISBLANK(INDEX('Policy Characteristics'!K:K,MATCH($C478,'Policy Characteristics'!$C:$C,0))),"",INDEX('Policy Characteristics'!K:K,MATCH($C478,'Policy Characteristics'!$C:$C,0)))</f>
        <v>electricity-sector-main.html#subsidies</v>
      </c>
      <c r="R478" s="254" t="str">
        <f>IF(ISBLANK(INDEX('Policy Characteristics'!L:L,MATCH($C478,'Policy Characteristics'!$C:$C,0))),"",INDEX('Policy Characteristics'!L:L,MATCH($C478,'Policy Characteristics'!$C:$C,0)))</f>
        <v/>
      </c>
    </row>
    <row r="479" spans="1:18" s="2" customFormat="1" x14ac:dyDescent="0.3">
      <c r="A479" s="254" t="str">
        <f>IF(ISBLANK(INDEX('Policy Characteristics'!A:A,MATCH($C479,'Policy Characteristics'!$C:$C,0))),"",INDEX('Policy Characteristics'!A:A,MATCH($C479,'Policy Characteristics'!$C:$C,0)))</f>
        <v>Electricity Supply</v>
      </c>
      <c r="B479" s="262" t="str">
        <f>IF(ISBLANK(INDEX('Policy Characteristics'!B:B,MATCH($C479,'Policy Characteristics'!$C:$C,0))),"",INDEX('Policy Characteristics'!B:B,MATCH($C479,'Policy Characteristics'!$C:$C,0)))</f>
        <v>Subsidy for Capacity Construction</v>
      </c>
      <c r="C479" s="318" t="str">
        <f t="shared" ref="C479:C500" si="28">C$477</f>
        <v>Perc Subsidy for Elec Capacity Construction</v>
      </c>
      <c r="D479" s="6" t="s">
        <v>3489</v>
      </c>
      <c r="E479" s="45"/>
      <c r="F479" s="6" t="s">
        <v>3425</v>
      </c>
      <c r="G479" s="6"/>
      <c r="H479" s="47">
        <v>1789</v>
      </c>
      <c r="I479" s="325" t="s">
        <v>44</v>
      </c>
      <c r="J479" s="255" t="str">
        <f>IF(ISBLANK(INDEX('Policy Characteristics'!D:D,MATCH($C479,'Policy Characteristics'!$C:$C,0))),"",INDEX('Policy Characteristics'!D:D,MATCH($C479,'Policy Characteristics'!$C:$C,0)))</f>
        <v>Subsidy for Capacity Construction</v>
      </c>
      <c r="K479" s="254" t="str">
        <f>IF(ISBLANK(INDEX('Policy Characteristics'!E:E,MATCH($C479,'Policy Characteristics'!$C:$C,0))),"",INDEX('Policy Characteristics'!E:E,MATCH($C479,'Policy Characteristics'!$C:$C,0)))</f>
        <v>elec capacity construction subsidy</v>
      </c>
      <c r="L479" s="261">
        <f>IF(ISBLANK(INDEX('Policy Characteristics'!F:F,MATCH($C479,'Policy Characteristics'!$C:$C,0))),"",INDEX('Policy Characteristics'!F:F,MATCH($C479,'Policy Characteristics'!$C:$C,0)))</f>
        <v>0</v>
      </c>
      <c r="M479" s="261">
        <f>IF(ISBLANK(INDEX('Policy Characteristics'!G:G,MATCH($C479,'Policy Characteristics'!$C:$C,0))),"",INDEX('Policy Characteristics'!G:G,MATCH($C479,'Policy Characteristics'!$C:$C,0)))</f>
        <v>0.95</v>
      </c>
      <c r="N479" s="261">
        <f>IF(ISBLANK(INDEX('Policy Characteristics'!H:H,MATCH($C479,'Policy Characteristics'!$C:$C,0))),"",INDEX('Policy Characteristics'!H:H,MATCH($C479,'Policy Characteristics'!$C:$C,0)))</f>
        <v>0.01</v>
      </c>
      <c r="O479" s="254" t="str">
        <f>IF(ISBLANK(INDEX('Policy Characteristics'!I:I,MATCH($C479,'Policy Characteristics'!$C:$C,0))),"",INDEX('Policy Characteristics'!I:I,MATCH($C479,'Policy Characteristics'!$C:$C,0)))</f>
        <v>% of construction cost</v>
      </c>
      <c r="P479" s="254" t="str">
        <f>IF(ISBLANK(INDEX('Policy Characteristics'!J:J,MATCH($C479,'Policy Characteristics'!$C:$C,0))),"",INDEX('Policy Characteristics'!J:J,MATCH($C479,'Policy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79" s="254" t="str">
        <f>IF(ISBLANK(INDEX('Policy Characteristics'!K:K,MATCH($C479,'Policy Characteristics'!$C:$C,0))),"",INDEX('Policy Characteristics'!K:K,MATCH($C479,'Policy Characteristics'!$C:$C,0)))</f>
        <v>electricity-sector-main.html#subsidies</v>
      </c>
      <c r="R479" s="254" t="str">
        <f>IF(ISBLANK(INDEX('Policy Characteristics'!L:L,MATCH($C479,'Policy Characteristics'!$C:$C,0))),"",INDEX('Policy Characteristics'!L:L,MATCH($C479,'Policy Characteristics'!$C:$C,0)))</f>
        <v/>
      </c>
    </row>
    <row r="480" spans="1:18" s="2" customFormat="1" x14ac:dyDescent="0.3">
      <c r="A480" s="254" t="str">
        <f>IF(ISBLANK(INDEX('Policy Characteristics'!A:A,MATCH($C480,'Policy Characteristics'!$C:$C,0))),"",INDEX('Policy Characteristics'!A:A,MATCH($C480,'Policy Characteristics'!$C:$C,0)))</f>
        <v>Electricity Supply</v>
      </c>
      <c r="B480" s="262" t="str">
        <f>IF(ISBLANK(INDEX('Policy Characteristics'!B:B,MATCH($C480,'Policy Characteristics'!$C:$C,0))),"",INDEX('Policy Characteristics'!B:B,MATCH($C480,'Policy Characteristics'!$C:$C,0)))</f>
        <v>Subsidy for Capacity Construction</v>
      </c>
      <c r="C480" s="318" t="str">
        <f t="shared" si="28"/>
        <v>Perc Subsidy for Elec Capacity Construction</v>
      </c>
      <c r="D480" s="6" t="s">
        <v>76</v>
      </c>
      <c r="E480" s="45"/>
      <c r="F480" s="6" t="s">
        <v>3499</v>
      </c>
      <c r="G480" s="6"/>
      <c r="H480" s="47">
        <v>517</v>
      </c>
      <c r="I480" s="325" t="s">
        <v>43</v>
      </c>
      <c r="J480" s="255" t="str">
        <f>IF(ISBLANK(INDEX('Policy Characteristics'!D:D,MATCH($C480,'Policy Characteristics'!$C:$C,0))),"",INDEX('Policy Characteristics'!D:D,MATCH($C480,'Policy Characteristics'!$C:$C,0)))</f>
        <v>Subsidy for Capacity Construction</v>
      </c>
      <c r="K480" s="254" t="str">
        <f>IF(ISBLANK(INDEX('Policy Characteristics'!E:E,MATCH($C480,'Policy Characteristics'!$C:$C,0))),"",INDEX('Policy Characteristics'!E:E,MATCH($C480,'Policy Characteristics'!$C:$C,0)))</f>
        <v>elec capacity construction subsidy</v>
      </c>
      <c r="L480" s="261">
        <f>IF(ISBLANK(INDEX('Policy Characteristics'!F:F,MATCH($C480,'Policy Characteristics'!$C:$C,0))),"",INDEX('Policy Characteristics'!F:F,MATCH($C480,'Policy Characteristics'!$C:$C,0)))</f>
        <v>0</v>
      </c>
      <c r="M480" s="261">
        <f>IF(ISBLANK(INDEX('Policy Characteristics'!G:G,MATCH($C480,'Policy Characteristics'!$C:$C,0))),"",INDEX('Policy Characteristics'!G:G,MATCH($C480,'Policy Characteristics'!$C:$C,0)))</f>
        <v>0.95</v>
      </c>
      <c r="N480" s="261">
        <f>IF(ISBLANK(INDEX('Policy Characteristics'!H:H,MATCH($C480,'Policy Characteristics'!$C:$C,0))),"",INDEX('Policy Characteristics'!H:H,MATCH($C480,'Policy Characteristics'!$C:$C,0)))</f>
        <v>0.01</v>
      </c>
      <c r="O480" s="254" t="str">
        <f>IF(ISBLANK(INDEX('Policy Characteristics'!I:I,MATCH($C480,'Policy Characteristics'!$C:$C,0))),"",INDEX('Policy Characteristics'!I:I,MATCH($C480,'Policy Characteristics'!$C:$C,0)))</f>
        <v>% of construction cost</v>
      </c>
      <c r="P480" s="254"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254" t="str">
        <f>IF(ISBLANK(INDEX('Policy Characteristics'!K:K,MATCH($C480,'Policy Characteristics'!$C:$C,0))),"",INDEX('Policy Characteristics'!K:K,MATCH($C480,'Policy Characteristics'!$C:$C,0)))</f>
        <v>electricity-sector-main.html#subsidies</v>
      </c>
      <c r="R480" s="254" t="str">
        <f>IF(ISBLANK(INDEX('Policy Characteristics'!L:L,MATCH($C480,'Policy Characteristics'!$C:$C,0))),"",INDEX('Policy Characteristics'!L:L,MATCH($C480,'Policy Characteristics'!$C:$C,0)))</f>
        <v/>
      </c>
    </row>
    <row r="481" spans="1:18" s="2" customFormat="1" x14ac:dyDescent="0.3">
      <c r="A481" s="254" t="str">
        <f>IF(ISBLANK(INDEX('Policy Characteristics'!A:A,MATCH($C481,'Policy Characteristics'!$C:$C,0))),"",INDEX('Policy Characteristics'!A:A,MATCH($C481,'Policy Characteristics'!$C:$C,0)))</f>
        <v>Electricity Supply</v>
      </c>
      <c r="B481" s="262" t="str">
        <f>IF(ISBLANK(INDEX('Policy Characteristics'!B:B,MATCH($C481,'Policy Characteristics'!$C:$C,0))),"",INDEX('Policy Characteristics'!B:B,MATCH($C481,'Policy Characteristics'!$C:$C,0)))</f>
        <v>Subsidy for Capacity Construction</v>
      </c>
      <c r="C481" s="318" t="str">
        <f t="shared" si="28"/>
        <v>Perc Subsidy for Elec Capacity Construction</v>
      </c>
      <c r="D481" s="6" t="s">
        <v>77</v>
      </c>
      <c r="E481" s="45"/>
      <c r="F481" s="6" t="s">
        <v>89</v>
      </c>
      <c r="G481" s="6"/>
      <c r="H481" s="47">
        <v>693</v>
      </c>
      <c r="I481" s="325" t="s">
        <v>44</v>
      </c>
      <c r="J481" s="255" t="str">
        <f>IF(ISBLANK(INDEX('Policy Characteristics'!D:D,MATCH($C481,'Policy Characteristics'!$C:$C,0))),"",INDEX('Policy Characteristics'!D:D,MATCH($C481,'Policy Characteristics'!$C:$C,0)))</f>
        <v>Subsidy for Capacity Construction</v>
      </c>
      <c r="K481" s="254" t="str">
        <f>IF(ISBLANK(INDEX('Policy Characteristics'!E:E,MATCH($C481,'Policy Characteristics'!$C:$C,0))),"",INDEX('Policy Characteristics'!E:E,MATCH($C481,'Policy Characteristics'!$C:$C,0)))</f>
        <v>elec capacity construction subsidy</v>
      </c>
      <c r="L481" s="261">
        <f>IF(ISBLANK(INDEX('Policy Characteristics'!F:F,MATCH($C481,'Policy Characteristics'!$C:$C,0))),"",INDEX('Policy Characteristics'!F:F,MATCH($C481,'Policy Characteristics'!$C:$C,0)))</f>
        <v>0</v>
      </c>
      <c r="M481" s="261">
        <f>IF(ISBLANK(INDEX('Policy Characteristics'!G:G,MATCH($C481,'Policy Characteristics'!$C:$C,0))),"",INDEX('Policy Characteristics'!G:G,MATCH($C481,'Policy Characteristics'!$C:$C,0)))</f>
        <v>0.95</v>
      </c>
      <c r="N481" s="261">
        <f>IF(ISBLANK(INDEX('Policy Characteristics'!H:H,MATCH($C481,'Policy Characteristics'!$C:$C,0))),"",INDEX('Policy Characteristics'!H:H,MATCH($C481,'Policy Characteristics'!$C:$C,0)))</f>
        <v>0.01</v>
      </c>
      <c r="O481" s="254" t="str">
        <f>IF(ISBLANK(INDEX('Policy Characteristics'!I:I,MATCH($C481,'Policy Characteristics'!$C:$C,0))),"",INDEX('Policy Characteristics'!I:I,MATCH($C481,'Policy Characteristics'!$C:$C,0)))</f>
        <v>% of construction cost</v>
      </c>
      <c r="P481" s="254"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254" t="str">
        <f>IF(ISBLANK(INDEX('Policy Characteristics'!K:K,MATCH($C481,'Policy Characteristics'!$C:$C,0))),"",INDEX('Policy Characteristics'!K:K,MATCH($C481,'Policy Characteristics'!$C:$C,0)))</f>
        <v>electricity-sector-main.html#subsidies</v>
      </c>
      <c r="R481" s="254" t="str">
        <f>IF(ISBLANK(INDEX('Policy Characteristics'!L:L,MATCH($C481,'Policy Characteristics'!$C:$C,0))),"",INDEX('Policy Characteristics'!L:L,MATCH($C481,'Policy Characteristics'!$C:$C,0)))</f>
        <v/>
      </c>
    </row>
    <row r="482" spans="1:18" s="2" customFormat="1" x14ac:dyDescent="0.3">
      <c r="A482" s="254" t="str">
        <f>IF(ISBLANK(INDEX('Policy Characteristics'!A:A,MATCH($C482,'Policy Characteristics'!$C:$C,0))),"",INDEX('Policy Characteristics'!A:A,MATCH($C482,'Policy Characteristics'!$C:$C,0)))</f>
        <v>Electricity Supply</v>
      </c>
      <c r="B482" s="262" t="str">
        <f>IF(ISBLANK(INDEX('Policy Characteristics'!B:B,MATCH($C482,'Policy Characteristics'!$C:$C,0))),"",INDEX('Policy Characteristics'!B:B,MATCH($C482,'Policy Characteristics'!$C:$C,0)))</f>
        <v>Subsidy for Capacity Construction</v>
      </c>
      <c r="C482" s="318" t="str">
        <f t="shared" si="28"/>
        <v>Perc Subsidy for Elec Capacity Construction</v>
      </c>
      <c r="D482" s="6" t="s">
        <v>448</v>
      </c>
      <c r="E482" s="45"/>
      <c r="F482" s="6" t="s">
        <v>451</v>
      </c>
      <c r="G482" s="6"/>
      <c r="H482" s="47">
        <v>518</v>
      </c>
      <c r="I482" s="325" t="s">
        <v>43</v>
      </c>
      <c r="J482" s="255" t="str">
        <f>IF(ISBLANK(INDEX('Policy Characteristics'!D:D,MATCH($C482,'Policy Characteristics'!$C:$C,0))),"",INDEX('Policy Characteristics'!D:D,MATCH($C482,'Policy Characteristics'!$C:$C,0)))</f>
        <v>Subsidy for Capacity Construction</v>
      </c>
      <c r="K482" s="254" t="str">
        <f>IF(ISBLANK(INDEX('Policy Characteristics'!E:E,MATCH($C482,'Policy Characteristics'!$C:$C,0))),"",INDEX('Policy Characteristics'!E:E,MATCH($C482,'Policy Characteristics'!$C:$C,0)))</f>
        <v>elec capacity construction subsidy</v>
      </c>
      <c r="L482" s="261">
        <f>IF(ISBLANK(INDEX('Policy Characteristics'!F:F,MATCH($C482,'Policy Characteristics'!$C:$C,0))),"",INDEX('Policy Characteristics'!F:F,MATCH($C482,'Policy Characteristics'!$C:$C,0)))</f>
        <v>0</v>
      </c>
      <c r="M482" s="261">
        <f>IF(ISBLANK(INDEX('Policy Characteristics'!G:G,MATCH($C482,'Policy Characteristics'!$C:$C,0))),"",INDEX('Policy Characteristics'!G:G,MATCH($C482,'Policy Characteristics'!$C:$C,0)))</f>
        <v>0.95</v>
      </c>
      <c r="N482" s="261">
        <f>IF(ISBLANK(INDEX('Policy Characteristics'!H:H,MATCH($C482,'Policy Characteristics'!$C:$C,0))),"",INDEX('Policy Characteristics'!H:H,MATCH($C482,'Policy Characteristics'!$C:$C,0)))</f>
        <v>0.01</v>
      </c>
      <c r="O482" s="254" t="str">
        <f>IF(ISBLANK(INDEX('Policy Characteristics'!I:I,MATCH($C482,'Policy Characteristics'!$C:$C,0))),"",INDEX('Policy Characteristics'!I:I,MATCH($C482,'Policy Characteristics'!$C:$C,0)))</f>
        <v>% of construction cost</v>
      </c>
      <c r="P482" s="254"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4" t="str">
        <f>IF(ISBLANK(INDEX('Policy Characteristics'!K:K,MATCH($C482,'Policy Characteristics'!$C:$C,0))),"",INDEX('Policy Characteristics'!K:K,MATCH($C482,'Policy Characteristics'!$C:$C,0)))</f>
        <v>electricity-sector-main.html#subsidies</v>
      </c>
      <c r="R482" s="254" t="str">
        <f>IF(ISBLANK(INDEX('Policy Characteristics'!L:L,MATCH($C482,'Policy Characteristics'!$C:$C,0))),"",INDEX('Policy Characteristics'!L:L,MATCH($C482,'Policy Characteristics'!$C:$C,0)))</f>
        <v/>
      </c>
    </row>
    <row r="483" spans="1:18" s="2" customFormat="1" x14ac:dyDescent="0.3">
      <c r="A483" s="254" t="str">
        <f>IF(ISBLANK(INDEX('Policy Characteristics'!A:A,MATCH($C483,'Policy Characteristics'!$C:$C,0))),"",INDEX('Policy Characteristics'!A:A,MATCH($C483,'Policy Characteristics'!$C:$C,0)))</f>
        <v>Electricity Supply</v>
      </c>
      <c r="B483" s="262" t="str">
        <f>IF(ISBLANK(INDEX('Policy Characteristics'!B:B,MATCH($C483,'Policy Characteristics'!$C:$C,0))),"",INDEX('Policy Characteristics'!B:B,MATCH($C483,'Policy Characteristics'!$C:$C,0)))</f>
        <v>Subsidy for Capacity Construction</v>
      </c>
      <c r="C483" s="318" t="str">
        <f t="shared" si="28"/>
        <v>Perc Subsidy for Elec Capacity Construction</v>
      </c>
      <c r="D483" s="6" t="s">
        <v>78</v>
      </c>
      <c r="E483" s="45"/>
      <c r="F483" s="6" t="s">
        <v>90</v>
      </c>
      <c r="G483" s="6"/>
      <c r="H483" s="47">
        <v>519</v>
      </c>
      <c r="I483" s="325" t="s">
        <v>43</v>
      </c>
      <c r="J483" s="255" t="str">
        <f>IF(ISBLANK(INDEX('Policy Characteristics'!D:D,MATCH($C483,'Policy Characteristics'!$C:$C,0))),"",INDEX('Policy Characteristics'!D:D,MATCH($C483,'Policy Characteristics'!$C:$C,0)))</f>
        <v>Subsidy for Capacity Construction</v>
      </c>
      <c r="K483" s="254" t="str">
        <f>IF(ISBLANK(INDEX('Policy Characteristics'!E:E,MATCH($C483,'Policy Characteristics'!$C:$C,0))),"",INDEX('Policy Characteristics'!E:E,MATCH($C483,'Policy Characteristics'!$C:$C,0)))</f>
        <v>elec capacity construction subsidy</v>
      </c>
      <c r="L483" s="261">
        <f>IF(ISBLANK(INDEX('Policy Characteristics'!F:F,MATCH($C483,'Policy Characteristics'!$C:$C,0))),"",INDEX('Policy Characteristics'!F:F,MATCH($C483,'Policy Characteristics'!$C:$C,0)))</f>
        <v>0</v>
      </c>
      <c r="M483" s="261">
        <f>IF(ISBLANK(INDEX('Policy Characteristics'!G:G,MATCH($C483,'Policy Characteristics'!$C:$C,0))),"",INDEX('Policy Characteristics'!G:G,MATCH($C483,'Policy Characteristics'!$C:$C,0)))</f>
        <v>0.95</v>
      </c>
      <c r="N483" s="261">
        <f>IF(ISBLANK(INDEX('Policy Characteristics'!H:H,MATCH($C483,'Policy Characteristics'!$C:$C,0))),"",INDEX('Policy Characteristics'!H:H,MATCH($C483,'Policy Characteristics'!$C:$C,0)))</f>
        <v>0.01</v>
      </c>
      <c r="O483" s="254" t="str">
        <f>IF(ISBLANK(INDEX('Policy Characteristics'!I:I,MATCH($C483,'Policy Characteristics'!$C:$C,0))),"",INDEX('Policy Characteristics'!I:I,MATCH($C483,'Policy Characteristics'!$C:$C,0)))</f>
        <v>% of construction cost</v>
      </c>
      <c r="P483" s="254"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4" t="str">
        <f>IF(ISBLANK(INDEX('Policy Characteristics'!K:K,MATCH($C483,'Policy Characteristics'!$C:$C,0))),"",INDEX('Policy Characteristics'!K:K,MATCH($C483,'Policy Characteristics'!$C:$C,0)))</f>
        <v>electricity-sector-main.html#subsidies</v>
      </c>
      <c r="R483" s="254" t="str">
        <f>IF(ISBLANK(INDEX('Policy Characteristics'!L:L,MATCH($C483,'Policy Characteristics'!$C:$C,0))),"",INDEX('Policy Characteristics'!L:L,MATCH($C483,'Policy Characteristics'!$C:$C,0)))</f>
        <v/>
      </c>
    </row>
    <row r="484" spans="1:18" s="2" customFormat="1" x14ac:dyDescent="0.3">
      <c r="A484" s="254" t="str">
        <f>IF(ISBLANK(INDEX('Policy Characteristics'!A:A,MATCH($C484,'Policy Characteristics'!$C:$C,0))),"",INDEX('Policy Characteristics'!A:A,MATCH($C484,'Policy Characteristics'!$C:$C,0)))</f>
        <v>Electricity Supply</v>
      </c>
      <c r="B484" s="262" t="str">
        <f>IF(ISBLANK(INDEX('Policy Characteristics'!B:B,MATCH($C484,'Policy Characteristics'!$C:$C,0))),"",INDEX('Policy Characteristics'!B:B,MATCH($C484,'Policy Characteristics'!$C:$C,0)))</f>
        <v>Subsidy for Capacity Construction</v>
      </c>
      <c r="C484" s="318" t="str">
        <f t="shared" si="28"/>
        <v>Perc Subsidy for Elec Capacity Construction</v>
      </c>
      <c r="D484" s="6" t="s">
        <v>79</v>
      </c>
      <c r="E484" s="45"/>
      <c r="F484" s="6" t="s">
        <v>91</v>
      </c>
      <c r="G484" s="6"/>
      <c r="H484" s="47">
        <v>520</v>
      </c>
      <c r="I484" s="325" t="s">
        <v>43</v>
      </c>
      <c r="J484" s="255" t="str">
        <f>IF(ISBLANK(INDEX('Policy Characteristics'!D:D,MATCH($C484,'Policy Characteristics'!$C:$C,0))),"",INDEX('Policy Characteristics'!D:D,MATCH($C484,'Policy Characteristics'!$C:$C,0)))</f>
        <v>Subsidy for Capacity Construction</v>
      </c>
      <c r="K484" s="254" t="str">
        <f>IF(ISBLANK(INDEX('Policy Characteristics'!E:E,MATCH($C484,'Policy Characteristics'!$C:$C,0))),"",INDEX('Policy Characteristics'!E:E,MATCH($C484,'Policy Characteristics'!$C:$C,0)))</f>
        <v>elec capacity construction subsidy</v>
      </c>
      <c r="L484" s="261">
        <f>IF(ISBLANK(INDEX('Policy Characteristics'!F:F,MATCH($C484,'Policy Characteristics'!$C:$C,0))),"",INDEX('Policy Characteristics'!F:F,MATCH($C484,'Policy Characteristics'!$C:$C,0)))</f>
        <v>0</v>
      </c>
      <c r="M484" s="261">
        <f>IF(ISBLANK(INDEX('Policy Characteristics'!G:G,MATCH($C484,'Policy Characteristics'!$C:$C,0))),"",INDEX('Policy Characteristics'!G:G,MATCH($C484,'Policy Characteristics'!$C:$C,0)))</f>
        <v>0.95</v>
      </c>
      <c r="N484" s="261">
        <f>IF(ISBLANK(INDEX('Policy Characteristics'!H:H,MATCH($C484,'Policy Characteristics'!$C:$C,0))),"",INDEX('Policy Characteristics'!H:H,MATCH($C484,'Policy Characteristics'!$C:$C,0)))</f>
        <v>0.01</v>
      </c>
      <c r="O484" s="254" t="str">
        <f>IF(ISBLANK(INDEX('Policy Characteristics'!I:I,MATCH($C484,'Policy Characteristics'!$C:$C,0))),"",INDEX('Policy Characteristics'!I:I,MATCH($C484,'Policy Characteristics'!$C:$C,0)))</f>
        <v>% of construction cost</v>
      </c>
      <c r="P484" s="254"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4" t="str">
        <f>IF(ISBLANK(INDEX('Policy Characteristics'!K:K,MATCH($C484,'Policy Characteristics'!$C:$C,0))),"",INDEX('Policy Characteristics'!K:K,MATCH($C484,'Policy Characteristics'!$C:$C,0)))</f>
        <v>electricity-sector-main.html#subsidies</v>
      </c>
      <c r="R484" s="254" t="str">
        <f>IF(ISBLANK(INDEX('Policy Characteristics'!L:L,MATCH($C484,'Policy Characteristics'!$C:$C,0))),"",INDEX('Policy Characteristics'!L:L,MATCH($C484,'Policy Characteristics'!$C:$C,0)))</f>
        <v/>
      </c>
    </row>
    <row r="485" spans="1:18" s="2" customFormat="1" x14ac:dyDescent="0.3">
      <c r="A485" s="254" t="str">
        <f>IF(ISBLANK(INDEX('Policy Characteristics'!A:A,MATCH($C485,'Policy Characteristics'!$C:$C,0))),"",INDEX('Policy Characteristics'!A:A,MATCH($C485,'Policy Characteristics'!$C:$C,0)))</f>
        <v>Electricity Supply</v>
      </c>
      <c r="B485" s="262" t="str">
        <f>IF(ISBLANK(INDEX('Policy Characteristics'!B:B,MATCH($C485,'Policy Characteristics'!$C:$C,0))),"",INDEX('Policy Characteristics'!B:B,MATCH($C485,'Policy Characteristics'!$C:$C,0)))</f>
        <v>Subsidy for Capacity Construction</v>
      </c>
      <c r="C485" s="318" t="str">
        <f t="shared" si="28"/>
        <v>Perc Subsidy for Elec Capacity Construction</v>
      </c>
      <c r="D485" s="6" t="s">
        <v>80</v>
      </c>
      <c r="E485" s="45"/>
      <c r="F485" s="6" t="s">
        <v>92</v>
      </c>
      <c r="G485" s="6"/>
      <c r="H485" s="47">
        <v>521</v>
      </c>
      <c r="I485" s="325" t="s">
        <v>43</v>
      </c>
      <c r="J485" s="255" t="str">
        <f>IF(ISBLANK(INDEX('Policy Characteristics'!D:D,MATCH($C485,'Policy Characteristics'!$C:$C,0))),"",INDEX('Policy Characteristics'!D:D,MATCH($C485,'Policy Characteristics'!$C:$C,0)))</f>
        <v>Subsidy for Capacity Construction</v>
      </c>
      <c r="K485" s="254" t="str">
        <f>IF(ISBLANK(INDEX('Policy Characteristics'!E:E,MATCH($C485,'Policy Characteristics'!$C:$C,0))),"",INDEX('Policy Characteristics'!E:E,MATCH($C485,'Policy Characteristics'!$C:$C,0)))</f>
        <v>elec capacity construction subsidy</v>
      </c>
      <c r="L485" s="261">
        <f>IF(ISBLANK(INDEX('Policy Characteristics'!F:F,MATCH($C485,'Policy Characteristics'!$C:$C,0))),"",INDEX('Policy Characteristics'!F:F,MATCH($C485,'Policy Characteristics'!$C:$C,0)))</f>
        <v>0</v>
      </c>
      <c r="M485" s="261">
        <f>IF(ISBLANK(INDEX('Policy Characteristics'!G:G,MATCH($C485,'Policy Characteristics'!$C:$C,0))),"",INDEX('Policy Characteristics'!G:G,MATCH($C485,'Policy Characteristics'!$C:$C,0)))</f>
        <v>0.95</v>
      </c>
      <c r="N485" s="261">
        <f>IF(ISBLANK(INDEX('Policy Characteristics'!H:H,MATCH($C485,'Policy Characteristics'!$C:$C,0))),"",INDEX('Policy Characteristics'!H:H,MATCH($C485,'Policy Characteristics'!$C:$C,0)))</f>
        <v>0.01</v>
      </c>
      <c r="O485" s="254" t="str">
        <f>IF(ISBLANK(INDEX('Policy Characteristics'!I:I,MATCH($C485,'Policy Characteristics'!$C:$C,0))),"",INDEX('Policy Characteristics'!I:I,MATCH($C485,'Policy Characteristics'!$C:$C,0)))</f>
        <v>% of construction cost</v>
      </c>
      <c r="P485" s="254"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4" t="str">
        <f>IF(ISBLANK(INDEX('Policy Characteristics'!K:K,MATCH($C485,'Policy Characteristics'!$C:$C,0))),"",INDEX('Policy Characteristics'!K:K,MATCH($C485,'Policy Characteristics'!$C:$C,0)))</f>
        <v>electricity-sector-main.html#subsidies</v>
      </c>
      <c r="R485" s="254" t="str">
        <f>IF(ISBLANK(INDEX('Policy Characteristics'!L:L,MATCH($C485,'Policy Characteristics'!$C:$C,0))),"",INDEX('Policy Characteristics'!L:L,MATCH($C485,'Policy Characteristics'!$C:$C,0)))</f>
        <v/>
      </c>
    </row>
    <row r="486" spans="1:18" s="2" customFormat="1" x14ac:dyDescent="0.3">
      <c r="A486" s="254" t="str">
        <f>IF(ISBLANK(INDEX('Policy Characteristics'!A:A,MATCH($C486,'Policy Characteristics'!$C:$C,0))),"",INDEX('Policy Characteristics'!A:A,MATCH($C486,'Policy Characteristics'!$C:$C,0)))</f>
        <v>Electricity Supply</v>
      </c>
      <c r="B486" s="262" t="str">
        <f>IF(ISBLANK(INDEX('Policy Characteristics'!B:B,MATCH($C486,'Policy Characteristics'!$C:$C,0))),"",INDEX('Policy Characteristics'!B:B,MATCH($C486,'Policy Characteristics'!$C:$C,0)))</f>
        <v>Subsidy for Capacity Construction</v>
      </c>
      <c r="C486" s="318" t="str">
        <f t="shared" si="28"/>
        <v>Perc Subsidy for Elec Capacity Construction</v>
      </c>
      <c r="D486" s="6" t="s">
        <v>2425</v>
      </c>
      <c r="E486" s="45"/>
      <c r="F486" s="6" t="s">
        <v>436</v>
      </c>
      <c r="G486" s="6"/>
      <c r="H486" s="47">
        <v>1598</v>
      </c>
      <c r="I486" s="325" t="s">
        <v>43</v>
      </c>
      <c r="J486" s="255" t="str">
        <f>IF(ISBLANK(INDEX('Policy Characteristics'!D:D,MATCH($C486,'Policy Characteristics'!$C:$C,0))),"",INDEX('Policy Characteristics'!D:D,MATCH($C486,'Policy Characteristics'!$C:$C,0)))</f>
        <v>Subsidy for Capacity Construction</v>
      </c>
      <c r="K486" s="254" t="str">
        <f>IF(ISBLANK(INDEX('Policy Characteristics'!E:E,MATCH($C486,'Policy Characteristics'!$C:$C,0))),"",INDEX('Policy Characteristics'!E:E,MATCH($C486,'Policy Characteristics'!$C:$C,0)))</f>
        <v>elec capacity construction subsidy</v>
      </c>
      <c r="L486" s="261">
        <f>IF(ISBLANK(INDEX('Policy Characteristics'!F:F,MATCH($C486,'Policy Characteristics'!$C:$C,0))),"",INDEX('Policy Characteristics'!F:F,MATCH($C486,'Policy Characteristics'!$C:$C,0)))</f>
        <v>0</v>
      </c>
      <c r="M486" s="261">
        <f>IF(ISBLANK(INDEX('Policy Characteristics'!G:G,MATCH($C486,'Policy Characteristics'!$C:$C,0))),"",INDEX('Policy Characteristics'!G:G,MATCH($C486,'Policy Characteristics'!$C:$C,0)))</f>
        <v>0.95</v>
      </c>
      <c r="N486" s="261">
        <f>IF(ISBLANK(INDEX('Policy Characteristics'!H:H,MATCH($C486,'Policy Characteristics'!$C:$C,0))),"",INDEX('Policy Characteristics'!H:H,MATCH($C486,'Policy Characteristics'!$C:$C,0)))</f>
        <v>0.01</v>
      </c>
      <c r="O486" s="254" t="str">
        <f>IF(ISBLANK(INDEX('Policy Characteristics'!I:I,MATCH($C486,'Policy Characteristics'!$C:$C,0))),"",INDEX('Policy Characteristics'!I:I,MATCH($C486,'Policy Characteristics'!$C:$C,0)))</f>
        <v>% of construction cost</v>
      </c>
      <c r="P486" s="254"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4" t="str">
        <f>IF(ISBLANK(INDEX('Policy Characteristics'!K:K,MATCH($C486,'Policy Characteristics'!$C:$C,0))),"",INDEX('Policy Characteristics'!K:K,MATCH($C486,'Policy Characteristics'!$C:$C,0)))</f>
        <v>electricity-sector-main.html#subsidies</v>
      </c>
      <c r="R486" s="254" t="str">
        <f>IF(ISBLANK(INDEX('Policy Characteristics'!L:L,MATCH($C486,'Policy Characteristics'!$C:$C,0))),"",INDEX('Policy Characteristics'!L:L,MATCH($C486,'Policy Characteristics'!$C:$C,0)))</f>
        <v/>
      </c>
    </row>
    <row r="487" spans="1:18" s="2" customFormat="1" x14ac:dyDescent="0.3">
      <c r="A487" s="254" t="str">
        <f>IF(ISBLANK(INDEX('Policy Characteristics'!A:A,MATCH($C487,'Policy Characteristics'!$C:$C,0))),"",INDEX('Policy Characteristics'!A:A,MATCH($C487,'Policy Characteristics'!$C:$C,0)))</f>
        <v>Electricity Supply</v>
      </c>
      <c r="B487" s="262" t="str">
        <f>IF(ISBLANK(INDEX('Policy Characteristics'!B:B,MATCH($C487,'Policy Characteristics'!$C:$C,0))),"",INDEX('Policy Characteristics'!B:B,MATCH($C487,'Policy Characteristics'!$C:$C,0)))</f>
        <v>Subsidy for Capacity Construction</v>
      </c>
      <c r="C487" s="318" t="str">
        <f t="shared" si="28"/>
        <v>Perc Subsidy for Elec Capacity Construction</v>
      </c>
      <c r="D487" s="6" t="s">
        <v>308</v>
      </c>
      <c r="E487" s="45"/>
      <c r="F487" s="6" t="s">
        <v>310</v>
      </c>
      <c r="G487" s="6"/>
      <c r="H487" s="47">
        <v>1599</v>
      </c>
      <c r="I487" s="325" t="s">
        <v>44</v>
      </c>
      <c r="J487" s="255" t="str">
        <f>IF(ISBLANK(INDEX('Policy Characteristics'!D:D,MATCH($C487,'Policy Characteristics'!$C:$C,0))),"",INDEX('Policy Characteristics'!D:D,MATCH($C487,'Policy Characteristics'!$C:$C,0)))</f>
        <v>Subsidy for Capacity Construction</v>
      </c>
      <c r="K487" s="254" t="str">
        <f>IF(ISBLANK(INDEX('Policy Characteristics'!E:E,MATCH($C487,'Policy Characteristics'!$C:$C,0))),"",INDEX('Policy Characteristics'!E:E,MATCH($C487,'Policy Characteristics'!$C:$C,0)))</f>
        <v>elec capacity construction subsidy</v>
      </c>
      <c r="L487" s="261">
        <f>IF(ISBLANK(INDEX('Policy Characteristics'!F:F,MATCH($C487,'Policy Characteristics'!$C:$C,0))),"",INDEX('Policy Characteristics'!F:F,MATCH($C487,'Policy Characteristics'!$C:$C,0)))</f>
        <v>0</v>
      </c>
      <c r="M487" s="261">
        <f>IF(ISBLANK(INDEX('Policy Characteristics'!G:G,MATCH($C487,'Policy Characteristics'!$C:$C,0))),"",INDEX('Policy Characteristics'!G:G,MATCH($C487,'Policy Characteristics'!$C:$C,0)))</f>
        <v>0.95</v>
      </c>
      <c r="N487" s="261">
        <f>IF(ISBLANK(INDEX('Policy Characteristics'!H:H,MATCH($C487,'Policy Characteristics'!$C:$C,0))),"",INDEX('Policy Characteristics'!H:H,MATCH($C487,'Policy Characteristics'!$C:$C,0)))</f>
        <v>0.01</v>
      </c>
      <c r="O487" s="254" t="str">
        <f>IF(ISBLANK(INDEX('Policy Characteristics'!I:I,MATCH($C487,'Policy Characteristics'!$C:$C,0))),"",INDEX('Policy Characteristics'!I:I,MATCH($C487,'Policy Characteristics'!$C:$C,0)))</f>
        <v>% of construction cost</v>
      </c>
      <c r="P487" s="254"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4" t="str">
        <f>IF(ISBLANK(INDEX('Policy Characteristics'!K:K,MATCH($C487,'Policy Characteristics'!$C:$C,0))),"",INDEX('Policy Characteristics'!K:K,MATCH($C487,'Policy Characteristics'!$C:$C,0)))</f>
        <v>electricity-sector-main.html#subsidies</v>
      </c>
      <c r="R487" s="254" t="str">
        <f>IF(ISBLANK(INDEX('Policy Characteristics'!L:L,MATCH($C487,'Policy Characteristics'!$C:$C,0))),"",INDEX('Policy Characteristics'!L:L,MATCH($C487,'Policy Characteristics'!$C:$C,0)))</f>
        <v/>
      </c>
    </row>
    <row r="488" spans="1:18" s="2" customFormat="1" x14ac:dyDescent="0.3">
      <c r="A488" s="254" t="str">
        <f>IF(ISBLANK(INDEX('Policy Characteristics'!A:A,MATCH($C488,'Policy Characteristics'!$C:$C,0))),"",INDEX('Policy Characteristics'!A:A,MATCH($C488,'Policy Characteristics'!$C:$C,0)))</f>
        <v>Electricity Supply</v>
      </c>
      <c r="B488" s="262" t="str">
        <f>IF(ISBLANK(INDEX('Policy Characteristics'!B:B,MATCH($C488,'Policy Characteristics'!$C:$C,0))),"",INDEX('Policy Characteristics'!B:B,MATCH($C488,'Policy Characteristics'!$C:$C,0)))</f>
        <v>Subsidy for Capacity Construction</v>
      </c>
      <c r="C488" s="318" t="str">
        <f t="shared" si="28"/>
        <v>Perc Subsidy for Elec Capacity Construction</v>
      </c>
      <c r="D488" s="6" t="s">
        <v>309</v>
      </c>
      <c r="E488" s="45"/>
      <c r="F488" s="6" t="s">
        <v>311</v>
      </c>
      <c r="G488" s="6"/>
      <c r="H488" s="47">
        <v>1600</v>
      </c>
      <c r="I488" s="325" t="s">
        <v>44</v>
      </c>
      <c r="J488" s="255" t="str">
        <f>IF(ISBLANK(INDEX('Policy Characteristics'!D:D,MATCH($C488,'Policy Characteristics'!$C:$C,0))),"",INDEX('Policy Characteristics'!D:D,MATCH($C488,'Policy Characteristics'!$C:$C,0)))</f>
        <v>Subsidy for Capacity Construction</v>
      </c>
      <c r="K488" s="254" t="str">
        <f>IF(ISBLANK(INDEX('Policy Characteristics'!E:E,MATCH($C488,'Policy Characteristics'!$C:$C,0))),"",INDEX('Policy Characteristics'!E:E,MATCH($C488,'Policy Characteristics'!$C:$C,0)))</f>
        <v>elec capacity construction subsidy</v>
      </c>
      <c r="L488" s="261">
        <f>IF(ISBLANK(INDEX('Policy Characteristics'!F:F,MATCH($C488,'Policy Characteristics'!$C:$C,0))),"",INDEX('Policy Characteristics'!F:F,MATCH($C488,'Policy Characteristics'!$C:$C,0)))</f>
        <v>0</v>
      </c>
      <c r="M488" s="261">
        <f>IF(ISBLANK(INDEX('Policy Characteristics'!G:G,MATCH($C488,'Policy Characteristics'!$C:$C,0))),"",INDEX('Policy Characteristics'!G:G,MATCH($C488,'Policy Characteristics'!$C:$C,0)))</f>
        <v>0.95</v>
      </c>
      <c r="N488" s="261">
        <f>IF(ISBLANK(INDEX('Policy Characteristics'!H:H,MATCH($C488,'Policy Characteristics'!$C:$C,0))),"",INDEX('Policy Characteristics'!H:H,MATCH($C488,'Policy Characteristics'!$C:$C,0)))</f>
        <v>0.01</v>
      </c>
      <c r="O488" s="254" t="str">
        <f>IF(ISBLANK(INDEX('Policy Characteristics'!I:I,MATCH($C488,'Policy Characteristics'!$C:$C,0))),"",INDEX('Policy Characteristics'!I:I,MATCH($C488,'Policy Characteristics'!$C:$C,0)))</f>
        <v>% of construction cost</v>
      </c>
      <c r="P488" s="254"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4" t="str">
        <f>IF(ISBLANK(INDEX('Policy Characteristics'!K:K,MATCH($C488,'Policy Characteristics'!$C:$C,0))),"",INDEX('Policy Characteristics'!K:K,MATCH($C488,'Policy Characteristics'!$C:$C,0)))</f>
        <v>electricity-sector-main.html#subsidies</v>
      </c>
      <c r="R488" s="254" t="str">
        <f>IF(ISBLANK(INDEX('Policy Characteristics'!L:L,MATCH($C488,'Policy Characteristics'!$C:$C,0))),"",INDEX('Policy Characteristics'!L:L,MATCH($C488,'Policy Characteristics'!$C:$C,0)))</f>
        <v/>
      </c>
    </row>
    <row r="489" spans="1:18" s="2" customFormat="1" x14ac:dyDescent="0.3">
      <c r="A489" s="254" t="str">
        <f>IF(ISBLANK(INDEX('Policy Characteristics'!A:A,MATCH($C489,'Policy Characteristics'!$C:$C,0))),"",INDEX('Policy Characteristics'!A:A,MATCH($C489,'Policy Characteristics'!$C:$C,0)))</f>
        <v>Electricity Supply</v>
      </c>
      <c r="B489" s="262" t="str">
        <f>IF(ISBLANK(INDEX('Policy Characteristics'!B:B,MATCH($C489,'Policy Characteristics'!$C:$C,0))),"",INDEX('Policy Characteristics'!B:B,MATCH($C489,'Policy Characteristics'!$C:$C,0)))</f>
        <v>Subsidy for Capacity Construction</v>
      </c>
      <c r="C489" s="318" t="str">
        <f t="shared" si="28"/>
        <v>Perc Subsidy for Elec Capacity Construction</v>
      </c>
      <c r="D489" s="6" t="s">
        <v>444</v>
      </c>
      <c r="E489" s="45"/>
      <c r="F489" s="6" t="s">
        <v>443</v>
      </c>
      <c r="G489" s="6"/>
      <c r="H489" s="47">
        <v>694</v>
      </c>
      <c r="I489" s="325" t="s">
        <v>44</v>
      </c>
      <c r="J489" s="255" t="str">
        <f>IF(ISBLANK(INDEX('Policy Characteristics'!D:D,MATCH($C489,'Policy Characteristics'!$C:$C,0))),"",INDEX('Policy Characteristics'!D:D,MATCH($C489,'Policy Characteristics'!$C:$C,0)))</f>
        <v>Subsidy for Capacity Construction</v>
      </c>
      <c r="K489" s="254" t="str">
        <f>IF(ISBLANK(INDEX('Policy Characteristics'!E:E,MATCH($C489,'Policy Characteristics'!$C:$C,0))),"",INDEX('Policy Characteristics'!E:E,MATCH($C489,'Policy Characteristics'!$C:$C,0)))</f>
        <v>elec capacity construction subsidy</v>
      </c>
      <c r="L489" s="261">
        <f>IF(ISBLANK(INDEX('Policy Characteristics'!F:F,MATCH($C489,'Policy Characteristics'!$C:$C,0))),"",INDEX('Policy Characteristics'!F:F,MATCH($C489,'Policy Characteristics'!$C:$C,0)))</f>
        <v>0</v>
      </c>
      <c r="M489" s="261">
        <f>IF(ISBLANK(INDEX('Policy Characteristics'!G:G,MATCH($C489,'Policy Characteristics'!$C:$C,0))),"",INDEX('Policy Characteristics'!G:G,MATCH($C489,'Policy Characteristics'!$C:$C,0)))</f>
        <v>0.95</v>
      </c>
      <c r="N489" s="261">
        <f>IF(ISBLANK(INDEX('Policy Characteristics'!H:H,MATCH($C489,'Policy Characteristics'!$C:$C,0))),"",INDEX('Policy Characteristics'!H:H,MATCH($C489,'Policy Characteristics'!$C:$C,0)))</f>
        <v>0.01</v>
      </c>
      <c r="O489" s="254" t="str">
        <f>IF(ISBLANK(INDEX('Policy Characteristics'!I:I,MATCH($C489,'Policy Characteristics'!$C:$C,0))),"",INDEX('Policy Characteristics'!I:I,MATCH($C489,'Policy Characteristics'!$C:$C,0)))</f>
        <v>% of construction cost</v>
      </c>
      <c r="P489" s="254"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4" t="str">
        <f>IF(ISBLANK(INDEX('Policy Characteristics'!K:K,MATCH($C489,'Policy Characteristics'!$C:$C,0))),"",INDEX('Policy Characteristics'!K:K,MATCH($C489,'Policy Characteristics'!$C:$C,0)))</f>
        <v>electricity-sector-main.html#subsidies</v>
      </c>
      <c r="R489" s="254" t="str">
        <f>IF(ISBLANK(INDEX('Policy Characteristics'!L:L,MATCH($C489,'Policy Characteristics'!$C:$C,0))),"",INDEX('Policy Characteristics'!L:L,MATCH($C489,'Policy Characteristics'!$C:$C,0)))</f>
        <v/>
      </c>
    </row>
    <row r="490" spans="1:18" s="2" customFormat="1" x14ac:dyDescent="0.3">
      <c r="A490" s="254" t="str">
        <f>IF(ISBLANK(INDEX('Policy Characteristics'!A:A,MATCH($C490,'Policy Characteristics'!$C:$C,0))),"",INDEX('Policy Characteristics'!A:A,MATCH($C490,'Policy Characteristics'!$C:$C,0)))</f>
        <v>Electricity Supply</v>
      </c>
      <c r="B490" s="262" t="str">
        <f>IF(ISBLANK(INDEX('Policy Characteristics'!B:B,MATCH($C490,'Policy Characteristics'!$C:$C,0))),"",INDEX('Policy Characteristics'!B:B,MATCH($C490,'Policy Characteristics'!$C:$C,0)))</f>
        <v>Subsidy for Capacity Construction</v>
      </c>
      <c r="C490" s="318" t="str">
        <f t="shared" si="28"/>
        <v>Perc Subsidy for Elec Capacity Construction</v>
      </c>
      <c r="D490" s="6" t="s">
        <v>453</v>
      </c>
      <c r="E490" s="45"/>
      <c r="F490" s="6" t="s">
        <v>454</v>
      </c>
      <c r="H490" s="47">
        <v>522</v>
      </c>
      <c r="I490" s="325" t="s">
        <v>43</v>
      </c>
      <c r="J490" s="255" t="str">
        <f>IF(ISBLANK(INDEX('Policy Characteristics'!D:D,MATCH($C490,'Policy Characteristics'!$C:$C,0))),"",INDEX('Policy Characteristics'!D:D,MATCH($C490,'Policy Characteristics'!$C:$C,0)))</f>
        <v>Subsidy for Capacity Construction</v>
      </c>
      <c r="K490" s="254" t="str">
        <f>IF(ISBLANK(INDEX('Policy Characteristics'!E:E,MATCH($C490,'Policy Characteristics'!$C:$C,0))),"",INDEX('Policy Characteristics'!E:E,MATCH($C490,'Policy Characteristics'!$C:$C,0)))</f>
        <v>elec capacity construction subsidy</v>
      </c>
      <c r="L490" s="261">
        <f>IF(ISBLANK(INDEX('Policy Characteristics'!F:F,MATCH($C490,'Policy Characteristics'!$C:$C,0))),"",INDEX('Policy Characteristics'!F:F,MATCH($C490,'Policy Characteristics'!$C:$C,0)))</f>
        <v>0</v>
      </c>
      <c r="M490" s="261">
        <f>IF(ISBLANK(INDEX('Policy Characteristics'!G:G,MATCH($C490,'Policy Characteristics'!$C:$C,0))),"",INDEX('Policy Characteristics'!G:G,MATCH($C490,'Policy Characteristics'!$C:$C,0)))</f>
        <v>0.95</v>
      </c>
      <c r="N490" s="261">
        <f>IF(ISBLANK(INDEX('Policy Characteristics'!H:H,MATCH($C490,'Policy Characteristics'!$C:$C,0))),"",INDEX('Policy Characteristics'!H:H,MATCH($C490,'Policy Characteristics'!$C:$C,0)))</f>
        <v>0.01</v>
      </c>
      <c r="O490" s="254" t="str">
        <f>IF(ISBLANK(INDEX('Policy Characteristics'!I:I,MATCH($C490,'Policy Characteristics'!$C:$C,0))),"",INDEX('Policy Characteristics'!I:I,MATCH($C490,'Policy Characteristics'!$C:$C,0)))</f>
        <v>% of construction cost</v>
      </c>
      <c r="P490" s="254"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4" t="str">
        <f>IF(ISBLANK(INDEX('Policy Characteristics'!K:K,MATCH($C490,'Policy Characteristics'!$C:$C,0))),"",INDEX('Policy Characteristics'!K:K,MATCH($C490,'Policy Characteristics'!$C:$C,0)))</f>
        <v>electricity-sector-main.html#subsidies</v>
      </c>
      <c r="R490" s="254" t="str">
        <f>IF(ISBLANK(INDEX('Policy Characteristics'!L:L,MATCH($C490,'Policy Characteristics'!$C:$C,0))),"",INDEX('Policy Characteristics'!L:L,MATCH($C490,'Policy Characteristics'!$C:$C,0)))</f>
        <v/>
      </c>
    </row>
    <row r="491" spans="1:18" s="2" customFormat="1" x14ac:dyDescent="0.3">
      <c r="A491" s="254" t="str">
        <f>IF(ISBLANK(INDEX('Policy Characteristics'!A:A,MATCH($C491,'Policy Characteristics'!$C:$C,0))),"",INDEX('Policy Characteristics'!A:A,MATCH($C491,'Policy Characteristics'!$C:$C,0)))</f>
        <v>Electricity Supply</v>
      </c>
      <c r="B491" s="262" t="str">
        <f>IF(ISBLANK(INDEX('Policy Characteristics'!B:B,MATCH($C491,'Policy Characteristics'!$C:$C,0))),"",INDEX('Policy Characteristics'!B:B,MATCH($C491,'Policy Characteristics'!$C:$C,0)))</f>
        <v>Subsidy for Capacity Construction</v>
      </c>
      <c r="C491" s="318" t="str">
        <f t="shared" si="28"/>
        <v>Perc Subsidy for Elec Capacity Construction</v>
      </c>
      <c r="D491" s="6" t="s">
        <v>2748</v>
      </c>
      <c r="E491" s="45"/>
      <c r="F491" s="6" t="s">
        <v>2469</v>
      </c>
      <c r="G491" s="6"/>
      <c r="H491" s="47">
        <v>695</v>
      </c>
      <c r="I491" s="325" t="s">
        <v>44</v>
      </c>
      <c r="J491" s="255" t="str">
        <f>IF(ISBLANK(INDEX('Policy Characteristics'!D:D,MATCH($C491,'Policy Characteristics'!$C:$C,0))),"",INDEX('Policy Characteristics'!D:D,MATCH($C491,'Policy Characteristics'!$C:$C,0)))</f>
        <v>Subsidy for Capacity Construction</v>
      </c>
      <c r="K491" s="254" t="str">
        <f>IF(ISBLANK(INDEX('Policy Characteristics'!E:E,MATCH($C491,'Policy Characteristics'!$C:$C,0))),"",INDEX('Policy Characteristics'!E:E,MATCH($C491,'Policy Characteristics'!$C:$C,0)))</f>
        <v>elec capacity construction subsidy</v>
      </c>
      <c r="L491" s="261">
        <f>IF(ISBLANK(INDEX('Policy Characteristics'!F:F,MATCH($C491,'Policy Characteristics'!$C:$C,0))),"",INDEX('Policy Characteristics'!F:F,MATCH($C491,'Policy Characteristics'!$C:$C,0)))</f>
        <v>0</v>
      </c>
      <c r="M491" s="261">
        <f>IF(ISBLANK(INDEX('Policy Characteristics'!G:G,MATCH($C491,'Policy Characteristics'!$C:$C,0))),"",INDEX('Policy Characteristics'!G:G,MATCH($C491,'Policy Characteristics'!$C:$C,0)))</f>
        <v>0.95</v>
      </c>
      <c r="N491" s="261">
        <f>IF(ISBLANK(INDEX('Policy Characteristics'!H:H,MATCH($C491,'Policy Characteristics'!$C:$C,0))),"",INDEX('Policy Characteristics'!H:H,MATCH($C491,'Policy Characteristics'!$C:$C,0)))</f>
        <v>0.01</v>
      </c>
      <c r="O491" s="254" t="str">
        <f>IF(ISBLANK(INDEX('Policy Characteristics'!I:I,MATCH($C491,'Policy Characteristics'!$C:$C,0))),"",INDEX('Policy Characteristics'!I:I,MATCH($C491,'Policy Characteristics'!$C:$C,0)))</f>
        <v>% of construction cost</v>
      </c>
      <c r="P491" s="254"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4" t="str">
        <f>IF(ISBLANK(INDEX('Policy Characteristics'!K:K,MATCH($C491,'Policy Characteristics'!$C:$C,0))),"",INDEX('Policy Characteristics'!K:K,MATCH($C491,'Policy Characteristics'!$C:$C,0)))</f>
        <v>electricity-sector-main.html#subsidies</v>
      </c>
      <c r="R491" s="254" t="str">
        <f>IF(ISBLANK(INDEX('Policy Characteristics'!L:L,MATCH($C491,'Policy Characteristics'!$C:$C,0))),"",INDEX('Policy Characteristics'!L:L,MATCH($C491,'Policy Characteristics'!$C:$C,0)))</f>
        <v/>
      </c>
    </row>
    <row r="492" spans="1:18" s="2" customFormat="1" x14ac:dyDescent="0.3">
      <c r="A492" s="254" t="str">
        <f>IF(ISBLANK(INDEX('Policy Characteristics'!A:A,MATCH($C492,'Policy Characteristics'!$C:$C,0))),"",INDEX('Policy Characteristics'!A:A,MATCH($C492,'Policy Characteristics'!$C:$C,0)))</f>
        <v>Electricity Supply</v>
      </c>
      <c r="B492" s="262" t="str">
        <f>IF(ISBLANK(INDEX('Policy Characteristics'!B:B,MATCH($C492,'Policy Characteristics'!$C:$C,0))),"",INDEX('Policy Characteristics'!B:B,MATCH($C492,'Policy Characteristics'!$C:$C,0)))</f>
        <v>Subsidy for Capacity Construction</v>
      </c>
      <c r="C492" s="318" t="str">
        <f t="shared" si="28"/>
        <v>Perc Subsidy for Elec Capacity Construction</v>
      </c>
      <c r="D492" s="6" t="s">
        <v>2749</v>
      </c>
      <c r="E492" s="45"/>
      <c r="F492" s="6" t="s">
        <v>2592</v>
      </c>
      <c r="G492" s="6"/>
      <c r="H492" s="47">
        <v>696</v>
      </c>
      <c r="I492" s="325" t="s">
        <v>44</v>
      </c>
      <c r="J492" s="255" t="str">
        <f>IF(ISBLANK(INDEX('Policy Characteristics'!D:D,MATCH($C492,'Policy Characteristics'!$C:$C,0))),"",INDEX('Policy Characteristics'!D:D,MATCH($C492,'Policy Characteristics'!$C:$C,0)))</f>
        <v>Subsidy for Capacity Construction</v>
      </c>
      <c r="K492" s="254" t="str">
        <f>IF(ISBLANK(INDEX('Policy Characteristics'!E:E,MATCH($C492,'Policy Characteristics'!$C:$C,0))),"",INDEX('Policy Characteristics'!E:E,MATCH($C492,'Policy Characteristics'!$C:$C,0)))</f>
        <v>elec capacity construction subsidy</v>
      </c>
      <c r="L492" s="261">
        <f>IF(ISBLANK(INDEX('Policy Characteristics'!F:F,MATCH($C492,'Policy Characteristics'!$C:$C,0))),"",INDEX('Policy Characteristics'!F:F,MATCH($C492,'Policy Characteristics'!$C:$C,0)))</f>
        <v>0</v>
      </c>
      <c r="M492" s="261">
        <f>IF(ISBLANK(INDEX('Policy Characteristics'!G:G,MATCH($C492,'Policy Characteristics'!$C:$C,0))),"",INDEX('Policy Characteristics'!G:G,MATCH($C492,'Policy Characteristics'!$C:$C,0)))</f>
        <v>0.95</v>
      </c>
      <c r="N492" s="261">
        <f>IF(ISBLANK(INDEX('Policy Characteristics'!H:H,MATCH($C492,'Policy Characteristics'!$C:$C,0))),"",INDEX('Policy Characteristics'!H:H,MATCH($C492,'Policy Characteristics'!$C:$C,0)))</f>
        <v>0.01</v>
      </c>
      <c r="O492" s="254" t="str">
        <f>IF(ISBLANK(INDEX('Policy Characteristics'!I:I,MATCH($C492,'Policy Characteristics'!$C:$C,0))),"",INDEX('Policy Characteristics'!I:I,MATCH($C492,'Policy Characteristics'!$C:$C,0)))</f>
        <v>% of construction cost</v>
      </c>
      <c r="P492" s="254"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4" t="str">
        <f>IF(ISBLANK(INDEX('Policy Characteristics'!K:K,MATCH($C492,'Policy Characteristics'!$C:$C,0))),"",INDEX('Policy Characteristics'!K:K,MATCH($C492,'Policy Characteristics'!$C:$C,0)))</f>
        <v>electricity-sector-main.html#subsidies</v>
      </c>
      <c r="R492" s="254" t="str">
        <f>IF(ISBLANK(INDEX('Policy Characteristics'!L:L,MATCH($C492,'Policy Characteristics'!$C:$C,0))),"",INDEX('Policy Characteristics'!L:L,MATCH($C492,'Policy Characteristics'!$C:$C,0)))</f>
        <v/>
      </c>
    </row>
    <row r="493" spans="1:18" s="2" customFormat="1" x14ac:dyDescent="0.3">
      <c r="A493" s="254" t="str">
        <f>IF(ISBLANK(INDEX('Policy Characteristics'!A:A,MATCH($C493,'Policy Characteristics'!$C:$C,0))),"",INDEX('Policy Characteristics'!A:A,MATCH($C493,'Policy Characteristics'!$C:$C,0)))</f>
        <v>Electricity Supply</v>
      </c>
      <c r="B493" s="262" t="str">
        <f>IF(ISBLANK(INDEX('Policy Characteristics'!B:B,MATCH($C493,'Policy Characteristics'!$C:$C,0))),"",INDEX('Policy Characteristics'!B:B,MATCH($C493,'Policy Characteristics'!$C:$C,0)))</f>
        <v>Subsidy for Capacity Construction</v>
      </c>
      <c r="C493" s="318" t="str">
        <f t="shared" si="28"/>
        <v>Perc Subsidy for Elec Capacity Construction</v>
      </c>
      <c r="D493" s="6" t="s">
        <v>2750</v>
      </c>
      <c r="E493" s="45"/>
      <c r="F493" s="6" t="s">
        <v>2471</v>
      </c>
      <c r="G493" s="6"/>
      <c r="H493" s="47">
        <v>697</v>
      </c>
      <c r="I493" s="325" t="s">
        <v>44</v>
      </c>
      <c r="J493" s="255" t="str">
        <f>IF(ISBLANK(INDEX('Policy Characteristics'!D:D,MATCH($C493,'Policy Characteristics'!$C:$C,0))),"",INDEX('Policy Characteristics'!D:D,MATCH($C493,'Policy Characteristics'!$C:$C,0)))</f>
        <v>Subsidy for Capacity Construction</v>
      </c>
      <c r="K493" s="254" t="str">
        <f>IF(ISBLANK(INDEX('Policy Characteristics'!E:E,MATCH($C493,'Policy Characteristics'!$C:$C,0))),"",INDEX('Policy Characteristics'!E:E,MATCH($C493,'Policy Characteristics'!$C:$C,0)))</f>
        <v>elec capacity construction subsidy</v>
      </c>
      <c r="L493" s="261">
        <f>IF(ISBLANK(INDEX('Policy Characteristics'!F:F,MATCH($C493,'Policy Characteristics'!$C:$C,0))),"",INDEX('Policy Characteristics'!F:F,MATCH($C493,'Policy Characteristics'!$C:$C,0)))</f>
        <v>0</v>
      </c>
      <c r="M493" s="261">
        <f>IF(ISBLANK(INDEX('Policy Characteristics'!G:G,MATCH($C493,'Policy Characteristics'!$C:$C,0))),"",INDEX('Policy Characteristics'!G:G,MATCH($C493,'Policy Characteristics'!$C:$C,0)))</f>
        <v>0.95</v>
      </c>
      <c r="N493" s="261">
        <f>IF(ISBLANK(INDEX('Policy Characteristics'!H:H,MATCH($C493,'Policy Characteristics'!$C:$C,0))),"",INDEX('Policy Characteristics'!H:H,MATCH($C493,'Policy Characteristics'!$C:$C,0)))</f>
        <v>0.01</v>
      </c>
      <c r="O493" s="254" t="str">
        <f>IF(ISBLANK(INDEX('Policy Characteristics'!I:I,MATCH($C493,'Policy Characteristics'!$C:$C,0))),"",INDEX('Policy Characteristics'!I:I,MATCH($C493,'Policy Characteristics'!$C:$C,0)))</f>
        <v>% of construction cost</v>
      </c>
      <c r="P493" s="254"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4" t="str">
        <f>IF(ISBLANK(INDEX('Policy Characteristics'!K:K,MATCH($C493,'Policy Characteristics'!$C:$C,0))),"",INDEX('Policy Characteristics'!K:K,MATCH($C493,'Policy Characteristics'!$C:$C,0)))</f>
        <v>electricity-sector-main.html#subsidies</v>
      </c>
      <c r="R493" s="254" t="str">
        <f>IF(ISBLANK(INDEX('Policy Characteristics'!L:L,MATCH($C493,'Policy Characteristics'!$C:$C,0))),"",INDEX('Policy Characteristics'!L:L,MATCH($C493,'Policy Characteristics'!$C:$C,0)))</f>
        <v/>
      </c>
    </row>
    <row r="494" spans="1:18" s="2" customFormat="1" x14ac:dyDescent="0.3">
      <c r="A494" s="254" t="str">
        <f>IF(ISBLANK(INDEX('Policy Characteristics'!A:A,MATCH($C494,'Policy Characteristics'!$C:$C,0))),"",INDEX('Policy Characteristics'!A:A,MATCH($C494,'Policy Characteristics'!$C:$C,0)))</f>
        <v>Electricity Supply</v>
      </c>
      <c r="B494" s="262" t="str">
        <f>IF(ISBLANK(INDEX('Policy Characteristics'!B:B,MATCH($C494,'Policy Characteristics'!$C:$C,0))),"",INDEX('Policy Characteristics'!B:B,MATCH($C494,'Policy Characteristics'!$C:$C,0)))</f>
        <v>Subsidy for Capacity Construction</v>
      </c>
      <c r="C494" s="318" t="str">
        <f t="shared" si="28"/>
        <v>Perc Subsidy for Elec Capacity Construction</v>
      </c>
      <c r="D494" s="6" t="s">
        <v>3487</v>
      </c>
      <c r="E494" s="45"/>
      <c r="F494" s="6" t="s">
        <v>3494</v>
      </c>
      <c r="G494" s="6"/>
      <c r="H494" s="47">
        <v>1790</v>
      </c>
      <c r="I494" s="325" t="s">
        <v>43</v>
      </c>
      <c r="J494" s="255" t="str">
        <f>IF(ISBLANK(INDEX('Policy Characteristics'!D:D,MATCH($C494,'Policy Characteristics'!$C:$C,0))),"",INDEX('Policy Characteristics'!D:D,MATCH($C494,'Policy Characteristics'!$C:$C,0)))</f>
        <v>Subsidy for Capacity Construction</v>
      </c>
      <c r="K494" s="254" t="str">
        <f>IF(ISBLANK(INDEX('Policy Characteristics'!E:E,MATCH($C494,'Policy Characteristics'!$C:$C,0))),"",INDEX('Policy Characteristics'!E:E,MATCH($C494,'Policy Characteristics'!$C:$C,0)))</f>
        <v>elec capacity construction subsidy</v>
      </c>
      <c r="L494" s="261">
        <f>IF(ISBLANK(INDEX('Policy Characteristics'!F:F,MATCH($C494,'Policy Characteristics'!$C:$C,0))),"",INDEX('Policy Characteristics'!F:F,MATCH($C494,'Policy Characteristics'!$C:$C,0)))</f>
        <v>0</v>
      </c>
      <c r="M494" s="261">
        <f>IF(ISBLANK(INDEX('Policy Characteristics'!G:G,MATCH($C494,'Policy Characteristics'!$C:$C,0))),"",INDEX('Policy Characteristics'!G:G,MATCH($C494,'Policy Characteristics'!$C:$C,0)))</f>
        <v>0.95</v>
      </c>
      <c r="N494" s="261">
        <f>IF(ISBLANK(INDEX('Policy Characteristics'!H:H,MATCH($C494,'Policy Characteristics'!$C:$C,0))),"",INDEX('Policy Characteristics'!H:H,MATCH($C494,'Policy Characteristics'!$C:$C,0)))</f>
        <v>0.01</v>
      </c>
      <c r="O494" s="254" t="str">
        <f>IF(ISBLANK(INDEX('Policy Characteristics'!I:I,MATCH($C494,'Policy Characteristics'!$C:$C,0))),"",INDEX('Policy Characteristics'!I:I,MATCH($C494,'Policy Characteristics'!$C:$C,0)))</f>
        <v>% of construction cost</v>
      </c>
      <c r="P494" s="254"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4" t="str">
        <f>IF(ISBLANK(INDEX('Policy Characteristics'!K:K,MATCH($C494,'Policy Characteristics'!$C:$C,0))),"",INDEX('Policy Characteristics'!K:K,MATCH($C494,'Policy Characteristics'!$C:$C,0)))</f>
        <v>electricity-sector-main.html#subsidies</v>
      </c>
      <c r="R494" s="254" t="str">
        <f>IF(ISBLANK(INDEX('Policy Characteristics'!L:L,MATCH($C494,'Policy Characteristics'!$C:$C,0))),"",INDEX('Policy Characteristics'!L:L,MATCH($C494,'Policy Characteristics'!$C:$C,0)))</f>
        <v/>
      </c>
    </row>
    <row r="495" spans="1:18" s="2" customFormat="1" x14ac:dyDescent="0.3">
      <c r="A495" s="254" t="str">
        <f>IF(ISBLANK(INDEX('Policy Characteristics'!A:A,MATCH($C495,'Policy Characteristics'!$C:$C,0))),"",INDEX('Policy Characteristics'!A:A,MATCH($C495,'Policy Characteristics'!$C:$C,0)))</f>
        <v>Electricity Supply</v>
      </c>
      <c r="B495" s="262" t="str">
        <f>IF(ISBLANK(INDEX('Policy Characteristics'!B:B,MATCH($C495,'Policy Characteristics'!$C:$C,0))),"",INDEX('Policy Characteristics'!B:B,MATCH($C495,'Policy Characteristics'!$C:$C,0)))</f>
        <v>Subsidy for Capacity Construction</v>
      </c>
      <c r="C495" s="318" t="str">
        <f t="shared" si="28"/>
        <v>Perc Subsidy for Elec Capacity Construction</v>
      </c>
      <c r="D495" s="6" t="s">
        <v>3490</v>
      </c>
      <c r="E495" s="45"/>
      <c r="F495" s="6" t="s">
        <v>3495</v>
      </c>
      <c r="G495" s="6"/>
      <c r="H495" s="47">
        <v>1791</v>
      </c>
      <c r="I495" s="325" t="s">
        <v>43</v>
      </c>
      <c r="J495" s="255" t="str">
        <f>IF(ISBLANK(INDEX('Policy Characteristics'!D:D,MATCH($C495,'Policy Characteristics'!$C:$C,0))),"",INDEX('Policy Characteristics'!D:D,MATCH($C495,'Policy Characteristics'!$C:$C,0)))</f>
        <v>Subsidy for Capacity Construction</v>
      </c>
      <c r="K495" s="254" t="str">
        <f>IF(ISBLANK(INDEX('Policy Characteristics'!E:E,MATCH($C495,'Policy Characteristics'!$C:$C,0))),"",INDEX('Policy Characteristics'!E:E,MATCH($C495,'Policy Characteristics'!$C:$C,0)))</f>
        <v>elec capacity construction subsidy</v>
      </c>
      <c r="L495" s="261">
        <f>IF(ISBLANK(INDEX('Policy Characteristics'!F:F,MATCH($C495,'Policy Characteristics'!$C:$C,0))),"",INDEX('Policy Characteristics'!F:F,MATCH($C495,'Policy Characteristics'!$C:$C,0)))</f>
        <v>0</v>
      </c>
      <c r="M495" s="261">
        <f>IF(ISBLANK(INDEX('Policy Characteristics'!G:G,MATCH($C495,'Policy Characteristics'!$C:$C,0))),"",INDEX('Policy Characteristics'!G:G,MATCH($C495,'Policy Characteristics'!$C:$C,0)))</f>
        <v>0.95</v>
      </c>
      <c r="N495" s="261">
        <f>IF(ISBLANK(INDEX('Policy Characteristics'!H:H,MATCH($C495,'Policy Characteristics'!$C:$C,0))),"",INDEX('Policy Characteristics'!H:H,MATCH($C495,'Policy Characteristics'!$C:$C,0)))</f>
        <v>0.01</v>
      </c>
      <c r="O495" s="254" t="str">
        <f>IF(ISBLANK(INDEX('Policy Characteristics'!I:I,MATCH($C495,'Policy Characteristics'!$C:$C,0))),"",INDEX('Policy Characteristics'!I:I,MATCH($C495,'Policy Characteristics'!$C:$C,0)))</f>
        <v>% of construction cost</v>
      </c>
      <c r="P495" s="254"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4" t="str">
        <f>IF(ISBLANK(INDEX('Policy Characteristics'!K:K,MATCH($C495,'Policy Characteristics'!$C:$C,0))),"",INDEX('Policy Characteristics'!K:K,MATCH($C495,'Policy Characteristics'!$C:$C,0)))</f>
        <v>electricity-sector-main.html#subsidies</v>
      </c>
      <c r="R495" s="254" t="str">
        <f>IF(ISBLANK(INDEX('Policy Characteristics'!L:L,MATCH($C495,'Policy Characteristics'!$C:$C,0))),"",INDEX('Policy Characteristics'!L:L,MATCH($C495,'Policy Characteristics'!$C:$C,0)))</f>
        <v/>
      </c>
    </row>
    <row r="496" spans="1:18" s="2" customFormat="1" x14ac:dyDescent="0.3">
      <c r="A496" s="254" t="str">
        <f>IF(ISBLANK(INDEX('Policy Characteristics'!A:A,MATCH($C496,'Policy Characteristics'!$C:$C,0))),"",INDEX('Policy Characteristics'!A:A,MATCH($C496,'Policy Characteristics'!$C:$C,0)))</f>
        <v>Electricity Supply</v>
      </c>
      <c r="B496" s="262" t="str">
        <f>IF(ISBLANK(INDEX('Policy Characteristics'!B:B,MATCH($C496,'Policy Characteristics'!$C:$C,0))),"",INDEX('Policy Characteristics'!B:B,MATCH($C496,'Policy Characteristics'!$C:$C,0)))</f>
        <v>Subsidy for Capacity Construction</v>
      </c>
      <c r="C496" s="318" t="str">
        <f t="shared" si="28"/>
        <v>Perc Subsidy for Elec Capacity Construction</v>
      </c>
      <c r="D496" s="6" t="s">
        <v>3491</v>
      </c>
      <c r="E496" s="45"/>
      <c r="F496" s="6" t="s">
        <v>3496</v>
      </c>
      <c r="G496" s="6"/>
      <c r="H496" s="47">
        <v>1792</v>
      </c>
      <c r="I496" s="325" t="s">
        <v>43</v>
      </c>
      <c r="J496" s="255" t="str">
        <f>IF(ISBLANK(INDEX('Policy Characteristics'!D:D,MATCH($C496,'Policy Characteristics'!$C:$C,0))),"",INDEX('Policy Characteristics'!D:D,MATCH($C496,'Policy Characteristics'!$C:$C,0)))</f>
        <v>Subsidy for Capacity Construction</v>
      </c>
      <c r="K496" s="254" t="str">
        <f>IF(ISBLANK(INDEX('Policy Characteristics'!E:E,MATCH($C496,'Policy Characteristics'!$C:$C,0))),"",INDEX('Policy Characteristics'!E:E,MATCH($C496,'Policy Characteristics'!$C:$C,0)))</f>
        <v>elec capacity construction subsidy</v>
      </c>
      <c r="L496" s="261">
        <f>IF(ISBLANK(INDEX('Policy Characteristics'!F:F,MATCH($C496,'Policy Characteristics'!$C:$C,0))),"",INDEX('Policy Characteristics'!F:F,MATCH($C496,'Policy Characteristics'!$C:$C,0)))</f>
        <v>0</v>
      </c>
      <c r="M496" s="261">
        <f>IF(ISBLANK(INDEX('Policy Characteristics'!G:G,MATCH($C496,'Policy Characteristics'!$C:$C,0))),"",INDEX('Policy Characteristics'!G:G,MATCH($C496,'Policy Characteristics'!$C:$C,0)))</f>
        <v>0.95</v>
      </c>
      <c r="N496" s="261">
        <f>IF(ISBLANK(INDEX('Policy Characteristics'!H:H,MATCH($C496,'Policy Characteristics'!$C:$C,0))),"",INDEX('Policy Characteristics'!H:H,MATCH($C496,'Policy Characteristics'!$C:$C,0)))</f>
        <v>0.01</v>
      </c>
      <c r="O496" s="254" t="str">
        <f>IF(ISBLANK(INDEX('Policy Characteristics'!I:I,MATCH($C496,'Policy Characteristics'!$C:$C,0))),"",INDEX('Policy Characteristics'!I:I,MATCH($C496,'Policy Characteristics'!$C:$C,0)))</f>
        <v>% of construction cost</v>
      </c>
      <c r="P496" s="254"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4" t="str">
        <f>IF(ISBLANK(INDEX('Policy Characteristics'!K:K,MATCH($C496,'Policy Characteristics'!$C:$C,0))),"",INDEX('Policy Characteristics'!K:K,MATCH($C496,'Policy Characteristics'!$C:$C,0)))</f>
        <v>electricity-sector-main.html#subsidies</v>
      </c>
      <c r="R496" s="254" t="str">
        <f>IF(ISBLANK(INDEX('Policy Characteristics'!L:L,MATCH($C496,'Policy Characteristics'!$C:$C,0))),"",INDEX('Policy Characteristics'!L:L,MATCH($C496,'Policy Characteristics'!$C:$C,0)))</f>
        <v/>
      </c>
    </row>
    <row r="497" spans="1:19" s="2" customFormat="1" x14ac:dyDescent="0.3">
      <c r="A497" s="254" t="str">
        <f>IF(ISBLANK(INDEX('Policy Characteristics'!A:A,MATCH($C497,'Policy Characteristics'!$C:$C,0))),"",INDEX('Policy Characteristics'!A:A,MATCH($C497,'Policy Characteristics'!$C:$C,0)))</f>
        <v>Electricity Supply</v>
      </c>
      <c r="B497" s="262" t="str">
        <f>IF(ISBLANK(INDEX('Policy Characteristics'!B:B,MATCH($C497,'Policy Characteristics'!$C:$C,0))),"",INDEX('Policy Characteristics'!B:B,MATCH($C497,'Policy Characteristics'!$C:$C,0)))</f>
        <v>Subsidy for Capacity Construction</v>
      </c>
      <c r="C497" s="318" t="str">
        <f t="shared" si="28"/>
        <v>Perc Subsidy for Elec Capacity Construction</v>
      </c>
      <c r="D497" s="6" t="s">
        <v>3492</v>
      </c>
      <c r="E497" s="45"/>
      <c r="F497" s="6" t="s">
        <v>3497</v>
      </c>
      <c r="G497" s="6"/>
      <c r="H497" s="47">
        <v>1793</v>
      </c>
      <c r="I497" s="325" t="s">
        <v>43</v>
      </c>
      <c r="J497" s="255" t="str">
        <f>IF(ISBLANK(INDEX('Policy Characteristics'!D:D,MATCH($C497,'Policy Characteristics'!$C:$C,0))),"",INDEX('Policy Characteristics'!D:D,MATCH($C497,'Policy Characteristics'!$C:$C,0)))</f>
        <v>Subsidy for Capacity Construction</v>
      </c>
      <c r="K497" s="254" t="str">
        <f>IF(ISBLANK(INDEX('Policy Characteristics'!E:E,MATCH($C497,'Policy Characteristics'!$C:$C,0))),"",INDEX('Policy Characteristics'!E:E,MATCH($C497,'Policy Characteristics'!$C:$C,0)))</f>
        <v>elec capacity construction subsidy</v>
      </c>
      <c r="L497" s="261">
        <f>IF(ISBLANK(INDEX('Policy Characteristics'!F:F,MATCH($C497,'Policy Characteristics'!$C:$C,0))),"",INDEX('Policy Characteristics'!F:F,MATCH($C497,'Policy Characteristics'!$C:$C,0)))</f>
        <v>0</v>
      </c>
      <c r="M497" s="261">
        <f>IF(ISBLANK(INDEX('Policy Characteristics'!G:G,MATCH($C497,'Policy Characteristics'!$C:$C,0))),"",INDEX('Policy Characteristics'!G:G,MATCH($C497,'Policy Characteristics'!$C:$C,0)))</f>
        <v>0.95</v>
      </c>
      <c r="N497" s="261">
        <f>IF(ISBLANK(INDEX('Policy Characteristics'!H:H,MATCH($C497,'Policy Characteristics'!$C:$C,0))),"",INDEX('Policy Characteristics'!H:H,MATCH($C497,'Policy Characteristics'!$C:$C,0)))</f>
        <v>0.01</v>
      </c>
      <c r="O497" s="254" t="str">
        <f>IF(ISBLANK(INDEX('Policy Characteristics'!I:I,MATCH($C497,'Policy Characteristics'!$C:$C,0))),"",INDEX('Policy Characteristics'!I:I,MATCH($C497,'Policy Characteristics'!$C:$C,0)))</f>
        <v>% of construction cost</v>
      </c>
      <c r="P497" s="254"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4" t="str">
        <f>IF(ISBLANK(INDEX('Policy Characteristics'!K:K,MATCH($C497,'Policy Characteristics'!$C:$C,0))),"",INDEX('Policy Characteristics'!K:K,MATCH($C497,'Policy Characteristics'!$C:$C,0)))</f>
        <v>electricity-sector-main.html#subsidies</v>
      </c>
      <c r="R497" s="254" t="str">
        <f>IF(ISBLANK(INDEX('Policy Characteristics'!L:L,MATCH($C497,'Policy Characteristics'!$C:$C,0))),"",INDEX('Policy Characteristics'!L:L,MATCH($C497,'Policy Characteristics'!$C:$C,0)))</f>
        <v/>
      </c>
    </row>
    <row r="498" spans="1:19" s="2" customFormat="1" x14ac:dyDescent="0.3">
      <c r="A498" s="254" t="str">
        <f>IF(ISBLANK(INDEX('Policy Characteristics'!A:A,MATCH($C498,'Policy Characteristics'!$C:$C,0))),"",INDEX('Policy Characteristics'!A:A,MATCH($C498,'Policy Characteristics'!$C:$C,0)))</f>
        <v>Electricity Supply</v>
      </c>
      <c r="B498" s="262" t="str">
        <f>IF(ISBLANK(INDEX('Policy Characteristics'!B:B,MATCH($C498,'Policy Characteristics'!$C:$C,0))),"",INDEX('Policy Characteristics'!B:B,MATCH($C498,'Policy Characteristics'!$C:$C,0)))</f>
        <v>Subsidy for Capacity Construction</v>
      </c>
      <c r="C498" s="318" t="str">
        <f t="shared" si="28"/>
        <v>Perc Subsidy for Elec Capacity Construction</v>
      </c>
      <c r="D498" s="6" t="s">
        <v>3493</v>
      </c>
      <c r="E498" s="45"/>
      <c r="F498" s="6" t="s">
        <v>3498</v>
      </c>
      <c r="G498" s="6"/>
      <c r="H498" s="47">
        <v>1794</v>
      </c>
      <c r="I498" s="325" t="s">
        <v>43</v>
      </c>
      <c r="J498" s="255" t="str">
        <f>IF(ISBLANK(INDEX('Policy Characteristics'!D:D,MATCH($C498,'Policy Characteristics'!$C:$C,0))),"",INDEX('Policy Characteristics'!D:D,MATCH($C498,'Policy Characteristics'!$C:$C,0)))</f>
        <v>Subsidy for Capacity Construction</v>
      </c>
      <c r="K498" s="254" t="str">
        <f>IF(ISBLANK(INDEX('Policy Characteristics'!E:E,MATCH($C498,'Policy Characteristics'!$C:$C,0))),"",INDEX('Policy Characteristics'!E:E,MATCH($C498,'Policy Characteristics'!$C:$C,0)))</f>
        <v>elec capacity construction subsidy</v>
      </c>
      <c r="L498" s="261">
        <f>IF(ISBLANK(INDEX('Policy Characteristics'!F:F,MATCH($C498,'Policy Characteristics'!$C:$C,0))),"",INDEX('Policy Characteristics'!F:F,MATCH($C498,'Policy Characteristics'!$C:$C,0)))</f>
        <v>0</v>
      </c>
      <c r="M498" s="261">
        <f>IF(ISBLANK(INDEX('Policy Characteristics'!G:G,MATCH($C498,'Policy Characteristics'!$C:$C,0))),"",INDEX('Policy Characteristics'!G:G,MATCH($C498,'Policy Characteristics'!$C:$C,0)))</f>
        <v>0.95</v>
      </c>
      <c r="N498" s="261">
        <f>IF(ISBLANK(INDEX('Policy Characteristics'!H:H,MATCH($C498,'Policy Characteristics'!$C:$C,0))),"",INDEX('Policy Characteristics'!H:H,MATCH($C498,'Policy Characteristics'!$C:$C,0)))</f>
        <v>0.01</v>
      </c>
      <c r="O498" s="254" t="str">
        <f>IF(ISBLANK(INDEX('Policy Characteristics'!I:I,MATCH($C498,'Policy Characteristics'!$C:$C,0))),"",INDEX('Policy Characteristics'!I:I,MATCH($C498,'Policy Characteristics'!$C:$C,0)))</f>
        <v>% of construction cost</v>
      </c>
      <c r="P498" s="254"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4" t="str">
        <f>IF(ISBLANK(INDEX('Policy Characteristics'!K:K,MATCH($C498,'Policy Characteristics'!$C:$C,0))),"",INDEX('Policy Characteristics'!K:K,MATCH($C498,'Policy Characteristics'!$C:$C,0)))</f>
        <v>electricity-sector-main.html#subsidies</v>
      </c>
      <c r="R498" s="254" t="str">
        <f>IF(ISBLANK(INDEX('Policy Characteristics'!L:L,MATCH($C498,'Policy Characteristics'!$C:$C,0))),"",INDEX('Policy Characteristics'!L:L,MATCH($C498,'Policy Characteristics'!$C:$C,0)))</f>
        <v/>
      </c>
    </row>
    <row r="499" spans="1:19" s="2" customFormat="1" x14ac:dyDescent="0.3">
      <c r="A499" s="254" t="str">
        <f>IF(ISBLANK(INDEX('Policy Characteristics'!A:A,MATCH($C499,'Policy Characteristics'!$C:$C,0))),"",INDEX('Policy Characteristics'!A:A,MATCH($C499,'Policy Characteristics'!$C:$C,0)))</f>
        <v>Electricity Supply</v>
      </c>
      <c r="B499" s="262" t="str">
        <f>IF(ISBLANK(INDEX('Policy Characteristics'!B:B,MATCH($C499,'Policy Characteristics'!$C:$C,0))),"",INDEX('Policy Characteristics'!B:B,MATCH($C499,'Policy Characteristics'!$C:$C,0)))</f>
        <v>Subsidy for Capacity Construction</v>
      </c>
      <c r="C499" s="318" t="str">
        <f t="shared" si="28"/>
        <v>Perc Subsidy for Elec Capacity Construction</v>
      </c>
      <c r="D499" s="6" t="s">
        <v>3582</v>
      </c>
      <c r="E499" s="45"/>
      <c r="F499" s="6" t="s">
        <v>3580</v>
      </c>
      <c r="G499" s="6"/>
      <c r="H499" s="47">
        <v>1795</v>
      </c>
      <c r="I499" s="325" t="s">
        <v>43</v>
      </c>
      <c r="J499" s="255" t="str">
        <f>IF(ISBLANK(INDEX('Policy Characteristics'!D:D,MATCH($C499,'Policy Characteristics'!$C:$C,0))),"",INDEX('Policy Characteristics'!D:D,MATCH($C499,'Policy Characteristics'!$C:$C,0)))</f>
        <v>Subsidy for Capacity Construction</v>
      </c>
      <c r="K499" s="254" t="str">
        <f>IF(ISBLANK(INDEX('Policy Characteristics'!E:E,MATCH($C499,'Policy Characteristics'!$C:$C,0))),"",INDEX('Policy Characteristics'!E:E,MATCH($C499,'Policy Characteristics'!$C:$C,0)))</f>
        <v>elec capacity construction subsidy</v>
      </c>
      <c r="L499" s="261">
        <f>IF(ISBLANK(INDEX('Policy Characteristics'!F:F,MATCH($C499,'Policy Characteristics'!$C:$C,0))),"",INDEX('Policy Characteristics'!F:F,MATCH($C499,'Policy Characteristics'!$C:$C,0)))</f>
        <v>0</v>
      </c>
      <c r="M499" s="261">
        <f>IF(ISBLANK(INDEX('Policy Characteristics'!G:G,MATCH($C499,'Policy Characteristics'!$C:$C,0))),"",INDEX('Policy Characteristics'!G:G,MATCH($C499,'Policy Characteristics'!$C:$C,0)))</f>
        <v>0.95</v>
      </c>
      <c r="N499" s="261">
        <f>IF(ISBLANK(INDEX('Policy Characteristics'!H:H,MATCH($C499,'Policy Characteristics'!$C:$C,0))),"",INDEX('Policy Characteristics'!H:H,MATCH($C499,'Policy Characteristics'!$C:$C,0)))</f>
        <v>0.01</v>
      </c>
      <c r="O499" s="254" t="str">
        <f>IF(ISBLANK(INDEX('Policy Characteristics'!I:I,MATCH($C499,'Policy Characteristics'!$C:$C,0))),"",INDEX('Policy Characteristics'!I:I,MATCH($C499,'Policy Characteristics'!$C:$C,0)))</f>
        <v>% of construction cost</v>
      </c>
      <c r="P499" s="254"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4" t="str">
        <f>IF(ISBLANK(INDEX('Policy Characteristics'!K:K,MATCH($C499,'Policy Characteristics'!$C:$C,0))),"",INDEX('Policy Characteristics'!K:K,MATCH($C499,'Policy Characteristics'!$C:$C,0)))</f>
        <v>electricity-sector-main.html#subsidies</v>
      </c>
      <c r="R499" s="254" t="str">
        <f>IF(ISBLANK(INDEX('Policy Characteristics'!L:L,MATCH($C499,'Policy Characteristics'!$C:$C,0))),"",INDEX('Policy Characteristics'!L:L,MATCH($C499,'Policy Characteristics'!$C:$C,0)))</f>
        <v/>
      </c>
    </row>
    <row r="500" spans="1:19" s="2" customFormat="1" x14ac:dyDescent="0.3">
      <c r="A500" s="254" t="str">
        <f>IF(ISBLANK(INDEX('Policy Characteristics'!A:A,MATCH($C500,'Policy Characteristics'!$C:$C,0))),"",INDEX('Policy Characteristics'!A:A,MATCH($C500,'Policy Characteristics'!$C:$C,0)))</f>
        <v>Electricity Supply</v>
      </c>
      <c r="B500" s="262" t="str">
        <f>IF(ISBLANK(INDEX('Policy Characteristics'!B:B,MATCH($C500,'Policy Characteristics'!$C:$C,0))),"",INDEX('Policy Characteristics'!B:B,MATCH($C500,'Policy Characteristics'!$C:$C,0)))</f>
        <v>Subsidy for Capacity Construction</v>
      </c>
      <c r="C500" s="318" t="str">
        <f t="shared" si="28"/>
        <v>Perc Subsidy for Elec Capacity Construction</v>
      </c>
      <c r="D500" s="6" t="s">
        <v>3583</v>
      </c>
      <c r="E500" s="45"/>
      <c r="F500" s="6" t="s">
        <v>3581</v>
      </c>
      <c r="G500" s="6"/>
      <c r="H500" s="47">
        <v>2243</v>
      </c>
      <c r="I500" s="325" t="s">
        <v>43</v>
      </c>
      <c r="J500" s="255" t="str">
        <f>IF(ISBLANK(INDEX('Policy Characteristics'!D:D,MATCH($C500,'Policy Characteristics'!$C:$C,0))),"",INDEX('Policy Characteristics'!D:D,MATCH($C500,'Policy Characteristics'!$C:$C,0)))</f>
        <v>Subsidy for Capacity Construction</v>
      </c>
      <c r="K500" s="254" t="str">
        <f>IF(ISBLANK(INDEX('Policy Characteristics'!E:E,MATCH($C500,'Policy Characteristics'!$C:$C,0))),"",INDEX('Policy Characteristics'!E:E,MATCH($C500,'Policy Characteristics'!$C:$C,0)))</f>
        <v>elec capacity construction subsidy</v>
      </c>
      <c r="L500" s="261">
        <f>IF(ISBLANK(INDEX('Policy Characteristics'!F:F,MATCH($C500,'Policy Characteristics'!$C:$C,0))),"",INDEX('Policy Characteristics'!F:F,MATCH($C500,'Policy Characteristics'!$C:$C,0)))</f>
        <v>0</v>
      </c>
      <c r="M500" s="261">
        <f>IF(ISBLANK(INDEX('Policy Characteristics'!G:G,MATCH($C500,'Policy Characteristics'!$C:$C,0))),"",INDEX('Policy Characteristics'!G:G,MATCH($C500,'Policy Characteristics'!$C:$C,0)))</f>
        <v>0.95</v>
      </c>
      <c r="N500" s="261">
        <f>IF(ISBLANK(INDEX('Policy Characteristics'!H:H,MATCH($C500,'Policy Characteristics'!$C:$C,0))),"",INDEX('Policy Characteristics'!H:H,MATCH($C500,'Policy Characteristics'!$C:$C,0)))</f>
        <v>0.01</v>
      </c>
      <c r="O500" s="254" t="str">
        <f>IF(ISBLANK(INDEX('Policy Characteristics'!I:I,MATCH($C500,'Policy Characteristics'!$C:$C,0))),"",INDEX('Policy Characteristics'!I:I,MATCH($C500,'Policy Characteristics'!$C:$C,0)))</f>
        <v>% of construction cost</v>
      </c>
      <c r="P500" s="254"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4" t="str">
        <f>IF(ISBLANK(INDEX('Policy Characteristics'!K:K,MATCH($C500,'Policy Characteristics'!$C:$C,0))),"",INDEX('Policy Characteristics'!K:K,MATCH($C500,'Policy Characteristics'!$C:$C,0)))</f>
        <v>electricity-sector-main.html#subsidies</v>
      </c>
      <c r="R500" s="254"/>
    </row>
    <row r="501" spans="1:19" s="4" customFormat="1" x14ac:dyDescent="0.3">
      <c r="A501" s="254" t="str">
        <f>IF(ISBLANK(INDEX('Policy Characteristics'!A:A,MATCH($C501,'Policy Characteristics'!$C:$C,0))),"",INDEX('Policy Characteristics'!A:A,MATCH($C501,'Policy Characteristics'!$C:$C,0)))</f>
        <v>Electricity Supply</v>
      </c>
      <c r="B501" s="262" t="str">
        <f>IF(ISBLANK(INDEX('Policy Characteristics'!B:B,MATCH($C501,'Policy Characteristics'!$C:$C,0))),"",INDEX('Policy Characteristics'!B:B,MATCH($C501,'Policy Characteristics'!$C:$C,0)))</f>
        <v>Subsidy for Electricity Production</v>
      </c>
      <c r="C501" t="s">
        <v>131</v>
      </c>
      <c r="D501" s="45" t="s">
        <v>447</v>
      </c>
      <c r="E501" s="45"/>
      <c r="F501" s="45" t="s">
        <v>446</v>
      </c>
      <c r="G501" s="314"/>
      <c r="H501" s="43">
        <v>1564</v>
      </c>
      <c r="I501" s="325" t="s">
        <v>44</v>
      </c>
      <c r="J501" s="255" t="str">
        <f>IF(ISBLANK(INDEX('Policy Characteristics'!D:D,MATCH($C501,'Policy Characteristics'!$C:$C,0))),"",INDEX('Policy Characteristics'!D:D,MATCH($C501,'Policy Characteristics'!$C:$C,0)))</f>
        <v>Subsidy for Electricity Production</v>
      </c>
      <c r="K501" s="254" t="str">
        <f>IF(ISBLANK(INDEX('Policy Characteristics'!E:E,MATCH($C501,'Policy Characteristics'!$C:$C,0))),"",INDEX('Policy Characteristics'!E:E,MATCH($C501,'Policy Characteristics'!$C:$C,0)))</f>
        <v>elec generation subsidy</v>
      </c>
      <c r="L501" s="254">
        <f>IF(ISBLANK(INDEX('Policy Characteristics'!F:F,MATCH($C501,'Policy Characteristics'!$C:$C,0))),"",INDEX('Policy Characteristics'!F:F,MATCH($C501,'Policy Characteristics'!$C:$C,0)))</f>
        <v>0</v>
      </c>
      <c r="M501" s="254">
        <f>IF(ISBLANK(INDEX('Policy Characteristics'!G:G,MATCH($C501,'Policy Characteristics'!$C:$C,0))),"",INDEX('Policy Characteristics'!G:G,MATCH($C501,'Policy Characteristics'!$C:$C,0)))</f>
        <v>60</v>
      </c>
      <c r="N501" s="254">
        <f>IF(ISBLANK(INDEX('Policy Characteristics'!H:H,MATCH($C501,'Policy Characteristics'!$C:$C,0))),"",INDEX('Policy Characteristics'!H:H,MATCH($C501,'Policy Characteristics'!$C:$C,0)))</f>
        <v>1</v>
      </c>
      <c r="O501" s="254" t="str">
        <f>IF(ISBLANK(INDEX('Policy Characteristics'!I:I,MATCH($C501,'Policy Characteristics'!$C:$C,0))),"",INDEX('Policy Characteristics'!I:I,MATCH($C501,'Policy Characteristics'!$C:$C,0)))</f>
        <v>$/MWh</v>
      </c>
      <c r="P501" s="254" t="str">
        <f>IF(ISBLANK(INDEX('Policy Characteristics'!J:J,MATCH($C501,'Policy Characteristics'!$C:$C,0))),"",INDEX('Policy Characteristics'!J:J,MATCH($C501,'Policy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1" s="254" t="str">
        <f>IF(ISBLANK(INDEX('Policy Characteristics'!K:K,MATCH($C501,'Policy Characteristics'!$C:$C,0))),"",INDEX('Policy Characteristics'!K:K,MATCH($C501,'Policy Characteristics'!$C:$C,0)))</f>
        <v>electricity-sector-main.html#subsidies</v>
      </c>
      <c r="R501" s="254" t="str">
        <f>IF(ISBLANK(INDEX('Policy Characteristics'!L:L,MATCH($C501,'Policy Characteristics'!$C:$C,0))),"",INDEX('Policy Characteristics'!L:L,MATCH($C501,'Policy Characteristics'!$C:$C,0)))</f>
        <v>subsidy-for-electricity-production.html</v>
      </c>
      <c r="S501" s="314"/>
    </row>
    <row r="502" spans="1:19" x14ac:dyDescent="0.3">
      <c r="A502" s="254" t="str">
        <f>IF(ISBLANK(INDEX('Policy Characteristics'!A:A,MATCH($C502,'Policy Characteristics'!$C:$C,0))),"",INDEX('Policy Characteristics'!A:A,MATCH($C502,'Policy Characteristics'!$C:$C,0)))</f>
        <v>Electricity Supply</v>
      </c>
      <c r="B502" s="262" t="str">
        <f>IF(ISBLANK(INDEX('Policy Characteristics'!B:B,MATCH($C502,'Policy Characteristics'!$C:$C,0))),"",INDEX('Policy Characteristics'!B:B,MATCH($C502,'Policy Characteristics'!$C:$C,0)))</f>
        <v>Subsidy for Electricity Production</v>
      </c>
      <c r="C502" s="254" t="str">
        <f t="shared" ref="C502:C524" si="29">$C$501</f>
        <v>Subsidy for Elec Production by Fuel</v>
      </c>
      <c r="D502" s="6" t="s">
        <v>3488</v>
      </c>
      <c r="E502" s="45"/>
      <c r="F502" s="6" t="s">
        <v>3424</v>
      </c>
      <c r="G502" s="314"/>
      <c r="H502" s="43">
        <v>1566</v>
      </c>
      <c r="I502" s="325" t="s">
        <v>44</v>
      </c>
      <c r="J502" s="255" t="str">
        <f>IF(ISBLANK(INDEX('Policy Characteristics'!D:D,MATCH($C502,'Policy Characteristics'!$C:$C,0))),"",INDEX('Policy Characteristics'!D:D,MATCH($C502,'Policy Characteristics'!$C:$C,0)))</f>
        <v>Subsidy for Electricity Production</v>
      </c>
      <c r="K502" s="254" t="str">
        <f>IF(ISBLANK(INDEX('Policy Characteristics'!E:E,MATCH($C502,'Policy Characteristics'!$C:$C,0))),"",INDEX('Policy Characteristics'!E:E,MATCH($C502,'Policy Characteristics'!$C:$C,0)))</f>
        <v>elec generation subsidy</v>
      </c>
      <c r="L502" s="254">
        <f>IF(ISBLANK(INDEX('Policy Characteristics'!F:F,MATCH($C502,'Policy Characteristics'!$C:$C,0))),"",INDEX('Policy Characteristics'!F:F,MATCH($C502,'Policy Characteristics'!$C:$C,0)))</f>
        <v>0</v>
      </c>
      <c r="M502" s="254">
        <f>IF(ISBLANK(INDEX('Policy Characteristics'!G:G,MATCH($C502,'Policy Characteristics'!$C:$C,0))),"",INDEX('Policy Characteristics'!G:G,MATCH($C502,'Policy Characteristics'!$C:$C,0)))</f>
        <v>60</v>
      </c>
      <c r="N502" s="254">
        <f>IF(ISBLANK(INDEX('Policy Characteristics'!H:H,MATCH($C502,'Policy Characteristics'!$C:$C,0))),"",INDEX('Policy Characteristics'!H:H,MATCH($C502,'Policy Characteristics'!$C:$C,0)))</f>
        <v>1</v>
      </c>
      <c r="O502" s="254" t="str">
        <f>IF(ISBLANK(INDEX('Policy Characteristics'!I:I,MATCH($C502,'Policy Characteristics'!$C:$C,0))),"",INDEX('Policy Characteristics'!I:I,MATCH($C502,'Policy Characteristics'!$C:$C,0)))</f>
        <v>$/MWh</v>
      </c>
      <c r="P502" s="254" t="str">
        <f>IF(ISBLANK(INDEX('Policy Characteristics'!J:J,MATCH($C502,'Policy Characteristics'!$C:$C,0))),"",INDEX('Policy Characteristics'!J:J,MATCH($C502,'Policy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2" s="254" t="str">
        <f>IF(ISBLANK(INDEX('Policy Characteristics'!K:K,MATCH($C502,'Policy Characteristics'!$C:$C,0))),"",INDEX('Policy Characteristics'!K:K,MATCH($C502,'Policy Characteristics'!$C:$C,0)))</f>
        <v>electricity-sector-main.html#subsidies</v>
      </c>
      <c r="R502" s="254" t="str">
        <f>IF(ISBLANK(INDEX('Policy Characteristics'!L:L,MATCH($C502,'Policy Characteristics'!$C:$C,0))),"",INDEX('Policy Characteristics'!L:L,MATCH($C502,'Policy Characteristics'!$C:$C,0)))</f>
        <v>subsidy-for-electricity-production.html</v>
      </c>
      <c r="S502" s="314"/>
    </row>
    <row r="503" spans="1:19" x14ac:dyDescent="0.3">
      <c r="A503" s="254" t="str">
        <f>IF(ISBLANK(INDEX('Policy Characteristics'!A:A,MATCH($C503,'Policy Characteristics'!$C:$C,0))),"",INDEX('Policy Characteristics'!A:A,MATCH($C503,'Policy Characteristics'!$C:$C,0)))</f>
        <v>Electricity Supply</v>
      </c>
      <c r="B503" s="262" t="str">
        <f>IF(ISBLANK(INDEX('Policy Characteristics'!B:B,MATCH($C503,'Policy Characteristics'!$C:$C,0))),"",INDEX('Policy Characteristics'!B:B,MATCH($C503,'Policy Characteristics'!$C:$C,0)))</f>
        <v>Subsidy for Electricity Production</v>
      </c>
      <c r="C503" s="254" t="str">
        <f t="shared" si="29"/>
        <v>Subsidy for Elec Production by Fuel</v>
      </c>
      <c r="D503" s="6" t="s">
        <v>3489</v>
      </c>
      <c r="E503" s="45"/>
      <c r="F503" s="6" t="s">
        <v>3425</v>
      </c>
      <c r="G503" s="314"/>
      <c r="H503" s="43">
        <v>1796</v>
      </c>
      <c r="I503" s="325" t="s">
        <v>44</v>
      </c>
      <c r="J503" s="255" t="str">
        <f>IF(ISBLANK(INDEX('Policy Characteristics'!D:D,MATCH($C503,'Policy Characteristics'!$C:$C,0))),"",INDEX('Policy Characteristics'!D:D,MATCH($C503,'Policy Characteristics'!$C:$C,0)))</f>
        <v>Subsidy for Electricity Production</v>
      </c>
      <c r="K503" s="254" t="str">
        <f>IF(ISBLANK(INDEX('Policy Characteristics'!E:E,MATCH($C503,'Policy Characteristics'!$C:$C,0))),"",INDEX('Policy Characteristics'!E:E,MATCH($C503,'Policy Characteristics'!$C:$C,0)))</f>
        <v>elec generation subsidy</v>
      </c>
      <c r="L503" s="254">
        <f>IF(ISBLANK(INDEX('Policy Characteristics'!F:F,MATCH($C503,'Policy Characteristics'!$C:$C,0))),"",INDEX('Policy Characteristics'!F:F,MATCH($C503,'Policy Characteristics'!$C:$C,0)))</f>
        <v>0</v>
      </c>
      <c r="M503" s="254">
        <f>IF(ISBLANK(INDEX('Policy Characteristics'!G:G,MATCH($C503,'Policy Characteristics'!$C:$C,0))),"",INDEX('Policy Characteristics'!G:G,MATCH($C503,'Policy Characteristics'!$C:$C,0)))</f>
        <v>60</v>
      </c>
      <c r="N503" s="254">
        <f>IF(ISBLANK(INDEX('Policy Characteristics'!H:H,MATCH($C503,'Policy Characteristics'!$C:$C,0))),"",INDEX('Policy Characteristics'!H:H,MATCH($C503,'Policy Characteristics'!$C:$C,0)))</f>
        <v>1</v>
      </c>
      <c r="O503" s="254" t="str">
        <f>IF(ISBLANK(INDEX('Policy Characteristics'!I:I,MATCH($C503,'Policy Characteristics'!$C:$C,0))),"",INDEX('Policy Characteristics'!I:I,MATCH($C503,'Policy Characteristics'!$C:$C,0)))</f>
        <v>$/MWh</v>
      </c>
      <c r="P503" s="254" t="str">
        <f>IF(ISBLANK(INDEX('Policy Characteristics'!J:J,MATCH($C503,'Policy Characteristics'!$C:$C,0))),"",INDEX('Policy Characteristics'!J:J,MATCH($C503,'Policy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3" s="254" t="str">
        <f>IF(ISBLANK(INDEX('Policy Characteristics'!K:K,MATCH($C503,'Policy Characteristics'!$C:$C,0))),"",INDEX('Policy Characteristics'!K:K,MATCH($C503,'Policy Characteristics'!$C:$C,0)))</f>
        <v>electricity-sector-main.html#subsidies</v>
      </c>
      <c r="R503" s="254" t="str">
        <f>IF(ISBLANK(INDEX('Policy Characteristics'!L:L,MATCH($C503,'Policy Characteristics'!$C:$C,0))),"",INDEX('Policy Characteristics'!L:L,MATCH($C503,'Policy Characteristics'!$C:$C,0)))</f>
        <v>subsidy-for-electricity-production.html</v>
      </c>
      <c r="S503" s="314"/>
    </row>
    <row r="504" spans="1:19" x14ac:dyDescent="0.3">
      <c r="A504" s="254" t="str">
        <f>IF(ISBLANK(INDEX('Policy Characteristics'!A:A,MATCH($C504,'Policy Characteristics'!$C:$C,0))),"",INDEX('Policy Characteristics'!A:A,MATCH($C504,'Policy Characteristics'!$C:$C,0)))</f>
        <v>Electricity Supply</v>
      </c>
      <c r="B504" s="262" t="str">
        <f>IF(ISBLANK(INDEX('Policy Characteristics'!B:B,MATCH($C504,'Policy Characteristics'!$C:$C,0))),"",INDEX('Policy Characteristics'!B:B,MATCH($C504,'Policy Characteristics'!$C:$C,0)))</f>
        <v>Subsidy for Electricity Production</v>
      </c>
      <c r="C504" s="254" t="str">
        <f t="shared" si="29"/>
        <v>Subsidy for Elec Production by Fuel</v>
      </c>
      <c r="D504" s="6" t="s">
        <v>76</v>
      </c>
      <c r="E504" s="45"/>
      <c r="F504" s="6" t="s">
        <v>3499</v>
      </c>
      <c r="G504" s="314"/>
      <c r="H504" s="43">
        <v>1568</v>
      </c>
      <c r="I504" s="324" t="s">
        <v>43</v>
      </c>
      <c r="J504" s="255" t="str">
        <f>IF(ISBLANK(INDEX('Policy Characteristics'!D:D,MATCH($C504,'Policy Characteristics'!$C:$C,0))),"",INDEX('Policy Characteristics'!D:D,MATCH($C504,'Policy Characteristics'!$C:$C,0)))</f>
        <v>Subsidy for Electricity Production</v>
      </c>
      <c r="K504" s="254" t="str">
        <f>IF(ISBLANK(INDEX('Policy Characteristics'!E:E,MATCH($C504,'Policy Characteristics'!$C:$C,0))),"",INDEX('Policy Characteristics'!E:E,MATCH($C504,'Policy Characteristics'!$C:$C,0)))</f>
        <v>elec generation subsidy</v>
      </c>
      <c r="L504" s="254">
        <f>IF(ISBLANK(INDEX('Policy Characteristics'!F:F,MATCH($C504,'Policy Characteristics'!$C:$C,0))),"",INDEX('Policy Characteristics'!F:F,MATCH($C504,'Policy Characteristics'!$C:$C,0)))</f>
        <v>0</v>
      </c>
      <c r="M504" s="254">
        <f>IF(ISBLANK(INDEX('Policy Characteristics'!G:G,MATCH($C504,'Policy Characteristics'!$C:$C,0))),"",INDEX('Policy Characteristics'!G:G,MATCH($C504,'Policy Characteristics'!$C:$C,0)))</f>
        <v>60</v>
      </c>
      <c r="N504" s="254">
        <f>IF(ISBLANK(INDEX('Policy Characteristics'!H:H,MATCH($C504,'Policy Characteristics'!$C:$C,0))),"",INDEX('Policy Characteristics'!H:H,MATCH($C504,'Policy Characteristics'!$C:$C,0)))</f>
        <v>1</v>
      </c>
      <c r="O504" s="254" t="str">
        <f>IF(ISBLANK(INDEX('Policy Characteristics'!I:I,MATCH($C504,'Policy Characteristics'!$C:$C,0))),"",INDEX('Policy Characteristics'!I:I,MATCH($C504,'Policy Characteristics'!$C:$C,0)))</f>
        <v>$/MWh</v>
      </c>
      <c r="P504" s="254"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254" t="str">
        <f>IF(ISBLANK(INDEX('Policy Characteristics'!K:K,MATCH($C504,'Policy Characteristics'!$C:$C,0))),"",INDEX('Policy Characteristics'!K:K,MATCH($C504,'Policy Characteristics'!$C:$C,0)))</f>
        <v>electricity-sector-main.html#subsidies</v>
      </c>
      <c r="R504" s="254" t="str">
        <f>IF(ISBLANK(INDEX('Policy Characteristics'!L:L,MATCH($C504,'Policy Characteristics'!$C:$C,0))),"",INDEX('Policy Characteristics'!L:L,MATCH($C504,'Policy Characteristics'!$C:$C,0)))</f>
        <v>subsidy-for-electricity-production.html</v>
      </c>
      <c r="S504" s="314"/>
    </row>
    <row r="505" spans="1:19" x14ac:dyDescent="0.3">
      <c r="A505" s="254" t="str">
        <f>IF(ISBLANK(INDEX('Policy Characteristics'!A:A,MATCH($C505,'Policy Characteristics'!$C:$C,0))),"",INDEX('Policy Characteristics'!A:A,MATCH($C505,'Policy Characteristics'!$C:$C,0)))</f>
        <v>Electricity Supply</v>
      </c>
      <c r="B505" s="262" t="str">
        <f>IF(ISBLANK(INDEX('Policy Characteristics'!B:B,MATCH($C505,'Policy Characteristics'!$C:$C,0))),"",INDEX('Policy Characteristics'!B:B,MATCH($C505,'Policy Characteristics'!$C:$C,0)))</f>
        <v>Subsidy for Electricity Production</v>
      </c>
      <c r="C505" s="254" t="str">
        <f t="shared" si="29"/>
        <v>Subsidy for Elec Production by Fuel</v>
      </c>
      <c r="D505" s="6" t="s">
        <v>77</v>
      </c>
      <c r="E505" s="45"/>
      <c r="F505" s="6" t="s">
        <v>89</v>
      </c>
      <c r="G505" s="314"/>
      <c r="H505" s="43">
        <v>1570</v>
      </c>
      <c r="I505" s="324" t="s">
        <v>43</v>
      </c>
      <c r="J505" s="255" t="str">
        <f>IF(ISBLANK(INDEX('Policy Characteristics'!D:D,MATCH($C505,'Policy Characteristics'!$C:$C,0))),"",INDEX('Policy Characteristics'!D:D,MATCH($C505,'Policy Characteristics'!$C:$C,0)))</f>
        <v>Subsidy for Electricity Production</v>
      </c>
      <c r="K505" s="254" t="str">
        <f>IF(ISBLANK(INDEX('Policy Characteristics'!E:E,MATCH($C505,'Policy Characteristics'!$C:$C,0))),"",INDEX('Policy Characteristics'!E:E,MATCH($C505,'Policy Characteristics'!$C:$C,0)))</f>
        <v>elec generation subsidy</v>
      </c>
      <c r="L505" s="254">
        <f>IF(ISBLANK(INDEX('Policy Characteristics'!F:F,MATCH($C505,'Policy Characteristics'!$C:$C,0))),"",INDEX('Policy Characteristics'!F:F,MATCH($C505,'Policy Characteristics'!$C:$C,0)))</f>
        <v>0</v>
      </c>
      <c r="M505" s="254">
        <f>IF(ISBLANK(INDEX('Policy Characteristics'!G:G,MATCH($C505,'Policy Characteristics'!$C:$C,0))),"",INDEX('Policy Characteristics'!G:G,MATCH($C505,'Policy Characteristics'!$C:$C,0)))</f>
        <v>60</v>
      </c>
      <c r="N505" s="254">
        <f>IF(ISBLANK(INDEX('Policy Characteristics'!H:H,MATCH($C505,'Policy Characteristics'!$C:$C,0))),"",INDEX('Policy Characteristics'!H:H,MATCH($C505,'Policy Characteristics'!$C:$C,0)))</f>
        <v>1</v>
      </c>
      <c r="O505" s="254" t="str">
        <f>IF(ISBLANK(INDEX('Policy Characteristics'!I:I,MATCH($C505,'Policy Characteristics'!$C:$C,0))),"",INDEX('Policy Characteristics'!I:I,MATCH($C505,'Policy Characteristics'!$C:$C,0)))</f>
        <v>$/MWh</v>
      </c>
      <c r="P505" s="254"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254" t="str">
        <f>IF(ISBLANK(INDEX('Policy Characteristics'!K:K,MATCH($C505,'Policy Characteristics'!$C:$C,0))),"",INDEX('Policy Characteristics'!K:K,MATCH($C505,'Policy Characteristics'!$C:$C,0)))</f>
        <v>electricity-sector-main.html#subsidies</v>
      </c>
      <c r="R505" s="254" t="str">
        <f>IF(ISBLANK(INDEX('Policy Characteristics'!L:L,MATCH($C505,'Policy Characteristics'!$C:$C,0))),"",INDEX('Policy Characteristics'!L:L,MATCH($C505,'Policy Characteristics'!$C:$C,0)))</f>
        <v>subsidy-for-electricity-production.html</v>
      </c>
      <c r="S505" s="314"/>
    </row>
    <row r="506" spans="1:19" x14ac:dyDescent="0.3">
      <c r="A506" s="254" t="str">
        <f>IF(ISBLANK(INDEX('Policy Characteristics'!A:A,MATCH($C506,'Policy Characteristics'!$C:$C,0))),"",INDEX('Policy Characteristics'!A:A,MATCH($C506,'Policy Characteristics'!$C:$C,0)))</f>
        <v>Electricity Supply</v>
      </c>
      <c r="B506" s="262" t="str">
        <f>IF(ISBLANK(INDEX('Policy Characteristics'!B:B,MATCH($C506,'Policy Characteristics'!$C:$C,0))),"",INDEX('Policy Characteristics'!B:B,MATCH($C506,'Policy Characteristics'!$C:$C,0)))</f>
        <v>Subsidy for Electricity Production</v>
      </c>
      <c r="C506" s="254" t="str">
        <f t="shared" si="29"/>
        <v>Subsidy for Elec Production by Fuel</v>
      </c>
      <c r="D506" s="6" t="s">
        <v>448</v>
      </c>
      <c r="E506" s="45"/>
      <c r="F506" s="6" t="s">
        <v>451</v>
      </c>
      <c r="G506" s="314"/>
      <c r="H506" s="43">
        <v>1572</v>
      </c>
      <c r="I506" s="324" t="s">
        <v>43</v>
      </c>
      <c r="J506" s="255" t="str">
        <f>IF(ISBLANK(INDEX('Policy Characteristics'!D:D,MATCH($C506,'Policy Characteristics'!$C:$C,0))),"",INDEX('Policy Characteristics'!D:D,MATCH($C506,'Policy Characteristics'!$C:$C,0)))</f>
        <v>Subsidy for Electricity Production</v>
      </c>
      <c r="K506" s="254" t="str">
        <f>IF(ISBLANK(INDEX('Policy Characteristics'!E:E,MATCH($C506,'Policy Characteristics'!$C:$C,0))),"",INDEX('Policy Characteristics'!E:E,MATCH($C506,'Policy Characteristics'!$C:$C,0)))</f>
        <v>elec generation subsidy</v>
      </c>
      <c r="L506" s="254">
        <f>IF(ISBLANK(INDEX('Policy Characteristics'!F:F,MATCH($C506,'Policy Characteristics'!$C:$C,0))),"",INDEX('Policy Characteristics'!F:F,MATCH($C506,'Policy Characteristics'!$C:$C,0)))</f>
        <v>0</v>
      </c>
      <c r="M506" s="254">
        <f>IF(ISBLANK(INDEX('Policy Characteristics'!G:G,MATCH($C506,'Policy Characteristics'!$C:$C,0))),"",INDEX('Policy Characteristics'!G:G,MATCH($C506,'Policy Characteristics'!$C:$C,0)))</f>
        <v>60</v>
      </c>
      <c r="N506" s="254">
        <f>IF(ISBLANK(INDEX('Policy Characteristics'!H:H,MATCH($C506,'Policy Characteristics'!$C:$C,0))),"",INDEX('Policy Characteristics'!H:H,MATCH($C506,'Policy Characteristics'!$C:$C,0)))</f>
        <v>1</v>
      </c>
      <c r="O506" s="254" t="str">
        <f>IF(ISBLANK(INDEX('Policy Characteristics'!I:I,MATCH($C506,'Policy Characteristics'!$C:$C,0))),"",INDEX('Policy Characteristics'!I:I,MATCH($C506,'Policy Characteristics'!$C:$C,0)))</f>
        <v>$/MWh</v>
      </c>
      <c r="P506" s="254"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254" t="str">
        <f>IF(ISBLANK(INDEX('Policy Characteristics'!K:K,MATCH($C506,'Policy Characteristics'!$C:$C,0))),"",INDEX('Policy Characteristics'!K:K,MATCH($C506,'Policy Characteristics'!$C:$C,0)))</f>
        <v>electricity-sector-main.html#subsidies</v>
      </c>
      <c r="R506" s="254" t="str">
        <f>IF(ISBLANK(INDEX('Policy Characteristics'!L:L,MATCH($C506,'Policy Characteristics'!$C:$C,0))),"",INDEX('Policy Characteristics'!L:L,MATCH($C506,'Policy Characteristics'!$C:$C,0)))</f>
        <v>subsidy-for-electricity-production.html</v>
      </c>
      <c r="S506" s="314"/>
    </row>
    <row r="507" spans="1:19" x14ac:dyDescent="0.3">
      <c r="A507" s="254" t="str">
        <f>IF(ISBLANK(INDEX('Policy Characteristics'!A:A,MATCH($C507,'Policy Characteristics'!$C:$C,0))),"",INDEX('Policy Characteristics'!A:A,MATCH($C507,'Policy Characteristics'!$C:$C,0)))</f>
        <v>Electricity Supply</v>
      </c>
      <c r="B507" s="262" t="str">
        <f>IF(ISBLANK(INDEX('Policy Characteristics'!B:B,MATCH($C507,'Policy Characteristics'!$C:$C,0))),"",INDEX('Policy Characteristics'!B:B,MATCH($C507,'Policy Characteristics'!$C:$C,0)))</f>
        <v>Subsidy for Electricity Production</v>
      </c>
      <c r="C507" s="254" t="str">
        <f t="shared" si="29"/>
        <v>Subsidy for Elec Production by Fuel</v>
      </c>
      <c r="D507" s="6" t="s">
        <v>78</v>
      </c>
      <c r="E507" s="45"/>
      <c r="F507" s="6" t="s">
        <v>90</v>
      </c>
      <c r="G507" s="314"/>
      <c r="H507" s="43">
        <v>1574</v>
      </c>
      <c r="I507" s="324" t="s">
        <v>43</v>
      </c>
      <c r="J507" s="255" t="str">
        <f>IF(ISBLANK(INDEX('Policy Characteristics'!D:D,MATCH($C507,'Policy Characteristics'!$C:$C,0))),"",INDEX('Policy Characteristics'!D:D,MATCH($C507,'Policy Characteristics'!$C:$C,0)))</f>
        <v>Subsidy for Electricity Production</v>
      </c>
      <c r="K507" s="254" t="str">
        <f>IF(ISBLANK(INDEX('Policy Characteristics'!E:E,MATCH($C507,'Policy Characteristics'!$C:$C,0))),"",INDEX('Policy Characteristics'!E:E,MATCH($C507,'Policy Characteristics'!$C:$C,0)))</f>
        <v>elec generation subsidy</v>
      </c>
      <c r="L507" s="254">
        <f>IF(ISBLANK(INDEX('Policy Characteristics'!F:F,MATCH($C507,'Policy Characteristics'!$C:$C,0))),"",INDEX('Policy Characteristics'!F:F,MATCH($C507,'Policy Characteristics'!$C:$C,0)))</f>
        <v>0</v>
      </c>
      <c r="M507" s="254">
        <f>IF(ISBLANK(INDEX('Policy Characteristics'!G:G,MATCH($C507,'Policy Characteristics'!$C:$C,0))),"",INDEX('Policy Characteristics'!G:G,MATCH($C507,'Policy Characteristics'!$C:$C,0)))</f>
        <v>60</v>
      </c>
      <c r="N507" s="254">
        <f>IF(ISBLANK(INDEX('Policy Characteristics'!H:H,MATCH($C507,'Policy Characteristics'!$C:$C,0))),"",INDEX('Policy Characteristics'!H:H,MATCH($C507,'Policy Characteristics'!$C:$C,0)))</f>
        <v>1</v>
      </c>
      <c r="O507" s="254" t="str">
        <f>IF(ISBLANK(INDEX('Policy Characteristics'!I:I,MATCH($C507,'Policy Characteristics'!$C:$C,0))),"",INDEX('Policy Characteristics'!I:I,MATCH($C507,'Policy Characteristics'!$C:$C,0)))</f>
        <v>$/MWh</v>
      </c>
      <c r="P507" s="254"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254" t="str">
        <f>IF(ISBLANK(INDEX('Policy Characteristics'!K:K,MATCH($C507,'Policy Characteristics'!$C:$C,0))),"",INDEX('Policy Characteristics'!K:K,MATCH($C507,'Policy Characteristics'!$C:$C,0)))</f>
        <v>electricity-sector-main.html#subsidies</v>
      </c>
      <c r="R507" s="254" t="str">
        <f>IF(ISBLANK(INDEX('Policy Characteristics'!L:L,MATCH($C507,'Policy Characteristics'!$C:$C,0))),"",INDEX('Policy Characteristics'!L:L,MATCH($C507,'Policy Characteristics'!$C:$C,0)))</f>
        <v>subsidy-for-electricity-production.html</v>
      </c>
      <c r="S507" s="314"/>
    </row>
    <row r="508" spans="1:19" x14ac:dyDescent="0.3">
      <c r="A508" s="254" t="str">
        <f>IF(ISBLANK(INDEX('Policy Characteristics'!A:A,MATCH($C508,'Policy Characteristics'!$C:$C,0))),"",INDEX('Policy Characteristics'!A:A,MATCH($C508,'Policy Characteristics'!$C:$C,0)))</f>
        <v>Electricity Supply</v>
      </c>
      <c r="B508" s="262" t="str">
        <f>IF(ISBLANK(INDEX('Policy Characteristics'!B:B,MATCH($C508,'Policy Characteristics'!$C:$C,0))),"",INDEX('Policy Characteristics'!B:B,MATCH($C508,'Policy Characteristics'!$C:$C,0)))</f>
        <v>Subsidy for Electricity Production</v>
      </c>
      <c r="C508" s="254" t="str">
        <f t="shared" si="29"/>
        <v>Subsidy for Elec Production by Fuel</v>
      </c>
      <c r="D508" s="6" t="s">
        <v>79</v>
      </c>
      <c r="E508" s="45"/>
      <c r="F508" s="6" t="s">
        <v>91</v>
      </c>
      <c r="G508" s="314"/>
      <c r="H508" s="43">
        <v>1576</v>
      </c>
      <c r="I508" s="324" t="s">
        <v>43</v>
      </c>
      <c r="J508" s="255" t="str">
        <f>IF(ISBLANK(INDEX('Policy Characteristics'!D:D,MATCH($C508,'Policy Characteristics'!$C:$C,0))),"",INDEX('Policy Characteristics'!D:D,MATCH($C508,'Policy Characteristics'!$C:$C,0)))</f>
        <v>Subsidy for Electricity Production</v>
      </c>
      <c r="K508" s="254" t="str">
        <f>IF(ISBLANK(INDEX('Policy Characteristics'!E:E,MATCH($C508,'Policy Characteristics'!$C:$C,0))),"",INDEX('Policy Characteristics'!E:E,MATCH($C508,'Policy Characteristics'!$C:$C,0)))</f>
        <v>elec generation subsidy</v>
      </c>
      <c r="L508" s="254">
        <f>IF(ISBLANK(INDEX('Policy Characteristics'!F:F,MATCH($C508,'Policy Characteristics'!$C:$C,0))),"",INDEX('Policy Characteristics'!F:F,MATCH($C508,'Policy Characteristics'!$C:$C,0)))</f>
        <v>0</v>
      </c>
      <c r="M508" s="254">
        <f>IF(ISBLANK(INDEX('Policy Characteristics'!G:G,MATCH($C508,'Policy Characteristics'!$C:$C,0))),"",INDEX('Policy Characteristics'!G:G,MATCH($C508,'Policy Characteristics'!$C:$C,0)))</f>
        <v>60</v>
      </c>
      <c r="N508" s="254">
        <f>IF(ISBLANK(INDEX('Policy Characteristics'!H:H,MATCH($C508,'Policy Characteristics'!$C:$C,0))),"",INDEX('Policy Characteristics'!H:H,MATCH($C508,'Policy Characteristics'!$C:$C,0)))</f>
        <v>1</v>
      </c>
      <c r="O508" s="254" t="str">
        <f>IF(ISBLANK(INDEX('Policy Characteristics'!I:I,MATCH($C508,'Policy Characteristics'!$C:$C,0))),"",INDEX('Policy Characteristics'!I:I,MATCH($C508,'Policy Characteristics'!$C:$C,0)))</f>
        <v>$/MWh</v>
      </c>
      <c r="P508" s="254"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254" t="str">
        <f>IF(ISBLANK(INDEX('Policy Characteristics'!K:K,MATCH($C508,'Policy Characteristics'!$C:$C,0))),"",INDEX('Policy Characteristics'!K:K,MATCH($C508,'Policy Characteristics'!$C:$C,0)))</f>
        <v>electricity-sector-main.html#subsidies</v>
      </c>
      <c r="R508" s="254" t="str">
        <f>IF(ISBLANK(INDEX('Policy Characteristics'!L:L,MATCH($C508,'Policy Characteristics'!$C:$C,0))),"",INDEX('Policy Characteristics'!L:L,MATCH($C508,'Policy Characteristics'!$C:$C,0)))</f>
        <v>subsidy-for-electricity-production.html</v>
      </c>
      <c r="S508" s="314"/>
    </row>
    <row r="509" spans="1:19" x14ac:dyDescent="0.3">
      <c r="A509" s="254" t="str">
        <f>IF(ISBLANK(INDEX('Policy Characteristics'!A:A,MATCH($C509,'Policy Characteristics'!$C:$C,0))),"",INDEX('Policy Characteristics'!A:A,MATCH($C509,'Policy Characteristics'!$C:$C,0)))</f>
        <v>Electricity Supply</v>
      </c>
      <c r="B509" s="262" t="str">
        <f>IF(ISBLANK(INDEX('Policy Characteristics'!B:B,MATCH($C509,'Policy Characteristics'!$C:$C,0))),"",INDEX('Policy Characteristics'!B:B,MATCH($C509,'Policy Characteristics'!$C:$C,0)))</f>
        <v>Subsidy for Electricity Production</v>
      </c>
      <c r="C509" s="254" t="str">
        <f t="shared" si="29"/>
        <v>Subsidy for Elec Production by Fuel</v>
      </c>
      <c r="D509" s="6" t="s">
        <v>80</v>
      </c>
      <c r="E509" s="45"/>
      <c r="F509" s="6" t="s">
        <v>92</v>
      </c>
      <c r="G509" s="314"/>
      <c r="H509" s="43">
        <v>1578</v>
      </c>
      <c r="I509" s="324" t="s">
        <v>43</v>
      </c>
      <c r="J509" s="255" t="str">
        <f>IF(ISBLANK(INDEX('Policy Characteristics'!D:D,MATCH($C509,'Policy Characteristics'!$C:$C,0))),"",INDEX('Policy Characteristics'!D:D,MATCH($C509,'Policy Characteristics'!$C:$C,0)))</f>
        <v>Subsidy for Electricity Production</v>
      </c>
      <c r="K509" s="254" t="str">
        <f>IF(ISBLANK(INDEX('Policy Characteristics'!E:E,MATCH($C509,'Policy Characteristics'!$C:$C,0))),"",INDEX('Policy Characteristics'!E:E,MATCH($C509,'Policy Characteristics'!$C:$C,0)))</f>
        <v>elec generation subsidy</v>
      </c>
      <c r="L509" s="254">
        <f>IF(ISBLANK(INDEX('Policy Characteristics'!F:F,MATCH($C509,'Policy Characteristics'!$C:$C,0))),"",INDEX('Policy Characteristics'!F:F,MATCH($C509,'Policy Characteristics'!$C:$C,0)))</f>
        <v>0</v>
      </c>
      <c r="M509" s="254">
        <f>IF(ISBLANK(INDEX('Policy Characteristics'!G:G,MATCH($C509,'Policy Characteristics'!$C:$C,0))),"",INDEX('Policy Characteristics'!G:G,MATCH($C509,'Policy Characteristics'!$C:$C,0)))</f>
        <v>60</v>
      </c>
      <c r="N509" s="254">
        <f>IF(ISBLANK(INDEX('Policy Characteristics'!H:H,MATCH($C509,'Policy Characteristics'!$C:$C,0))),"",INDEX('Policy Characteristics'!H:H,MATCH($C509,'Policy Characteristics'!$C:$C,0)))</f>
        <v>1</v>
      </c>
      <c r="O509" s="254" t="str">
        <f>IF(ISBLANK(INDEX('Policy Characteristics'!I:I,MATCH($C509,'Policy Characteristics'!$C:$C,0))),"",INDEX('Policy Characteristics'!I:I,MATCH($C509,'Policy Characteristics'!$C:$C,0)))</f>
        <v>$/MWh</v>
      </c>
      <c r="P509" s="254"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254" t="str">
        <f>IF(ISBLANK(INDEX('Policy Characteristics'!K:K,MATCH($C509,'Policy Characteristics'!$C:$C,0))),"",INDEX('Policy Characteristics'!K:K,MATCH($C509,'Policy Characteristics'!$C:$C,0)))</f>
        <v>electricity-sector-main.html#subsidies</v>
      </c>
      <c r="R509" s="254" t="str">
        <f>IF(ISBLANK(INDEX('Policy Characteristics'!L:L,MATCH($C509,'Policy Characteristics'!$C:$C,0))),"",INDEX('Policy Characteristics'!L:L,MATCH($C509,'Policy Characteristics'!$C:$C,0)))</f>
        <v>subsidy-for-electricity-production.html</v>
      </c>
      <c r="S509" s="314"/>
    </row>
    <row r="510" spans="1:19" x14ac:dyDescent="0.3">
      <c r="A510" s="254" t="str">
        <f>IF(ISBLANK(INDEX('Policy Characteristics'!A:A,MATCH($C510,'Policy Characteristics'!$C:$C,0))),"",INDEX('Policy Characteristics'!A:A,MATCH($C510,'Policy Characteristics'!$C:$C,0)))</f>
        <v>Electricity Supply</v>
      </c>
      <c r="B510" s="262" t="str">
        <f>IF(ISBLANK(INDEX('Policy Characteristics'!B:B,MATCH($C510,'Policy Characteristics'!$C:$C,0))),"",INDEX('Policy Characteristics'!B:B,MATCH($C510,'Policy Characteristics'!$C:$C,0)))</f>
        <v>Subsidy for Electricity Production</v>
      </c>
      <c r="C510" s="254" t="str">
        <f t="shared" si="29"/>
        <v>Subsidy for Elec Production by Fuel</v>
      </c>
      <c r="D510" s="6" t="s">
        <v>2425</v>
      </c>
      <c r="E510" s="45"/>
      <c r="F510" s="6" t="s">
        <v>436</v>
      </c>
      <c r="G510" s="314"/>
      <c r="H510" s="43">
        <v>1591</v>
      </c>
      <c r="I510" s="324" t="s">
        <v>43</v>
      </c>
      <c r="J510" s="255" t="str">
        <f>IF(ISBLANK(INDEX('Policy Characteristics'!D:D,MATCH($C510,'Policy Characteristics'!$C:$C,0))),"",INDEX('Policy Characteristics'!D:D,MATCH($C510,'Policy Characteristics'!$C:$C,0)))</f>
        <v>Subsidy for Electricity Production</v>
      </c>
      <c r="K510" s="254" t="str">
        <f>IF(ISBLANK(INDEX('Policy Characteristics'!E:E,MATCH($C510,'Policy Characteristics'!$C:$C,0))),"",INDEX('Policy Characteristics'!E:E,MATCH($C510,'Policy Characteristics'!$C:$C,0)))</f>
        <v>elec generation subsidy</v>
      </c>
      <c r="L510" s="254">
        <f>IF(ISBLANK(INDEX('Policy Characteristics'!F:F,MATCH($C510,'Policy Characteristics'!$C:$C,0))),"",INDEX('Policy Characteristics'!F:F,MATCH($C510,'Policy Characteristics'!$C:$C,0)))</f>
        <v>0</v>
      </c>
      <c r="M510" s="254">
        <f>IF(ISBLANK(INDEX('Policy Characteristics'!G:G,MATCH($C510,'Policy Characteristics'!$C:$C,0))),"",INDEX('Policy Characteristics'!G:G,MATCH($C510,'Policy Characteristics'!$C:$C,0)))</f>
        <v>60</v>
      </c>
      <c r="N510" s="254">
        <f>IF(ISBLANK(INDEX('Policy Characteristics'!H:H,MATCH($C510,'Policy Characteristics'!$C:$C,0))),"",INDEX('Policy Characteristics'!H:H,MATCH($C510,'Policy Characteristics'!$C:$C,0)))</f>
        <v>1</v>
      </c>
      <c r="O510" s="254" t="str">
        <f>IF(ISBLANK(INDEX('Policy Characteristics'!I:I,MATCH($C510,'Policy Characteristics'!$C:$C,0))),"",INDEX('Policy Characteristics'!I:I,MATCH($C510,'Policy Characteristics'!$C:$C,0)))</f>
        <v>$/MWh</v>
      </c>
      <c r="P510" s="254"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254" t="str">
        <f>IF(ISBLANK(INDEX('Policy Characteristics'!K:K,MATCH($C510,'Policy Characteristics'!$C:$C,0))),"",INDEX('Policy Characteristics'!K:K,MATCH($C510,'Policy Characteristics'!$C:$C,0)))</f>
        <v>electricity-sector-main.html#subsidies</v>
      </c>
      <c r="R510" s="254" t="str">
        <f>IF(ISBLANK(INDEX('Policy Characteristics'!L:L,MATCH($C510,'Policy Characteristics'!$C:$C,0))),"",INDEX('Policy Characteristics'!L:L,MATCH($C510,'Policy Characteristics'!$C:$C,0)))</f>
        <v>subsidy-for-electricity-production.html</v>
      </c>
      <c r="S510" s="314"/>
    </row>
    <row r="511" spans="1:19" x14ac:dyDescent="0.3">
      <c r="A511" s="254" t="str">
        <f>IF(ISBLANK(INDEX('Policy Characteristics'!A:A,MATCH($C511,'Policy Characteristics'!$C:$C,0))),"",INDEX('Policy Characteristics'!A:A,MATCH($C511,'Policy Characteristics'!$C:$C,0)))</f>
        <v>Electricity Supply</v>
      </c>
      <c r="B511" s="262" t="str">
        <f>IF(ISBLANK(INDEX('Policy Characteristics'!B:B,MATCH($C511,'Policy Characteristics'!$C:$C,0))),"",INDEX('Policy Characteristics'!B:B,MATCH($C511,'Policy Characteristics'!$C:$C,0)))</f>
        <v>Subsidy for Electricity Production</v>
      </c>
      <c r="C511" s="254" t="str">
        <f t="shared" si="29"/>
        <v>Subsidy for Elec Production by Fuel</v>
      </c>
      <c r="D511" s="6" t="s">
        <v>308</v>
      </c>
      <c r="E511" s="45"/>
      <c r="F511" s="6" t="s">
        <v>310</v>
      </c>
      <c r="G511" s="314"/>
      <c r="H511" s="43">
        <v>1594</v>
      </c>
      <c r="I511" s="325" t="s">
        <v>44</v>
      </c>
      <c r="J511" s="255" t="str">
        <f>IF(ISBLANK(INDEX('Policy Characteristics'!D:D,MATCH($C511,'Policy Characteristics'!$C:$C,0))),"",INDEX('Policy Characteristics'!D:D,MATCH($C511,'Policy Characteristics'!$C:$C,0)))</f>
        <v>Subsidy for Electricity Production</v>
      </c>
      <c r="K511" s="254" t="str">
        <f>IF(ISBLANK(INDEX('Policy Characteristics'!E:E,MATCH($C511,'Policy Characteristics'!$C:$C,0))),"",INDEX('Policy Characteristics'!E:E,MATCH($C511,'Policy Characteristics'!$C:$C,0)))</f>
        <v>elec generation subsidy</v>
      </c>
      <c r="L511" s="254">
        <f>IF(ISBLANK(INDEX('Policy Characteristics'!F:F,MATCH($C511,'Policy Characteristics'!$C:$C,0))),"",INDEX('Policy Characteristics'!F:F,MATCH($C511,'Policy Characteristics'!$C:$C,0)))</f>
        <v>0</v>
      </c>
      <c r="M511" s="254">
        <f>IF(ISBLANK(INDEX('Policy Characteristics'!G:G,MATCH($C511,'Policy Characteristics'!$C:$C,0))),"",INDEX('Policy Characteristics'!G:G,MATCH($C511,'Policy Characteristics'!$C:$C,0)))</f>
        <v>60</v>
      </c>
      <c r="N511" s="254">
        <f>IF(ISBLANK(INDEX('Policy Characteristics'!H:H,MATCH($C511,'Policy Characteristics'!$C:$C,0))),"",INDEX('Policy Characteristics'!H:H,MATCH($C511,'Policy Characteristics'!$C:$C,0)))</f>
        <v>1</v>
      </c>
      <c r="O511" s="254" t="str">
        <f>IF(ISBLANK(INDEX('Policy Characteristics'!I:I,MATCH($C511,'Policy Characteristics'!$C:$C,0))),"",INDEX('Policy Characteristics'!I:I,MATCH($C511,'Policy Characteristics'!$C:$C,0)))</f>
        <v>$/MWh</v>
      </c>
      <c r="P511" s="254"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254" t="str">
        <f>IF(ISBLANK(INDEX('Policy Characteristics'!K:K,MATCH($C511,'Policy Characteristics'!$C:$C,0))),"",INDEX('Policy Characteristics'!K:K,MATCH($C511,'Policy Characteristics'!$C:$C,0)))</f>
        <v>electricity-sector-main.html#subsidies</v>
      </c>
      <c r="R511" s="254" t="str">
        <f>IF(ISBLANK(INDEX('Policy Characteristics'!L:L,MATCH($C511,'Policy Characteristics'!$C:$C,0))),"",INDEX('Policy Characteristics'!L:L,MATCH($C511,'Policy Characteristics'!$C:$C,0)))</f>
        <v>subsidy-for-electricity-production.html</v>
      </c>
      <c r="S511" s="314"/>
    </row>
    <row r="512" spans="1:19" x14ac:dyDescent="0.3">
      <c r="A512" s="254" t="str">
        <f>IF(ISBLANK(INDEX('Policy Characteristics'!A:A,MATCH($C512,'Policy Characteristics'!$C:$C,0))),"",INDEX('Policy Characteristics'!A:A,MATCH($C512,'Policy Characteristics'!$C:$C,0)))</f>
        <v>Electricity Supply</v>
      </c>
      <c r="B512" s="262" t="str">
        <f>IF(ISBLANK(INDEX('Policy Characteristics'!B:B,MATCH($C512,'Policy Characteristics'!$C:$C,0))),"",INDEX('Policy Characteristics'!B:B,MATCH($C512,'Policy Characteristics'!$C:$C,0)))</f>
        <v>Subsidy for Electricity Production</v>
      </c>
      <c r="C512" s="254" t="str">
        <f t="shared" si="29"/>
        <v>Subsidy for Elec Production by Fuel</v>
      </c>
      <c r="D512" s="6" t="s">
        <v>309</v>
      </c>
      <c r="E512" s="45"/>
      <c r="F512" s="6" t="s">
        <v>311</v>
      </c>
      <c r="G512" s="314"/>
      <c r="H512" s="43">
        <v>1597</v>
      </c>
      <c r="I512" s="325" t="s">
        <v>44</v>
      </c>
      <c r="J512" s="255" t="str">
        <f>IF(ISBLANK(INDEX('Policy Characteristics'!D:D,MATCH($C512,'Policy Characteristics'!$C:$C,0))),"",INDEX('Policy Characteristics'!D:D,MATCH($C512,'Policy Characteristics'!$C:$C,0)))</f>
        <v>Subsidy for Electricity Production</v>
      </c>
      <c r="K512" s="254" t="str">
        <f>IF(ISBLANK(INDEX('Policy Characteristics'!E:E,MATCH($C512,'Policy Characteristics'!$C:$C,0))),"",INDEX('Policy Characteristics'!E:E,MATCH($C512,'Policy Characteristics'!$C:$C,0)))</f>
        <v>elec generation subsidy</v>
      </c>
      <c r="L512" s="254">
        <f>IF(ISBLANK(INDEX('Policy Characteristics'!F:F,MATCH($C512,'Policy Characteristics'!$C:$C,0))),"",INDEX('Policy Characteristics'!F:F,MATCH($C512,'Policy Characteristics'!$C:$C,0)))</f>
        <v>0</v>
      </c>
      <c r="M512" s="254">
        <f>IF(ISBLANK(INDEX('Policy Characteristics'!G:G,MATCH($C512,'Policy Characteristics'!$C:$C,0))),"",INDEX('Policy Characteristics'!G:G,MATCH($C512,'Policy Characteristics'!$C:$C,0)))</f>
        <v>60</v>
      </c>
      <c r="N512" s="254">
        <f>IF(ISBLANK(INDEX('Policy Characteristics'!H:H,MATCH($C512,'Policy Characteristics'!$C:$C,0))),"",INDEX('Policy Characteristics'!H:H,MATCH($C512,'Policy Characteristics'!$C:$C,0)))</f>
        <v>1</v>
      </c>
      <c r="O512" s="254" t="str">
        <f>IF(ISBLANK(INDEX('Policy Characteristics'!I:I,MATCH($C512,'Policy Characteristics'!$C:$C,0))),"",INDEX('Policy Characteristics'!I:I,MATCH($C512,'Policy Characteristics'!$C:$C,0)))</f>
        <v>$/MWh</v>
      </c>
      <c r="P512" s="254"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254" t="str">
        <f>IF(ISBLANK(INDEX('Policy Characteristics'!K:K,MATCH($C512,'Policy Characteristics'!$C:$C,0))),"",INDEX('Policy Characteristics'!K:K,MATCH($C512,'Policy Characteristics'!$C:$C,0)))</f>
        <v>electricity-sector-main.html#subsidies</v>
      </c>
      <c r="R512" s="254" t="str">
        <f>IF(ISBLANK(INDEX('Policy Characteristics'!L:L,MATCH($C512,'Policy Characteristics'!$C:$C,0))),"",INDEX('Policy Characteristics'!L:L,MATCH($C512,'Policy Characteristics'!$C:$C,0)))</f>
        <v>subsidy-for-electricity-production.html</v>
      </c>
      <c r="S512" s="314"/>
    </row>
    <row r="513" spans="1:19" x14ac:dyDescent="0.3">
      <c r="A513" s="254" t="str">
        <f>IF(ISBLANK(INDEX('Policy Characteristics'!A:A,MATCH($C513,'Policy Characteristics'!$C:$C,0))),"",INDEX('Policy Characteristics'!A:A,MATCH($C513,'Policy Characteristics'!$C:$C,0)))</f>
        <v>Electricity Supply</v>
      </c>
      <c r="B513" s="262" t="str">
        <f>IF(ISBLANK(INDEX('Policy Characteristics'!B:B,MATCH($C513,'Policy Characteristics'!$C:$C,0))),"",INDEX('Policy Characteristics'!B:B,MATCH($C513,'Policy Characteristics'!$C:$C,0)))</f>
        <v>Subsidy for Electricity Production</v>
      </c>
      <c r="C513" s="254" t="str">
        <f t="shared" si="29"/>
        <v>Subsidy for Elec Production by Fuel</v>
      </c>
      <c r="D513" s="6" t="s">
        <v>444</v>
      </c>
      <c r="E513" s="45"/>
      <c r="F513" s="6" t="s">
        <v>443</v>
      </c>
      <c r="G513" s="314"/>
      <c r="H513" s="43">
        <v>1580</v>
      </c>
      <c r="I513" s="325" t="s">
        <v>44</v>
      </c>
      <c r="J513" s="255" t="str">
        <f>IF(ISBLANK(INDEX('Policy Characteristics'!D:D,MATCH($C513,'Policy Characteristics'!$C:$C,0))),"",INDEX('Policy Characteristics'!D:D,MATCH($C513,'Policy Characteristics'!$C:$C,0)))</f>
        <v>Subsidy for Electricity Production</v>
      </c>
      <c r="K513" s="254" t="str">
        <f>IF(ISBLANK(INDEX('Policy Characteristics'!E:E,MATCH($C513,'Policy Characteristics'!$C:$C,0))),"",INDEX('Policy Characteristics'!E:E,MATCH($C513,'Policy Characteristics'!$C:$C,0)))</f>
        <v>elec generation subsidy</v>
      </c>
      <c r="L513" s="254">
        <f>IF(ISBLANK(INDEX('Policy Characteristics'!F:F,MATCH($C513,'Policy Characteristics'!$C:$C,0))),"",INDEX('Policy Characteristics'!F:F,MATCH($C513,'Policy Characteristics'!$C:$C,0)))</f>
        <v>0</v>
      </c>
      <c r="M513" s="254">
        <f>IF(ISBLANK(INDEX('Policy Characteristics'!G:G,MATCH($C513,'Policy Characteristics'!$C:$C,0))),"",INDEX('Policy Characteristics'!G:G,MATCH($C513,'Policy Characteristics'!$C:$C,0)))</f>
        <v>60</v>
      </c>
      <c r="N513" s="254">
        <f>IF(ISBLANK(INDEX('Policy Characteristics'!H:H,MATCH($C513,'Policy Characteristics'!$C:$C,0))),"",INDEX('Policy Characteristics'!H:H,MATCH($C513,'Policy Characteristics'!$C:$C,0)))</f>
        <v>1</v>
      </c>
      <c r="O513" s="254" t="str">
        <f>IF(ISBLANK(INDEX('Policy Characteristics'!I:I,MATCH($C513,'Policy Characteristics'!$C:$C,0))),"",INDEX('Policy Characteristics'!I:I,MATCH($C513,'Policy Characteristics'!$C:$C,0)))</f>
        <v>$/MWh</v>
      </c>
      <c r="P513" s="254"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254" t="str">
        <f>IF(ISBLANK(INDEX('Policy Characteristics'!K:K,MATCH($C513,'Policy Characteristics'!$C:$C,0))),"",INDEX('Policy Characteristics'!K:K,MATCH($C513,'Policy Characteristics'!$C:$C,0)))</f>
        <v>electricity-sector-main.html#subsidies</v>
      </c>
      <c r="R513" s="254" t="str">
        <f>IF(ISBLANK(INDEX('Policy Characteristics'!L:L,MATCH($C513,'Policy Characteristics'!$C:$C,0))),"",INDEX('Policy Characteristics'!L:L,MATCH($C513,'Policy Characteristics'!$C:$C,0)))</f>
        <v>subsidy-for-electricity-production.html</v>
      </c>
      <c r="S513" s="314"/>
    </row>
    <row r="514" spans="1:19" x14ac:dyDescent="0.3">
      <c r="A514" s="254" t="str">
        <f>IF(ISBLANK(INDEX('Policy Characteristics'!A:A,MATCH($C514,'Policy Characteristics'!$C:$C,0))),"",INDEX('Policy Characteristics'!A:A,MATCH($C514,'Policy Characteristics'!$C:$C,0)))</f>
        <v>Electricity Supply</v>
      </c>
      <c r="B514" s="262" t="str">
        <f>IF(ISBLANK(INDEX('Policy Characteristics'!B:B,MATCH($C514,'Policy Characteristics'!$C:$C,0))),"",INDEX('Policy Characteristics'!B:B,MATCH($C514,'Policy Characteristics'!$C:$C,0)))</f>
        <v>Subsidy for Electricity Production</v>
      </c>
      <c r="C514" s="254" t="str">
        <f t="shared" si="29"/>
        <v>Subsidy for Elec Production by Fuel</v>
      </c>
      <c r="D514" s="6" t="s">
        <v>453</v>
      </c>
      <c r="E514" s="45"/>
      <c r="F514" s="6" t="s">
        <v>454</v>
      </c>
      <c r="G514" s="314"/>
      <c r="H514" s="43">
        <v>1582</v>
      </c>
      <c r="I514" s="324" t="s">
        <v>43</v>
      </c>
      <c r="J514" s="255" t="str">
        <f>IF(ISBLANK(INDEX('Policy Characteristics'!D:D,MATCH($C514,'Policy Characteristics'!$C:$C,0))),"",INDEX('Policy Characteristics'!D:D,MATCH($C514,'Policy Characteristics'!$C:$C,0)))</f>
        <v>Subsidy for Electricity Production</v>
      </c>
      <c r="K514" s="254" t="str">
        <f>IF(ISBLANK(INDEX('Policy Characteristics'!E:E,MATCH($C514,'Policy Characteristics'!$C:$C,0))),"",INDEX('Policy Characteristics'!E:E,MATCH($C514,'Policy Characteristics'!$C:$C,0)))</f>
        <v>elec generation subsidy</v>
      </c>
      <c r="L514" s="254">
        <f>IF(ISBLANK(INDEX('Policy Characteristics'!F:F,MATCH($C514,'Policy Characteristics'!$C:$C,0))),"",INDEX('Policy Characteristics'!F:F,MATCH($C514,'Policy Characteristics'!$C:$C,0)))</f>
        <v>0</v>
      </c>
      <c r="M514" s="254">
        <f>IF(ISBLANK(INDEX('Policy Characteristics'!G:G,MATCH($C514,'Policy Characteristics'!$C:$C,0))),"",INDEX('Policy Characteristics'!G:G,MATCH($C514,'Policy Characteristics'!$C:$C,0)))</f>
        <v>60</v>
      </c>
      <c r="N514" s="254">
        <f>IF(ISBLANK(INDEX('Policy Characteristics'!H:H,MATCH($C514,'Policy Characteristics'!$C:$C,0))),"",INDEX('Policy Characteristics'!H:H,MATCH($C514,'Policy Characteristics'!$C:$C,0)))</f>
        <v>1</v>
      </c>
      <c r="O514" s="254" t="str">
        <f>IF(ISBLANK(INDEX('Policy Characteristics'!I:I,MATCH($C514,'Policy Characteristics'!$C:$C,0))),"",INDEX('Policy Characteristics'!I:I,MATCH($C514,'Policy Characteristics'!$C:$C,0)))</f>
        <v>$/MWh</v>
      </c>
      <c r="P514" s="254"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254" t="str">
        <f>IF(ISBLANK(INDEX('Policy Characteristics'!K:K,MATCH($C514,'Policy Characteristics'!$C:$C,0))),"",INDEX('Policy Characteristics'!K:K,MATCH($C514,'Policy Characteristics'!$C:$C,0)))</f>
        <v>electricity-sector-main.html#subsidies</v>
      </c>
      <c r="R514" s="254" t="str">
        <f>IF(ISBLANK(INDEX('Policy Characteristics'!L:L,MATCH($C514,'Policy Characteristics'!$C:$C,0))),"",INDEX('Policy Characteristics'!L:L,MATCH($C514,'Policy Characteristics'!$C:$C,0)))</f>
        <v>subsidy-for-electricity-production.html</v>
      </c>
      <c r="S514" s="314"/>
    </row>
    <row r="515" spans="1:19" x14ac:dyDescent="0.3">
      <c r="A515" s="254" t="str">
        <f>IF(ISBLANK(INDEX('Policy Characteristics'!A:A,MATCH($C515,'Policy Characteristics'!$C:$C,0))),"",INDEX('Policy Characteristics'!A:A,MATCH($C515,'Policy Characteristics'!$C:$C,0)))</f>
        <v>Electricity Supply</v>
      </c>
      <c r="B515" s="262" t="str">
        <f>IF(ISBLANK(INDEX('Policy Characteristics'!B:B,MATCH($C515,'Policy Characteristics'!$C:$C,0))),"",INDEX('Policy Characteristics'!B:B,MATCH($C515,'Policy Characteristics'!$C:$C,0)))</f>
        <v>Subsidy for Electricity Production</v>
      </c>
      <c r="C515" s="254" t="str">
        <f t="shared" si="29"/>
        <v>Subsidy for Elec Production by Fuel</v>
      </c>
      <c r="D515" s="6" t="s">
        <v>2748</v>
      </c>
      <c r="E515" s="45"/>
      <c r="F515" s="6" t="s">
        <v>2469</v>
      </c>
      <c r="G515" s="314"/>
      <c r="H515" s="43">
        <v>1584</v>
      </c>
      <c r="I515" s="325" t="s">
        <v>44</v>
      </c>
      <c r="J515" s="255" t="str">
        <f>IF(ISBLANK(INDEX('Policy Characteristics'!D:D,MATCH($C515,'Policy Characteristics'!$C:$C,0))),"",INDEX('Policy Characteristics'!D:D,MATCH($C515,'Policy Characteristics'!$C:$C,0)))</f>
        <v>Subsidy for Electricity Production</v>
      </c>
      <c r="K515" s="254" t="str">
        <f>IF(ISBLANK(INDEX('Policy Characteristics'!E:E,MATCH($C515,'Policy Characteristics'!$C:$C,0))),"",INDEX('Policy Characteristics'!E:E,MATCH($C515,'Policy Characteristics'!$C:$C,0)))</f>
        <v>elec generation subsidy</v>
      </c>
      <c r="L515" s="254">
        <f>IF(ISBLANK(INDEX('Policy Characteristics'!F:F,MATCH($C515,'Policy Characteristics'!$C:$C,0))),"",INDEX('Policy Characteristics'!F:F,MATCH($C515,'Policy Characteristics'!$C:$C,0)))</f>
        <v>0</v>
      </c>
      <c r="M515" s="254">
        <f>IF(ISBLANK(INDEX('Policy Characteristics'!G:G,MATCH($C515,'Policy Characteristics'!$C:$C,0))),"",INDEX('Policy Characteristics'!G:G,MATCH($C515,'Policy Characteristics'!$C:$C,0)))</f>
        <v>60</v>
      </c>
      <c r="N515" s="254">
        <f>IF(ISBLANK(INDEX('Policy Characteristics'!H:H,MATCH($C515,'Policy Characteristics'!$C:$C,0))),"",INDEX('Policy Characteristics'!H:H,MATCH($C515,'Policy Characteristics'!$C:$C,0)))</f>
        <v>1</v>
      </c>
      <c r="O515" s="254" t="str">
        <f>IF(ISBLANK(INDEX('Policy Characteristics'!I:I,MATCH($C515,'Policy Characteristics'!$C:$C,0))),"",INDEX('Policy Characteristics'!I:I,MATCH($C515,'Policy Characteristics'!$C:$C,0)))</f>
        <v>$/MWh</v>
      </c>
      <c r="P515" s="254"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254" t="str">
        <f>IF(ISBLANK(INDEX('Policy Characteristics'!K:K,MATCH($C515,'Policy Characteristics'!$C:$C,0))),"",INDEX('Policy Characteristics'!K:K,MATCH($C515,'Policy Characteristics'!$C:$C,0)))</f>
        <v>electricity-sector-main.html#subsidies</v>
      </c>
      <c r="R515" s="254" t="str">
        <f>IF(ISBLANK(INDEX('Policy Characteristics'!L:L,MATCH($C515,'Policy Characteristics'!$C:$C,0))),"",INDEX('Policy Characteristics'!L:L,MATCH($C515,'Policy Characteristics'!$C:$C,0)))</f>
        <v>subsidy-for-electricity-production.html</v>
      </c>
      <c r="S515" s="314"/>
    </row>
    <row r="516" spans="1:19" x14ac:dyDescent="0.3">
      <c r="A516" s="254" t="str">
        <f>IF(ISBLANK(INDEX('Policy Characteristics'!A:A,MATCH($C516,'Policy Characteristics'!$C:$C,0))),"",INDEX('Policy Characteristics'!A:A,MATCH($C516,'Policy Characteristics'!$C:$C,0)))</f>
        <v>Electricity Supply</v>
      </c>
      <c r="B516" s="262" t="str">
        <f>IF(ISBLANK(INDEX('Policy Characteristics'!B:B,MATCH($C516,'Policy Characteristics'!$C:$C,0))),"",INDEX('Policy Characteristics'!B:B,MATCH($C516,'Policy Characteristics'!$C:$C,0)))</f>
        <v>Subsidy for Electricity Production</v>
      </c>
      <c r="C516" s="254" t="str">
        <f t="shared" si="29"/>
        <v>Subsidy for Elec Production by Fuel</v>
      </c>
      <c r="D516" s="6" t="s">
        <v>2749</v>
      </c>
      <c r="E516" s="45"/>
      <c r="F516" s="6" t="s">
        <v>2592</v>
      </c>
      <c r="G516" s="314"/>
      <c r="H516" s="43">
        <v>1586</v>
      </c>
      <c r="I516" s="325" t="s">
        <v>44</v>
      </c>
      <c r="J516" s="255" t="str">
        <f>IF(ISBLANK(INDEX('Policy Characteristics'!D:D,MATCH($C516,'Policy Characteristics'!$C:$C,0))),"",INDEX('Policy Characteristics'!D:D,MATCH($C516,'Policy Characteristics'!$C:$C,0)))</f>
        <v>Subsidy for Electricity Production</v>
      </c>
      <c r="K516" s="254" t="str">
        <f>IF(ISBLANK(INDEX('Policy Characteristics'!E:E,MATCH($C516,'Policy Characteristics'!$C:$C,0))),"",INDEX('Policy Characteristics'!E:E,MATCH($C516,'Policy Characteristics'!$C:$C,0)))</f>
        <v>elec generation subsidy</v>
      </c>
      <c r="L516" s="254">
        <f>IF(ISBLANK(INDEX('Policy Characteristics'!F:F,MATCH($C516,'Policy Characteristics'!$C:$C,0))),"",INDEX('Policy Characteristics'!F:F,MATCH($C516,'Policy Characteristics'!$C:$C,0)))</f>
        <v>0</v>
      </c>
      <c r="M516" s="254">
        <f>IF(ISBLANK(INDEX('Policy Characteristics'!G:G,MATCH($C516,'Policy Characteristics'!$C:$C,0))),"",INDEX('Policy Characteristics'!G:G,MATCH($C516,'Policy Characteristics'!$C:$C,0)))</f>
        <v>60</v>
      </c>
      <c r="N516" s="254">
        <f>IF(ISBLANK(INDEX('Policy Characteristics'!H:H,MATCH($C516,'Policy Characteristics'!$C:$C,0))),"",INDEX('Policy Characteristics'!H:H,MATCH($C516,'Policy Characteristics'!$C:$C,0)))</f>
        <v>1</v>
      </c>
      <c r="O516" s="254" t="str">
        <f>IF(ISBLANK(INDEX('Policy Characteristics'!I:I,MATCH($C516,'Policy Characteristics'!$C:$C,0))),"",INDEX('Policy Characteristics'!I:I,MATCH($C516,'Policy Characteristics'!$C:$C,0)))</f>
        <v>$/MWh</v>
      </c>
      <c r="P516" s="254"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254" t="str">
        <f>IF(ISBLANK(INDEX('Policy Characteristics'!K:K,MATCH($C516,'Policy Characteristics'!$C:$C,0))),"",INDEX('Policy Characteristics'!K:K,MATCH($C516,'Policy Characteristics'!$C:$C,0)))</f>
        <v>electricity-sector-main.html#subsidies</v>
      </c>
      <c r="R516" s="254" t="str">
        <f>IF(ISBLANK(INDEX('Policy Characteristics'!L:L,MATCH($C516,'Policy Characteristics'!$C:$C,0))),"",INDEX('Policy Characteristics'!L:L,MATCH($C516,'Policy Characteristics'!$C:$C,0)))</f>
        <v>subsidy-for-electricity-production.html</v>
      </c>
      <c r="S516" s="314"/>
    </row>
    <row r="517" spans="1:19" x14ac:dyDescent="0.3">
      <c r="A517" s="254" t="str">
        <f>IF(ISBLANK(INDEX('Policy Characteristics'!A:A,MATCH($C517,'Policy Characteristics'!$C:$C,0))),"",INDEX('Policy Characteristics'!A:A,MATCH($C517,'Policy Characteristics'!$C:$C,0)))</f>
        <v>Electricity Supply</v>
      </c>
      <c r="B517" s="262" t="str">
        <f>IF(ISBLANK(INDEX('Policy Characteristics'!B:B,MATCH($C517,'Policy Characteristics'!$C:$C,0))),"",INDEX('Policy Characteristics'!B:B,MATCH($C517,'Policy Characteristics'!$C:$C,0)))</f>
        <v>Subsidy for Electricity Production</v>
      </c>
      <c r="C517" s="254" t="str">
        <f t="shared" si="29"/>
        <v>Subsidy for Elec Production by Fuel</v>
      </c>
      <c r="D517" s="6" t="s">
        <v>2750</v>
      </c>
      <c r="E517" s="45"/>
      <c r="F517" s="6" t="s">
        <v>2471</v>
      </c>
      <c r="G517" s="314"/>
      <c r="H517" s="43">
        <v>1588</v>
      </c>
      <c r="I517" s="325" t="s">
        <v>43</v>
      </c>
      <c r="J517" s="255" t="str">
        <f>IF(ISBLANK(INDEX('Policy Characteristics'!D:D,MATCH($C517,'Policy Characteristics'!$C:$C,0))),"",INDEX('Policy Characteristics'!D:D,MATCH($C517,'Policy Characteristics'!$C:$C,0)))</f>
        <v>Subsidy for Electricity Production</v>
      </c>
      <c r="K517" s="254" t="str">
        <f>IF(ISBLANK(INDEX('Policy Characteristics'!E:E,MATCH($C517,'Policy Characteristics'!$C:$C,0))),"",INDEX('Policy Characteristics'!E:E,MATCH($C517,'Policy Characteristics'!$C:$C,0)))</f>
        <v>elec generation subsidy</v>
      </c>
      <c r="L517" s="254">
        <f>IF(ISBLANK(INDEX('Policy Characteristics'!F:F,MATCH($C517,'Policy Characteristics'!$C:$C,0))),"",INDEX('Policy Characteristics'!F:F,MATCH($C517,'Policy Characteristics'!$C:$C,0)))</f>
        <v>0</v>
      </c>
      <c r="M517" s="254">
        <f>IF(ISBLANK(INDEX('Policy Characteristics'!G:G,MATCH($C517,'Policy Characteristics'!$C:$C,0))),"",INDEX('Policy Characteristics'!G:G,MATCH($C517,'Policy Characteristics'!$C:$C,0)))</f>
        <v>60</v>
      </c>
      <c r="N517" s="254">
        <f>IF(ISBLANK(INDEX('Policy Characteristics'!H:H,MATCH($C517,'Policy Characteristics'!$C:$C,0))),"",INDEX('Policy Characteristics'!H:H,MATCH($C517,'Policy Characteristics'!$C:$C,0)))</f>
        <v>1</v>
      </c>
      <c r="O517" s="254" t="str">
        <f>IF(ISBLANK(INDEX('Policy Characteristics'!I:I,MATCH($C517,'Policy Characteristics'!$C:$C,0))),"",INDEX('Policy Characteristics'!I:I,MATCH($C517,'Policy Characteristics'!$C:$C,0)))</f>
        <v>$/MWh</v>
      </c>
      <c r="P517" s="254"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254" t="str">
        <f>IF(ISBLANK(INDEX('Policy Characteristics'!K:K,MATCH($C517,'Policy Characteristics'!$C:$C,0))),"",INDEX('Policy Characteristics'!K:K,MATCH($C517,'Policy Characteristics'!$C:$C,0)))</f>
        <v>electricity-sector-main.html#subsidies</v>
      </c>
      <c r="R517" s="254" t="str">
        <f>IF(ISBLANK(INDEX('Policy Characteristics'!L:L,MATCH($C517,'Policy Characteristics'!$C:$C,0))),"",INDEX('Policy Characteristics'!L:L,MATCH($C517,'Policy Characteristics'!$C:$C,0)))</f>
        <v>subsidy-for-electricity-production.html</v>
      </c>
      <c r="S517" s="314"/>
    </row>
    <row r="518" spans="1:19" x14ac:dyDescent="0.3">
      <c r="A518" s="254" t="str">
        <f>IF(ISBLANK(INDEX('Policy Characteristics'!A:A,MATCH($C518,'Policy Characteristics'!$C:$C,0))),"",INDEX('Policy Characteristics'!A:A,MATCH($C518,'Policy Characteristics'!$C:$C,0)))</f>
        <v>Electricity Supply</v>
      </c>
      <c r="B518" s="262" t="str">
        <f>IF(ISBLANK(INDEX('Policy Characteristics'!B:B,MATCH($C518,'Policy Characteristics'!$C:$C,0))),"",INDEX('Policy Characteristics'!B:B,MATCH($C518,'Policy Characteristics'!$C:$C,0)))</f>
        <v>Subsidy for Electricity Production</v>
      </c>
      <c r="C518" s="254" t="str">
        <f t="shared" si="29"/>
        <v>Subsidy for Elec Production by Fuel</v>
      </c>
      <c r="D518" s="6" t="s">
        <v>3487</v>
      </c>
      <c r="E518" s="45"/>
      <c r="F518" s="6" t="s">
        <v>3494</v>
      </c>
      <c r="G518" s="314"/>
      <c r="H518" s="43">
        <v>1797</v>
      </c>
      <c r="I518" s="325" t="s">
        <v>43</v>
      </c>
      <c r="J518" s="255" t="str">
        <f>IF(ISBLANK(INDEX('Policy Characteristics'!D:D,MATCH($C518,'Policy Characteristics'!$C:$C,0))),"",INDEX('Policy Characteristics'!D:D,MATCH($C518,'Policy Characteristics'!$C:$C,0)))</f>
        <v>Subsidy for Electricity Production</v>
      </c>
      <c r="K518" s="254" t="str">
        <f>IF(ISBLANK(INDEX('Policy Characteristics'!E:E,MATCH($C518,'Policy Characteristics'!$C:$C,0))),"",INDEX('Policy Characteristics'!E:E,MATCH($C518,'Policy Characteristics'!$C:$C,0)))</f>
        <v>elec generation subsidy</v>
      </c>
      <c r="L518" s="254">
        <f>IF(ISBLANK(INDEX('Policy Characteristics'!F:F,MATCH($C518,'Policy Characteristics'!$C:$C,0))),"",INDEX('Policy Characteristics'!F:F,MATCH($C518,'Policy Characteristics'!$C:$C,0)))</f>
        <v>0</v>
      </c>
      <c r="M518" s="254">
        <f>IF(ISBLANK(INDEX('Policy Characteristics'!G:G,MATCH($C518,'Policy Characteristics'!$C:$C,0))),"",INDEX('Policy Characteristics'!G:G,MATCH($C518,'Policy Characteristics'!$C:$C,0)))</f>
        <v>60</v>
      </c>
      <c r="N518" s="254">
        <f>IF(ISBLANK(INDEX('Policy Characteristics'!H:H,MATCH($C518,'Policy Characteristics'!$C:$C,0))),"",INDEX('Policy Characteristics'!H:H,MATCH($C518,'Policy Characteristics'!$C:$C,0)))</f>
        <v>1</v>
      </c>
      <c r="O518" s="254" t="str">
        <f>IF(ISBLANK(INDEX('Policy Characteristics'!I:I,MATCH($C518,'Policy Characteristics'!$C:$C,0))),"",INDEX('Policy Characteristics'!I:I,MATCH($C518,'Policy Characteristics'!$C:$C,0)))</f>
        <v>$/MWh</v>
      </c>
      <c r="P518" s="254"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254" t="str">
        <f>IF(ISBLANK(INDEX('Policy Characteristics'!K:K,MATCH($C518,'Policy Characteristics'!$C:$C,0))),"",INDEX('Policy Characteristics'!K:K,MATCH($C518,'Policy Characteristics'!$C:$C,0)))</f>
        <v>electricity-sector-main.html#subsidies</v>
      </c>
      <c r="R518" s="254" t="str">
        <f>IF(ISBLANK(INDEX('Policy Characteristics'!L:L,MATCH($C518,'Policy Characteristics'!$C:$C,0))),"",INDEX('Policy Characteristics'!L:L,MATCH($C518,'Policy Characteristics'!$C:$C,0)))</f>
        <v>subsidy-for-electricity-production.html</v>
      </c>
      <c r="S518" s="314"/>
    </row>
    <row r="519" spans="1:19" x14ac:dyDescent="0.3">
      <c r="A519" s="254" t="str">
        <f>IF(ISBLANK(INDEX('Policy Characteristics'!A:A,MATCH($C519,'Policy Characteristics'!$C:$C,0))),"",INDEX('Policy Characteristics'!A:A,MATCH($C519,'Policy Characteristics'!$C:$C,0)))</f>
        <v>Electricity Supply</v>
      </c>
      <c r="B519" s="262" t="str">
        <f>IF(ISBLANK(INDEX('Policy Characteristics'!B:B,MATCH($C519,'Policy Characteristics'!$C:$C,0))),"",INDEX('Policy Characteristics'!B:B,MATCH($C519,'Policy Characteristics'!$C:$C,0)))</f>
        <v>Subsidy for Electricity Production</v>
      </c>
      <c r="C519" s="254" t="str">
        <f t="shared" si="29"/>
        <v>Subsidy for Elec Production by Fuel</v>
      </c>
      <c r="D519" s="6" t="s">
        <v>3490</v>
      </c>
      <c r="E519" s="45"/>
      <c r="F519" s="6" t="s">
        <v>3495</v>
      </c>
      <c r="G519" s="314"/>
      <c r="H519" s="43">
        <v>1798</v>
      </c>
      <c r="I519" s="325" t="s">
        <v>43</v>
      </c>
      <c r="J519" s="255" t="str">
        <f>IF(ISBLANK(INDEX('Policy Characteristics'!D:D,MATCH($C519,'Policy Characteristics'!$C:$C,0))),"",INDEX('Policy Characteristics'!D:D,MATCH($C519,'Policy Characteristics'!$C:$C,0)))</f>
        <v>Subsidy for Electricity Production</v>
      </c>
      <c r="K519" s="254" t="str">
        <f>IF(ISBLANK(INDEX('Policy Characteristics'!E:E,MATCH($C519,'Policy Characteristics'!$C:$C,0))),"",INDEX('Policy Characteristics'!E:E,MATCH($C519,'Policy Characteristics'!$C:$C,0)))</f>
        <v>elec generation subsidy</v>
      </c>
      <c r="L519" s="254">
        <f>IF(ISBLANK(INDEX('Policy Characteristics'!F:F,MATCH($C519,'Policy Characteristics'!$C:$C,0))),"",INDEX('Policy Characteristics'!F:F,MATCH($C519,'Policy Characteristics'!$C:$C,0)))</f>
        <v>0</v>
      </c>
      <c r="M519" s="254">
        <f>IF(ISBLANK(INDEX('Policy Characteristics'!G:G,MATCH($C519,'Policy Characteristics'!$C:$C,0))),"",INDEX('Policy Characteristics'!G:G,MATCH($C519,'Policy Characteristics'!$C:$C,0)))</f>
        <v>60</v>
      </c>
      <c r="N519" s="254">
        <f>IF(ISBLANK(INDEX('Policy Characteristics'!H:H,MATCH($C519,'Policy Characteristics'!$C:$C,0))),"",INDEX('Policy Characteristics'!H:H,MATCH($C519,'Policy Characteristics'!$C:$C,0)))</f>
        <v>1</v>
      </c>
      <c r="O519" s="254" t="str">
        <f>IF(ISBLANK(INDEX('Policy Characteristics'!I:I,MATCH($C519,'Policy Characteristics'!$C:$C,0))),"",INDEX('Policy Characteristics'!I:I,MATCH($C519,'Policy Characteristics'!$C:$C,0)))</f>
        <v>$/MWh</v>
      </c>
      <c r="P519" s="254"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254" t="str">
        <f>IF(ISBLANK(INDEX('Policy Characteristics'!K:K,MATCH($C519,'Policy Characteristics'!$C:$C,0))),"",INDEX('Policy Characteristics'!K:K,MATCH($C519,'Policy Characteristics'!$C:$C,0)))</f>
        <v>electricity-sector-main.html#subsidies</v>
      </c>
      <c r="R519" s="254" t="str">
        <f>IF(ISBLANK(INDEX('Policy Characteristics'!L:L,MATCH($C519,'Policy Characteristics'!$C:$C,0))),"",INDEX('Policy Characteristics'!L:L,MATCH($C519,'Policy Characteristics'!$C:$C,0)))</f>
        <v>subsidy-for-electricity-production.html</v>
      </c>
      <c r="S519" s="314"/>
    </row>
    <row r="520" spans="1:19" x14ac:dyDescent="0.3">
      <c r="A520" s="254" t="str">
        <f>IF(ISBLANK(INDEX('Policy Characteristics'!A:A,MATCH($C520,'Policy Characteristics'!$C:$C,0))),"",INDEX('Policy Characteristics'!A:A,MATCH($C520,'Policy Characteristics'!$C:$C,0)))</f>
        <v>Electricity Supply</v>
      </c>
      <c r="B520" s="262" t="str">
        <f>IF(ISBLANK(INDEX('Policy Characteristics'!B:B,MATCH($C520,'Policy Characteristics'!$C:$C,0))),"",INDEX('Policy Characteristics'!B:B,MATCH($C520,'Policy Characteristics'!$C:$C,0)))</f>
        <v>Subsidy for Electricity Production</v>
      </c>
      <c r="C520" s="254" t="str">
        <f t="shared" si="29"/>
        <v>Subsidy for Elec Production by Fuel</v>
      </c>
      <c r="D520" s="6" t="s">
        <v>3491</v>
      </c>
      <c r="E520" s="45"/>
      <c r="F520" s="6" t="s">
        <v>3496</v>
      </c>
      <c r="G520" s="314"/>
      <c r="H520" s="43">
        <v>1799</v>
      </c>
      <c r="I520" s="325" t="s">
        <v>43</v>
      </c>
      <c r="J520" s="255" t="str">
        <f>IF(ISBLANK(INDEX('Policy Characteristics'!D:D,MATCH($C520,'Policy Characteristics'!$C:$C,0))),"",INDEX('Policy Characteristics'!D:D,MATCH($C520,'Policy Characteristics'!$C:$C,0)))</f>
        <v>Subsidy for Electricity Production</v>
      </c>
      <c r="K520" s="254" t="str">
        <f>IF(ISBLANK(INDEX('Policy Characteristics'!E:E,MATCH($C520,'Policy Characteristics'!$C:$C,0))),"",INDEX('Policy Characteristics'!E:E,MATCH($C520,'Policy Characteristics'!$C:$C,0)))</f>
        <v>elec generation subsidy</v>
      </c>
      <c r="L520" s="254">
        <f>IF(ISBLANK(INDEX('Policy Characteristics'!F:F,MATCH($C520,'Policy Characteristics'!$C:$C,0))),"",INDEX('Policy Characteristics'!F:F,MATCH($C520,'Policy Characteristics'!$C:$C,0)))</f>
        <v>0</v>
      </c>
      <c r="M520" s="254">
        <f>IF(ISBLANK(INDEX('Policy Characteristics'!G:G,MATCH($C520,'Policy Characteristics'!$C:$C,0))),"",INDEX('Policy Characteristics'!G:G,MATCH($C520,'Policy Characteristics'!$C:$C,0)))</f>
        <v>60</v>
      </c>
      <c r="N520" s="254">
        <f>IF(ISBLANK(INDEX('Policy Characteristics'!H:H,MATCH($C520,'Policy Characteristics'!$C:$C,0))),"",INDEX('Policy Characteristics'!H:H,MATCH($C520,'Policy Characteristics'!$C:$C,0)))</f>
        <v>1</v>
      </c>
      <c r="O520" s="254" t="str">
        <f>IF(ISBLANK(INDEX('Policy Characteristics'!I:I,MATCH($C520,'Policy Characteristics'!$C:$C,0))),"",INDEX('Policy Characteristics'!I:I,MATCH($C520,'Policy Characteristics'!$C:$C,0)))</f>
        <v>$/MWh</v>
      </c>
      <c r="P520" s="254"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254" t="str">
        <f>IF(ISBLANK(INDEX('Policy Characteristics'!K:K,MATCH($C520,'Policy Characteristics'!$C:$C,0))),"",INDEX('Policy Characteristics'!K:K,MATCH($C520,'Policy Characteristics'!$C:$C,0)))</f>
        <v>electricity-sector-main.html#subsidies</v>
      </c>
      <c r="R520" s="254" t="str">
        <f>IF(ISBLANK(INDEX('Policy Characteristics'!L:L,MATCH($C520,'Policy Characteristics'!$C:$C,0))),"",INDEX('Policy Characteristics'!L:L,MATCH($C520,'Policy Characteristics'!$C:$C,0)))</f>
        <v>subsidy-for-electricity-production.html</v>
      </c>
      <c r="S520" s="314"/>
    </row>
    <row r="521" spans="1:19" x14ac:dyDescent="0.3">
      <c r="A521" s="254" t="str">
        <f>IF(ISBLANK(INDEX('Policy Characteristics'!A:A,MATCH($C521,'Policy Characteristics'!$C:$C,0))),"",INDEX('Policy Characteristics'!A:A,MATCH($C521,'Policy Characteristics'!$C:$C,0)))</f>
        <v>Electricity Supply</v>
      </c>
      <c r="B521" s="262" t="str">
        <f>IF(ISBLANK(INDEX('Policy Characteristics'!B:B,MATCH($C521,'Policy Characteristics'!$C:$C,0))),"",INDEX('Policy Characteristics'!B:B,MATCH($C521,'Policy Characteristics'!$C:$C,0)))</f>
        <v>Subsidy for Electricity Production</v>
      </c>
      <c r="C521" s="254" t="str">
        <f t="shared" si="29"/>
        <v>Subsidy for Elec Production by Fuel</v>
      </c>
      <c r="D521" s="6" t="s">
        <v>3492</v>
      </c>
      <c r="E521" s="45"/>
      <c r="F521" s="6" t="s">
        <v>3497</v>
      </c>
      <c r="G521" s="314"/>
      <c r="H521" s="43">
        <v>1800</v>
      </c>
      <c r="I521" s="325" t="s">
        <v>43</v>
      </c>
      <c r="J521" s="255" t="str">
        <f>IF(ISBLANK(INDEX('Policy Characteristics'!D:D,MATCH($C521,'Policy Characteristics'!$C:$C,0))),"",INDEX('Policy Characteristics'!D:D,MATCH($C521,'Policy Characteristics'!$C:$C,0)))</f>
        <v>Subsidy for Electricity Production</v>
      </c>
      <c r="K521" s="254" t="str">
        <f>IF(ISBLANK(INDEX('Policy Characteristics'!E:E,MATCH($C521,'Policy Characteristics'!$C:$C,0))),"",INDEX('Policy Characteristics'!E:E,MATCH($C521,'Policy Characteristics'!$C:$C,0)))</f>
        <v>elec generation subsidy</v>
      </c>
      <c r="L521" s="254">
        <f>IF(ISBLANK(INDEX('Policy Characteristics'!F:F,MATCH($C521,'Policy Characteristics'!$C:$C,0))),"",INDEX('Policy Characteristics'!F:F,MATCH($C521,'Policy Characteristics'!$C:$C,0)))</f>
        <v>0</v>
      </c>
      <c r="M521" s="254">
        <f>IF(ISBLANK(INDEX('Policy Characteristics'!G:G,MATCH($C521,'Policy Characteristics'!$C:$C,0))),"",INDEX('Policy Characteristics'!G:G,MATCH($C521,'Policy Characteristics'!$C:$C,0)))</f>
        <v>60</v>
      </c>
      <c r="N521" s="254">
        <f>IF(ISBLANK(INDEX('Policy Characteristics'!H:H,MATCH($C521,'Policy Characteristics'!$C:$C,0))),"",INDEX('Policy Characteristics'!H:H,MATCH($C521,'Policy Characteristics'!$C:$C,0)))</f>
        <v>1</v>
      </c>
      <c r="O521" s="254" t="str">
        <f>IF(ISBLANK(INDEX('Policy Characteristics'!I:I,MATCH($C521,'Policy Characteristics'!$C:$C,0))),"",INDEX('Policy Characteristics'!I:I,MATCH($C521,'Policy Characteristics'!$C:$C,0)))</f>
        <v>$/MWh</v>
      </c>
      <c r="P521" s="254"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254" t="str">
        <f>IF(ISBLANK(INDEX('Policy Characteristics'!K:K,MATCH($C521,'Policy Characteristics'!$C:$C,0))),"",INDEX('Policy Characteristics'!K:K,MATCH($C521,'Policy Characteristics'!$C:$C,0)))</f>
        <v>electricity-sector-main.html#subsidies</v>
      </c>
      <c r="R521" s="254" t="str">
        <f>IF(ISBLANK(INDEX('Policy Characteristics'!L:L,MATCH($C521,'Policy Characteristics'!$C:$C,0))),"",INDEX('Policy Characteristics'!L:L,MATCH($C521,'Policy Characteristics'!$C:$C,0)))</f>
        <v>subsidy-for-electricity-production.html</v>
      </c>
      <c r="S521" s="314"/>
    </row>
    <row r="522" spans="1:19" x14ac:dyDescent="0.3">
      <c r="A522" s="254" t="str">
        <f>IF(ISBLANK(INDEX('Policy Characteristics'!A:A,MATCH($C522,'Policy Characteristics'!$C:$C,0))),"",INDEX('Policy Characteristics'!A:A,MATCH($C522,'Policy Characteristics'!$C:$C,0)))</f>
        <v>Electricity Supply</v>
      </c>
      <c r="B522" s="262" t="str">
        <f>IF(ISBLANK(INDEX('Policy Characteristics'!B:B,MATCH($C522,'Policy Characteristics'!$C:$C,0))),"",INDEX('Policy Characteristics'!B:B,MATCH($C522,'Policy Characteristics'!$C:$C,0)))</f>
        <v>Subsidy for Electricity Production</v>
      </c>
      <c r="C522" s="254" t="str">
        <f t="shared" si="29"/>
        <v>Subsidy for Elec Production by Fuel</v>
      </c>
      <c r="D522" s="6" t="s">
        <v>3493</v>
      </c>
      <c r="E522" s="45"/>
      <c r="F522" s="6" t="s">
        <v>3498</v>
      </c>
      <c r="G522" s="314"/>
      <c r="H522" s="43">
        <v>1801</v>
      </c>
      <c r="I522" s="325" t="s">
        <v>43</v>
      </c>
      <c r="J522" s="255" t="str">
        <f>IF(ISBLANK(INDEX('Policy Characteristics'!D:D,MATCH($C522,'Policy Characteristics'!$C:$C,0))),"",INDEX('Policy Characteristics'!D:D,MATCH($C522,'Policy Characteristics'!$C:$C,0)))</f>
        <v>Subsidy for Electricity Production</v>
      </c>
      <c r="K522" s="254" t="str">
        <f>IF(ISBLANK(INDEX('Policy Characteristics'!E:E,MATCH($C522,'Policy Characteristics'!$C:$C,0))),"",INDEX('Policy Characteristics'!E:E,MATCH($C522,'Policy Characteristics'!$C:$C,0)))</f>
        <v>elec generation subsidy</v>
      </c>
      <c r="L522" s="254">
        <f>IF(ISBLANK(INDEX('Policy Characteristics'!F:F,MATCH($C522,'Policy Characteristics'!$C:$C,0))),"",INDEX('Policy Characteristics'!F:F,MATCH($C522,'Policy Characteristics'!$C:$C,0)))</f>
        <v>0</v>
      </c>
      <c r="M522" s="254">
        <f>IF(ISBLANK(INDEX('Policy Characteristics'!G:G,MATCH($C522,'Policy Characteristics'!$C:$C,0))),"",INDEX('Policy Characteristics'!G:G,MATCH($C522,'Policy Characteristics'!$C:$C,0)))</f>
        <v>60</v>
      </c>
      <c r="N522" s="254">
        <f>IF(ISBLANK(INDEX('Policy Characteristics'!H:H,MATCH($C522,'Policy Characteristics'!$C:$C,0))),"",INDEX('Policy Characteristics'!H:H,MATCH($C522,'Policy Characteristics'!$C:$C,0)))</f>
        <v>1</v>
      </c>
      <c r="O522" s="254" t="str">
        <f>IF(ISBLANK(INDEX('Policy Characteristics'!I:I,MATCH($C522,'Policy Characteristics'!$C:$C,0))),"",INDEX('Policy Characteristics'!I:I,MATCH($C522,'Policy Characteristics'!$C:$C,0)))</f>
        <v>$/MWh</v>
      </c>
      <c r="P522" s="254"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254" t="str">
        <f>IF(ISBLANK(INDEX('Policy Characteristics'!K:K,MATCH($C522,'Policy Characteristics'!$C:$C,0))),"",INDEX('Policy Characteristics'!K:K,MATCH($C522,'Policy Characteristics'!$C:$C,0)))</f>
        <v>electricity-sector-main.html#subsidies</v>
      </c>
      <c r="R522" s="254" t="str">
        <f>IF(ISBLANK(INDEX('Policy Characteristics'!L:L,MATCH($C522,'Policy Characteristics'!$C:$C,0))),"",INDEX('Policy Characteristics'!L:L,MATCH($C522,'Policy Characteristics'!$C:$C,0)))</f>
        <v>subsidy-for-electricity-production.html</v>
      </c>
      <c r="S522" s="314"/>
    </row>
    <row r="523" spans="1:19" x14ac:dyDescent="0.3">
      <c r="A523" s="254" t="str">
        <f>IF(ISBLANK(INDEX('Policy Characteristics'!A:A,MATCH($C523,'Policy Characteristics'!$C:$C,0))),"",INDEX('Policy Characteristics'!A:A,MATCH($C523,'Policy Characteristics'!$C:$C,0)))</f>
        <v>Electricity Supply</v>
      </c>
      <c r="B523" s="262" t="str">
        <f>IF(ISBLANK(INDEX('Policy Characteristics'!B:B,MATCH($C523,'Policy Characteristics'!$C:$C,0))),"",INDEX('Policy Characteristics'!B:B,MATCH($C523,'Policy Characteristics'!$C:$C,0)))</f>
        <v>Subsidy for Electricity Production</v>
      </c>
      <c r="C523" s="254" t="str">
        <f t="shared" si="29"/>
        <v>Subsidy for Elec Production by Fuel</v>
      </c>
      <c r="D523" s="6" t="s">
        <v>3582</v>
      </c>
      <c r="E523" s="45"/>
      <c r="F523" s="6" t="s">
        <v>3580</v>
      </c>
      <c r="G523" s="314"/>
      <c r="H523" s="43">
        <v>1802</v>
      </c>
      <c r="I523" s="325" t="s">
        <v>43</v>
      </c>
      <c r="J523" s="255" t="str">
        <f>IF(ISBLANK(INDEX('Policy Characteristics'!D:D,MATCH($C523,'Policy Characteristics'!$C:$C,0))),"",INDEX('Policy Characteristics'!D:D,MATCH($C523,'Policy Characteristics'!$C:$C,0)))</f>
        <v>Subsidy for Electricity Production</v>
      </c>
      <c r="K523" s="254" t="str">
        <f>IF(ISBLANK(INDEX('Policy Characteristics'!E:E,MATCH($C523,'Policy Characteristics'!$C:$C,0))),"",INDEX('Policy Characteristics'!E:E,MATCH($C523,'Policy Characteristics'!$C:$C,0)))</f>
        <v>elec generation subsidy</v>
      </c>
      <c r="L523" s="254">
        <f>IF(ISBLANK(INDEX('Policy Characteristics'!F:F,MATCH($C523,'Policy Characteristics'!$C:$C,0))),"",INDEX('Policy Characteristics'!F:F,MATCH($C523,'Policy Characteristics'!$C:$C,0)))</f>
        <v>0</v>
      </c>
      <c r="M523" s="254">
        <f>IF(ISBLANK(INDEX('Policy Characteristics'!G:G,MATCH($C523,'Policy Characteristics'!$C:$C,0))),"",INDEX('Policy Characteristics'!G:G,MATCH($C523,'Policy Characteristics'!$C:$C,0)))</f>
        <v>60</v>
      </c>
      <c r="N523" s="254">
        <f>IF(ISBLANK(INDEX('Policy Characteristics'!H:H,MATCH($C523,'Policy Characteristics'!$C:$C,0))),"",INDEX('Policy Characteristics'!H:H,MATCH($C523,'Policy Characteristics'!$C:$C,0)))</f>
        <v>1</v>
      </c>
      <c r="O523" s="254" t="str">
        <f>IF(ISBLANK(INDEX('Policy Characteristics'!I:I,MATCH($C523,'Policy Characteristics'!$C:$C,0))),"",INDEX('Policy Characteristics'!I:I,MATCH($C523,'Policy Characteristics'!$C:$C,0)))</f>
        <v>$/MWh</v>
      </c>
      <c r="P523" s="254"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254" t="str">
        <f>IF(ISBLANK(INDEX('Policy Characteristics'!K:K,MATCH($C523,'Policy Characteristics'!$C:$C,0))),"",INDEX('Policy Characteristics'!K:K,MATCH($C523,'Policy Characteristics'!$C:$C,0)))</f>
        <v>electricity-sector-main.html#subsidies</v>
      </c>
      <c r="R523" s="254" t="str">
        <f>IF(ISBLANK(INDEX('Policy Characteristics'!L:L,MATCH($C523,'Policy Characteristics'!$C:$C,0))),"",INDEX('Policy Characteristics'!L:L,MATCH($C523,'Policy Characteristics'!$C:$C,0)))</f>
        <v>subsidy-for-electricity-production.html</v>
      </c>
      <c r="S523" s="314"/>
    </row>
    <row r="524" spans="1:19" x14ac:dyDescent="0.3">
      <c r="A524" s="254" t="str">
        <f>IF(ISBLANK(INDEX('Policy Characteristics'!A:A,MATCH($C524,'Policy Characteristics'!$C:$C,0))),"",INDEX('Policy Characteristics'!A:A,MATCH($C524,'Policy Characteristics'!$C:$C,0)))</f>
        <v>Electricity Supply</v>
      </c>
      <c r="B524" s="262" t="str">
        <f>IF(ISBLANK(INDEX('Policy Characteristics'!B:B,MATCH($C524,'Policy Characteristics'!$C:$C,0))),"",INDEX('Policy Characteristics'!B:B,MATCH($C524,'Policy Characteristics'!$C:$C,0)))</f>
        <v>Subsidy for Electricity Production</v>
      </c>
      <c r="C524" s="254" t="str">
        <f t="shared" si="29"/>
        <v>Subsidy for Elec Production by Fuel</v>
      </c>
      <c r="D524" s="6" t="s">
        <v>3583</v>
      </c>
      <c r="E524" s="45"/>
      <c r="F524" s="6" t="s">
        <v>3581</v>
      </c>
      <c r="G524" s="314"/>
      <c r="H524" s="43">
        <v>2244</v>
      </c>
      <c r="I524" s="325" t="s">
        <v>43</v>
      </c>
      <c r="J524" s="255" t="str">
        <f>IF(ISBLANK(INDEX('Policy Characteristics'!D:D,MATCH($C524,'Policy Characteristics'!$C:$C,0))),"",INDEX('Policy Characteristics'!D:D,MATCH($C524,'Policy Characteristics'!$C:$C,0)))</f>
        <v>Subsidy for Electricity Production</v>
      </c>
      <c r="K524" s="254" t="str">
        <f>IF(ISBLANK(INDEX('Policy Characteristics'!E:E,MATCH($C524,'Policy Characteristics'!$C:$C,0))),"",INDEX('Policy Characteristics'!E:E,MATCH($C524,'Policy Characteristics'!$C:$C,0)))</f>
        <v>elec generation subsidy</v>
      </c>
      <c r="L524" s="254">
        <f>IF(ISBLANK(INDEX('Policy Characteristics'!F:F,MATCH($C524,'Policy Characteristics'!$C:$C,0))),"",INDEX('Policy Characteristics'!F:F,MATCH($C524,'Policy Characteristics'!$C:$C,0)))</f>
        <v>0</v>
      </c>
      <c r="M524" s="254">
        <f>IF(ISBLANK(INDEX('Policy Characteristics'!G:G,MATCH($C524,'Policy Characteristics'!$C:$C,0))),"",INDEX('Policy Characteristics'!G:G,MATCH($C524,'Policy Characteristics'!$C:$C,0)))</f>
        <v>60</v>
      </c>
      <c r="N524" s="254">
        <f>IF(ISBLANK(INDEX('Policy Characteristics'!H:H,MATCH($C524,'Policy Characteristics'!$C:$C,0))),"",INDEX('Policy Characteristics'!H:H,MATCH($C524,'Policy Characteristics'!$C:$C,0)))</f>
        <v>1</v>
      </c>
      <c r="O524" s="254" t="str">
        <f>IF(ISBLANK(INDEX('Policy Characteristics'!I:I,MATCH($C524,'Policy Characteristics'!$C:$C,0))),"",INDEX('Policy Characteristics'!I:I,MATCH($C524,'Policy Characteristics'!$C:$C,0)))</f>
        <v>$/MWh</v>
      </c>
      <c r="P524" s="254"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2039,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254" t="str">
        <f>IF(ISBLANK(INDEX('Policy Characteristics'!K:K,MATCH($C524,'Policy Characteristics'!$C:$C,0))),"",INDEX('Policy Characteristics'!K:K,MATCH($C524,'Policy Characteristics'!$C:$C,0)))</f>
        <v>electricity-sector-main.html#subsidies</v>
      </c>
      <c r="R524" s="254"/>
      <c r="S524" s="314"/>
    </row>
    <row r="525" spans="1:19" x14ac:dyDescent="0.3">
      <c r="A525" s="254" t="str">
        <f>IF(ISBLANK(INDEX('Policy Characteristics'!A:A,MATCH($C525,'Policy Characteristics'!$C:$C,0))),"",INDEX('Policy Characteristics'!A:A,MATCH($C525,'Policy Characteristics'!$C:$C,0)))</f>
        <v>Electricity Supply</v>
      </c>
      <c r="B525" s="262" t="str">
        <f>IF(ISBLANK(INDEX('Policy Characteristics'!B:B,MATCH($C525,'Policy Characteristics'!$C:$C,0))),"",INDEX('Policy Characteristics'!B:B,MATCH($C525,'Policy Characteristics'!$C:$C,0)))</f>
        <v>Use EVs for Grid Balancing</v>
      </c>
      <c r="C525" s="1" t="s">
        <v>3575</v>
      </c>
      <c r="D525" s="6"/>
      <c r="E525" s="45"/>
      <c r="F525" s="6"/>
      <c r="G525" s="6"/>
      <c r="H525" s="43">
        <v>2235</v>
      </c>
      <c r="I525" s="325" t="s">
        <v>43</v>
      </c>
      <c r="J525" s="255" t="str">
        <f>IF(ISBLANK(INDEX('Policy Characteristics'!D:D,MATCH($C525,'Policy Characteristics'!$C:$C,0))),"",INDEX('Policy Characteristics'!D:D,MATCH($C525,'Policy Characteristics'!$C:$C,0)))</f>
        <v>EVs for Grid Balancing</v>
      </c>
      <c r="K525" s="254" t="str">
        <f>IF(ISBLANK(INDEX('Policy Characteristics'!E:E,MATCH($C525,'Policy Characteristics'!$C:$C,0))),"",INDEX('Policy Characteristics'!E:E,MATCH($C525,'Policy Characteristics'!$C:$C,0)))</f>
        <v>elec use EVs for grid balancing</v>
      </c>
      <c r="L525" s="368">
        <f>IF(ISBLANK(INDEX('Policy Characteristics'!F:F,MATCH($C525,'Policy Characteristics'!$C:$C,0))),"",INDEX('Policy Characteristics'!F:F,MATCH($C525,'Policy Characteristics'!$C:$C,0)))</f>
        <v>0</v>
      </c>
      <c r="M525" s="368">
        <f>IF(ISBLANK(INDEX('Policy Characteristics'!G:G,MATCH($C525,'Policy Characteristics'!$C:$C,0))),"",INDEX('Policy Characteristics'!G:G,MATCH($C525,'Policy Characteristics'!$C:$C,0)))</f>
        <v>1</v>
      </c>
      <c r="N525" s="368">
        <f>IF(ISBLANK(INDEX('Policy Characteristics'!H:H,MATCH($C525,'Policy Characteristics'!$C:$C,0))),"",INDEX('Policy Characteristics'!H:H,MATCH($C525,'Policy Characteristics'!$C:$C,0)))</f>
        <v>0.01</v>
      </c>
      <c r="O525" s="254" t="str">
        <f>IF(ISBLANK(INDEX('Policy Characteristics'!I:I,MATCH($C525,'Policy Characteristics'!$C:$C,0))),"",INDEX('Policy Characteristics'!I:I,MATCH($C525,'Policy Characteristics'!$C:$C,0)))</f>
        <v>% of EVs used</v>
      </c>
      <c r="P525" s="254" t="str">
        <f>IF(ISBLANK(INDEX('Policy Characteristics'!J:J,MATCH($C525,'Policy Characteristics'!$C:$C,0))),"",INDEX('Policy Characteristics'!J:J,MATCH($C525,'Policy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5" s="254" t="str">
        <f>IF(ISBLANK(INDEX('Policy Characteristics'!K:K,MATCH($C525,'Policy Characteristics'!$C:$C,0))),"",INDEX('Policy Characteristics'!K:K,MATCH($C525,'Policy Characteristics'!$C:$C,0)))</f>
        <v/>
      </c>
      <c r="R525" s="254" t="str">
        <f>IF(ISBLANK(INDEX('Policy Characteristics'!L:L,MATCH($C525,'Policy Characteristics'!$C:$C,0))),"",INDEX('Policy Characteristics'!L:L,MATCH($C525,'Policy Characteristics'!$C:$C,0)))</f>
        <v/>
      </c>
      <c r="S525" s="314"/>
    </row>
    <row r="526" spans="1:19" ht="28.8" x14ac:dyDescent="0.3">
      <c r="A526" s="254" t="str">
        <f>IF(ISBLANK(INDEX('Policy Characteristics'!A:A,MATCH($C526,'Policy Characteristics'!$C:$C,0))),"",INDEX('Policy Characteristics'!A:A,MATCH($C526,'Policy Characteristics'!$C:$C,0)))</f>
        <v>Electricity Supply</v>
      </c>
      <c r="B526" s="262" t="str">
        <f>IF(ISBLANK(INDEX('Policy Characteristics'!B:B,MATCH($C526,'Policy Characteristics'!$C:$C,0))),"",INDEX('Policy Characteristics'!B:B,MATCH($C526,'Policy Characteristics'!$C:$C,0)))</f>
        <v>Subsidy for Grid Battery Output</v>
      </c>
      <c r="C526" s="1" t="s">
        <v>3632</v>
      </c>
      <c r="D526" s="6"/>
      <c r="E526" s="45"/>
      <c r="F526" s="6"/>
      <c r="G526" s="6"/>
      <c r="H526" s="43">
        <v>2258</v>
      </c>
      <c r="I526" s="325" t="s">
        <v>43</v>
      </c>
      <c r="J526" s="255" t="str">
        <f>IF(ISBLANK(INDEX('Policy Characteristics'!D:D,MATCH($C526,'Policy Characteristics'!$C:$C,0))),"",INDEX('Policy Characteristics'!D:D,MATCH($C526,'Policy Characteristics'!$C:$C,0)))</f>
        <v>Grid Battery Subsidy</v>
      </c>
      <c r="K526" s="254" t="str">
        <f>IF(ISBLANK(INDEX('Policy Characteristics'!E:E,MATCH($C526,'Policy Characteristics'!$C:$C,0))),"",INDEX('Policy Characteristics'!E:E,MATCH($C526,'Policy Characteristics'!$C:$C,0)))</f>
        <v>elec battery subsidy per output</v>
      </c>
      <c r="L526" s="368">
        <f>IF(ISBLANK(INDEX('Policy Characteristics'!F:F,MATCH($C526,'Policy Characteristics'!$C:$C,0))),"",INDEX('Policy Characteristics'!F:F,MATCH($C526,'Policy Characteristics'!$C:$C,0)))</f>
        <v>0</v>
      </c>
      <c r="M526" s="368">
        <f>IF(ISBLANK(INDEX('Policy Characteristics'!G:G,MATCH($C526,'Policy Characteristics'!$C:$C,0))),"",INDEX('Policy Characteristics'!G:G,MATCH($C526,'Policy Characteristics'!$C:$C,0)))</f>
        <v>100</v>
      </c>
      <c r="N526" s="368">
        <f>IF(ISBLANK(INDEX('Policy Characteristics'!H:H,MATCH($C526,'Policy Characteristics'!$C:$C,0))),"",INDEX('Policy Characteristics'!H:H,MATCH($C526,'Policy Characteristics'!$C:$C,0)))</f>
        <v>5</v>
      </c>
      <c r="O526" s="254" t="str">
        <f>IF(ISBLANK(INDEX('Policy Characteristics'!I:I,MATCH($C526,'Policy Characteristics'!$C:$C,0))),"",INDEX('Policy Characteristics'!I:I,MATCH($C526,'Policy Characteristics'!$C:$C,0)))</f>
        <v>$ / MWh</v>
      </c>
      <c r="P526" s="254" t="str">
        <f>IF(ISBLANK(INDEX('Policy Characteristics'!J:J,MATCH($C526,'Policy Characteristics'!$C:$C,0))),"",INDEX('Policy Characteristics'!J:J,MATCH($C526,'Policy Characteristics'!$C:$C,0)))</f>
        <v>**Description:** This policy provides a subsidy in units of dollar per megawatt-hour electricity supplied to the grid, additional to any BAU subsidies.   // **Guidance for setting values:** The BAU case has grid batteries claiming the Subsidy for Grid Battery Capacity, not a subsidy per unit output.</v>
      </c>
      <c r="Q526" s="254" t="str">
        <f>IF(ISBLANK(INDEX('Policy Characteristics'!K:K,MATCH($C526,'Policy Characteristics'!$C:$C,0))),"",INDEX('Policy Characteristics'!K:K,MATCH($C526,'Policy Characteristics'!$C:$C,0)))</f>
        <v/>
      </c>
      <c r="R526" s="254"/>
      <c r="S526" s="314"/>
    </row>
    <row r="527" spans="1:19" x14ac:dyDescent="0.3">
      <c r="A527" s="254" t="str">
        <f>IF(ISBLANK(INDEX('Policy Characteristics'!A:A,MATCH($C527,'Policy Characteristics'!$C:$C,0))),"",INDEX('Policy Characteristics'!A:A,MATCH($C527,'Policy Characteristics'!$C:$C,0)))</f>
        <v>Electricity Supply</v>
      </c>
      <c r="B527" s="262" t="str">
        <f>IF(ISBLANK(INDEX('Policy Characteristics'!B:B,MATCH($C527,'Policy Characteristics'!$C:$C,0))),"",INDEX('Policy Characteristics'!B:B,MATCH($C527,'Policy Characteristics'!$C:$C,0)))</f>
        <v>Subsidy for Grid Battery Capacity</v>
      </c>
      <c r="C527" s="1" t="s">
        <v>3636</v>
      </c>
      <c r="D527" s="6"/>
      <c r="E527" s="45"/>
      <c r="F527" s="6"/>
      <c r="G527" s="6"/>
      <c r="H527" s="43">
        <v>2259</v>
      </c>
      <c r="I527" s="325" t="s">
        <v>43</v>
      </c>
      <c r="J527" s="255" t="str">
        <f>IF(ISBLANK(INDEX('Policy Characteristics'!D:D,MATCH($C527,'Policy Characteristics'!$C:$C,0))),"",INDEX('Policy Characteristics'!D:D,MATCH($C527,'Policy Characteristics'!$C:$C,0)))</f>
        <v>Grid Battery Subsidy</v>
      </c>
      <c r="K527" s="254" t="str">
        <f>IF(ISBLANK(INDEX('Policy Characteristics'!E:E,MATCH($C527,'Policy Characteristics'!$C:$C,0))),"",INDEX('Policy Characteristics'!E:E,MATCH($C527,'Policy Characteristics'!$C:$C,0)))</f>
        <v>elec battery construction subsidy</v>
      </c>
      <c r="L527" s="368">
        <f>IF(ISBLANK(INDEX('Policy Characteristics'!F:F,MATCH($C527,'Policy Characteristics'!$C:$C,0))),"",INDEX('Policy Characteristics'!F:F,MATCH($C527,'Policy Characteristics'!$C:$C,0)))</f>
        <v>0</v>
      </c>
      <c r="M527" s="368">
        <f>IF(ISBLANK(INDEX('Policy Characteristics'!G:G,MATCH($C527,'Policy Characteristics'!$C:$C,0))),"",INDEX('Policy Characteristics'!G:G,MATCH($C527,'Policy Characteristics'!$C:$C,0)))</f>
        <v>1</v>
      </c>
      <c r="N527" s="368">
        <f>IF(ISBLANK(INDEX('Policy Characteristics'!H:H,MATCH($C527,'Policy Characteristics'!$C:$C,0))),"",INDEX('Policy Characteristics'!H:H,MATCH($C527,'Policy Characteristics'!$C:$C,0)))</f>
        <v>0.01</v>
      </c>
      <c r="O527" s="254" t="str">
        <f>IF(ISBLANK(INDEX('Policy Characteristics'!I:I,MATCH($C527,'Policy Characteristics'!$C:$C,0))),"",INDEX('Policy Characteristics'!I:I,MATCH($C527,'Policy Characteristics'!$C:$C,0)))</f>
        <v>% of capital costs</v>
      </c>
      <c r="P527" s="254" t="str">
        <f>IF(ISBLANK(INDEX('Policy Characteristics'!J:J,MATCH($C527,'Policy Characteristics'!$C:$C,0))),"",INDEX('Policy Characteristics'!J:J,MATCH($C527,'Policy Characteristics'!$C:$C,0)))</f>
        <v>**Description:** This policy subsidizes a percentage of grid battery capacity costs, additional to any BAU capacity construction subsidies.  // **Guidance for setting values:** We assume IRA tax credits of 41.6%, based on assumptions on which share of new projects qualify for various bonus credits.</v>
      </c>
      <c r="Q527" s="254" t="str">
        <f>IF(ISBLANK(INDEX('Policy Characteristics'!K:K,MATCH($C527,'Policy Characteristics'!$C:$C,0))),"",INDEX('Policy Characteristics'!K:K,MATCH($C527,'Policy Characteristics'!$C:$C,0)))</f>
        <v/>
      </c>
      <c r="R527" s="254"/>
      <c r="S527" s="314"/>
    </row>
    <row r="528" spans="1:19" x14ac:dyDescent="0.3">
      <c r="A528" s="254" t="str">
        <f>IF(ISBLANK(INDEX('Policy Characteristics'!A:A,MATCH($C528,'Policy Characteristics'!$C:$C,0))),"",INDEX('Policy Characteristics'!A:A,MATCH($C528,'Policy Characteristics'!$C:$C,0)))</f>
        <v>Electricity Supply</v>
      </c>
      <c r="B528" s="262" t="str">
        <f>IF(ISBLANK(INDEX('Policy Characteristics'!B:B,MATCH($C528,'Policy Characteristics'!$C:$C,0))),"",INDEX('Policy Characteristics'!B:B,MATCH($C528,'Policy Characteristics'!$C:$C,0)))</f>
        <v>Electricity CCS Subsidy</v>
      </c>
      <c r="C528" s="1" t="s">
        <v>3643</v>
      </c>
      <c r="D528" s="45" t="s">
        <v>447</v>
      </c>
      <c r="F528" s="45" t="s">
        <v>446</v>
      </c>
      <c r="H528" s="43">
        <v>2260</v>
      </c>
      <c r="I528" s="1" t="s">
        <v>44</v>
      </c>
      <c r="J528" s="255" t="str">
        <f>IF(ISBLANK(INDEX('Policy Characteristics'!D:D,MATCH($C528,'Policy Characteristics'!$C:$C,0))),"",INDEX('Policy Characteristics'!D:D,MATCH($C528,'Policy Characteristics'!$C:$C,0)))</f>
        <v>Electricity CCS Subsidy</v>
      </c>
      <c r="K528" s="254" t="str">
        <f>IF(ISBLANK(INDEX('Policy Characteristics'!E:E,MATCH($C528,'Policy Characteristics'!$C:$C,0))),"",INDEX('Policy Characteristics'!E:E,MATCH($C528,'Policy Characteristics'!$C:$C,0)))</f>
        <v>elec CCS subsidy</v>
      </c>
      <c r="L528" s="368">
        <f>IF(ISBLANK(INDEX('Policy Characteristics'!F:F,MATCH($C528,'Policy Characteristics'!$C:$C,0))),"",INDEX('Policy Characteristics'!F:F,MATCH($C528,'Policy Characteristics'!$C:$C,0)))</f>
        <v>0</v>
      </c>
      <c r="M528" s="368">
        <f>IF(ISBLANK(INDEX('Policy Characteristics'!G:G,MATCH($C528,'Policy Characteristics'!$C:$C,0))),"",INDEX('Policy Characteristics'!G:G,MATCH($C528,'Policy Characteristics'!$C:$C,0)))</f>
        <v>100</v>
      </c>
      <c r="N528" s="368">
        <f>IF(ISBLANK(INDEX('Policy Characteristics'!H:H,MATCH($C528,'Policy Characteristics'!$C:$C,0))),"",INDEX('Policy Characteristics'!H:H,MATCH($C528,'Policy Characteristics'!$C:$C,0)))</f>
        <v>5</v>
      </c>
      <c r="O528" s="254" t="str">
        <f>IF(ISBLANK(INDEX('Policy Characteristics'!I:I,MATCH($C528,'Policy Characteristics'!$C:$C,0))),"",INDEX('Policy Characteristics'!I:I,MATCH($C528,'Policy Characteristics'!$C:$C,0)))</f>
        <v>$ / metric ton CO2e</v>
      </c>
      <c r="P528" s="254" t="str">
        <f>IF(ISBLANK(INDEX('Policy Characteristics'!J:J,MATCH($C528,'Policy Characteristics'!$C:$C,0))),"",INDEX('Policy Characteristics'!J:J,MATCH($C528,'Policy Characteristics'!$C:$C,0)))</f>
        <v>**Description:** This policy provides a dollar per metric ton CO2e subsidy, additional to any BAU subsidies.  // **Guidance for setting values:** The 45Q tax credits provide $85 per metric ton CO2e stored, which is included in the BAU case.</v>
      </c>
      <c r="R528" s="1"/>
    </row>
    <row r="529" spans="1:16" s="1" customFormat="1" x14ac:dyDescent="0.3">
      <c r="A529" s="254" t="str">
        <f>IF(ISBLANK(INDEX('Policy Characteristics'!A:A,MATCH($C529,'Policy Characteristics'!$C:$C,0))),"",INDEX('Policy Characteristics'!A:A,MATCH($C529,'Policy Characteristics'!$C:$C,0)))</f>
        <v>Electricity Supply</v>
      </c>
      <c r="B529" s="262" t="str">
        <f>IF(ISBLANK(INDEX('Policy Characteristics'!B:B,MATCH($C529,'Policy Characteristics'!$C:$C,0))),"",INDEX('Policy Characteristics'!B:B,MATCH($C529,'Policy Characteristics'!$C:$C,0)))</f>
        <v>Electricity CCS Subsidy</v>
      </c>
      <c r="C529" s="254" t="str">
        <f>$C$528</f>
        <v>Additional Subsidy for Elec CCS</v>
      </c>
      <c r="D529" s="6" t="s">
        <v>3488</v>
      </c>
      <c r="F529" s="6" t="s">
        <v>3424</v>
      </c>
      <c r="H529" s="43">
        <v>2261</v>
      </c>
      <c r="I529" s="1" t="s">
        <v>44</v>
      </c>
      <c r="J529" s="255" t="str">
        <f>IF(ISBLANK(INDEX('Policy Characteristics'!D:D,MATCH($C529,'Policy Characteristics'!$C:$C,0))),"",INDEX('Policy Characteristics'!D:D,MATCH($C529,'Policy Characteristics'!$C:$C,0)))</f>
        <v>Electricity CCS Subsidy</v>
      </c>
      <c r="K529" s="254" t="str">
        <f>IF(ISBLANK(INDEX('Policy Characteristics'!E:E,MATCH($C529,'Policy Characteristics'!$C:$C,0))),"",INDEX('Policy Characteristics'!E:E,MATCH($C529,'Policy Characteristics'!$C:$C,0)))</f>
        <v>elec CCS subsidy</v>
      </c>
      <c r="L529" s="368">
        <f>IF(ISBLANK(INDEX('Policy Characteristics'!F:F,MATCH($C529,'Policy Characteristics'!$C:$C,0))),"",INDEX('Policy Characteristics'!F:F,MATCH($C529,'Policy Characteristics'!$C:$C,0)))</f>
        <v>0</v>
      </c>
      <c r="M529" s="368">
        <f>IF(ISBLANK(INDEX('Policy Characteristics'!G:G,MATCH($C529,'Policy Characteristics'!$C:$C,0))),"",INDEX('Policy Characteristics'!G:G,MATCH($C529,'Policy Characteristics'!$C:$C,0)))</f>
        <v>100</v>
      </c>
      <c r="N529" s="368">
        <f>IF(ISBLANK(INDEX('Policy Characteristics'!H:H,MATCH($C529,'Policy Characteristics'!$C:$C,0))),"",INDEX('Policy Characteristics'!H:H,MATCH($C529,'Policy Characteristics'!$C:$C,0)))</f>
        <v>5</v>
      </c>
      <c r="O529" s="254" t="str">
        <f>IF(ISBLANK(INDEX('Policy Characteristics'!I:I,MATCH($C529,'Policy Characteristics'!$C:$C,0))),"",INDEX('Policy Characteristics'!I:I,MATCH($C529,'Policy Characteristics'!$C:$C,0)))</f>
        <v>$ / metric ton CO2e</v>
      </c>
      <c r="P529" s="254" t="str">
        <f>IF(ISBLANK(INDEX('Policy Characteristics'!J:J,MATCH($C529,'Policy Characteristics'!$C:$C,0))),"",INDEX('Policy Characteristics'!J:J,MATCH($C529,'Policy Characteristics'!$C:$C,0)))</f>
        <v>**Description:** This policy provides a dollar per metric ton CO2e subsidy, additional to any BAU subsidies.  // **Guidance for setting values:** The 45Q tax credits provide $85 per metric ton CO2e stored, which is included in the BAU case.</v>
      </c>
    </row>
    <row r="530" spans="1:16" s="1" customFormat="1" x14ac:dyDescent="0.3">
      <c r="A530" s="254" t="str">
        <f>IF(ISBLANK(INDEX('Policy Characteristics'!A:A,MATCH($C530,'Policy Characteristics'!$C:$C,0))),"",INDEX('Policy Characteristics'!A:A,MATCH($C530,'Policy Characteristics'!$C:$C,0)))</f>
        <v>Electricity Supply</v>
      </c>
      <c r="B530" s="262" t="str">
        <f>IF(ISBLANK(INDEX('Policy Characteristics'!B:B,MATCH($C530,'Policy Characteristics'!$C:$C,0))),"",INDEX('Policy Characteristics'!B:B,MATCH($C530,'Policy Characteristics'!$C:$C,0)))</f>
        <v>Electricity CCS Subsidy</v>
      </c>
      <c r="C530" s="254" t="str">
        <f t="shared" ref="C530:C551" si="30">$C$528</f>
        <v>Additional Subsidy for Elec CCS</v>
      </c>
      <c r="D530" s="6" t="s">
        <v>3489</v>
      </c>
      <c r="F530" s="6" t="s">
        <v>3425</v>
      </c>
      <c r="H530" s="43">
        <v>2262</v>
      </c>
      <c r="I530" s="1" t="s">
        <v>44</v>
      </c>
      <c r="J530" s="255" t="str">
        <f>IF(ISBLANK(INDEX('Policy Characteristics'!D:D,MATCH($C530,'Policy Characteristics'!$C:$C,0))),"",INDEX('Policy Characteristics'!D:D,MATCH($C530,'Policy Characteristics'!$C:$C,0)))</f>
        <v>Electricity CCS Subsidy</v>
      </c>
      <c r="K530" s="254" t="str">
        <f>IF(ISBLANK(INDEX('Policy Characteristics'!E:E,MATCH($C530,'Policy Characteristics'!$C:$C,0))),"",INDEX('Policy Characteristics'!E:E,MATCH($C530,'Policy Characteristics'!$C:$C,0)))</f>
        <v>elec CCS subsidy</v>
      </c>
      <c r="L530" s="368">
        <f>IF(ISBLANK(INDEX('Policy Characteristics'!F:F,MATCH($C530,'Policy Characteristics'!$C:$C,0))),"",INDEX('Policy Characteristics'!F:F,MATCH($C530,'Policy Characteristics'!$C:$C,0)))</f>
        <v>0</v>
      </c>
      <c r="M530" s="368">
        <f>IF(ISBLANK(INDEX('Policy Characteristics'!G:G,MATCH($C530,'Policy Characteristics'!$C:$C,0))),"",INDEX('Policy Characteristics'!G:G,MATCH($C530,'Policy Characteristics'!$C:$C,0)))</f>
        <v>100</v>
      </c>
      <c r="N530" s="368">
        <f>IF(ISBLANK(INDEX('Policy Characteristics'!H:H,MATCH($C530,'Policy Characteristics'!$C:$C,0))),"",INDEX('Policy Characteristics'!H:H,MATCH($C530,'Policy Characteristics'!$C:$C,0)))</f>
        <v>5</v>
      </c>
      <c r="O530" s="254" t="str">
        <f>IF(ISBLANK(INDEX('Policy Characteristics'!I:I,MATCH($C530,'Policy Characteristics'!$C:$C,0))),"",INDEX('Policy Characteristics'!I:I,MATCH($C530,'Policy Characteristics'!$C:$C,0)))</f>
        <v>$ / metric ton CO2e</v>
      </c>
      <c r="P530" s="254" t="str">
        <f>IF(ISBLANK(INDEX('Policy Characteristics'!J:J,MATCH($C530,'Policy Characteristics'!$C:$C,0))),"",INDEX('Policy Characteristics'!J:J,MATCH($C530,'Policy Characteristics'!$C:$C,0)))</f>
        <v>**Description:** This policy provides a dollar per metric ton CO2e subsidy, additional to any BAU subsidies.  // **Guidance for setting values:** The 45Q tax credits provide $85 per metric ton CO2e stored, which is included in the BAU case.</v>
      </c>
    </row>
    <row r="531" spans="1:16" s="1" customFormat="1" x14ac:dyDescent="0.3">
      <c r="A531" s="254" t="str">
        <f>IF(ISBLANK(INDEX('Policy Characteristics'!A:A,MATCH($C531,'Policy Characteristics'!$C:$C,0))),"",INDEX('Policy Characteristics'!A:A,MATCH($C531,'Policy Characteristics'!$C:$C,0)))</f>
        <v>Electricity Supply</v>
      </c>
      <c r="B531" s="262" t="str">
        <f>IF(ISBLANK(INDEX('Policy Characteristics'!B:B,MATCH($C531,'Policy Characteristics'!$C:$C,0))),"",INDEX('Policy Characteristics'!B:B,MATCH($C531,'Policy Characteristics'!$C:$C,0)))</f>
        <v>Electricity CCS Subsidy</v>
      </c>
      <c r="C531" s="254" t="str">
        <f t="shared" si="30"/>
        <v>Additional Subsidy for Elec CCS</v>
      </c>
      <c r="D531" s="6" t="s">
        <v>76</v>
      </c>
      <c r="F531" s="6" t="s">
        <v>3499</v>
      </c>
      <c r="H531" s="43">
        <v>2263</v>
      </c>
      <c r="I531" s="1" t="s">
        <v>44</v>
      </c>
      <c r="J531" s="255" t="str">
        <f>IF(ISBLANK(INDEX('Policy Characteristics'!D:D,MATCH($C531,'Policy Characteristics'!$C:$C,0))),"",INDEX('Policy Characteristics'!D:D,MATCH($C531,'Policy Characteristics'!$C:$C,0)))</f>
        <v>Electricity CCS Subsidy</v>
      </c>
      <c r="K531" s="254" t="str">
        <f>IF(ISBLANK(INDEX('Policy Characteristics'!E:E,MATCH($C531,'Policy Characteristics'!$C:$C,0))),"",INDEX('Policy Characteristics'!E:E,MATCH($C531,'Policy Characteristics'!$C:$C,0)))</f>
        <v>elec CCS subsidy</v>
      </c>
      <c r="L531" s="368">
        <f>IF(ISBLANK(INDEX('Policy Characteristics'!F:F,MATCH($C531,'Policy Characteristics'!$C:$C,0))),"",INDEX('Policy Characteristics'!F:F,MATCH($C531,'Policy Characteristics'!$C:$C,0)))</f>
        <v>0</v>
      </c>
      <c r="M531" s="368">
        <f>IF(ISBLANK(INDEX('Policy Characteristics'!G:G,MATCH($C531,'Policy Characteristics'!$C:$C,0))),"",INDEX('Policy Characteristics'!G:G,MATCH($C531,'Policy Characteristics'!$C:$C,0)))</f>
        <v>100</v>
      </c>
      <c r="N531" s="368">
        <f>IF(ISBLANK(INDEX('Policy Characteristics'!H:H,MATCH($C531,'Policy Characteristics'!$C:$C,0))),"",INDEX('Policy Characteristics'!H:H,MATCH($C531,'Policy Characteristics'!$C:$C,0)))</f>
        <v>5</v>
      </c>
      <c r="O531" s="254" t="str">
        <f>IF(ISBLANK(INDEX('Policy Characteristics'!I:I,MATCH($C531,'Policy Characteristics'!$C:$C,0))),"",INDEX('Policy Characteristics'!I:I,MATCH($C531,'Policy Characteristics'!$C:$C,0)))</f>
        <v>$ / metric ton CO2e</v>
      </c>
      <c r="P531" s="254" t="str">
        <f>IF(ISBLANK(INDEX('Policy Characteristics'!J:J,MATCH($C531,'Policy Characteristics'!$C:$C,0))),"",INDEX('Policy Characteristics'!J:J,MATCH($C531,'Policy Characteristics'!$C:$C,0)))</f>
        <v>**Description:** This policy provides a dollar per metric ton CO2e subsidy, additional to any BAU subsidies.  // **Guidance for setting values:** The 45Q tax credits provide $85 per metric ton CO2e stored, which is included in the BAU case.</v>
      </c>
    </row>
    <row r="532" spans="1:16" s="1" customFormat="1" x14ac:dyDescent="0.3">
      <c r="A532" s="254" t="str">
        <f>IF(ISBLANK(INDEX('Policy Characteristics'!A:A,MATCH($C532,'Policy Characteristics'!$C:$C,0))),"",INDEX('Policy Characteristics'!A:A,MATCH($C532,'Policy Characteristics'!$C:$C,0)))</f>
        <v>Electricity Supply</v>
      </c>
      <c r="B532" s="262" t="str">
        <f>IF(ISBLANK(INDEX('Policy Characteristics'!B:B,MATCH($C532,'Policy Characteristics'!$C:$C,0))),"",INDEX('Policy Characteristics'!B:B,MATCH($C532,'Policy Characteristics'!$C:$C,0)))</f>
        <v>Electricity CCS Subsidy</v>
      </c>
      <c r="C532" s="254" t="str">
        <f t="shared" si="30"/>
        <v>Additional Subsidy for Elec CCS</v>
      </c>
      <c r="D532" s="6" t="s">
        <v>77</v>
      </c>
      <c r="F532" s="6" t="s">
        <v>89</v>
      </c>
      <c r="H532" s="43">
        <v>2264</v>
      </c>
      <c r="I532" s="1" t="s">
        <v>44</v>
      </c>
      <c r="J532" s="255" t="str">
        <f>IF(ISBLANK(INDEX('Policy Characteristics'!D:D,MATCH($C532,'Policy Characteristics'!$C:$C,0))),"",INDEX('Policy Characteristics'!D:D,MATCH($C532,'Policy Characteristics'!$C:$C,0)))</f>
        <v>Electricity CCS Subsidy</v>
      </c>
      <c r="K532" s="254" t="str">
        <f>IF(ISBLANK(INDEX('Policy Characteristics'!E:E,MATCH($C532,'Policy Characteristics'!$C:$C,0))),"",INDEX('Policy Characteristics'!E:E,MATCH($C532,'Policy Characteristics'!$C:$C,0)))</f>
        <v>elec CCS subsidy</v>
      </c>
      <c r="L532" s="368">
        <f>IF(ISBLANK(INDEX('Policy Characteristics'!F:F,MATCH($C532,'Policy Characteristics'!$C:$C,0))),"",INDEX('Policy Characteristics'!F:F,MATCH($C532,'Policy Characteristics'!$C:$C,0)))</f>
        <v>0</v>
      </c>
      <c r="M532" s="368">
        <f>IF(ISBLANK(INDEX('Policy Characteristics'!G:G,MATCH($C532,'Policy Characteristics'!$C:$C,0))),"",INDEX('Policy Characteristics'!G:G,MATCH($C532,'Policy Characteristics'!$C:$C,0)))</f>
        <v>100</v>
      </c>
      <c r="N532" s="368">
        <f>IF(ISBLANK(INDEX('Policy Characteristics'!H:H,MATCH($C532,'Policy Characteristics'!$C:$C,0))),"",INDEX('Policy Characteristics'!H:H,MATCH($C532,'Policy Characteristics'!$C:$C,0)))</f>
        <v>5</v>
      </c>
      <c r="O532" s="254" t="str">
        <f>IF(ISBLANK(INDEX('Policy Characteristics'!I:I,MATCH($C532,'Policy Characteristics'!$C:$C,0))),"",INDEX('Policy Characteristics'!I:I,MATCH($C532,'Policy Characteristics'!$C:$C,0)))</f>
        <v>$ / metric ton CO2e</v>
      </c>
      <c r="P532" s="254" t="str">
        <f>IF(ISBLANK(INDEX('Policy Characteristics'!J:J,MATCH($C532,'Policy Characteristics'!$C:$C,0))),"",INDEX('Policy Characteristics'!J:J,MATCH($C532,'Policy Characteristics'!$C:$C,0)))</f>
        <v>**Description:** This policy provides a dollar per metric ton CO2e subsidy, additional to any BAU subsidies.  // **Guidance for setting values:** The 45Q tax credits provide $85 per metric ton CO2e stored, which is included in the BAU case.</v>
      </c>
    </row>
    <row r="533" spans="1:16" s="1" customFormat="1" x14ac:dyDescent="0.3">
      <c r="A533" s="254" t="str">
        <f>IF(ISBLANK(INDEX('Policy Characteristics'!A:A,MATCH($C533,'Policy Characteristics'!$C:$C,0))),"",INDEX('Policy Characteristics'!A:A,MATCH($C533,'Policy Characteristics'!$C:$C,0)))</f>
        <v>Electricity Supply</v>
      </c>
      <c r="B533" s="262" t="str">
        <f>IF(ISBLANK(INDEX('Policy Characteristics'!B:B,MATCH($C533,'Policy Characteristics'!$C:$C,0))),"",INDEX('Policy Characteristics'!B:B,MATCH($C533,'Policy Characteristics'!$C:$C,0)))</f>
        <v>Electricity CCS Subsidy</v>
      </c>
      <c r="C533" s="254" t="str">
        <f t="shared" si="30"/>
        <v>Additional Subsidy for Elec CCS</v>
      </c>
      <c r="D533" s="6" t="s">
        <v>448</v>
      </c>
      <c r="F533" s="6" t="s">
        <v>451</v>
      </c>
      <c r="H533" s="43">
        <v>2265</v>
      </c>
      <c r="I533" s="1" t="s">
        <v>44</v>
      </c>
      <c r="J533" s="255" t="str">
        <f>IF(ISBLANK(INDEX('Policy Characteristics'!D:D,MATCH($C533,'Policy Characteristics'!$C:$C,0))),"",INDEX('Policy Characteristics'!D:D,MATCH($C533,'Policy Characteristics'!$C:$C,0)))</f>
        <v>Electricity CCS Subsidy</v>
      </c>
      <c r="K533" s="254" t="str">
        <f>IF(ISBLANK(INDEX('Policy Characteristics'!E:E,MATCH($C533,'Policy Characteristics'!$C:$C,0))),"",INDEX('Policy Characteristics'!E:E,MATCH($C533,'Policy Characteristics'!$C:$C,0)))</f>
        <v>elec CCS subsidy</v>
      </c>
      <c r="L533" s="368">
        <f>IF(ISBLANK(INDEX('Policy Characteristics'!F:F,MATCH($C533,'Policy Characteristics'!$C:$C,0))),"",INDEX('Policy Characteristics'!F:F,MATCH($C533,'Policy Characteristics'!$C:$C,0)))</f>
        <v>0</v>
      </c>
      <c r="M533" s="368">
        <f>IF(ISBLANK(INDEX('Policy Characteristics'!G:G,MATCH($C533,'Policy Characteristics'!$C:$C,0))),"",INDEX('Policy Characteristics'!G:G,MATCH($C533,'Policy Characteristics'!$C:$C,0)))</f>
        <v>100</v>
      </c>
      <c r="N533" s="368">
        <f>IF(ISBLANK(INDEX('Policy Characteristics'!H:H,MATCH($C533,'Policy Characteristics'!$C:$C,0))),"",INDEX('Policy Characteristics'!H:H,MATCH($C533,'Policy Characteristics'!$C:$C,0)))</f>
        <v>5</v>
      </c>
      <c r="O533" s="254" t="str">
        <f>IF(ISBLANK(INDEX('Policy Characteristics'!I:I,MATCH($C533,'Policy Characteristics'!$C:$C,0))),"",INDEX('Policy Characteristics'!I:I,MATCH($C533,'Policy Characteristics'!$C:$C,0)))</f>
        <v>$ / metric ton CO2e</v>
      </c>
      <c r="P533" s="254"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row>
    <row r="534" spans="1:16" s="1" customFormat="1" x14ac:dyDescent="0.3">
      <c r="A534" s="254" t="str">
        <f>IF(ISBLANK(INDEX('Policy Characteristics'!A:A,MATCH($C534,'Policy Characteristics'!$C:$C,0))),"",INDEX('Policy Characteristics'!A:A,MATCH($C534,'Policy Characteristics'!$C:$C,0)))</f>
        <v>Electricity Supply</v>
      </c>
      <c r="B534" s="262" t="str">
        <f>IF(ISBLANK(INDEX('Policy Characteristics'!B:B,MATCH($C534,'Policy Characteristics'!$C:$C,0))),"",INDEX('Policy Characteristics'!B:B,MATCH($C534,'Policy Characteristics'!$C:$C,0)))</f>
        <v>Electricity CCS Subsidy</v>
      </c>
      <c r="C534" s="254" t="str">
        <f t="shared" si="30"/>
        <v>Additional Subsidy for Elec CCS</v>
      </c>
      <c r="D534" s="6" t="s">
        <v>78</v>
      </c>
      <c r="F534" s="6" t="s">
        <v>90</v>
      </c>
      <c r="H534" s="43">
        <v>2266</v>
      </c>
      <c r="I534" s="1" t="s">
        <v>44</v>
      </c>
      <c r="J534" s="255" t="str">
        <f>IF(ISBLANK(INDEX('Policy Characteristics'!D:D,MATCH($C534,'Policy Characteristics'!$C:$C,0))),"",INDEX('Policy Characteristics'!D:D,MATCH($C534,'Policy Characteristics'!$C:$C,0)))</f>
        <v>Electricity CCS Subsidy</v>
      </c>
      <c r="K534" s="254" t="str">
        <f>IF(ISBLANK(INDEX('Policy Characteristics'!E:E,MATCH($C534,'Policy Characteristics'!$C:$C,0))),"",INDEX('Policy Characteristics'!E:E,MATCH($C534,'Policy Characteristics'!$C:$C,0)))</f>
        <v>elec CCS subsidy</v>
      </c>
      <c r="L534" s="368">
        <f>IF(ISBLANK(INDEX('Policy Characteristics'!F:F,MATCH($C534,'Policy Characteristics'!$C:$C,0))),"",INDEX('Policy Characteristics'!F:F,MATCH($C534,'Policy Characteristics'!$C:$C,0)))</f>
        <v>0</v>
      </c>
      <c r="M534" s="368">
        <f>IF(ISBLANK(INDEX('Policy Characteristics'!G:G,MATCH($C534,'Policy Characteristics'!$C:$C,0))),"",INDEX('Policy Characteristics'!G:G,MATCH($C534,'Policy Characteristics'!$C:$C,0)))</f>
        <v>100</v>
      </c>
      <c r="N534" s="368">
        <f>IF(ISBLANK(INDEX('Policy Characteristics'!H:H,MATCH($C534,'Policy Characteristics'!$C:$C,0))),"",INDEX('Policy Characteristics'!H:H,MATCH($C534,'Policy Characteristics'!$C:$C,0)))</f>
        <v>5</v>
      </c>
      <c r="O534" s="254" t="str">
        <f>IF(ISBLANK(INDEX('Policy Characteristics'!I:I,MATCH($C534,'Policy Characteristics'!$C:$C,0))),"",INDEX('Policy Characteristics'!I:I,MATCH($C534,'Policy Characteristics'!$C:$C,0)))</f>
        <v>$ / metric ton CO2e</v>
      </c>
      <c r="P534" s="254"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row>
    <row r="535" spans="1:16" s="1" customFormat="1" x14ac:dyDescent="0.3">
      <c r="A535" s="254" t="str">
        <f>IF(ISBLANK(INDEX('Policy Characteristics'!A:A,MATCH($C535,'Policy Characteristics'!$C:$C,0))),"",INDEX('Policy Characteristics'!A:A,MATCH($C535,'Policy Characteristics'!$C:$C,0)))</f>
        <v>Electricity Supply</v>
      </c>
      <c r="B535" s="262" t="str">
        <f>IF(ISBLANK(INDEX('Policy Characteristics'!B:B,MATCH($C535,'Policy Characteristics'!$C:$C,0))),"",INDEX('Policy Characteristics'!B:B,MATCH($C535,'Policy Characteristics'!$C:$C,0)))</f>
        <v>Electricity CCS Subsidy</v>
      </c>
      <c r="C535" s="254" t="str">
        <f t="shared" si="30"/>
        <v>Additional Subsidy for Elec CCS</v>
      </c>
      <c r="D535" s="6" t="s">
        <v>79</v>
      </c>
      <c r="F535" s="6" t="s">
        <v>91</v>
      </c>
      <c r="H535" s="43">
        <v>2267</v>
      </c>
      <c r="I535" s="1" t="s">
        <v>44</v>
      </c>
      <c r="J535" s="255" t="str">
        <f>IF(ISBLANK(INDEX('Policy Characteristics'!D:D,MATCH($C535,'Policy Characteristics'!$C:$C,0))),"",INDEX('Policy Characteristics'!D:D,MATCH($C535,'Policy Characteristics'!$C:$C,0)))</f>
        <v>Electricity CCS Subsidy</v>
      </c>
      <c r="K535" s="254" t="str">
        <f>IF(ISBLANK(INDEX('Policy Characteristics'!E:E,MATCH($C535,'Policy Characteristics'!$C:$C,0))),"",INDEX('Policy Characteristics'!E:E,MATCH($C535,'Policy Characteristics'!$C:$C,0)))</f>
        <v>elec CCS subsidy</v>
      </c>
      <c r="L535" s="368">
        <f>IF(ISBLANK(INDEX('Policy Characteristics'!F:F,MATCH($C535,'Policy Characteristics'!$C:$C,0))),"",INDEX('Policy Characteristics'!F:F,MATCH($C535,'Policy Characteristics'!$C:$C,0)))</f>
        <v>0</v>
      </c>
      <c r="M535" s="368">
        <f>IF(ISBLANK(INDEX('Policy Characteristics'!G:G,MATCH($C535,'Policy Characteristics'!$C:$C,0))),"",INDEX('Policy Characteristics'!G:G,MATCH($C535,'Policy Characteristics'!$C:$C,0)))</f>
        <v>100</v>
      </c>
      <c r="N535" s="368">
        <f>IF(ISBLANK(INDEX('Policy Characteristics'!H:H,MATCH($C535,'Policy Characteristics'!$C:$C,0))),"",INDEX('Policy Characteristics'!H:H,MATCH($C535,'Policy Characteristics'!$C:$C,0)))</f>
        <v>5</v>
      </c>
      <c r="O535" s="254" t="str">
        <f>IF(ISBLANK(INDEX('Policy Characteristics'!I:I,MATCH($C535,'Policy Characteristics'!$C:$C,0))),"",INDEX('Policy Characteristics'!I:I,MATCH($C535,'Policy Characteristics'!$C:$C,0)))</f>
        <v>$ / metric ton CO2e</v>
      </c>
      <c r="P535" s="254"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row>
    <row r="536" spans="1:16" s="1" customFormat="1" x14ac:dyDescent="0.3">
      <c r="A536" s="254" t="str">
        <f>IF(ISBLANK(INDEX('Policy Characteristics'!A:A,MATCH($C536,'Policy Characteristics'!$C:$C,0))),"",INDEX('Policy Characteristics'!A:A,MATCH($C536,'Policy Characteristics'!$C:$C,0)))</f>
        <v>Electricity Supply</v>
      </c>
      <c r="B536" s="262" t="str">
        <f>IF(ISBLANK(INDEX('Policy Characteristics'!B:B,MATCH($C536,'Policy Characteristics'!$C:$C,0))),"",INDEX('Policy Characteristics'!B:B,MATCH($C536,'Policy Characteristics'!$C:$C,0)))</f>
        <v>Electricity CCS Subsidy</v>
      </c>
      <c r="C536" s="254" t="str">
        <f t="shared" si="30"/>
        <v>Additional Subsidy for Elec CCS</v>
      </c>
      <c r="D536" s="6" t="s">
        <v>80</v>
      </c>
      <c r="F536" s="6" t="s">
        <v>92</v>
      </c>
      <c r="H536" s="43">
        <v>2268</v>
      </c>
      <c r="I536" s="1" t="s">
        <v>44</v>
      </c>
      <c r="J536" s="255" t="str">
        <f>IF(ISBLANK(INDEX('Policy Characteristics'!D:D,MATCH($C536,'Policy Characteristics'!$C:$C,0))),"",INDEX('Policy Characteristics'!D:D,MATCH($C536,'Policy Characteristics'!$C:$C,0)))</f>
        <v>Electricity CCS Subsidy</v>
      </c>
      <c r="K536" s="254" t="str">
        <f>IF(ISBLANK(INDEX('Policy Characteristics'!E:E,MATCH($C536,'Policy Characteristics'!$C:$C,0))),"",INDEX('Policy Characteristics'!E:E,MATCH($C536,'Policy Characteristics'!$C:$C,0)))</f>
        <v>elec CCS subsidy</v>
      </c>
      <c r="L536" s="368">
        <f>IF(ISBLANK(INDEX('Policy Characteristics'!F:F,MATCH($C536,'Policy Characteristics'!$C:$C,0))),"",INDEX('Policy Characteristics'!F:F,MATCH($C536,'Policy Characteristics'!$C:$C,0)))</f>
        <v>0</v>
      </c>
      <c r="M536" s="368">
        <f>IF(ISBLANK(INDEX('Policy Characteristics'!G:G,MATCH($C536,'Policy Characteristics'!$C:$C,0))),"",INDEX('Policy Characteristics'!G:G,MATCH($C536,'Policy Characteristics'!$C:$C,0)))</f>
        <v>100</v>
      </c>
      <c r="N536" s="368">
        <f>IF(ISBLANK(INDEX('Policy Characteristics'!H:H,MATCH($C536,'Policy Characteristics'!$C:$C,0))),"",INDEX('Policy Characteristics'!H:H,MATCH($C536,'Policy Characteristics'!$C:$C,0)))</f>
        <v>5</v>
      </c>
      <c r="O536" s="254" t="str">
        <f>IF(ISBLANK(INDEX('Policy Characteristics'!I:I,MATCH($C536,'Policy Characteristics'!$C:$C,0))),"",INDEX('Policy Characteristics'!I:I,MATCH($C536,'Policy Characteristics'!$C:$C,0)))</f>
        <v>$ / metric ton CO2e</v>
      </c>
      <c r="P536" s="254"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row>
    <row r="537" spans="1:16" s="1" customFormat="1" x14ac:dyDescent="0.3">
      <c r="A537" s="254" t="str">
        <f>IF(ISBLANK(INDEX('Policy Characteristics'!A:A,MATCH($C537,'Policy Characteristics'!$C:$C,0))),"",INDEX('Policy Characteristics'!A:A,MATCH($C537,'Policy Characteristics'!$C:$C,0)))</f>
        <v>Electricity Supply</v>
      </c>
      <c r="B537" s="262" t="str">
        <f>IF(ISBLANK(INDEX('Policy Characteristics'!B:B,MATCH($C537,'Policy Characteristics'!$C:$C,0))),"",INDEX('Policy Characteristics'!B:B,MATCH($C537,'Policy Characteristics'!$C:$C,0)))</f>
        <v>Electricity CCS Subsidy</v>
      </c>
      <c r="C537" s="254" t="str">
        <f t="shared" si="30"/>
        <v>Additional Subsidy for Elec CCS</v>
      </c>
      <c r="D537" s="6" t="s">
        <v>2425</v>
      </c>
      <c r="F537" s="6" t="s">
        <v>436</v>
      </c>
      <c r="H537" s="43">
        <v>2269</v>
      </c>
      <c r="I537" s="1" t="s">
        <v>44</v>
      </c>
      <c r="J537" s="255" t="str">
        <f>IF(ISBLANK(INDEX('Policy Characteristics'!D:D,MATCH($C537,'Policy Characteristics'!$C:$C,0))),"",INDEX('Policy Characteristics'!D:D,MATCH($C537,'Policy Characteristics'!$C:$C,0)))</f>
        <v>Electricity CCS Subsidy</v>
      </c>
      <c r="K537" s="254" t="str">
        <f>IF(ISBLANK(INDEX('Policy Characteristics'!E:E,MATCH($C537,'Policy Characteristics'!$C:$C,0))),"",INDEX('Policy Characteristics'!E:E,MATCH($C537,'Policy Characteristics'!$C:$C,0)))</f>
        <v>elec CCS subsidy</v>
      </c>
      <c r="L537" s="368">
        <f>IF(ISBLANK(INDEX('Policy Characteristics'!F:F,MATCH($C537,'Policy Characteristics'!$C:$C,0))),"",INDEX('Policy Characteristics'!F:F,MATCH($C537,'Policy Characteristics'!$C:$C,0)))</f>
        <v>0</v>
      </c>
      <c r="M537" s="368">
        <f>IF(ISBLANK(INDEX('Policy Characteristics'!G:G,MATCH($C537,'Policy Characteristics'!$C:$C,0))),"",INDEX('Policy Characteristics'!G:G,MATCH($C537,'Policy Characteristics'!$C:$C,0)))</f>
        <v>100</v>
      </c>
      <c r="N537" s="368">
        <f>IF(ISBLANK(INDEX('Policy Characteristics'!H:H,MATCH($C537,'Policy Characteristics'!$C:$C,0))),"",INDEX('Policy Characteristics'!H:H,MATCH($C537,'Policy Characteristics'!$C:$C,0)))</f>
        <v>5</v>
      </c>
      <c r="O537" s="254" t="str">
        <f>IF(ISBLANK(INDEX('Policy Characteristics'!I:I,MATCH($C537,'Policy Characteristics'!$C:$C,0))),"",INDEX('Policy Characteristics'!I:I,MATCH($C537,'Policy Characteristics'!$C:$C,0)))</f>
        <v>$ / metric ton CO2e</v>
      </c>
      <c r="P537" s="254"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row>
    <row r="538" spans="1:16" s="1" customFormat="1" x14ac:dyDescent="0.3">
      <c r="A538" s="254" t="str">
        <f>IF(ISBLANK(INDEX('Policy Characteristics'!A:A,MATCH($C538,'Policy Characteristics'!$C:$C,0))),"",INDEX('Policy Characteristics'!A:A,MATCH($C538,'Policy Characteristics'!$C:$C,0)))</f>
        <v>Electricity Supply</v>
      </c>
      <c r="B538" s="262" t="str">
        <f>IF(ISBLANK(INDEX('Policy Characteristics'!B:B,MATCH($C538,'Policy Characteristics'!$C:$C,0))),"",INDEX('Policy Characteristics'!B:B,MATCH($C538,'Policy Characteristics'!$C:$C,0)))</f>
        <v>Electricity CCS Subsidy</v>
      </c>
      <c r="C538" s="254" t="str">
        <f t="shared" si="30"/>
        <v>Additional Subsidy for Elec CCS</v>
      </c>
      <c r="D538" s="6" t="s">
        <v>308</v>
      </c>
      <c r="F538" s="6" t="s">
        <v>310</v>
      </c>
      <c r="H538" s="43">
        <v>2270</v>
      </c>
      <c r="I538" s="1" t="s">
        <v>44</v>
      </c>
      <c r="J538" s="255" t="str">
        <f>IF(ISBLANK(INDEX('Policy Characteristics'!D:D,MATCH($C538,'Policy Characteristics'!$C:$C,0))),"",INDEX('Policy Characteristics'!D:D,MATCH($C538,'Policy Characteristics'!$C:$C,0)))</f>
        <v>Electricity CCS Subsidy</v>
      </c>
      <c r="K538" s="254" t="str">
        <f>IF(ISBLANK(INDEX('Policy Characteristics'!E:E,MATCH($C538,'Policy Characteristics'!$C:$C,0))),"",INDEX('Policy Characteristics'!E:E,MATCH($C538,'Policy Characteristics'!$C:$C,0)))</f>
        <v>elec CCS subsidy</v>
      </c>
      <c r="L538" s="368">
        <f>IF(ISBLANK(INDEX('Policy Characteristics'!F:F,MATCH($C538,'Policy Characteristics'!$C:$C,0))),"",INDEX('Policy Characteristics'!F:F,MATCH($C538,'Policy Characteristics'!$C:$C,0)))</f>
        <v>0</v>
      </c>
      <c r="M538" s="368">
        <f>IF(ISBLANK(INDEX('Policy Characteristics'!G:G,MATCH($C538,'Policy Characteristics'!$C:$C,0))),"",INDEX('Policy Characteristics'!G:G,MATCH($C538,'Policy Characteristics'!$C:$C,0)))</f>
        <v>100</v>
      </c>
      <c r="N538" s="368">
        <f>IF(ISBLANK(INDEX('Policy Characteristics'!H:H,MATCH($C538,'Policy Characteristics'!$C:$C,0))),"",INDEX('Policy Characteristics'!H:H,MATCH($C538,'Policy Characteristics'!$C:$C,0)))</f>
        <v>5</v>
      </c>
      <c r="O538" s="254" t="str">
        <f>IF(ISBLANK(INDEX('Policy Characteristics'!I:I,MATCH($C538,'Policy Characteristics'!$C:$C,0))),"",INDEX('Policy Characteristics'!I:I,MATCH($C538,'Policy Characteristics'!$C:$C,0)))</f>
        <v>$ / metric ton CO2e</v>
      </c>
      <c r="P538" s="254"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row>
    <row r="539" spans="1:16" s="1" customFormat="1" x14ac:dyDescent="0.3">
      <c r="A539" s="254" t="str">
        <f>IF(ISBLANK(INDEX('Policy Characteristics'!A:A,MATCH($C539,'Policy Characteristics'!$C:$C,0))),"",INDEX('Policy Characteristics'!A:A,MATCH($C539,'Policy Characteristics'!$C:$C,0)))</f>
        <v>Electricity Supply</v>
      </c>
      <c r="B539" s="262" t="str">
        <f>IF(ISBLANK(INDEX('Policy Characteristics'!B:B,MATCH($C539,'Policy Characteristics'!$C:$C,0))),"",INDEX('Policy Characteristics'!B:B,MATCH($C539,'Policy Characteristics'!$C:$C,0)))</f>
        <v>Electricity CCS Subsidy</v>
      </c>
      <c r="C539" s="254" t="str">
        <f t="shared" si="30"/>
        <v>Additional Subsidy for Elec CCS</v>
      </c>
      <c r="D539" s="6" t="s">
        <v>309</v>
      </c>
      <c r="F539" s="6" t="s">
        <v>311</v>
      </c>
      <c r="H539" s="43">
        <v>2271</v>
      </c>
      <c r="I539" s="1" t="s">
        <v>44</v>
      </c>
      <c r="J539" s="255" t="str">
        <f>IF(ISBLANK(INDEX('Policy Characteristics'!D:D,MATCH($C539,'Policy Characteristics'!$C:$C,0))),"",INDEX('Policy Characteristics'!D:D,MATCH($C539,'Policy Characteristics'!$C:$C,0)))</f>
        <v>Electricity CCS Subsidy</v>
      </c>
      <c r="K539" s="254" t="str">
        <f>IF(ISBLANK(INDEX('Policy Characteristics'!E:E,MATCH($C539,'Policy Characteristics'!$C:$C,0))),"",INDEX('Policy Characteristics'!E:E,MATCH($C539,'Policy Characteristics'!$C:$C,0)))</f>
        <v>elec CCS subsidy</v>
      </c>
      <c r="L539" s="368">
        <f>IF(ISBLANK(INDEX('Policy Characteristics'!F:F,MATCH($C539,'Policy Characteristics'!$C:$C,0))),"",INDEX('Policy Characteristics'!F:F,MATCH($C539,'Policy Characteristics'!$C:$C,0)))</f>
        <v>0</v>
      </c>
      <c r="M539" s="368">
        <f>IF(ISBLANK(INDEX('Policy Characteristics'!G:G,MATCH($C539,'Policy Characteristics'!$C:$C,0))),"",INDEX('Policy Characteristics'!G:G,MATCH($C539,'Policy Characteristics'!$C:$C,0)))</f>
        <v>100</v>
      </c>
      <c r="N539" s="368">
        <f>IF(ISBLANK(INDEX('Policy Characteristics'!H:H,MATCH($C539,'Policy Characteristics'!$C:$C,0))),"",INDEX('Policy Characteristics'!H:H,MATCH($C539,'Policy Characteristics'!$C:$C,0)))</f>
        <v>5</v>
      </c>
      <c r="O539" s="254" t="str">
        <f>IF(ISBLANK(INDEX('Policy Characteristics'!I:I,MATCH($C539,'Policy Characteristics'!$C:$C,0))),"",INDEX('Policy Characteristics'!I:I,MATCH($C539,'Policy Characteristics'!$C:$C,0)))</f>
        <v>$ / metric ton CO2e</v>
      </c>
      <c r="P539" s="254"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row>
    <row r="540" spans="1:16" s="1" customFormat="1" x14ac:dyDescent="0.3">
      <c r="A540" s="254" t="str">
        <f>IF(ISBLANK(INDEX('Policy Characteristics'!A:A,MATCH($C540,'Policy Characteristics'!$C:$C,0))),"",INDEX('Policy Characteristics'!A:A,MATCH($C540,'Policy Characteristics'!$C:$C,0)))</f>
        <v>Electricity Supply</v>
      </c>
      <c r="B540" s="262" t="str">
        <f>IF(ISBLANK(INDEX('Policy Characteristics'!B:B,MATCH($C540,'Policy Characteristics'!$C:$C,0))),"",INDEX('Policy Characteristics'!B:B,MATCH($C540,'Policy Characteristics'!$C:$C,0)))</f>
        <v>Electricity CCS Subsidy</v>
      </c>
      <c r="C540" s="254" t="str">
        <f t="shared" si="30"/>
        <v>Additional Subsidy for Elec CCS</v>
      </c>
      <c r="D540" s="6" t="s">
        <v>444</v>
      </c>
      <c r="F540" s="6" t="s">
        <v>443</v>
      </c>
      <c r="H540" s="43">
        <v>2272</v>
      </c>
      <c r="I540" s="1" t="s">
        <v>44</v>
      </c>
      <c r="J540" s="255" t="str">
        <f>IF(ISBLANK(INDEX('Policy Characteristics'!D:D,MATCH($C540,'Policy Characteristics'!$C:$C,0))),"",INDEX('Policy Characteristics'!D:D,MATCH($C540,'Policy Characteristics'!$C:$C,0)))</f>
        <v>Electricity CCS Subsidy</v>
      </c>
      <c r="K540" s="254" t="str">
        <f>IF(ISBLANK(INDEX('Policy Characteristics'!E:E,MATCH($C540,'Policy Characteristics'!$C:$C,0))),"",INDEX('Policy Characteristics'!E:E,MATCH($C540,'Policy Characteristics'!$C:$C,0)))</f>
        <v>elec CCS subsidy</v>
      </c>
      <c r="L540" s="368">
        <f>IF(ISBLANK(INDEX('Policy Characteristics'!F:F,MATCH($C540,'Policy Characteristics'!$C:$C,0))),"",INDEX('Policy Characteristics'!F:F,MATCH($C540,'Policy Characteristics'!$C:$C,0)))</f>
        <v>0</v>
      </c>
      <c r="M540" s="368">
        <f>IF(ISBLANK(INDEX('Policy Characteristics'!G:G,MATCH($C540,'Policy Characteristics'!$C:$C,0))),"",INDEX('Policy Characteristics'!G:G,MATCH($C540,'Policy Characteristics'!$C:$C,0)))</f>
        <v>100</v>
      </c>
      <c r="N540" s="368">
        <f>IF(ISBLANK(INDEX('Policy Characteristics'!H:H,MATCH($C540,'Policy Characteristics'!$C:$C,0))),"",INDEX('Policy Characteristics'!H:H,MATCH($C540,'Policy Characteristics'!$C:$C,0)))</f>
        <v>5</v>
      </c>
      <c r="O540" s="254" t="str">
        <f>IF(ISBLANK(INDEX('Policy Characteristics'!I:I,MATCH($C540,'Policy Characteristics'!$C:$C,0))),"",INDEX('Policy Characteristics'!I:I,MATCH($C540,'Policy Characteristics'!$C:$C,0)))</f>
        <v>$ / metric ton CO2e</v>
      </c>
      <c r="P540" s="254"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row>
    <row r="541" spans="1:16" s="1" customFormat="1" x14ac:dyDescent="0.3">
      <c r="A541" s="254" t="str">
        <f>IF(ISBLANK(INDEX('Policy Characteristics'!A:A,MATCH($C541,'Policy Characteristics'!$C:$C,0))),"",INDEX('Policy Characteristics'!A:A,MATCH($C541,'Policy Characteristics'!$C:$C,0)))</f>
        <v>Electricity Supply</v>
      </c>
      <c r="B541" s="262" t="str">
        <f>IF(ISBLANK(INDEX('Policy Characteristics'!B:B,MATCH($C541,'Policy Characteristics'!$C:$C,0))),"",INDEX('Policy Characteristics'!B:B,MATCH($C541,'Policy Characteristics'!$C:$C,0)))</f>
        <v>Electricity CCS Subsidy</v>
      </c>
      <c r="C541" s="254" t="str">
        <f t="shared" si="30"/>
        <v>Additional Subsidy for Elec CCS</v>
      </c>
      <c r="D541" s="6" t="s">
        <v>453</v>
      </c>
      <c r="F541" s="6" t="s">
        <v>454</v>
      </c>
      <c r="H541" s="43">
        <v>2273</v>
      </c>
      <c r="I541" s="1" t="s">
        <v>44</v>
      </c>
      <c r="J541" s="255" t="str">
        <f>IF(ISBLANK(INDEX('Policy Characteristics'!D:D,MATCH($C541,'Policy Characteristics'!$C:$C,0))),"",INDEX('Policy Characteristics'!D:D,MATCH($C541,'Policy Characteristics'!$C:$C,0)))</f>
        <v>Electricity CCS Subsidy</v>
      </c>
      <c r="K541" s="254" t="str">
        <f>IF(ISBLANK(INDEX('Policy Characteristics'!E:E,MATCH($C541,'Policy Characteristics'!$C:$C,0))),"",INDEX('Policy Characteristics'!E:E,MATCH($C541,'Policy Characteristics'!$C:$C,0)))</f>
        <v>elec CCS subsidy</v>
      </c>
      <c r="L541" s="368">
        <f>IF(ISBLANK(INDEX('Policy Characteristics'!F:F,MATCH($C541,'Policy Characteristics'!$C:$C,0))),"",INDEX('Policy Characteristics'!F:F,MATCH($C541,'Policy Characteristics'!$C:$C,0)))</f>
        <v>0</v>
      </c>
      <c r="M541" s="368">
        <f>IF(ISBLANK(INDEX('Policy Characteristics'!G:G,MATCH($C541,'Policy Characteristics'!$C:$C,0))),"",INDEX('Policy Characteristics'!G:G,MATCH($C541,'Policy Characteristics'!$C:$C,0)))</f>
        <v>100</v>
      </c>
      <c r="N541" s="368">
        <f>IF(ISBLANK(INDEX('Policy Characteristics'!H:H,MATCH($C541,'Policy Characteristics'!$C:$C,0))),"",INDEX('Policy Characteristics'!H:H,MATCH($C541,'Policy Characteristics'!$C:$C,0)))</f>
        <v>5</v>
      </c>
      <c r="O541" s="254" t="str">
        <f>IF(ISBLANK(INDEX('Policy Characteristics'!I:I,MATCH($C541,'Policy Characteristics'!$C:$C,0))),"",INDEX('Policy Characteristics'!I:I,MATCH($C541,'Policy Characteristics'!$C:$C,0)))</f>
        <v>$ / metric ton CO2e</v>
      </c>
      <c r="P541" s="254"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row>
    <row r="542" spans="1:16" s="1" customFormat="1" x14ac:dyDescent="0.3">
      <c r="A542" s="254" t="str">
        <f>IF(ISBLANK(INDEX('Policy Characteristics'!A:A,MATCH($C542,'Policy Characteristics'!$C:$C,0))),"",INDEX('Policy Characteristics'!A:A,MATCH($C542,'Policy Characteristics'!$C:$C,0)))</f>
        <v>Electricity Supply</v>
      </c>
      <c r="B542" s="262" t="str">
        <f>IF(ISBLANK(INDEX('Policy Characteristics'!B:B,MATCH($C542,'Policy Characteristics'!$C:$C,0))),"",INDEX('Policy Characteristics'!B:B,MATCH($C542,'Policy Characteristics'!$C:$C,0)))</f>
        <v>Electricity CCS Subsidy</v>
      </c>
      <c r="C542" s="254" t="str">
        <f t="shared" si="30"/>
        <v>Additional Subsidy for Elec CCS</v>
      </c>
      <c r="D542" s="6" t="s">
        <v>2748</v>
      </c>
      <c r="F542" s="6" t="s">
        <v>2469</v>
      </c>
      <c r="H542" s="43">
        <v>2274</v>
      </c>
      <c r="I542" s="1" t="s">
        <v>44</v>
      </c>
      <c r="J542" s="255" t="str">
        <f>IF(ISBLANK(INDEX('Policy Characteristics'!D:D,MATCH($C542,'Policy Characteristics'!$C:$C,0))),"",INDEX('Policy Characteristics'!D:D,MATCH($C542,'Policy Characteristics'!$C:$C,0)))</f>
        <v>Electricity CCS Subsidy</v>
      </c>
      <c r="K542" s="254" t="str">
        <f>IF(ISBLANK(INDEX('Policy Characteristics'!E:E,MATCH($C542,'Policy Characteristics'!$C:$C,0))),"",INDEX('Policy Characteristics'!E:E,MATCH($C542,'Policy Characteristics'!$C:$C,0)))</f>
        <v>elec CCS subsidy</v>
      </c>
      <c r="L542" s="368">
        <f>IF(ISBLANK(INDEX('Policy Characteristics'!F:F,MATCH($C542,'Policy Characteristics'!$C:$C,0))),"",INDEX('Policy Characteristics'!F:F,MATCH($C542,'Policy Characteristics'!$C:$C,0)))</f>
        <v>0</v>
      </c>
      <c r="M542" s="368">
        <f>IF(ISBLANK(INDEX('Policy Characteristics'!G:G,MATCH($C542,'Policy Characteristics'!$C:$C,0))),"",INDEX('Policy Characteristics'!G:G,MATCH($C542,'Policy Characteristics'!$C:$C,0)))</f>
        <v>100</v>
      </c>
      <c r="N542" s="368">
        <f>IF(ISBLANK(INDEX('Policy Characteristics'!H:H,MATCH($C542,'Policy Characteristics'!$C:$C,0))),"",INDEX('Policy Characteristics'!H:H,MATCH($C542,'Policy Characteristics'!$C:$C,0)))</f>
        <v>5</v>
      </c>
      <c r="O542" s="254" t="str">
        <f>IF(ISBLANK(INDEX('Policy Characteristics'!I:I,MATCH($C542,'Policy Characteristics'!$C:$C,0))),"",INDEX('Policy Characteristics'!I:I,MATCH($C542,'Policy Characteristics'!$C:$C,0)))</f>
        <v>$ / metric ton CO2e</v>
      </c>
      <c r="P542" s="254"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row>
    <row r="543" spans="1:16" s="1" customFormat="1" x14ac:dyDescent="0.3">
      <c r="A543" s="254" t="str">
        <f>IF(ISBLANK(INDEX('Policy Characteristics'!A:A,MATCH($C543,'Policy Characteristics'!$C:$C,0))),"",INDEX('Policy Characteristics'!A:A,MATCH($C543,'Policy Characteristics'!$C:$C,0)))</f>
        <v>Electricity Supply</v>
      </c>
      <c r="B543" s="262" t="str">
        <f>IF(ISBLANK(INDEX('Policy Characteristics'!B:B,MATCH($C543,'Policy Characteristics'!$C:$C,0))),"",INDEX('Policy Characteristics'!B:B,MATCH($C543,'Policy Characteristics'!$C:$C,0)))</f>
        <v>Electricity CCS Subsidy</v>
      </c>
      <c r="C543" s="254" t="str">
        <f t="shared" si="30"/>
        <v>Additional Subsidy for Elec CCS</v>
      </c>
      <c r="D543" s="6" t="s">
        <v>2749</v>
      </c>
      <c r="F543" s="6" t="s">
        <v>2592</v>
      </c>
      <c r="H543" s="43">
        <v>2275</v>
      </c>
      <c r="I543" s="1" t="s">
        <v>44</v>
      </c>
      <c r="J543" s="255" t="str">
        <f>IF(ISBLANK(INDEX('Policy Characteristics'!D:D,MATCH($C543,'Policy Characteristics'!$C:$C,0))),"",INDEX('Policy Characteristics'!D:D,MATCH($C543,'Policy Characteristics'!$C:$C,0)))</f>
        <v>Electricity CCS Subsidy</v>
      </c>
      <c r="K543" s="254" t="str">
        <f>IF(ISBLANK(INDEX('Policy Characteristics'!E:E,MATCH($C543,'Policy Characteristics'!$C:$C,0))),"",INDEX('Policy Characteristics'!E:E,MATCH($C543,'Policy Characteristics'!$C:$C,0)))</f>
        <v>elec CCS subsidy</v>
      </c>
      <c r="L543" s="368">
        <f>IF(ISBLANK(INDEX('Policy Characteristics'!F:F,MATCH($C543,'Policy Characteristics'!$C:$C,0))),"",INDEX('Policy Characteristics'!F:F,MATCH($C543,'Policy Characteristics'!$C:$C,0)))</f>
        <v>0</v>
      </c>
      <c r="M543" s="368">
        <f>IF(ISBLANK(INDEX('Policy Characteristics'!G:G,MATCH($C543,'Policy Characteristics'!$C:$C,0))),"",INDEX('Policy Characteristics'!G:G,MATCH($C543,'Policy Characteristics'!$C:$C,0)))</f>
        <v>100</v>
      </c>
      <c r="N543" s="368">
        <f>IF(ISBLANK(INDEX('Policy Characteristics'!H:H,MATCH($C543,'Policy Characteristics'!$C:$C,0))),"",INDEX('Policy Characteristics'!H:H,MATCH($C543,'Policy Characteristics'!$C:$C,0)))</f>
        <v>5</v>
      </c>
      <c r="O543" s="254" t="str">
        <f>IF(ISBLANK(INDEX('Policy Characteristics'!I:I,MATCH($C543,'Policy Characteristics'!$C:$C,0))),"",INDEX('Policy Characteristics'!I:I,MATCH($C543,'Policy Characteristics'!$C:$C,0)))</f>
        <v>$ / metric ton CO2e</v>
      </c>
      <c r="P543" s="254"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row>
    <row r="544" spans="1:16" s="1" customFormat="1" x14ac:dyDescent="0.3">
      <c r="A544" s="254" t="str">
        <f>IF(ISBLANK(INDEX('Policy Characteristics'!A:A,MATCH($C544,'Policy Characteristics'!$C:$C,0))),"",INDEX('Policy Characteristics'!A:A,MATCH($C544,'Policy Characteristics'!$C:$C,0)))</f>
        <v>Electricity Supply</v>
      </c>
      <c r="B544" s="262" t="str">
        <f>IF(ISBLANK(INDEX('Policy Characteristics'!B:B,MATCH($C544,'Policy Characteristics'!$C:$C,0))),"",INDEX('Policy Characteristics'!B:B,MATCH($C544,'Policy Characteristics'!$C:$C,0)))</f>
        <v>Electricity CCS Subsidy</v>
      </c>
      <c r="C544" s="254" t="str">
        <f t="shared" si="30"/>
        <v>Additional Subsidy for Elec CCS</v>
      </c>
      <c r="D544" s="6" t="s">
        <v>2750</v>
      </c>
      <c r="F544" s="6" t="s">
        <v>2471</v>
      </c>
      <c r="H544" s="43">
        <v>2276</v>
      </c>
      <c r="I544" s="1" t="s">
        <v>44</v>
      </c>
      <c r="J544" s="255" t="str">
        <f>IF(ISBLANK(INDEX('Policy Characteristics'!D:D,MATCH($C544,'Policy Characteristics'!$C:$C,0))),"",INDEX('Policy Characteristics'!D:D,MATCH($C544,'Policy Characteristics'!$C:$C,0)))</f>
        <v>Electricity CCS Subsidy</v>
      </c>
      <c r="K544" s="254" t="str">
        <f>IF(ISBLANK(INDEX('Policy Characteristics'!E:E,MATCH($C544,'Policy Characteristics'!$C:$C,0))),"",INDEX('Policy Characteristics'!E:E,MATCH($C544,'Policy Characteristics'!$C:$C,0)))</f>
        <v>elec CCS subsidy</v>
      </c>
      <c r="L544" s="368">
        <f>IF(ISBLANK(INDEX('Policy Characteristics'!F:F,MATCH($C544,'Policy Characteristics'!$C:$C,0))),"",INDEX('Policy Characteristics'!F:F,MATCH($C544,'Policy Characteristics'!$C:$C,0)))</f>
        <v>0</v>
      </c>
      <c r="M544" s="368">
        <f>IF(ISBLANK(INDEX('Policy Characteristics'!G:G,MATCH($C544,'Policy Characteristics'!$C:$C,0))),"",INDEX('Policy Characteristics'!G:G,MATCH($C544,'Policy Characteristics'!$C:$C,0)))</f>
        <v>100</v>
      </c>
      <c r="N544" s="368">
        <f>IF(ISBLANK(INDEX('Policy Characteristics'!H:H,MATCH($C544,'Policy Characteristics'!$C:$C,0))),"",INDEX('Policy Characteristics'!H:H,MATCH($C544,'Policy Characteristics'!$C:$C,0)))</f>
        <v>5</v>
      </c>
      <c r="O544" s="254" t="str">
        <f>IF(ISBLANK(INDEX('Policy Characteristics'!I:I,MATCH($C544,'Policy Characteristics'!$C:$C,0))),"",INDEX('Policy Characteristics'!I:I,MATCH($C544,'Policy Characteristics'!$C:$C,0)))</f>
        <v>$ / metric ton CO2e</v>
      </c>
      <c r="P544" s="254"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row>
    <row r="545" spans="1:18" x14ac:dyDescent="0.3">
      <c r="A545" s="254" t="str">
        <f>IF(ISBLANK(INDEX('Policy Characteristics'!A:A,MATCH($C545,'Policy Characteristics'!$C:$C,0))),"",INDEX('Policy Characteristics'!A:A,MATCH($C545,'Policy Characteristics'!$C:$C,0)))</f>
        <v>Electricity Supply</v>
      </c>
      <c r="B545" s="262" t="str">
        <f>IF(ISBLANK(INDEX('Policy Characteristics'!B:B,MATCH($C545,'Policy Characteristics'!$C:$C,0))),"",INDEX('Policy Characteristics'!B:B,MATCH($C545,'Policy Characteristics'!$C:$C,0)))</f>
        <v>Electricity CCS Subsidy</v>
      </c>
      <c r="C545" s="254" t="str">
        <f t="shared" si="30"/>
        <v>Additional Subsidy for Elec CCS</v>
      </c>
      <c r="D545" s="6" t="s">
        <v>3487</v>
      </c>
      <c r="F545" s="6" t="s">
        <v>3494</v>
      </c>
      <c r="H545" s="43">
        <v>2277</v>
      </c>
      <c r="I545" s="1" t="s">
        <v>43</v>
      </c>
      <c r="J545" s="255" t="str">
        <f>IF(ISBLANK(INDEX('Policy Characteristics'!D:D,MATCH($C545,'Policy Characteristics'!$C:$C,0))),"",INDEX('Policy Characteristics'!D:D,MATCH($C545,'Policy Characteristics'!$C:$C,0)))</f>
        <v>Electricity CCS Subsidy</v>
      </c>
      <c r="K545" s="254" t="str">
        <f>IF(ISBLANK(INDEX('Policy Characteristics'!E:E,MATCH($C545,'Policy Characteristics'!$C:$C,0))),"",INDEX('Policy Characteristics'!E:E,MATCH($C545,'Policy Characteristics'!$C:$C,0)))</f>
        <v>elec CCS subsidy</v>
      </c>
      <c r="L545" s="368">
        <f>IF(ISBLANK(INDEX('Policy Characteristics'!F:F,MATCH($C545,'Policy Characteristics'!$C:$C,0))),"",INDEX('Policy Characteristics'!F:F,MATCH($C545,'Policy Characteristics'!$C:$C,0)))</f>
        <v>0</v>
      </c>
      <c r="M545" s="368">
        <f>IF(ISBLANK(INDEX('Policy Characteristics'!G:G,MATCH($C545,'Policy Characteristics'!$C:$C,0))),"",INDEX('Policy Characteristics'!G:G,MATCH($C545,'Policy Characteristics'!$C:$C,0)))</f>
        <v>100</v>
      </c>
      <c r="N545" s="368">
        <f>IF(ISBLANK(INDEX('Policy Characteristics'!H:H,MATCH($C545,'Policy Characteristics'!$C:$C,0))),"",INDEX('Policy Characteristics'!H:H,MATCH($C545,'Policy Characteristics'!$C:$C,0)))</f>
        <v>5</v>
      </c>
      <c r="O545" s="254" t="str">
        <f>IF(ISBLANK(INDEX('Policy Characteristics'!I:I,MATCH($C545,'Policy Characteristics'!$C:$C,0))),"",INDEX('Policy Characteristics'!I:I,MATCH($C545,'Policy Characteristics'!$C:$C,0)))</f>
        <v>$ / metric ton CO2e</v>
      </c>
      <c r="P545" s="254"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s="1"/>
    </row>
    <row r="546" spans="1:18" x14ac:dyDescent="0.3">
      <c r="A546" s="254" t="str">
        <f>IF(ISBLANK(INDEX('Policy Characteristics'!A:A,MATCH($C546,'Policy Characteristics'!$C:$C,0))),"",INDEX('Policy Characteristics'!A:A,MATCH($C546,'Policy Characteristics'!$C:$C,0)))</f>
        <v>Electricity Supply</v>
      </c>
      <c r="B546" s="262" t="str">
        <f>IF(ISBLANK(INDEX('Policy Characteristics'!B:B,MATCH($C546,'Policy Characteristics'!$C:$C,0))),"",INDEX('Policy Characteristics'!B:B,MATCH($C546,'Policy Characteristics'!$C:$C,0)))</f>
        <v>Electricity CCS Subsidy</v>
      </c>
      <c r="C546" s="254" t="str">
        <f t="shared" si="30"/>
        <v>Additional Subsidy for Elec CCS</v>
      </c>
      <c r="D546" s="6" t="s">
        <v>3490</v>
      </c>
      <c r="F546" s="6" t="s">
        <v>3495</v>
      </c>
      <c r="H546" s="43">
        <v>2278</v>
      </c>
      <c r="I546" s="1" t="s">
        <v>43</v>
      </c>
      <c r="J546" s="255" t="str">
        <f>IF(ISBLANK(INDEX('Policy Characteristics'!D:D,MATCH($C546,'Policy Characteristics'!$C:$C,0))),"",INDEX('Policy Characteristics'!D:D,MATCH($C546,'Policy Characteristics'!$C:$C,0)))</f>
        <v>Electricity CCS Subsidy</v>
      </c>
      <c r="K546" s="254" t="str">
        <f>IF(ISBLANK(INDEX('Policy Characteristics'!E:E,MATCH($C546,'Policy Characteristics'!$C:$C,0))),"",INDEX('Policy Characteristics'!E:E,MATCH($C546,'Policy Characteristics'!$C:$C,0)))</f>
        <v>elec CCS subsidy</v>
      </c>
      <c r="L546" s="368">
        <f>IF(ISBLANK(INDEX('Policy Characteristics'!F:F,MATCH($C546,'Policy Characteristics'!$C:$C,0))),"",INDEX('Policy Characteristics'!F:F,MATCH($C546,'Policy Characteristics'!$C:$C,0)))</f>
        <v>0</v>
      </c>
      <c r="M546" s="368">
        <f>IF(ISBLANK(INDEX('Policy Characteristics'!G:G,MATCH($C546,'Policy Characteristics'!$C:$C,0))),"",INDEX('Policy Characteristics'!G:G,MATCH($C546,'Policy Characteristics'!$C:$C,0)))</f>
        <v>100</v>
      </c>
      <c r="N546" s="368">
        <f>IF(ISBLANK(INDEX('Policy Characteristics'!H:H,MATCH($C546,'Policy Characteristics'!$C:$C,0))),"",INDEX('Policy Characteristics'!H:H,MATCH($C546,'Policy Characteristics'!$C:$C,0)))</f>
        <v>5</v>
      </c>
      <c r="O546" s="254" t="str">
        <f>IF(ISBLANK(INDEX('Policy Characteristics'!I:I,MATCH($C546,'Policy Characteristics'!$C:$C,0))),"",INDEX('Policy Characteristics'!I:I,MATCH($C546,'Policy Characteristics'!$C:$C,0)))</f>
        <v>$ / metric ton CO2e</v>
      </c>
      <c r="P546" s="254"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s="1"/>
    </row>
    <row r="547" spans="1:18" x14ac:dyDescent="0.3">
      <c r="A547" s="254" t="str">
        <f>IF(ISBLANK(INDEX('Policy Characteristics'!A:A,MATCH($C547,'Policy Characteristics'!$C:$C,0))),"",INDEX('Policy Characteristics'!A:A,MATCH($C547,'Policy Characteristics'!$C:$C,0)))</f>
        <v>Electricity Supply</v>
      </c>
      <c r="B547" s="262" t="str">
        <f>IF(ISBLANK(INDEX('Policy Characteristics'!B:B,MATCH($C547,'Policy Characteristics'!$C:$C,0))),"",INDEX('Policy Characteristics'!B:B,MATCH($C547,'Policy Characteristics'!$C:$C,0)))</f>
        <v>Electricity CCS Subsidy</v>
      </c>
      <c r="C547" s="254" t="str">
        <f t="shared" si="30"/>
        <v>Additional Subsidy for Elec CCS</v>
      </c>
      <c r="D547" s="6" t="s">
        <v>3491</v>
      </c>
      <c r="F547" s="6" t="s">
        <v>3496</v>
      </c>
      <c r="H547" s="43">
        <v>2279</v>
      </c>
      <c r="I547" s="1" t="s">
        <v>43</v>
      </c>
      <c r="J547" s="255" t="str">
        <f>IF(ISBLANK(INDEX('Policy Characteristics'!D:D,MATCH($C547,'Policy Characteristics'!$C:$C,0))),"",INDEX('Policy Characteristics'!D:D,MATCH($C547,'Policy Characteristics'!$C:$C,0)))</f>
        <v>Electricity CCS Subsidy</v>
      </c>
      <c r="K547" s="254" t="str">
        <f>IF(ISBLANK(INDEX('Policy Characteristics'!E:E,MATCH($C547,'Policy Characteristics'!$C:$C,0))),"",INDEX('Policy Characteristics'!E:E,MATCH($C547,'Policy Characteristics'!$C:$C,0)))</f>
        <v>elec CCS subsidy</v>
      </c>
      <c r="L547" s="368">
        <f>IF(ISBLANK(INDEX('Policy Characteristics'!F:F,MATCH($C547,'Policy Characteristics'!$C:$C,0))),"",INDEX('Policy Characteristics'!F:F,MATCH($C547,'Policy Characteristics'!$C:$C,0)))</f>
        <v>0</v>
      </c>
      <c r="M547" s="368">
        <f>IF(ISBLANK(INDEX('Policy Characteristics'!G:G,MATCH($C547,'Policy Characteristics'!$C:$C,0))),"",INDEX('Policy Characteristics'!G:G,MATCH($C547,'Policy Characteristics'!$C:$C,0)))</f>
        <v>100</v>
      </c>
      <c r="N547" s="368">
        <f>IF(ISBLANK(INDEX('Policy Characteristics'!H:H,MATCH($C547,'Policy Characteristics'!$C:$C,0))),"",INDEX('Policy Characteristics'!H:H,MATCH($C547,'Policy Characteristics'!$C:$C,0)))</f>
        <v>5</v>
      </c>
      <c r="O547" s="254" t="str">
        <f>IF(ISBLANK(INDEX('Policy Characteristics'!I:I,MATCH($C547,'Policy Characteristics'!$C:$C,0))),"",INDEX('Policy Characteristics'!I:I,MATCH($C547,'Policy Characteristics'!$C:$C,0)))</f>
        <v>$ / metric ton CO2e</v>
      </c>
      <c r="P547" s="254"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s="1"/>
    </row>
    <row r="548" spans="1:18" x14ac:dyDescent="0.3">
      <c r="A548" s="254" t="str">
        <f>IF(ISBLANK(INDEX('Policy Characteristics'!A:A,MATCH($C548,'Policy Characteristics'!$C:$C,0))),"",INDEX('Policy Characteristics'!A:A,MATCH($C548,'Policy Characteristics'!$C:$C,0)))</f>
        <v>Electricity Supply</v>
      </c>
      <c r="B548" s="262" t="str">
        <f>IF(ISBLANK(INDEX('Policy Characteristics'!B:B,MATCH($C548,'Policy Characteristics'!$C:$C,0))),"",INDEX('Policy Characteristics'!B:B,MATCH($C548,'Policy Characteristics'!$C:$C,0)))</f>
        <v>Electricity CCS Subsidy</v>
      </c>
      <c r="C548" s="254" t="str">
        <f t="shared" si="30"/>
        <v>Additional Subsidy for Elec CCS</v>
      </c>
      <c r="D548" s="6" t="s">
        <v>3492</v>
      </c>
      <c r="F548" s="6" t="s">
        <v>3497</v>
      </c>
      <c r="H548" s="43">
        <v>2280</v>
      </c>
      <c r="I548" s="1" t="s">
        <v>43</v>
      </c>
      <c r="J548" s="255" t="str">
        <f>IF(ISBLANK(INDEX('Policy Characteristics'!D:D,MATCH($C548,'Policy Characteristics'!$C:$C,0))),"",INDEX('Policy Characteristics'!D:D,MATCH($C548,'Policy Characteristics'!$C:$C,0)))</f>
        <v>Electricity CCS Subsidy</v>
      </c>
      <c r="K548" s="254" t="str">
        <f>IF(ISBLANK(INDEX('Policy Characteristics'!E:E,MATCH($C548,'Policy Characteristics'!$C:$C,0))),"",INDEX('Policy Characteristics'!E:E,MATCH($C548,'Policy Characteristics'!$C:$C,0)))</f>
        <v>elec CCS subsidy</v>
      </c>
      <c r="L548" s="368">
        <f>IF(ISBLANK(INDEX('Policy Characteristics'!F:F,MATCH($C548,'Policy Characteristics'!$C:$C,0))),"",INDEX('Policy Characteristics'!F:F,MATCH($C548,'Policy Characteristics'!$C:$C,0)))</f>
        <v>0</v>
      </c>
      <c r="M548" s="368">
        <f>IF(ISBLANK(INDEX('Policy Characteristics'!G:G,MATCH($C548,'Policy Characteristics'!$C:$C,0))),"",INDEX('Policy Characteristics'!G:G,MATCH($C548,'Policy Characteristics'!$C:$C,0)))</f>
        <v>100</v>
      </c>
      <c r="N548" s="368">
        <f>IF(ISBLANK(INDEX('Policy Characteristics'!H:H,MATCH($C548,'Policy Characteristics'!$C:$C,0))),"",INDEX('Policy Characteristics'!H:H,MATCH($C548,'Policy Characteristics'!$C:$C,0)))</f>
        <v>5</v>
      </c>
      <c r="O548" s="254" t="str">
        <f>IF(ISBLANK(INDEX('Policy Characteristics'!I:I,MATCH($C548,'Policy Characteristics'!$C:$C,0))),"",INDEX('Policy Characteristics'!I:I,MATCH($C548,'Policy Characteristics'!$C:$C,0)))</f>
        <v>$ / metric ton CO2e</v>
      </c>
      <c r="P548" s="254"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s="1"/>
    </row>
    <row r="549" spans="1:18" x14ac:dyDescent="0.3">
      <c r="A549" s="254" t="str">
        <f>IF(ISBLANK(INDEX('Policy Characteristics'!A:A,MATCH($C549,'Policy Characteristics'!$C:$C,0))),"",INDEX('Policy Characteristics'!A:A,MATCH($C549,'Policy Characteristics'!$C:$C,0)))</f>
        <v>Electricity Supply</v>
      </c>
      <c r="B549" s="262" t="str">
        <f>IF(ISBLANK(INDEX('Policy Characteristics'!B:B,MATCH($C549,'Policy Characteristics'!$C:$C,0))),"",INDEX('Policy Characteristics'!B:B,MATCH($C549,'Policy Characteristics'!$C:$C,0)))</f>
        <v>Electricity CCS Subsidy</v>
      </c>
      <c r="C549" s="254" t="str">
        <f t="shared" si="30"/>
        <v>Additional Subsidy for Elec CCS</v>
      </c>
      <c r="D549" s="6" t="s">
        <v>3493</v>
      </c>
      <c r="F549" s="6" t="s">
        <v>3498</v>
      </c>
      <c r="H549" s="43">
        <v>2281</v>
      </c>
      <c r="I549" s="1" t="s">
        <v>44</v>
      </c>
      <c r="J549" s="255" t="str">
        <f>IF(ISBLANK(INDEX('Policy Characteristics'!D:D,MATCH($C549,'Policy Characteristics'!$C:$C,0))),"",INDEX('Policy Characteristics'!D:D,MATCH($C549,'Policy Characteristics'!$C:$C,0)))</f>
        <v>Electricity CCS Subsidy</v>
      </c>
      <c r="K549" s="254" t="str">
        <f>IF(ISBLANK(INDEX('Policy Characteristics'!E:E,MATCH($C549,'Policy Characteristics'!$C:$C,0))),"",INDEX('Policy Characteristics'!E:E,MATCH($C549,'Policy Characteristics'!$C:$C,0)))</f>
        <v>elec CCS subsidy</v>
      </c>
      <c r="L549" s="368">
        <f>IF(ISBLANK(INDEX('Policy Characteristics'!F:F,MATCH($C549,'Policy Characteristics'!$C:$C,0))),"",INDEX('Policy Characteristics'!F:F,MATCH($C549,'Policy Characteristics'!$C:$C,0)))</f>
        <v>0</v>
      </c>
      <c r="M549" s="368">
        <f>IF(ISBLANK(INDEX('Policy Characteristics'!G:G,MATCH($C549,'Policy Characteristics'!$C:$C,0))),"",INDEX('Policy Characteristics'!G:G,MATCH($C549,'Policy Characteristics'!$C:$C,0)))</f>
        <v>100</v>
      </c>
      <c r="N549" s="368">
        <f>IF(ISBLANK(INDEX('Policy Characteristics'!H:H,MATCH($C549,'Policy Characteristics'!$C:$C,0))),"",INDEX('Policy Characteristics'!H:H,MATCH($C549,'Policy Characteristics'!$C:$C,0)))</f>
        <v>5</v>
      </c>
      <c r="O549" s="254" t="str">
        <f>IF(ISBLANK(INDEX('Policy Characteristics'!I:I,MATCH($C549,'Policy Characteristics'!$C:$C,0))),"",INDEX('Policy Characteristics'!I:I,MATCH($C549,'Policy Characteristics'!$C:$C,0)))</f>
        <v>$ / metric ton CO2e</v>
      </c>
      <c r="P549" s="254"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s="1"/>
    </row>
    <row r="550" spans="1:18" x14ac:dyDescent="0.3">
      <c r="A550" s="254" t="str">
        <f>IF(ISBLANK(INDEX('Policy Characteristics'!A:A,MATCH($C550,'Policy Characteristics'!$C:$C,0))),"",INDEX('Policy Characteristics'!A:A,MATCH($C550,'Policy Characteristics'!$C:$C,0)))</f>
        <v>Electricity Supply</v>
      </c>
      <c r="B550" s="262" t="str">
        <f>IF(ISBLANK(INDEX('Policy Characteristics'!B:B,MATCH($C550,'Policy Characteristics'!$C:$C,0))),"",INDEX('Policy Characteristics'!B:B,MATCH($C550,'Policy Characteristics'!$C:$C,0)))</f>
        <v>Electricity CCS Subsidy</v>
      </c>
      <c r="C550" s="254" t="str">
        <f t="shared" si="30"/>
        <v>Additional Subsidy for Elec CCS</v>
      </c>
      <c r="D550" s="6" t="s">
        <v>3582</v>
      </c>
      <c r="F550" s="6" t="s">
        <v>3580</v>
      </c>
      <c r="H550" s="43">
        <v>2282</v>
      </c>
      <c r="I550" s="1" t="s">
        <v>44</v>
      </c>
      <c r="J550" s="255" t="str">
        <f>IF(ISBLANK(INDEX('Policy Characteristics'!D:D,MATCH($C550,'Policy Characteristics'!$C:$C,0))),"",INDEX('Policy Characteristics'!D:D,MATCH($C550,'Policy Characteristics'!$C:$C,0)))</f>
        <v>Electricity CCS Subsidy</v>
      </c>
      <c r="K550" s="254" t="str">
        <f>IF(ISBLANK(INDEX('Policy Characteristics'!E:E,MATCH($C550,'Policy Characteristics'!$C:$C,0))),"",INDEX('Policy Characteristics'!E:E,MATCH($C550,'Policy Characteristics'!$C:$C,0)))</f>
        <v>elec CCS subsidy</v>
      </c>
      <c r="L550" s="368">
        <f>IF(ISBLANK(INDEX('Policy Characteristics'!F:F,MATCH($C550,'Policy Characteristics'!$C:$C,0))),"",INDEX('Policy Characteristics'!F:F,MATCH($C550,'Policy Characteristics'!$C:$C,0)))</f>
        <v>0</v>
      </c>
      <c r="M550" s="368">
        <f>IF(ISBLANK(INDEX('Policy Characteristics'!G:G,MATCH($C550,'Policy Characteristics'!$C:$C,0))),"",INDEX('Policy Characteristics'!G:G,MATCH($C550,'Policy Characteristics'!$C:$C,0)))</f>
        <v>100</v>
      </c>
      <c r="N550" s="368">
        <f>IF(ISBLANK(INDEX('Policy Characteristics'!H:H,MATCH($C550,'Policy Characteristics'!$C:$C,0))),"",INDEX('Policy Characteristics'!H:H,MATCH($C550,'Policy Characteristics'!$C:$C,0)))</f>
        <v>5</v>
      </c>
      <c r="O550" s="254" t="str">
        <f>IF(ISBLANK(INDEX('Policy Characteristics'!I:I,MATCH($C550,'Policy Characteristics'!$C:$C,0))),"",INDEX('Policy Characteristics'!I:I,MATCH($C550,'Policy Characteristics'!$C:$C,0)))</f>
        <v>$ / metric ton CO2e</v>
      </c>
      <c r="P550" s="254"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s="1"/>
    </row>
    <row r="551" spans="1:18" x14ac:dyDescent="0.3">
      <c r="A551" s="254" t="str">
        <f>IF(ISBLANK(INDEX('Policy Characteristics'!A:A,MATCH($C551,'Policy Characteristics'!$C:$C,0))),"",INDEX('Policy Characteristics'!A:A,MATCH($C551,'Policy Characteristics'!$C:$C,0)))</f>
        <v>Electricity Supply</v>
      </c>
      <c r="B551" s="262" t="str">
        <f>IF(ISBLANK(INDEX('Policy Characteristics'!B:B,MATCH($C551,'Policy Characteristics'!$C:$C,0))),"",INDEX('Policy Characteristics'!B:B,MATCH($C551,'Policy Characteristics'!$C:$C,0)))</f>
        <v>Electricity CCS Subsidy</v>
      </c>
      <c r="C551" s="254" t="str">
        <f t="shared" si="30"/>
        <v>Additional Subsidy for Elec CCS</v>
      </c>
      <c r="D551" s="6" t="s">
        <v>3583</v>
      </c>
      <c r="F551" s="6" t="s">
        <v>3581</v>
      </c>
      <c r="H551" s="43">
        <v>2283</v>
      </c>
      <c r="I551" s="1" t="s">
        <v>44</v>
      </c>
      <c r="J551" s="255" t="str">
        <f>IF(ISBLANK(INDEX('Policy Characteristics'!D:D,MATCH($C551,'Policy Characteristics'!$C:$C,0))),"",INDEX('Policy Characteristics'!D:D,MATCH($C551,'Policy Characteristics'!$C:$C,0)))</f>
        <v>Electricity CCS Subsidy</v>
      </c>
      <c r="K551" s="254" t="str">
        <f>IF(ISBLANK(INDEX('Policy Characteristics'!E:E,MATCH($C551,'Policy Characteristics'!$C:$C,0))),"",INDEX('Policy Characteristics'!E:E,MATCH($C551,'Policy Characteristics'!$C:$C,0)))</f>
        <v>elec CCS subsidy</v>
      </c>
      <c r="L551" s="368">
        <f>IF(ISBLANK(INDEX('Policy Characteristics'!F:F,MATCH($C551,'Policy Characteristics'!$C:$C,0))),"",INDEX('Policy Characteristics'!F:F,MATCH($C551,'Policy Characteristics'!$C:$C,0)))</f>
        <v>0</v>
      </c>
      <c r="M551" s="368">
        <f>IF(ISBLANK(INDEX('Policy Characteristics'!G:G,MATCH($C551,'Policy Characteristics'!$C:$C,0))),"",INDEX('Policy Characteristics'!G:G,MATCH($C551,'Policy Characteristics'!$C:$C,0)))</f>
        <v>100</v>
      </c>
      <c r="N551" s="368">
        <f>IF(ISBLANK(INDEX('Policy Characteristics'!H:H,MATCH($C551,'Policy Characteristics'!$C:$C,0))),"",INDEX('Policy Characteristics'!H:H,MATCH($C551,'Policy Characteristics'!$C:$C,0)))</f>
        <v>5</v>
      </c>
      <c r="O551" s="254" t="str">
        <f>IF(ISBLANK(INDEX('Policy Characteristics'!I:I,MATCH($C551,'Policy Characteristics'!$C:$C,0))),"",INDEX('Policy Characteristics'!I:I,MATCH($C551,'Policy Characteristics'!$C:$C,0)))</f>
        <v>$ / metric ton CO2e</v>
      </c>
      <c r="P551" s="254"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s="1"/>
    </row>
    <row r="552" spans="1:18" x14ac:dyDescent="0.3">
      <c r="A552" s="254" t="str">
        <f>IF(ISBLANK(INDEX('Policy Characteristics'!A:A,MATCH($C552,'Policy Characteristics'!$C:$C,0))),"",INDEX('Policy Characteristics'!A:A,MATCH($C552,'Policy Characteristics'!$C:$C,0)))</f>
        <v>Industry</v>
      </c>
      <c r="B552" s="262" t="str">
        <f>IF(ISBLANK(INDEX('Policy Characteristics'!B:B,MATCH($C552,'Policy Characteristics'!$C:$C,0))),"",INDEX('Policy Characteristics'!B:B,MATCH($C552,'Policy Characteristics'!$C:$C,0)))</f>
        <v>Buy In-Region Products</v>
      </c>
      <c r="C552" t="s">
        <v>3182</v>
      </c>
      <c r="D552" s="45" t="s">
        <v>3061</v>
      </c>
      <c r="E552" s="6"/>
      <c r="F552" t="s">
        <v>3086</v>
      </c>
      <c r="G552" s="45"/>
      <c r="H552" s="43">
        <v>1537</v>
      </c>
      <c r="I552" s="324" t="s">
        <v>43</v>
      </c>
      <c r="J552" s="255" t="str">
        <f>IF(ISBLANK(INDEX('Policy Characteristics'!D:D,MATCH($C552,'Policy Characteristics'!$C:$C,0))),"",INDEX('Policy Characteristics'!D:D,MATCH($C552,'Policy Characteristics'!$C:$C,0)))</f>
        <v>Buy In-Region Products</v>
      </c>
      <c r="K552" s="254" t="str">
        <f>IF(ISBLANK(INDEX('Policy Characteristics'!E:E,MATCH($C552,'Policy Characteristics'!$C:$C,0))),"",INDEX('Policy Characteristics'!E:E,MATCH($C552,'Policy Characteristics'!$C:$C,0)))</f>
        <v>indst buy in region outputs</v>
      </c>
      <c r="L552" s="261">
        <f>IF(ISBLANK(INDEX('Policy Characteristics'!F:F,MATCH($C552,'Policy Characteristics'!$C:$C,0))),"",INDEX('Policy Characteristics'!F:F,MATCH($C552,'Policy Characteristics'!$C:$C,0)))</f>
        <v>0</v>
      </c>
      <c r="M552" s="261">
        <f>IF(ISBLANK(INDEX('Policy Characteristics'!G:G,MATCH($C552,'Policy Characteristics'!$C:$C,0))),"",INDEX('Policy Characteristics'!G:G,MATCH($C552,'Policy Characteristics'!$C:$C,0)))</f>
        <v>0.5</v>
      </c>
      <c r="N552" s="261">
        <f>IF(ISBLANK(INDEX('Policy Characteristics'!H:H,MATCH($C552,'Policy Characteristics'!$C:$C,0))),"",INDEX('Policy Characteristics'!H:H,MATCH($C552,'Policy Characteristics'!$C:$C,0)))</f>
        <v>0.01</v>
      </c>
      <c r="O552" s="254" t="str">
        <f>IF(ISBLANK(INDEX('Policy Characteristics'!I:I,MATCH($C552,'Policy Characteristics'!$C:$C,0))),"",INDEX('Policy Characteristics'!I:I,MATCH($C552,'Policy Characteristics'!$C:$C,0)))</f>
        <v>% of imports shifted</v>
      </c>
      <c r="P552" s="254" t="str">
        <f>IF(ISBLANK(INDEX('Policy Characteristics'!J:J,MATCH($C552,'Policy Characteristics'!$C:$C,0))),"",INDEX('Policy Characteristics'!J:J,MATCH($C552,'Policy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2" s="254" t="str">
        <f>IF(ISBLANK(INDEX('Policy Characteristics'!K:K,MATCH($C552,'Policy Characteristics'!$C:$C,0))),"",INDEX('Policy Characteristics'!K:K,MATCH($C552,'Policy Characteristics'!$C:$C,0)))</f>
        <v/>
      </c>
      <c r="R552" s="254" t="str">
        <f>IF(ISBLANK(INDEX('Policy Characteristics'!L:L,MATCH($C552,'Policy Characteristics'!$C:$C,0))),"",INDEX('Policy Characteristics'!L:L,MATCH($C552,'Policy Characteristics'!$C:$C,0)))</f>
        <v/>
      </c>
    </row>
    <row r="553" spans="1:18" x14ac:dyDescent="0.3">
      <c r="A553" s="254" t="str">
        <f>IF(ISBLANK(INDEX('Policy Characteristics'!A:A,MATCH($C553,'Policy Characteristics'!$C:$C,0))),"",INDEX('Policy Characteristics'!A:A,MATCH($C553,'Policy Characteristics'!$C:$C,0)))</f>
        <v>Industry</v>
      </c>
      <c r="B553" s="262" t="str">
        <f>IF(ISBLANK(INDEX('Policy Characteristics'!B:B,MATCH($C553,'Policy Characteristics'!$C:$C,0))),"",INDEX('Policy Characteristics'!B:B,MATCH($C553,'Policy Characteristics'!$C:$C,0)))</f>
        <v>Buy In-Region Products</v>
      </c>
      <c r="C553" s="254" t="str">
        <f>C$552</f>
        <v>Fraction of Imported Industrial Outputs Shifted to In Region Suppliers</v>
      </c>
      <c r="D553" s="6" t="s">
        <v>3062</v>
      </c>
      <c r="E553" s="6"/>
      <c r="F553" t="s">
        <v>2759</v>
      </c>
      <c r="G553" s="46"/>
      <c r="H553" s="43">
        <v>1538</v>
      </c>
      <c r="I553" s="324" t="s">
        <v>43</v>
      </c>
      <c r="J553" s="255" t="str">
        <f>IF(ISBLANK(INDEX('Policy Characteristics'!D:D,MATCH($C553,'Policy Characteristics'!$C:$C,0))),"",INDEX('Policy Characteristics'!D:D,MATCH($C553,'Policy Characteristics'!$C:$C,0)))</f>
        <v>Buy In-Region Products</v>
      </c>
      <c r="K553" s="254" t="str">
        <f>IF(ISBLANK(INDEX('Policy Characteristics'!E:E,MATCH($C553,'Policy Characteristics'!$C:$C,0))),"",INDEX('Policy Characteristics'!E:E,MATCH($C553,'Policy Characteristics'!$C:$C,0)))</f>
        <v>indst buy in region outputs</v>
      </c>
      <c r="L553" s="261">
        <f>IF(ISBLANK(INDEX('Policy Characteristics'!F:F,MATCH($C553,'Policy Characteristics'!$C:$C,0))),"",INDEX('Policy Characteristics'!F:F,MATCH($C553,'Policy Characteristics'!$C:$C,0)))</f>
        <v>0</v>
      </c>
      <c r="M553" s="261">
        <f>IF(ISBLANK(INDEX('Policy Characteristics'!G:G,MATCH($C553,'Policy Characteristics'!$C:$C,0))),"",INDEX('Policy Characteristics'!G:G,MATCH($C553,'Policy Characteristics'!$C:$C,0)))</f>
        <v>0.5</v>
      </c>
      <c r="N553" s="261">
        <f>IF(ISBLANK(INDEX('Policy Characteristics'!H:H,MATCH($C553,'Policy Characteristics'!$C:$C,0))),"",INDEX('Policy Characteristics'!H:H,MATCH($C553,'Policy Characteristics'!$C:$C,0)))</f>
        <v>0.01</v>
      </c>
      <c r="O553" s="254" t="str">
        <f>IF(ISBLANK(INDEX('Policy Characteristics'!I:I,MATCH($C553,'Policy Characteristics'!$C:$C,0))),"",INDEX('Policy Characteristics'!I:I,MATCH($C553,'Policy Characteristics'!$C:$C,0)))</f>
        <v>% of imports shifted</v>
      </c>
      <c r="P553" s="254" t="str">
        <f>IF(ISBLANK(INDEX('Policy Characteristics'!J:J,MATCH($C553,'Policy Characteristics'!$C:$C,0))),"",INDEX('Policy Characteristics'!J:J,MATCH($C553,'Policy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3" s="254" t="str">
        <f>IF(ISBLANK(INDEX('Policy Characteristics'!K:K,MATCH($C553,'Policy Characteristics'!$C:$C,0))),"",INDEX('Policy Characteristics'!K:K,MATCH($C553,'Policy Characteristics'!$C:$C,0)))</f>
        <v/>
      </c>
      <c r="R553" s="254" t="str">
        <f>IF(ISBLANK(INDEX('Policy Characteristics'!L:L,MATCH($C553,'Policy Characteristics'!$C:$C,0))),"",INDEX('Policy Characteristics'!L:L,MATCH($C553,'Policy Characteristics'!$C:$C,0)))</f>
        <v/>
      </c>
    </row>
    <row r="554" spans="1:18" x14ac:dyDescent="0.3">
      <c r="A554" s="254" t="str">
        <f>IF(ISBLANK(INDEX('Policy Characteristics'!A:A,MATCH($C554,'Policy Characteristics'!$C:$C,0))),"",INDEX('Policy Characteristics'!A:A,MATCH($C554,'Policy Characteristics'!$C:$C,0)))</f>
        <v>Industry</v>
      </c>
      <c r="B554" s="262" t="str">
        <f>IF(ISBLANK(INDEX('Policy Characteristics'!B:B,MATCH($C554,'Policy Characteristics'!$C:$C,0))),"",INDEX('Policy Characteristics'!B:B,MATCH($C554,'Policy Characteristics'!$C:$C,0)))</f>
        <v>Buy In-Region Products</v>
      </c>
      <c r="C554" s="254" t="str">
        <f t="shared" ref="C554:C576" si="31">C$552</f>
        <v>Fraction of Imported Industrial Outputs Shifted to In Region Suppliers</v>
      </c>
      <c r="D554" s="6" t="s">
        <v>3063</v>
      </c>
      <c r="E554" s="6"/>
      <c r="F554" t="s">
        <v>3027</v>
      </c>
      <c r="G554" s="46"/>
      <c r="H554" s="43">
        <v>1539</v>
      </c>
      <c r="I554" s="324" t="s">
        <v>43</v>
      </c>
      <c r="J554" s="255" t="str">
        <f>IF(ISBLANK(INDEX('Policy Characteristics'!D:D,MATCH($C554,'Policy Characteristics'!$C:$C,0))),"",INDEX('Policy Characteristics'!D:D,MATCH($C554,'Policy Characteristics'!$C:$C,0)))</f>
        <v>Buy In-Region Products</v>
      </c>
      <c r="K554" s="254" t="str">
        <f>IF(ISBLANK(INDEX('Policy Characteristics'!E:E,MATCH($C554,'Policy Characteristics'!$C:$C,0))),"",INDEX('Policy Characteristics'!E:E,MATCH($C554,'Policy Characteristics'!$C:$C,0)))</f>
        <v>indst buy in region outputs</v>
      </c>
      <c r="L554" s="261">
        <f>IF(ISBLANK(INDEX('Policy Characteristics'!F:F,MATCH($C554,'Policy Characteristics'!$C:$C,0))),"",INDEX('Policy Characteristics'!F:F,MATCH($C554,'Policy Characteristics'!$C:$C,0)))</f>
        <v>0</v>
      </c>
      <c r="M554" s="261">
        <f>IF(ISBLANK(INDEX('Policy Characteristics'!G:G,MATCH($C554,'Policy Characteristics'!$C:$C,0))),"",INDEX('Policy Characteristics'!G:G,MATCH($C554,'Policy Characteristics'!$C:$C,0)))</f>
        <v>0.5</v>
      </c>
      <c r="N554" s="261">
        <f>IF(ISBLANK(INDEX('Policy Characteristics'!H:H,MATCH($C554,'Policy Characteristics'!$C:$C,0))),"",INDEX('Policy Characteristics'!H:H,MATCH($C554,'Policy Characteristics'!$C:$C,0)))</f>
        <v>0.01</v>
      </c>
      <c r="O554" s="254" t="str">
        <f>IF(ISBLANK(INDEX('Policy Characteristics'!I:I,MATCH($C554,'Policy Characteristics'!$C:$C,0))),"",INDEX('Policy Characteristics'!I:I,MATCH($C554,'Policy Characteristics'!$C:$C,0)))</f>
        <v>% of imports shifted</v>
      </c>
      <c r="P554" s="254" t="str">
        <f>IF(ISBLANK(INDEX('Policy Characteristics'!J:J,MATCH($C554,'Policy Characteristics'!$C:$C,0))),"",INDEX('Policy Characteristics'!J:J,MATCH($C554,'Policy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4" s="254" t="str">
        <f>IF(ISBLANK(INDEX('Policy Characteristics'!K:K,MATCH($C554,'Policy Characteristics'!$C:$C,0))),"",INDEX('Policy Characteristics'!K:K,MATCH($C554,'Policy Characteristics'!$C:$C,0)))</f>
        <v/>
      </c>
      <c r="R554" s="254" t="str">
        <f>IF(ISBLANK(INDEX('Policy Characteristics'!L:L,MATCH($C554,'Policy Characteristics'!$C:$C,0))),"",INDEX('Policy Characteristics'!L:L,MATCH($C554,'Policy Characteristics'!$C:$C,0)))</f>
        <v/>
      </c>
    </row>
    <row r="555" spans="1:18" x14ac:dyDescent="0.3">
      <c r="A555" s="254" t="str">
        <f>IF(ISBLANK(INDEX('Policy Characteristics'!A:A,MATCH($C555,'Policy Characteristics'!$C:$C,0))),"",INDEX('Policy Characteristics'!A:A,MATCH($C555,'Policy Characteristics'!$C:$C,0)))</f>
        <v>Industry</v>
      </c>
      <c r="B555" s="262" t="str">
        <f>IF(ISBLANK(INDEX('Policy Characteristics'!B:B,MATCH($C555,'Policy Characteristics'!$C:$C,0))),"",INDEX('Policy Characteristics'!B:B,MATCH($C555,'Policy Characteristics'!$C:$C,0)))</f>
        <v>Buy In-Region Products</v>
      </c>
      <c r="C555" s="254" t="str">
        <f t="shared" si="31"/>
        <v>Fraction of Imported Industrial Outputs Shifted to In Region Suppliers</v>
      </c>
      <c r="D555" s="6" t="s">
        <v>3064</v>
      </c>
      <c r="E555" s="6"/>
      <c r="F555" t="s">
        <v>3028</v>
      </c>
      <c r="G555" s="46"/>
      <c r="H555" s="43">
        <v>1540</v>
      </c>
      <c r="I555" s="324" t="s">
        <v>43</v>
      </c>
      <c r="J555" s="255" t="str">
        <f>IF(ISBLANK(INDEX('Policy Characteristics'!D:D,MATCH($C555,'Policy Characteristics'!$C:$C,0))),"",INDEX('Policy Characteristics'!D:D,MATCH($C555,'Policy Characteristics'!$C:$C,0)))</f>
        <v>Buy In-Region Products</v>
      </c>
      <c r="K555" s="254" t="str">
        <f>IF(ISBLANK(INDEX('Policy Characteristics'!E:E,MATCH($C555,'Policy Characteristics'!$C:$C,0))),"",INDEX('Policy Characteristics'!E:E,MATCH($C555,'Policy Characteristics'!$C:$C,0)))</f>
        <v>indst buy in region outputs</v>
      </c>
      <c r="L555" s="261">
        <f>IF(ISBLANK(INDEX('Policy Characteristics'!F:F,MATCH($C555,'Policy Characteristics'!$C:$C,0))),"",INDEX('Policy Characteristics'!F:F,MATCH($C555,'Policy Characteristics'!$C:$C,0)))</f>
        <v>0</v>
      </c>
      <c r="M555" s="261">
        <f>IF(ISBLANK(INDEX('Policy Characteristics'!G:G,MATCH($C555,'Policy Characteristics'!$C:$C,0))),"",INDEX('Policy Characteristics'!G:G,MATCH($C555,'Policy Characteristics'!$C:$C,0)))</f>
        <v>0.5</v>
      </c>
      <c r="N555" s="261">
        <f>IF(ISBLANK(INDEX('Policy Characteristics'!H:H,MATCH($C555,'Policy Characteristics'!$C:$C,0))),"",INDEX('Policy Characteristics'!H:H,MATCH($C555,'Policy Characteristics'!$C:$C,0)))</f>
        <v>0.01</v>
      </c>
      <c r="O555" s="254" t="str">
        <f>IF(ISBLANK(INDEX('Policy Characteristics'!I:I,MATCH($C555,'Policy Characteristics'!$C:$C,0))),"",INDEX('Policy Characteristics'!I:I,MATCH($C555,'Policy Characteristics'!$C:$C,0)))</f>
        <v>% of imports shifted</v>
      </c>
      <c r="P555" s="254" t="str">
        <f>IF(ISBLANK(INDEX('Policy Characteristics'!J:J,MATCH($C555,'Policy Characteristics'!$C:$C,0))),"",INDEX('Policy Characteristics'!J:J,MATCH($C555,'Policy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5" s="254" t="str">
        <f>IF(ISBLANK(INDEX('Policy Characteristics'!K:K,MATCH($C555,'Policy Characteristics'!$C:$C,0))),"",INDEX('Policy Characteristics'!K:K,MATCH($C555,'Policy Characteristics'!$C:$C,0)))</f>
        <v/>
      </c>
      <c r="R555" s="254" t="str">
        <f>IF(ISBLANK(INDEX('Policy Characteristics'!L:L,MATCH($C555,'Policy Characteristics'!$C:$C,0))),"",INDEX('Policy Characteristics'!L:L,MATCH($C555,'Policy Characteristics'!$C:$C,0)))</f>
        <v/>
      </c>
    </row>
    <row r="556" spans="1:18" x14ac:dyDescent="0.3">
      <c r="A556" s="254" t="str">
        <f>IF(ISBLANK(INDEX('Policy Characteristics'!A:A,MATCH($C556,'Policy Characteristics'!$C:$C,0))),"",INDEX('Policy Characteristics'!A:A,MATCH($C556,'Policy Characteristics'!$C:$C,0)))</f>
        <v>Industry</v>
      </c>
      <c r="B556" s="262" t="str">
        <f>IF(ISBLANK(INDEX('Policy Characteristics'!B:B,MATCH($C556,'Policy Characteristics'!$C:$C,0))),"",INDEX('Policy Characteristics'!B:B,MATCH($C556,'Policy Characteristics'!$C:$C,0)))</f>
        <v>Buy In-Region Products</v>
      </c>
      <c r="C556" s="254" t="str">
        <f t="shared" si="31"/>
        <v>Fraction of Imported Industrial Outputs Shifted to In Region Suppliers</v>
      </c>
      <c r="D556" s="6" t="s">
        <v>3065</v>
      </c>
      <c r="E556" s="6"/>
      <c r="F556" t="s">
        <v>3029</v>
      </c>
      <c r="G556" s="46"/>
      <c r="H556" s="43">
        <v>1541</v>
      </c>
      <c r="I556" s="324" t="s">
        <v>43</v>
      </c>
      <c r="J556" s="255" t="str">
        <f>IF(ISBLANK(INDEX('Policy Characteristics'!D:D,MATCH($C556,'Policy Characteristics'!$C:$C,0))),"",INDEX('Policy Characteristics'!D:D,MATCH($C556,'Policy Characteristics'!$C:$C,0)))</f>
        <v>Buy In-Region Products</v>
      </c>
      <c r="K556" s="254" t="str">
        <f>IF(ISBLANK(INDEX('Policy Characteristics'!E:E,MATCH($C556,'Policy Characteristics'!$C:$C,0))),"",INDEX('Policy Characteristics'!E:E,MATCH($C556,'Policy Characteristics'!$C:$C,0)))</f>
        <v>indst buy in region outputs</v>
      </c>
      <c r="L556" s="261">
        <f>IF(ISBLANK(INDEX('Policy Characteristics'!F:F,MATCH($C556,'Policy Characteristics'!$C:$C,0))),"",INDEX('Policy Characteristics'!F:F,MATCH($C556,'Policy Characteristics'!$C:$C,0)))</f>
        <v>0</v>
      </c>
      <c r="M556" s="261">
        <f>IF(ISBLANK(INDEX('Policy Characteristics'!G:G,MATCH($C556,'Policy Characteristics'!$C:$C,0))),"",INDEX('Policy Characteristics'!G:G,MATCH($C556,'Policy Characteristics'!$C:$C,0)))</f>
        <v>0.5</v>
      </c>
      <c r="N556" s="261">
        <f>IF(ISBLANK(INDEX('Policy Characteristics'!H:H,MATCH($C556,'Policy Characteristics'!$C:$C,0))),"",INDEX('Policy Characteristics'!H:H,MATCH($C556,'Policy Characteristics'!$C:$C,0)))</f>
        <v>0.01</v>
      </c>
      <c r="O556" s="254" t="str">
        <f>IF(ISBLANK(INDEX('Policy Characteristics'!I:I,MATCH($C556,'Policy Characteristics'!$C:$C,0))),"",INDEX('Policy Characteristics'!I:I,MATCH($C556,'Policy Characteristics'!$C:$C,0)))</f>
        <v>% of imports shifted</v>
      </c>
      <c r="P556" s="254" t="str">
        <f>IF(ISBLANK(INDEX('Policy Characteristics'!J:J,MATCH($C556,'Policy Characteristics'!$C:$C,0))),"",INDEX('Policy Characteristics'!J:J,MATCH($C556,'Policy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6" s="254" t="str">
        <f>IF(ISBLANK(INDEX('Policy Characteristics'!K:K,MATCH($C556,'Policy Characteristics'!$C:$C,0))),"",INDEX('Policy Characteristics'!K:K,MATCH($C556,'Policy Characteristics'!$C:$C,0)))</f>
        <v/>
      </c>
      <c r="R556" s="254" t="str">
        <f>IF(ISBLANK(INDEX('Policy Characteristics'!L:L,MATCH($C556,'Policy Characteristics'!$C:$C,0))),"",INDEX('Policy Characteristics'!L:L,MATCH($C556,'Policy Characteristics'!$C:$C,0)))</f>
        <v/>
      </c>
    </row>
    <row r="557" spans="1:18" x14ac:dyDescent="0.3">
      <c r="A557" s="254" t="str">
        <f>IF(ISBLANK(INDEX('Policy Characteristics'!A:A,MATCH($C557,'Policy Characteristics'!$C:$C,0))),"",INDEX('Policy Characteristics'!A:A,MATCH($C557,'Policy Characteristics'!$C:$C,0)))</f>
        <v>Industry</v>
      </c>
      <c r="B557" s="262" t="str">
        <f>IF(ISBLANK(INDEX('Policy Characteristics'!B:B,MATCH($C557,'Policy Characteristics'!$C:$C,0))),"",INDEX('Policy Characteristics'!B:B,MATCH($C557,'Policy Characteristics'!$C:$C,0)))</f>
        <v>Buy In-Region Products</v>
      </c>
      <c r="C557" s="254" t="str">
        <f t="shared" si="31"/>
        <v>Fraction of Imported Industrial Outputs Shifted to In Region Suppliers</v>
      </c>
      <c r="D557" s="6" t="s">
        <v>3066</v>
      </c>
      <c r="E557" s="6"/>
      <c r="F557" t="s">
        <v>3030</v>
      </c>
      <c r="G557" s="46"/>
      <c r="H557" s="43">
        <v>1542</v>
      </c>
      <c r="I557" s="324" t="s">
        <v>43</v>
      </c>
      <c r="J557" s="255" t="str">
        <f>IF(ISBLANK(INDEX('Policy Characteristics'!D:D,MATCH($C557,'Policy Characteristics'!$C:$C,0))),"",INDEX('Policy Characteristics'!D:D,MATCH($C557,'Policy Characteristics'!$C:$C,0)))</f>
        <v>Buy In-Region Products</v>
      </c>
      <c r="K557" s="254" t="str">
        <f>IF(ISBLANK(INDEX('Policy Characteristics'!E:E,MATCH($C557,'Policy Characteristics'!$C:$C,0))),"",INDEX('Policy Characteristics'!E:E,MATCH($C557,'Policy Characteristics'!$C:$C,0)))</f>
        <v>indst buy in region outputs</v>
      </c>
      <c r="L557" s="261">
        <f>IF(ISBLANK(INDEX('Policy Characteristics'!F:F,MATCH($C557,'Policy Characteristics'!$C:$C,0))),"",INDEX('Policy Characteristics'!F:F,MATCH($C557,'Policy Characteristics'!$C:$C,0)))</f>
        <v>0</v>
      </c>
      <c r="M557" s="261">
        <f>IF(ISBLANK(INDEX('Policy Characteristics'!G:G,MATCH($C557,'Policy Characteristics'!$C:$C,0))),"",INDEX('Policy Characteristics'!G:G,MATCH($C557,'Policy Characteristics'!$C:$C,0)))</f>
        <v>0.5</v>
      </c>
      <c r="N557" s="261">
        <f>IF(ISBLANK(INDEX('Policy Characteristics'!H:H,MATCH($C557,'Policy Characteristics'!$C:$C,0))),"",INDEX('Policy Characteristics'!H:H,MATCH($C557,'Policy Characteristics'!$C:$C,0)))</f>
        <v>0.01</v>
      </c>
      <c r="O557" s="254" t="str">
        <f>IF(ISBLANK(INDEX('Policy Characteristics'!I:I,MATCH($C557,'Policy Characteristics'!$C:$C,0))),"",INDEX('Policy Characteristics'!I:I,MATCH($C557,'Policy Characteristics'!$C:$C,0)))</f>
        <v>% of imports shifted</v>
      </c>
      <c r="P557" s="254"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4" t="str">
        <f>IF(ISBLANK(INDEX('Policy Characteristics'!K:K,MATCH($C557,'Policy Characteristics'!$C:$C,0))),"",INDEX('Policy Characteristics'!K:K,MATCH($C557,'Policy Characteristics'!$C:$C,0)))</f>
        <v/>
      </c>
      <c r="R557" s="254" t="str">
        <f>IF(ISBLANK(INDEX('Policy Characteristics'!L:L,MATCH($C557,'Policy Characteristics'!$C:$C,0))),"",INDEX('Policy Characteristics'!L:L,MATCH($C557,'Policy Characteristics'!$C:$C,0)))</f>
        <v/>
      </c>
    </row>
    <row r="558" spans="1:18" x14ac:dyDescent="0.3">
      <c r="A558" s="254" t="str">
        <f>IF(ISBLANK(INDEX('Policy Characteristics'!A:A,MATCH($C558,'Policy Characteristics'!$C:$C,0))),"",INDEX('Policy Characteristics'!A:A,MATCH($C558,'Policy Characteristics'!$C:$C,0)))</f>
        <v>Industry</v>
      </c>
      <c r="B558" s="262" t="str">
        <f>IF(ISBLANK(INDEX('Policy Characteristics'!B:B,MATCH($C558,'Policy Characteristics'!$C:$C,0))),"",INDEX('Policy Characteristics'!B:B,MATCH($C558,'Policy Characteristics'!$C:$C,0)))</f>
        <v>Buy In-Region Products</v>
      </c>
      <c r="C558" s="254" t="str">
        <f t="shared" si="31"/>
        <v>Fraction of Imported Industrial Outputs Shifted to In Region Suppliers</v>
      </c>
      <c r="D558" s="6" t="s">
        <v>3067</v>
      </c>
      <c r="E558" s="6"/>
      <c r="F558" t="s">
        <v>3031</v>
      </c>
      <c r="G558" s="46"/>
      <c r="H558" s="43">
        <v>1543</v>
      </c>
      <c r="I558" s="324" t="s">
        <v>43</v>
      </c>
      <c r="J558" s="255" t="str">
        <f>IF(ISBLANK(INDEX('Policy Characteristics'!D:D,MATCH($C558,'Policy Characteristics'!$C:$C,0))),"",INDEX('Policy Characteristics'!D:D,MATCH($C558,'Policy Characteristics'!$C:$C,0)))</f>
        <v>Buy In-Region Products</v>
      </c>
      <c r="K558" s="254" t="str">
        <f>IF(ISBLANK(INDEX('Policy Characteristics'!E:E,MATCH($C558,'Policy Characteristics'!$C:$C,0))),"",INDEX('Policy Characteristics'!E:E,MATCH($C558,'Policy Characteristics'!$C:$C,0)))</f>
        <v>indst buy in region outputs</v>
      </c>
      <c r="L558" s="261">
        <f>IF(ISBLANK(INDEX('Policy Characteristics'!F:F,MATCH($C558,'Policy Characteristics'!$C:$C,0))),"",INDEX('Policy Characteristics'!F:F,MATCH($C558,'Policy Characteristics'!$C:$C,0)))</f>
        <v>0</v>
      </c>
      <c r="M558" s="261">
        <f>IF(ISBLANK(INDEX('Policy Characteristics'!G:G,MATCH($C558,'Policy Characteristics'!$C:$C,0))),"",INDEX('Policy Characteristics'!G:G,MATCH($C558,'Policy Characteristics'!$C:$C,0)))</f>
        <v>0.5</v>
      </c>
      <c r="N558" s="261">
        <f>IF(ISBLANK(INDEX('Policy Characteristics'!H:H,MATCH($C558,'Policy Characteristics'!$C:$C,0))),"",INDEX('Policy Characteristics'!H:H,MATCH($C558,'Policy Characteristics'!$C:$C,0)))</f>
        <v>0.01</v>
      </c>
      <c r="O558" s="254" t="str">
        <f>IF(ISBLANK(INDEX('Policy Characteristics'!I:I,MATCH($C558,'Policy Characteristics'!$C:$C,0))),"",INDEX('Policy Characteristics'!I:I,MATCH($C558,'Policy Characteristics'!$C:$C,0)))</f>
        <v>% of imports shifted</v>
      </c>
      <c r="P558" s="254"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4" t="str">
        <f>IF(ISBLANK(INDEX('Policy Characteristics'!K:K,MATCH($C558,'Policy Characteristics'!$C:$C,0))),"",INDEX('Policy Characteristics'!K:K,MATCH($C558,'Policy Characteristics'!$C:$C,0)))</f>
        <v/>
      </c>
      <c r="R558" s="254" t="str">
        <f>IF(ISBLANK(INDEX('Policy Characteristics'!L:L,MATCH($C558,'Policy Characteristics'!$C:$C,0))),"",INDEX('Policy Characteristics'!L:L,MATCH($C558,'Policy Characteristics'!$C:$C,0)))</f>
        <v/>
      </c>
    </row>
    <row r="559" spans="1:18" x14ac:dyDescent="0.3">
      <c r="A559" s="254" t="str">
        <f>IF(ISBLANK(INDEX('Policy Characteristics'!A:A,MATCH($C559,'Policy Characteristics'!$C:$C,0))),"",INDEX('Policy Characteristics'!A:A,MATCH($C559,'Policy Characteristics'!$C:$C,0)))</f>
        <v>Industry</v>
      </c>
      <c r="B559" s="262" t="str">
        <f>IF(ISBLANK(INDEX('Policy Characteristics'!B:B,MATCH($C559,'Policy Characteristics'!$C:$C,0))),"",INDEX('Policy Characteristics'!B:B,MATCH($C559,'Policy Characteristics'!$C:$C,0)))</f>
        <v>Buy In-Region Products</v>
      </c>
      <c r="C559" s="254" t="str">
        <f t="shared" si="31"/>
        <v>Fraction of Imported Industrial Outputs Shifted to In Region Suppliers</v>
      </c>
      <c r="D559" s="6" t="s">
        <v>3068</v>
      </c>
      <c r="E559" s="6"/>
      <c r="F559" t="s">
        <v>3032</v>
      </c>
      <c r="G559" s="46"/>
      <c r="H559" s="43">
        <v>1544</v>
      </c>
      <c r="I559" s="324" t="s">
        <v>43</v>
      </c>
      <c r="J559" s="255" t="str">
        <f>IF(ISBLANK(INDEX('Policy Characteristics'!D:D,MATCH($C559,'Policy Characteristics'!$C:$C,0))),"",INDEX('Policy Characteristics'!D:D,MATCH($C559,'Policy Characteristics'!$C:$C,0)))</f>
        <v>Buy In-Region Products</v>
      </c>
      <c r="K559" s="254" t="str">
        <f>IF(ISBLANK(INDEX('Policy Characteristics'!E:E,MATCH($C559,'Policy Characteristics'!$C:$C,0))),"",INDEX('Policy Characteristics'!E:E,MATCH($C559,'Policy Characteristics'!$C:$C,0)))</f>
        <v>indst buy in region outputs</v>
      </c>
      <c r="L559" s="261">
        <f>IF(ISBLANK(INDEX('Policy Characteristics'!F:F,MATCH($C559,'Policy Characteristics'!$C:$C,0))),"",INDEX('Policy Characteristics'!F:F,MATCH($C559,'Policy Characteristics'!$C:$C,0)))</f>
        <v>0</v>
      </c>
      <c r="M559" s="261">
        <f>IF(ISBLANK(INDEX('Policy Characteristics'!G:G,MATCH($C559,'Policy Characteristics'!$C:$C,0))),"",INDEX('Policy Characteristics'!G:G,MATCH($C559,'Policy Characteristics'!$C:$C,0)))</f>
        <v>0.5</v>
      </c>
      <c r="N559" s="261">
        <f>IF(ISBLANK(INDEX('Policy Characteristics'!H:H,MATCH($C559,'Policy Characteristics'!$C:$C,0))),"",INDEX('Policy Characteristics'!H:H,MATCH($C559,'Policy Characteristics'!$C:$C,0)))</f>
        <v>0.01</v>
      </c>
      <c r="O559" s="254" t="str">
        <f>IF(ISBLANK(INDEX('Policy Characteristics'!I:I,MATCH($C559,'Policy Characteristics'!$C:$C,0))),"",INDEX('Policy Characteristics'!I:I,MATCH($C559,'Policy Characteristics'!$C:$C,0)))</f>
        <v>% of imports shifted</v>
      </c>
      <c r="P559" s="254"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4" t="str">
        <f>IF(ISBLANK(INDEX('Policy Characteristics'!K:K,MATCH($C559,'Policy Characteristics'!$C:$C,0))),"",INDEX('Policy Characteristics'!K:K,MATCH($C559,'Policy Characteristics'!$C:$C,0)))</f>
        <v/>
      </c>
      <c r="R559" s="254" t="str">
        <f>IF(ISBLANK(INDEX('Policy Characteristics'!L:L,MATCH($C559,'Policy Characteristics'!$C:$C,0))),"",INDEX('Policy Characteristics'!L:L,MATCH($C559,'Policy Characteristics'!$C:$C,0)))</f>
        <v/>
      </c>
    </row>
    <row r="560" spans="1:18" x14ac:dyDescent="0.3">
      <c r="A560" s="254" t="str">
        <f>IF(ISBLANK(INDEX('Policy Characteristics'!A:A,MATCH($C560,'Policy Characteristics'!$C:$C,0))),"",INDEX('Policy Characteristics'!A:A,MATCH($C560,'Policy Characteristics'!$C:$C,0)))</f>
        <v>Industry</v>
      </c>
      <c r="B560" s="262" t="str">
        <f>IF(ISBLANK(INDEX('Policy Characteristics'!B:B,MATCH($C560,'Policy Characteristics'!$C:$C,0))),"",INDEX('Policy Characteristics'!B:B,MATCH($C560,'Policy Characteristics'!$C:$C,0)))</f>
        <v>Buy In-Region Products</v>
      </c>
      <c r="C560" s="254" t="str">
        <f t="shared" si="31"/>
        <v>Fraction of Imported Industrial Outputs Shifted to In Region Suppliers</v>
      </c>
      <c r="D560" s="6" t="s">
        <v>3069</v>
      </c>
      <c r="E560" s="6"/>
      <c r="F560" t="s">
        <v>3033</v>
      </c>
      <c r="G560" s="46"/>
      <c r="H560" s="43">
        <v>1545</v>
      </c>
      <c r="I560" s="324" t="s">
        <v>43</v>
      </c>
      <c r="J560" s="255" t="str">
        <f>IF(ISBLANK(INDEX('Policy Characteristics'!D:D,MATCH($C560,'Policy Characteristics'!$C:$C,0))),"",INDEX('Policy Characteristics'!D:D,MATCH($C560,'Policy Characteristics'!$C:$C,0)))</f>
        <v>Buy In-Region Products</v>
      </c>
      <c r="K560" s="254" t="str">
        <f>IF(ISBLANK(INDEX('Policy Characteristics'!E:E,MATCH($C560,'Policy Characteristics'!$C:$C,0))),"",INDEX('Policy Characteristics'!E:E,MATCH($C560,'Policy Characteristics'!$C:$C,0)))</f>
        <v>indst buy in region outputs</v>
      </c>
      <c r="L560" s="261">
        <f>IF(ISBLANK(INDEX('Policy Characteristics'!F:F,MATCH($C560,'Policy Characteristics'!$C:$C,0))),"",INDEX('Policy Characteristics'!F:F,MATCH($C560,'Policy Characteristics'!$C:$C,0)))</f>
        <v>0</v>
      </c>
      <c r="M560" s="261">
        <f>IF(ISBLANK(INDEX('Policy Characteristics'!G:G,MATCH($C560,'Policy Characteristics'!$C:$C,0))),"",INDEX('Policy Characteristics'!G:G,MATCH($C560,'Policy Characteristics'!$C:$C,0)))</f>
        <v>0.5</v>
      </c>
      <c r="N560" s="261">
        <f>IF(ISBLANK(INDEX('Policy Characteristics'!H:H,MATCH($C560,'Policy Characteristics'!$C:$C,0))),"",INDEX('Policy Characteristics'!H:H,MATCH($C560,'Policy Characteristics'!$C:$C,0)))</f>
        <v>0.01</v>
      </c>
      <c r="O560" s="254" t="str">
        <f>IF(ISBLANK(INDEX('Policy Characteristics'!I:I,MATCH($C560,'Policy Characteristics'!$C:$C,0))),"",INDEX('Policy Characteristics'!I:I,MATCH($C560,'Policy Characteristics'!$C:$C,0)))</f>
        <v>% of imports shifted</v>
      </c>
      <c r="P560" s="254"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4" t="str">
        <f>IF(ISBLANK(INDEX('Policy Characteristics'!K:K,MATCH($C560,'Policy Characteristics'!$C:$C,0))),"",INDEX('Policy Characteristics'!K:K,MATCH($C560,'Policy Characteristics'!$C:$C,0)))</f>
        <v/>
      </c>
      <c r="R560" s="254" t="str">
        <f>IF(ISBLANK(INDEX('Policy Characteristics'!L:L,MATCH($C560,'Policy Characteristics'!$C:$C,0))),"",INDEX('Policy Characteristics'!L:L,MATCH($C560,'Policy Characteristics'!$C:$C,0)))</f>
        <v/>
      </c>
    </row>
    <row r="561" spans="1:18" x14ac:dyDescent="0.3">
      <c r="A561" s="254" t="str">
        <f>IF(ISBLANK(INDEX('Policy Characteristics'!A:A,MATCH($C561,'Policy Characteristics'!$C:$C,0))),"",INDEX('Policy Characteristics'!A:A,MATCH($C561,'Policy Characteristics'!$C:$C,0)))</f>
        <v>Industry</v>
      </c>
      <c r="B561" s="262" t="str">
        <f>IF(ISBLANK(INDEX('Policy Characteristics'!B:B,MATCH($C561,'Policy Characteristics'!$C:$C,0))),"",INDEX('Policy Characteristics'!B:B,MATCH($C561,'Policy Characteristics'!$C:$C,0)))</f>
        <v>Buy In-Region Products</v>
      </c>
      <c r="C561" s="254" t="str">
        <f t="shared" si="31"/>
        <v>Fraction of Imported Industrial Outputs Shifted to In Region Suppliers</v>
      </c>
      <c r="D561" s="6" t="s">
        <v>3070</v>
      </c>
      <c r="E561" s="6"/>
      <c r="F561" t="s">
        <v>2579</v>
      </c>
      <c r="G561" s="46"/>
      <c r="H561" s="43">
        <v>1546</v>
      </c>
      <c r="I561" s="324" t="s">
        <v>43</v>
      </c>
      <c r="J561" s="255" t="str">
        <f>IF(ISBLANK(INDEX('Policy Characteristics'!D:D,MATCH($C561,'Policy Characteristics'!$C:$C,0))),"",INDEX('Policy Characteristics'!D:D,MATCH($C561,'Policy Characteristics'!$C:$C,0)))</f>
        <v>Buy In-Region Products</v>
      </c>
      <c r="K561" s="254" t="str">
        <f>IF(ISBLANK(INDEX('Policy Characteristics'!E:E,MATCH($C561,'Policy Characteristics'!$C:$C,0))),"",INDEX('Policy Characteristics'!E:E,MATCH($C561,'Policy Characteristics'!$C:$C,0)))</f>
        <v>indst buy in region outputs</v>
      </c>
      <c r="L561" s="261">
        <f>IF(ISBLANK(INDEX('Policy Characteristics'!F:F,MATCH($C561,'Policy Characteristics'!$C:$C,0))),"",INDEX('Policy Characteristics'!F:F,MATCH($C561,'Policy Characteristics'!$C:$C,0)))</f>
        <v>0</v>
      </c>
      <c r="M561" s="261">
        <f>IF(ISBLANK(INDEX('Policy Characteristics'!G:G,MATCH($C561,'Policy Characteristics'!$C:$C,0))),"",INDEX('Policy Characteristics'!G:G,MATCH($C561,'Policy Characteristics'!$C:$C,0)))</f>
        <v>0.5</v>
      </c>
      <c r="N561" s="261">
        <f>IF(ISBLANK(INDEX('Policy Characteristics'!H:H,MATCH($C561,'Policy Characteristics'!$C:$C,0))),"",INDEX('Policy Characteristics'!H:H,MATCH($C561,'Policy Characteristics'!$C:$C,0)))</f>
        <v>0.01</v>
      </c>
      <c r="O561" s="254" t="str">
        <f>IF(ISBLANK(INDEX('Policy Characteristics'!I:I,MATCH($C561,'Policy Characteristics'!$C:$C,0))),"",INDEX('Policy Characteristics'!I:I,MATCH($C561,'Policy Characteristics'!$C:$C,0)))</f>
        <v>% of imports shifted</v>
      </c>
      <c r="P561" s="254"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4" t="str">
        <f>IF(ISBLANK(INDEX('Policy Characteristics'!K:K,MATCH($C561,'Policy Characteristics'!$C:$C,0))),"",INDEX('Policy Characteristics'!K:K,MATCH($C561,'Policy Characteristics'!$C:$C,0)))</f>
        <v/>
      </c>
      <c r="R561" s="254" t="str">
        <f>IF(ISBLANK(INDEX('Policy Characteristics'!L:L,MATCH($C561,'Policy Characteristics'!$C:$C,0))),"",INDEX('Policy Characteristics'!L:L,MATCH($C561,'Policy Characteristics'!$C:$C,0)))</f>
        <v/>
      </c>
    </row>
    <row r="562" spans="1:18" x14ac:dyDescent="0.3">
      <c r="A562" s="254" t="str">
        <f>IF(ISBLANK(INDEX('Policy Characteristics'!A:A,MATCH($C562,'Policy Characteristics'!$C:$C,0))),"",INDEX('Policy Characteristics'!A:A,MATCH($C562,'Policy Characteristics'!$C:$C,0)))</f>
        <v>Industry</v>
      </c>
      <c r="B562" s="262" t="str">
        <f>IF(ISBLANK(INDEX('Policy Characteristics'!B:B,MATCH($C562,'Policy Characteristics'!$C:$C,0))),"",INDEX('Policy Characteristics'!B:B,MATCH($C562,'Policy Characteristics'!$C:$C,0)))</f>
        <v>Buy In-Region Products</v>
      </c>
      <c r="C562" s="254" t="str">
        <f t="shared" si="31"/>
        <v>Fraction of Imported Industrial Outputs Shifted to In Region Suppliers</v>
      </c>
      <c r="D562" s="6" t="s">
        <v>3071</v>
      </c>
      <c r="E562" s="6"/>
      <c r="F562" t="s">
        <v>3034</v>
      </c>
      <c r="G562" s="46"/>
      <c r="H562" s="43">
        <v>1547</v>
      </c>
      <c r="I562" s="324" t="s">
        <v>43</v>
      </c>
      <c r="J562" s="255" t="str">
        <f>IF(ISBLANK(INDEX('Policy Characteristics'!D:D,MATCH($C562,'Policy Characteristics'!$C:$C,0))),"",INDEX('Policy Characteristics'!D:D,MATCH($C562,'Policy Characteristics'!$C:$C,0)))</f>
        <v>Buy In-Region Products</v>
      </c>
      <c r="K562" s="254" t="str">
        <f>IF(ISBLANK(INDEX('Policy Characteristics'!E:E,MATCH($C562,'Policy Characteristics'!$C:$C,0))),"",INDEX('Policy Characteristics'!E:E,MATCH($C562,'Policy Characteristics'!$C:$C,0)))</f>
        <v>indst buy in region outputs</v>
      </c>
      <c r="L562" s="261">
        <f>IF(ISBLANK(INDEX('Policy Characteristics'!F:F,MATCH($C562,'Policy Characteristics'!$C:$C,0))),"",INDEX('Policy Characteristics'!F:F,MATCH($C562,'Policy Characteristics'!$C:$C,0)))</f>
        <v>0</v>
      </c>
      <c r="M562" s="261">
        <f>IF(ISBLANK(INDEX('Policy Characteristics'!G:G,MATCH($C562,'Policy Characteristics'!$C:$C,0))),"",INDEX('Policy Characteristics'!G:G,MATCH($C562,'Policy Characteristics'!$C:$C,0)))</f>
        <v>0.5</v>
      </c>
      <c r="N562" s="261">
        <f>IF(ISBLANK(INDEX('Policy Characteristics'!H:H,MATCH($C562,'Policy Characteristics'!$C:$C,0))),"",INDEX('Policy Characteristics'!H:H,MATCH($C562,'Policy Characteristics'!$C:$C,0)))</f>
        <v>0.01</v>
      </c>
      <c r="O562" s="254" t="str">
        <f>IF(ISBLANK(INDEX('Policy Characteristics'!I:I,MATCH($C562,'Policy Characteristics'!$C:$C,0))),"",INDEX('Policy Characteristics'!I:I,MATCH($C562,'Policy Characteristics'!$C:$C,0)))</f>
        <v>% of imports shifted</v>
      </c>
      <c r="P562" s="254"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4" t="str">
        <f>IF(ISBLANK(INDEX('Policy Characteristics'!K:K,MATCH($C562,'Policy Characteristics'!$C:$C,0))),"",INDEX('Policy Characteristics'!K:K,MATCH($C562,'Policy Characteristics'!$C:$C,0)))</f>
        <v/>
      </c>
      <c r="R562" s="254" t="str">
        <f>IF(ISBLANK(INDEX('Policy Characteristics'!L:L,MATCH($C562,'Policy Characteristics'!$C:$C,0))),"",INDEX('Policy Characteristics'!L:L,MATCH($C562,'Policy Characteristics'!$C:$C,0)))</f>
        <v/>
      </c>
    </row>
    <row r="563" spans="1:18" x14ac:dyDescent="0.3">
      <c r="A563" s="254" t="str">
        <f>IF(ISBLANK(INDEX('Policy Characteristics'!A:A,MATCH($C563,'Policy Characteristics'!$C:$C,0))),"",INDEX('Policy Characteristics'!A:A,MATCH($C563,'Policy Characteristics'!$C:$C,0)))</f>
        <v>Industry</v>
      </c>
      <c r="B563" s="262" t="str">
        <f>IF(ISBLANK(INDEX('Policy Characteristics'!B:B,MATCH($C563,'Policy Characteristics'!$C:$C,0))),"",INDEX('Policy Characteristics'!B:B,MATCH($C563,'Policy Characteristics'!$C:$C,0)))</f>
        <v>Buy In-Region Products</v>
      </c>
      <c r="C563" s="254" t="str">
        <f t="shared" si="31"/>
        <v>Fraction of Imported Industrial Outputs Shifted to In Region Suppliers</v>
      </c>
      <c r="D563" s="6" t="s">
        <v>3072</v>
      </c>
      <c r="E563" s="6"/>
      <c r="F563" t="s">
        <v>3035</v>
      </c>
      <c r="G563" s="46"/>
      <c r="H563" s="43">
        <v>1548</v>
      </c>
      <c r="I563" s="324" t="s">
        <v>43</v>
      </c>
      <c r="J563" s="255" t="str">
        <f>IF(ISBLANK(INDEX('Policy Characteristics'!D:D,MATCH($C563,'Policy Characteristics'!$C:$C,0))),"",INDEX('Policy Characteristics'!D:D,MATCH($C563,'Policy Characteristics'!$C:$C,0)))</f>
        <v>Buy In-Region Products</v>
      </c>
      <c r="K563" s="254" t="str">
        <f>IF(ISBLANK(INDEX('Policy Characteristics'!E:E,MATCH($C563,'Policy Characteristics'!$C:$C,0))),"",INDEX('Policy Characteristics'!E:E,MATCH($C563,'Policy Characteristics'!$C:$C,0)))</f>
        <v>indst buy in region outputs</v>
      </c>
      <c r="L563" s="261">
        <f>IF(ISBLANK(INDEX('Policy Characteristics'!F:F,MATCH($C563,'Policy Characteristics'!$C:$C,0))),"",INDEX('Policy Characteristics'!F:F,MATCH($C563,'Policy Characteristics'!$C:$C,0)))</f>
        <v>0</v>
      </c>
      <c r="M563" s="261">
        <f>IF(ISBLANK(INDEX('Policy Characteristics'!G:G,MATCH($C563,'Policy Characteristics'!$C:$C,0))),"",INDEX('Policy Characteristics'!G:G,MATCH($C563,'Policy Characteristics'!$C:$C,0)))</f>
        <v>0.5</v>
      </c>
      <c r="N563" s="261">
        <f>IF(ISBLANK(INDEX('Policy Characteristics'!H:H,MATCH($C563,'Policy Characteristics'!$C:$C,0))),"",INDEX('Policy Characteristics'!H:H,MATCH($C563,'Policy Characteristics'!$C:$C,0)))</f>
        <v>0.01</v>
      </c>
      <c r="O563" s="254" t="str">
        <f>IF(ISBLANK(INDEX('Policy Characteristics'!I:I,MATCH($C563,'Policy Characteristics'!$C:$C,0))),"",INDEX('Policy Characteristics'!I:I,MATCH($C563,'Policy Characteristics'!$C:$C,0)))</f>
        <v>% of imports shifted</v>
      </c>
      <c r="P563" s="254"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4" t="str">
        <f>IF(ISBLANK(INDEX('Policy Characteristics'!K:K,MATCH($C563,'Policy Characteristics'!$C:$C,0))),"",INDEX('Policy Characteristics'!K:K,MATCH($C563,'Policy Characteristics'!$C:$C,0)))</f>
        <v/>
      </c>
      <c r="R563" s="254" t="str">
        <f>IF(ISBLANK(INDEX('Policy Characteristics'!L:L,MATCH($C563,'Policy Characteristics'!$C:$C,0))),"",INDEX('Policy Characteristics'!L:L,MATCH($C563,'Policy Characteristics'!$C:$C,0)))</f>
        <v/>
      </c>
    </row>
    <row r="564" spans="1:18" x14ac:dyDescent="0.3">
      <c r="A564" s="254" t="str">
        <f>IF(ISBLANK(INDEX('Policy Characteristics'!A:A,MATCH($C564,'Policy Characteristics'!$C:$C,0))),"",INDEX('Policy Characteristics'!A:A,MATCH($C564,'Policy Characteristics'!$C:$C,0)))</f>
        <v>Industry</v>
      </c>
      <c r="B564" s="262" t="str">
        <f>IF(ISBLANK(INDEX('Policy Characteristics'!B:B,MATCH($C564,'Policy Characteristics'!$C:$C,0))),"",INDEX('Policy Characteristics'!B:B,MATCH($C564,'Policy Characteristics'!$C:$C,0)))</f>
        <v>Buy In-Region Products</v>
      </c>
      <c r="C564" s="254" t="str">
        <f t="shared" si="31"/>
        <v>Fraction of Imported Industrial Outputs Shifted to In Region Suppliers</v>
      </c>
      <c r="D564" s="6" t="s">
        <v>3073</v>
      </c>
      <c r="E564" s="6"/>
      <c r="F564" t="s">
        <v>3036</v>
      </c>
      <c r="G564" s="46"/>
      <c r="H564" s="43">
        <v>1549</v>
      </c>
      <c r="I564" s="324" t="s">
        <v>43</v>
      </c>
      <c r="J564" s="255" t="str">
        <f>IF(ISBLANK(INDEX('Policy Characteristics'!D:D,MATCH($C564,'Policy Characteristics'!$C:$C,0))),"",INDEX('Policy Characteristics'!D:D,MATCH($C564,'Policy Characteristics'!$C:$C,0)))</f>
        <v>Buy In-Region Products</v>
      </c>
      <c r="K564" s="254" t="str">
        <f>IF(ISBLANK(INDEX('Policy Characteristics'!E:E,MATCH($C564,'Policy Characteristics'!$C:$C,0))),"",INDEX('Policy Characteristics'!E:E,MATCH($C564,'Policy Characteristics'!$C:$C,0)))</f>
        <v>indst buy in region outputs</v>
      </c>
      <c r="L564" s="261">
        <f>IF(ISBLANK(INDEX('Policy Characteristics'!F:F,MATCH($C564,'Policy Characteristics'!$C:$C,0))),"",INDEX('Policy Characteristics'!F:F,MATCH($C564,'Policy Characteristics'!$C:$C,0)))</f>
        <v>0</v>
      </c>
      <c r="M564" s="261">
        <f>IF(ISBLANK(INDEX('Policy Characteristics'!G:G,MATCH($C564,'Policy Characteristics'!$C:$C,0))),"",INDEX('Policy Characteristics'!G:G,MATCH($C564,'Policy Characteristics'!$C:$C,0)))</f>
        <v>0.5</v>
      </c>
      <c r="N564" s="261">
        <f>IF(ISBLANK(INDEX('Policy Characteristics'!H:H,MATCH($C564,'Policy Characteristics'!$C:$C,0))),"",INDEX('Policy Characteristics'!H:H,MATCH($C564,'Policy Characteristics'!$C:$C,0)))</f>
        <v>0.01</v>
      </c>
      <c r="O564" s="254" t="str">
        <f>IF(ISBLANK(INDEX('Policy Characteristics'!I:I,MATCH($C564,'Policy Characteristics'!$C:$C,0))),"",INDEX('Policy Characteristics'!I:I,MATCH($C564,'Policy Characteristics'!$C:$C,0)))</f>
        <v>% of imports shifted</v>
      </c>
      <c r="P564" s="254"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4" t="str">
        <f>IF(ISBLANK(INDEX('Policy Characteristics'!K:K,MATCH($C564,'Policy Characteristics'!$C:$C,0))),"",INDEX('Policy Characteristics'!K:K,MATCH($C564,'Policy Characteristics'!$C:$C,0)))</f>
        <v/>
      </c>
      <c r="R564" s="254" t="str">
        <f>IF(ISBLANK(INDEX('Policy Characteristics'!L:L,MATCH($C564,'Policy Characteristics'!$C:$C,0))),"",INDEX('Policy Characteristics'!L:L,MATCH($C564,'Policy Characteristics'!$C:$C,0)))</f>
        <v/>
      </c>
    </row>
    <row r="565" spans="1:18" x14ac:dyDescent="0.3">
      <c r="A565" s="254" t="str">
        <f>IF(ISBLANK(INDEX('Policy Characteristics'!A:A,MATCH($C565,'Policy Characteristics'!$C:$C,0))),"",INDEX('Policy Characteristics'!A:A,MATCH($C565,'Policy Characteristics'!$C:$C,0)))</f>
        <v>Industry</v>
      </c>
      <c r="B565" s="262" t="str">
        <f>IF(ISBLANK(INDEX('Policy Characteristics'!B:B,MATCH($C565,'Policy Characteristics'!$C:$C,0))),"",INDEX('Policy Characteristics'!B:B,MATCH($C565,'Policy Characteristics'!$C:$C,0)))</f>
        <v>Buy In-Region Products</v>
      </c>
      <c r="C565" s="254" t="str">
        <f t="shared" si="31"/>
        <v>Fraction of Imported Industrial Outputs Shifted to In Region Suppliers</v>
      </c>
      <c r="D565" s="6" t="s">
        <v>3074</v>
      </c>
      <c r="E565" s="6"/>
      <c r="F565" t="s">
        <v>2580</v>
      </c>
      <c r="G565" s="46"/>
      <c r="H565" s="43">
        <v>1550</v>
      </c>
      <c r="I565" s="324" t="s">
        <v>43</v>
      </c>
      <c r="J565" s="255" t="str">
        <f>IF(ISBLANK(INDEX('Policy Characteristics'!D:D,MATCH($C565,'Policy Characteristics'!$C:$C,0))),"",INDEX('Policy Characteristics'!D:D,MATCH($C565,'Policy Characteristics'!$C:$C,0)))</f>
        <v>Buy In-Region Products</v>
      </c>
      <c r="K565" s="254" t="str">
        <f>IF(ISBLANK(INDEX('Policy Characteristics'!E:E,MATCH($C565,'Policy Characteristics'!$C:$C,0))),"",INDEX('Policy Characteristics'!E:E,MATCH($C565,'Policy Characteristics'!$C:$C,0)))</f>
        <v>indst buy in region outputs</v>
      </c>
      <c r="L565" s="261">
        <f>IF(ISBLANK(INDEX('Policy Characteristics'!F:F,MATCH($C565,'Policy Characteristics'!$C:$C,0))),"",INDEX('Policy Characteristics'!F:F,MATCH($C565,'Policy Characteristics'!$C:$C,0)))</f>
        <v>0</v>
      </c>
      <c r="M565" s="261">
        <f>IF(ISBLANK(INDEX('Policy Characteristics'!G:G,MATCH($C565,'Policy Characteristics'!$C:$C,0))),"",INDEX('Policy Characteristics'!G:G,MATCH($C565,'Policy Characteristics'!$C:$C,0)))</f>
        <v>0.5</v>
      </c>
      <c r="N565" s="261">
        <f>IF(ISBLANK(INDEX('Policy Characteristics'!H:H,MATCH($C565,'Policy Characteristics'!$C:$C,0))),"",INDEX('Policy Characteristics'!H:H,MATCH($C565,'Policy Characteristics'!$C:$C,0)))</f>
        <v>0.01</v>
      </c>
      <c r="O565" s="254" t="str">
        <f>IF(ISBLANK(INDEX('Policy Characteristics'!I:I,MATCH($C565,'Policy Characteristics'!$C:$C,0))),"",INDEX('Policy Characteristics'!I:I,MATCH($C565,'Policy Characteristics'!$C:$C,0)))</f>
        <v>% of imports shifted</v>
      </c>
      <c r="P565" s="254"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4" t="str">
        <f>IF(ISBLANK(INDEX('Policy Characteristics'!K:K,MATCH($C565,'Policy Characteristics'!$C:$C,0))),"",INDEX('Policy Characteristics'!K:K,MATCH($C565,'Policy Characteristics'!$C:$C,0)))</f>
        <v/>
      </c>
      <c r="R565" s="254" t="str">
        <f>IF(ISBLANK(INDEX('Policy Characteristics'!L:L,MATCH($C565,'Policy Characteristics'!$C:$C,0))),"",INDEX('Policy Characteristics'!L:L,MATCH($C565,'Policy Characteristics'!$C:$C,0)))</f>
        <v/>
      </c>
    </row>
    <row r="566" spans="1:18" x14ac:dyDescent="0.3">
      <c r="A566" s="254" t="str">
        <f>IF(ISBLANK(INDEX('Policy Characteristics'!A:A,MATCH($C566,'Policy Characteristics'!$C:$C,0))),"",INDEX('Policy Characteristics'!A:A,MATCH($C566,'Policy Characteristics'!$C:$C,0)))</f>
        <v>Industry</v>
      </c>
      <c r="B566" s="262" t="str">
        <f>IF(ISBLANK(INDEX('Policy Characteristics'!B:B,MATCH($C566,'Policy Characteristics'!$C:$C,0))),"",INDEX('Policy Characteristics'!B:B,MATCH($C566,'Policy Characteristics'!$C:$C,0)))</f>
        <v>Buy In-Region Products</v>
      </c>
      <c r="C566" s="254" t="str">
        <f t="shared" si="31"/>
        <v>Fraction of Imported Industrial Outputs Shifted to In Region Suppliers</v>
      </c>
      <c r="D566" s="6" t="s">
        <v>3075</v>
      </c>
      <c r="E566" s="6"/>
      <c r="F566" t="s">
        <v>3037</v>
      </c>
      <c r="G566" s="46"/>
      <c r="H566" s="43">
        <v>1551</v>
      </c>
      <c r="I566" s="324" t="s">
        <v>43</v>
      </c>
      <c r="J566" s="255" t="str">
        <f>IF(ISBLANK(INDEX('Policy Characteristics'!D:D,MATCH($C566,'Policy Characteristics'!$C:$C,0))),"",INDEX('Policy Characteristics'!D:D,MATCH($C566,'Policy Characteristics'!$C:$C,0)))</f>
        <v>Buy In-Region Products</v>
      </c>
      <c r="K566" s="254" t="str">
        <f>IF(ISBLANK(INDEX('Policy Characteristics'!E:E,MATCH($C566,'Policy Characteristics'!$C:$C,0))),"",INDEX('Policy Characteristics'!E:E,MATCH($C566,'Policy Characteristics'!$C:$C,0)))</f>
        <v>indst buy in region outputs</v>
      </c>
      <c r="L566" s="261">
        <f>IF(ISBLANK(INDEX('Policy Characteristics'!F:F,MATCH($C566,'Policy Characteristics'!$C:$C,0))),"",INDEX('Policy Characteristics'!F:F,MATCH($C566,'Policy Characteristics'!$C:$C,0)))</f>
        <v>0</v>
      </c>
      <c r="M566" s="261">
        <f>IF(ISBLANK(INDEX('Policy Characteristics'!G:G,MATCH($C566,'Policy Characteristics'!$C:$C,0))),"",INDEX('Policy Characteristics'!G:G,MATCH($C566,'Policy Characteristics'!$C:$C,0)))</f>
        <v>0.5</v>
      </c>
      <c r="N566" s="261">
        <f>IF(ISBLANK(INDEX('Policy Characteristics'!H:H,MATCH($C566,'Policy Characteristics'!$C:$C,0))),"",INDEX('Policy Characteristics'!H:H,MATCH($C566,'Policy Characteristics'!$C:$C,0)))</f>
        <v>0.01</v>
      </c>
      <c r="O566" s="254" t="str">
        <f>IF(ISBLANK(INDEX('Policy Characteristics'!I:I,MATCH($C566,'Policy Characteristics'!$C:$C,0))),"",INDEX('Policy Characteristics'!I:I,MATCH($C566,'Policy Characteristics'!$C:$C,0)))</f>
        <v>% of imports shifted</v>
      </c>
      <c r="P566" s="254"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4" t="str">
        <f>IF(ISBLANK(INDEX('Policy Characteristics'!K:K,MATCH($C566,'Policy Characteristics'!$C:$C,0))),"",INDEX('Policy Characteristics'!K:K,MATCH($C566,'Policy Characteristics'!$C:$C,0)))</f>
        <v/>
      </c>
      <c r="R566" s="254" t="str">
        <f>IF(ISBLANK(INDEX('Policy Characteristics'!L:L,MATCH($C566,'Policy Characteristics'!$C:$C,0))),"",INDEX('Policy Characteristics'!L:L,MATCH($C566,'Policy Characteristics'!$C:$C,0)))</f>
        <v/>
      </c>
    </row>
    <row r="567" spans="1:18" x14ac:dyDescent="0.3">
      <c r="A567" s="254" t="str">
        <f>IF(ISBLANK(INDEX('Policy Characteristics'!A:A,MATCH($C567,'Policy Characteristics'!$C:$C,0))),"",INDEX('Policy Characteristics'!A:A,MATCH($C567,'Policy Characteristics'!$C:$C,0)))</f>
        <v>Industry</v>
      </c>
      <c r="B567" s="262" t="str">
        <f>IF(ISBLANK(INDEX('Policy Characteristics'!B:B,MATCH($C567,'Policy Characteristics'!$C:$C,0))),"",INDEX('Policy Characteristics'!B:B,MATCH($C567,'Policy Characteristics'!$C:$C,0)))</f>
        <v>Buy In-Region Products</v>
      </c>
      <c r="C567" s="254" t="str">
        <f t="shared" si="31"/>
        <v>Fraction of Imported Industrial Outputs Shifted to In Region Suppliers</v>
      </c>
      <c r="D567" s="6" t="s">
        <v>3076</v>
      </c>
      <c r="E567" s="6"/>
      <c r="F567" t="s">
        <v>3038</v>
      </c>
      <c r="G567" s="46"/>
      <c r="H567" s="43">
        <v>1552</v>
      </c>
      <c r="I567" s="324" t="s">
        <v>43</v>
      </c>
      <c r="J567" s="255" t="str">
        <f>IF(ISBLANK(INDEX('Policy Characteristics'!D:D,MATCH($C567,'Policy Characteristics'!$C:$C,0))),"",INDEX('Policy Characteristics'!D:D,MATCH($C567,'Policy Characteristics'!$C:$C,0)))</f>
        <v>Buy In-Region Products</v>
      </c>
      <c r="K567" s="254" t="str">
        <f>IF(ISBLANK(INDEX('Policy Characteristics'!E:E,MATCH($C567,'Policy Characteristics'!$C:$C,0))),"",INDEX('Policy Characteristics'!E:E,MATCH($C567,'Policy Characteristics'!$C:$C,0)))</f>
        <v>indst buy in region outputs</v>
      </c>
      <c r="L567" s="261">
        <f>IF(ISBLANK(INDEX('Policy Characteristics'!F:F,MATCH($C567,'Policy Characteristics'!$C:$C,0))),"",INDEX('Policy Characteristics'!F:F,MATCH($C567,'Policy Characteristics'!$C:$C,0)))</f>
        <v>0</v>
      </c>
      <c r="M567" s="261">
        <f>IF(ISBLANK(INDEX('Policy Characteristics'!G:G,MATCH($C567,'Policy Characteristics'!$C:$C,0))),"",INDEX('Policy Characteristics'!G:G,MATCH($C567,'Policy Characteristics'!$C:$C,0)))</f>
        <v>0.5</v>
      </c>
      <c r="N567" s="261">
        <f>IF(ISBLANK(INDEX('Policy Characteristics'!H:H,MATCH($C567,'Policy Characteristics'!$C:$C,0))),"",INDEX('Policy Characteristics'!H:H,MATCH($C567,'Policy Characteristics'!$C:$C,0)))</f>
        <v>0.01</v>
      </c>
      <c r="O567" s="254" t="str">
        <f>IF(ISBLANK(INDEX('Policy Characteristics'!I:I,MATCH($C567,'Policy Characteristics'!$C:$C,0))),"",INDEX('Policy Characteristics'!I:I,MATCH($C567,'Policy Characteristics'!$C:$C,0)))</f>
        <v>% of imports shifted</v>
      </c>
      <c r="P567" s="254"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4" t="str">
        <f>IF(ISBLANK(INDEX('Policy Characteristics'!K:K,MATCH($C567,'Policy Characteristics'!$C:$C,0))),"",INDEX('Policy Characteristics'!K:K,MATCH($C567,'Policy Characteristics'!$C:$C,0)))</f>
        <v/>
      </c>
      <c r="R567" s="254" t="str">
        <f>IF(ISBLANK(INDEX('Policy Characteristics'!L:L,MATCH($C567,'Policy Characteristics'!$C:$C,0))),"",INDEX('Policy Characteristics'!L:L,MATCH($C567,'Policy Characteristics'!$C:$C,0)))</f>
        <v/>
      </c>
    </row>
    <row r="568" spans="1:18" x14ac:dyDescent="0.3">
      <c r="A568" s="254" t="str">
        <f>IF(ISBLANK(INDEX('Policy Characteristics'!A:A,MATCH($C568,'Policy Characteristics'!$C:$C,0))),"",INDEX('Policy Characteristics'!A:A,MATCH($C568,'Policy Characteristics'!$C:$C,0)))</f>
        <v>Industry</v>
      </c>
      <c r="B568" s="262" t="str">
        <f>IF(ISBLANK(INDEX('Policy Characteristics'!B:B,MATCH($C568,'Policy Characteristics'!$C:$C,0))),"",INDEX('Policy Characteristics'!B:B,MATCH($C568,'Policy Characteristics'!$C:$C,0)))</f>
        <v>Buy In-Region Products</v>
      </c>
      <c r="C568" s="254" t="str">
        <f t="shared" si="31"/>
        <v>Fraction of Imported Industrial Outputs Shifted to In Region Suppliers</v>
      </c>
      <c r="D568" s="6" t="s">
        <v>3077</v>
      </c>
      <c r="E568" s="6"/>
      <c r="F568" t="s">
        <v>3039</v>
      </c>
      <c r="G568" s="46"/>
      <c r="H568" s="43">
        <v>1553</v>
      </c>
      <c r="I568" s="324" t="s">
        <v>43</v>
      </c>
      <c r="J568" s="255" t="str">
        <f>IF(ISBLANK(INDEX('Policy Characteristics'!D:D,MATCH($C568,'Policy Characteristics'!$C:$C,0))),"",INDEX('Policy Characteristics'!D:D,MATCH($C568,'Policy Characteristics'!$C:$C,0)))</f>
        <v>Buy In-Region Products</v>
      </c>
      <c r="K568" s="254" t="str">
        <f>IF(ISBLANK(INDEX('Policy Characteristics'!E:E,MATCH($C568,'Policy Characteristics'!$C:$C,0))),"",INDEX('Policy Characteristics'!E:E,MATCH($C568,'Policy Characteristics'!$C:$C,0)))</f>
        <v>indst buy in region outputs</v>
      </c>
      <c r="L568" s="261">
        <f>IF(ISBLANK(INDEX('Policy Characteristics'!F:F,MATCH($C568,'Policy Characteristics'!$C:$C,0))),"",INDEX('Policy Characteristics'!F:F,MATCH($C568,'Policy Characteristics'!$C:$C,0)))</f>
        <v>0</v>
      </c>
      <c r="M568" s="261">
        <f>IF(ISBLANK(INDEX('Policy Characteristics'!G:G,MATCH($C568,'Policy Characteristics'!$C:$C,0))),"",INDEX('Policy Characteristics'!G:G,MATCH($C568,'Policy Characteristics'!$C:$C,0)))</f>
        <v>0.5</v>
      </c>
      <c r="N568" s="261">
        <f>IF(ISBLANK(INDEX('Policy Characteristics'!H:H,MATCH($C568,'Policy Characteristics'!$C:$C,0))),"",INDEX('Policy Characteristics'!H:H,MATCH($C568,'Policy Characteristics'!$C:$C,0)))</f>
        <v>0.01</v>
      </c>
      <c r="O568" s="254" t="str">
        <f>IF(ISBLANK(INDEX('Policy Characteristics'!I:I,MATCH($C568,'Policy Characteristics'!$C:$C,0))),"",INDEX('Policy Characteristics'!I:I,MATCH($C568,'Policy Characteristics'!$C:$C,0)))</f>
        <v>% of imports shifted</v>
      </c>
      <c r="P568" s="254"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4" t="str">
        <f>IF(ISBLANK(INDEX('Policy Characteristics'!K:K,MATCH($C568,'Policy Characteristics'!$C:$C,0))),"",INDEX('Policy Characteristics'!K:K,MATCH($C568,'Policy Characteristics'!$C:$C,0)))</f>
        <v/>
      </c>
      <c r="R568" s="254" t="str">
        <f>IF(ISBLANK(INDEX('Policy Characteristics'!L:L,MATCH($C568,'Policy Characteristics'!$C:$C,0))),"",INDEX('Policy Characteristics'!L:L,MATCH($C568,'Policy Characteristics'!$C:$C,0)))</f>
        <v/>
      </c>
    </row>
    <row r="569" spans="1:18" x14ac:dyDescent="0.3">
      <c r="A569" s="254" t="str">
        <f>IF(ISBLANK(INDEX('Policy Characteristics'!A:A,MATCH($C569,'Policy Characteristics'!$C:$C,0))),"",INDEX('Policy Characteristics'!A:A,MATCH($C569,'Policy Characteristics'!$C:$C,0)))</f>
        <v>Industry</v>
      </c>
      <c r="B569" s="262" t="str">
        <f>IF(ISBLANK(INDEX('Policy Characteristics'!B:B,MATCH($C569,'Policy Characteristics'!$C:$C,0))),"",INDEX('Policy Characteristics'!B:B,MATCH($C569,'Policy Characteristics'!$C:$C,0)))</f>
        <v>Buy In-Region Products</v>
      </c>
      <c r="C569" s="254" t="str">
        <f t="shared" si="31"/>
        <v>Fraction of Imported Industrial Outputs Shifted to In Region Suppliers</v>
      </c>
      <c r="D569" s="6" t="s">
        <v>3078</v>
      </c>
      <c r="E569" s="6"/>
      <c r="F569" t="s">
        <v>3040</v>
      </c>
      <c r="G569" s="46"/>
      <c r="H569" s="43">
        <v>1554</v>
      </c>
      <c r="I569" s="324" t="s">
        <v>43</v>
      </c>
      <c r="J569" s="255" t="str">
        <f>IF(ISBLANK(INDEX('Policy Characteristics'!D:D,MATCH($C569,'Policy Characteristics'!$C:$C,0))),"",INDEX('Policy Characteristics'!D:D,MATCH($C569,'Policy Characteristics'!$C:$C,0)))</f>
        <v>Buy In-Region Products</v>
      </c>
      <c r="K569" s="254" t="str">
        <f>IF(ISBLANK(INDEX('Policy Characteristics'!E:E,MATCH($C569,'Policy Characteristics'!$C:$C,0))),"",INDEX('Policy Characteristics'!E:E,MATCH($C569,'Policy Characteristics'!$C:$C,0)))</f>
        <v>indst buy in region outputs</v>
      </c>
      <c r="L569" s="261">
        <f>IF(ISBLANK(INDEX('Policy Characteristics'!F:F,MATCH($C569,'Policy Characteristics'!$C:$C,0))),"",INDEX('Policy Characteristics'!F:F,MATCH($C569,'Policy Characteristics'!$C:$C,0)))</f>
        <v>0</v>
      </c>
      <c r="M569" s="261">
        <f>IF(ISBLANK(INDEX('Policy Characteristics'!G:G,MATCH($C569,'Policy Characteristics'!$C:$C,0))),"",INDEX('Policy Characteristics'!G:G,MATCH($C569,'Policy Characteristics'!$C:$C,0)))</f>
        <v>0.5</v>
      </c>
      <c r="N569" s="261">
        <f>IF(ISBLANK(INDEX('Policy Characteristics'!H:H,MATCH($C569,'Policy Characteristics'!$C:$C,0))),"",INDEX('Policy Characteristics'!H:H,MATCH($C569,'Policy Characteristics'!$C:$C,0)))</f>
        <v>0.01</v>
      </c>
      <c r="O569" s="254" t="str">
        <f>IF(ISBLANK(INDEX('Policy Characteristics'!I:I,MATCH($C569,'Policy Characteristics'!$C:$C,0))),"",INDEX('Policy Characteristics'!I:I,MATCH($C569,'Policy Characteristics'!$C:$C,0)))</f>
        <v>% of imports shifted</v>
      </c>
      <c r="P569" s="254"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4" t="str">
        <f>IF(ISBLANK(INDEX('Policy Characteristics'!K:K,MATCH($C569,'Policy Characteristics'!$C:$C,0))),"",INDEX('Policy Characteristics'!K:K,MATCH($C569,'Policy Characteristics'!$C:$C,0)))</f>
        <v/>
      </c>
      <c r="R569" s="254" t="str">
        <f>IF(ISBLANK(INDEX('Policy Characteristics'!L:L,MATCH($C569,'Policy Characteristics'!$C:$C,0))),"",INDEX('Policy Characteristics'!L:L,MATCH($C569,'Policy Characteristics'!$C:$C,0)))</f>
        <v/>
      </c>
    </row>
    <row r="570" spans="1:18" x14ac:dyDescent="0.3">
      <c r="A570" s="254" t="str">
        <f>IF(ISBLANK(INDEX('Policy Characteristics'!A:A,MATCH($C570,'Policy Characteristics'!$C:$C,0))),"",INDEX('Policy Characteristics'!A:A,MATCH($C570,'Policy Characteristics'!$C:$C,0)))</f>
        <v>Industry</v>
      </c>
      <c r="B570" s="262" t="str">
        <f>IF(ISBLANK(INDEX('Policy Characteristics'!B:B,MATCH($C570,'Policy Characteristics'!$C:$C,0))),"",INDEX('Policy Characteristics'!B:B,MATCH($C570,'Policy Characteristics'!$C:$C,0)))</f>
        <v>Buy In-Region Products</v>
      </c>
      <c r="C570" s="254" t="str">
        <f t="shared" si="31"/>
        <v>Fraction of Imported Industrial Outputs Shifted to In Region Suppliers</v>
      </c>
      <c r="D570" s="6" t="s">
        <v>3079</v>
      </c>
      <c r="E570" s="6"/>
      <c r="F570" t="s">
        <v>3041</v>
      </c>
      <c r="G570" s="46"/>
      <c r="H570" s="43">
        <v>1555</v>
      </c>
      <c r="I570" s="324" t="s">
        <v>43</v>
      </c>
      <c r="J570" s="255" t="str">
        <f>IF(ISBLANK(INDEX('Policy Characteristics'!D:D,MATCH($C570,'Policy Characteristics'!$C:$C,0))),"",INDEX('Policy Characteristics'!D:D,MATCH($C570,'Policy Characteristics'!$C:$C,0)))</f>
        <v>Buy In-Region Products</v>
      </c>
      <c r="K570" s="254" t="str">
        <f>IF(ISBLANK(INDEX('Policy Characteristics'!E:E,MATCH($C570,'Policy Characteristics'!$C:$C,0))),"",INDEX('Policy Characteristics'!E:E,MATCH($C570,'Policy Characteristics'!$C:$C,0)))</f>
        <v>indst buy in region outputs</v>
      </c>
      <c r="L570" s="261">
        <f>IF(ISBLANK(INDEX('Policy Characteristics'!F:F,MATCH($C570,'Policy Characteristics'!$C:$C,0))),"",INDEX('Policy Characteristics'!F:F,MATCH($C570,'Policy Characteristics'!$C:$C,0)))</f>
        <v>0</v>
      </c>
      <c r="M570" s="261">
        <f>IF(ISBLANK(INDEX('Policy Characteristics'!G:G,MATCH($C570,'Policy Characteristics'!$C:$C,0))),"",INDEX('Policy Characteristics'!G:G,MATCH($C570,'Policy Characteristics'!$C:$C,0)))</f>
        <v>0.5</v>
      </c>
      <c r="N570" s="261">
        <f>IF(ISBLANK(INDEX('Policy Characteristics'!H:H,MATCH($C570,'Policy Characteristics'!$C:$C,0))),"",INDEX('Policy Characteristics'!H:H,MATCH($C570,'Policy Characteristics'!$C:$C,0)))</f>
        <v>0.01</v>
      </c>
      <c r="O570" s="254" t="str">
        <f>IF(ISBLANK(INDEX('Policy Characteristics'!I:I,MATCH($C570,'Policy Characteristics'!$C:$C,0))),"",INDEX('Policy Characteristics'!I:I,MATCH($C570,'Policy Characteristics'!$C:$C,0)))</f>
        <v>% of imports shifted</v>
      </c>
      <c r="P570" s="254"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4" t="str">
        <f>IF(ISBLANK(INDEX('Policy Characteristics'!K:K,MATCH($C570,'Policy Characteristics'!$C:$C,0))),"",INDEX('Policy Characteristics'!K:K,MATCH($C570,'Policy Characteristics'!$C:$C,0)))</f>
        <v/>
      </c>
      <c r="R570" s="254" t="str">
        <f>IF(ISBLANK(INDEX('Policy Characteristics'!L:L,MATCH($C570,'Policy Characteristics'!$C:$C,0))),"",INDEX('Policy Characteristics'!L:L,MATCH($C570,'Policy Characteristics'!$C:$C,0)))</f>
        <v/>
      </c>
    </row>
    <row r="571" spans="1:18" x14ac:dyDescent="0.3">
      <c r="A571" s="254" t="str">
        <f>IF(ISBLANK(INDEX('Policy Characteristics'!A:A,MATCH($C571,'Policy Characteristics'!$C:$C,0))),"",INDEX('Policy Characteristics'!A:A,MATCH($C571,'Policy Characteristics'!$C:$C,0)))</f>
        <v>Industry</v>
      </c>
      <c r="B571" s="262" t="str">
        <f>IF(ISBLANK(INDEX('Policy Characteristics'!B:B,MATCH($C571,'Policy Characteristics'!$C:$C,0))),"",INDEX('Policy Characteristics'!B:B,MATCH($C571,'Policy Characteristics'!$C:$C,0)))</f>
        <v>Buy In-Region Products</v>
      </c>
      <c r="C571" s="254" t="str">
        <f t="shared" si="31"/>
        <v>Fraction of Imported Industrial Outputs Shifted to In Region Suppliers</v>
      </c>
      <c r="D571" s="6" t="s">
        <v>3080</v>
      </c>
      <c r="E571" s="6"/>
      <c r="F571" t="s">
        <v>3042</v>
      </c>
      <c r="G571" s="46"/>
      <c r="H571" s="43">
        <v>1556</v>
      </c>
      <c r="I571" s="324" t="s">
        <v>43</v>
      </c>
      <c r="J571" s="255" t="str">
        <f>IF(ISBLANK(INDEX('Policy Characteristics'!D:D,MATCH($C571,'Policy Characteristics'!$C:$C,0))),"",INDEX('Policy Characteristics'!D:D,MATCH($C571,'Policy Characteristics'!$C:$C,0)))</f>
        <v>Buy In-Region Products</v>
      </c>
      <c r="K571" s="254" t="str">
        <f>IF(ISBLANK(INDEX('Policy Characteristics'!E:E,MATCH($C571,'Policy Characteristics'!$C:$C,0))),"",INDEX('Policy Characteristics'!E:E,MATCH($C571,'Policy Characteristics'!$C:$C,0)))</f>
        <v>indst buy in region outputs</v>
      </c>
      <c r="L571" s="261">
        <f>IF(ISBLANK(INDEX('Policy Characteristics'!F:F,MATCH($C571,'Policy Characteristics'!$C:$C,0))),"",INDEX('Policy Characteristics'!F:F,MATCH($C571,'Policy Characteristics'!$C:$C,0)))</f>
        <v>0</v>
      </c>
      <c r="M571" s="261">
        <f>IF(ISBLANK(INDEX('Policy Characteristics'!G:G,MATCH($C571,'Policy Characteristics'!$C:$C,0))),"",INDEX('Policy Characteristics'!G:G,MATCH($C571,'Policy Characteristics'!$C:$C,0)))</f>
        <v>0.5</v>
      </c>
      <c r="N571" s="261">
        <f>IF(ISBLANK(INDEX('Policy Characteristics'!H:H,MATCH($C571,'Policy Characteristics'!$C:$C,0))),"",INDEX('Policy Characteristics'!H:H,MATCH($C571,'Policy Characteristics'!$C:$C,0)))</f>
        <v>0.01</v>
      </c>
      <c r="O571" s="254" t="str">
        <f>IF(ISBLANK(INDEX('Policy Characteristics'!I:I,MATCH($C571,'Policy Characteristics'!$C:$C,0))),"",INDEX('Policy Characteristics'!I:I,MATCH($C571,'Policy Characteristics'!$C:$C,0)))</f>
        <v>% of imports shifted</v>
      </c>
      <c r="P571" s="254"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4" t="str">
        <f>IF(ISBLANK(INDEX('Policy Characteristics'!K:K,MATCH($C571,'Policy Characteristics'!$C:$C,0))),"",INDEX('Policy Characteristics'!K:K,MATCH($C571,'Policy Characteristics'!$C:$C,0)))</f>
        <v/>
      </c>
      <c r="R571" s="254" t="str">
        <f>IF(ISBLANK(INDEX('Policy Characteristics'!L:L,MATCH($C571,'Policy Characteristics'!$C:$C,0))),"",INDEX('Policy Characteristics'!L:L,MATCH($C571,'Policy Characteristics'!$C:$C,0)))</f>
        <v/>
      </c>
    </row>
    <row r="572" spans="1:18" x14ac:dyDescent="0.3">
      <c r="A572" s="254" t="str">
        <f>IF(ISBLANK(INDEX('Policy Characteristics'!A:A,MATCH($C572,'Policy Characteristics'!$C:$C,0))),"",INDEX('Policy Characteristics'!A:A,MATCH($C572,'Policy Characteristics'!$C:$C,0)))</f>
        <v>Industry</v>
      </c>
      <c r="B572" s="262" t="str">
        <f>IF(ISBLANK(INDEX('Policy Characteristics'!B:B,MATCH($C572,'Policy Characteristics'!$C:$C,0))),"",INDEX('Policy Characteristics'!B:B,MATCH($C572,'Policy Characteristics'!$C:$C,0)))</f>
        <v>Buy In-Region Products</v>
      </c>
      <c r="C572" s="254" t="str">
        <f t="shared" si="31"/>
        <v>Fraction of Imported Industrial Outputs Shifted to In Region Suppliers</v>
      </c>
      <c r="D572" s="6" t="s">
        <v>3081</v>
      </c>
      <c r="E572" s="6"/>
      <c r="F572" t="s">
        <v>3043</v>
      </c>
      <c r="G572" s="46"/>
      <c r="H572" s="43">
        <v>1557</v>
      </c>
      <c r="I572" s="324" t="s">
        <v>43</v>
      </c>
      <c r="J572" s="255" t="str">
        <f>IF(ISBLANK(INDEX('Policy Characteristics'!D:D,MATCH($C572,'Policy Characteristics'!$C:$C,0))),"",INDEX('Policy Characteristics'!D:D,MATCH($C572,'Policy Characteristics'!$C:$C,0)))</f>
        <v>Buy In-Region Products</v>
      </c>
      <c r="K572" s="254" t="str">
        <f>IF(ISBLANK(INDEX('Policy Characteristics'!E:E,MATCH($C572,'Policy Characteristics'!$C:$C,0))),"",INDEX('Policy Characteristics'!E:E,MATCH($C572,'Policy Characteristics'!$C:$C,0)))</f>
        <v>indst buy in region outputs</v>
      </c>
      <c r="L572" s="261">
        <f>IF(ISBLANK(INDEX('Policy Characteristics'!F:F,MATCH($C572,'Policy Characteristics'!$C:$C,0))),"",INDEX('Policy Characteristics'!F:F,MATCH($C572,'Policy Characteristics'!$C:$C,0)))</f>
        <v>0</v>
      </c>
      <c r="M572" s="261">
        <f>IF(ISBLANK(INDEX('Policy Characteristics'!G:G,MATCH($C572,'Policy Characteristics'!$C:$C,0))),"",INDEX('Policy Characteristics'!G:G,MATCH($C572,'Policy Characteristics'!$C:$C,0)))</f>
        <v>0.5</v>
      </c>
      <c r="N572" s="261">
        <f>IF(ISBLANK(INDEX('Policy Characteristics'!H:H,MATCH($C572,'Policy Characteristics'!$C:$C,0))),"",INDEX('Policy Characteristics'!H:H,MATCH($C572,'Policy Characteristics'!$C:$C,0)))</f>
        <v>0.01</v>
      </c>
      <c r="O572" s="254" t="str">
        <f>IF(ISBLANK(INDEX('Policy Characteristics'!I:I,MATCH($C572,'Policy Characteristics'!$C:$C,0))),"",INDEX('Policy Characteristics'!I:I,MATCH($C572,'Policy Characteristics'!$C:$C,0)))</f>
        <v>% of imports shifted</v>
      </c>
      <c r="P572" s="254"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4" t="str">
        <f>IF(ISBLANK(INDEX('Policy Characteristics'!K:K,MATCH($C572,'Policy Characteristics'!$C:$C,0))),"",INDEX('Policy Characteristics'!K:K,MATCH($C572,'Policy Characteristics'!$C:$C,0)))</f>
        <v/>
      </c>
      <c r="R572" s="254" t="str">
        <f>IF(ISBLANK(INDEX('Policy Characteristics'!L:L,MATCH($C572,'Policy Characteristics'!$C:$C,0))),"",INDEX('Policy Characteristics'!L:L,MATCH($C572,'Policy Characteristics'!$C:$C,0)))</f>
        <v/>
      </c>
    </row>
    <row r="573" spans="1:18" x14ac:dyDescent="0.3">
      <c r="A573" s="254" t="str">
        <f>IF(ISBLANK(INDEX('Policy Characteristics'!A:A,MATCH($C573,'Policy Characteristics'!$C:$C,0))),"",INDEX('Policy Characteristics'!A:A,MATCH($C573,'Policy Characteristics'!$C:$C,0)))</f>
        <v>Industry</v>
      </c>
      <c r="B573" s="262" t="str">
        <f>IF(ISBLANK(INDEX('Policy Characteristics'!B:B,MATCH($C573,'Policy Characteristics'!$C:$C,0))),"",INDEX('Policy Characteristics'!B:B,MATCH($C573,'Policy Characteristics'!$C:$C,0)))</f>
        <v>Buy In-Region Products</v>
      </c>
      <c r="C573" s="254" t="str">
        <f t="shared" si="31"/>
        <v>Fraction of Imported Industrial Outputs Shifted to In Region Suppliers</v>
      </c>
      <c r="D573" s="6" t="s">
        <v>3082</v>
      </c>
      <c r="E573" s="6"/>
      <c r="F573" t="s">
        <v>3044</v>
      </c>
      <c r="G573" s="46"/>
      <c r="H573" s="43">
        <v>1558</v>
      </c>
      <c r="I573" s="324" t="s">
        <v>43</v>
      </c>
      <c r="J573" s="255" t="str">
        <f>IF(ISBLANK(INDEX('Policy Characteristics'!D:D,MATCH($C573,'Policy Characteristics'!$C:$C,0))),"",INDEX('Policy Characteristics'!D:D,MATCH($C573,'Policy Characteristics'!$C:$C,0)))</f>
        <v>Buy In-Region Products</v>
      </c>
      <c r="K573" s="254" t="str">
        <f>IF(ISBLANK(INDEX('Policy Characteristics'!E:E,MATCH($C573,'Policy Characteristics'!$C:$C,0))),"",INDEX('Policy Characteristics'!E:E,MATCH($C573,'Policy Characteristics'!$C:$C,0)))</f>
        <v>indst buy in region outputs</v>
      </c>
      <c r="L573" s="261">
        <f>IF(ISBLANK(INDEX('Policy Characteristics'!F:F,MATCH($C573,'Policy Characteristics'!$C:$C,0))),"",INDEX('Policy Characteristics'!F:F,MATCH($C573,'Policy Characteristics'!$C:$C,0)))</f>
        <v>0</v>
      </c>
      <c r="M573" s="261">
        <f>IF(ISBLANK(INDEX('Policy Characteristics'!G:G,MATCH($C573,'Policy Characteristics'!$C:$C,0))),"",INDEX('Policy Characteristics'!G:G,MATCH($C573,'Policy Characteristics'!$C:$C,0)))</f>
        <v>0.5</v>
      </c>
      <c r="N573" s="261">
        <f>IF(ISBLANK(INDEX('Policy Characteristics'!H:H,MATCH($C573,'Policy Characteristics'!$C:$C,0))),"",INDEX('Policy Characteristics'!H:H,MATCH($C573,'Policy Characteristics'!$C:$C,0)))</f>
        <v>0.01</v>
      </c>
      <c r="O573" s="254" t="str">
        <f>IF(ISBLANK(INDEX('Policy Characteristics'!I:I,MATCH($C573,'Policy Characteristics'!$C:$C,0))),"",INDEX('Policy Characteristics'!I:I,MATCH($C573,'Policy Characteristics'!$C:$C,0)))</f>
        <v>% of imports shifted</v>
      </c>
      <c r="P573" s="254"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4" t="str">
        <f>IF(ISBLANK(INDEX('Policy Characteristics'!K:K,MATCH($C573,'Policy Characteristics'!$C:$C,0))),"",INDEX('Policy Characteristics'!K:K,MATCH($C573,'Policy Characteristics'!$C:$C,0)))</f>
        <v/>
      </c>
      <c r="R573" s="254" t="str">
        <f>IF(ISBLANK(INDEX('Policy Characteristics'!L:L,MATCH($C573,'Policy Characteristics'!$C:$C,0))),"",INDEX('Policy Characteristics'!L:L,MATCH($C573,'Policy Characteristics'!$C:$C,0)))</f>
        <v/>
      </c>
    </row>
    <row r="574" spans="1:18" x14ac:dyDescent="0.3">
      <c r="A574" s="254" t="str">
        <f>IF(ISBLANK(INDEX('Policy Characteristics'!A:A,MATCH($C574,'Policy Characteristics'!$C:$C,0))),"",INDEX('Policy Characteristics'!A:A,MATCH($C574,'Policy Characteristics'!$C:$C,0)))</f>
        <v>Industry</v>
      </c>
      <c r="B574" s="262" t="str">
        <f>IF(ISBLANK(INDEX('Policy Characteristics'!B:B,MATCH($C574,'Policy Characteristics'!$C:$C,0))),"",INDEX('Policy Characteristics'!B:B,MATCH($C574,'Policy Characteristics'!$C:$C,0)))</f>
        <v>Buy In-Region Products</v>
      </c>
      <c r="C574" s="254" t="str">
        <f t="shared" si="31"/>
        <v>Fraction of Imported Industrial Outputs Shifted to In Region Suppliers</v>
      </c>
      <c r="D574" s="6" t="s">
        <v>3083</v>
      </c>
      <c r="E574" s="6"/>
      <c r="F574" t="s">
        <v>3045</v>
      </c>
      <c r="G574" s="46"/>
      <c r="H574" s="43">
        <v>1559</v>
      </c>
      <c r="I574" s="324" t="s">
        <v>43</v>
      </c>
      <c r="J574" s="255" t="str">
        <f>IF(ISBLANK(INDEX('Policy Characteristics'!D:D,MATCH($C574,'Policy Characteristics'!$C:$C,0))),"",INDEX('Policy Characteristics'!D:D,MATCH($C574,'Policy Characteristics'!$C:$C,0)))</f>
        <v>Buy In-Region Products</v>
      </c>
      <c r="K574" s="254" t="str">
        <f>IF(ISBLANK(INDEX('Policy Characteristics'!E:E,MATCH($C574,'Policy Characteristics'!$C:$C,0))),"",INDEX('Policy Characteristics'!E:E,MATCH($C574,'Policy Characteristics'!$C:$C,0)))</f>
        <v>indst buy in region outputs</v>
      </c>
      <c r="L574" s="261">
        <f>IF(ISBLANK(INDEX('Policy Characteristics'!F:F,MATCH($C574,'Policy Characteristics'!$C:$C,0))),"",INDEX('Policy Characteristics'!F:F,MATCH($C574,'Policy Characteristics'!$C:$C,0)))</f>
        <v>0</v>
      </c>
      <c r="M574" s="261">
        <f>IF(ISBLANK(INDEX('Policy Characteristics'!G:G,MATCH($C574,'Policy Characteristics'!$C:$C,0))),"",INDEX('Policy Characteristics'!G:G,MATCH($C574,'Policy Characteristics'!$C:$C,0)))</f>
        <v>0.5</v>
      </c>
      <c r="N574" s="261">
        <f>IF(ISBLANK(INDEX('Policy Characteristics'!H:H,MATCH($C574,'Policy Characteristics'!$C:$C,0))),"",INDEX('Policy Characteristics'!H:H,MATCH($C574,'Policy Characteristics'!$C:$C,0)))</f>
        <v>0.01</v>
      </c>
      <c r="O574" s="254" t="str">
        <f>IF(ISBLANK(INDEX('Policy Characteristics'!I:I,MATCH($C574,'Policy Characteristics'!$C:$C,0))),"",INDEX('Policy Characteristics'!I:I,MATCH($C574,'Policy Characteristics'!$C:$C,0)))</f>
        <v>% of imports shifted</v>
      </c>
      <c r="P574" s="254"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4" t="str">
        <f>IF(ISBLANK(INDEX('Policy Characteristics'!K:K,MATCH($C574,'Policy Characteristics'!$C:$C,0))),"",INDEX('Policy Characteristics'!K:K,MATCH($C574,'Policy Characteristics'!$C:$C,0)))</f>
        <v/>
      </c>
      <c r="R574" s="254" t="str">
        <f>IF(ISBLANK(INDEX('Policy Characteristics'!L:L,MATCH($C574,'Policy Characteristics'!$C:$C,0))),"",INDEX('Policy Characteristics'!L:L,MATCH($C574,'Policy Characteristics'!$C:$C,0)))</f>
        <v/>
      </c>
    </row>
    <row r="575" spans="1:18" x14ac:dyDescent="0.3">
      <c r="A575" s="254" t="str">
        <f>IF(ISBLANK(INDEX('Policy Characteristics'!A:A,MATCH($C575,'Policy Characteristics'!$C:$C,0))),"",INDEX('Policy Characteristics'!A:A,MATCH($C575,'Policy Characteristics'!$C:$C,0)))</f>
        <v>Industry</v>
      </c>
      <c r="B575" s="262" t="str">
        <f>IF(ISBLANK(INDEX('Policy Characteristics'!B:B,MATCH($C575,'Policy Characteristics'!$C:$C,0))),"",INDEX('Policy Characteristics'!B:B,MATCH($C575,'Policy Characteristics'!$C:$C,0)))</f>
        <v>Buy In-Region Products</v>
      </c>
      <c r="C575" s="254" t="str">
        <f t="shared" si="31"/>
        <v>Fraction of Imported Industrial Outputs Shifted to In Region Suppliers</v>
      </c>
      <c r="D575" s="6" t="s">
        <v>3084</v>
      </c>
      <c r="E575" s="6"/>
      <c r="F575" t="s">
        <v>3087</v>
      </c>
      <c r="G575" s="46"/>
      <c r="H575" s="43">
        <v>1560</v>
      </c>
      <c r="I575" s="324" t="s">
        <v>43</v>
      </c>
      <c r="J575" s="255" t="str">
        <f>IF(ISBLANK(INDEX('Policy Characteristics'!D:D,MATCH($C575,'Policy Characteristics'!$C:$C,0))),"",INDEX('Policy Characteristics'!D:D,MATCH($C575,'Policy Characteristics'!$C:$C,0)))</f>
        <v>Buy In-Region Products</v>
      </c>
      <c r="K575" s="254" t="str">
        <f>IF(ISBLANK(INDEX('Policy Characteristics'!E:E,MATCH($C575,'Policy Characteristics'!$C:$C,0))),"",INDEX('Policy Characteristics'!E:E,MATCH($C575,'Policy Characteristics'!$C:$C,0)))</f>
        <v>indst buy in region outputs</v>
      </c>
      <c r="L575" s="261">
        <f>IF(ISBLANK(INDEX('Policy Characteristics'!F:F,MATCH($C575,'Policy Characteristics'!$C:$C,0))),"",INDEX('Policy Characteristics'!F:F,MATCH($C575,'Policy Characteristics'!$C:$C,0)))</f>
        <v>0</v>
      </c>
      <c r="M575" s="261">
        <f>IF(ISBLANK(INDEX('Policy Characteristics'!G:G,MATCH($C575,'Policy Characteristics'!$C:$C,0))),"",INDEX('Policy Characteristics'!G:G,MATCH($C575,'Policy Characteristics'!$C:$C,0)))</f>
        <v>0.5</v>
      </c>
      <c r="N575" s="261">
        <f>IF(ISBLANK(INDEX('Policy Characteristics'!H:H,MATCH($C575,'Policy Characteristics'!$C:$C,0))),"",INDEX('Policy Characteristics'!H:H,MATCH($C575,'Policy Characteristics'!$C:$C,0)))</f>
        <v>0.01</v>
      </c>
      <c r="O575" s="254" t="str">
        <f>IF(ISBLANK(INDEX('Policy Characteristics'!I:I,MATCH($C575,'Policy Characteristics'!$C:$C,0))),"",INDEX('Policy Characteristics'!I:I,MATCH($C575,'Policy Characteristics'!$C:$C,0)))</f>
        <v>% of imports shifted</v>
      </c>
      <c r="P575" s="254"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4" t="str">
        <f>IF(ISBLANK(INDEX('Policy Characteristics'!K:K,MATCH($C575,'Policy Characteristics'!$C:$C,0))),"",INDEX('Policy Characteristics'!K:K,MATCH($C575,'Policy Characteristics'!$C:$C,0)))</f>
        <v/>
      </c>
      <c r="R575" s="254" t="str">
        <f>IF(ISBLANK(INDEX('Policy Characteristics'!L:L,MATCH($C575,'Policy Characteristics'!$C:$C,0))),"",INDEX('Policy Characteristics'!L:L,MATCH($C575,'Policy Characteristics'!$C:$C,0)))</f>
        <v/>
      </c>
    </row>
    <row r="576" spans="1:18" x14ac:dyDescent="0.3">
      <c r="A576" s="254" t="str">
        <f>IF(ISBLANK(INDEX('Policy Characteristics'!A:A,MATCH($C576,'Policy Characteristics'!$C:$C,0))),"",INDEX('Policy Characteristics'!A:A,MATCH($C576,'Policy Characteristics'!$C:$C,0)))</f>
        <v>Industry</v>
      </c>
      <c r="B576" s="262" t="str">
        <f>IF(ISBLANK(INDEX('Policy Characteristics'!B:B,MATCH($C576,'Policy Characteristics'!$C:$C,0))),"",INDEX('Policy Characteristics'!B:B,MATCH($C576,'Policy Characteristics'!$C:$C,0)))</f>
        <v>Buy In-Region Products</v>
      </c>
      <c r="C576" s="254" t="str">
        <f t="shared" si="31"/>
        <v>Fraction of Imported Industrial Outputs Shifted to In Region Suppliers</v>
      </c>
      <c r="D576" s="6" t="s">
        <v>3085</v>
      </c>
      <c r="E576" s="6"/>
      <c r="F576" t="s">
        <v>3046</v>
      </c>
      <c r="G576" s="46"/>
      <c r="H576" s="43">
        <v>1561</v>
      </c>
      <c r="I576" s="324" t="s">
        <v>43</v>
      </c>
      <c r="J576" s="255" t="str">
        <f>IF(ISBLANK(INDEX('Policy Characteristics'!D:D,MATCH($C576,'Policy Characteristics'!$C:$C,0))),"",INDEX('Policy Characteristics'!D:D,MATCH($C576,'Policy Characteristics'!$C:$C,0)))</f>
        <v>Buy In-Region Products</v>
      </c>
      <c r="K576" s="254" t="str">
        <f>IF(ISBLANK(INDEX('Policy Characteristics'!E:E,MATCH($C576,'Policy Characteristics'!$C:$C,0))),"",INDEX('Policy Characteristics'!E:E,MATCH($C576,'Policy Characteristics'!$C:$C,0)))</f>
        <v>indst buy in region outputs</v>
      </c>
      <c r="L576" s="261">
        <f>IF(ISBLANK(INDEX('Policy Characteristics'!F:F,MATCH($C576,'Policy Characteristics'!$C:$C,0))),"",INDEX('Policy Characteristics'!F:F,MATCH($C576,'Policy Characteristics'!$C:$C,0)))</f>
        <v>0</v>
      </c>
      <c r="M576" s="261">
        <f>IF(ISBLANK(INDEX('Policy Characteristics'!G:G,MATCH($C576,'Policy Characteristics'!$C:$C,0))),"",INDEX('Policy Characteristics'!G:G,MATCH($C576,'Policy Characteristics'!$C:$C,0)))</f>
        <v>0.5</v>
      </c>
      <c r="N576" s="261">
        <f>IF(ISBLANK(INDEX('Policy Characteristics'!H:H,MATCH($C576,'Policy Characteristics'!$C:$C,0))),"",INDEX('Policy Characteristics'!H:H,MATCH($C576,'Policy Characteristics'!$C:$C,0)))</f>
        <v>0.01</v>
      </c>
      <c r="O576" s="254" t="str">
        <f>IF(ISBLANK(INDEX('Policy Characteristics'!I:I,MATCH($C576,'Policy Characteristics'!$C:$C,0))),"",INDEX('Policy Characteristics'!I:I,MATCH($C576,'Policy Characteristics'!$C:$C,0)))</f>
        <v>% of imports shifted</v>
      </c>
      <c r="P576" s="254"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4" t="str">
        <f>IF(ISBLANK(INDEX('Policy Characteristics'!K:K,MATCH($C576,'Policy Characteristics'!$C:$C,0))),"",INDEX('Policy Characteristics'!K:K,MATCH($C576,'Policy Characteristics'!$C:$C,0)))</f>
        <v/>
      </c>
      <c r="R576" s="254" t="str">
        <f>IF(ISBLANK(INDEX('Policy Characteristics'!L:L,MATCH($C576,'Policy Characteristics'!$C:$C,0))),"",INDEX('Policy Characteristics'!L:L,MATCH($C576,'Policy Characteristics'!$C:$C,0)))</f>
        <v/>
      </c>
    </row>
    <row r="577" spans="1:18" x14ac:dyDescent="0.3">
      <c r="A577" s="254" t="str">
        <f>IF(ISBLANK(INDEX('Policy Characteristics'!A:A,MATCH($C577,'Policy Characteristics'!$C:$C,0))),"",INDEX('Policy Characteristics'!A:A,MATCH($C577,'Policy Characteristics'!$C:$C,0)))</f>
        <v>Industry</v>
      </c>
      <c r="B577" s="262" t="str">
        <f>IF(ISBLANK(INDEX('Policy Characteristics'!B:B,MATCH($C577,'Policy Characteristics'!$C:$C,0))),"",INDEX('Policy Characteristics'!B:B,MATCH($C577,'Policy Characteristics'!$C:$C,0)))</f>
        <v>Carbon Capture and Sequestration</v>
      </c>
      <c r="C577" t="s">
        <v>3020</v>
      </c>
      <c r="D577" s="45" t="s">
        <v>3061</v>
      </c>
      <c r="E577" s="6" t="s">
        <v>3023</v>
      </c>
      <c r="F577" t="s">
        <v>3086</v>
      </c>
      <c r="G577" s="45" t="s">
        <v>3024</v>
      </c>
      <c r="H577" s="43">
        <v>908</v>
      </c>
      <c r="I577" s="325" t="s">
        <v>44</v>
      </c>
      <c r="J577" s="255" t="str">
        <f>IF(ISBLANK(INDEX('Policy Characteristics'!D:D,MATCH($C577,'Policy Characteristics'!$C:$C,0))),"",INDEX('Policy Characteristics'!D:D,MATCH($C577,'Policy Characteristics'!$C:$C,0)))</f>
        <v>Industry CCS</v>
      </c>
      <c r="K577" s="254" t="str">
        <f>IF(ISBLANK(INDEX('Policy Characteristics'!E:E,MATCH($C577,'Policy Characteristics'!$C:$C,0))),"",INDEX('Policy Characteristics'!E:E,MATCH($C577,'Policy Characteristics'!$C:$C,0)))</f>
        <v>indst CCS</v>
      </c>
      <c r="L577" s="261">
        <f>IF(ISBLANK(INDEX('Policy Characteristics'!F:F,MATCH($C577,'Policy Characteristics'!$C:$C,0))),"",INDEX('Policy Characteristics'!F:F,MATCH($C577,'Policy Characteristics'!$C:$C,0)))</f>
        <v>0</v>
      </c>
      <c r="M577" s="261">
        <f>IF(ISBLANK(INDEX('Policy Characteristics'!G:G,MATCH($C577,'Policy Characteristics'!$C:$C,0))),"",INDEX('Policy Characteristics'!G:G,MATCH($C577,'Policy Characteristics'!$C:$C,0)))</f>
        <v>1</v>
      </c>
      <c r="N577" s="261">
        <f>IF(ISBLANK(INDEX('Policy Characteristics'!H:H,MATCH($C577,'Policy Characteristics'!$C:$C,0))),"",INDEX('Policy Characteristics'!H:H,MATCH($C577,'Policy Characteristics'!$C:$C,0)))</f>
        <v>0.01</v>
      </c>
      <c r="O577" s="254" t="str">
        <f>IF(ISBLANK(INDEX('Policy Characteristics'!I:I,MATCH($C577,'Policy Characteristics'!$C:$C,0))),"",INDEX('Policy Characteristics'!I:I,MATCH($C577,'Policy Characteristics'!$C:$C,0)))</f>
        <v>% of CO2 captured</v>
      </c>
      <c r="P577" s="254" t="str">
        <f>IF(ISBLANK(INDEX('Policy Characteristics'!J:J,MATCH($C577,'Policy Characteristics'!$C:$C,0))),"",INDEX('Policy Characteristics'!J:J,MATCH($C577,'Policy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7" s="254" t="str">
        <f>IF(ISBLANK(INDEX('Policy Characteristics'!K:K,MATCH($C577,'Policy Characteristics'!$C:$C,0))),"",INDEX('Policy Characteristics'!K:K,MATCH($C577,'Policy Characteristics'!$C:$C,0)))</f>
        <v>ccs.html#ccs</v>
      </c>
      <c r="R577" s="254" t="str">
        <f>IF(ISBLANK(INDEX('Policy Characteristics'!L:L,MATCH($C577,'Policy Characteristics'!$C:$C,0))),"",INDEX('Policy Characteristics'!L:L,MATCH($C577,'Policy Characteristics'!$C:$C,0)))</f>
        <v>carbon-capture-and-sequestration.html</v>
      </c>
    </row>
    <row r="578" spans="1:18" x14ac:dyDescent="0.3">
      <c r="A578" s="254" t="str">
        <f>IF(ISBLANK(INDEX('Policy Characteristics'!A:A,MATCH($C578,'Policy Characteristics'!$C:$C,0))),"",INDEX('Policy Characteristics'!A:A,MATCH($C578,'Policy Characteristics'!$C:$C,0)))</f>
        <v>Industry</v>
      </c>
      <c r="B578" s="262" t="str">
        <f>IF(ISBLANK(INDEX('Policy Characteristics'!B:B,MATCH($C578,'Policy Characteristics'!$C:$C,0))),"",INDEX('Policy Characteristics'!B:B,MATCH($C578,'Policy Characteristics'!$C:$C,0)))</f>
        <v>Carbon Capture and Sequestration</v>
      </c>
      <c r="C578" s="254" t="str">
        <f t="shared" ref="C578:C593" si="32">C$577</f>
        <v>Industry Sector Fraction of Potential Additional CCS Achieved</v>
      </c>
      <c r="D578" s="45" t="s">
        <v>3061</v>
      </c>
      <c r="E578" s="6" t="s">
        <v>2532</v>
      </c>
      <c r="F578" t="s">
        <v>3086</v>
      </c>
      <c r="G578" s="45" t="s">
        <v>3025</v>
      </c>
      <c r="H578" s="43">
        <v>909</v>
      </c>
      <c r="I578" s="325" t="s">
        <v>44</v>
      </c>
      <c r="J578" s="255" t="str">
        <f>IF(ISBLANK(INDEX('Policy Characteristics'!D:D,MATCH($C578,'Policy Characteristics'!$C:$C,0))),"",INDEX('Policy Characteristics'!D:D,MATCH($C578,'Policy Characteristics'!$C:$C,0)))</f>
        <v>Industry CCS</v>
      </c>
      <c r="K578" s="254" t="str">
        <f>IF(ISBLANK(INDEX('Policy Characteristics'!E:E,MATCH($C578,'Policy Characteristics'!$C:$C,0))),"",INDEX('Policy Characteristics'!E:E,MATCH($C578,'Policy Characteristics'!$C:$C,0)))</f>
        <v>indst CCS</v>
      </c>
      <c r="L578" s="261">
        <f>IF(ISBLANK(INDEX('Policy Characteristics'!F:F,MATCH($C578,'Policy Characteristics'!$C:$C,0))),"",INDEX('Policy Characteristics'!F:F,MATCH($C578,'Policy Characteristics'!$C:$C,0)))</f>
        <v>0</v>
      </c>
      <c r="M578" s="261">
        <f>IF(ISBLANK(INDEX('Policy Characteristics'!G:G,MATCH($C578,'Policy Characteristics'!$C:$C,0))),"",INDEX('Policy Characteristics'!G:G,MATCH($C578,'Policy Characteristics'!$C:$C,0)))</f>
        <v>1</v>
      </c>
      <c r="N578" s="261">
        <f>IF(ISBLANK(INDEX('Policy Characteristics'!H:H,MATCH($C578,'Policy Characteristics'!$C:$C,0))),"",INDEX('Policy Characteristics'!H:H,MATCH($C578,'Policy Characteristics'!$C:$C,0)))</f>
        <v>0.01</v>
      </c>
      <c r="O578" s="254" t="str">
        <f>IF(ISBLANK(INDEX('Policy Characteristics'!I:I,MATCH($C578,'Policy Characteristics'!$C:$C,0))),"",INDEX('Policy Characteristics'!I:I,MATCH($C578,'Policy Characteristics'!$C:$C,0)))</f>
        <v>% of CO2 captured</v>
      </c>
      <c r="P578" s="254" t="str">
        <f>IF(ISBLANK(INDEX('Policy Characteristics'!J:J,MATCH($C578,'Policy Characteristics'!$C:$C,0))),"",INDEX('Policy Characteristics'!J:J,MATCH($C578,'Policy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8" s="254" t="str">
        <f>IF(ISBLANK(INDEX('Policy Characteristics'!K:K,MATCH($C578,'Policy Characteristics'!$C:$C,0))),"",INDEX('Policy Characteristics'!K:K,MATCH($C578,'Policy Characteristics'!$C:$C,0)))</f>
        <v>ccs.html#ccs</v>
      </c>
      <c r="R578" s="254" t="str">
        <f>IF(ISBLANK(INDEX('Policy Characteristics'!L:L,MATCH($C578,'Policy Characteristics'!$C:$C,0))),"",INDEX('Policy Characteristics'!L:L,MATCH($C578,'Policy Characteristics'!$C:$C,0)))</f>
        <v>carbon-capture-and-sequestration.html</v>
      </c>
    </row>
    <row r="579" spans="1:18" x14ac:dyDescent="0.3">
      <c r="A579" s="254" t="str">
        <f>IF(ISBLANK(INDEX('Policy Characteristics'!A:A,MATCH($C579,'Policy Characteristics'!$C:$C,0))),"",INDEX('Policy Characteristics'!A:A,MATCH($C579,'Policy Characteristics'!$C:$C,0)))</f>
        <v>Industry</v>
      </c>
      <c r="B579" s="262" t="str">
        <f>IF(ISBLANK(INDEX('Policy Characteristics'!B:B,MATCH($C579,'Policy Characteristics'!$C:$C,0))),"",INDEX('Policy Characteristics'!B:B,MATCH($C579,'Policy Characteristics'!$C:$C,0)))</f>
        <v>Carbon Capture and Sequestration</v>
      </c>
      <c r="C579" s="254" t="str">
        <f t="shared" si="32"/>
        <v>Industry Sector Fraction of Potential Additional CCS Achieved</v>
      </c>
      <c r="D579" s="6" t="s">
        <v>3062</v>
      </c>
      <c r="E579" s="6" t="s">
        <v>3023</v>
      </c>
      <c r="F579" t="s">
        <v>2759</v>
      </c>
      <c r="G579" s="45" t="s">
        <v>3024</v>
      </c>
      <c r="H579" s="43">
        <v>910</v>
      </c>
      <c r="I579" s="325" t="s">
        <v>44</v>
      </c>
      <c r="J579" s="255" t="str">
        <f>IF(ISBLANK(INDEX('Policy Characteristics'!D:D,MATCH($C579,'Policy Characteristics'!$C:$C,0))),"",INDEX('Policy Characteristics'!D:D,MATCH($C579,'Policy Characteristics'!$C:$C,0)))</f>
        <v>Industry CCS</v>
      </c>
      <c r="K579" s="254" t="str">
        <f>IF(ISBLANK(INDEX('Policy Characteristics'!E:E,MATCH($C579,'Policy Characteristics'!$C:$C,0))),"",INDEX('Policy Characteristics'!E:E,MATCH($C579,'Policy Characteristics'!$C:$C,0)))</f>
        <v>indst CCS</v>
      </c>
      <c r="L579" s="261">
        <f>IF(ISBLANK(INDEX('Policy Characteristics'!F:F,MATCH($C579,'Policy Characteristics'!$C:$C,0))),"",INDEX('Policy Characteristics'!F:F,MATCH($C579,'Policy Characteristics'!$C:$C,0)))</f>
        <v>0</v>
      </c>
      <c r="M579" s="261">
        <f>IF(ISBLANK(INDEX('Policy Characteristics'!G:G,MATCH($C579,'Policy Characteristics'!$C:$C,0))),"",INDEX('Policy Characteristics'!G:G,MATCH($C579,'Policy Characteristics'!$C:$C,0)))</f>
        <v>1</v>
      </c>
      <c r="N579" s="261">
        <f>IF(ISBLANK(INDEX('Policy Characteristics'!H:H,MATCH($C579,'Policy Characteristics'!$C:$C,0))),"",INDEX('Policy Characteristics'!H:H,MATCH($C579,'Policy Characteristics'!$C:$C,0)))</f>
        <v>0.01</v>
      </c>
      <c r="O579" s="254" t="str">
        <f>IF(ISBLANK(INDEX('Policy Characteristics'!I:I,MATCH($C579,'Policy Characteristics'!$C:$C,0))),"",INDEX('Policy Characteristics'!I:I,MATCH($C579,'Policy Characteristics'!$C:$C,0)))</f>
        <v>% of CO2 captured</v>
      </c>
      <c r="P579" s="254" t="str">
        <f>IF(ISBLANK(INDEX('Policy Characteristics'!J:J,MATCH($C579,'Policy Characteristics'!$C:$C,0))),"",INDEX('Policy Characteristics'!J:J,MATCH($C579,'Policy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79" s="254" t="str">
        <f>IF(ISBLANK(INDEX('Policy Characteristics'!K:K,MATCH($C579,'Policy Characteristics'!$C:$C,0))),"",INDEX('Policy Characteristics'!K:K,MATCH($C579,'Policy Characteristics'!$C:$C,0)))</f>
        <v>ccs.html#ccs</v>
      </c>
      <c r="R579" s="254" t="str">
        <f>IF(ISBLANK(INDEX('Policy Characteristics'!L:L,MATCH($C579,'Policy Characteristics'!$C:$C,0))),"",INDEX('Policy Characteristics'!L:L,MATCH($C579,'Policy Characteristics'!$C:$C,0)))</f>
        <v>carbon-capture-and-sequestration.html</v>
      </c>
    </row>
    <row r="580" spans="1:18" x14ac:dyDescent="0.3">
      <c r="A580" s="254" t="str">
        <f>IF(ISBLANK(INDEX('Policy Characteristics'!A:A,MATCH($C580,'Policy Characteristics'!$C:$C,0))),"",INDEX('Policy Characteristics'!A:A,MATCH($C580,'Policy Characteristics'!$C:$C,0)))</f>
        <v>Industry</v>
      </c>
      <c r="B580" s="262" t="str">
        <f>IF(ISBLANK(INDEX('Policy Characteristics'!B:B,MATCH($C580,'Policy Characteristics'!$C:$C,0))),"",INDEX('Policy Characteristics'!B:B,MATCH($C580,'Policy Characteristics'!$C:$C,0)))</f>
        <v>Carbon Capture and Sequestration</v>
      </c>
      <c r="C580" s="254" t="str">
        <f t="shared" si="32"/>
        <v>Industry Sector Fraction of Potential Additional CCS Achieved</v>
      </c>
      <c r="D580" s="6" t="s">
        <v>3062</v>
      </c>
      <c r="E580" s="6" t="s">
        <v>2532</v>
      </c>
      <c r="F580" t="s">
        <v>2759</v>
      </c>
      <c r="G580" s="45" t="s">
        <v>3025</v>
      </c>
      <c r="H580" s="43">
        <v>911</v>
      </c>
      <c r="I580" s="325" t="s">
        <v>44</v>
      </c>
      <c r="J580" s="255" t="str">
        <f>IF(ISBLANK(INDEX('Policy Characteristics'!D:D,MATCH($C580,'Policy Characteristics'!$C:$C,0))),"",INDEX('Policy Characteristics'!D:D,MATCH($C580,'Policy Characteristics'!$C:$C,0)))</f>
        <v>Industry CCS</v>
      </c>
      <c r="K580" s="254" t="str">
        <f>IF(ISBLANK(INDEX('Policy Characteristics'!E:E,MATCH($C580,'Policy Characteristics'!$C:$C,0))),"",INDEX('Policy Characteristics'!E:E,MATCH($C580,'Policy Characteristics'!$C:$C,0)))</f>
        <v>indst CCS</v>
      </c>
      <c r="L580" s="261">
        <f>IF(ISBLANK(INDEX('Policy Characteristics'!F:F,MATCH($C580,'Policy Characteristics'!$C:$C,0))),"",INDEX('Policy Characteristics'!F:F,MATCH($C580,'Policy Characteristics'!$C:$C,0)))</f>
        <v>0</v>
      </c>
      <c r="M580" s="261">
        <f>IF(ISBLANK(INDEX('Policy Characteristics'!G:G,MATCH($C580,'Policy Characteristics'!$C:$C,0))),"",INDEX('Policy Characteristics'!G:G,MATCH($C580,'Policy Characteristics'!$C:$C,0)))</f>
        <v>1</v>
      </c>
      <c r="N580" s="261">
        <f>IF(ISBLANK(INDEX('Policy Characteristics'!H:H,MATCH($C580,'Policy Characteristics'!$C:$C,0))),"",INDEX('Policy Characteristics'!H:H,MATCH($C580,'Policy Characteristics'!$C:$C,0)))</f>
        <v>0.01</v>
      </c>
      <c r="O580" s="254" t="str">
        <f>IF(ISBLANK(INDEX('Policy Characteristics'!I:I,MATCH($C580,'Policy Characteristics'!$C:$C,0))),"",INDEX('Policy Characteristics'!I:I,MATCH($C580,'Policy Characteristics'!$C:$C,0)))</f>
        <v>% of CO2 captured</v>
      </c>
      <c r="P580" s="254" t="str">
        <f>IF(ISBLANK(INDEX('Policy Characteristics'!J:J,MATCH($C580,'Policy Characteristics'!$C:$C,0))),"",INDEX('Policy Characteristics'!J:J,MATCH($C580,'Policy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0" s="254" t="str">
        <f>IF(ISBLANK(INDEX('Policy Characteristics'!K:K,MATCH($C580,'Policy Characteristics'!$C:$C,0))),"",INDEX('Policy Characteristics'!K:K,MATCH($C580,'Policy Characteristics'!$C:$C,0)))</f>
        <v>ccs.html#ccs</v>
      </c>
      <c r="R580" s="254" t="str">
        <f>IF(ISBLANK(INDEX('Policy Characteristics'!L:L,MATCH($C580,'Policy Characteristics'!$C:$C,0))),"",INDEX('Policy Characteristics'!L:L,MATCH($C580,'Policy Characteristics'!$C:$C,0)))</f>
        <v>carbon-capture-and-sequestration.html</v>
      </c>
    </row>
    <row r="581" spans="1:18" x14ac:dyDescent="0.3">
      <c r="A581" s="254" t="str">
        <f>IF(ISBLANK(INDEX('Policy Characteristics'!A:A,MATCH($C581,'Policy Characteristics'!$C:$C,0))),"",INDEX('Policy Characteristics'!A:A,MATCH($C581,'Policy Characteristics'!$C:$C,0)))</f>
        <v>Industry</v>
      </c>
      <c r="B581" s="262" t="str">
        <f>IF(ISBLANK(INDEX('Policy Characteristics'!B:B,MATCH($C581,'Policy Characteristics'!$C:$C,0))),"",INDEX('Policy Characteristics'!B:B,MATCH($C581,'Policy Characteristics'!$C:$C,0)))</f>
        <v>Carbon Capture and Sequestration</v>
      </c>
      <c r="C581" s="254" t="str">
        <f t="shared" si="32"/>
        <v>Industry Sector Fraction of Potential Additional CCS Achieved</v>
      </c>
      <c r="D581" s="6" t="s">
        <v>3063</v>
      </c>
      <c r="E581" s="6" t="s">
        <v>3023</v>
      </c>
      <c r="F581" t="s">
        <v>3027</v>
      </c>
      <c r="G581" s="45" t="s">
        <v>3024</v>
      </c>
      <c r="H581" s="43">
        <v>912</v>
      </c>
      <c r="I581" s="325" t="s">
        <v>44</v>
      </c>
      <c r="J581" s="255" t="str">
        <f>IF(ISBLANK(INDEX('Policy Characteristics'!D:D,MATCH($C581,'Policy Characteristics'!$C:$C,0))),"",INDEX('Policy Characteristics'!D:D,MATCH($C581,'Policy Characteristics'!$C:$C,0)))</f>
        <v>Industry CCS</v>
      </c>
      <c r="K581" s="254" t="str">
        <f>IF(ISBLANK(INDEX('Policy Characteristics'!E:E,MATCH($C581,'Policy Characteristics'!$C:$C,0))),"",INDEX('Policy Characteristics'!E:E,MATCH($C581,'Policy Characteristics'!$C:$C,0)))</f>
        <v>indst CCS</v>
      </c>
      <c r="L581" s="261">
        <f>IF(ISBLANK(INDEX('Policy Characteristics'!F:F,MATCH($C581,'Policy Characteristics'!$C:$C,0))),"",INDEX('Policy Characteristics'!F:F,MATCH($C581,'Policy Characteristics'!$C:$C,0)))</f>
        <v>0</v>
      </c>
      <c r="M581" s="261">
        <f>IF(ISBLANK(INDEX('Policy Characteristics'!G:G,MATCH($C581,'Policy Characteristics'!$C:$C,0))),"",INDEX('Policy Characteristics'!G:G,MATCH($C581,'Policy Characteristics'!$C:$C,0)))</f>
        <v>1</v>
      </c>
      <c r="N581" s="261">
        <f>IF(ISBLANK(INDEX('Policy Characteristics'!H:H,MATCH($C581,'Policy Characteristics'!$C:$C,0))),"",INDEX('Policy Characteristics'!H:H,MATCH($C581,'Policy Characteristics'!$C:$C,0)))</f>
        <v>0.01</v>
      </c>
      <c r="O581" s="254" t="str">
        <f>IF(ISBLANK(INDEX('Policy Characteristics'!I:I,MATCH($C581,'Policy Characteristics'!$C:$C,0))),"",INDEX('Policy Characteristics'!I:I,MATCH($C581,'Policy Characteristics'!$C:$C,0)))</f>
        <v>% of CO2 captured</v>
      </c>
      <c r="P581" s="254" t="str">
        <f>IF(ISBLANK(INDEX('Policy Characteristics'!J:J,MATCH($C581,'Policy Characteristics'!$C:$C,0))),"",INDEX('Policy Characteristics'!J:J,MATCH($C581,'Policy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1" s="254" t="str">
        <f>IF(ISBLANK(INDEX('Policy Characteristics'!K:K,MATCH($C581,'Policy Characteristics'!$C:$C,0))),"",INDEX('Policy Characteristics'!K:K,MATCH($C581,'Policy Characteristics'!$C:$C,0)))</f>
        <v>ccs.html#ccs</v>
      </c>
      <c r="R581" s="254" t="str">
        <f>IF(ISBLANK(INDEX('Policy Characteristics'!L:L,MATCH($C581,'Policy Characteristics'!$C:$C,0))),"",INDEX('Policy Characteristics'!L:L,MATCH($C581,'Policy Characteristics'!$C:$C,0)))</f>
        <v>carbon-capture-and-sequestration.html</v>
      </c>
    </row>
    <row r="582" spans="1:18" x14ac:dyDescent="0.3">
      <c r="A582" s="254" t="str">
        <f>IF(ISBLANK(INDEX('Policy Characteristics'!A:A,MATCH($C582,'Policy Characteristics'!$C:$C,0))),"",INDEX('Policy Characteristics'!A:A,MATCH($C582,'Policy Characteristics'!$C:$C,0)))</f>
        <v>Industry</v>
      </c>
      <c r="B582" s="262" t="str">
        <f>IF(ISBLANK(INDEX('Policy Characteristics'!B:B,MATCH($C582,'Policy Characteristics'!$C:$C,0))),"",INDEX('Policy Characteristics'!B:B,MATCH($C582,'Policy Characteristics'!$C:$C,0)))</f>
        <v>Carbon Capture and Sequestration</v>
      </c>
      <c r="C582" s="254" t="str">
        <f t="shared" si="32"/>
        <v>Industry Sector Fraction of Potential Additional CCS Achieved</v>
      </c>
      <c r="D582" s="6" t="s">
        <v>3063</v>
      </c>
      <c r="E582" s="6" t="s">
        <v>2532</v>
      </c>
      <c r="F582" t="s">
        <v>3027</v>
      </c>
      <c r="G582" s="45" t="s">
        <v>3025</v>
      </c>
      <c r="H582" s="43">
        <v>913</v>
      </c>
      <c r="I582" s="325" t="s">
        <v>44</v>
      </c>
      <c r="J582" s="255" t="str">
        <f>IF(ISBLANK(INDEX('Policy Characteristics'!D:D,MATCH($C582,'Policy Characteristics'!$C:$C,0))),"",INDEX('Policy Characteristics'!D:D,MATCH($C582,'Policy Characteristics'!$C:$C,0)))</f>
        <v>Industry CCS</v>
      </c>
      <c r="K582" s="254" t="str">
        <f>IF(ISBLANK(INDEX('Policy Characteristics'!E:E,MATCH($C582,'Policy Characteristics'!$C:$C,0))),"",INDEX('Policy Characteristics'!E:E,MATCH($C582,'Policy Characteristics'!$C:$C,0)))</f>
        <v>indst CCS</v>
      </c>
      <c r="L582" s="261">
        <f>IF(ISBLANK(INDEX('Policy Characteristics'!F:F,MATCH($C582,'Policy Characteristics'!$C:$C,0))),"",INDEX('Policy Characteristics'!F:F,MATCH($C582,'Policy Characteristics'!$C:$C,0)))</f>
        <v>0</v>
      </c>
      <c r="M582" s="261">
        <f>IF(ISBLANK(INDEX('Policy Characteristics'!G:G,MATCH($C582,'Policy Characteristics'!$C:$C,0))),"",INDEX('Policy Characteristics'!G:G,MATCH($C582,'Policy Characteristics'!$C:$C,0)))</f>
        <v>1</v>
      </c>
      <c r="N582" s="261">
        <f>IF(ISBLANK(INDEX('Policy Characteristics'!H:H,MATCH($C582,'Policy Characteristics'!$C:$C,0))),"",INDEX('Policy Characteristics'!H:H,MATCH($C582,'Policy Characteristics'!$C:$C,0)))</f>
        <v>0.01</v>
      </c>
      <c r="O582" s="254" t="str">
        <f>IF(ISBLANK(INDEX('Policy Characteristics'!I:I,MATCH($C582,'Policy Characteristics'!$C:$C,0))),"",INDEX('Policy Characteristics'!I:I,MATCH($C582,'Policy Characteristics'!$C:$C,0)))</f>
        <v>% of CO2 captured</v>
      </c>
      <c r="P582" s="254"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4" t="str">
        <f>IF(ISBLANK(INDEX('Policy Characteristics'!K:K,MATCH($C582,'Policy Characteristics'!$C:$C,0))),"",INDEX('Policy Characteristics'!K:K,MATCH($C582,'Policy Characteristics'!$C:$C,0)))</f>
        <v>ccs.html#ccs</v>
      </c>
      <c r="R582" s="254" t="str">
        <f>IF(ISBLANK(INDEX('Policy Characteristics'!L:L,MATCH($C582,'Policy Characteristics'!$C:$C,0))),"",INDEX('Policy Characteristics'!L:L,MATCH($C582,'Policy Characteristics'!$C:$C,0)))</f>
        <v>carbon-capture-and-sequestration.html</v>
      </c>
    </row>
    <row r="583" spans="1:18" x14ac:dyDescent="0.3">
      <c r="A583" s="254" t="str">
        <f>IF(ISBLANK(INDEX('Policy Characteristics'!A:A,MATCH($C583,'Policy Characteristics'!$C:$C,0))),"",INDEX('Policy Characteristics'!A:A,MATCH($C583,'Policy Characteristics'!$C:$C,0)))</f>
        <v>Industry</v>
      </c>
      <c r="B583" s="262" t="str">
        <f>IF(ISBLANK(INDEX('Policy Characteristics'!B:B,MATCH($C583,'Policy Characteristics'!$C:$C,0))),"",INDEX('Policy Characteristics'!B:B,MATCH($C583,'Policy Characteristics'!$C:$C,0)))</f>
        <v>Carbon Capture and Sequestration</v>
      </c>
      <c r="C583" s="254" t="str">
        <f t="shared" si="32"/>
        <v>Industry Sector Fraction of Potential Additional CCS Achieved</v>
      </c>
      <c r="D583" s="6" t="s">
        <v>3064</v>
      </c>
      <c r="E583" s="6" t="s">
        <v>3023</v>
      </c>
      <c r="F583" t="s">
        <v>3028</v>
      </c>
      <c r="G583" s="45" t="s">
        <v>3024</v>
      </c>
      <c r="H583" s="43">
        <v>914</v>
      </c>
      <c r="I583" s="325" t="s">
        <v>44</v>
      </c>
      <c r="J583" s="255" t="str">
        <f>IF(ISBLANK(INDEX('Policy Characteristics'!D:D,MATCH($C583,'Policy Characteristics'!$C:$C,0))),"",INDEX('Policy Characteristics'!D:D,MATCH($C583,'Policy Characteristics'!$C:$C,0)))</f>
        <v>Industry CCS</v>
      </c>
      <c r="K583" s="254" t="str">
        <f>IF(ISBLANK(INDEX('Policy Characteristics'!E:E,MATCH($C583,'Policy Characteristics'!$C:$C,0))),"",INDEX('Policy Characteristics'!E:E,MATCH($C583,'Policy Characteristics'!$C:$C,0)))</f>
        <v>indst CCS</v>
      </c>
      <c r="L583" s="261">
        <f>IF(ISBLANK(INDEX('Policy Characteristics'!F:F,MATCH($C583,'Policy Characteristics'!$C:$C,0))),"",INDEX('Policy Characteristics'!F:F,MATCH($C583,'Policy Characteristics'!$C:$C,0)))</f>
        <v>0</v>
      </c>
      <c r="M583" s="261">
        <f>IF(ISBLANK(INDEX('Policy Characteristics'!G:G,MATCH($C583,'Policy Characteristics'!$C:$C,0))),"",INDEX('Policy Characteristics'!G:G,MATCH($C583,'Policy Characteristics'!$C:$C,0)))</f>
        <v>1</v>
      </c>
      <c r="N583" s="261">
        <f>IF(ISBLANK(INDEX('Policy Characteristics'!H:H,MATCH($C583,'Policy Characteristics'!$C:$C,0))),"",INDEX('Policy Characteristics'!H:H,MATCH($C583,'Policy Characteristics'!$C:$C,0)))</f>
        <v>0.01</v>
      </c>
      <c r="O583" s="254" t="str">
        <f>IF(ISBLANK(INDEX('Policy Characteristics'!I:I,MATCH($C583,'Policy Characteristics'!$C:$C,0))),"",INDEX('Policy Characteristics'!I:I,MATCH($C583,'Policy Characteristics'!$C:$C,0)))</f>
        <v>% of CO2 captured</v>
      </c>
      <c r="P583" s="254"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4" t="str">
        <f>IF(ISBLANK(INDEX('Policy Characteristics'!K:K,MATCH($C583,'Policy Characteristics'!$C:$C,0))),"",INDEX('Policy Characteristics'!K:K,MATCH($C583,'Policy Characteristics'!$C:$C,0)))</f>
        <v>ccs.html#ccs</v>
      </c>
      <c r="R583" s="254" t="str">
        <f>IF(ISBLANK(INDEX('Policy Characteristics'!L:L,MATCH($C583,'Policy Characteristics'!$C:$C,0))),"",INDEX('Policy Characteristics'!L:L,MATCH($C583,'Policy Characteristics'!$C:$C,0)))</f>
        <v>carbon-capture-and-sequestration.html</v>
      </c>
    </row>
    <row r="584" spans="1:18" x14ac:dyDescent="0.3">
      <c r="A584" s="254" t="str">
        <f>IF(ISBLANK(INDEX('Policy Characteristics'!A:A,MATCH($C584,'Policy Characteristics'!$C:$C,0))),"",INDEX('Policy Characteristics'!A:A,MATCH($C584,'Policy Characteristics'!$C:$C,0)))</f>
        <v>Industry</v>
      </c>
      <c r="B584" s="262" t="str">
        <f>IF(ISBLANK(INDEX('Policy Characteristics'!B:B,MATCH($C584,'Policy Characteristics'!$C:$C,0))),"",INDEX('Policy Characteristics'!B:B,MATCH($C584,'Policy Characteristics'!$C:$C,0)))</f>
        <v>Carbon Capture and Sequestration</v>
      </c>
      <c r="C584" s="254" t="str">
        <f t="shared" si="32"/>
        <v>Industry Sector Fraction of Potential Additional CCS Achieved</v>
      </c>
      <c r="D584" s="6" t="s">
        <v>3064</v>
      </c>
      <c r="E584" s="6" t="s">
        <v>2532</v>
      </c>
      <c r="F584" t="s">
        <v>3028</v>
      </c>
      <c r="G584" s="45" t="s">
        <v>3025</v>
      </c>
      <c r="H584" s="43">
        <v>915</v>
      </c>
      <c r="I584" s="325" t="s">
        <v>44</v>
      </c>
      <c r="J584" s="255" t="str">
        <f>IF(ISBLANK(INDEX('Policy Characteristics'!D:D,MATCH($C584,'Policy Characteristics'!$C:$C,0))),"",INDEX('Policy Characteristics'!D:D,MATCH($C584,'Policy Characteristics'!$C:$C,0)))</f>
        <v>Industry CCS</v>
      </c>
      <c r="K584" s="254" t="str">
        <f>IF(ISBLANK(INDEX('Policy Characteristics'!E:E,MATCH($C584,'Policy Characteristics'!$C:$C,0))),"",INDEX('Policy Characteristics'!E:E,MATCH($C584,'Policy Characteristics'!$C:$C,0)))</f>
        <v>indst CCS</v>
      </c>
      <c r="L584" s="261">
        <f>IF(ISBLANK(INDEX('Policy Characteristics'!F:F,MATCH($C584,'Policy Characteristics'!$C:$C,0))),"",INDEX('Policy Characteristics'!F:F,MATCH($C584,'Policy Characteristics'!$C:$C,0)))</f>
        <v>0</v>
      </c>
      <c r="M584" s="261">
        <f>IF(ISBLANK(INDEX('Policy Characteristics'!G:G,MATCH($C584,'Policy Characteristics'!$C:$C,0))),"",INDEX('Policy Characteristics'!G:G,MATCH($C584,'Policy Characteristics'!$C:$C,0)))</f>
        <v>1</v>
      </c>
      <c r="N584" s="261">
        <f>IF(ISBLANK(INDEX('Policy Characteristics'!H:H,MATCH($C584,'Policy Characteristics'!$C:$C,0))),"",INDEX('Policy Characteristics'!H:H,MATCH($C584,'Policy Characteristics'!$C:$C,0)))</f>
        <v>0.01</v>
      </c>
      <c r="O584" s="254" t="str">
        <f>IF(ISBLANK(INDEX('Policy Characteristics'!I:I,MATCH($C584,'Policy Characteristics'!$C:$C,0))),"",INDEX('Policy Characteristics'!I:I,MATCH($C584,'Policy Characteristics'!$C:$C,0)))</f>
        <v>% of CO2 captured</v>
      </c>
      <c r="P584" s="254"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4" t="str">
        <f>IF(ISBLANK(INDEX('Policy Characteristics'!K:K,MATCH($C584,'Policy Characteristics'!$C:$C,0))),"",INDEX('Policy Characteristics'!K:K,MATCH($C584,'Policy Characteristics'!$C:$C,0)))</f>
        <v>ccs.html#ccs</v>
      </c>
      <c r="R584" s="254" t="str">
        <f>IF(ISBLANK(INDEX('Policy Characteristics'!L:L,MATCH($C584,'Policy Characteristics'!$C:$C,0))),"",INDEX('Policy Characteristics'!L:L,MATCH($C584,'Policy Characteristics'!$C:$C,0)))</f>
        <v>carbon-capture-and-sequestration.html</v>
      </c>
    </row>
    <row r="585" spans="1:18" x14ac:dyDescent="0.3">
      <c r="A585" s="254" t="str">
        <f>IF(ISBLANK(INDEX('Policy Characteristics'!A:A,MATCH($C585,'Policy Characteristics'!$C:$C,0))),"",INDEX('Policy Characteristics'!A:A,MATCH($C585,'Policy Characteristics'!$C:$C,0)))</f>
        <v>Industry</v>
      </c>
      <c r="B585" s="262" t="str">
        <f>IF(ISBLANK(INDEX('Policy Characteristics'!B:B,MATCH($C585,'Policy Characteristics'!$C:$C,0))),"",INDEX('Policy Characteristics'!B:B,MATCH($C585,'Policy Characteristics'!$C:$C,0)))</f>
        <v>Carbon Capture and Sequestration</v>
      </c>
      <c r="C585" s="254" t="str">
        <f t="shared" si="32"/>
        <v>Industry Sector Fraction of Potential Additional CCS Achieved</v>
      </c>
      <c r="D585" s="6" t="s">
        <v>3065</v>
      </c>
      <c r="E585" s="6" t="s">
        <v>3023</v>
      </c>
      <c r="F585" t="s">
        <v>3029</v>
      </c>
      <c r="G585" s="45" t="s">
        <v>3024</v>
      </c>
      <c r="H585" s="43">
        <v>916</v>
      </c>
      <c r="I585" s="324" t="s">
        <v>43</v>
      </c>
      <c r="J585" s="255" t="str">
        <f>IF(ISBLANK(INDEX('Policy Characteristics'!D:D,MATCH($C585,'Policy Characteristics'!$C:$C,0))),"",INDEX('Policy Characteristics'!D:D,MATCH($C585,'Policy Characteristics'!$C:$C,0)))</f>
        <v>Industry CCS</v>
      </c>
      <c r="K585" s="254" t="str">
        <f>IF(ISBLANK(INDEX('Policy Characteristics'!E:E,MATCH($C585,'Policy Characteristics'!$C:$C,0))),"",INDEX('Policy Characteristics'!E:E,MATCH($C585,'Policy Characteristics'!$C:$C,0)))</f>
        <v>indst CCS</v>
      </c>
      <c r="L585" s="261">
        <f>IF(ISBLANK(INDEX('Policy Characteristics'!F:F,MATCH($C585,'Policy Characteristics'!$C:$C,0))),"",INDEX('Policy Characteristics'!F:F,MATCH($C585,'Policy Characteristics'!$C:$C,0)))</f>
        <v>0</v>
      </c>
      <c r="M585" s="261">
        <f>IF(ISBLANK(INDEX('Policy Characteristics'!G:G,MATCH($C585,'Policy Characteristics'!$C:$C,0))),"",INDEX('Policy Characteristics'!G:G,MATCH($C585,'Policy Characteristics'!$C:$C,0)))</f>
        <v>1</v>
      </c>
      <c r="N585" s="261">
        <f>IF(ISBLANK(INDEX('Policy Characteristics'!H:H,MATCH($C585,'Policy Characteristics'!$C:$C,0))),"",INDEX('Policy Characteristics'!H:H,MATCH($C585,'Policy Characteristics'!$C:$C,0)))</f>
        <v>0.01</v>
      </c>
      <c r="O585" s="254" t="str">
        <f>IF(ISBLANK(INDEX('Policy Characteristics'!I:I,MATCH($C585,'Policy Characteristics'!$C:$C,0))),"",INDEX('Policy Characteristics'!I:I,MATCH($C585,'Policy Characteristics'!$C:$C,0)))</f>
        <v>% of CO2 captured</v>
      </c>
      <c r="P585" s="254"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4" t="str">
        <f>IF(ISBLANK(INDEX('Policy Characteristics'!K:K,MATCH($C585,'Policy Characteristics'!$C:$C,0))),"",INDEX('Policy Characteristics'!K:K,MATCH($C585,'Policy Characteristics'!$C:$C,0)))</f>
        <v>ccs.html#ccs</v>
      </c>
      <c r="R585" s="254" t="str">
        <f>IF(ISBLANK(INDEX('Policy Characteristics'!L:L,MATCH($C585,'Policy Characteristics'!$C:$C,0))),"",INDEX('Policy Characteristics'!L:L,MATCH($C585,'Policy Characteristics'!$C:$C,0)))</f>
        <v>carbon-capture-and-sequestration.html</v>
      </c>
    </row>
    <row r="586" spans="1:18" x14ac:dyDescent="0.3">
      <c r="A586" s="254" t="str">
        <f>IF(ISBLANK(INDEX('Policy Characteristics'!A:A,MATCH($C586,'Policy Characteristics'!$C:$C,0))),"",INDEX('Policy Characteristics'!A:A,MATCH($C586,'Policy Characteristics'!$C:$C,0)))</f>
        <v>Industry</v>
      </c>
      <c r="B586" s="262" t="str">
        <f>IF(ISBLANK(INDEX('Policy Characteristics'!B:B,MATCH($C586,'Policy Characteristics'!$C:$C,0))),"",INDEX('Policy Characteristics'!B:B,MATCH($C586,'Policy Characteristics'!$C:$C,0)))</f>
        <v>Carbon Capture and Sequestration</v>
      </c>
      <c r="C586" s="254" t="str">
        <f t="shared" si="32"/>
        <v>Industry Sector Fraction of Potential Additional CCS Achieved</v>
      </c>
      <c r="D586" s="6" t="s">
        <v>3065</v>
      </c>
      <c r="E586" s="6" t="s">
        <v>2532</v>
      </c>
      <c r="F586" t="s">
        <v>3029</v>
      </c>
      <c r="G586" s="45" t="s">
        <v>3025</v>
      </c>
      <c r="H586" s="43">
        <v>917</v>
      </c>
      <c r="I586" s="325" t="s">
        <v>44</v>
      </c>
      <c r="J586" s="255" t="str">
        <f>IF(ISBLANK(INDEX('Policy Characteristics'!D:D,MATCH($C586,'Policy Characteristics'!$C:$C,0))),"",INDEX('Policy Characteristics'!D:D,MATCH($C586,'Policy Characteristics'!$C:$C,0)))</f>
        <v>Industry CCS</v>
      </c>
      <c r="K586" s="254" t="str">
        <f>IF(ISBLANK(INDEX('Policy Characteristics'!E:E,MATCH($C586,'Policy Characteristics'!$C:$C,0))),"",INDEX('Policy Characteristics'!E:E,MATCH($C586,'Policy Characteristics'!$C:$C,0)))</f>
        <v>indst CCS</v>
      </c>
      <c r="L586" s="261">
        <f>IF(ISBLANK(INDEX('Policy Characteristics'!F:F,MATCH($C586,'Policy Characteristics'!$C:$C,0))),"",INDEX('Policy Characteristics'!F:F,MATCH($C586,'Policy Characteristics'!$C:$C,0)))</f>
        <v>0</v>
      </c>
      <c r="M586" s="261">
        <f>IF(ISBLANK(INDEX('Policy Characteristics'!G:G,MATCH($C586,'Policy Characteristics'!$C:$C,0))),"",INDEX('Policy Characteristics'!G:G,MATCH($C586,'Policy Characteristics'!$C:$C,0)))</f>
        <v>1</v>
      </c>
      <c r="N586" s="261">
        <f>IF(ISBLANK(INDEX('Policy Characteristics'!H:H,MATCH($C586,'Policy Characteristics'!$C:$C,0))),"",INDEX('Policy Characteristics'!H:H,MATCH($C586,'Policy Characteristics'!$C:$C,0)))</f>
        <v>0.01</v>
      </c>
      <c r="O586" s="254" t="str">
        <f>IF(ISBLANK(INDEX('Policy Characteristics'!I:I,MATCH($C586,'Policy Characteristics'!$C:$C,0))),"",INDEX('Policy Characteristics'!I:I,MATCH($C586,'Policy Characteristics'!$C:$C,0)))</f>
        <v>% of CO2 captured</v>
      </c>
      <c r="P586" s="254"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4" t="str">
        <f>IF(ISBLANK(INDEX('Policy Characteristics'!K:K,MATCH($C586,'Policy Characteristics'!$C:$C,0))),"",INDEX('Policy Characteristics'!K:K,MATCH($C586,'Policy Characteristics'!$C:$C,0)))</f>
        <v>ccs.html#ccs</v>
      </c>
      <c r="R586" s="254" t="str">
        <f>IF(ISBLANK(INDEX('Policy Characteristics'!L:L,MATCH($C586,'Policy Characteristics'!$C:$C,0))),"",INDEX('Policy Characteristics'!L:L,MATCH($C586,'Policy Characteristics'!$C:$C,0)))</f>
        <v>carbon-capture-and-sequestration.html</v>
      </c>
    </row>
    <row r="587" spans="1:18" x14ac:dyDescent="0.3">
      <c r="A587" s="254" t="str">
        <f>IF(ISBLANK(INDEX('Policy Characteristics'!A:A,MATCH($C587,'Policy Characteristics'!$C:$C,0))),"",INDEX('Policy Characteristics'!A:A,MATCH($C587,'Policy Characteristics'!$C:$C,0)))</f>
        <v>Industry</v>
      </c>
      <c r="B587" s="262" t="str">
        <f>IF(ISBLANK(INDEX('Policy Characteristics'!B:B,MATCH($C587,'Policy Characteristics'!$C:$C,0))),"",INDEX('Policy Characteristics'!B:B,MATCH($C587,'Policy Characteristics'!$C:$C,0)))</f>
        <v>Carbon Capture and Sequestration</v>
      </c>
      <c r="C587" s="254" t="str">
        <f t="shared" si="32"/>
        <v>Industry Sector Fraction of Potential Additional CCS Achieved</v>
      </c>
      <c r="D587" s="6" t="s">
        <v>3066</v>
      </c>
      <c r="E587" s="6" t="s">
        <v>3023</v>
      </c>
      <c r="F587" t="s">
        <v>3030</v>
      </c>
      <c r="G587" s="45" t="s">
        <v>3024</v>
      </c>
      <c r="H587" s="43">
        <v>918</v>
      </c>
      <c r="I587" s="324" t="s">
        <v>43</v>
      </c>
      <c r="J587" s="255" t="str">
        <f>IF(ISBLANK(INDEX('Policy Characteristics'!D:D,MATCH($C587,'Policy Characteristics'!$C:$C,0))),"",INDEX('Policy Characteristics'!D:D,MATCH($C587,'Policy Characteristics'!$C:$C,0)))</f>
        <v>Industry CCS</v>
      </c>
      <c r="K587" s="254" t="str">
        <f>IF(ISBLANK(INDEX('Policy Characteristics'!E:E,MATCH($C587,'Policy Characteristics'!$C:$C,0))),"",INDEX('Policy Characteristics'!E:E,MATCH($C587,'Policy Characteristics'!$C:$C,0)))</f>
        <v>indst CCS</v>
      </c>
      <c r="L587" s="261">
        <f>IF(ISBLANK(INDEX('Policy Characteristics'!F:F,MATCH($C587,'Policy Characteristics'!$C:$C,0))),"",INDEX('Policy Characteristics'!F:F,MATCH($C587,'Policy Characteristics'!$C:$C,0)))</f>
        <v>0</v>
      </c>
      <c r="M587" s="261">
        <f>IF(ISBLANK(INDEX('Policy Characteristics'!G:G,MATCH($C587,'Policy Characteristics'!$C:$C,0))),"",INDEX('Policy Characteristics'!G:G,MATCH($C587,'Policy Characteristics'!$C:$C,0)))</f>
        <v>1</v>
      </c>
      <c r="N587" s="261">
        <f>IF(ISBLANK(INDEX('Policy Characteristics'!H:H,MATCH($C587,'Policy Characteristics'!$C:$C,0))),"",INDEX('Policy Characteristics'!H:H,MATCH($C587,'Policy Characteristics'!$C:$C,0)))</f>
        <v>0.01</v>
      </c>
      <c r="O587" s="254" t="str">
        <f>IF(ISBLANK(INDEX('Policy Characteristics'!I:I,MATCH($C587,'Policy Characteristics'!$C:$C,0))),"",INDEX('Policy Characteristics'!I:I,MATCH($C587,'Policy Characteristics'!$C:$C,0)))</f>
        <v>% of CO2 captured</v>
      </c>
      <c r="P587" s="254"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4" t="str">
        <f>IF(ISBLANK(INDEX('Policy Characteristics'!K:K,MATCH($C587,'Policy Characteristics'!$C:$C,0))),"",INDEX('Policy Characteristics'!K:K,MATCH($C587,'Policy Characteristics'!$C:$C,0)))</f>
        <v>ccs.html#ccs</v>
      </c>
      <c r="R587" s="254" t="str">
        <f>IF(ISBLANK(INDEX('Policy Characteristics'!L:L,MATCH($C587,'Policy Characteristics'!$C:$C,0))),"",INDEX('Policy Characteristics'!L:L,MATCH($C587,'Policy Characteristics'!$C:$C,0)))</f>
        <v>carbon-capture-and-sequestration.html</v>
      </c>
    </row>
    <row r="588" spans="1:18" x14ac:dyDescent="0.3">
      <c r="A588" s="254" t="str">
        <f>IF(ISBLANK(INDEX('Policy Characteristics'!A:A,MATCH($C588,'Policy Characteristics'!$C:$C,0))),"",INDEX('Policy Characteristics'!A:A,MATCH($C588,'Policy Characteristics'!$C:$C,0)))</f>
        <v>Industry</v>
      </c>
      <c r="B588" s="262" t="str">
        <f>IF(ISBLANK(INDEX('Policy Characteristics'!B:B,MATCH($C588,'Policy Characteristics'!$C:$C,0))),"",INDEX('Policy Characteristics'!B:B,MATCH($C588,'Policy Characteristics'!$C:$C,0)))</f>
        <v>Carbon Capture and Sequestration</v>
      </c>
      <c r="C588" s="254" t="str">
        <f t="shared" si="32"/>
        <v>Industry Sector Fraction of Potential Additional CCS Achieved</v>
      </c>
      <c r="D588" s="6" t="s">
        <v>3066</v>
      </c>
      <c r="E588" s="6" t="s">
        <v>2532</v>
      </c>
      <c r="F588" t="s">
        <v>3030</v>
      </c>
      <c r="G588" s="45" t="s">
        <v>3025</v>
      </c>
      <c r="H588" s="43">
        <v>919</v>
      </c>
      <c r="I588" s="325" t="s">
        <v>44</v>
      </c>
      <c r="J588" s="255" t="str">
        <f>IF(ISBLANK(INDEX('Policy Characteristics'!D:D,MATCH($C588,'Policy Characteristics'!$C:$C,0))),"",INDEX('Policy Characteristics'!D:D,MATCH($C588,'Policy Characteristics'!$C:$C,0)))</f>
        <v>Industry CCS</v>
      </c>
      <c r="K588" s="254" t="str">
        <f>IF(ISBLANK(INDEX('Policy Characteristics'!E:E,MATCH($C588,'Policy Characteristics'!$C:$C,0))),"",INDEX('Policy Characteristics'!E:E,MATCH($C588,'Policy Characteristics'!$C:$C,0)))</f>
        <v>indst CCS</v>
      </c>
      <c r="L588" s="261">
        <f>IF(ISBLANK(INDEX('Policy Characteristics'!F:F,MATCH($C588,'Policy Characteristics'!$C:$C,0))),"",INDEX('Policy Characteristics'!F:F,MATCH($C588,'Policy Characteristics'!$C:$C,0)))</f>
        <v>0</v>
      </c>
      <c r="M588" s="261">
        <f>IF(ISBLANK(INDEX('Policy Characteristics'!G:G,MATCH($C588,'Policy Characteristics'!$C:$C,0))),"",INDEX('Policy Characteristics'!G:G,MATCH($C588,'Policy Characteristics'!$C:$C,0)))</f>
        <v>1</v>
      </c>
      <c r="N588" s="261">
        <f>IF(ISBLANK(INDEX('Policy Characteristics'!H:H,MATCH($C588,'Policy Characteristics'!$C:$C,0))),"",INDEX('Policy Characteristics'!H:H,MATCH($C588,'Policy Characteristics'!$C:$C,0)))</f>
        <v>0.01</v>
      </c>
      <c r="O588" s="254" t="str">
        <f>IF(ISBLANK(INDEX('Policy Characteristics'!I:I,MATCH($C588,'Policy Characteristics'!$C:$C,0))),"",INDEX('Policy Characteristics'!I:I,MATCH($C588,'Policy Characteristics'!$C:$C,0)))</f>
        <v>% of CO2 captured</v>
      </c>
      <c r="P588" s="254"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4" t="str">
        <f>IF(ISBLANK(INDEX('Policy Characteristics'!K:K,MATCH($C588,'Policy Characteristics'!$C:$C,0))),"",INDEX('Policy Characteristics'!K:K,MATCH($C588,'Policy Characteristics'!$C:$C,0)))</f>
        <v>ccs.html#ccs</v>
      </c>
      <c r="R588" s="254" t="str">
        <f>IF(ISBLANK(INDEX('Policy Characteristics'!L:L,MATCH($C588,'Policy Characteristics'!$C:$C,0))),"",INDEX('Policy Characteristics'!L:L,MATCH($C588,'Policy Characteristics'!$C:$C,0)))</f>
        <v>carbon-capture-and-sequestration.html</v>
      </c>
    </row>
    <row r="589" spans="1:18" x14ac:dyDescent="0.3">
      <c r="A589" s="254" t="str">
        <f>IF(ISBLANK(INDEX('Policy Characteristics'!A:A,MATCH($C589,'Policy Characteristics'!$C:$C,0))),"",INDEX('Policy Characteristics'!A:A,MATCH($C589,'Policy Characteristics'!$C:$C,0)))</f>
        <v>Industry</v>
      </c>
      <c r="B589" s="262" t="str">
        <f>IF(ISBLANK(INDEX('Policy Characteristics'!B:B,MATCH($C589,'Policy Characteristics'!$C:$C,0))),"",INDEX('Policy Characteristics'!B:B,MATCH($C589,'Policy Characteristics'!$C:$C,0)))</f>
        <v>Carbon Capture and Sequestration</v>
      </c>
      <c r="C589" s="254" t="str">
        <f t="shared" si="32"/>
        <v>Industry Sector Fraction of Potential Additional CCS Achieved</v>
      </c>
      <c r="D589" s="6" t="s">
        <v>3067</v>
      </c>
      <c r="E589" s="6" t="s">
        <v>3023</v>
      </c>
      <c r="F589" t="s">
        <v>3031</v>
      </c>
      <c r="G589" s="45" t="s">
        <v>3024</v>
      </c>
      <c r="H589" s="43">
        <v>920</v>
      </c>
      <c r="I589" s="324" t="s">
        <v>43</v>
      </c>
      <c r="J589" s="255" t="str">
        <f>IF(ISBLANK(INDEX('Policy Characteristics'!D:D,MATCH($C589,'Policy Characteristics'!$C:$C,0))),"",INDEX('Policy Characteristics'!D:D,MATCH($C589,'Policy Characteristics'!$C:$C,0)))</f>
        <v>Industry CCS</v>
      </c>
      <c r="K589" s="254" t="str">
        <f>IF(ISBLANK(INDEX('Policy Characteristics'!E:E,MATCH($C589,'Policy Characteristics'!$C:$C,0))),"",INDEX('Policy Characteristics'!E:E,MATCH($C589,'Policy Characteristics'!$C:$C,0)))</f>
        <v>indst CCS</v>
      </c>
      <c r="L589" s="261">
        <f>IF(ISBLANK(INDEX('Policy Characteristics'!F:F,MATCH($C589,'Policy Characteristics'!$C:$C,0))),"",INDEX('Policy Characteristics'!F:F,MATCH($C589,'Policy Characteristics'!$C:$C,0)))</f>
        <v>0</v>
      </c>
      <c r="M589" s="261">
        <f>IF(ISBLANK(INDEX('Policy Characteristics'!G:G,MATCH($C589,'Policy Characteristics'!$C:$C,0))),"",INDEX('Policy Characteristics'!G:G,MATCH($C589,'Policy Characteristics'!$C:$C,0)))</f>
        <v>1</v>
      </c>
      <c r="N589" s="261">
        <f>IF(ISBLANK(INDEX('Policy Characteristics'!H:H,MATCH($C589,'Policy Characteristics'!$C:$C,0))),"",INDEX('Policy Characteristics'!H:H,MATCH($C589,'Policy Characteristics'!$C:$C,0)))</f>
        <v>0.01</v>
      </c>
      <c r="O589" s="254" t="str">
        <f>IF(ISBLANK(INDEX('Policy Characteristics'!I:I,MATCH($C589,'Policy Characteristics'!$C:$C,0))),"",INDEX('Policy Characteristics'!I:I,MATCH($C589,'Policy Characteristics'!$C:$C,0)))</f>
        <v>% of CO2 captured</v>
      </c>
      <c r="P589" s="254"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4" t="str">
        <f>IF(ISBLANK(INDEX('Policy Characteristics'!K:K,MATCH($C589,'Policy Characteristics'!$C:$C,0))),"",INDEX('Policy Characteristics'!K:K,MATCH($C589,'Policy Characteristics'!$C:$C,0)))</f>
        <v>ccs.html#ccs</v>
      </c>
      <c r="R589" s="254" t="str">
        <f>IF(ISBLANK(INDEX('Policy Characteristics'!L:L,MATCH($C589,'Policy Characteristics'!$C:$C,0))),"",INDEX('Policy Characteristics'!L:L,MATCH($C589,'Policy Characteristics'!$C:$C,0)))</f>
        <v>carbon-capture-and-sequestration.html</v>
      </c>
    </row>
    <row r="590" spans="1:18" x14ac:dyDescent="0.3">
      <c r="A590" s="254" t="str">
        <f>IF(ISBLANK(INDEX('Policy Characteristics'!A:A,MATCH($C590,'Policy Characteristics'!$C:$C,0))),"",INDEX('Policy Characteristics'!A:A,MATCH($C590,'Policy Characteristics'!$C:$C,0)))</f>
        <v>Industry</v>
      </c>
      <c r="B590" s="262" t="str">
        <f>IF(ISBLANK(INDEX('Policy Characteristics'!B:B,MATCH($C590,'Policy Characteristics'!$C:$C,0))),"",INDEX('Policy Characteristics'!B:B,MATCH($C590,'Policy Characteristics'!$C:$C,0)))</f>
        <v>Carbon Capture and Sequestration</v>
      </c>
      <c r="C590" s="254" t="str">
        <f t="shared" si="32"/>
        <v>Industry Sector Fraction of Potential Additional CCS Achieved</v>
      </c>
      <c r="D590" s="6" t="s">
        <v>3067</v>
      </c>
      <c r="E590" s="6" t="s">
        <v>2532</v>
      </c>
      <c r="F590" t="s">
        <v>3031</v>
      </c>
      <c r="G590" s="45" t="s">
        <v>3025</v>
      </c>
      <c r="H590" s="43">
        <v>921</v>
      </c>
      <c r="I590" s="325" t="s">
        <v>44</v>
      </c>
      <c r="J590" s="255" t="str">
        <f>IF(ISBLANK(INDEX('Policy Characteristics'!D:D,MATCH($C590,'Policy Characteristics'!$C:$C,0))),"",INDEX('Policy Characteristics'!D:D,MATCH($C590,'Policy Characteristics'!$C:$C,0)))</f>
        <v>Industry CCS</v>
      </c>
      <c r="K590" s="254" t="str">
        <f>IF(ISBLANK(INDEX('Policy Characteristics'!E:E,MATCH($C590,'Policy Characteristics'!$C:$C,0))),"",INDEX('Policy Characteristics'!E:E,MATCH($C590,'Policy Characteristics'!$C:$C,0)))</f>
        <v>indst CCS</v>
      </c>
      <c r="L590" s="261">
        <f>IF(ISBLANK(INDEX('Policy Characteristics'!F:F,MATCH($C590,'Policy Characteristics'!$C:$C,0))),"",INDEX('Policy Characteristics'!F:F,MATCH($C590,'Policy Characteristics'!$C:$C,0)))</f>
        <v>0</v>
      </c>
      <c r="M590" s="261">
        <f>IF(ISBLANK(INDEX('Policy Characteristics'!G:G,MATCH($C590,'Policy Characteristics'!$C:$C,0))),"",INDEX('Policy Characteristics'!G:G,MATCH($C590,'Policy Characteristics'!$C:$C,0)))</f>
        <v>1</v>
      </c>
      <c r="N590" s="261">
        <f>IF(ISBLANK(INDEX('Policy Characteristics'!H:H,MATCH($C590,'Policy Characteristics'!$C:$C,0))),"",INDEX('Policy Characteristics'!H:H,MATCH($C590,'Policy Characteristics'!$C:$C,0)))</f>
        <v>0.01</v>
      </c>
      <c r="O590" s="254" t="str">
        <f>IF(ISBLANK(INDEX('Policy Characteristics'!I:I,MATCH($C590,'Policy Characteristics'!$C:$C,0))),"",INDEX('Policy Characteristics'!I:I,MATCH($C590,'Policy Characteristics'!$C:$C,0)))</f>
        <v>% of CO2 captured</v>
      </c>
      <c r="P590" s="254"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4" t="str">
        <f>IF(ISBLANK(INDEX('Policy Characteristics'!K:K,MATCH($C590,'Policy Characteristics'!$C:$C,0))),"",INDEX('Policy Characteristics'!K:K,MATCH($C590,'Policy Characteristics'!$C:$C,0)))</f>
        <v>ccs.html#ccs</v>
      </c>
      <c r="R590" s="254" t="str">
        <f>IF(ISBLANK(INDEX('Policy Characteristics'!L:L,MATCH($C590,'Policy Characteristics'!$C:$C,0))),"",INDEX('Policy Characteristics'!L:L,MATCH($C590,'Policy Characteristics'!$C:$C,0)))</f>
        <v>carbon-capture-and-sequestration.html</v>
      </c>
    </row>
    <row r="591" spans="1:18" x14ac:dyDescent="0.3">
      <c r="A591" s="254" t="str">
        <f>IF(ISBLANK(INDEX('Policy Characteristics'!A:A,MATCH($C591,'Policy Characteristics'!$C:$C,0))),"",INDEX('Policy Characteristics'!A:A,MATCH($C591,'Policy Characteristics'!$C:$C,0)))</f>
        <v>Industry</v>
      </c>
      <c r="B591" s="262" t="str">
        <f>IF(ISBLANK(INDEX('Policy Characteristics'!B:B,MATCH($C591,'Policy Characteristics'!$C:$C,0))),"",INDEX('Policy Characteristics'!B:B,MATCH($C591,'Policy Characteristics'!$C:$C,0)))</f>
        <v>Carbon Capture and Sequestration</v>
      </c>
      <c r="C591" s="254" t="str">
        <f t="shared" si="32"/>
        <v>Industry Sector Fraction of Potential Additional CCS Achieved</v>
      </c>
      <c r="D591" s="6" t="s">
        <v>3068</v>
      </c>
      <c r="E591" s="6" t="s">
        <v>3023</v>
      </c>
      <c r="F591" t="s">
        <v>3032</v>
      </c>
      <c r="G591" s="45" t="s">
        <v>3024</v>
      </c>
      <c r="H591" s="43">
        <v>922</v>
      </c>
      <c r="I591" s="324" t="s">
        <v>43</v>
      </c>
      <c r="J591" s="255" t="str">
        <f>IF(ISBLANK(INDEX('Policy Characteristics'!D:D,MATCH($C591,'Policy Characteristics'!$C:$C,0))),"",INDEX('Policy Characteristics'!D:D,MATCH($C591,'Policy Characteristics'!$C:$C,0)))</f>
        <v>Industry CCS</v>
      </c>
      <c r="K591" s="254" t="str">
        <f>IF(ISBLANK(INDEX('Policy Characteristics'!E:E,MATCH($C591,'Policy Characteristics'!$C:$C,0))),"",INDEX('Policy Characteristics'!E:E,MATCH($C591,'Policy Characteristics'!$C:$C,0)))</f>
        <v>indst CCS</v>
      </c>
      <c r="L591" s="261">
        <f>IF(ISBLANK(INDEX('Policy Characteristics'!F:F,MATCH($C591,'Policy Characteristics'!$C:$C,0))),"",INDEX('Policy Characteristics'!F:F,MATCH($C591,'Policy Characteristics'!$C:$C,0)))</f>
        <v>0</v>
      </c>
      <c r="M591" s="261">
        <f>IF(ISBLANK(INDEX('Policy Characteristics'!G:G,MATCH($C591,'Policy Characteristics'!$C:$C,0))),"",INDEX('Policy Characteristics'!G:G,MATCH($C591,'Policy Characteristics'!$C:$C,0)))</f>
        <v>1</v>
      </c>
      <c r="N591" s="261">
        <f>IF(ISBLANK(INDEX('Policy Characteristics'!H:H,MATCH($C591,'Policy Characteristics'!$C:$C,0))),"",INDEX('Policy Characteristics'!H:H,MATCH($C591,'Policy Characteristics'!$C:$C,0)))</f>
        <v>0.01</v>
      </c>
      <c r="O591" s="254" t="str">
        <f>IF(ISBLANK(INDEX('Policy Characteristics'!I:I,MATCH($C591,'Policy Characteristics'!$C:$C,0))),"",INDEX('Policy Characteristics'!I:I,MATCH($C591,'Policy Characteristics'!$C:$C,0)))</f>
        <v>% of CO2 captured</v>
      </c>
      <c r="P591" s="254"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4" t="str">
        <f>IF(ISBLANK(INDEX('Policy Characteristics'!K:K,MATCH($C591,'Policy Characteristics'!$C:$C,0))),"",INDEX('Policy Characteristics'!K:K,MATCH($C591,'Policy Characteristics'!$C:$C,0)))</f>
        <v>ccs.html#ccs</v>
      </c>
      <c r="R591" s="254" t="str">
        <f>IF(ISBLANK(INDEX('Policy Characteristics'!L:L,MATCH($C591,'Policy Characteristics'!$C:$C,0))),"",INDEX('Policy Characteristics'!L:L,MATCH($C591,'Policy Characteristics'!$C:$C,0)))</f>
        <v>carbon-capture-and-sequestration.html</v>
      </c>
    </row>
    <row r="592" spans="1:18" x14ac:dyDescent="0.3">
      <c r="A592" s="254" t="str">
        <f>IF(ISBLANK(INDEX('Policy Characteristics'!A:A,MATCH($C592,'Policy Characteristics'!$C:$C,0))),"",INDEX('Policy Characteristics'!A:A,MATCH($C592,'Policy Characteristics'!$C:$C,0)))</f>
        <v>Industry</v>
      </c>
      <c r="B592" s="262" t="str">
        <f>IF(ISBLANK(INDEX('Policy Characteristics'!B:B,MATCH($C592,'Policy Characteristics'!$C:$C,0))),"",INDEX('Policy Characteristics'!B:B,MATCH($C592,'Policy Characteristics'!$C:$C,0)))</f>
        <v>Carbon Capture and Sequestration</v>
      </c>
      <c r="C592" s="254" t="str">
        <f t="shared" si="32"/>
        <v>Industry Sector Fraction of Potential Additional CCS Achieved</v>
      </c>
      <c r="D592" s="6" t="s">
        <v>3068</v>
      </c>
      <c r="E592" s="6" t="s">
        <v>2532</v>
      </c>
      <c r="F592" t="s">
        <v>3032</v>
      </c>
      <c r="G592" s="45" t="s">
        <v>3025</v>
      </c>
      <c r="H592" s="43">
        <v>923</v>
      </c>
      <c r="I592" s="325" t="s">
        <v>44</v>
      </c>
      <c r="J592" s="255" t="str">
        <f>IF(ISBLANK(INDEX('Policy Characteristics'!D:D,MATCH($C592,'Policy Characteristics'!$C:$C,0))),"",INDEX('Policy Characteristics'!D:D,MATCH($C592,'Policy Characteristics'!$C:$C,0)))</f>
        <v>Industry CCS</v>
      </c>
      <c r="K592" s="254" t="str">
        <f>IF(ISBLANK(INDEX('Policy Characteristics'!E:E,MATCH($C592,'Policy Characteristics'!$C:$C,0))),"",INDEX('Policy Characteristics'!E:E,MATCH($C592,'Policy Characteristics'!$C:$C,0)))</f>
        <v>indst CCS</v>
      </c>
      <c r="L592" s="261">
        <f>IF(ISBLANK(INDEX('Policy Characteristics'!F:F,MATCH($C592,'Policy Characteristics'!$C:$C,0))),"",INDEX('Policy Characteristics'!F:F,MATCH($C592,'Policy Characteristics'!$C:$C,0)))</f>
        <v>0</v>
      </c>
      <c r="M592" s="261">
        <f>IF(ISBLANK(INDEX('Policy Characteristics'!G:G,MATCH($C592,'Policy Characteristics'!$C:$C,0))),"",INDEX('Policy Characteristics'!G:G,MATCH($C592,'Policy Characteristics'!$C:$C,0)))</f>
        <v>1</v>
      </c>
      <c r="N592" s="261">
        <f>IF(ISBLANK(INDEX('Policy Characteristics'!H:H,MATCH($C592,'Policy Characteristics'!$C:$C,0))),"",INDEX('Policy Characteristics'!H:H,MATCH($C592,'Policy Characteristics'!$C:$C,0)))</f>
        <v>0.01</v>
      </c>
      <c r="O592" s="254" t="str">
        <f>IF(ISBLANK(INDEX('Policy Characteristics'!I:I,MATCH($C592,'Policy Characteristics'!$C:$C,0))),"",INDEX('Policy Characteristics'!I:I,MATCH($C592,'Policy Characteristics'!$C:$C,0)))</f>
        <v>% of CO2 captured</v>
      </c>
      <c r="P592" s="254"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4" t="str">
        <f>IF(ISBLANK(INDEX('Policy Characteristics'!K:K,MATCH($C592,'Policy Characteristics'!$C:$C,0))),"",INDEX('Policy Characteristics'!K:K,MATCH($C592,'Policy Characteristics'!$C:$C,0)))</f>
        <v>ccs.html#ccs</v>
      </c>
      <c r="R592" s="254" t="str">
        <f>IF(ISBLANK(INDEX('Policy Characteristics'!L:L,MATCH($C592,'Policy Characteristics'!$C:$C,0))),"",INDEX('Policy Characteristics'!L:L,MATCH($C592,'Policy Characteristics'!$C:$C,0)))</f>
        <v>carbon-capture-and-sequestration.html</v>
      </c>
    </row>
    <row r="593" spans="1:18" x14ac:dyDescent="0.3">
      <c r="A593" s="254" t="str">
        <f>IF(ISBLANK(INDEX('Policy Characteristics'!A:A,MATCH($C593,'Policy Characteristics'!$C:$C,0))),"",INDEX('Policy Characteristics'!A:A,MATCH($C593,'Policy Characteristics'!$C:$C,0)))</f>
        <v>Industry</v>
      </c>
      <c r="B593" s="262" t="str">
        <f>IF(ISBLANK(INDEX('Policy Characteristics'!B:B,MATCH($C593,'Policy Characteristics'!$C:$C,0))),"",INDEX('Policy Characteristics'!B:B,MATCH($C593,'Policy Characteristics'!$C:$C,0)))</f>
        <v>Carbon Capture and Sequestration</v>
      </c>
      <c r="C593" s="254" t="str">
        <f t="shared" si="32"/>
        <v>Industry Sector Fraction of Potential Additional CCS Achieved</v>
      </c>
      <c r="D593" s="6" t="s">
        <v>3069</v>
      </c>
      <c r="E593" s="6" t="s">
        <v>3023</v>
      </c>
      <c r="F593" t="s">
        <v>3033</v>
      </c>
      <c r="G593" s="45" t="s">
        <v>3024</v>
      </c>
      <c r="H593" s="43">
        <v>924</v>
      </c>
      <c r="I593" s="324" t="s">
        <v>43</v>
      </c>
      <c r="J593" s="255" t="str">
        <f>IF(ISBLANK(INDEX('Policy Characteristics'!D:D,MATCH($C593,'Policy Characteristics'!$C:$C,0))),"",INDEX('Policy Characteristics'!D:D,MATCH($C593,'Policy Characteristics'!$C:$C,0)))</f>
        <v>Industry CCS</v>
      </c>
      <c r="K593" s="254" t="str">
        <f>IF(ISBLANK(INDEX('Policy Characteristics'!E:E,MATCH($C593,'Policy Characteristics'!$C:$C,0))),"",INDEX('Policy Characteristics'!E:E,MATCH($C593,'Policy Characteristics'!$C:$C,0)))</f>
        <v>indst CCS</v>
      </c>
      <c r="L593" s="261">
        <f>IF(ISBLANK(INDEX('Policy Characteristics'!F:F,MATCH($C593,'Policy Characteristics'!$C:$C,0))),"",INDEX('Policy Characteristics'!F:F,MATCH($C593,'Policy Characteristics'!$C:$C,0)))</f>
        <v>0</v>
      </c>
      <c r="M593" s="261">
        <f>IF(ISBLANK(INDEX('Policy Characteristics'!G:G,MATCH($C593,'Policy Characteristics'!$C:$C,0))),"",INDEX('Policy Characteristics'!G:G,MATCH($C593,'Policy Characteristics'!$C:$C,0)))</f>
        <v>1</v>
      </c>
      <c r="N593" s="261">
        <f>IF(ISBLANK(INDEX('Policy Characteristics'!H:H,MATCH($C593,'Policy Characteristics'!$C:$C,0))),"",INDEX('Policy Characteristics'!H:H,MATCH($C593,'Policy Characteristics'!$C:$C,0)))</f>
        <v>0.01</v>
      </c>
      <c r="O593" s="254" t="str">
        <f>IF(ISBLANK(INDEX('Policy Characteristics'!I:I,MATCH($C593,'Policy Characteristics'!$C:$C,0))),"",INDEX('Policy Characteristics'!I:I,MATCH($C593,'Policy Characteristics'!$C:$C,0)))</f>
        <v>% of CO2 captured</v>
      </c>
      <c r="P593" s="254"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4" t="str">
        <f>IF(ISBLANK(INDEX('Policy Characteristics'!K:K,MATCH($C593,'Policy Characteristics'!$C:$C,0))),"",INDEX('Policy Characteristics'!K:K,MATCH($C593,'Policy Characteristics'!$C:$C,0)))</f>
        <v>ccs.html#ccs</v>
      </c>
      <c r="R593" s="254" t="str">
        <f>IF(ISBLANK(INDEX('Policy Characteristics'!L:L,MATCH($C593,'Policy Characteristics'!$C:$C,0))),"",INDEX('Policy Characteristics'!L:L,MATCH($C593,'Policy Characteristics'!$C:$C,0)))</f>
        <v>carbon-capture-and-sequestration.html</v>
      </c>
    </row>
    <row r="594" spans="1:18" x14ac:dyDescent="0.3">
      <c r="A594" s="254" t="str">
        <f>IF(ISBLANK(INDEX('Policy Characteristics'!A:A,MATCH($C594,'Policy Characteristics'!$C:$C,0))),"",INDEX('Policy Characteristics'!A:A,MATCH($C594,'Policy Characteristics'!$C:$C,0)))</f>
        <v>Industry</v>
      </c>
      <c r="B594" s="262" t="str">
        <f>IF(ISBLANK(INDEX('Policy Characteristics'!B:B,MATCH($C594,'Policy Characteristics'!$C:$C,0))),"",INDEX('Policy Characteristics'!B:B,MATCH($C594,'Policy Characteristics'!$C:$C,0)))</f>
        <v>Carbon Capture and Sequestration</v>
      </c>
      <c r="C594" s="254" t="str">
        <f t="shared" ref="C594:C626" si="33">C$577</f>
        <v>Industry Sector Fraction of Potential Additional CCS Achieved</v>
      </c>
      <c r="D594" s="6" t="s">
        <v>3069</v>
      </c>
      <c r="E594" s="6" t="s">
        <v>2532</v>
      </c>
      <c r="F594" t="s">
        <v>3033</v>
      </c>
      <c r="G594" s="45" t="s">
        <v>3025</v>
      </c>
      <c r="H594" s="43">
        <v>925</v>
      </c>
      <c r="I594" s="325" t="s">
        <v>43</v>
      </c>
      <c r="J594" s="255" t="str">
        <f>IF(ISBLANK(INDEX('Policy Characteristics'!D:D,MATCH($C594,'Policy Characteristics'!$C:$C,0))),"",INDEX('Policy Characteristics'!D:D,MATCH($C594,'Policy Characteristics'!$C:$C,0)))</f>
        <v>Industry CCS</v>
      </c>
      <c r="K594" s="254" t="str">
        <f>IF(ISBLANK(INDEX('Policy Characteristics'!E:E,MATCH($C594,'Policy Characteristics'!$C:$C,0))),"",INDEX('Policy Characteristics'!E:E,MATCH($C594,'Policy Characteristics'!$C:$C,0)))</f>
        <v>indst CCS</v>
      </c>
      <c r="L594" s="261">
        <f>IF(ISBLANK(INDEX('Policy Characteristics'!F:F,MATCH($C594,'Policy Characteristics'!$C:$C,0))),"",INDEX('Policy Characteristics'!F:F,MATCH($C594,'Policy Characteristics'!$C:$C,0)))</f>
        <v>0</v>
      </c>
      <c r="M594" s="261">
        <f>IF(ISBLANK(INDEX('Policy Characteristics'!G:G,MATCH($C594,'Policy Characteristics'!$C:$C,0))),"",INDEX('Policy Characteristics'!G:G,MATCH($C594,'Policy Characteristics'!$C:$C,0)))</f>
        <v>1</v>
      </c>
      <c r="N594" s="261">
        <f>IF(ISBLANK(INDEX('Policy Characteristics'!H:H,MATCH($C594,'Policy Characteristics'!$C:$C,0))),"",INDEX('Policy Characteristics'!H:H,MATCH($C594,'Policy Characteristics'!$C:$C,0)))</f>
        <v>0.01</v>
      </c>
      <c r="O594" s="254" t="str">
        <f>IF(ISBLANK(INDEX('Policy Characteristics'!I:I,MATCH($C594,'Policy Characteristics'!$C:$C,0))),"",INDEX('Policy Characteristics'!I:I,MATCH($C594,'Policy Characteristics'!$C:$C,0)))</f>
        <v>% of CO2 captured</v>
      </c>
      <c r="P594" s="254"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4" t="str">
        <f>IF(ISBLANK(INDEX('Policy Characteristics'!K:K,MATCH($C594,'Policy Characteristics'!$C:$C,0))),"",INDEX('Policy Characteristics'!K:K,MATCH($C594,'Policy Characteristics'!$C:$C,0)))</f>
        <v>ccs.html#ccs</v>
      </c>
      <c r="R594" s="254" t="str">
        <f>IF(ISBLANK(INDEX('Policy Characteristics'!L:L,MATCH($C594,'Policy Characteristics'!$C:$C,0))),"",INDEX('Policy Characteristics'!L:L,MATCH($C594,'Policy Characteristics'!$C:$C,0)))</f>
        <v>carbon-capture-and-sequestration.html</v>
      </c>
    </row>
    <row r="595" spans="1:18" x14ac:dyDescent="0.3">
      <c r="A595" s="254" t="str">
        <f>IF(ISBLANK(INDEX('Policy Characteristics'!A:A,MATCH($C595,'Policy Characteristics'!$C:$C,0))),"",INDEX('Policy Characteristics'!A:A,MATCH($C595,'Policy Characteristics'!$C:$C,0)))</f>
        <v>Industry</v>
      </c>
      <c r="B595" s="262" t="str">
        <f>IF(ISBLANK(INDEX('Policy Characteristics'!B:B,MATCH($C595,'Policy Characteristics'!$C:$C,0))),"",INDEX('Policy Characteristics'!B:B,MATCH($C595,'Policy Characteristics'!$C:$C,0)))</f>
        <v>Carbon Capture and Sequestration</v>
      </c>
      <c r="C595" s="254" t="str">
        <f t="shared" si="33"/>
        <v>Industry Sector Fraction of Potential Additional CCS Achieved</v>
      </c>
      <c r="D595" s="6" t="s">
        <v>3070</v>
      </c>
      <c r="E595" s="6" t="s">
        <v>3023</v>
      </c>
      <c r="F595" t="s">
        <v>2579</v>
      </c>
      <c r="G595" s="45" t="s">
        <v>3024</v>
      </c>
      <c r="H595" s="43">
        <v>926</v>
      </c>
      <c r="I595" s="324" t="s">
        <v>43</v>
      </c>
      <c r="J595" s="255" t="str">
        <f>IF(ISBLANK(INDEX('Policy Characteristics'!D:D,MATCH($C595,'Policy Characteristics'!$C:$C,0))),"",INDEX('Policy Characteristics'!D:D,MATCH($C595,'Policy Characteristics'!$C:$C,0)))</f>
        <v>Industry CCS</v>
      </c>
      <c r="K595" s="254" t="str">
        <f>IF(ISBLANK(INDEX('Policy Characteristics'!E:E,MATCH($C595,'Policy Characteristics'!$C:$C,0))),"",INDEX('Policy Characteristics'!E:E,MATCH($C595,'Policy Characteristics'!$C:$C,0)))</f>
        <v>indst CCS</v>
      </c>
      <c r="L595" s="261">
        <f>IF(ISBLANK(INDEX('Policy Characteristics'!F:F,MATCH($C595,'Policy Characteristics'!$C:$C,0))),"",INDEX('Policy Characteristics'!F:F,MATCH($C595,'Policy Characteristics'!$C:$C,0)))</f>
        <v>0</v>
      </c>
      <c r="M595" s="261">
        <f>IF(ISBLANK(INDEX('Policy Characteristics'!G:G,MATCH($C595,'Policy Characteristics'!$C:$C,0))),"",INDEX('Policy Characteristics'!G:G,MATCH($C595,'Policy Characteristics'!$C:$C,0)))</f>
        <v>1</v>
      </c>
      <c r="N595" s="261">
        <f>IF(ISBLANK(INDEX('Policy Characteristics'!H:H,MATCH($C595,'Policy Characteristics'!$C:$C,0))),"",INDEX('Policy Characteristics'!H:H,MATCH($C595,'Policy Characteristics'!$C:$C,0)))</f>
        <v>0.01</v>
      </c>
      <c r="O595" s="254" t="str">
        <f>IF(ISBLANK(INDEX('Policy Characteristics'!I:I,MATCH($C595,'Policy Characteristics'!$C:$C,0))),"",INDEX('Policy Characteristics'!I:I,MATCH($C595,'Policy Characteristics'!$C:$C,0)))</f>
        <v>% of CO2 captured</v>
      </c>
      <c r="P595" s="254"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4" t="str">
        <f>IF(ISBLANK(INDEX('Policy Characteristics'!K:K,MATCH($C595,'Policy Characteristics'!$C:$C,0))),"",INDEX('Policy Characteristics'!K:K,MATCH($C595,'Policy Characteristics'!$C:$C,0)))</f>
        <v>ccs.html#ccs</v>
      </c>
      <c r="R595" s="254" t="str">
        <f>IF(ISBLANK(INDEX('Policy Characteristics'!L:L,MATCH($C595,'Policy Characteristics'!$C:$C,0))),"",INDEX('Policy Characteristics'!L:L,MATCH($C595,'Policy Characteristics'!$C:$C,0)))</f>
        <v>carbon-capture-and-sequestration.html</v>
      </c>
    </row>
    <row r="596" spans="1:18" x14ac:dyDescent="0.3">
      <c r="A596" s="254" t="str">
        <f>IF(ISBLANK(INDEX('Policy Characteristics'!A:A,MATCH($C596,'Policy Characteristics'!$C:$C,0))),"",INDEX('Policy Characteristics'!A:A,MATCH($C596,'Policy Characteristics'!$C:$C,0)))</f>
        <v>Industry</v>
      </c>
      <c r="B596" s="262" t="str">
        <f>IF(ISBLANK(INDEX('Policy Characteristics'!B:B,MATCH($C596,'Policy Characteristics'!$C:$C,0))),"",INDEX('Policy Characteristics'!B:B,MATCH($C596,'Policy Characteristics'!$C:$C,0)))</f>
        <v>Carbon Capture and Sequestration</v>
      </c>
      <c r="C596" s="254" t="str">
        <f t="shared" si="33"/>
        <v>Industry Sector Fraction of Potential Additional CCS Achieved</v>
      </c>
      <c r="D596" s="6" t="s">
        <v>3070</v>
      </c>
      <c r="E596" s="6" t="s">
        <v>2532</v>
      </c>
      <c r="F596" t="s">
        <v>2579</v>
      </c>
      <c r="G596" s="45" t="s">
        <v>3025</v>
      </c>
      <c r="H596" s="43">
        <v>927</v>
      </c>
      <c r="I596" s="324" t="s">
        <v>43</v>
      </c>
      <c r="J596" s="255" t="str">
        <f>IF(ISBLANK(INDEX('Policy Characteristics'!D:D,MATCH($C596,'Policy Characteristics'!$C:$C,0))),"",INDEX('Policy Characteristics'!D:D,MATCH($C596,'Policy Characteristics'!$C:$C,0)))</f>
        <v>Industry CCS</v>
      </c>
      <c r="K596" s="254" t="str">
        <f>IF(ISBLANK(INDEX('Policy Characteristics'!E:E,MATCH($C596,'Policy Characteristics'!$C:$C,0))),"",INDEX('Policy Characteristics'!E:E,MATCH($C596,'Policy Characteristics'!$C:$C,0)))</f>
        <v>indst CCS</v>
      </c>
      <c r="L596" s="261">
        <f>IF(ISBLANK(INDEX('Policy Characteristics'!F:F,MATCH($C596,'Policy Characteristics'!$C:$C,0))),"",INDEX('Policy Characteristics'!F:F,MATCH($C596,'Policy Characteristics'!$C:$C,0)))</f>
        <v>0</v>
      </c>
      <c r="M596" s="261">
        <f>IF(ISBLANK(INDEX('Policy Characteristics'!G:G,MATCH($C596,'Policy Characteristics'!$C:$C,0))),"",INDEX('Policy Characteristics'!G:G,MATCH($C596,'Policy Characteristics'!$C:$C,0)))</f>
        <v>1</v>
      </c>
      <c r="N596" s="261">
        <f>IF(ISBLANK(INDEX('Policy Characteristics'!H:H,MATCH($C596,'Policy Characteristics'!$C:$C,0))),"",INDEX('Policy Characteristics'!H:H,MATCH($C596,'Policy Characteristics'!$C:$C,0)))</f>
        <v>0.01</v>
      </c>
      <c r="O596" s="254" t="str">
        <f>IF(ISBLANK(INDEX('Policy Characteristics'!I:I,MATCH($C596,'Policy Characteristics'!$C:$C,0))),"",INDEX('Policy Characteristics'!I:I,MATCH($C596,'Policy Characteristics'!$C:$C,0)))</f>
        <v>% of CO2 captured</v>
      </c>
      <c r="P596" s="254"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4" t="str">
        <f>IF(ISBLANK(INDEX('Policy Characteristics'!K:K,MATCH($C596,'Policy Characteristics'!$C:$C,0))),"",INDEX('Policy Characteristics'!K:K,MATCH($C596,'Policy Characteristics'!$C:$C,0)))</f>
        <v>ccs.html#ccs</v>
      </c>
      <c r="R596" s="254" t="str">
        <f>IF(ISBLANK(INDEX('Policy Characteristics'!L:L,MATCH($C596,'Policy Characteristics'!$C:$C,0))),"",INDEX('Policy Characteristics'!L:L,MATCH($C596,'Policy Characteristics'!$C:$C,0)))</f>
        <v>carbon-capture-and-sequestration.html</v>
      </c>
    </row>
    <row r="597" spans="1:18" x14ac:dyDescent="0.3">
      <c r="A597" s="254" t="str">
        <f>IF(ISBLANK(INDEX('Policy Characteristics'!A:A,MATCH($C597,'Policy Characteristics'!$C:$C,0))),"",INDEX('Policy Characteristics'!A:A,MATCH($C597,'Policy Characteristics'!$C:$C,0)))</f>
        <v>Industry</v>
      </c>
      <c r="B597" s="262" t="str">
        <f>IF(ISBLANK(INDEX('Policy Characteristics'!B:B,MATCH($C597,'Policy Characteristics'!$C:$C,0))),"",INDEX('Policy Characteristics'!B:B,MATCH($C597,'Policy Characteristics'!$C:$C,0)))</f>
        <v>Carbon Capture and Sequestration</v>
      </c>
      <c r="C597" s="254" t="str">
        <f t="shared" si="33"/>
        <v>Industry Sector Fraction of Potential Additional CCS Achieved</v>
      </c>
      <c r="D597" s="6" t="s">
        <v>3071</v>
      </c>
      <c r="E597" s="6" t="s">
        <v>3023</v>
      </c>
      <c r="F597" t="s">
        <v>3034</v>
      </c>
      <c r="G597" s="45" t="s">
        <v>3024</v>
      </c>
      <c r="H597" s="43">
        <v>928</v>
      </c>
      <c r="I597" s="324" t="s">
        <v>43</v>
      </c>
      <c r="J597" s="255" t="str">
        <f>IF(ISBLANK(INDEX('Policy Characteristics'!D:D,MATCH($C597,'Policy Characteristics'!$C:$C,0))),"",INDEX('Policy Characteristics'!D:D,MATCH($C597,'Policy Characteristics'!$C:$C,0)))</f>
        <v>Industry CCS</v>
      </c>
      <c r="K597" s="254" t="str">
        <f>IF(ISBLANK(INDEX('Policy Characteristics'!E:E,MATCH($C597,'Policy Characteristics'!$C:$C,0))),"",INDEX('Policy Characteristics'!E:E,MATCH($C597,'Policy Characteristics'!$C:$C,0)))</f>
        <v>indst CCS</v>
      </c>
      <c r="L597" s="261">
        <f>IF(ISBLANK(INDEX('Policy Characteristics'!F:F,MATCH($C597,'Policy Characteristics'!$C:$C,0))),"",INDEX('Policy Characteristics'!F:F,MATCH($C597,'Policy Characteristics'!$C:$C,0)))</f>
        <v>0</v>
      </c>
      <c r="M597" s="261">
        <f>IF(ISBLANK(INDEX('Policy Characteristics'!G:G,MATCH($C597,'Policy Characteristics'!$C:$C,0))),"",INDEX('Policy Characteristics'!G:G,MATCH($C597,'Policy Characteristics'!$C:$C,0)))</f>
        <v>1</v>
      </c>
      <c r="N597" s="261">
        <f>IF(ISBLANK(INDEX('Policy Characteristics'!H:H,MATCH($C597,'Policy Characteristics'!$C:$C,0))),"",INDEX('Policy Characteristics'!H:H,MATCH($C597,'Policy Characteristics'!$C:$C,0)))</f>
        <v>0.01</v>
      </c>
      <c r="O597" s="254" t="str">
        <f>IF(ISBLANK(INDEX('Policy Characteristics'!I:I,MATCH($C597,'Policy Characteristics'!$C:$C,0))),"",INDEX('Policy Characteristics'!I:I,MATCH($C597,'Policy Characteristics'!$C:$C,0)))</f>
        <v>% of CO2 captured</v>
      </c>
      <c r="P597" s="254"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4" t="str">
        <f>IF(ISBLANK(INDEX('Policy Characteristics'!K:K,MATCH($C597,'Policy Characteristics'!$C:$C,0))),"",INDEX('Policy Characteristics'!K:K,MATCH($C597,'Policy Characteristics'!$C:$C,0)))</f>
        <v>ccs.html#ccs</v>
      </c>
      <c r="R597" s="254" t="str">
        <f>IF(ISBLANK(INDEX('Policy Characteristics'!L:L,MATCH($C597,'Policy Characteristics'!$C:$C,0))),"",INDEX('Policy Characteristics'!L:L,MATCH($C597,'Policy Characteristics'!$C:$C,0)))</f>
        <v>carbon-capture-and-sequestration.html</v>
      </c>
    </row>
    <row r="598" spans="1:18" x14ac:dyDescent="0.3">
      <c r="A598" s="254" t="str">
        <f>IF(ISBLANK(INDEX('Policy Characteristics'!A:A,MATCH($C598,'Policy Characteristics'!$C:$C,0))),"",INDEX('Policy Characteristics'!A:A,MATCH($C598,'Policy Characteristics'!$C:$C,0)))</f>
        <v>Industry</v>
      </c>
      <c r="B598" s="262" t="str">
        <f>IF(ISBLANK(INDEX('Policy Characteristics'!B:B,MATCH($C598,'Policy Characteristics'!$C:$C,0))),"",INDEX('Policy Characteristics'!B:B,MATCH($C598,'Policy Characteristics'!$C:$C,0)))</f>
        <v>Carbon Capture and Sequestration</v>
      </c>
      <c r="C598" s="254" t="str">
        <f t="shared" si="33"/>
        <v>Industry Sector Fraction of Potential Additional CCS Achieved</v>
      </c>
      <c r="D598" s="6" t="s">
        <v>3071</v>
      </c>
      <c r="E598" s="6" t="s">
        <v>2532</v>
      </c>
      <c r="F598" t="s">
        <v>3034</v>
      </c>
      <c r="G598" s="45" t="s">
        <v>3025</v>
      </c>
      <c r="H598" s="43">
        <v>929</v>
      </c>
      <c r="I598" s="325" t="s">
        <v>44</v>
      </c>
      <c r="J598" s="255" t="str">
        <f>IF(ISBLANK(INDEX('Policy Characteristics'!D:D,MATCH($C598,'Policy Characteristics'!$C:$C,0))),"",INDEX('Policy Characteristics'!D:D,MATCH($C598,'Policy Characteristics'!$C:$C,0)))</f>
        <v>Industry CCS</v>
      </c>
      <c r="K598" s="254" t="str">
        <f>IF(ISBLANK(INDEX('Policy Characteristics'!E:E,MATCH($C598,'Policy Characteristics'!$C:$C,0))),"",INDEX('Policy Characteristics'!E:E,MATCH($C598,'Policy Characteristics'!$C:$C,0)))</f>
        <v>indst CCS</v>
      </c>
      <c r="L598" s="261">
        <f>IF(ISBLANK(INDEX('Policy Characteristics'!F:F,MATCH($C598,'Policy Characteristics'!$C:$C,0))),"",INDEX('Policy Characteristics'!F:F,MATCH($C598,'Policy Characteristics'!$C:$C,0)))</f>
        <v>0</v>
      </c>
      <c r="M598" s="261">
        <f>IF(ISBLANK(INDEX('Policy Characteristics'!G:G,MATCH($C598,'Policy Characteristics'!$C:$C,0))),"",INDEX('Policy Characteristics'!G:G,MATCH($C598,'Policy Characteristics'!$C:$C,0)))</f>
        <v>1</v>
      </c>
      <c r="N598" s="261">
        <f>IF(ISBLANK(INDEX('Policy Characteristics'!H:H,MATCH($C598,'Policy Characteristics'!$C:$C,0))),"",INDEX('Policy Characteristics'!H:H,MATCH($C598,'Policy Characteristics'!$C:$C,0)))</f>
        <v>0.01</v>
      </c>
      <c r="O598" s="254" t="str">
        <f>IF(ISBLANK(INDEX('Policy Characteristics'!I:I,MATCH($C598,'Policy Characteristics'!$C:$C,0))),"",INDEX('Policy Characteristics'!I:I,MATCH($C598,'Policy Characteristics'!$C:$C,0)))</f>
        <v>% of CO2 captured</v>
      </c>
      <c r="P598" s="254"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4" t="str">
        <f>IF(ISBLANK(INDEX('Policy Characteristics'!K:K,MATCH($C598,'Policy Characteristics'!$C:$C,0))),"",INDEX('Policy Characteristics'!K:K,MATCH($C598,'Policy Characteristics'!$C:$C,0)))</f>
        <v>ccs.html#ccs</v>
      </c>
      <c r="R598" s="254" t="str">
        <f>IF(ISBLANK(INDEX('Policy Characteristics'!L:L,MATCH($C598,'Policy Characteristics'!$C:$C,0))),"",INDEX('Policy Characteristics'!L:L,MATCH($C598,'Policy Characteristics'!$C:$C,0)))</f>
        <v>carbon-capture-and-sequestration.html</v>
      </c>
    </row>
    <row r="599" spans="1:18" x14ac:dyDescent="0.3">
      <c r="A599" s="254" t="str">
        <f>IF(ISBLANK(INDEX('Policy Characteristics'!A:A,MATCH($C599,'Policy Characteristics'!$C:$C,0))),"",INDEX('Policy Characteristics'!A:A,MATCH($C599,'Policy Characteristics'!$C:$C,0)))</f>
        <v>Industry</v>
      </c>
      <c r="B599" s="262" t="str">
        <f>IF(ISBLANK(INDEX('Policy Characteristics'!B:B,MATCH($C599,'Policy Characteristics'!$C:$C,0))),"",INDEX('Policy Characteristics'!B:B,MATCH($C599,'Policy Characteristics'!$C:$C,0)))</f>
        <v>Carbon Capture and Sequestration</v>
      </c>
      <c r="C599" s="254" t="str">
        <f t="shared" si="33"/>
        <v>Industry Sector Fraction of Potential Additional CCS Achieved</v>
      </c>
      <c r="D599" s="6" t="s">
        <v>3072</v>
      </c>
      <c r="E599" s="6" t="s">
        <v>3023</v>
      </c>
      <c r="F599" t="s">
        <v>3035</v>
      </c>
      <c r="G599" s="45" t="s">
        <v>3024</v>
      </c>
      <c r="H599" s="43">
        <v>930</v>
      </c>
      <c r="I599" s="324" t="s">
        <v>43</v>
      </c>
      <c r="J599" s="255" t="str">
        <f>IF(ISBLANK(INDEX('Policy Characteristics'!D:D,MATCH($C599,'Policy Characteristics'!$C:$C,0))),"",INDEX('Policy Characteristics'!D:D,MATCH($C599,'Policy Characteristics'!$C:$C,0)))</f>
        <v>Industry CCS</v>
      </c>
      <c r="K599" s="254" t="str">
        <f>IF(ISBLANK(INDEX('Policy Characteristics'!E:E,MATCH($C599,'Policy Characteristics'!$C:$C,0))),"",INDEX('Policy Characteristics'!E:E,MATCH($C599,'Policy Characteristics'!$C:$C,0)))</f>
        <v>indst CCS</v>
      </c>
      <c r="L599" s="261">
        <f>IF(ISBLANK(INDEX('Policy Characteristics'!F:F,MATCH($C599,'Policy Characteristics'!$C:$C,0))),"",INDEX('Policy Characteristics'!F:F,MATCH($C599,'Policy Characteristics'!$C:$C,0)))</f>
        <v>0</v>
      </c>
      <c r="M599" s="261">
        <f>IF(ISBLANK(INDEX('Policy Characteristics'!G:G,MATCH($C599,'Policy Characteristics'!$C:$C,0))),"",INDEX('Policy Characteristics'!G:G,MATCH($C599,'Policy Characteristics'!$C:$C,0)))</f>
        <v>1</v>
      </c>
      <c r="N599" s="261">
        <f>IF(ISBLANK(INDEX('Policy Characteristics'!H:H,MATCH($C599,'Policy Characteristics'!$C:$C,0))),"",INDEX('Policy Characteristics'!H:H,MATCH($C599,'Policy Characteristics'!$C:$C,0)))</f>
        <v>0.01</v>
      </c>
      <c r="O599" s="254" t="str">
        <f>IF(ISBLANK(INDEX('Policy Characteristics'!I:I,MATCH($C599,'Policy Characteristics'!$C:$C,0))),"",INDEX('Policy Characteristics'!I:I,MATCH($C599,'Policy Characteristics'!$C:$C,0)))</f>
        <v>% of CO2 captured</v>
      </c>
      <c r="P599" s="254"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4" t="str">
        <f>IF(ISBLANK(INDEX('Policy Characteristics'!K:K,MATCH($C599,'Policy Characteristics'!$C:$C,0))),"",INDEX('Policy Characteristics'!K:K,MATCH($C599,'Policy Characteristics'!$C:$C,0)))</f>
        <v>ccs.html#ccs</v>
      </c>
      <c r="R599" s="254" t="str">
        <f>IF(ISBLANK(INDEX('Policy Characteristics'!L:L,MATCH($C599,'Policy Characteristics'!$C:$C,0))),"",INDEX('Policy Characteristics'!L:L,MATCH($C599,'Policy Characteristics'!$C:$C,0)))</f>
        <v>carbon-capture-and-sequestration.html</v>
      </c>
    </row>
    <row r="600" spans="1:18" x14ac:dyDescent="0.3">
      <c r="A600" s="254" t="str">
        <f>IF(ISBLANK(INDEX('Policy Characteristics'!A:A,MATCH($C600,'Policy Characteristics'!$C:$C,0))),"",INDEX('Policy Characteristics'!A:A,MATCH($C600,'Policy Characteristics'!$C:$C,0)))</f>
        <v>Industry</v>
      </c>
      <c r="B600" s="262" t="str">
        <f>IF(ISBLANK(INDEX('Policy Characteristics'!B:B,MATCH($C600,'Policy Characteristics'!$C:$C,0))),"",INDEX('Policy Characteristics'!B:B,MATCH($C600,'Policy Characteristics'!$C:$C,0)))</f>
        <v>Carbon Capture and Sequestration</v>
      </c>
      <c r="C600" s="254" t="str">
        <f t="shared" si="33"/>
        <v>Industry Sector Fraction of Potential Additional CCS Achieved</v>
      </c>
      <c r="D600" s="6" t="s">
        <v>3072</v>
      </c>
      <c r="E600" s="6" t="s">
        <v>2532</v>
      </c>
      <c r="F600" t="s">
        <v>3035</v>
      </c>
      <c r="G600" s="45" t="s">
        <v>3025</v>
      </c>
      <c r="H600" s="43">
        <v>931</v>
      </c>
      <c r="I600" s="325" t="s">
        <v>44</v>
      </c>
      <c r="J600" s="255" t="str">
        <f>IF(ISBLANK(INDEX('Policy Characteristics'!D:D,MATCH($C600,'Policy Characteristics'!$C:$C,0))),"",INDEX('Policy Characteristics'!D:D,MATCH($C600,'Policy Characteristics'!$C:$C,0)))</f>
        <v>Industry CCS</v>
      </c>
      <c r="K600" s="254" t="str">
        <f>IF(ISBLANK(INDEX('Policy Characteristics'!E:E,MATCH($C600,'Policy Characteristics'!$C:$C,0))),"",INDEX('Policy Characteristics'!E:E,MATCH($C600,'Policy Characteristics'!$C:$C,0)))</f>
        <v>indst CCS</v>
      </c>
      <c r="L600" s="261">
        <f>IF(ISBLANK(INDEX('Policy Characteristics'!F:F,MATCH($C600,'Policy Characteristics'!$C:$C,0))),"",INDEX('Policy Characteristics'!F:F,MATCH($C600,'Policy Characteristics'!$C:$C,0)))</f>
        <v>0</v>
      </c>
      <c r="M600" s="261">
        <f>IF(ISBLANK(INDEX('Policy Characteristics'!G:G,MATCH($C600,'Policy Characteristics'!$C:$C,0))),"",INDEX('Policy Characteristics'!G:G,MATCH($C600,'Policy Characteristics'!$C:$C,0)))</f>
        <v>1</v>
      </c>
      <c r="N600" s="261">
        <f>IF(ISBLANK(INDEX('Policy Characteristics'!H:H,MATCH($C600,'Policy Characteristics'!$C:$C,0))),"",INDEX('Policy Characteristics'!H:H,MATCH($C600,'Policy Characteristics'!$C:$C,0)))</f>
        <v>0.01</v>
      </c>
      <c r="O600" s="254" t="str">
        <f>IF(ISBLANK(INDEX('Policy Characteristics'!I:I,MATCH($C600,'Policy Characteristics'!$C:$C,0))),"",INDEX('Policy Characteristics'!I:I,MATCH($C600,'Policy Characteristics'!$C:$C,0)))</f>
        <v>% of CO2 captured</v>
      </c>
      <c r="P600" s="254"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4" t="str">
        <f>IF(ISBLANK(INDEX('Policy Characteristics'!K:K,MATCH($C600,'Policy Characteristics'!$C:$C,0))),"",INDEX('Policy Characteristics'!K:K,MATCH($C600,'Policy Characteristics'!$C:$C,0)))</f>
        <v>ccs.html#ccs</v>
      </c>
      <c r="R600" s="254" t="str">
        <f>IF(ISBLANK(INDEX('Policy Characteristics'!L:L,MATCH($C600,'Policy Characteristics'!$C:$C,0))),"",INDEX('Policy Characteristics'!L:L,MATCH($C600,'Policy Characteristics'!$C:$C,0)))</f>
        <v>carbon-capture-and-sequestration.html</v>
      </c>
    </row>
    <row r="601" spans="1:18" x14ac:dyDescent="0.3">
      <c r="A601" s="254" t="str">
        <f>IF(ISBLANK(INDEX('Policy Characteristics'!A:A,MATCH($C601,'Policy Characteristics'!$C:$C,0))),"",INDEX('Policy Characteristics'!A:A,MATCH($C601,'Policy Characteristics'!$C:$C,0)))</f>
        <v>Industry</v>
      </c>
      <c r="B601" s="262" t="str">
        <f>IF(ISBLANK(INDEX('Policy Characteristics'!B:B,MATCH($C601,'Policy Characteristics'!$C:$C,0))),"",INDEX('Policy Characteristics'!B:B,MATCH($C601,'Policy Characteristics'!$C:$C,0)))</f>
        <v>Carbon Capture and Sequestration</v>
      </c>
      <c r="C601" s="254" t="str">
        <f t="shared" si="33"/>
        <v>Industry Sector Fraction of Potential Additional CCS Achieved</v>
      </c>
      <c r="D601" s="6" t="s">
        <v>3073</v>
      </c>
      <c r="E601" s="6" t="s">
        <v>3023</v>
      </c>
      <c r="F601" t="s">
        <v>3036</v>
      </c>
      <c r="G601" s="45" t="s">
        <v>3024</v>
      </c>
      <c r="H601" s="43">
        <v>932</v>
      </c>
      <c r="I601" s="324" t="s">
        <v>43</v>
      </c>
      <c r="J601" s="255" t="str">
        <f>IF(ISBLANK(INDEX('Policy Characteristics'!D:D,MATCH($C601,'Policy Characteristics'!$C:$C,0))),"",INDEX('Policy Characteristics'!D:D,MATCH($C601,'Policy Characteristics'!$C:$C,0)))</f>
        <v>Industry CCS</v>
      </c>
      <c r="K601" s="254" t="str">
        <f>IF(ISBLANK(INDEX('Policy Characteristics'!E:E,MATCH($C601,'Policy Characteristics'!$C:$C,0))),"",INDEX('Policy Characteristics'!E:E,MATCH($C601,'Policy Characteristics'!$C:$C,0)))</f>
        <v>indst CCS</v>
      </c>
      <c r="L601" s="261">
        <f>IF(ISBLANK(INDEX('Policy Characteristics'!F:F,MATCH($C601,'Policy Characteristics'!$C:$C,0))),"",INDEX('Policy Characteristics'!F:F,MATCH($C601,'Policy Characteristics'!$C:$C,0)))</f>
        <v>0</v>
      </c>
      <c r="M601" s="261">
        <f>IF(ISBLANK(INDEX('Policy Characteristics'!G:G,MATCH($C601,'Policy Characteristics'!$C:$C,0))),"",INDEX('Policy Characteristics'!G:G,MATCH($C601,'Policy Characteristics'!$C:$C,0)))</f>
        <v>1</v>
      </c>
      <c r="N601" s="261">
        <f>IF(ISBLANK(INDEX('Policy Characteristics'!H:H,MATCH($C601,'Policy Characteristics'!$C:$C,0))),"",INDEX('Policy Characteristics'!H:H,MATCH($C601,'Policy Characteristics'!$C:$C,0)))</f>
        <v>0.01</v>
      </c>
      <c r="O601" s="254" t="str">
        <f>IF(ISBLANK(INDEX('Policy Characteristics'!I:I,MATCH($C601,'Policy Characteristics'!$C:$C,0))),"",INDEX('Policy Characteristics'!I:I,MATCH($C601,'Policy Characteristics'!$C:$C,0)))</f>
        <v>% of CO2 captured</v>
      </c>
      <c r="P601" s="254"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4" t="str">
        <f>IF(ISBLANK(INDEX('Policy Characteristics'!K:K,MATCH($C601,'Policy Characteristics'!$C:$C,0))),"",INDEX('Policy Characteristics'!K:K,MATCH($C601,'Policy Characteristics'!$C:$C,0)))</f>
        <v>ccs.html#ccs</v>
      </c>
      <c r="R601" s="254" t="str">
        <f>IF(ISBLANK(INDEX('Policy Characteristics'!L:L,MATCH($C601,'Policy Characteristics'!$C:$C,0))),"",INDEX('Policy Characteristics'!L:L,MATCH($C601,'Policy Characteristics'!$C:$C,0)))</f>
        <v>carbon-capture-and-sequestration.html</v>
      </c>
    </row>
    <row r="602" spans="1:18" x14ac:dyDescent="0.3">
      <c r="A602" s="254" t="str">
        <f>IF(ISBLANK(INDEX('Policy Characteristics'!A:A,MATCH($C602,'Policy Characteristics'!$C:$C,0))),"",INDEX('Policy Characteristics'!A:A,MATCH($C602,'Policy Characteristics'!$C:$C,0)))</f>
        <v>Industry</v>
      </c>
      <c r="B602" s="262" t="str">
        <f>IF(ISBLANK(INDEX('Policy Characteristics'!B:B,MATCH($C602,'Policy Characteristics'!$C:$C,0))),"",INDEX('Policy Characteristics'!B:B,MATCH($C602,'Policy Characteristics'!$C:$C,0)))</f>
        <v>Carbon Capture and Sequestration</v>
      </c>
      <c r="C602" s="254" t="str">
        <f t="shared" si="33"/>
        <v>Industry Sector Fraction of Potential Additional CCS Achieved</v>
      </c>
      <c r="D602" s="6" t="s">
        <v>3073</v>
      </c>
      <c r="E602" s="6" t="s">
        <v>2532</v>
      </c>
      <c r="F602" t="s">
        <v>3036</v>
      </c>
      <c r="G602" s="45" t="s">
        <v>3025</v>
      </c>
      <c r="H602" s="43">
        <v>933</v>
      </c>
      <c r="I602" s="324" t="s">
        <v>43</v>
      </c>
      <c r="J602" s="255" t="str">
        <f>IF(ISBLANK(INDEX('Policy Characteristics'!D:D,MATCH($C602,'Policy Characteristics'!$C:$C,0))),"",INDEX('Policy Characteristics'!D:D,MATCH($C602,'Policy Characteristics'!$C:$C,0)))</f>
        <v>Industry CCS</v>
      </c>
      <c r="K602" s="254" t="str">
        <f>IF(ISBLANK(INDEX('Policy Characteristics'!E:E,MATCH($C602,'Policy Characteristics'!$C:$C,0))),"",INDEX('Policy Characteristics'!E:E,MATCH($C602,'Policy Characteristics'!$C:$C,0)))</f>
        <v>indst CCS</v>
      </c>
      <c r="L602" s="261">
        <f>IF(ISBLANK(INDEX('Policy Characteristics'!F:F,MATCH($C602,'Policy Characteristics'!$C:$C,0))),"",INDEX('Policy Characteristics'!F:F,MATCH($C602,'Policy Characteristics'!$C:$C,0)))</f>
        <v>0</v>
      </c>
      <c r="M602" s="261">
        <f>IF(ISBLANK(INDEX('Policy Characteristics'!G:G,MATCH($C602,'Policy Characteristics'!$C:$C,0))),"",INDEX('Policy Characteristics'!G:G,MATCH($C602,'Policy Characteristics'!$C:$C,0)))</f>
        <v>1</v>
      </c>
      <c r="N602" s="261">
        <f>IF(ISBLANK(INDEX('Policy Characteristics'!H:H,MATCH($C602,'Policy Characteristics'!$C:$C,0))),"",INDEX('Policy Characteristics'!H:H,MATCH($C602,'Policy Characteristics'!$C:$C,0)))</f>
        <v>0.01</v>
      </c>
      <c r="O602" s="254" t="str">
        <f>IF(ISBLANK(INDEX('Policy Characteristics'!I:I,MATCH($C602,'Policy Characteristics'!$C:$C,0))),"",INDEX('Policy Characteristics'!I:I,MATCH($C602,'Policy Characteristics'!$C:$C,0)))</f>
        <v>% of CO2 captured</v>
      </c>
      <c r="P602" s="254"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4" t="str">
        <f>IF(ISBLANK(INDEX('Policy Characteristics'!K:K,MATCH($C602,'Policy Characteristics'!$C:$C,0))),"",INDEX('Policy Characteristics'!K:K,MATCH($C602,'Policy Characteristics'!$C:$C,0)))</f>
        <v>ccs.html#ccs</v>
      </c>
      <c r="R602" s="254" t="str">
        <f>IF(ISBLANK(INDEX('Policy Characteristics'!L:L,MATCH($C602,'Policy Characteristics'!$C:$C,0))),"",INDEX('Policy Characteristics'!L:L,MATCH($C602,'Policy Characteristics'!$C:$C,0)))</f>
        <v>carbon-capture-and-sequestration.html</v>
      </c>
    </row>
    <row r="603" spans="1:18" x14ac:dyDescent="0.3">
      <c r="A603" s="254" t="str">
        <f>IF(ISBLANK(INDEX('Policy Characteristics'!A:A,MATCH($C603,'Policy Characteristics'!$C:$C,0))),"",INDEX('Policy Characteristics'!A:A,MATCH($C603,'Policy Characteristics'!$C:$C,0)))</f>
        <v>Industry</v>
      </c>
      <c r="B603" s="262" t="str">
        <f>IF(ISBLANK(INDEX('Policy Characteristics'!B:B,MATCH($C603,'Policy Characteristics'!$C:$C,0))),"",INDEX('Policy Characteristics'!B:B,MATCH($C603,'Policy Characteristics'!$C:$C,0)))</f>
        <v>Carbon Capture and Sequestration</v>
      </c>
      <c r="C603" s="254" t="str">
        <f t="shared" si="33"/>
        <v>Industry Sector Fraction of Potential Additional CCS Achieved</v>
      </c>
      <c r="D603" s="6" t="s">
        <v>3074</v>
      </c>
      <c r="E603" s="6" t="s">
        <v>3023</v>
      </c>
      <c r="F603" t="s">
        <v>2580</v>
      </c>
      <c r="G603" s="45" t="s">
        <v>3024</v>
      </c>
      <c r="H603" s="43">
        <v>934</v>
      </c>
      <c r="I603" s="324" t="s">
        <v>43</v>
      </c>
      <c r="J603" s="255" t="str">
        <f>IF(ISBLANK(INDEX('Policy Characteristics'!D:D,MATCH($C603,'Policy Characteristics'!$C:$C,0))),"",INDEX('Policy Characteristics'!D:D,MATCH($C603,'Policy Characteristics'!$C:$C,0)))</f>
        <v>Industry CCS</v>
      </c>
      <c r="K603" s="254" t="str">
        <f>IF(ISBLANK(INDEX('Policy Characteristics'!E:E,MATCH($C603,'Policy Characteristics'!$C:$C,0))),"",INDEX('Policy Characteristics'!E:E,MATCH($C603,'Policy Characteristics'!$C:$C,0)))</f>
        <v>indst CCS</v>
      </c>
      <c r="L603" s="261">
        <f>IF(ISBLANK(INDEX('Policy Characteristics'!F:F,MATCH($C603,'Policy Characteristics'!$C:$C,0))),"",INDEX('Policy Characteristics'!F:F,MATCH($C603,'Policy Characteristics'!$C:$C,0)))</f>
        <v>0</v>
      </c>
      <c r="M603" s="261">
        <f>IF(ISBLANK(INDEX('Policy Characteristics'!G:G,MATCH($C603,'Policy Characteristics'!$C:$C,0))),"",INDEX('Policy Characteristics'!G:G,MATCH($C603,'Policy Characteristics'!$C:$C,0)))</f>
        <v>1</v>
      </c>
      <c r="N603" s="261">
        <f>IF(ISBLANK(INDEX('Policy Characteristics'!H:H,MATCH($C603,'Policy Characteristics'!$C:$C,0))),"",INDEX('Policy Characteristics'!H:H,MATCH($C603,'Policy Characteristics'!$C:$C,0)))</f>
        <v>0.01</v>
      </c>
      <c r="O603" s="254" t="str">
        <f>IF(ISBLANK(INDEX('Policy Characteristics'!I:I,MATCH($C603,'Policy Characteristics'!$C:$C,0))),"",INDEX('Policy Characteristics'!I:I,MATCH($C603,'Policy Characteristics'!$C:$C,0)))</f>
        <v>% of CO2 captured</v>
      </c>
      <c r="P603" s="254"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4" t="str">
        <f>IF(ISBLANK(INDEX('Policy Characteristics'!K:K,MATCH($C603,'Policy Characteristics'!$C:$C,0))),"",INDEX('Policy Characteristics'!K:K,MATCH($C603,'Policy Characteristics'!$C:$C,0)))</f>
        <v>ccs.html#ccs</v>
      </c>
      <c r="R603" s="254" t="str">
        <f>IF(ISBLANK(INDEX('Policy Characteristics'!L:L,MATCH($C603,'Policy Characteristics'!$C:$C,0))),"",INDEX('Policy Characteristics'!L:L,MATCH($C603,'Policy Characteristics'!$C:$C,0)))</f>
        <v>carbon-capture-and-sequestration.html</v>
      </c>
    </row>
    <row r="604" spans="1:18" x14ac:dyDescent="0.3">
      <c r="A604" s="254" t="str">
        <f>IF(ISBLANK(INDEX('Policy Characteristics'!A:A,MATCH($C604,'Policy Characteristics'!$C:$C,0))),"",INDEX('Policy Characteristics'!A:A,MATCH($C604,'Policy Characteristics'!$C:$C,0)))</f>
        <v>Industry</v>
      </c>
      <c r="B604" s="262" t="str">
        <f>IF(ISBLANK(INDEX('Policy Characteristics'!B:B,MATCH($C604,'Policy Characteristics'!$C:$C,0))),"",INDEX('Policy Characteristics'!B:B,MATCH($C604,'Policy Characteristics'!$C:$C,0)))</f>
        <v>Carbon Capture and Sequestration</v>
      </c>
      <c r="C604" s="254" t="str">
        <f t="shared" si="33"/>
        <v>Industry Sector Fraction of Potential Additional CCS Achieved</v>
      </c>
      <c r="D604" s="6" t="s">
        <v>3074</v>
      </c>
      <c r="E604" s="6" t="s">
        <v>2532</v>
      </c>
      <c r="F604" t="s">
        <v>2580</v>
      </c>
      <c r="G604" s="45" t="s">
        <v>3025</v>
      </c>
      <c r="H604" s="43">
        <v>935</v>
      </c>
      <c r="I604" s="324" t="s">
        <v>43</v>
      </c>
      <c r="J604" s="255" t="str">
        <f>IF(ISBLANK(INDEX('Policy Characteristics'!D:D,MATCH($C604,'Policy Characteristics'!$C:$C,0))),"",INDEX('Policy Characteristics'!D:D,MATCH($C604,'Policy Characteristics'!$C:$C,0)))</f>
        <v>Industry CCS</v>
      </c>
      <c r="K604" s="254" t="str">
        <f>IF(ISBLANK(INDEX('Policy Characteristics'!E:E,MATCH($C604,'Policy Characteristics'!$C:$C,0))),"",INDEX('Policy Characteristics'!E:E,MATCH($C604,'Policy Characteristics'!$C:$C,0)))</f>
        <v>indst CCS</v>
      </c>
      <c r="L604" s="261">
        <f>IF(ISBLANK(INDEX('Policy Characteristics'!F:F,MATCH($C604,'Policy Characteristics'!$C:$C,0))),"",INDEX('Policy Characteristics'!F:F,MATCH($C604,'Policy Characteristics'!$C:$C,0)))</f>
        <v>0</v>
      </c>
      <c r="M604" s="261">
        <f>IF(ISBLANK(INDEX('Policy Characteristics'!G:G,MATCH($C604,'Policy Characteristics'!$C:$C,0))),"",INDEX('Policy Characteristics'!G:G,MATCH($C604,'Policy Characteristics'!$C:$C,0)))</f>
        <v>1</v>
      </c>
      <c r="N604" s="261">
        <f>IF(ISBLANK(INDEX('Policy Characteristics'!H:H,MATCH($C604,'Policy Characteristics'!$C:$C,0))),"",INDEX('Policy Characteristics'!H:H,MATCH($C604,'Policy Characteristics'!$C:$C,0)))</f>
        <v>0.01</v>
      </c>
      <c r="O604" s="254" t="str">
        <f>IF(ISBLANK(INDEX('Policy Characteristics'!I:I,MATCH($C604,'Policy Characteristics'!$C:$C,0))),"",INDEX('Policy Characteristics'!I:I,MATCH($C604,'Policy Characteristics'!$C:$C,0)))</f>
        <v>% of CO2 captured</v>
      </c>
      <c r="P604" s="254"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4" t="str">
        <f>IF(ISBLANK(INDEX('Policy Characteristics'!K:K,MATCH($C604,'Policy Characteristics'!$C:$C,0))),"",INDEX('Policy Characteristics'!K:K,MATCH($C604,'Policy Characteristics'!$C:$C,0)))</f>
        <v>ccs.html#ccs</v>
      </c>
      <c r="R604" s="254" t="str">
        <f>IF(ISBLANK(INDEX('Policy Characteristics'!L:L,MATCH($C604,'Policy Characteristics'!$C:$C,0))),"",INDEX('Policy Characteristics'!L:L,MATCH($C604,'Policy Characteristics'!$C:$C,0)))</f>
        <v>carbon-capture-and-sequestration.html</v>
      </c>
    </row>
    <row r="605" spans="1:18" x14ac:dyDescent="0.3">
      <c r="A605" s="254" t="str">
        <f>IF(ISBLANK(INDEX('Policy Characteristics'!A:A,MATCH($C605,'Policy Characteristics'!$C:$C,0))),"",INDEX('Policy Characteristics'!A:A,MATCH($C605,'Policy Characteristics'!$C:$C,0)))</f>
        <v>Industry</v>
      </c>
      <c r="B605" s="262" t="str">
        <f>IF(ISBLANK(INDEX('Policy Characteristics'!B:B,MATCH($C605,'Policy Characteristics'!$C:$C,0))),"",INDEX('Policy Characteristics'!B:B,MATCH($C605,'Policy Characteristics'!$C:$C,0)))</f>
        <v>Carbon Capture and Sequestration</v>
      </c>
      <c r="C605" s="254" t="str">
        <f t="shared" si="33"/>
        <v>Industry Sector Fraction of Potential Additional CCS Achieved</v>
      </c>
      <c r="D605" s="6" t="s">
        <v>3075</v>
      </c>
      <c r="E605" s="6" t="s">
        <v>3023</v>
      </c>
      <c r="F605" t="s">
        <v>3037</v>
      </c>
      <c r="G605" s="45" t="s">
        <v>3024</v>
      </c>
      <c r="H605" s="43">
        <v>936</v>
      </c>
      <c r="I605" s="324" t="s">
        <v>43</v>
      </c>
      <c r="J605" s="255" t="str">
        <f>IF(ISBLANK(INDEX('Policy Characteristics'!D:D,MATCH($C605,'Policy Characteristics'!$C:$C,0))),"",INDEX('Policy Characteristics'!D:D,MATCH($C605,'Policy Characteristics'!$C:$C,0)))</f>
        <v>Industry CCS</v>
      </c>
      <c r="K605" s="254" t="str">
        <f>IF(ISBLANK(INDEX('Policy Characteristics'!E:E,MATCH($C605,'Policy Characteristics'!$C:$C,0))),"",INDEX('Policy Characteristics'!E:E,MATCH($C605,'Policy Characteristics'!$C:$C,0)))</f>
        <v>indst CCS</v>
      </c>
      <c r="L605" s="261">
        <f>IF(ISBLANK(INDEX('Policy Characteristics'!F:F,MATCH($C605,'Policy Characteristics'!$C:$C,0))),"",INDEX('Policy Characteristics'!F:F,MATCH($C605,'Policy Characteristics'!$C:$C,0)))</f>
        <v>0</v>
      </c>
      <c r="M605" s="261">
        <f>IF(ISBLANK(INDEX('Policy Characteristics'!G:G,MATCH($C605,'Policy Characteristics'!$C:$C,0))),"",INDEX('Policy Characteristics'!G:G,MATCH($C605,'Policy Characteristics'!$C:$C,0)))</f>
        <v>1</v>
      </c>
      <c r="N605" s="261">
        <f>IF(ISBLANK(INDEX('Policy Characteristics'!H:H,MATCH($C605,'Policy Characteristics'!$C:$C,0))),"",INDEX('Policy Characteristics'!H:H,MATCH($C605,'Policy Characteristics'!$C:$C,0)))</f>
        <v>0.01</v>
      </c>
      <c r="O605" s="254" t="str">
        <f>IF(ISBLANK(INDEX('Policy Characteristics'!I:I,MATCH($C605,'Policy Characteristics'!$C:$C,0))),"",INDEX('Policy Characteristics'!I:I,MATCH($C605,'Policy Characteristics'!$C:$C,0)))</f>
        <v>% of CO2 captured</v>
      </c>
      <c r="P605" s="254"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4" t="str">
        <f>IF(ISBLANK(INDEX('Policy Characteristics'!K:K,MATCH($C605,'Policy Characteristics'!$C:$C,0))),"",INDEX('Policy Characteristics'!K:K,MATCH($C605,'Policy Characteristics'!$C:$C,0)))</f>
        <v>ccs.html#ccs</v>
      </c>
      <c r="R605" s="254" t="str">
        <f>IF(ISBLANK(INDEX('Policy Characteristics'!L:L,MATCH($C605,'Policy Characteristics'!$C:$C,0))),"",INDEX('Policy Characteristics'!L:L,MATCH($C605,'Policy Characteristics'!$C:$C,0)))</f>
        <v>carbon-capture-and-sequestration.html</v>
      </c>
    </row>
    <row r="606" spans="1:18" x14ac:dyDescent="0.3">
      <c r="A606" s="254" t="str">
        <f>IF(ISBLANK(INDEX('Policy Characteristics'!A:A,MATCH($C606,'Policy Characteristics'!$C:$C,0))),"",INDEX('Policy Characteristics'!A:A,MATCH($C606,'Policy Characteristics'!$C:$C,0)))</f>
        <v>Industry</v>
      </c>
      <c r="B606" s="262" t="str">
        <f>IF(ISBLANK(INDEX('Policy Characteristics'!B:B,MATCH($C606,'Policy Characteristics'!$C:$C,0))),"",INDEX('Policy Characteristics'!B:B,MATCH($C606,'Policy Characteristics'!$C:$C,0)))</f>
        <v>Carbon Capture and Sequestration</v>
      </c>
      <c r="C606" s="254" t="str">
        <f t="shared" si="33"/>
        <v>Industry Sector Fraction of Potential Additional CCS Achieved</v>
      </c>
      <c r="D606" s="6" t="s">
        <v>3075</v>
      </c>
      <c r="E606" s="6" t="s">
        <v>2532</v>
      </c>
      <c r="F606" t="s">
        <v>3037</v>
      </c>
      <c r="G606" s="45" t="s">
        <v>3025</v>
      </c>
      <c r="H606" s="43">
        <v>937</v>
      </c>
      <c r="I606" s="325" t="s">
        <v>44</v>
      </c>
      <c r="J606" s="255" t="str">
        <f>IF(ISBLANK(INDEX('Policy Characteristics'!D:D,MATCH($C606,'Policy Characteristics'!$C:$C,0))),"",INDEX('Policy Characteristics'!D:D,MATCH($C606,'Policy Characteristics'!$C:$C,0)))</f>
        <v>Industry CCS</v>
      </c>
      <c r="K606" s="254" t="str">
        <f>IF(ISBLANK(INDEX('Policy Characteristics'!E:E,MATCH($C606,'Policy Characteristics'!$C:$C,0))),"",INDEX('Policy Characteristics'!E:E,MATCH($C606,'Policy Characteristics'!$C:$C,0)))</f>
        <v>indst CCS</v>
      </c>
      <c r="L606" s="261">
        <f>IF(ISBLANK(INDEX('Policy Characteristics'!F:F,MATCH($C606,'Policy Characteristics'!$C:$C,0))),"",INDEX('Policy Characteristics'!F:F,MATCH($C606,'Policy Characteristics'!$C:$C,0)))</f>
        <v>0</v>
      </c>
      <c r="M606" s="261">
        <f>IF(ISBLANK(INDEX('Policy Characteristics'!G:G,MATCH($C606,'Policy Characteristics'!$C:$C,0))),"",INDEX('Policy Characteristics'!G:G,MATCH($C606,'Policy Characteristics'!$C:$C,0)))</f>
        <v>1</v>
      </c>
      <c r="N606" s="261">
        <f>IF(ISBLANK(INDEX('Policy Characteristics'!H:H,MATCH($C606,'Policy Characteristics'!$C:$C,0))),"",INDEX('Policy Characteristics'!H:H,MATCH($C606,'Policy Characteristics'!$C:$C,0)))</f>
        <v>0.01</v>
      </c>
      <c r="O606" s="254" t="str">
        <f>IF(ISBLANK(INDEX('Policy Characteristics'!I:I,MATCH($C606,'Policy Characteristics'!$C:$C,0))),"",INDEX('Policy Characteristics'!I:I,MATCH($C606,'Policy Characteristics'!$C:$C,0)))</f>
        <v>% of CO2 captured</v>
      </c>
      <c r="P606" s="254"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4" t="str">
        <f>IF(ISBLANK(INDEX('Policy Characteristics'!K:K,MATCH($C606,'Policy Characteristics'!$C:$C,0))),"",INDEX('Policy Characteristics'!K:K,MATCH($C606,'Policy Characteristics'!$C:$C,0)))</f>
        <v>ccs.html#ccs</v>
      </c>
      <c r="R606" s="254" t="str">
        <f>IF(ISBLANK(INDEX('Policy Characteristics'!L:L,MATCH($C606,'Policy Characteristics'!$C:$C,0))),"",INDEX('Policy Characteristics'!L:L,MATCH($C606,'Policy Characteristics'!$C:$C,0)))</f>
        <v>carbon-capture-and-sequestration.html</v>
      </c>
    </row>
    <row r="607" spans="1:18" x14ac:dyDescent="0.3">
      <c r="A607" s="254" t="str">
        <f>IF(ISBLANK(INDEX('Policy Characteristics'!A:A,MATCH($C607,'Policy Characteristics'!$C:$C,0))),"",INDEX('Policy Characteristics'!A:A,MATCH($C607,'Policy Characteristics'!$C:$C,0)))</f>
        <v>Industry</v>
      </c>
      <c r="B607" s="262" t="str">
        <f>IF(ISBLANK(INDEX('Policy Characteristics'!B:B,MATCH($C607,'Policy Characteristics'!$C:$C,0))),"",INDEX('Policy Characteristics'!B:B,MATCH($C607,'Policy Characteristics'!$C:$C,0)))</f>
        <v>Carbon Capture and Sequestration</v>
      </c>
      <c r="C607" s="254" t="str">
        <f t="shared" si="33"/>
        <v>Industry Sector Fraction of Potential Additional CCS Achieved</v>
      </c>
      <c r="D607" s="6" t="s">
        <v>3076</v>
      </c>
      <c r="E607" s="6" t="s">
        <v>3023</v>
      </c>
      <c r="F607" t="s">
        <v>3038</v>
      </c>
      <c r="G607" s="45" t="s">
        <v>3024</v>
      </c>
      <c r="H607" s="43">
        <v>938</v>
      </c>
      <c r="I607" s="324" t="s">
        <v>43</v>
      </c>
      <c r="J607" s="255" t="str">
        <f>IF(ISBLANK(INDEX('Policy Characteristics'!D:D,MATCH($C607,'Policy Characteristics'!$C:$C,0))),"",INDEX('Policy Characteristics'!D:D,MATCH($C607,'Policy Characteristics'!$C:$C,0)))</f>
        <v>Industry CCS</v>
      </c>
      <c r="K607" s="254" t="str">
        <f>IF(ISBLANK(INDEX('Policy Characteristics'!E:E,MATCH($C607,'Policy Characteristics'!$C:$C,0))),"",INDEX('Policy Characteristics'!E:E,MATCH($C607,'Policy Characteristics'!$C:$C,0)))</f>
        <v>indst CCS</v>
      </c>
      <c r="L607" s="261">
        <f>IF(ISBLANK(INDEX('Policy Characteristics'!F:F,MATCH($C607,'Policy Characteristics'!$C:$C,0))),"",INDEX('Policy Characteristics'!F:F,MATCH($C607,'Policy Characteristics'!$C:$C,0)))</f>
        <v>0</v>
      </c>
      <c r="M607" s="261">
        <f>IF(ISBLANK(INDEX('Policy Characteristics'!G:G,MATCH($C607,'Policy Characteristics'!$C:$C,0))),"",INDEX('Policy Characteristics'!G:G,MATCH($C607,'Policy Characteristics'!$C:$C,0)))</f>
        <v>1</v>
      </c>
      <c r="N607" s="261">
        <f>IF(ISBLANK(INDEX('Policy Characteristics'!H:H,MATCH($C607,'Policy Characteristics'!$C:$C,0))),"",INDEX('Policy Characteristics'!H:H,MATCH($C607,'Policy Characteristics'!$C:$C,0)))</f>
        <v>0.01</v>
      </c>
      <c r="O607" s="254" t="str">
        <f>IF(ISBLANK(INDEX('Policy Characteristics'!I:I,MATCH($C607,'Policy Characteristics'!$C:$C,0))),"",INDEX('Policy Characteristics'!I:I,MATCH($C607,'Policy Characteristics'!$C:$C,0)))</f>
        <v>% of CO2 captured</v>
      </c>
      <c r="P607" s="254"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4" t="str">
        <f>IF(ISBLANK(INDEX('Policy Characteristics'!K:K,MATCH($C607,'Policy Characteristics'!$C:$C,0))),"",INDEX('Policy Characteristics'!K:K,MATCH($C607,'Policy Characteristics'!$C:$C,0)))</f>
        <v>ccs.html#ccs</v>
      </c>
      <c r="R607" s="254" t="str">
        <f>IF(ISBLANK(INDEX('Policy Characteristics'!L:L,MATCH($C607,'Policy Characteristics'!$C:$C,0))),"",INDEX('Policy Characteristics'!L:L,MATCH($C607,'Policy Characteristics'!$C:$C,0)))</f>
        <v>carbon-capture-and-sequestration.html</v>
      </c>
    </row>
    <row r="608" spans="1:18" x14ac:dyDescent="0.3">
      <c r="A608" s="254" t="str">
        <f>IF(ISBLANK(INDEX('Policy Characteristics'!A:A,MATCH($C608,'Policy Characteristics'!$C:$C,0))),"",INDEX('Policy Characteristics'!A:A,MATCH($C608,'Policy Characteristics'!$C:$C,0)))</f>
        <v>Industry</v>
      </c>
      <c r="B608" s="262" t="str">
        <f>IF(ISBLANK(INDEX('Policy Characteristics'!B:B,MATCH($C608,'Policy Characteristics'!$C:$C,0))),"",INDEX('Policy Characteristics'!B:B,MATCH($C608,'Policy Characteristics'!$C:$C,0)))</f>
        <v>Carbon Capture and Sequestration</v>
      </c>
      <c r="C608" s="254" t="str">
        <f t="shared" si="33"/>
        <v>Industry Sector Fraction of Potential Additional CCS Achieved</v>
      </c>
      <c r="D608" s="6" t="s">
        <v>3076</v>
      </c>
      <c r="E608" s="6" t="s">
        <v>2532</v>
      </c>
      <c r="F608" t="s">
        <v>3038</v>
      </c>
      <c r="G608" s="45" t="s">
        <v>3025</v>
      </c>
      <c r="H608" s="43">
        <v>939</v>
      </c>
      <c r="I608" s="325" t="s">
        <v>44</v>
      </c>
      <c r="J608" s="255" t="str">
        <f>IF(ISBLANK(INDEX('Policy Characteristics'!D:D,MATCH($C608,'Policy Characteristics'!$C:$C,0))),"",INDEX('Policy Characteristics'!D:D,MATCH($C608,'Policy Characteristics'!$C:$C,0)))</f>
        <v>Industry CCS</v>
      </c>
      <c r="K608" s="254" t="str">
        <f>IF(ISBLANK(INDEX('Policy Characteristics'!E:E,MATCH($C608,'Policy Characteristics'!$C:$C,0))),"",INDEX('Policy Characteristics'!E:E,MATCH($C608,'Policy Characteristics'!$C:$C,0)))</f>
        <v>indst CCS</v>
      </c>
      <c r="L608" s="261">
        <f>IF(ISBLANK(INDEX('Policy Characteristics'!F:F,MATCH($C608,'Policy Characteristics'!$C:$C,0))),"",INDEX('Policy Characteristics'!F:F,MATCH($C608,'Policy Characteristics'!$C:$C,0)))</f>
        <v>0</v>
      </c>
      <c r="M608" s="261">
        <f>IF(ISBLANK(INDEX('Policy Characteristics'!G:G,MATCH($C608,'Policy Characteristics'!$C:$C,0))),"",INDEX('Policy Characteristics'!G:G,MATCH($C608,'Policy Characteristics'!$C:$C,0)))</f>
        <v>1</v>
      </c>
      <c r="N608" s="261">
        <f>IF(ISBLANK(INDEX('Policy Characteristics'!H:H,MATCH($C608,'Policy Characteristics'!$C:$C,0))),"",INDEX('Policy Characteristics'!H:H,MATCH($C608,'Policy Characteristics'!$C:$C,0)))</f>
        <v>0.01</v>
      </c>
      <c r="O608" s="254" t="str">
        <f>IF(ISBLANK(INDEX('Policy Characteristics'!I:I,MATCH($C608,'Policy Characteristics'!$C:$C,0))),"",INDEX('Policy Characteristics'!I:I,MATCH($C608,'Policy Characteristics'!$C:$C,0)))</f>
        <v>% of CO2 captured</v>
      </c>
      <c r="P608" s="254"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4" t="str">
        <f>IF(ISBLANK(INDEX('Policy Characteristics'!K:K,MATCH($C608,'Policy Characteristics'!$C:$C,0))),"",INDEX('Policy Characteristics'!K:K,MATCH($C608,'Policy Characteristics'!$C:$C,0)))</f>
        <v>ccs.html#ccs</v>
      </c>
      <c r="R608" s="254" t="str">
        <f>IF(ISBLANK(INDEX('Policy Characteristics'!L:L,MATCH($C608,'Policy Characteristics'!$C:$C,0))),"",INDEX('Policy Characteristics'!L:L,MATCH($C608,'Policy Characteristics'!$C:$C,0)))</f>
        <v>carbon-capture-and-sequestration.html</v>
      </c>
    </row>
    <row r="609" spans="1:18" x14ac:dyDescent="0.3">
      <c r="A609" s="254" t="str">
        <f>IF(ISBLANK(INDEX('Policy Characteristics'!A:A,MATCH($C609,'Policy Characteristics'!$C:$C,0))),"",INDEX('Policy Characteristics'!A:A,MATCH($C609,'Policy Characteristics'!$C:$C,0)))</f>
        <v>Industry</v>
      </c>
      <c r="B609" s="262" t="str">
        <f>IF(ISBLANK(INDEX('Policy Characteristics'!B:B,MATCH($C609,'Policy Characteristics'!$C:$C,0))),"",INDEX('Policy Characteristics'!B:B,MATCH($C609,'Policy Characteristics'!$C:$C,0)))</f>
        <v>Carbon Capture and Sequestration</v>
      </c>
      <c r="C609" s="254" t="str">
        <f t="shared" si="33"/>
        <v>Industry Sector Fraction of Potential Additional CCS Achieved</v>
      </c>
      <c r="D609" s="6" t="s">
        <v>3077</v>
      </c>
      <c r="E609" s="6" t="s">
        <v>3023</v>
      </c>
      <c r="F609" t="s">
        <v>3039</v>
      </c>
      <c r="G609" s="45" t="s">
        <v>3024</v>
      </c>
      <c r="H609" s="43">
        <v>940</v>
      </c>
      <c r="I609" s="324" t="s">
        <v>43</v>
      </c>
      <c r="J609" s="255" t="str">
        <f>IF(ISBLANK(INDEX('Policy Characteristics'!D:D,MATCH($C609,'Policy Characteristics'!$C:$C,0))),"",INDEX('Policy Characteristics'!D:D,MATCH($C609,'Policy Characteristics'!$C:$C,0)))</f>
        <v>Industry CCS</v>
      </c>
      <c r="K609" s="254" t="str">
        <f>IF(ISBLANK(INDEX('Policy Characteristics'!E:E,MATCH($C609,'Policy Characteristics'!$C:$C,0))),"",INDEX('Policy Characteristics'!E:E,MATCH($C609,'Policy Characteristics'!$C:$C,0)))</f>
        <v>indst CCS</v>
      </c>
      <c r="L609" s="261">
        <f>IF(ISBLANK(INDEX('Policy Characteristics'!F:F,MATCH($C609,'Policy Characteristics'!$C:$C,0))),"",INDEX('Policy Characteristics'!F:F,MATCH($C609,'Policy Characteristics'!$C:$C,0)))</f>
        <v>0</v>
      </c>
      <c r="M609" s="261">
        <f>IF(ISBLANK(INDEX('Policy Characteristics'!G:G,MATCH($C609,'Policy Characteristics'!$C:$C,0))),"",INDEX('Policy Characteristics'!G:G,MATCH($C609,'Policy Characteristics'!$C:$C,0)))</f>
        <v>1</v>
      </c>
      <c r="N609" s="261">
        <f>IF(ISBLANK(INDEX('Policy Characteristics'!H:H,MATCH($C609,'Policy Characteristics'!$C:$C,0))),"",INDEX('Policy Characteristics'!H:H,MATCH($C609,'Policy Characteristics'!$C:$C,0)))</f>
        <v>0.01</v>
      </c>
      <c r="O609" s="254" t="str">
        <f>IF(ISBLANK(INDEX('Policy Characteristics'!I:I,MATCH($C609,'Policy Characteristics'!$C:$C,0))),"",INDEX('Policy Characteristics'!I:I,MATCH($C609,'Policy Characteristics'!$C:$C,0)))</f>
        <v>% of CO2 captured</v>
      </c>
      <c r="P609" s="254"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4" t="str">
        <f>IF(ISBLANK(INDEX('Policy Characteristics'!K:K,MATCH($C609,'Policy Characteristics'!$C:$C,0))),"",INDEX('Policy Characteristics'!K:K,MATCH($C609,'Policy Characteristics'!$C:$C,0)))</f>
        <v>ccs.html#ccs</v>
      </c>
      <c r="R609" s="254" t="str">
        <f>IF(ISBLANK(INDEX('Policy Characteristics'!L:L,MATCH($C609,'Policy Characteristics'!$C:$C,0))),"",INDEX('Policy Characteristics'!L:L,MATCH($C609,'Policy Characteristics'!$C:$C,0)))</f>
        <v>carbon-capture-and-sequestration.html</v>
      </c>
    </row>
    <row r="610" spans="1:18" x14ac:dyDescent="0.3">
      <c r="A610" s="254" t="str">
        <f>IF(ISBLANK(INDEX('Policy Characteristics'!A:A,MATCH($C610,'Policy Characteristics'!$C:$C,0))),"",INDEX('Policy Characteristics'!A:A,MATCH($C610,'Policy Characteristics'!$C:$C,0)))</f>
        <v>Industry</v>
      </c>
      <c r="B610" s="262" t="str">
        <f>IF(ISBLANK(INDEX('Policy Characteristics'!B:B,MATCH($C610,'Policy Characteristics'!$C:$C,0))),"",INDEX('Policy Characteristics'!B:B,MATCH($C610,'Policy Characteristics'!$C:$C,0)))</f>
        <v>Carbon Capture and Sequestration</v>
      </c>
      <c r="C610" s="254" t="str">
        <f t="shared" si="33"/>
        <v>Industry Sector Fraction of Potential Additional CCS Achieved</v>
      </c>
      <c r="D610" s="6" t="s">
        <v>3077</v>
      </c>
      <c r="E610" s="6" t="s">
        <v>2532</v>
      </c>
      <c r="F610" t="s">
        <v>3039</v>
      </c>
      <c r="G610" s="45" t="s">
        <v>3025</v>
      </c>
      <c r="H610" s="43">
        <v>941</v>
      </c>
      <c r="I610" s="325" t="s">
        <v>44</v>
      </c>
      <c r="J610" s="255" t="str">
        <f>IF(ISBLANK(INDEX('Policy Characteristics'!D:D,MATCH($C610,'Policy Characteristics'!$C:$C,0))),"",INDEX('Policy Characteristics'!D:D,MATCH($C610,'Policy Characteristics'!$C:$C,0)))</f>
        <v>Industry CCS</v>
      </c>
      <c r="K610" s="254" t="str">
        <f>IF(ISBLANK(INDEX('Policy Characteristics'!E:E,MATCH($C610,'Policy Characteristics'!$C:$C,0))),"",INDEX('Policy Characteristics'!E:E,MATCH($C610,'Policy Characteristics'!$C:$C,0)))</f>
        <v>indst CCS</v>
      </c>
      <c r="L610" s="261">
        <f>IF(ISBLANK(INDEX('Policy Characteristics'!F:F,MATCH($C610,'Policy Characteristics'!$C:$C,0))),"",INDEX('Policy Characteristics'!F:F,MATCH($C610,'Policy Characteristics'!$C:$C,0)))</f>
        <v>0</v>
      </c>
      <c r="M610" s="261">
        <f>IF(ISBLANK(INDEX('Policy Characteristics'!G:G,MATCH($C610,'Policy Characteristics'!$C:$C,0))),"",INDEX('Policy Characteristics'!G:G,MATCH($C610,'Policy Characteristics'!$C:$C,0)))</f>
        <v>1</v>
      </c>
      <c r="N610" s="261">
        <f>IF(ISBLANK(INDEX('Policy Characteristics'!H:H,MATCH($C610,'Policy Characteristics'!$C:$C,0))),"",INDEX('Policy Characteristics'!H:H,MATCH($C610,'Policy Characteristics'!$C:$C,0)))</f>
        <v>0.01</v>
      </c>
      <c r="O610" s="254" t="str">
        <f>IF(ISBLANK(INDEX('Policy Characteristics'!I:I,MATCH($C610,'Policy Characteristics'!$C:$C,0))),"",INDEX('Policy Characteristics'!I:I,MATCH($C610,'Policy Characteristics'!$C:$C,0)))</f>
        <v>% of CO2 captured</v>
      </c>
      <c r="P610" s="254"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4" t="str">
        <f>IF(ISBLANK(INDEX('Policy Characteristics'!K:K,MATCH($C610,'Policy Characteristics'!$C:$C,0))),"",INDEX('Policy Characteristics'!K:K,MATCH($C610,'Policy Characteristics'!$C:$C,0)))</f>
        <v>ccs.html#ccs</v>
      </c>
      <c r="R610" s="254" t="str">
        <f>IF(ISBLANK(INDEX('Policy Characteristics'!L:L,MATCH($C610,'Policy Characteristics'!$C:$C,0))),"",INDEX('Policy Characteristics'!L:L,MATCH($C610,'Policy Characteristics'!$C:$C,0)))</f>
        <v>carbon-capture-and-sequestration.html</v>
      </c>
    </row>
    <row r="611" spans="1:18" x14ac:dyDescent="0.3">
      <c r="A611" s="254" t="str">
        <f>IF(ISBLANK(INDEX('Policy Characteristics'!A:A,MATCH($C611,'Policy Characteristics'!$C:$C,0))),"",INDEX('Policy Characteristics'!A:A,MATCH($C611,'Policy Characteristics'!$C:$C,0)))</f>
        <v>Industry</v>
      </c>
      <c r="B611" s="262" t="str">
        <f>IF(ISBLANK(INDEX('Policy Characteristics'!B:B,MATCH($C611,'Policy Characteristics'!$C:$C,0))),"",INDEX('Policy Characteristics'!B:B,MATCH($C611,'Policy Characteristics'!$C:$C,0)))</f>
        <v>Carbon Capture and Sequestration</v>
      </c>
      <c r="C611" s="254" t="str">
        <f t="shared" si="33"/>
        <v>Industry Sector Fraction of Potential Additional CCS Achieved</v>
      </c>
      <c r="D611" s="6" t="s">
        <v>3078</v>
      </c>
      <c r="E611" s="6" t="s">
        <v>3023</v>
      </c>
      <c r="F611" t="s">
        <v>3040</v>
      </c>
      <c r="G611" s="45" t="s">
        <v>3024</v>
      </c>
      <c r="H611" s="43">
        <v>942</v>
      </c>
      <c r="I611" s="324" t="s">
        <v>43</v>
      </c>
      <c r="J611" s="255" t="str">
        <f>IF(ISBLANK(INDEX('Policy Characteristics'!D:D,MATCH($C611,'Policy Characteristics'!$C:$C,0))),"",INDEX('Policy Characteristics'!D:D,MATCH($C611,'Policy Characteristics'!$C:$C,0)))</f>
        <v>Industry CCS</v>
      </c>
      <c r="K611" s="254" t="str">
        <f>IF(ISBLANK(INDEX('Policy Characteristics'!E:E,MATCH($C611,'Policy Characteristics'!$C:$C,0))),"",INDEX('Policy Characteristics'!E:E,MATCH($C611,'Policy Characteristics'!$C:$C,0)))</f>
        <v>indst CCS</v>
      </c>
      <c r="L611" s="261">
        <f>IF(ISBLANK(INDEX('Policy Characteristics'!F:F,MATCH($C611,'Policy Characteristics'!$C:$C,0))),"",INDEX('Policy Characteristics'!F:F,MATCH($C611,'Policy Characteristics'!$C:$C,0)))</f>
        <v>0</v>
      </c>
      <c r="M611" s="261">
        <f>IF(ISBLANK(INDEX('Policy Characteristics'!G:G,MATCH($C611,'Policy Characteristics'!$C:$C,0))),"",INDEX('Policy Characteristics'!G:G,MATCH($C611,'Policy Characteristics'!$C:$C,0)))</f>
        <v>1</v>
      </c>
      <c r="N611" s="261">
        <f>IF(ISBLANK(INDEX('Policy Characteristics'!H:H,MATCH($C611,'Policy Characteristics'!$C:$C,0))),"",INDEX('Policy Characteristics'!H:H,MATCH($C611,'Policy Characteristics'!$C:$C,0)))</f>
        <v>0.01</v>
      </c>
      <c r="O611" s="254" t="str">
        <f>IF(ISBLANK(INDEX('Policy Characteristics'!I:I,MATCH($C611,'Policy Characteristics'!$C:$C,0))),"",INDEX('Policy Characteristics'!I:I,MATCH($C611,'Policy Characteristics'!$C:$C,0)))</f>
        <v>% of CO2 captured</v>
      </c>
      <c r="P611" s="254"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4" t="str">
        <f>IF(ISBLANK(INDEX('Policy Characteristics'!K:K,MATCH($C611,'Policy Characteristics'!$C:$C,0))),"",INDEX('Policy Characteristics'!K:K,MATCH($C611,'Policy Characteristics'!$C:$C,0)))</f>
        <v>ccs.html#ccs</v>
      </c>
      <c r="R611" s="254" t="str">
        <f>IF(ISBLANK(INDEX('Policy Characteristics'!L:L,MATCH($C611,'Policy Characteristics'!$C:$C,0))),"",INDEX('Policy Characteristics'!L:L,MATCH($C611,'Policy Characteristics'!$C:$C,0)))</f>
        <v>carbon-capture-and-sequestration.html</v>
      </c>
    </row>
    <row r="612" spans="1:18" x14ac:dyDescent="0.3">
      <c r="A612" s="254" t="str">
        <f>IF(ISBLANK(INDEX('Policy Characteristics'!A:A,MATCH($C612,'Policy Characteristics'!$C:$C,0))),"",INDEX('Policy Characteristics'!A:A,MATCH($C612,'Policy Characteristics'!$C:$C,0)))</f>
        <v>Industry</v>
      </c>
      <c r="B612" s="262" t="str">
        <f>IF(ISBLANK(INDEX('Policy Characteristics'!B:B,MATCH($C612,'Policy Characteristics'!$C:$C,0))),"",INDEX('Policy Characteristics'!B:B,MATCH($C612,'Policy Characteristics'!$C:$C,0)))</f>
        <v>Carbon Capture and Sequestration</v>
      </c>
      <c r="C612" s="254" t="str">
        <f t="shared" si="33"/>
        <v>Industry Sector Fraction of Potential Additional CCS Achieved</v>
      </c>
      <c r="D612" s="6" t="s">
        <v>3078</v>
      </c>
      <c r="E612" s="6" t="s">
        <v>2532</v>
      </c>
      <c r="F612" t="s">
        <v>3040</v>
      </c>
      <c r="G612" s="45" t="s">
        <v>3025</v>
      </c>
      <c r="H612" s="43">
        <v>943</v>
      </c>
      <c r="I612" s="325" t="s">
        <v>44</v>
      </c>
      <c r="J612" s="255" t="str">
        <f>IF(ISBLANK(INDEX('Policy Characteristics'!D:D,MATCH($C612,'Policy Characteristics'!$C:$C,0))),"",INDEX('Policy Characteristics'!D:D,MATCH($C612,'Policy Characteristics'!$C:$C,0)))</f>
        <v>Industry CCS</v>
      </c>
      <c r="K612" s="254" t="str">
        <f>IF(ISBLANK(INDEX('Policy Characteristics'!E:E,MATCH($C612,'Policy Characteristics'!$C:$C,0))),"",INDEX('Policy Characteristics'!E:E,MATCH($C612,'Policy Characteristics'!$C:$C,0)))</f>
        <v>indst CCS</v>
      </c>
      <c r="L612" s="261">
        <f>IF(ISBLANK(INDEX('Policy Characteristics'!F:F,MATCH($C612,'Policy Characteristics'!$C:$C,0))),"",INDEX('Policy Characteristics'!F:F,MATCH($C612,'Policy Characteristics'!$C:$C,0)))</f>
        <v>0</v>
      </c>
      <c r="M612" s="261">
        <f>IF(ISBLANK(INDEX('Policy Characteristics'!G:G,MATCH($C612,'Policy Characteristics'!$C:$C,0))),"",INDEX('Policy Characteristics'!G:G,MATCH($C612,'Policy Characteristics'!$C:$C,0)))</f>
        <v>1</v>
      </c>
      <c r="N612" s="261">
        <f>IF(ISBLANK(INDEX('Policy Characteristics'!H:H,MATCH($C612,'Policy Characteristics'!$C:$C,0))),"",INDEX('Policy Characteristics'!H:H,MATCH($C612,'Policy Characteristics'!$C:$C,0)))</f>
        <v>0.01</v>
      </c>
      <c r="O612" s="254" t="str">
        <f>IF(ISBLANK(INDEX('Policy Characteristics'!I:I,MATCH($C612,'Policy Characteristics'!$C:$C,0))),"",INDEX('Policy Characteristics'!I:I,MATCH($C612,'Policy Characteristics'!$C:$C,0)))</f>
        <v>% of CO2 captured</v>
      </c>
      <c r="P612" s="254"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4" t="str">
        <f>IF(ISBLANK(INDEX('Policy Characteristics'!K:K,MATCH($C612,'Policy Characteristics'!$C:$C,0))),"",INDEX('Policy Characteristics'!K:K,MATCH($C612,'Policy Characteristics'!$C:$C,0)))</f>
        <v>ccs.html#ccs</v>
      </c>
      <c r="R612" s="254" t="str">
        <f>IF(ISBLANK(INDEX('Policy Characteristics'!L:L,MATCH($C612,'Policy Characteristics'!$C:$C,0))),"",INDEX('Policy Characteristics'!L:L,MATCH($C612,'Policy Characteristics'!$C:$C,0)))</f>
        <v>carbon-capture-and-sequestration.html</v>
      </c>
    </row>
    <row r="613" spans="1:18" x14ac:dyDescent="0.3">
      <c r="A613" s="254" t="str">
        <f>IF(ISBLANK(INDEX('Policy Characteristics'!A:A,MATCH($C613,'Policy Characteristics'!$C:$C,0))),"",INDEX('Policy Characteristics'!A:A,MATCH($C613,'Policy Characteristics'!$C:$C,0)))</f>
        <v>Industry</v>
      </c>
      <c r="B613" s="262" t="str">
        <f>IF(ISBLANK(INDEX('Policy Characteristics'!B:B,MATCH($C613,'Policy Characteristics'!$C:$C,0))),"",INDEX('Policy Characteristics'!B:B,MATCH($C613,'Policy Characteristics'!$C:$C,0)))</f>
        <v>Carbon Capture and Sequestration</v>
      </c>
      <c r="C613" s="254" t="str">
        <f t="shared" si="33"/>
        <v>Industry Sector Fraction of Potential Additional CCS Achieved</v>
      </c>
      <c r="D613" s="6" t="s">
        <v>3079</v>
      </c>
      <c r="E613" s="6" t="s">
        <v>3023</v>
      </c>
      <c r="F613" t="s">
        <v>3041</v>
      </c>
      <c r="G613" s="45" t="s">
        <v>3024</v>
      </c>
      <c r="H613" s="43">
        <v>944</v>
      </c>
      <c r="I613" s="324" t="s">
        <v>43</v>
      </c>
      <c r="J613" s="255" t="str">
        <f>IF(ISBLANK(INDEX('Policy Characteristics'!D:D,MATCH($C613,'Policy Characteristics'!$C:$C,0))),"",INDEX('Policy Characteristics'!D:D,MATCH($C613,'Policy Characteristics'!$C:$C,0)))</f>
        <v>Industry CCS</v>
      </c>
      <c r="K613" s="254" t="str">
        <f>IF(ISBLANK(INDEX('Policy Characteristics'!E:E,MATCH($C613,'Policy Characteristics'!$C:$C,0))),"",INDEX('Policy Characteristics'!E:E,MATCH($C613,'Policy Characteristics'!$C:$C,0)))</f>
        <v>indst CCS</v>
      </c>
      <c r="L613" s="261">
        <f>IF(ISBLANK(INDEX('Policy Characteristics'!F:F,MATCH($C613,'Policy Characteristics'!$C:$C,0))),"",INDEX('Policy Characteristics'!F:F,MATCH($C613,'Policy Characteristics'!$C:$C,0)))</f>
        <v>0</v>
      </c>
      <c r="M613" s="261">
        <f>IF(ISBLANK(INDEX('Policy Characteristics'!G:G,MATCH($C613,'Policy Characteristics'!$C:$C,0))),"",INDEX('Policy Characteristics'!G:G,MATCH($C613,'Policy Characteristics'!$C:$C,0)))</f>
        <v>1</v>
      </c>
      <c r="N613" s="261">
        <f>IF(ISBLANK(INDEX('Policy Characteristics'!H:H,MATCH($C613,'Policy Characteristics'!$C:$C,0))),"",INDEX('Policy Characteristics'!H:H,MATCH($C613,'Policy Characteristics'!$C:$C,0)))</f>
        <v>0.01</v>
      </c>
      <c r="O613" s="254" t="str">
        <f>IF(ISBLANK(INDEX('Policy Characteristics'!I:I,MATCH($C613,'Policy Characteristics'!$C:$C,0))),"",INDEX('Policy Characteristics'!I:I,MATCH($C613,'Policy Characteristics'!$C:$C,0)))</f>
        <v>% of CO2 captured</v>
      </c>
      <c r="P613" s="254"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4" t="str">
        <f>IF(ISBLANK(INDEX('Policy Characteristics'!K:K,MATCH($C613,'Policy Characteristics'!$C:$C,0))),"",INDEX('Policy Characteristics'!K:K,MATCH($C613,'Policy Characteristics'!$C:$C,0)))</f>
        <v>ccs.html#ccs</v>
      </c>
      <c r="R613" s="254" t="str">
        <f>IF(ISBLANK(INDEX('Policy Characteristics'!L:L,MATCH($C613,'Policy Characteristics'!$C:$C,0))),"",INDEX('Policy Characteristics'!L:L,MATCH($C613,'Policy Characteristics'!$C:$C,0)))</f>
        <v>carbon-capture-and-sequestration.html</v>
      </c>
    </row>
    <row r="614" spans="1:18" x14ac:dyDescent="0.3">
      <c r="A614" s="254" t="str">
        <f>IF(ISBLANK(INDEX('Policy Characteristics'!A:A,MATCH($C614,'Policy Characteristics'!$C:$C,0))),"",INDEX('Policy Characteristics'!A:A,MATCH($C614,'Policy Characteristics'!$C:$C,0)))</f>
        <v>Industry</v>
      </c>
      <c r="B614" s="262" t="str">
        <f>IF(ISBLANK(INDEX('Policy Characteristics'!B:B,MATCH($C614,'Policy Characteristics'!$C:$C,0))),"",INDEX('Policy Characteristics'!B:B,MATCH($C614,'Policy Characteristics'!$C:$C,0)))</f>
        <v>Carbon Capture and Sequestration</v>
      </c>
      <c r="C614" s="254" t="str">
        <f t="shared" si="33"/>
        <v>Industry Sector Fraction of Potential Additional CCS Achieved</v>
      </c>
      <c r="D614" s="6" t="s">
        <v>3079</v>
      </c>
      <c r="E614" s="6" t="s">
        <v>2532</v>
      </c>
      <c r="F614" t="s">
        <v>3041</v>
      </c>
      <c r="G614" s="45" t="s">
        <v>3025</v>
      </c>
      <c r="H614" s="43">
        <v>945</v>
      </c>
      <c r="I614" s="325" t="s">
        <v>44</v>
      </c>
      <c r="J614" s="255" t="str">
        <f>IF(ISBLANK(INDEX('Policy Characteristics'!D:D,MATCH($C614,'Policy Characteristics'!$C:$C,0))),"",INDEX('Policy Characteristics'!D:D,MATCH($C614,'Policy Characteristics'!$C:$C,0)))</f>
        <v>Industry CCS</v>
      </c>
      <c r="K614" s="254" t="str">
        <f>IF(ISBLANK(INDEX('Policy Characteristics'!E:E,MATCH($C614,'Policy Characteristics'!$C:$C,0))),"",INDEX('Policy Characteristics'!E:E,MATCH($C614,'Policy Characteristics'!$C:$C,0)))</f>
        <v>indst CCS</v>
      </c>
      <c r="L614" s="261">
        <f>IF(ISBLANK(INDEX('Policy Characteristics'!F:F,MATCH($C614,'Policy Characteristics'!$C:$C,0))),"",INDEX('Policy Characteristics'!F:F,MATCH($C614,'Policy Characteristics'!$C:$C,0)))</f>
        <v>0</v>
      </c>
      <c r="M614" s="261">
        <f>IF(ISBLANK(INDEX('Policy Characteristics'!G:G,MATCH($C614,'Policy Characteristics'!$C:$C,0))),"",INDEX('Policy Characteristics'!G:G,MATCH($C614,'Policy Characteristics'!$C:$C,0)))</f>
        <v>1</v>
      </c>
      <c r="N614" s="261">
        <f>IF(ISBLANK(INDEX('Policy Characteristics'!H:H,MATCH($C614,'Policy Characteristics'!$C:$C,0))),"",INDEX('Policy Characteristics'!H:H,MATCH($C614,'Policy Characteristics'!$C:$C,0)))</f>
        <v>0.01</v>
      </c>
      <c r="O614" s="254" t="str">
        <f>IF(ISBLANK(INDEX('Policy Characteristics'!I:I,MATCH($C614,'Policy Characteristics'!$C:$C,0))),"",INDEX('Policy Characteristics'!I:I,MATCH($C614,'Policy Characteristics'!$C:$C,0)))</f>
        <v>% of CO2 captured</v>
      </c>
      <c r="P614" s="254"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4" t="str">
        <f>IF(ISBLANK(INDEX('Policy Characteristics'!K:K,MATCH($C614,'Policy Characteristics'!$C:$C,0))),"",INDEX('Policy Characteristics'!K:K,MATCH($C614,'Policy Characteristics'!$C:$C,0)))</f>
        <v>ccs.html#ccs</v>
      </c>
      <c r="R614" s="254" t="str">
        <f>IF(ISBLANK(INDEX('Policy Characteristics'!L:L,MATCH($C614,'Policy Characteristics'!$C:$C,0))),"",INDEX('Policy Characteristics'!L:L,MATCH($C614,'Policy Characteristics'!$C:$C,0)))</f>
        <v>carbon-capture-and-sequestration.html</v>
      </c>
    </row>
    <row r="615" spans="1:18" x14ac:dyDescent="0.3">
      <c r="A615" s="254" t="str">
        <f>IF(ISBLANK(INDEX('Policy Characteristics'!A:A,MATCH($C615,'Policy Characteristics'!$C:$C,0))),"",INDEX('Policy Characteristics'!A:A,MATCH($C615,'Policy Characteristics'!$C:$C,0)))</f>
        <v>Industry</v>
      </c>
      <c r="B615" s="262" t="str">
        <f>IF(ISBLANK(INDEX('Policy Characteristics'!B:B,MATCH($C615,'Policy Characteristics'!$C:$C,0))),"",INDEX('Policy Characteristics'!B:B,MATCH($C615,'Policy Characteristics'!$C:$C,0)))</f>
        <v>Carbon Capture and Sequestration</v>
      </c>
      <c r="C615" s="254" t="str">
        <f t="shared" si="33"/>
        <v>Industry Sector Fraction of Potential Additional CCS Achieved</v>
      </c>
      <c r="D615" s="6" t="s">
        <v>3080</v>
      </c>
      <c r="E615" s="6" t="s">
        <v>3023</v>
      </c>
      <c r="F615" t="s">
        <v>3042</v>
      </c>
      <c r="G615" s="45" t="s">
        <v>3024</v>
      </c>
      <c r="H615" s="43">
        <v>946</v>
      </c>
      <c r="I615" s="324" t="s">
        <v>43</v>
      </c>
      <c r="J615" s="255" t="str">
        <f>IF(ISBLANK(INDEX('Policy Characteristics'!D:D,MATCH($C615,'Policy Characteristics'!$C:$C,0))),"",INDEX('Policy Characteristics'!D:D,MATCH($C615,'Policy Characteristics'!$C:$C,0)))</f>
        <v>Industry CCS</v>
      </c>
      <c r="K615" s="254" t="str">
        <f>IF(ISBLANK(INDEX('Policy Characteristics'!E:E,MATCH($C615,'Policy Characteristics'!$C:$C,0))),"",INDEX('Policy Characteristics'!E:E,MATCH($C615,'Policy Characteristics'!$C:$C,0)))</f>
        <v>indst CCS</v>
      </c>
      <c r="L615" s="261">
        <f>IF(ISBLANK(INDEX('Policy Characteristics'!F:F,MATCH($C615,'Policy Characteristics'!$C:$C,0))),"",INDEX('Policy Characteristics'!F:F,MATCH($C615,'Policy Characteristics'!$C:$C,0)))</f>
        <v>0</v>
      </c>
      <c r="M615" s="261">
        <f>IF(ISBLANK(INDEX('Policy Characteristics'!G:G,MATCH($C615,'Policy Characteristics'!$C:$C,0))),"",INDEX('Policy Characteristics'!G:G,MATCH($C615,'Policy Characteristics'!$C:$C,0)))</f>
        <v>1</v>
      </c>
      <c r="N615" s="261">
        <f>IF(ISBLANK(INDEX('Policy Characteristics'!H:H,MATCH($C615,'Policy Characteristics'!$C:$C,0))),"",INDEX('Policy Characteristics'!H:H,MATCH($C615,'Policy Characteristics'!$C:$C,0)))</f>
        <v>0.01</v>
      </c>
      <c r="O615" s="254" t="str">
        <f>IF(ISBLANK(INDEX('Policy Characteristics'!I:I,MATCH($C615,'Policy Characteristics'!$C:$C,0))),"",INDEX('Policy Characteristics'!I:I,MATCH($C615,'Policy Characteristics'!$C:$C,0)))</f>
        <v>% of CO2 captured</v>
      </c>
      <c r="P615" s="254"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4" t="str">
        <f>IF(ISBLANK(INDEX('Policy Characteristics'!K:K,MATCH($C615,'Policy Characteristics'!$C:$C,0))),"",INDEX('Policy Characteristics'!K:K,MATCH($C615,'Policy Characteristics'!$C:$C,0)))</f>
        <v>ccs.html#ccs</v>
      </c>
      <c r="R615" s="254" t="str">
        <f>IF(ISBLANK(INDEX('Policy Characteristics'!L:L,MATCH($C615,'Policy Characteristics'!$C:$C,0))),"",INDEX('Policy Characteristics'!L:L,MATCH($C615,'Policy Characteristics'!$C:$C,0)))</f>
        <v>carbon-capture-and-sequestration.html</v>
      </c>
    </row>
    <row r="616" spans="1:18" x14ac:dyDescent="0.3">
      <c r="A616" s="254" t="str">
        <f>IF(ISBLANK(INDEX('Policy Characteristics'!A:A,MATCH($C616,'Policy Characteristics'!$C:$C,0))),"",INDEX('Policy Characteristics'!A:A,MATCH($C616,'Policy Characteristics'!$C:$C,0)))</f>
        <v>Industry</v>
      </c>
      <c r="B616" s="262" t="str">
        <f>IF(ISBLANK(INDEX('Policy Characteristics'!B:B,MATCH($C616,'Policy Characteristics'!$C:$C,0))),"",INDEX('Policy Characteristics'!B:B,MATCH($C616,'Policy Characteristics'!$C:$C,0)))</f>
        <v>Carbon Capture and Sequestration</v>
      </c>
      <c r="C616" s="254" t="str">
        <f t="shared" si="33"/>
        <v>Industry Sector Fraction of Potential Additional CCS Achieved</v>
      </c>
      <c r="D616" s="6" t="s">
        <v>3080</v>
      </c>
      <c r="E616" s="6" t="s">
        <v>2532</v>
      </c>
      <c r="F616" t="s">
        <v>3042</v>
      </c>
      <c r="G616" s="45" t="s">
        <v>3025</v>
      </c>
      <c r="H616" s="43">
        <v>947</v>
      </c>
      <c r="I616" s="325" t="s">
        <v>44</v>
      </c>
      <c r="J616" s="255" t="str">
        <f>IF(ISBLANK(INDEX('Policy Characteristics'!D:D,MATCH($C616,'Policy Characteristics'!$C:$C,0))),"",INDEX('Policy Characteristics'!D:D,MATCH($C616,'Policy Characteristics'!$C:$C,0)))</f>
        <v>Industry CCS</v>
      </c>
      <c r="K616" s="254" t="str">
        <f>IF(ISBLANK(INDEX('Policy Characteristics'!E:E,MATCH($C616,'Policy Characteristics'!$C:$C,0))),"",INDEX('Policy Characteristics'!E:E,MATCH($C616,'Policy Characteristics'!$C:$C,0)))</f>
        <v>indst CCS</v>
      </c>
      <c r="L616" s="261">
        <f>IF(ISBLANK(INDEX('Policy Characteristics'!F:F,MATCH($C616,'Policy Characteristics'!$C:$C,0))),"",INDEX('Policy Characteristics'!F:F,MATCH($C616,'Policy Characteristics'!$C:$C,0)))</f>
        <v>0</v>
      </c>
      <c r="M616" s="261">
        <f>IF(ISBLANK(INDEX('Policy Characteristics'!G:G,MATCH($C616,'Policy Characteristics'!$C:$C,0))),"",INDEX('Policy Characteristics'!G:G,MATCH($C616,'Policy Characteristics'!$C:$C,0)))</f>
        <v>1</v>
      </c>
      <c r="N616" s="261">
        <f>IF(ISBLANK(INDEX('Policy Characteristics'!H:H,MATCH($C616,'Policy Characteristics'!$C:$C,0))),"",INDEX('Policy Characteristics'!H:H,MATCH($C616,'Policy Characteristics'!$C:$C,0)))</f>
        <v>0.01</v>
      </c>
      <c r="O616" s="254" t="str">
        <f>IF(ISBLANK(INDEX('Policy Characteristics'!I:I,MATCH($C616,'Policy Characteristics'!$C:$C,0))),"",INDEX('Policy Characteristics'!I:I,MATCH($C616,'Policy Characteristics'!$C:$C,0)))</f>
        <v>% of CO2 captured</v>
      </c>
      <c r="P616" s="254"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4" t="str">
        <f>IF(ISBLANK(INDEX('Policy Characteristics'!K:K,MATCH($C616,'Policy Characteristics'!$C:$C,0))),"",INDEX('Policy Characteristics'!K:K,MATCH($C616,'Policy Characteristics'!$C:$C,0)))</f>
        <v>ccs.html#ccs</v>
      </c>
      <c r="R616" s="254" t="str">
        <f>IF(ISBLANK(INDEX('Policy Characteristics'!L:L,MATCH($C616,'Policy Characteristics'!$C:$C,0))),"",INDEX('Policy Characteristics'!L:L,MATCH($C616,'Policy Characteristics'!$C:$C,0)))</f>
        <v>carbon-capture-and-sequestration.html</v>
      </c>
    </row>
    <row r="617" spans="1:18" x14ac:dyDescent="0.3">
      <c r="A617" s="254" t="str">
        <f>IF(ISBLANK(INDEX('Policy Characteristics'!A:A,MATCH($C617,'Policy Characteristics'!$C:$C,0))),"",INDEX('Policy Characteristics'!A:A,MATCH($C617,'Policy Characteristics'!$C:$C,0)))</f>
        <v>Industry</v>
      </c>
      <c r="B617" s="262" t="str">
        <f>IF(ISBLANK(INDEX('Policy Characteristics'!B:B,MATCH($C617,'Policy Characteristics'!$C:$C,0))),"",INDEX('Policy Characteristics'!B:B,MATCH($C617,'Policy Characteristics'!$C:$C,0)))</f>
        <v>Carbon Capture and Sequestration</v>
      </c>
      <c r="C617" s="254" t="str">
        <f t="shared" si="33"/>
        <v>Industry Sector Fraction of Potential Additional CCS Achieved</v>
      </c>
      <c r="D617" s="6" t="s">
        <v>3081</v>
      </c>
      <c r="E617" s="6" t="s">
        <v>3023</v>
      </c>
      <c r="F617" t="s">
        <v>3043</v>
      </c>
      <c r="G617" s="45" t="s">
        <v>3024</v>
      </c>
      <c r="H617" s="43">
        <v>948</v>
      </c>
      <c r="I617" s="324" t="s">
        <v>43</v>
      </c>
      <c r="J617" s="255" t="str">
        <f>IF(ISBLANK(INDEX('Policy Characteristics'!D:D,MATCH($C617,'Policy Characteristics'!$C:$C,0))),"",INDEX('Policy Characteristics'!D:D,MATCH($C617,'Policy Characteristics'!$C:$C,0)))</f>
        <v>Industry CCS</v>
      </c>
      <c r="K617" s="254" t="str">
        <f>IF(ISBLANK(INDEX('Policy Characteristics'!E:E,MATCH($C617,'Policy Characteristics'!$C:$C,0))),"",INDEX('Policy Characteristics'!E:E,MATCH($C617,'Policy Characteristics'!$C:$C,0)))</f>
        <v>indst CCS</v>
      </c>
      <c r="L617" s="261">
        <f>IF(ISBLANK(INDEX('Policy Characteristics'!F:F,MATCH($C617,'Policy Characteristics'!$C:$C,0))),"",INDEX('Policy Characteristics'!F:F,MATCH($C617,'Policy Characteristics'!$C:$C,0)))</f>
        <v>0</v>
      </c>
      <c r="M617" s="261">
        <f>IF(ISBLANK(INDEX('Policy Characteristics'!G:G,MATCH($C617,'Policy Characteristics'!$C:$C,0))),"",INDEX('Policy Characteristics'!G:G,MATCH($C617,'Policy Characteristics'!$C:$C,0)))</f>
        <v>1</v>
      </c>
      <c r="N617" s="261">
        <f>IF(ISBLANK(INDEX('Policy Characteristics'!H:H,MATCH($C617,'Policy Characteristics'!$C:$C,0))),"",INDEX('Policy Characteristics'!H:H,MATCH($C617,'Policy Characteristics'!$C:$C,0)))</f>
        <v>0.01</v>
      </c>
      <c r="O617" s="254" t="str">
        <f>IF(ISBLANK(INDEX('Policy Characteristics'!I:I,MATCH($C617,'Policy Characteristics'!$C:$C,0))),"",INDEX('Policy Characteristics'!I:I,MATCH($C617,'Policy Characteristics'!$C:$C,0)))</f>
        <v>% of CO2 captured</v>
      </c>
      <c r="P617" s="254"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4" t="str">
        <f>IF(ISBLANK(INDEX('Policy Characteristics'!K:K,MATCH($C617,'Policy Characteristics'!$C:$C,0))),"",INDEX('Policy Characteristics'!K:K,MATCH($C617,'Policy Characteristics'!$C:$C,0)))</f>
        <v>ccs.html#ccs</v>
      </c>
      <c r="R617" s="254" t="str">
        <f>IF(ISBLANK(INDEX('Policy Characteristics'!L:L,MATCH($C617,'Policy Characteristics'!$C:$C,0))),"",INDEX('Policy Characteristics'!L:L,MATCH($C617,'Policy Characteristics'!$C:$C,0)))</f>
        <v>carbon-capture-and-sequestration.html</v>
      </c>
    </row>
    <row r="618" spans="1:18" x14ac:dyDescent="0.3">
      <c r="A618" s="254" t="str">
        <f>IF(ISBLANK(INDEX('Policy Characteristics'!A:A,MATCH($C618,'Policy Characteristics'!$C:$C,0))),"",INDEX('Policy Characteristics'!A:A,MATCH($C618,'Policy Characteristics'!$C:$C,0)))</f>
        <v>Industry</v>
      </c>
      <c r="B618" s="262" t="str">
        <f>IF(ISBLANK(INDEX('Policy Characteristics'!B:B,MATCH($C618,'Policy Characteristics'!$C:$C,0))),"",INDEX('Policy Characteristics'!B:B,MATCH($C618,'Policy Characteristics'!$C:$C,0)))</f>
        <v>Carbon Capture and Sequestration</v>
      </c>
      <c r="C618" s="254" t="str">
        <f t="shared" si="33"/>
        <v>Industry Sector Fraction of Potential Additional CCS Achieved</v>
      </c>
      <c r="D618" s="6" t="s">
        <v>3081</v>
      </c>
      <c r="E618" s="6" t="s">
        <v>2532</v>
      </c>
      <c r="F618" t="s">
        <v>3043</v>
      </c>
      <c r="G618" s="45" t="s">
        <v>3025</v>
      </c>
      <c r="H618" s="43">
        <v>949</v>
      </c>
      <c r="I618" s="325" t="s">
        <v>44</v>
      </c>
      <c r="J618" s="255" t="str">
        <f>IF(ISBLANK(INDEX('Policy Characteristics'!D:D,MATCH($C618,'Policy Characteristics'!$C:$C,0))),"",INDEX('Policy Characteristics'!D:D,MATCH($C618,'Policy Characteristics'!$C:$C,0)))</f>
        <v>Industry CCS</v>
      </c>
      <c r="K618" s="254" t="str">
        <f>IF(ISBLANK(INDEX('Policy Characteristics'!E:E,MATCH($C618,'Policy Characteristics'!$C:$C,0))),"",INDEX('Policy Characteristics'!E:E,MATCH($C618,'Policy Characteristics'!$C:$C,0)))</f>
        <v>indst CCS</v>
      </c>
      <c r="L618" s="261">
        <f>IF(ISBLANK(INDEX('Policy Characteristics'!F:F,MATCH($C618,'Policy Characteristics'!$C:$C,0))),"",INDEX('Policy Characteristics'!F:F,MATCH($C618,'Policy Characteristics'!$C:$C,0)))</f>
        <v>0</v>
      </c>
      <c r="M618" s="261">
        <f>IF(ISBLANK(INDEX('Policy Characteristics'!G:G,MATCH($C618,'Policy Characteristics'!$C:$C,0))),"",INDEX('Policy Characteristics'!G:G,MATCH($C618,'Policy Characteristics'!$C:$C,0)))</f>
        <v>1</v>
      </c>
      <c r="N618" s="261">
        <f>IF(ISBLANK(INDEX('Policy Characteristics'!H:H,MATCH($C618,'Policy Characteristics'!$C:$C,0))),"",INDEX('Policy Characteristics'!H:H,MATCH($C618,'Policy Characteristics'!$C:$C,0)))</f>
        <v>0.01</v>
      </c>
      <c r="O618" s="254" t="str">
        <f>IF(ISBLANK(INDEX('Policy Characteristics'!I:I,MATCH($C618,'Policy Characteristics'!$C:$C,0))),"",INDEX('Policy Characteristics'!I:I,MATCH($C618,'Policy Characteristics'!$C:$C,0)))</f>
        <v>% of CO2 captured</v>
      </c>
      <c r="P618" s="254"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4" t="str">
        <f>IF(ISBLANK(INDEX('Policy Characteristics'!K:K,MATCH($C618,'Policy Characteristics'!$C:$C,0))),"",INDEX('Policy Characteristics'!K:K,MATCH($C618,'Policy Characteristics'!$C:$C,0)))</f>
        <v>ccs.html#ccs</v>
      </c>
      <c r="R618" s="254" t="str">
        <f>IF(ISBLANK(INDEX('Policy Characteristics'!L:L,MATCH($C618,'Policy Characteristics'!$C:$C,0))),"",INDEX('Policy Characteristics'!L:L,MATCH($C618,'Policy Characteristics'!$C:$C,0)))</f>
        <v>carbon-capture-and-sequestration.html</v>
      </c>
    </row>
    <row r="619" spans="1:18" x14ac:dyDescent="0.3">
      <c r="A619" s="254" t="str">
        <f>IF(ISBLANK(INDEX('Policy Characteristics'!A:A,MATCH($C619,'Policy Characteristics'!$C:$C,0))),"",INDEX('Policy Characteristics'!A:A,MATCH($C619,'Policy Characteristics'!$C:$C,0)))</f>
        <v>Industry</v>
      </c>
      <c r="B619" s="262" t="str">
        <f>IF(ISBLANK(INDEX('Policy Characteristics'!B:B,MATCH($C619,'Policy Characteristics'!$C:$C,0))),"",INDEX('Policy Characteristics'!B:B,MATCH($C619,'Policy Characteristics'!$C:$C,0)))</f>
        <v>Carbon Capture and Sequestration</v>
      </c>
      <c r="C619" s="254" t="str">
        <f t="shared" si="33"/>
        <v>Industry Sector Fraction of Potential Additional CCS Achieved</v>
      </c>
      <c r="D619" s="6" t="s">
        <v>3082</v>
      </c>
      <c r="E619" s="6" t="s">
        <v>3023</v>
      </c>
      <c r="F619" t="s">
        <v>3044</v>
      </c>
      <c r="G619" s="45" t="s">
        <v>3024</v>
      </c>
      <c r="H619" s="43">
        <v>950</v>
      </c>
      <c r="I619" s="324" t="s">
        <v>43</v>
      </c>
      <c r="J619" s="255" t="str">
        <f>IF(ISBLANK(INDEX('Policy Characteristics'!D:D,MATCH($C619,'Policy Characteristics'!$C:$C,0))),"",INDEX('Policy Characteristics'!D:D,MATCH($C619,'Policy Characteristics'!$C:$C,0)))</f>
        <v>Industry CCS</v>
      </c>
      <c r="K619" s="254" t="str">
        <f>IF(ISBLANK(INDEX('Policy Characteristics'!E:E,MATCH($C619,'Policy Characteristics'!$C:$C,0))),"",INDEX('Policy Characteristics'!E:E,MATCH($C619,'Policy Characteristics'!$C:$C,0)))</f>
        <v>indst CCS</v>
      </c>
      <c r="L619" s="261">
        <f>IF(ISBLANK(INDEX('Policy Characteristics'!F:F,MATCH($C619,'Policy Characteristics'!$C:$C,0))),"",INDEX('Policy Characteristics'!F:F,MATCH($C619,'Policy Characteristics'!$C:$C,0)))</f>
        <v>0</v>
      </c>
      <c r="M619" s="261">
        <f>IF(ISBLANK(INDEX('Policy Characteristics'!G:G,MATCH($C619,'Policy Characteristics'!$C:$C,0))),"",INDEX('Policy Characteristics'!G:G,MATCH($C619,'Policy Characteristics'!$C:$C,0)))</f>
        <v>1</v>
      </c>
      <c r="N619" s="261">
        <f>IF(ISBLANK(INDEX('Policy Characteristics'!H:H,MATCH($C619,'Policy Characteristics'!$C:$C,0))),"",INDEX('Policy Characteristics'!H:H,MATCH($C619,'Policy Characteristics'!$C:$C,0)))</f>
        <v>0.01</v>
      </c>
      <c r="O619" s="254" t="str">
        <f>IF(ISBLANK(INDEX('Policy Characteristics'!I:I,MATCH($C619,'Policy Characteristics'!$C:$C,0))),"",INDEX('Policy Characteristics'!I:I,MATCH($C619,'Policy Characteristics'!$C:$C,0)))</f>
        <v>% of CO2 captured</v>
      </c>
      <c r="P619" s="254"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4" t="str">
        <f>IF(ISBLANK(INDEX('Policy Characteristics'!K:K,MATCH($C619,'Policy Characteristics'!$C:$C,0))),"",INDEX('Policy Characteristics'!K:K,MATCH($C619,'Policy Characteristics'!$C:$C,0)))</f>
        <v>ccs.html#ccs</v>
      </c>
      <c r="R619" s="254" t="str">
        <f>IF(ISBLANK(INDEX('Policy Characteristics'!L:L,MATCH($C619,'Policy Characteristics'!$C:$C,0))),"",INDEX('Policy Characteristics'!L:L,MATCH($C619,'Policy Characteristics'!$C:$C,0)))</f>
        <v>carbon-capture-and-sequestration.html</v>
      </c>
    </row>
    <row r="620" spans="1:18" x14ac:dyDescent="0.3">
      <c r="A620" s="254" t="str">
        <f>IF(ISBLANK(INDEX('Policy Characteristics'!A:A,MATCH($C620,'Policy Characteristics'!$C:$C,0))),"",INDEX('Policy Characteristics'!A:A,MATCH($C620,'Policy Characteristics'!$C:$C,0)))</f>
        <v>Industry</v>
      </c>
      <c r="B620" s="262" t="str">
        <f>IF(ISBLANK(INDEX('Policy Characteristics'!B:B,MATCH($C620,'Policy Characteristics'!$C:$C,0))),"",INDEX('Policy Characteristics'!B:B,MATCH($C620,'Policy Characteristics'!$C:$C,0)))</f>
        <v>Carbon Capture and Sequestration</v>
      </c>
      <c r="C620" s="254" t="str">
        <f t="shared" si="33"/>
        <v>Industry Sector Fraction of Potential Additional CCS Achieved</v>
      </c>
      <c r="D620" s="6" t="s">
        <v>3082</v>
      </c>
      <c r="E620" s="6" t="s">
        <v>2532</v>
      </c>
      <c r="F620" t="s">
        <v>3044</v>
      </c>
      <c r="G620" s="45" t="s">
        <v>3025</v>
      </c>
      <c r="H620" s="43">
        <v>951</v>
      </c>
      <c r="I620" s="325" t="s">
        <v>44</v>
      </c>
      <c r="J620" s="255" t="str">
        <f>IF(ISBLANK(INDEX('Policy Characteristics'!D:D,MATCH($C620,'Policy Characteristics'!$C:$C,0))),"",INDEX('Policy Characteristics'!D:D,MATCH($C620,'Policy Characteristics'!$C:$C,0)))</f>
        <v>Industry CCS</v>
      </c>
      <c r="K620" s="254" t="str">
        <f>IF(ISBLANK(INDEX('Policy Characteristics'!E:E,MATCH($C620,'Policy Characteristics'!$C:$C,0))),"",INDEX('Policy Characteristics'!E:E,MATCH($C620,'Policy Characteristics'!$C:$C,0)))</f>
        <v>indst CCS</v>
      </c>
      <c r="L620" s="261">
        <f>IF(ISBLANK(INDEX('Policy Characteristics'!F:F,MATCH($C620,'Policy Characteristics'!$C:$C,0))),"",INDEX('Policy Characteristics'!F:F,MATCH($C620,'Policy Characteristics'!$C:$C,0)))</f>
        <v>0</v>
      </c>
      <c r="M620" s="261">
        <f>IF(ISBLANK(INDEX('Policy Characteristics'!G:G,MATCH($C620,'Policy Characteristics'!$C:$C,0))),"",INDEX('Policy Characteristics'!G:G,MATCH($C620,'Policy Characteristics'!$C:$C,0)))</f>
        <v>1</v>
      </c>
      <c r="N620" s="261">
        <f>IF(ISBLANK(INDEX('Policy Characteristics'!H:H,MATCH($C620,'Policy Characteristics'!$C:$C,0))),"",INDEX('Policy Characteristics'!H:H,MATCH($C620,'Policy Characteristics'!$C:$C,0)))</f>
        <v>0.01</v>
      </c>
      <c r="O620" s="254" t="str">
        <f>IF(ISBLANK(INDEX('Policy Characteristics'!I:I,MATCH($C620,'Policy Characteristics'!$C:$C,0))),"",INDEX('Policy Characteristics'!I:I,MATCH($C620,'Policy Characteristics'!$C:$C,0)))</f>
        <v>% of CO2 captured</v>
      </c>
      <c r="P620" s="254"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4" t="str">
        <f>IF(ISBLANK(INDEX('Policy Characteristics'!K:K,MATCH($C620,'Policy Characteristics'!$C:$C,0))),"",INDEX('Policy Characteristics'!K:K,MATCH($C620,'Policy Characteristics'!$C:$C,0)))</f>
        <v>ccs.html#ccs</v>
      </c>
      <c r="R620" s="254" t="str">
        <f>IF(ISBLANK(INDEX('Policy Characteristics'!L:L,MATCH($C620,'Policy Characteristics'!$C:$C,0))),"",INDEX('Policy Characteristics'!L:L,MATCH($C620,'Policy Characteristics'!$C:$C,0)))</f>
        <v>carbon-capture-and-sequestration.html</v>
      </c>
    </row>
    <row r="621" spans="1:18" x14ac:dyDescent="0.3">
      <c r="A621" s="254" t="str">
        <f>IF(ISBLANK(INDEX('Policy Characteristics'!A:A,MATCH($C621,'Policy Characteristics'!$C:$C,0))),"",INDEX('Policy Characteristics'!A:A,MATCH($C621,'Policy Characteristics'!$C:$C,0)))</f>
        <v>Industry</v>
      </c>
      <c r="B621" s="262" t="str">
        <f>IF(ISBLANK(INDEX('Policy Characteristics'!B:B,MATCH($C621,'Policy Characteristics'!$C:$C,0))),"",INDEX('Policy Characteristics'!B:B,MATCH($C621,'Policy Characteristics'!$C:$C,0)))</f>
        <v>Carbon Capture and Sequestration</v>
      </c>
      <c r="C621" s="254" t="str">
        <f t="shared" si="33"/>
        <v>Industry Sector Fraction of Potential Additional CCS Achieved</v>
      </c>
      <c r="D621" s="6" t="s">
        <v>3083</v>
      </c>
      <c r="E621" s="6" t="s">
        <v>3023</v>
      </c>
      <c r="F621" t="s">
        <v>3045</v>
      </c>
      <c r="G621" s="45" t="s">
        <v>3024</v>
      </c>
      <c r="H621" s="43">
        <v>952</v>
      </c>
      <c r="I621" s="324" t="s">
        <v>43</v>
      </c>
      <c r="J621" s="255" t="str">
        <f>IF(ISBLANK(INDEX('Policy Characteristics'!D:D,MATCH($C621,'Policy Characteristics'!$C:$C,0))),"",INDEX('Policy Characteristics'!D:D,MATCH($C621,'Policy Characteristics'!$C:$C,0)))</f>
        <v>Industry CCS</v>
      </c>
      <c r="K621" s="254" t="str">
        <f>IF(ISBLANK(INDEX('Policy Characteristics'!E:E,MATCH($C621,'Policy Characteristics'!$C:$C,0))),"",INDEX('Policy Characteristics'!E:E,MATCH($C621,'Policy Characteristics'!$C:$C,0)))</f>
        <v>indst CCS</v>
      </c>
      <c r="L621" s="261">
        <f>IF(ISBLANK(INDEX('Policy Characteristics'!F:F,MATCH($C621,'Policy Characteristics'!$C:$C,0))),"",INDEX('Policy Characteristics'!F:F,MATCH($C621,'Policy Characteristics'!$C:$C,0)))</f>
        <v>0</v>
      </c>
      <c r="M621" s="261">
        <f>IF(ISBLANK(INDEX('Policy Characteristics'!G:G,MATCH($C621,'Policy Characteristics'!$C:$C,0))),"",INDEX('Policy Characteristics'!G:G,MATCH($C621,'Policy Characteristics'!$C:$C,0)))</f>
        <v>1</v>
      </c>
      <c r="N621" s="261">
        <f>IF(ISBLANK(INDEX('Policy Characteristics'!H:H,MATCH($C621,'Policy Characteristics'!$C:$C,0))),"",INDEX('Policy Characteristics'!H:H,MATCH($C621,'Policy Characteristics'!$C:$C,0)))</f>
        <v>0.01</v>
      </c>
      <c r="O621" s="254" t="str">
        <f>IF(ISBLANK(INDEX('Policy Characteristics'!I:I,MATCH($C621,'Policy Characteristics'!$C:$C,0))),"",INDEX('Policy Characteristics'!I:I,MATCH($C621,'Policy Characteristics'!$C:$C,0)))</f>
        <v>% of CO2 captured</v>
      </c>
      <c r="P621" s="254"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4" t="str">
        <f>IF(ISBLANK(INDEX('Policy Characteristics'!K:K,MATCH($C621,'Policy Characteristics'!$C:$C,0))),"",INDEX('Policy Characteristics'!K:K,MATCH($C621,'Policy Characteristics'!$C:$C,0)))</f>
        <v>ccs.html#ccs</v>
      </c>
      <c r="R621" s="254" t="str">
        <f>IF(ISBLANK(INDEX('Policy Characteristics'!L:L,MATCH($C621,'Policy Characteristics'!$C:$C,0))),"",INDEX('Policy Characteristics'!L:L,MATCH($C621,'Policy Characteristics'!$C:$C,0)))</f>
        <v>carbon-capture-and-sequestration.html</v>
      </c>
    </row>
    <row r="622" spans="1:18" x14ac:dyDescent="0.3">
      <c r="A622" s="254" t="str">
        <f>IF(ISBLANK(INDEX('Policy Characteristics'!A:A,MATCH($C622,'Policy Characteristics'!$C:$C,0))),"",INDEX('Policy Characteristics'!A:A,MATCH($C622,'Policy Characteristics'!$C:$C,0)))</f>
        <v>Industry</v>
      </c>
      <c r="B622" s="262" t="str">
        <f>IF(ISBLANK(INDEX('Policy Characteristics'!B:B,MATCH($C622,'Policy Characteristics'!$C:$C,0))),"",INDEX('Policy Characteristics'!B:B,MATCH($C622,'Policy Characteristics'!$C:$C,0)))</f>
        <v>Carbon Capture and Sequestration</v>
      </c>
      <c r="C622" s="254" t="str">
        <f t="shared" si="33"/>
        <v>Industry Sector Fraction of Potential Additional CCS Achieved</v>
      </c>
      <c r="D622" s="6" t="s">
        <v>3083</v>
      </c>
      <c r="E622" s="6" t="s">
        <v>2532</v>
      </c>
      <c r="F622" t="s">
        <v>3045</v>
      </c>
      <c r="G622" s="45" t="s">
        <v>3025</v>
      </c>
      <c r="H622" s="43">
        <v>953</v>
      </c>
      <c r="I622" s="325" t="s">
        <v>43</v>
      </c>
      <c r="J622" s="255" t="str">
        <f>IF(ISBLANK(INDEX('Policy Characteristics'!D:D,MATCH($C622,'Policy Characteristics'!$C:$C,0))),"",INDEX('Policy Characteristics'!D:D,MATCH($C622,'Policy Characteristics'!$C:$C,0)))</f>
        <v>Industry CCS</v>
      </c>
      <c r="K622" s="254" t="str">
        <f>IF(ISBLANK(INDEX('Policy Characteristics'!E:E,MATCH($C622,'Policy Characteristics'!$C:$C,0))),"",INDEX('Policy Characteristics'!E:E,MATCH($C622,'Policy Characteristics'!$C:$C,0)))</f>
        <v>indst CCS</v>
      </c>
      <c r="L622" s="261">
        <f>IF(ISBLANK(INDEX('Policy Characteristics'!F:F,MATCH($C622,'Policy Characteristics'!$C:$C,0))),"",INDEX('Policy Characteristics'!F:F,MATCH($C622,'Policy Characteristics'!$C:$C,0)))</f>
        <v>0</v>
      </c>
      <c r="M622" s="261">
        <f>IF(ISBLANK(INDEX('Policy Characteristics'!G:G,MATCH($C622,'Policy Characteristics'!$C:$C,0))),"",INDEX('Policy Characteristics'!G:G,MATCH($C622,'Policy Characteristics'!$C:$C,0)))</f>
        <v>1</v>
      </c>
      <c r="N622" s="261">
        <f>IF(ISBLANK(INDEX('Policy Characteristics'!H:H,MATCH($C622,'Policy Characteristics'!$C:$C,0))),"",INDEX('Policy Characteristics'!H:H,MATCH($C622,'Policy Characteristics'!$C:$C,0)))</f>
        <v>0.01</v>
      </c>
      <c r="O622" s="254" t="str">
        <f>IF(ISBLANK(INDEX('Policy Characteristics'!I:I,MATCH($C622,'Policy Characteristics'!$C:$C,0))),"",INDEX('Policy Characteristics'!I:I,MATCH($C622,'Policy Characteristics'!$C:$C,0)))</f>
        <v>% of CO2 captured</v>
      </c>
      <c r="P622" s="254"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4" t="str">
        <f>IF(ISBLANK(INDEX('Policy Characteristics'!K:K,MATCH($C622,'Policy Characteristics'!$C:$C,0))),"",INDEX('Policy Characteristics'!K:K,MATCH($C622,'Policy Characteristics'!$C:$C,0)))</f>
        <v>ccs.html#ccs</v>
      </c>
      <c r="R622" s="254" t="str">
        <f>IF(ISBLANK(INDEX('Policy Characteristics'!L:L,MATCH($C622,'Policy Characteristics'!$C:$C,0))),"",INDEX('Policy Characteristics'!L:L,MATCH($C622,'Policy Characteristics'!$C:$C,0)))</f>
        <v>carbon-capture-and-sequestration.html</v>
      </c>
    </row>
    <row r="623" spans="1:18" x14ac:dyDescent="0.3">
      <c r="A623" s="254" t="str">
        <f>IF(ISBLANK(INDEX('Policy Characteristics'!A:A,MATCH($C623,'Policy Characteristics'!$C:$C,0))),"",INDEX('Policy Characteristics'!A:A,MATCH($C623,'Policy Characteristics'!$C:$C,0)))</f>
        <v>Industry</v>
      </c>
      <c r="B623" s="262" t="str">
        <f>IF(ISBLANK(INDEX('Policy Characteristics'!B:B,MATCH($C623,'Policy Characteristics'!$C:$C,0))),"",INDEX('Policy Characteristics'!B:B,MATCH($C623,'Policy Characteristics'!$C:$C,0)))</f>
        <v>Carbon Capture and Sequestration</v>
      </c>
      <c r="C623" s="254" t="str">
        <f t="shared" si="33"/>
        <v>Industry Sector Fraction of Potential Additional CCS Achieved</v>
      </c>
      <c r="D623" s="6" t="s">
        <v>3084</v>
      </c>
      <c r="E623" s="6" t="s">
        <v>3023</v>
      </c>
      <c r="F623" t="s">
        <v>3087</v>
      </c>
      <c r="G623" s="45" t="s">
        <v>3024</v>
      </c>
      <c r="H623" s="43">
        <v>954</v>
      </c>
      <c r="I623" s="325" t="s">
        <v>44</v>
      </c>
      <c r="J623" s="255" t="str">
        <f>IF(ISBLANK(INDEX('Policy Characteristics'!D:D,MATCH($C623,'Policy Characteristics'!$C:$C,0))),"",INDEX('Policy Characteristics'!D:D,MATCH($C623,'Policy Characteristics'!$C:$C,0)))</f>
        <v>Industry CCS</v>
      </c>
      <c r="K623" s="254" t="str">
        <f>IF(ISBLANK(INDEX('Policy Characteristics'!E:E,MATCH($C623,'Policy Characteristics'!$C:$C,0))),"",INDEX('Policy Characteristics'!E:E,MATCH($C623,'Policy Characteristics'!$C:$C,0)))</f>
        <v>indst CCS</v>
      </c>
      <c r="L623" s="261">
        <f>IF(ISBLANK(INDEX('Policy Characteristics'!F:F,MATCH($C623,'Policy Characteristics'!$C:$C,0))),"",INDEX('Policy Characteristics'!F:F,MATCH($C623,'Policy Characteristics'!$C:$C,0)))</f>
        <v>0</v>
      </c>
      <c r="M623" s="261">
        <f>IF(ISBLANK(INDEX('Policy Characteristics'!G:G,MATCH($C623,'Policy Characteristics'!$C:$C,0))),"",INDEX('Policy Characteristics'!G:G,MATCH($C623,'Policy Characteristics'!$C:$C,0)))</f>
        <v>1</v>
      </c>
      <c r="N623" s="261">
        <f>IF(ISBLANK(INDEX('Policy Characteristics'!H:H,MATCH($C623,'Policy Characteristics'!$C:$C,0))),"",INDEX('Policy Characteristics'!H:H,MATCH($C623,'Policy Characteristics'!$C:$C,0)))</f>
        <v>0.01</v>
      </c>
      <c r="O623" s="254" t="str">
        <f>IF(ISBLANK(INDEX('Policy Characteristics'!I:I,MATCH($C623,'Policy Characteristics'!$C:$C,0))),"",INDEX('Policy Characteristics'!I:I,MATCH($C623,'Policy Characteristics'!$C:$C,0)))</f>
        <v>% of CO2 captured</v>
      </c>
      <c r="P623" s="254"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4" t="str">
        <f>IF(ISBLANK(INDEX('Policy Characteristics'!K:K,MATCH($C623,'Policy Characteristics'!$C:$C,0))),"",INDEX('Policy Characteristics'!K:K,MATCH($C623,'Policy Characteristics'!$C:$C,0)))</f>
        <v>ccs.html#ccs</v>
      </c>
      <c r="R623" s="254" t="str">
        <f>IF(ISBLANK(INDEX('Policy Characteristics'!L:L,MATCH($C623,'Policy Characteristics'!$C:$C,0))),"",INDEX('Policy Characteristics'!L:L,MATCH($C623,'Policy Characteristics'!$C:$C,0)))</f>
        <v>carbon-capture-and-sequestration.html</v>
      </c>
    </row>
    <row r="624" spans="1:18" x14ac:dyDescent="0.3">
      <c r="A624" s="254" t="str">
        <f>IF(ISBLANK(INDEX('Policy Characteristics'!A:A,MATCH($C624,'Policy Characteristics'!$C:$C,0))),"",INDEX('Policy Characteristics'!A:A,MATCH($C624,'Policy Characteristics'!$C:$C,0)))</f>
        <v>Industry</v>
      </c>
      <c r="B624" s="262" t="str">
        <f>IF(ISBLANK(INDEX('Policy Characteristics'!B:B,MATCH($C624,'Policy Characteristics'!$C:$C,0))),"",INDEX('Policy Characteristics'!B:B,MATCH($C624,'Policy Characteristics'!$C:$C,0)))</f>
        <v>Carbon Capture and Sequestration</v>
      </c>
      <c r="C624" s="254" t="str">
        <f t="shared" si="33"/>
        <v>Industry Sector Fraction of Potential Additional CCS Achieved</v>
      </c>
      <c r="D624" s="6" t="s">
        <v>3084</v>
      </c>
      <c r="E624" s="6" t="s">
        <v>2532</v>
      </c>
      <c r="F624" t="s">
        <v>3087</v>
      </c>
      <c r="G624" s="45" t="s">
        <v>3025</v>
      </c>
      <c r="H624" s="43">
        <v>955</v>
      </c>
      <c r="I624" s="325" t="s">
        <v>44</v>
      </c>
      <c r="J624" s="255" t="str">
        <f>IF(ISBLANK(INDEX('Policy Characteristics'!D:D,MATCH($C624,'Policy Characteristics'!$C:$C,0))),"",INDEX('Policy Characteristics'!D:D,MATCH($C624,'Policy Characteristics'!$C:$C,0)))</f>
        <v>Industry CCS</v>
      </c>
      <c r="K624" s="254" t="str">
        <f>IF(ISBLANK(INDEX('Policy Characteristics'!E:E,MATCH($C624,'Policy Characteristics'!$C:$C,0))),"",INDEX('Policy Characteristics'!E:E,MATCH($C624,'Policy Characteristics'!$C:$C,0)))</f>
        <v>indst CCS</v>
      </c>
      <c r="L624" s="261">
        <f>IF(ISBLANK(INDEX('Policy Characteristics'!F:F,MATCH($C624,'Policy Characteristics'!$C:$C,0))),"",INDEX('Policy Characteristics'!F:F,MATCH($C624,'Policy Characteristics'!$C:$C,0)))</f>
        <v>0</v>
      </c>
      <c r="M624" s="261">
        <f>IF(ISBLANK(INDEX('Policy Characteristics'!G:G,MATCH($C624,'Policy Characteristics'!$C:$C,0))),"",INDEX('Policy Characteristics'!G:G,MATCH($C624,'Policy Characteristics'!$C:$C,0)))</f>
        <v>1</v>
      </c>
      <c r="N624" s="261">
        <f>IF(ISBLANK(INDEX('Policy Characteristics'!H:H,MATCH($C624,'Policy Characteristics'!$C:$C,0))),"",INDEX('Policy Characteristics'!H:H,MATCH($C624,'Policy Characteristics'!$C:$C,0)))</f>
        <v>0.01</v>
      </c>
      <c r="O624" s="254" t="str">
        <f>IF(ISBLANK(INDEX('Policy Characteristics'!I:I,MATCH($C624,'Policy Characteristics'!$C:$C,0))),"",INDEX('Policy Characteristics'!I:I,MATCH($C624,'Policy Characteristics'!$C:$C,0)))</f>
        <v>% of CO2 captured</v>
      </c>
      <c r="P624" s="254"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4" t="str">
        <f>IF(ISBLANK(INDEX('Policy Characteristics'!K:K,MATCH($C624,'Policy Characteristics'!$C:$C,0))),"",INDEX('Policy Characteristics'!K:K,MATCH($C624,'Policy Characteristics'!$C:$C,0)))</f>
        <v>ccs.html#ccs</v>
      </c>
      <c r="R624" s="254" t="str">
        <f>IF(ISBLANK(INDEX('Policy Characteristics'!L:L,MATCH($C624,'Policy Characteristics'!$C:$C,0))),"",INDEX('Policy Characteristics'!L:L,MATCH($C624,'Policy Characteristics'!$C:$C,0)))</f>
        <v>carbon-capture-and-sequestration.html</v>
      </c>
    </row>
    <row r="625" spans="1:18" x14ac:dyDescent="0.3">
      <c r="A625" s="254" t="str">
        <f>IF(ISBLANK(INDEX('Policy Characteristics'!A:A,MATCH($C625,'Policy Characteristics'!$C:$C,0))),"",INDEX('Policy Characteristics'!A:A,MATCH($C625,'Policy Characteristics'!$C:$C,0)))</f>
        <v>Industry</v>
      </c>
      <c r="B625" s="262" t="str">
        <f>IF(ISBLANK(INDEX('Policy Characteristics'!B:B,MATCH($C625,'Policy Characteristics'!$C:$C,0))),"",INDEX('Policy Characteristics'!B:B,MATCH($C625,'Policy Characteristics'!$C:$C,0)))</f>
        <v>Carbon Capture and Sequestration</v>
      </c>
      <c r="C625" s="254" t="str">
        <f t="shared" si="33"/>
        <v>Industry Sector Fraction of Potential Additional CCS Achieved</v>
      </c>
      <c r="D625" s="6" t="s">
        <v>3085</v>
      </c>
      <c r="E625" s="6" t="s">
        <v>3023</v>
      </c>
      <c r="F625" t="s">
        <v>3046</v>
      </c>
      <c r="G625" s="45" t="s">
        <v>3024</v>
      </c>
      <c r="H625" s="43">
        <v>956</v>
      </c>
      <c r="I625" s="325" t="s">
        <v>44</v>
      </c>
      <c r="J625" s="255" t="str">
        <f>IF(ISBLANK(INDEX('Policy Characteristics'!D:D,MATCH($C625,'Policy Characteristics'!$C:$C,0))),"",INDEX('Policy Characteristics'!D:D,MATCH($C625,'Policy Characteristics'!$C:$C,0)))</f>
        <v>Industry CCS</v>
      </c>
      <c r="K625" s="254" t="str">
        <f>IF(ISBLANK(INDEX('Policy Characteristics'!E:E,MATCH($C625,'Policy Characteristics'!$C:$C,0))),"",INDEX('Policy Characteristics'!E:E,MATCH($C625,'Policy Characteristics'!$C:$C,0)))</f>
        <v>indst CCS</v>
      </c>
      <c r="L625" s="261">
        <f>IF(ISBLANK(INDEX('Policy Characteristics'!F:F,MATCH($C625,'Policy Characteristics'!$C:$C,0))),"",INDEX('Policy Characteristics'!F:F,MATCH($C625,'Policy Characteristics'!$C:$C,0)))</f>
        <v>0</v>
      </c>
      <c r="M625" s="261">
        <f>IF(ISBLANK(INDEX('Policy Characteristics'!G:G,MATCH($C625,'Policy Characteristics'!$C:$C,0))),"",INDEX('Policy Characteristics'!G:G,MATCH($C625,'Policy Characteristics'!$C:$C,0)))</f>
        <v>1</v>
      </c>
      <c r="N625" s="261">
        <f>IF(ISBLANK(INDEX('Policy Characteristics'!H:H,MATCH($C625,'Policy Characteristics'!$C:$C,0))),"",INDEX('Policy Characteristics'!H:H,MATCH($C625,'Policy Characteristics'!$C:$C,0)))</f>
        <v>0.01</v>
      </c>
      <c r="O625" s="254" t="str">
        <f>IF(ISBLANK(INDEX('Policy Characteristics'!I:I,MATCH($C625,'Policy Characteristics'!$C:$C,0))),"",INDEX('Policy Characteristics'!I:I,MATCH($C625,'Policy Characteristics'!$C:$C,0)))</f>
        <v>% of CO2 captured</v>
      </c>
      <c r="P625" s="254"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4" t="str">
        <f>IF(ISBLANK(INDEX('Policy Characteristics'!K:K,MATCH($C625,'Policy Characteristics'!$C:$C,0))),"",INDEX('Policy Characteristics'!K:K,MATCH($C625,'Policy Characteristics'!$C:$C,0)))</f>
        <v>ccs.html#ccs</v>
      </c>
      <c r="R625" s="254" t="str">
        <f>IF(ISBLANK(INDEX('Policy Characteristics'!L:L,MATCH($C625,'Policy Characteristics'!$C:$C,0))),"",INDEX('Policy Characteristics'!L:L,MATCH($C625,'Policy Characteristics'!$C:$C,0)))</f>
        <v>carbon-capture-and-sequestration.html</v>
      </c>
    </row>
    <row r="626" spans="1:18" x14ac:dyDescent="0.3">
      <c r="A626" s="254" t="str">
        <f>IF(ISBLANK(INDEX('Policy Characteristics'!A:A,MATCH($C626,'Policy Characteristics'!$C:$C,0))),"",INDEX('Policy Characteristics'!A:A,MATCH($C626,'Policy Characteristics'!$C:$C,0)))</f>
        <v>Industry</v>
      </c>
      <c r="B626" s="262" t="str">
        <f>IF(ISBLANK(INDEX('Policy Characteristics'!B:B,MATCH($C626,'Policy Characteristics'!$C:$C,0))),"",INDEX('Policy Characteristics'!B:B,MATCH($C626,'Policy Characteristics'!$C:$C,0)))</f>
        <v>Carbon Capture and Sequestration</v>
      </c>
      <c r="C626" s="254" t="str">
        <f t="shared" si="33"/>
        <v>Industry Sector Fraction of Potential Additional CCS Achieved</v>
      </c>
      <c r="D626" s="6" t="s">
        <v>3085</v>
      </c>
      <c r="E626" s="6" t="s">
        <v>2532</v>
      </c>
      <c r="F626" t="s">
        <v>3046</v>
      </c>
      <c r="G626" s="45" t="s">
        <v>3025</v>
      </c>
      <c r="H626" s="43">
        <v>957</v>
      </c>
      <c r="I626" s="325" t="s">
        <v>44</v>
      </c>
      <c r="J626" s="255" t="str">
        <f>IF(ISBLANK(INDEX('Policy Characteristics'!D:D,MATCH($C626,'Policy Characteristics'!$C:$C,0))),"",INDEX('Policy Characteristics'!D:D,MATCH($C626,'Policy Characteristics'!$C:$C,0)))</f>
        <v>Industry CCS</v>
      </c>
      <c r="K626" s="254" t="str">
        <f>IF(ISBLANK(INDEX('Policy Characteristics'!E:E,MATCH($C626,'Policy Characteristics'!$C:$C,0))),"",INDEX('Policy Characteristics'!E:E,MATCH($C626,'Policy Characteristics'!$C:$C,0)))</f>
        <v>indst CCS</v>
      </c>
      <c r="L626" s="261">
        <f>IF(ISBLANK(INDEX('Policy Characteristics'!F:F,MATCH($C626,'Policy Characteristics'!$C:$C,0))),"",INDEX('Policy Characteristics'!F:F,MATCH($C626,'Policy Characteristics'!$C:$C,0)))</f>
        <v>0</v>
      </c>
      <c r="M626" s="261">
        <f>IF(ISBLANK(INDEX('Policy Characteristics'!G:G,MATCH($C626,'Policy Characteristics'!$C:$C,0))),"",INDEX('Policy Characteristics'!G:G,MATCH($C626,'Policy Characteristics'!$C:$C,0)))</f>
        <v>1</v>
      </c>
      <c r="N626" s="261">
        <f>IF(ISBLANK(INDEX('Policy Characteristics'!H:H,MATCH($C626,'Policy Characteristics'!$C:$C,0))),"",INDEX('Policy Characteristics'!H:H,MATCH($C626,'Policy Characteristics'!$C:$C,0)))</f>
        <v>0.01</v>
      </c>
      <c r="O626" s="254" t="str">
        <f>IF(ISBLANK(INDEX('Policy Characteristics'!I:I,MATCH($C626,'Policy Characteristics'!$C:$C,0))),"",INDEX('Policy Characteristics'!I:I,MATCH($C626,'Policy Characteristics'!$C:$C,0)))</f>
        <v>% of CO2 captured</v>
      </c>
      <c r="P626" s="254"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4" t="str">
        <f>IF(ISBLANK(INDEX('Policy Characteristics'!K:K,MATCH($C626,'Policy Characteristics'!$C:$C,0))),"",INDEX('Policy Characteristics'!K:K,MATCH($C626,'Policy Characteristics'!$C:$C,0)))</f>
        <v>ccs.html#ccs</v>
      </c>
      <c r="R626" s="254" t="str">
        <f>IF(ISBLANK(INDEX('Policy Characteristics'!L:L,MATCH($C626,'Policy Characteristics'!$C:$C,0))),"",INDEX('Policy Characteristics'!L:L,MATCH($C626,'Policy Characteristics'!$C:$C,0)))</f>
        <v>carbon-capture-and-sequestration.html</v>
      </c>
    </row>
    <row r="627" spans="1:18" x14ac:dyDescent="0.3">
      <c r="A627" s="254" t="str">
        <f>IF(ISBLANK(INDEX('Policy Characteristics'!A:A,MATCH($C627,'Policy Characteristics'!$C:$C,0))),"",INDEX('Policy Characteristics'!A:A,MATCH($C627,'Policy Characteristics'!$C:$C,0)))</f>
        <v>Industry</v>
      </c>
      <c r="B627" s="262" t="str">
        <f>IF(ISBLANK(INDEX('Policy Characteristics'!B:B,MATCH($C627,'Policy Characteristics'!$C:$C,0))),"",INDEX('Policy Characteristics'!B:B,MATCH($C627,'Policy Characteristics'!$C:$C,0)))</f>
        <v>Cement Clinker Substitution</v>
      </c>
      <c r="C627" t="s">
        <v>2768</v>
      </c>
      <c r="D627" s="45"/>
      <c r="E627" s="45"/>
      <c r="F627" s="45"/>
      <c r="G627" s="45"/>
      <c r="H627" s="43">
        <v>43</v>
      </c>
      <c r="I627" s="324" t="s">
        <v>43</v>
      </c>
      <c r="J627" s="255" t="str">
        <f>IF(ISBLANK(INDEX('Policy Characteristics'!D:D,MATCH($C627,'Policy Characteristics'!$C:$C,0))),"",INDEX('Policy Characteristics'!D:D,MATCH($C627,'Policy Characteristics'!$C:$C,0)))</f>
        <v>Cement Clinker Substitution</v>
      </c>
      <c r="K627" s="254" t="str">
        <f>IF(ISBLANK(INDEX('Policy Characteristics'!E:E,MATCH($C627,'Policy Characteristics'!$C:$C,0))),"",INDEX('Policy Characteristics'!E:E,MATCH($C627,'Policy Characteristics'!$C:$C,0)))</f>
        <v>indst cement measures</v>
      </c>
      <c r="L627" s="261">
        <f>IF(ISBLANK(INDEX('Policy Characteristics'!F:F,MATCH($C627,'Policy Characteristics'!$C:$C,0))),"",INDEX('Policy Characteristics'!F:F,MATCH($C627,'Policy Characteristics'!$C:$C,0)))</f>
        <v>0</v>
      </c>
      <c r="M627" s="261">
        <f>IF(ISBLANK(INDEX('Policy Characteristics'!G:G,MATCH($C627,'Policy Characteristics'!$C:$C,0))),"",INDEX('Policy Characteristics'!G:G,MATCH($C627,'Policy Characteristics'!$C:$C,0)))</f>
        <v>1</v>
      </c>
      <c r="N627" s="261">
        <f>IF(ISBLANK(INDEX('Policy Characteristics'!H:H,MATCH($C627,'Policy Characteristics'!$C:$C,0))),"",INDEX('Policy Characteristics'!H:H,MATCH($C627,'Policy Characteristics'!$C:$C,0)))</f>
        <v>0.01</v>
      </c>
      <c r="O627" s="254" t="str">
        <f>IF(ISBLANK(INDEX('Policy Characteristics'!I:I,MATCH($C627,'Policy Characteristics'!$C:$C,0))),"",INDEX('Policy Characteristics'!I:I,MATCH($C627,'Policy Characteristics'!$C:$C,0)))</f>
        <v>% of potential achieved</v>
      </c>
      <c r="P627" s="254" t="str">
        <f>IF(ISBLANK(INDEX('Policy Characteristics'!J:J,MATCH($C627,'Policy Characteristics'!$C:$C,0))),"",INDEX('Policy Characteristics'!J:J,MATCH($C627,'Policy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27" s="254" t="str">
        <f>IF(ISBLANK(INDEX('Policy Characteristics'!K:K,MATCH($C627,'Policy Characteristics'!$C:$C,0))),"",INDEX('Policy Characteristics'!K:K,MATCH($C627,'Policy Characteristics'!$C:$C,0)))</f>
        <v>industry-ag-main.html#clinker</v>
      </c>
      <c r="R627" s="254" t="str">
        <f>IF(ISBLANK(INDEX('Policy Characteristics'!L:L,MATCH($C627,'Policy Characteristics'!$C:$C,0))),"",INDEX('Policy Characteristics'!L:L,MATCH($C627,'Policy Characteristics'!$C:$C,0)))</f>
        <v>cement-clinker-substitution.html</v>
      </c>
    </row>
    <row r="628" spans="1:18" s="4" customFormat="1" x14ac:dyDescent="0.3">
      <c r="A628" s="254" t="str">
        <f>IF(ISBLANK(INDEX('Policy Characteristics'!A:A,MATCH($C628,'Policy Characteristics'!$C:$C,0))),"",INDEX('Policy Characteristics'!A:A,MATCH($C628,'Policy Characteristics'!$C:$C,0)))</f>
        <v>Industry</v>
      </c>
      <c r="B628" s="262" t="str">
        <f>IF(ISBLANK(INDEX('Policy Characteristics'!B:B,MATCH($C628,'Policy Characteristics'!$C:$C,0))),"",INDEX('Policy Characteristics'!B:B,MATCH($C628,'Policy Characteristics'!$C:$C,0)))</f>
        <v>Cogeneration and Waste Heat Recovery</v>
      </c>
      <c r="C628" t="s">
        <v>282</v>
      </c>
      <c r="D628" s="45"/>
      <c r="E628" s="45"/>
      <c r="F628" s="45"/>
      <c r="G628" s="45"/>
      <c r="H628" s="43">
        <v>44</v>
      </c>
      <c r="I628" s="324" t="s">
        <v>43</v>
      </c>
      <c r="J628" s="255" t="str">
        <f>IF(ISBLANK(INDEX('Policy Characteristics'!D:D,MATCH($C628,'Policy Characteristics'!$C:$C,0))),"",INDEX('Policy Characteristics'!D:D,MATCH($C628,'Policy Characteristics'!$C:$C,0)))</f>
        <v>Cogeneration and Waste Heat Recovery</v>
      </c>
      <c r="K628" s="254" t="str">
        <f>IF(ISBLANK(INDEX('Policy Characteristics'!E:E,MATCH($C628,'Policy Characteristics'!$C:$C,0))),"",INDEX('Policy Characteristics'!E:E,MATCH($C628,'Policy Characteristics'!$C:$C,0)))</f>
        <v>indst CHP</v>
      </c>
      <c r="L628" s="261">
        <f>IF(ISBLANK(INDEX('Policy Characteristics'!F:F,MATCH($C628,'Policy Characteristics'!$C:$C,0))),"",INDEX('Policy Characteristics'!F:F,MATCH($C628,'Policy Characteristics'!$C:$C,0)))</f>
        <v>0</v>
      </c>
      <c r="M628" s="261">
        <f>IF(ISBLANK(INDEX('Policy Characteristics'!G:G,MATCH($C628,'Policy Characteristics'!$C:$C,0))),"",INDEX('Policy Characteristics'!G:G,MATCH($C628,'Policy Characteristics'!$C:$C,0)))</f>
        <v>1</v>
      </c>
      <c r="N628" s="261">
        <f>IF(ISBLANK(INDEX('Policy Characteristics'!H:H,MATCH($C628,'Policy Characteristics'!$C:$C,0))),"",INDEX('Policy Characteristics'!H:H,MATCH($C628,'Policy Characteristics'!$C:$C,0)))</f>
        <v>0.01</v>
      </c>
      <c r="O628" s="254" t="str">
        <f>IF(ISBLANK(INDEX('Policy Characteristics'!I:I,MATCH($C628,'Policy Characteristics'!$C:$C,0))),"",INDEX('Policy Characteristics'!I:I,MATCH($C628,'Policy Characteristics'!$C:$C,0)))</f>
        <v>% of potential achieved</v>
      </c>
      <c r="P628" s="254" t="str">
        <f>IF(ISBLANK(INDEX('Policy Characteristics'!J:J,MATCH($C628,'Policy Characteristics'!$C:$C,0))),"",INDEX('Policy Characteristics'!J:J,MATCH($C628,'Policy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28" s="254" t="str">
        <f>IF(ISBLANK(INDEX('Policy Characteristics'!K:K,MATCH($C628,'Policy Characteristics'!$C:$C,0))),"",INDEX('Policy Characteristics'!K:K,MATCH($C628,'Policy Characteristics'!$C:$C,0)))</f>
        <v>industry-ag-main.html#cogen</v>
      </c>
      <c r="R628" s="254" t="str">
        <f>IF(ISBLANK(INDEX('Policy Characteristics'!L:L,MATCH($C628,'Policy Characteristics'!$C:$C,0))),"",INDEX('Policy Characteristics'!L:L,MATCH($C628,'Policy Characteristics'!$C:$C,0)))</f>
        <v>cogeneration-and-waste-heat-recovery.html</v>
      </c>
    </row>
    <row r="629" spans="1:18" s="4" customFormat="1" x14ac:dyDescent="0.3">
      <c r="A629" s="254" t="str">
        <f>IF(ISBLANK(INDEX('Policy Characteristics'!A:A,MATCH($C629,'Policy Characteristics'!$C:$C,0))),"",INDEX('Policy Characteristics'!A:A,MATCH($C629,'Policy Characteristics'!$C:$C,0)))</f>
        <v>Industry</v>
      </c>
      <c r="B629" s="262" t="str">
        <f>IF(ISBLANK(INDEX('Policy Characteristics'!B:B,MATCH($C629,'Policy Characteristics'!$C:$C,0))),"",INDEX('Policy Characteristics'!B:B,MATCH($C629,'Policy Characteristics'!$C:$C,0)))</f>
        <v>Early Retirement of Industrial Facilities</v>
      </c>
      <c r="C629" t="s">
        <v>58</v>
      </c>
      <c r="D629" s="45"/>
      <c r="E629" s="45"/>
      <c r="F629" s="45"/>
      <c r="G629" s="45"/>
      <c r="H629" s="43">
        <v>45</v>
      </c>
      <c r="I629" s="324" t="s">
        <v>43</v>
      </c>
      <c r="J629" s="255" t="str">
        <f>IF(ISBLANK(INDEX('Policy Characteristics'!D:D,MATCH($C629,'Policy Characteristics'!$C:$C,0))),"",INDEX('Policy Characteristics'!D:D,MATCH($C629,'Policy Characteristics'!$C:$C,0)))</f>
        <v>Early Retirement of Industrial Facilities</v>
      </c>
      <c r="K629" s="254" t="str">
        <f>IF(ISBLANK(INDEX('Policy Characteristics'!E:E,MATCH($C629,'Policy Characteristics'!$C:$C,0))),"",INDEX('Policy Characteristics'!E:E,MATCH($C629,'Policy Characteristics'!$C:$C,0)))</f>
        <v>indst early retirement</v>
      </c>
      <c r="L629" s="261">
        <f>IF(ISBLANK(INDEX('Policy Characteristics'!F:F,MATCH($C629,'Policy Characteristics'!$C:$C,0))),"",INDEX('Policy Characteristics'!F:F,MATCH($C629,'Policy Characteristics'!$C:$C,0)))</f>
        <v>0</v>
      </c>
      <c r="M629" s="261">
        <f>IF(ISBLANK(INDEX('Policy Characteristics'!G:G,MATCH($C629,'Policy Characteristics'!$C:$C,0))),"",INDEX('Policy Characteristics'!G:G,MATCH($C629,'Policy Characteristics'!$C:$C,0)))</f>
        <v>1</v>
      </c>
      <c r="N629" s="261">
        <f>IF(ISBLANK(INDEX('Policy Characteristics'!H:H,MATCH($C629,'Policy Characteristics'!$C:$C,0))),"",INDEX('Policy Characteristics'!H:H,MATCH($C629,'Policy Characteristics'!$C:$C,0)))</f>
        <v>0.01</v>
      </c>
      <c r="O629" s="254" t="str">
        <f>IF(ISBLANK(INDEX('Policy Characteristics'!I:I,MATCH($C629,'Policy Characteristics'!$C:$C,0))),"",INDEX('Policy Characteristics'!I:I,MATCH($C629,'Policy Characteristics'!$C:$C,0)))</f>
        <v>% of potential achieved</v>
      </c>
      <c r="P629" s="254" t="str">
        <f>IF(ISBLANK(INDEX('Policy Characteristics'!J:J,MATCH($C629,'Policy Characteristics'!$C:$C,0))),"",INDEX('Policy Characteristics'!J:J,MATCH($C629,'Policy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29" s="254" t="str">
        <f>IF(ISBLANK(INDEX('Policy Characteristics'!K:K,MATCH($C629,'Policy Characteristics'!$C:$C,0))),"",INDEX('Policy Characteristics'!K:K,MATCH($C629,'Policy Characteristics'!$C:$C,0)))</f>
        <v>industry-ag-main.html#early-ret</v>
      </c>
      <c r="R629" s="254" t="str">
        <f>IF(ISBLANK(INDEX('Policy Characteristics'!L:L,MATCH($C629,'Policy Characteristics'!$C:$C,0))),"",INDEX('Policy Characteristics'!L:L,MATCH($C629,'Policy Characteristics'!$C:$C,0)))</f>
        <v>early-retirement-of-industrial-facilities.html</v>
      </c>
    </row>
    <row r="630" spans="1:18" x14ac:dyDescent="0.3">
      <c r="A630" s="254" t="str">
        <f>IF(ISBLANK(INDEX('Policy Characteristics'!A:A,MATCH($C630,'Policy Characteristics'!$C:$C,0))),"",INDEX('Policy Characteristics'!A:A,MATCH($C630,'Policy Characteristics'!$C:$C,0)))</f>
        <v>Industry</v>
      </c>
      <c r="B630" s="262" t="str">
        <f>IF(ISBLANK(INDEX('Policy Characteristics'!B:B,MATCH($C630,'Policy Characteristics'!$C:$C,0))),"",INDEX('Policy Characteristics'!B:B,MATCH($C630,'Policy Characteristics'!$C:$C,0)))</f>
        <v>Electrification</v>
      </c>
      <c r="C630" t="s">
        <v>3538</v>
      </c>
      <c r="D630" s="45" t="s">
        <v>3061</v>
      </c>
      <c r="E630" s="1" t="s">
        <v>3515</v>
      </c>
      <c r="F630" t="s">
        <v>3086</v>
      </c>
      <c r="G630" s="45" t="s">
        <v>3522</v>
      </c>
      <c r="H630" s="43">
        <v>1834</v>
      </c>
      <c r="I630" s="324" t="s">
        <v>43</v>
      </c>
      <c r="J630" s="255" t="str">
        <f>IF(ISBLANK(INDEX('Policy Characteristics'!D:D,MATCH($C630,'Policy Characteristics'!$C:$C,0))),"",INDEX('Policy Characteristics'!D:D,MATCH($C630,'Policy Characteristics'!$C:$C,0)))</f>
        <v>Electrification</v>
      </c>
      <c r="K630" s="254" t="str">
        <f>IF(ISBLANK(INDEX('Policy Characteristics'!E:E,MATCH($C630,'Policy Characteristics'!$C:$C,0))),"",INDEX('Policy Characteristics'!E:E,MATCH($C630,'Policy Characteristics'!$C:$C,0)))</f>
        <v>indst shift to electricity</v>
      </c>
      <c r="L630" s="261">
        <f>IF(ISBLANK(INDEX('Policy Characteristics'!F:F,MATCH($C630,'Policy Characteristics'!$C:$C,0))),"",INDEX('Policy Characteristics'!F:F,MATCH($C630,'Policy Characteristics'!$C:$C,0)))</f>
        <v>0</v>
      </c>
      <c r="M630" s="261">
        <f>IF(ISBLANK(INDEX('Policy Characteristics'!G:G,MATCH($C630,'Policy Characteristics'!$C:$C,0))),"",INDEX('Policy Characteristics'!G:G,MATCH($C630,'Policy Characteristics'!$C:$C,0)))</f>
        <v>1</v>
      </c>
      <c r="N630" s="261">
        <f>IF(ISBLANK(INDEX('Policy Characteristics'!H:H,MATCH($C630,'Policy Characteristics'!$C:$C,0))),"",INDEX('Policy Characteristics'!H:H,MATCH($C630,'Policy Characteristics'!$C:$C,0)))</f>
        <v>0.01</v>
      </c>
      <c r="O630" s="254" t="str">
        <f>IF(ISBLANK(INDEX('Policy Characteristics'!I:I,MATCH($C630,'Policy Characteristics'!$C:$C,0))),"",INDEX('Policy Characteristics'!I:I,MATCH($C630,'Policy Characteristics'!$C:$C,0)))</f>
        <v>% of fuel shifted</v>
      </c>
      <c r="P630" s="254" t="str">
        <f>IF(ISBLANK(INDEX('Policy Characteristics'!J:J,MATCH($C630,'Policy Characteristics'!$C:$C,0))),"",INDEX('Policy Characteristics'!J:J,MATCH($C630,'Policy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0" s="254" t="str">
        <f>IF(ISBLANK(INDEX('Policy Characteristics'!K:K,MATCH($C630,'Policy Characteristics'!$C:$C,0))),"",INDEX('Policy Characteristics'!K:K,MATCH($C630,'Policy Characteristics'!$C:$C,0)))</f>
        <v>industry-ag-main.html#fuel-switching</v>
      </c>
      <c r="R630" s="254" t="str">
        <f>IF(ISBLANK(INDEX('Policy Characteristics'!L:L,MATCH($C630,'Policy Characteristics'!$C:$C,0))),"",INDEX('Policy Characteristics'!L:L,MATCH($C630,'Policy Characteristics'!$C:$C,0)))</f>
        <v>industry-elec-and-hydrogen.html</v>
      </c>
    </row>
    <row r="631" spans="1:18" x14ac:dyDescent="0.3">
      <c r="A631" s="254" t="str">
        <f>IF(ISBLANK(INDEX('Policy Characteristics'!A:A,MATCH($C631,'Policy Characteristics'!$C:$C,0))),"",INDEX('Policy Characteristics'!A:A,MATCH($C631,'Policy Characteristics'!$C:$C,0)))</f>
        <v>Industry</v>
      </c>
      <c r="B631" s="262" t="str">
        <f>IF(ISBLANK(INDEX('Policy Characteristics'!B:B,MATCH($C631,'Policy Characteristics'!$C:$C,0))),"",INDEX('Policy Characteristics'!B:B,MATCH($C631,'Policy Characteristics'!$C:$C,0)))</f>
        <v>Electrification</v>
      </c>
      <c r="C631" s="254" t="str">
        <f t="shared" ref="C631:C656" si="34">C$630</f>
        <v>Fraction of Eligible Industrial Energy Use Shifted to Electricity</v>
      </c>
      <c r="D631" s="45" t="s">
        <v>3061</v>
      </c>
      <c r="E631" s="1" t="s">
        <v>3516</v>
      </c>
      <c r="F631" t="s">
        <v>3086</v>
      </c>
      <c r="G631" s="45" t="s">
        <v>3523</v>
      </c>
      <c r="H631" s="43">
        <v>1835</v>
      </c>
      <c r="I631" s="324" t="s">
        <v>43</v>
      </c>
      <c r="J631" s="255" t="str">
        <f>IF(ISBLANK(INDEX('Policy Characteristics'!D:D,MATCH($C631,'Policy Characteristics'!$C:$C,0))),"",INDEX('Policy Characteristics'!D:D,MATCH($C631,'Policy Characteristics'!$C:$C,0)))</f>
        <v>Electrification</v>
      </c>
      <c r="K631" s="254" t="str">
        <f>IF(ISBLANK(INDEX('Policy Characteristics'!E:E,MATCH($C631,'Policy Characteristics'!$C:$C,0))),"",INDEX('Policy Characteristics'!E:E,MATCH($C631,'Policy Characteristics'!$C:$C,0)))</f>
        <v>indst shift to electricity</v>
      </c>
      <c r="L631" s="261">
        <f>IF(ISBLANK(INDEX('Policy Characteristics'!F:F,MATCH($C631,'Policy Characteristics'!$C:$C,0))),"",INDEX('Policy Characteristics'!F:F,MATCH($C631,'Policy Characteristics'!$C:$C,0)))</f>
        <v>0</v>
      </c>
      <c r="M631" s="261">
        <f>IF(ISBLANK(INDEX('Policy Characteristics'!G:G,MATCH($C631,'Policy Characteristics'!$C:$C,0))),"",INDEX('Policy Characteristics'!G:G,MATCH($C631,'Policy Characteristics'!$C:$C,0)))</f>
        <v>1</v>
      </c>
      <c r="N631" s="261">
        <f>IF(ISBLANK(INDEX('Policy Characteristics'!H:H,MATCH($C631,'Policy Characteristics'!$C:$C,0))),"",INDEX('Policy Characteristics'!H:H,MATCH($C631,'Policy Characteristics'!$C:$C,0)))</f>
        <v>0.01</v>
      </c>
      <c r="O631" s="254" t="str">
        <f>IF(ISBLANK(INDEX('Policy Characteristics'!I:I,MATCH($C631,'Policy Characteristics'!$C:$C,0))),"",INDEX('Policy Characteristics'!I:I,MATCH($C631,'Policy Characteristics'!$C:$C,0)))</f>
        <v>% of fuel shifted</v>
      </c>
      <c r="P631" s="254" t="str">
        <f>IF(ISBLANK(INDEX('Policy Characteristics'!J:J,MATCH($C631,'Policy Characteristics'!$C:$C,0))),"",INDEX('Policy Characteristics'!J:J,MATCH($C631,'Policy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1" s="254" t="str">
        <f>IF(ISBLANK(INDEX('Policy Characteristics'!K:K,MATCH($C631,'Policy Characteristics'!$C:$C,0))),"",INDEX('Policy Characteristics'!K:K,MATCH($C631,'Policy Characteristics'!$C:$C,0)))</f>
        <v>industry-ag-main.html#fuel-switching</v>
      </c>
      <c r="R631" s="254" t="str">
        <f>IF(ISBLANK(INDEX('Policy Characteristics'!L:L,MATCH($C631,'Policy Characteristics'!$C:$C,0))),"",INDEX('Policy Characteristics'!L:L,MATCH($C631,'Policy Characteristics'!$C:$C,0)))</f>
        <v>industry-elec-and-hydrogen.html</v>
      </c>
    </row>
    <row r="632" spans="1:18" x14ac:dyDescent="0.3">
      <c r="A632" s="254" t="str">
        <f>IF(ISBLANK(INDEX('Policy Characteristics'!A:A,MATCH($C632,'Policy Characteristics'!$C:$C,0))),"",INDEX('Policy Characteristics'!A:A,MATCH($C632,'Policy Characteristics'!$C:$C,0)))</f>
        <v>Industry</v>
      </c>
      <c r="B632" s="262" t="str">
        <f>IF(ISBLANK(INDEX('Policy Characteristics'!B:B,MATCH($C632,'Policy Characteristics'!$C:$C,0))),"",INDEX('Policy Characteristics'!B:B,MATCH($C632,'Policy Characteristics'!$C:$C,0)))</f>
        <v>Electrification</v>
      </c>
      <c r="C632" s="254" t="str">
        <f t="shared" si="34"/>
        <v>Fraction of Eligible Industrial Energy Use Shifted to Electricity</v>
      </c>
      <c r="D632" s="45" t="s">
        <v>3061</v>
      </c>
      <c r="E632" s="1" t="s">
        <v>3517</v>
      </c>
      <c r="F632" t="s">
        <v>3086</v>
      </c>
      <c r="G632" s="45" t="s">
        <v>3524</v>
      </c>
      <c r="H632" s="43">
        <v>1836</v>
      </c>
      <c r="I632" s="324" t="s">
        <v>43</v>
      </c>
      <c r="J632" s="255" t="str">
        <f>IF(ISBLANK(INDEX('Policy Characteristics'!D:D,MATCH($C632,'Policy Characteristics'!$C:$C,0))),"",INDEX('Policy Characteristics'!D:D,MATCH($C632,'Policy Characteristics'!$C:$C,0)))</f>
        <v>Electrification</v>
      </c>
      <c r="K632" s="254" t="str">
        <f>IF(ISBLANK(INDEX('Policy Characteristics'!E:E,MATCH($C632,'Policy Characteristics'!$C:$C,0))),"",INDEX('Policy Characteristics'!E:E,MATCH($C632,'Policy Characteristics'!$C:$C,0)))</f>
        <v>indst shift to electricity</v>
      </c>
      <c r="L632" s="261">
        <f>IF(ISBLANK(INDEX('Policy Characteristics'!F:F,MATCH($C632,'Policy Characteristics'!$C:$C,0))),"",INDEX('Policy Characteristics'!F:F,MATCH($C632,'Policy Characteristics'!$C:$C,0)))</f>
        <v>0</v>
      </c>
      <c r="M632" s="261">
        <f>IF(ISBLANK(INDEX('Policy Characteristics'!G:G,MATCH($C632,'Policy Characteristics'!$C:$C,0))),"",INDEX('Policy Characteristics'!G:G,MATCH($C632,'Policy Characteristics'!$C:$C,0)))</f>
        <v>1</v>
      </c>
      <c r="N632" s="261">
        <f>IF(ISBLANK(INDEX('Policy Characteristics'!H:H,MATCH($C632,'Policy Characteristics'!$C:$C,0))),"",INDEX('Policy Characteristics'!H:H,MATCH($C632,'Policy Characteristics'!$C:$C,0)))</f>
        <v>0.01</v>
      </c>
      <c r="O632" s="254" t="str">
        <f>IF(ISBLANK(INDEX('Policy Characteristics'!I:I,MATCH($C632,'Policy Characteristics'!$C:$C,0))),"",INDEX('Policy Characteristics'!I:I,MATCH($C632,'Policy Characteristics'!$C:$C,0)))</f>
        <v>% of fuel shifted</v>
      </c>
      <c r="P632" s="254" t="str">
        <f>IF(ISBLANK(INDEX('Policy Characteristics'!J:J,MATCH($C632,'Policy Characteristics'!$C:$C,0))),"",INDEX('Policy Characteristics'!J:J,MATCH($C632,'Policy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2" s="254" t="str">
        <f>IF(ISBLANK(INDEX('Policy Characteristics'!K:K,MATCH($C632,'Policy Characteristics'!$C:$C,0))),"",INDEX('Policy Characteristics'!K:K,MATCH($C632,'Policy Characteristics'!$C:$C,0)))</f>
        <v>industry-ag-main.html#fuel-switching</v>
      </c>
      <c r="R632" s="254" t="str">
        <f>IF(ISBLANK(INDEX('Policy Characteristics'!L:L,MATCH($C632,'Policy Characteristics'!$C:$C,0))),"",INDEX('Policy Characteristics'!L:L,MATCH($C632,'Policy Characteristics'!$C:$C,0)))</f>
        <v>industry-elec-and-hydrogen.html</v>
      </c>
    </row>
    <row r="633" spans="1:18" x14ac:dyDescent="0.3">
      <c r="A633" s="254" t="str">
        <f>IF(ISBLANK(INDEX('Policy Characteristics'!A:A,MATCH($C633,'Policy Characteristics'!$C:$C,0))),"",INDEX('Policy Characteristics'!A:A,MATCH($C633,'Policy Characteristics'!$C:$C,0)))</f>
        <v>Industry</v>
      </c>
      <c r="B633" s="262" t="str">
        <f>IF(ISBLANK(INDEX('Policy Characteristics'!B:B,MATCH($C633,'Policy Characteristics'!$C:$C,0))),"",INDEX('Policy Characteristics'!B:B,MATCH($C633,'Policy Characteristics'!$C:$C,0)))</f>
        <v>Electrification</v>
      </c>
      <c r="C633" s="254" t="str">
        <f t="shared" si="34"/>
        <v>Fraction of Eligible Industrial Energy Use Shifted to Electricity</v>
      </c>
      <c r="D633" s="45" t="s">
        <v>3061</v>
      </c>
      <c r="E633" s="1" t="s">
        <v>3518</v>
      </c>
      <c r="F633" t="s">
        <v>3086</v>
      </c>
      <c r="G633" s="45" t="s">
        <v>3525</v>
      </c>
      <c r="H633" s="43">
        <v>1837</v>
      </c>
      <c r="I633" s="324" t="s">
        <v>43</v>
      </c>
      <c r="J633" s="255" t="str">
        <f>IF(ISBLANK(INDEX('Policy Characteristics'!D:D,MATCH($C633,'Policy Characteristics'!$C:$C,0))),"",INDEX('Policy Characteristics'!D:D,MATCH($C633,'Policy Characteristics'!$C:$C,0)))</f>
        <v>Electrification</v>
      </c>
      <c r="K633" s="254" t="str">
        <f>IF(ISBLANK(INDEX('Policy Characteristics'!E:E,MATCH($C633,'Policy Characteristics'!$C:$C,0))),"",INDEX('Policy Characteristics'!E:E,MATCH($C633,'Policy Characteristics'!$C:$C,0)))</f>
        <v>indst shift to electricity</v>
      </c>
      <c r="L633" s="261">
        <f>IF(ISBLANK(INDEX('Policy Characteristics'!F:F,MATCH($C633,'Policy Characteristics'!$C:$C,0))),"",INDEX('Policy Characteristics'!F:F,MATCH($C633,'Policy Characteristics'!$C:$C,0)))</f>
        <v>0</v>
      </c>
      <c r="M633" s="261">
        <f>IF(ISBLANK(INDEX('Policy Characteristics'!G:G,MATCH($C633,'Policy Characteristics'!$C:$C,0))),"",INDEX('Policy Characteristics'!G:G,MATCH($C633,'Policy Characteristics'!$C:$C,0)))</f>
        <v>1</v>
      </c>
      <c r="N633" s="261">
        <f>IF(ISBLANK(INDEX('Policy Characteristics'!H:H,MATCH($C633,'Policy Characteristics'!$C:$C,0))),"",INDEX('Policy Characteristics'!H:H,MATCH($C633,'Policy Characteristics'!$C:$C,0)))</f>
        <v>0.01</v>
      </c>
      <c r="O633" s="254" t="str">
        <f>IF(ISBLANK(INDEX('Policy Characteristics'!I:I,MATCH($C633,'Policy Characteristics'!$C:$C,0))),"",INDEX('Policy Characteristics'!I:I,MATCH($C633,'Policy Characteristics'!$C:$C,0)))</f>
        <v>% of fuel shifted</v>
      </c>
      <c r="P633" s="254" t="str">
        <f>IF(ISBLANK(INDEX('Policy Characteristics'!J:J,MATCH($C633,'Policy Characteristics'!$C:$C,0))),"",INDEX('Policy Characteristics'!J:J,MATCH($C633,'Policy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3" s="254" t="str">
        <f>IF(ISBLANK(INDEX('Policy Characteristics'!K:K,MATCH($C633,'Policy Characteristics'!$C:$C,0))),"",INDEX('Policy Characteristics'!K:K,MATCH($C633,'Policy Characteristics'!$C:$C,0)))</f>
        <v>industry-ag-main.html#fuel-switching</v>
      </c>
      <c r="R633" s="254" t="str">
        <f>IF(ISBLANK(INDEX('Policy Characteristics'!L:L,MATCH($C633,'Policy Characteristics'!$C:$C,0))),"",INDEX('Policy Characteristics'!L:L,MATCH($C633,'Policy Characteristics'!$C:$C,0)))</f>
        <v>industry-elec-and-hydrogen.html</v>
      </c>
    </row>
    <row r="634" spans="1:18" x14ac:dyDescent="0.3">
      <c r="A634" s="254" t="str">
        <f>IF(ISBLANK(INDEX('Policy Characteristics'!A:A,MATCH($C634,'Policy Characteristics'!$C:$C,0))),"",INDEX('Policy Characteristics'!A:A,MATCH($C634,'Policy Characteristics'!$C:$C,0)))</f>
        <v>Industry</v>
      </c>
      <c r="B634" s="262" t="str">
        <f>IF(ISBLANK(INDEX('Policy Characteristics'!B:B,MATCH($C634,'Policy Characteristics'!$C:$C,0))),"",INDEX('Policy Characteristics'!B:B,MATCH($C634,'Policy Characteristics'!$C:$C,0)))</f>
        <v>Electrification</v>
      </c>
      <c r="C634" s="254" t="str">
        <f t="shared" si="34"/>
        <v>Fraction of Eligible Industrial Energy Use Shifted to Electricity</v>
      </c>
      <c r="D634" s="45" t="s">
        <v>3061</v>
      </c>
      <c r="E634" s="1" t="s">
        <v>3519</v>
      </c>
      <c r="F634" t="s">
        <v>3086</v>
      </c>
      <c r="G634" s="45" t="s">
        <v>3526</v>
      </c>
      <c r="H634" s="43">
        <v>1838</v>
      </c>
      <c r="I634" s="324" t="s">
        <v>43</v>
      </c>
      <c r="J634" s="255" t="str">
        <f>IF(ISBLANK(INDEX('Policy Characteristics'!D:D,MATCH($C634,'Policy Characteristics'!$C:$C,0))),"",INDEX('Policy Characteristics'!D:D,MATCH($C634,'Policy Characteristics'!$C:$C,0)))</f>
        <v>Electrification</v>
      </c>
      <c r="K634" s="254" t="str">
        <f>IF(ISBLANK(INDEX('Policy Characteristics'!E:E,MATCH($C634,'Policy Characteristics'!$C:$C,0))),"",INDEX('Policy Characteristics'!E:E,MATCH($C634,'Policy Characteristics'!$C:$C,0)))</f>
        <v>indst shift to electricity</v>
      </c>
      <c r="L634" s="261">
        <f>IF(ISBLANK(INDEX('Policy Characteristics'!F:F,MATCH($C634,'Policy Characteristics'!$C:$C,0))),"",INDEX('Policy Characteristics'!F:F,MATCH($C634,'Policy Characteristics'!$C:$C,0)))</f>
        <v>0</v>
      </c>
      <c r="M634" s="261">
        <f>IF(ISBLANK(INDEX('Policy Characteristics'!G:G,MATCH($C634,'Policy Characteristics'!$C:$C,0))),"",INDEX('Policy Characteristics'!G:G,MATCH($C634,'Policy Characteristics'!$C:$C,0)))</f>
        <v>1</v>
      </c>
      <c r="N634" s="261">
        <f>IF(ISBLANK(INDEX('Policy Characteristics'!H:H,MATCH($C634,'Policy Characteristics'!$C:$C,0))),"",INDEX('Policy Characteristics'!H:H,MATCH($C634,'Policy Characteristics'!$C:$C,0)))</f>
        <v>0.01</v>
      </c>
      <c r="O634" s="254" t="str">
        <f>IF(ISBLANK(INDEX('Policy Characteristics'!I:I,MATCH($C634,'Policy Characteristics'!$C:$C,0))),"",INDEX('Policy Characteristics'!I:I,MATCH($C634,'Policy Characteristics'!$C:$C,0)))</f>
        <v>% of fuel shifted</v>
      </c>
      <c r="P634" s="254" t="str">
        <f>IF(ISBLANK(INDEX('Policy Characteristics'!J:J,MATCH($C634,'Policy Characteristics'!$C:$C,0))),"",INDEX('Policy Characteristics'!J:J,MATCH($C634,'Policy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4" s="254" t="str">
        <f>IF(ISBLANK(INDEX('Policy Characteristics'!K:K,MATCH($C634,'Policy Characteristics'!$C:$C,0))),"",INDEX('Policy Characteristics'!K:K,MATCH($C634,'Policy Characteristics'!$C:$C,0)))</f>
        <v>industry-ag-main.html#fuel-switching</v>
      </c>
      <c r="R634" s="254" t="str">
        <f>IF(ISBLANK(INDEX('Policy Characteristics'!L:L,MATCH($C634,'Policy Characteristics'!$C:$C,0))),"",INDEX('Policy Characteristics'!L:L,MATCH($C634,'Policy Characteristics'!$C:$C,0)))</f>
        <v>industry-elec-and-hydrogen.html</v>
      </c>
    </row>
    <row r="635" spans="1:18" x14ac:dyDescent="0.3">
      <c r="A635" s="254" t="str">
        <f>IF(ISBLANK(INDEX('Policy Characteristics'!A:A,MATCH($C635,'Policy Characteristics'!$C:$C,0))),"",INDEX('Policy Characteristics'!A:A,MATCH($C635,'Policy Characteristics'!$C:$C,0)))</f>
        <v>Industry</v>
      </c>
      <c r="B635" s="262" t="str">
        <f>IF(ISBLANK(INDEX('Policy Characteristics'!B:B,MATCH($C635,'Policy Characteristics'!$C:$C,0))),"",INDEX('Policy Characteristics'!B:B,MATCH($C635,'Policy Characteristics'!$C:$C,0)))</f>
        <v>Electrification</v>
      </c>
      <c r="C635" s="254" t="str">
        <f t="shared" si="34"/>
        <v>Fraction of Eligible Industrial Energy Use Shifted to Electricity</v>
      </c>
      <c r="D635" s="45" t="s">
        <v>3061</v>
      </c>
      <c r="E635" s="1" t="s">
        <v>3520</v>
      </c>
      <c r="F635" t="s">
        <v>3086</v>
      </c>
      <c r="G635" s="45" t="s">
        <v>3527</v>
      </c>
      <c r="H635" s="43">
        <v>1839</v>
      </c>
      <c r="I635" s="324" t="s">
        <v>43</v>
      </c>
      <c r="J635" s="255" t="str">
        <f>IF(ISBLANK(INDEX('Policy Characteristics'!D:D,MATCH($C635,'Policy Characteristics'!$C:$C,0))),"",INDEX('Policy Characteristics'!D:D,MATCH($C635,'Policy Characteristics'!$C:$C,0)))</f>
        <v>Electrification</v>
      </c>
      <c r="K635" s="254" t="str">
        <f>IF(ISBLANK(INDEX('Policy Characteristics'!E:E,MATCH($C635,'Policy Characteristics'!$C:$C,0))),"",INDEX('Policy Characteristics'!E:E,MATCH($C635,'Policy Characteristics'!$C:$C,0)))</f>
        <v>indst shift to electricity</v>
      </c>
      <c r="L635" s="261">
        <f>IF(ISBLANK(INDEX('Policy Characteristics'!F:F,MATCH($C635,'Policy Characteristics'!$C:$C,0))),"",INDEX('Policy Characteristics'!F:F,MATCH($C635,'Policy Characteristics'!$C:$C,0)))</f>
        <v>0</v>
      </c>
      <c r="M635" s="261">
        <f>IF(ISBLANK(INDEX('Policy Characteristics'!G:G,MATCH($C635,'Policy Characteristics'!$C:$C,0))),"",INDEX('Policy Characteristics'!G:G,MATCH($C635,'Policy Characteristics'!$C:$C,0)))</f>
        <v>1</v>
      </c>
      <c r="N635" s="261">
        <f>IF(ISBLANK(INDEX('Policy Characteristics'!H:H,MATCH($C635,'Policy Characteristics'!$C:$C,0))),"",INDEX('Policy Characteristics'!H:H,MATCH($C635,'Policy Characteristics'!$C:$C,0)))</f>
        <v>0.01</v>
      </c>
      <c r="O635" s="254" t="str">
        <f>IF(ISBLANK(INDEX('Policy Characteristics'!I:I,MATCH($C635,'Policy Characteristics'!$C:$C,0))),"",INDEX('Policy Characteristics'!I:I,MATCH($C635,'Policy Characteristics'!$C:$C,0)))</f>
        <v>% of fuel shifted</v>
      </c>
      <c r="P635" s="254" t="str">
        <f>IF(ISBLANK(INDEX('Policy Characteristics'!J:J,MATCH($C635,'Policy Characteristics'!$C:$C,0))),"",INDEX('Policy Characteristics'!J:J,MATCH($C635,'Policy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5" s="254" t="str">
        <f>IF(ISBLANK(INDEX('Policy Characteristics'!K:K,MATCH($C635,'Policy Characteristics'!$C:$C,0))),"",INDEX('Policy Characteristics'!K:K,MATCH($C635,'Policy Characteristics'!$C:$C,0)))</f>
        <v>industry-ag-main.html#fuel-switching</v>
      </c>
      <c r="R635" s="254" t="str">
        <f>IF(ISBLANK(INDEX('Policy Characteristics'!L:L,MATCH($C635,'Policy Characteristics'!$C:$C,0))),"",INDEX('Policy Characteristics'!L:L,MATCH($C635,'Policy Characteristics'!$C:$C,0)))</f>
        <v>industry-elec-and-hydrogen.html</v>
      </c>
    </row>
    <row r="636" spans="1:18" x14ac:dyDescent="0.3">
      <c r="A636" s="254" t="str">
        <f>IF(ISBLANK(INDEX('Policy Characteristics'!A:A,MATCH($C636,'Policy Characteristics'!$C:$C,0))),"",INDEX('Policy Characteristics'!A:A,MATCH($C636,'Policy Characteristics'!$C:$C,0)))</f>
        <v>Industry</v>
      </c>
      <c r="B636" s="262" t="str">
        <f>IF(ISBLANK(INDEX('Policy Characteristics'!B:B,MATCH($C636,'Policy Characteristics'!$C:$C,0))),"",INDEX('Policy Characteristics'!B:B,MATCH($C636,'Policy Characteristics'!$C:$C,0)))</f>
        <v>Electrification</v>
      </c>
      <c r="C636" s="254" t="str">
        <f t="shared" si="34"/>
        <v>Fraction of Eligible Industrial Energy Use Shifted to Electricity</v>
      </c>
      <c r="D636" s="45" t="s">
        <v>3061</v>
      </c>
      <c r="E636" s="1" t="s">
        <v>3521</v>
      </c>
      <c r="F636" t="s">
        <v>3086</v>
      </c>
      <c r="G636" s="45" t="s">
        <v>3528</v>
      </c>
      <c r="H636" s="43">
        <v>1840</v>
      </c>
      <c r="I636" s="324" t="s">
        <v>43</v>
      </c>
      <c r="J636" s="255" t="str">
        <f>IF(ISBLANK(INDEX('Policy Characteristics'!D:D,MATCH($C636,'Policy Characteristics'!$C:$C,0))),"",INDEX('Policy Characteristics'!D:D,MATCH($C636,'Policy Characteristics'!$C:$C,0)))</f>
        <v>Electrification</v>
      </c>
      <c r="K636" s="254" t="str">
        <f>IF(ISBLANK(INDEX('Policy Characteristics'!E:E,MATCH($C636,'Policy Characteristics'!$C:$C,0))),"",INDEX('Policy Characteristics'!E:E,MATCH($C636,'Policy Characteristics'!$C:$C,0)))</f>
        <v>indst shift to electricity</v>
      </c>
      <c r="L636" s="261">
        <f>IF(ISBLANK(INDEX('Policy Characteristics'!F:F,MATCH($C636,'Policy Characteristics'!$C:$C,0))),"",INDEX('Policy Characteristics'!F:F,MATCH($C636,'Policy Characteristics'!$C:$C,0)))</f>
        <v>0</v>
      </c>
      <c r="M636" s="261">
        <f>IF(ISBLANK(INDEX('Policy Characteristics'!G:G,MATCH($C636,'Policy Characteristics'!$C:$C,0))),"",INDEX('Policy Characteristics'!G:G,MATCH($C636,'Policy Characteristics'!$C:$C,0)))</f>
        <v>1</v>
      </c>
      <c r="N636" s="261">
        <f>IF(ISBLANK(INDEX('Policy Characteristics'!H:H,MATCH($C636,'Policy Characteristics'!$C:$C,0))),"",INDEX('Policy Characteristics'!H:H,MATCH($C636,'Policy Characteristics'!$C:$C,0)))</f>
        <v>0.01</v>
      </c>
      <c r="O636" s="254" t="str">
        <f>IF(ISBLANK(INDEX('Policy Characteristics'!I:I,MATCH($C636,'Policy Characteristics'!$C:$C,0))),"",INDEX('Policy Characteristics'!I:I,MATCH($C636,'Policy Characteristics'!$C:$C,0)))</f>
        <v>% of fuel shifted</v>
      </c>
      <c r="P636" s="254" t="str">
        <f>IF(ISBLANK(INDEX('Policy Characteristics'!J:J,MATCH($C636,'Policy Characteristics'!$C:$C,0))),"",INDEX('Policy Characteristics'!J:J,MATCH($C636,'Policy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6" s="254" t="str">
        <f>IF(ISBLANK(INDEX('Policy Characteristics'!K:K,MATCH($C636,'Policy Characteristics'!$C:$C,0))),"",INDEX('Policy Characteristics'!K:K,MATCH($C636,'Policy Characteristics'!$C:$C,0)))</f>
        <v>industry-ag-main.html#fuel-switching</v>
      </c>
      <c r="R636" s="254" t="str">
        <f>IF(ISBLANK(INDEX('Policy Characteristics'!L:L,MATCH($C636,'Policy Characteristics'!$C:$C,0))),"",INDEX('Policy Characteristics'!L:L,MATCH($C636,'Policy Characteristics'!$C:$C,0)))</f>
        <v>industry-elec-and-hydrogen.html</v>
      </c>
    </row>
    <row r="637" spans="1:18" x14ac:dyDescent="0.3">
      <c r="A637" s="254" t="str">
        <f>IF(ISBLANK(INDEX('Policy Characteristics'!A:A,MATCH($C637,'Policy Characteristics'!$C:$C,0))),"",INDEX('Policy Characteristics'!A:A,MATCH($C637,'Policy Characteristics'!$C:$C,0)))</f>
        <v>Industry</v>
      </c>
      <c r="B637" s="262" t="str">
        <f>IF(ISBLANK(INDEX('Policy Characteristics'!B:B,MATCH($C637,'Policy Characteristics'!$C:$C,0))),"",INDEX('Policy Characteristics'!B:B,MATCH($C637,'Policy Characteristics'!$C:$C,0)))</f>
        <v>Electrification</v>
      </c>
      <c r="C637" s="254" t="str">
        <f t="shared" si="34"/>
        <v>Fraction of Eligible Industrial Energy Use Shifted to Electricity</v>
      </c>
      <c r="D637" s="45" t="s">
        <v>3061</v>
      </c>
      <c r="E637" s="1" t="s">
        <v>3671</v>
      </c>
      <c r="F637" t="s">
        <v>3086</v>
      </c>
      <c r="G637" s="45" t="s">
        <v>3671</v>
      </c>
      <c r="H637" s="43">
        <v>1841</v>
      </c>
      <c r="I637" s="324" t="s">
        <v>43</v>
      </c>
      <c r="J637" s="255" t="str">
        <f>IF(ISBLANK(INDEX('Policy Characteristics'!D:D,MATCH($C637,'Policy Characteristics'!$C:$C,0))),"",INDEX('Policy Characteristics'!D:D,MATCH($C637,'Policy Characteristics'!$C:$C,0)))</f>
        <v>Electrification</v>
      </c>
      <c r="K637" s="254" t="str">
        <f>IF(ISBLANK(INDEX('Policy Characteristics'!E:E,MATCH($C637,'Policy Characteristics'!$C:$C,0))),"",INDEX('Policy Characteristics'!E:E,MATCH($C637,'Policy Characteristics'!$C:$C,0)))</f>
        <v>indst shift to electricity</v>
      </c>
      <c r="L637" s="261">
        <f>IF(ISBLANK(INDEX('Policy Characteristics'!F:F,MATCH($C637,'Policy Characteristics'!$C:$C,0))),"",INDEX('Policy Characteristics'!F:F,MATCH($C637,'Policy Characteristics'!$C:$C,0)))</f>
        <v>0</v>
      </c>
      <c r="M637" s="261">
        <f>IF(ISBLANK(INDEX('Policy Characteristics'!G:G,MATCH($C637,'Policy Characteristics'!$C:$C,0))),"",INDEX('Policy Characteristics'!G:G,MATCH($C637,'Policy Characteristics'!$C:$C,0)))</f>
        <v>1</v>
      </c>
      <c r="N637" s="261">
        <f>IF(ISBLANK(INDEX('Policy Characteristics'!H:H,MATCH($C637,'Policy Characteristics'!$C:$C,0))),"",INDEX('Policy Characteristics'!H:H,MATCH($C637,'Policy Characteristics'!$C:$C,0)))</f>
        <v>0.01</v>
      </c>
      <c r="O637" s="254" t="str">
        <f>IF(ISBLANK(INDEX('Policy Characteristics'!I:I,MATCH($C637,'Policy Characteristics'!$C:$C,0))),"",INDEX('Policy Characteristics'!I:I,MATCH($C637,'Policy Characteristics'!$C:$C,0)))</f>
        <v>% of fuel shifted</v>
      </c>
      <c r="P637" s="254" t="str">
        <f>IF(ISBLANK(INDEX('Policy Characteristics'!J:J,MATCH($C637,'Policy Characteristics'!$C:$C,0))),"",INDEX('Policy Characteristics'!J:J,MATCH($C637,'Policy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7" s="254" t="str">
        <f>IF(ISBLANK(INDEX('Policy Characteristics'!K:K,MATCH($C637,'Policy Characteristics'!$C:$C,0))),"",INDEX('Policy Characteristics'!K:K,MATCH($C637,'Policy Characteristics'!$C:$C,0)))</f>
        <v>industry-ag-main.html#fuel-switching</v>
      </c>
      <c r="R637" s="254" t="str">
        <f>IF(ISBLANK(INDEX('Policy Characteristics'!L:L,MATCH($C637,'Policy Characteristics'!$C:$C,0))),"",INDEX('Policy Characteristics'!L:L,MATCH($C637,'Policy Characteristics'!$C:$C,0)))</f>
        <v>industry-elec-and-hydrogen.html</v>
      </c>
    </row>
    <row r="638" spans="1:18" x14ac:dyDescent="0.3">
      <c r="A638" s="254" t="str">
        <f>IF(ISBLANK(INDEX('Policy Characteristics'!A:A,MATCH($C638,'Policy Characteristics'!$C:$C,0))),"",INDEX('Policy Characteristics'!A:A,MATCH($C638,'Policy Characteristics'!$C:$C,0)))</f>
        <v>Industry</v>
      </c>
      <c r="B638" s="262" t="str">
        <f>IF(ISBLANK(INDEX('Policy Characteristics'!B:B,MATCH($C638,'Policy Characteristics'!$C:$C,0))),"",INDEX('Policy Characteristics'!B:B,MATCH($C638,'Policy Characteristics'!$C:$C,0)))</f>
        <v>Electrification</v>
      </c>
      <c r="C638" s="254" t="str">
        <f t="shared" si="34"/>
        <v>Fraction of Eligible Industrial Energy Use Shifted to Electricity</v>
      </c>
      <c r="D638" s="6" t="s">
        <v>3062</v>
      </c>
      <c r="E638" s="1" t="s">
        <v>3515</v>
      </c>
      <c r="F638" t="s">
        <v>2759</v>
      </c>
      <c r="G638" s="45" t="s">
        <v>3522</v>
      </c>
      <c r="H638" s="43">
        <v>1842</v>
      </c>
      <c r="I638" s="324" t="s">
        <v>43</v>
      </c>
      <c r="J638" s="255" t="str">
        <f>IF(ISBLANK(INDEX('Policy Characteristics'!D:D,MATCH($C638,'Policy Characteristics'!$C:$C,0))),"",INDEX('Policy Characteristics'!D:D,MATCH($C638,'Policy Characteristics'!$C:$C,0)))</f>
        <v>Electrification</v>
      </c>
      <c r="K638" s="254" t="str">
        <f>IF(ISBLANK(INDEX('Policy Characteristics'!E:E,MATCH($C638,'Policy Characteristics'!$C:$C,0))),"",INDEX('Policy Characteristics'!E:E,MATCH($C638,'Policy Characteristics'!$C:$C,0)))</f>
        <v>indst shift to electricity</v>
      </c>
      <c r="L638" s="261">
        <f>IF(ISBLANK(INDEX('Policy Characteristics'!F:F,MATCH($C638,'Policy Characteristics'!$C:$C,0))),"",INDEX('Policy Characteristics'!F:F,MATCH($C638,'Policy Characteristics'!$C:$C,0)))</f>
        <v>0</v>
      </c>
      <c r="M638" s="261">
        <f>IF(ISBLANK(INDEX('Policy Characteristics'!G:G,MATCH($C638,'Policy Characteristics'!$C:$C,0))),"",INDEX('Policy Characteristics'!G:G,MATCH($C638,'Policy Characteristics'!$C:$C,0)))</f>
        <v>1</v>
      </c>
      <c r="N638" s="261">
        <f>IF(ISBLANK(INDEX('Policy Characteristics'!H:H,MATCH($C638,'Policy Characteristics'!$C:$C,0))),"",INDEX('Policy Characteristics'!H:H,MATCH($C638,'Policy Characteristics'!$C:$C,0)))</f>
        <v>0.01</v>
      </c>
      <c r="O638" s="254" t="str">
        <f>IF(ISBLANK(INDEX('Policy Characteristics'!I:I,MATCH($C638,'Policy Characteristics'!$C:$C,0))),"",INDEX('Policy Characteristics'!I:I,MATCH($C638,'Policy Characteristics'!$C:$C,0)))</f>
        <v>% of fuel shifted</v>
      </c>
      <c r="P638" s="254" t="str">
        <f>IF(ISBLANK(INDEX('Policy Characteristics'!J:J,MATCH($C638,'Policy Characteristics'!$C:$C,0))),"",INDEX('Policy Characteristics'!J:J,MATCH($C638,'Policy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8" s="254" t="str">
        <f>IF(ISBLANK(INDEX('Policy Characteristics'!K:K,MATCH($C638,'Policy Characteristics'!$C:$C,0))),"",INDEX('Policy Characteristics'!K:K,MATCH($C638,'Policy Characteristics'!$C:$C,0)))</f>
        <v>industry-ag-main.html#fuel-switching</v>
      </c>
      <c r="R638" s="254" t="str">
        <f>IF(ISBLANK(INDEX('Policy Characteristics'!L:L,MATCH($C638,'Policy Characteristics'!$C:$C,0))),"",INDEX('Policy Characteristics'!L:L,MATCH($C638,'Policy Characteristics'!$C:$C,0)))</f>
        <v>industry-elec-and-hydrogen.html</v>
      </c>
    </row>
    <row r="639" spans="1:18" x14ac:dyDescent="0.3">
      <c r="A639" s="254" t="str">
        <f>IF(ISBLANK(INDEX('Policy Characteristics'!A:A,MATCH($C639,'Policy Characteristics'!$C:$C,0))),"",INDEX('Policy Characteristics'!A:A,MATCH($C639,'Policy Characteristics'!$C:$C,0)))</f>
        <v>Industry</v>
      </c>
      <c r="B639" s="262" t="str">
        <f>IF(ISBLANK(INDEX('Policy Characteristics'!B:B,MATCH($C639,'Policy Characteristics'!$C:$C,0))),"",INDEX('Policy Characteristics'!B:B,MATCH($C639,'Policy Characteristics'!$C:$C,0)))</f>
        <v>Electrification</v>
      </c>
      <c r="C639" s="254" t="str">
        <f t="shared" si="34"/>
        <v>Fraction of Eligible Industrial Energy Use Shifted to Electricity</v>
      </c>
      <c r="D639" s="6" t="s">
        <v>3062</v>
      </c>
      <c r="E639" s="1" t="s">
        <v>3516</v>
      </c>
      <c r="F639" t="s">
        <v>2759</v>
      </c>
      <c r="G639" s="45" t="s">
        <v>3523</v>
      </c>
      <c r="H639" s="43">
        <v>1843</v>
      </c>
      <c r="I639" s="324" t="s">
        <v>43</v>
      </c>
      <c r="J639" s="255" t="str">
        <f>IF(ISBLANK(INDEX('Policy Characteristics'!D:D,MATCH($C639,'Policy Characteristics'!$C:$C,0))),"",INDEX('Policy Characteristics'!D:D,MATCH($C639,'Policy Characteristics'!$C:$C,0)))</f>
        <v>Electrification</v>
      </c>
      <c r="K639" s="254" t="str">
        <f>IF(ISBLANK(INDEX('Policy Characteristics'!E:E,MATCH($C639,'Policy Characteristics'!$C:$C,0))),"",INDEX('Policy Characteristics'!E:E,MATCH($C639,'Policy Characteristics'!$C:$C,0)))</f>
        <v>indst shift to electricity</v>
      </c>
      <c r="L639" s="261">
        <f>IF(ISBLANK(INDEX('Policy Characteristics'!F:F,MATCH($C639,'Policy Characteristics'!$C:$C,0))),"",INDEX('Policy Characteristics'!F:F,MATCH($C639,'Policy Characteristics'!$C:$C,0)))</f>
        <v>0</v>
      </c>
      <c r="M639" s="261">
        <f>IF(ISBLANK(INDEX('Policy Characteristics'!G:G,MATCH($C639,'Policy Characteristics'!$C:$C,0))),"",INDEX('Policy Characteristics'!G:G,MATCH($C639,'Policy Characteristics'!$C:$C,0)))</f>
        <v>1</v>
      </c>
      <c r="N639" s="261">
        <f>IF(ISBLANK(INDEX('Policy Characteristics'!H:H,MATCH($C639,'Policy Characteristics'!$C:$C,0))),"",INDEX('Policy Characteristics'!H:H,MATCH($C639,'Policy Characteristics'!$C:$C,0)))</f>
        <v>0.01</v>
      </c>
      <c r="O639" s="254" t="str">
        <f>IF(ISBLANK(INDEX('Policy Characteristics'!I:I,MATCH($C639,'Policy Characteristics'!$C:$C,0))),"",INDEX('Policy Characteristics'!I:I,MATCH($C639,'Policy Characteristics'!$C:$C,0)))</f>
        <v>% of fuel shifted</v>
      </c>
      <c r="P639" s="254" t="str">
        <f>IF(ISBLANK(INDEX('Policy Characteristics'!J:J,MATCH($C639,'Policy Characteristics'!$C:$C,0))),"",INDEX('Policy Characteristics'!J:J,MATCH($C639,'Policy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39" s="254" t="str">
        <f>IF(ISBLANK(INDEX('Policy Characteristics'!K:K,MATCH($C639,'Policy Characteristics'!$C:$C,0))),"",INDEX('Policy Characteristics'!K:K,MATCH($C639,'Policy Characteristics'!$C:$C,0)))</f>
        <v>industry-ag-main.html#fuel-switching</v>
      </c>
      <c r="R639" s="254" t="str">
        <f>IF(ISBLANK(INDEX('Policy Characteristics'!L:L,MATCH($C639,'Policy Characteristics'!$C:$C,0))),"",INDEX('Policy Characteristics'!L:L,MATCH($C639,'Policy Characteristics'!$C:$C,0)))</f>
        <v>industry-elec-and-hydrogen.html</v>
      </c>
    </row>
    <row r="640" spans="1:18" x14ac:dyDescent="0.3">
      <c r="A640" s="254" t="str">
        <f>IF(ISBLANK(INDEX('Policy Characteristics'!A:A,MATCH($C640,'Policy Characteristics'!$C:$C,0))),"",INDEX('Policy Characteristics'!A:A,MATCH($C640,'Policy Characteristics'!$C:$C,0)))</f>
        <v>Industry</v>
      </c>
      <c r="B640" s="262" t="str">
        <f>IF(ISBLANK(INDEX('Policy Characteristics'!B:B,MATCH($C640,'Policy Characteristics'!$C:$C,0))),"",INDEX('Policy Characteristics'!B:B,MATCH($C640,'Policy Characteristics'!$C:$C,0)))</f>
        <v>Electrification</v>
      </c>
      <c r="C640" s="254" t="str">
        <f t="shared" si="34"/>
        <v>Fraction of Eligible Industrial Energy Use Shifted to Electricity</v>
      </c>
      <c r="D640" s="6" t="s">
        <v>3062</v>
      </c>
      <c r="E640" s="1" t="s">
        <v>3517</v>
      </c>
      <c r="F640" t="s">
        <v>2759</v>
      </c>
      <c r="G640" s="45" t="s">
        <v>3524</v>
      </c>
      <c r="H640" s="43">
        <v>1844</v>
      </c>
      <c r="I640" s="324" t="s">
        <v>43</v>
      </c>
      <c r="J640" s="255" t="str">
        <f>IF(ISBLANK(INDEX('Policy Characteristics'!D:D,MATCH($C640,'Policy Characteristics'!$C:$C,0))),"",INDEX('Policy Characteristics'!D:D,MATCH($C640,'Policy Characteristics'!$C:$C,0)))</f>
        <v>Electrification</v>
      </c>
      <c r="K640" s="254" t="str">
        <f>IF(ISBLANK(INDEX('Policy Characteristics'!E:E,MATCH($C640,'Policy Characteristics'!$C:$C,0))),"",INDEX('Policy Characteristics'!E:E,MATCH($C640,'Policy Characteristics'!$C:$C,0)))</f>
        <v>indst shift to electricity</v>
      </c>
      <c r="L640" s="261">
        <f>IF(ISBLANK(INDEX('Policy Characteristics'!F:F,MATCH($C640,'Policy Characteristics'!$C:$C,0))),"",INDEX('Policy Characteristics'!F:F,MATCH($C640,'Policy Characteristics'!$C:$C,0)))</f>
        <v>0</v>
      </c>
      <c r="M640" s="261">
        <f>IF(ISBLANK(INDEX('Policy Characteristics'!G:G,MATCH($C640,'Policy Characteristics'!$C:$C,0))),"",INDEX('Policy Characteristics'!G:G,MATCH($C640,'Policy Characteristics'!$C:$C,0)))</f>
        <v>1</v>
      </c>
      <c r="N640" s="261">
        <f>IF(ISBLANK(INDEX('Policy Characteristics'!H:H,MATCH($C640,'Policy Characteristics'!$C:$C,0))),"",INDEX('Policy Characteristics'!H:H,MATCH($C640,'Policy Characteristics'!$C:$C,0)))</f>
        <v>0.01</v>
      </c>
      <c r="O640" s="254" t="str">
        <f>IF(ISBLANK(INDEX('Policy Characteristics'!I:I,MATCH($C640,'Policy Characteristics'!$C:$C,0))),"",INDEX('Policy Characteristics'!I:I,MATCH($C640,'Policy Characteristics'!$C:$C,0)))</f>
        <v>% of fuel shifted</v>
      </c>
      <c r="P640" s="254" t="str">
        <f>IF(ISBLANK(INDEX('Policy Characteristics'!J:J,MATCH($C640,'Policy Characteristics'!$C:$C,0))),"",INDEX('Policy Characteristics'!J:J,MATCH($C640,'Policy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0" s="254" t="str">
        <f>IF(ISBLANK(INDEX('Policy Characteristics'!K:K,MATCH($C640,'Policy Characteristics'!$C:$C,0))),"",INDEX('Policy Characteristics'!K:K,MATCH($C640,'Policy Characteristics'!$C:$C,0)))</f>
        <v>industry-ag-main.html#fuel-switching</v>
      </c>
      <c r="R640" s="254" t="str">
        <f>IF(ISBLANK(INDEX('Policy Characteristics'!L:L,MATCH($C640,'Policy Characteristics'!$C:$C,0))),"",INDEX('Policy Characteristics'!L:L,MATCH($C640,'Policy Characteristics'!$C:$C,0)))</f>
        <v>industry-elec-and-hydrogen.html</v>
      </c>
    </row>
    <row r="641" spans="1:18" x14ac:dyDescent="0.3">
      <c r="A641" s="254" t="str">
        <f>IF(ISBLANK(INDEX('Policy Characteristics'!A:A,MATCH($C641,'Policy Characteristics'!$C:$C,0))),"",INDEX('Policy Characteristics'!A:A,MATCH($C641,'Policy Characteristics'!$C:$C,0)))</f>
        <v>Industry</v>
      </c>
      <c r="B641" s="262" t="str">
        <f>IF(ISBLANK(INDEX('Policy Characteristics'!B:B,MATCH($C641,'Policy Characteristics'!$C:$C,0))),"",INDEX('Policy Characteristics'!B:B,MATCH($C641,'Policy Characteristics'!$C:$C,0)))</f>
        <v>Electrification</v>
      </c>
      <c r="C641" s="254" t="str">
        <f t="shared" si="34"/>
        <v>Fraction of Eligible Industrial Energy Use Shifted to Electricity</v>
      </c>
      <c r="D641" s="6" t="s">
        <v>3062</v>
      </c>
      <c r="E641" s="1" t="s">
        <v>3518</v>
      </c>
      <c r="F641" t="s">
        <v>2759</v>
      </c>
      <c r="G641" s="45" t="s">
        <v>3525</v>
      </c>
      <c r="H641" s="43">
        <v>1845</v>
      </c>
      <c r="I641" s="324" t="s">
        <v>43</v>
      </c>
      <c r="J641" s="255" t="str">
        <f>IF(ISBLANK(INDEX('Policy Characteristics'!D:D,MATCH($C641,'Policy Characteristics'!$C:$C,0))),"",INDEX('Policy Characteristics'!D:D,MATCH($C641,'Policy Characteristics'!$C:$C,0)))</f>
        <v>Electrification</v>
      </c>
      <c r="K641" s="254" t="str">
        <f>IF(ISBLANK(INDEX('Policy Characteristics'!E:E,MATCH($C641,'Policy Characteristics'!$C:$C,0))),"",INDEX('Policy Characteristics'!E:E,MATCH($C641,'Policy Characteristics'!$C:$C,0)))</f>
        <v>indst shift to electricity</v>
      </c>
      <c r="L641" s="261">
        <f>IF(ISBLANK(INDEX('Policy Characteristics'!F:F,MATCH($C641,'Policy Characteristics'!$C:$C,0))),"",INDEX('Policy Characteristics'!F:F,MATCH($C641,'Policy Characteristics'!$C:$C,0)))</f>
        <v>0</v>
      </c>
      <c r="M641" s="261">
        <f>IF(ISBLANK(INDEX('Policy Characteristics'!G:G,MATCH($C641,'Policy Characteristics'!$C:$C,0))),"",INDEX('Policy Characteristics'!G:G,MATCH($C641,'Policy Characteristics'!$C:$C,0)))</f>
        <v>1</v>
      </c>
      <c r="N641" s="261">
        <f>IF(ISBLANK(INDEX('Policy Characteristics'!H:H,MATCH($C641,'Policy Characteristics'!$C:$C,0))),"",INDEX('Policy Characteristics'!H:H,MATCH($C641,'Policy Characteristics'!$C:$C,0)))</f>
        <v>0.01</v>
      </c>
      <c r="O641" s="254" t="str">
        <f>IF(ISBLANK(INDEX('Policy Characteristics'!I:I,MATCH($C641,'Policy Characteristics'!$C:$C,0))),"",INDEX('Policy Characteristics'!I:I,MATCH($C641,'Policy Characteristics'!$C:$C,0)))</f>
        <v>% of fuel shifted</v>
      </c>
      <c r="P641" s="254" t="str">
        <f>IF(ISBLANK(INDEX('Policy Characteristics'!J:J,MATCH($C641,'Policy Characteristics'!$C:$C,0))),"",INDEX('Policy Characteristics'!J:J,MATCH($C641,'Policy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1" s="254" t="str">
        <f>IF(ISBLANK(INDEX('Policy Characteristics'!K:K,MATCH($C641,'Policy Characteristics'!$C:$C,0))),"",INDEX('Policy Characteristics'!K:K,MATCH($C641,'Policy Characteristics'!$C:$C,0)))</f>
        <v>industry-ag-main.html#fuel-switching</v>
      </c>
      <c r="R641" s="254" t="str">
        <f>IF(ISBLANK(INDEX('Policy Characteristics'!L:L,MATCH($C641,'Policy Characteristics'!$C:$C,0))),"",INDEX('Policy Characteristics'!L:L,MATCH($C641,'Policy Characteristics'!$C:$C,0)))</f>
        <v>industry-elec-and-hydrogen.html</v>
      </c>
    </row>
    <row r="642" spans="1:18" x14ac:dyDescent="0.3">
      <c r="A642" s="254" t="str">
        <f>IF(ISBLANK(INDEX('Policy Characteristics'!A:A,MATCH($C642,'Policy Characteristics'!$C:$C,0))),"",INDEX('Policy Characteristics'!A:A,MATCH($C642,'Policy Characteristics'!$C:$C,0)))</f>
        <v>Industry</v>
      </c>
      <c r="B642" s="262" t="str">
        <f>IF(ISBLANK(INDEX('Policy Characteristics'!B:B,MATCH($C642,'Policy Characteristics'!$C:$C,0))),"",INDEX('Policy Characteristics'!B:B,MATCH($C642,'Policy Characteristics'!$C:$C,0)))</f>
        <v>Electrification</v>
      </c>
      <c r="C642" s="254" t="str">
        <f t="shared" si="34"/>
        <v>Fraction of Eligible Industrial Energy Use Shifted to Electricity</v>
      </c>
      <c r="D642" s="6" t="s">
        <v>3062</v>
      </c>
      <c r="E642" s="1" t="s">
        <v>3519</v>
      </c>
      <c r="F642" t="s">
        <v>2759</v>
      </c>
      <c r="G642" s="45" t="s">
        <v>3526</v>
      </c>
      <c r="H642" s="43">
        <v>1846</v>
      </c>
      <c r="I642" s="324" t="s">
        <v>43</v>
      </c>
      <c r="J642" s="255" t="str">
        <f>IF(ISBLANK(INDEX('Policy Characteristics'!D:D,MATCH($C642,'Policy Characteristics'!$C:$C,0))),"",INDEX('Policy Characteristics'!D:D,MATCH($C642,'Policy Characteristics'!$C:$C,0)))</f>
        <v>Electrification</v>
      </c>
      <c r="K642" s="254" t="str">
        <f>IF(ISBLANK(INDEX('Policy Characteristics'!E:E,MATCH($C642,'Policy Characteristics'!$C:$C,0))),"",INDEX('Policy Characteristics'!E:E,MATCH($C642,'Policy Characteristics'!$C:$C,0)))</f>
        <v>indst shift to electricity</v>
      </c>
      <c r="L642" s="261">
        <f>IF(ISBLANK(INDEX('Policy Characteristics'!F:F,MATCH($C642,'Policy Characteristics'!$C:$C,0))),"",INDEX('Policy Characteristics'!F:F,MATCH($C642,'Policy Characteristics'!$C:$C,0)))</f>
        <v>0</v>
      </c>
      <c r="M642" s="261">
        <f>IF(ISBLANK(INDEX('Policy Characteristics'!G:G,MATCH($C642,'Policy Characteristics'!$C:$C,0))),"",INDEX('Policy Characteristics'!G:G,MATCH($C642,'Policy Characteristics'!$C:$C,0)))</f>
        <v>1</v>
      </c>
      <c r="N642" s="261">
        <f>IF(ISBLANK(INDEX('Policy Characteristics'!H:H,MATCH($C642,'Policy Characteristics'!$C:$C,0))),"",INDEX('Policy Characteristics'!H:H,MATCH($C642,'Policy Characteristics'!$C:$C,0)))</f>
        <v>0.01</v>
      </c>
      <c r="O642" s="254" t="str">
        <f>IF(ISBLANK(INDEX('Policy Characteristics'!I:I,MATCH($C642,'Policy Characteristics'!$C:$C,0))),"",INDEX('Policy Characteristics'!I:I,MATCH($C642,'Policy Characteristics'!$C:$C,0)))</f>
        <v>% of fuel shifted</v>
      </c>
      <c r="P642" s="254" t="str">
        <f>IF(ISBLANK(INDEX('Policy Characteristics'!J:J,MATCH($C642,'Policy Characteristics'!$C:$C,0))),"",INDEX('Policy Characteristics'!J:J,MATCH($C642,'Policy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2" s="254" t="str">
        <f>IF(ISBLANK(INDEX('Policy Characteristics'!K:K,MATCH($C642,'Policy Characteristics'!$C:$C,0))),"",INDEX('Policy Characteristics'!K:K,MATCH($C642,'Policy Characteristics'!$C:$C,0)))</f>
        <v>industry-ag-main.html#fuel-switching</v>
      </c>
      <c r="R642" s="254" t="str">
        <f>IF(ISBLANK(INDEX('Policy Characteristics'!L:L,MATCH($C642,'Policy Characteristics'!$C:$C,0))),"",INDEX('Policy Characteristics'!L:L,MATCH($C642,'Policy Characteristics'!$C:$C,0)))</f>
        <v>industry-elec-and-hydrogen.html</v>
      </c>
    </row>
    <row r="643" spans="1:18" x14ac:dyDescent="0.3">
      <c r="A643" s="254" t="str">
        <f>IF(ISBLANK(INDEX('Policy Characteristics'!A:A,MATCH($C643,'Policy Characteristics'!$C:$C,0))),"",INDEX('Policy Characteristics'!A:A,MATCH($C643,'Policy Characteristics'!$C:$C,0)))</f>
        <v>Industry</v>
      </c>
      <c r="B643" s="262" t="str">
        <f>IF(ISBLANK(INDEX('Policy Characteristics'!B:B,MATCH($C643,'Policy Characteristics'!$C:$C,0))),"",INDEX('Policy Characteristics'!B:B,MATCH($C643,'Policy Characteristics'!$C:$C,0)))</f>
        <v>Electrification</v>
      </c>
      <c r="C643" s="254" t="str">
        <f t="shared" si="34"/>
        <v>Fraction of Eligible Industrial Energy Use Shifted to Electricity</v>
      </c>
      <c r="D643" s="6" t="s">
        <v>3062</v>
      </c>
      <c r="E643" s="1" t="s">
        <v>3520</v>
      </c>
      <c r="F643" t="s">
        <v>2759</v>
      </c>
      <c r="G643" s="45" t="s">
        <v>3527</v>
      </c>
      <c r="H643" s="43">
        <v>1847</v>
      </c>
      <c r="I643" s="324" t="s">
        <v>43</v>
      </c>
      <c r="J643" s="255" t="str">
        <f>IF(ISBLANK(INDEX('Policy Characteristics'!D:D,MATCH($C643,'Policy Characteristics'!$C:$C,0))),"",INDEX('Policy Characteristics'!D:D,MATCH($C643,'Policy Characteristics'!$C:$C,0)))</f>
        <v>Electrification</v>
      </c>
      <c r="K643" s="254" t="str">
        <f>IF(ISBLANK(INDEX('Policy Characteristics'!E:E,MATCH($C643,'Policy Characteristics'!$C:$C,0))),"",INDEX('Policy Characteristics'!E:E,MATCH($C643,'Policy Characteristics'!$C:$C,0)))</f>
        <v>indst shift to electricity</v>
      </c>
      <c r="L643" s="261">
        <f>IF(ISBLANK(INDEX('Policy Characteristics'!F:F,MATCH($C643,'Policy Characteristics'!$C:$C,0))),"",INDEX('Policy Characteristics'!F:F,MATCH($C643,'Policy Characteristics'!$C:$C,0)))</f>
        <v>0</v>
      </c>
      <c r="M643" s="261">
        <f>IF(ISBLANK(INDEX('Policy Characteristics'!G:G,MATCH($C643,'Policy Characteristics'!$C:$C,0))),"",INDEX('Policy Characteristics'!G:G,MATCH($C643,'Policy Characteristics'!$C:$C,0)))</f>
        <v>1</v>
      </c>
      <c r="N643" s="261">
        <f>IF(ISBLANK(INDEX('Policy Characteristics'!H:H,MATCH($C643,'Policy Characteristics'!$C:$C,0))),"",INDEX('Policy Characteristics'!H:H,MATCH($C643,'Policy Characteristics'!$C:$C,0)))</f>
        <v>0.01</v>
      </c>
      <c r="O643" s="254" t="str">
        <f>IF(ISBLANK(INDEX('Policy Characteristics'!I:I,MATCH($C643,'Policy Characteristics'!$C:$C,0))),"",INDEX('Policy Characteristics'!I:I,MATCH($C643,'Policy Characteristics'!$C:$C,0)))</f>
        <v>% of fuel shifted</v>
      </c>
      <c r="P643" s="254" t="str">
        <f>IF(ISBLANK(INDEX('Policy Characteristics'!J:J,MATCH($C643,'Policy Characteristics'!$C:$C,0))),"",INDEX('Policy Characteristics'!J:J,MATCH($C643,'Policy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3" s="254" t="str">
        <f>IF(ISBLANK(INDEX('Policy Characteristics'!K:K,MATCH($C643,'Policy Characteristics'!$C:$C,0))),"",INDEX('Policy Characteristics'!K:K,MATCH($C643,'Policy Characteristics'!$C:$C,0)))</f>
        <v>industry-ag-main.html#fuel-switching</v>
      </c>
      <c r="R643" s="254" t="str">
        <f>IF(ISBLANK(INDEX('Policy Characteristics'!L:L,MATCH($C643,'Policy Characteristics'!$C:$C,0))),"",INDEX('Policy Characteristics'!L:L,MATCH($C643,'Policy Characteristics'!$C:$C,0)))</f>
        <v>industry-elec-and-hydrogen.html</v>
      </c>
    </row>
    <row r="644" spans="1:18" x14ac:dyDescent="0.3">
      <c r="A644" s="254" t="str">
        <f>IF(ISBLANK(INDEX('Policy Characteristics'!A:A,MATCH($C644,'Policy Characteristics'!$C:$C,0))),"",INDEX('Policy Characteristics'!A:A,MATCH($C644,'Policy Characteristics'!$C:$C,0)))</f>
        <v>Industry</v>
      </c>
      <c r="B644" s="262" t="str">
        <f>IF(ISBLANK(INDEX('Policy Characteristics'!B:B,MATCH($C644,'Policy Characteristics'!$C:$C,0))),"",INDEX('Policy Characteristics'!B:B,MATCH($C644,'Policy Characteristics'!$C:$C,0)))</f>
        <v>Electrification</v>
      </c>
      <c r="C644" s="254" t="str">
        <f t="shared" si="34"/>
        <v>Fraction of Eligible Industrial Energy Use Shifted to Electricity</v>
      </c>
      <c r="D644" s="6" t="s">
        <v>3062</v>
      </c>
      <c r="E644" s="1" t="s">
        <v>3521</v>
      </c>
      <c r="F644" t="s">
        <v>2759</v>
      </c>
      <c r="G644" s="45" t="s">
        <v>3528</v>
      </c>
      <c r="H644" s="43">
        <v>1848</v>
      </c>
      <c r="I644" s="324" t="s">
        <v>43</v>
      </c>
      <c r="J644" s="255" t="str">
        <f>IF(ISBLANK(INDEX('Policy Characteristics'!D:D,MATCH($C644,'Policy Characteristics'!$C:$C,0))),"",INDEX('Policy Characteristics'!D:D,MATCH($C644,'Policy Characteristics'!$C:$C,0)))</f>
        <v>Electrification</v>
      </c>
      <c r="K644" s="254" t="str">
        <f>IF(ISBLANK(INDEX('Policy Characteristics'!E:E,MATCH($C644,'Policy Characteristics'!$C:$C,0))),"",INDEX('Policy Characteristics'!E:E,MATCH($C644,'Policy Characteristics'!$C:$C,0)))</f>
        <v>indst shift to electricity</v>
      </c>
      <c r="L644" s="261">
        <f>IF(ISBLANK(INDEX('Policy Characteristics'!F:F,MATCH($C644,'Policy Characteristics'!$C:$C,0))),"",INDEX('Policy Characteristics'!F:F,MATCH($C644,'Policy Characteristics'!$C:$C,0)))</f>
        <v>0</v>
      </c>
      <c r="M644" s="261">
        <f>IF(ISBLANK(INDEX('Policy Characteristics'!G:G,MATCH($C644,'Policy Characteristics'!$C:$C,0))),"",INDEX('Policy Characteristics'!G:G,MATCH($C644,'Policy Characteristics'!$C:$C,0)))</f>
        <v>1</v>
      </c>
      <c r="N644" s="261">
        <f>IF(ISBLANK(INDEX('Policy Characteristics'!H:H,MATCH($C644,'Policy Characteristics'!$C:$C,0))),"",INDEX('Policy Characteristics'!H:H,MATCH($C644,'Policy Characteristics'!$C:$C,0)))</f>
        <v>0.01</v>
      </c>
      <c r="O644" s="254" t="str">
        <f>IF(ISBLANK(INDEX('Policy Characteristics'!I:I,MATCH($C644,'Policy Characteristics'!$C:$C,0))),"",INDEX('Policy Characteristics'!I:I,MATCH($C644,'Policy Characteristics'!$C:$C,0)))</f>
        <v>% of fuel shifted</v>
      </c>
      <c r="P644" s="254" t="str">
        <f>IF(ISBLANK(INDEX('Policy Characteristics'!J:J,MATCH($C644,'Policy Characteristics'!$C:$C,0))),"",INDEX('Policy Characteristics'!J:J,MATCH($C644,'Policy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4" s="254" t="str">
        <f>IF(ISBLANK(INDEX('Policy Characteristics'!K:K,MATCH($C644,'Policy Characteristics'!$C:$C,0))),"",INDEX('Policy Characteristics'!K:K,MATCH($C644,'Policy Characteristics'!$C:$C,0)))</f>
        <v>industry-ag-main.html#fuel-switching</v>
      </c>
      <c r="R644" s="254" t="str">
        <f>IF(ISBLANK(INDEX('Policy Characteristics'!L:L,MATCH($C644,'Policy Characteristics'!$C:$C,0))),"",INDEX('Policy Characteristics'!L:L,MATCH($C644,'Policy Characteristics'!$C:$C,0)))</f>
        <v>industry-elec-and-hydrogen.html</v>
      </c>
    </row>
    <row r="645" spans="1:18" x14ac:dyDescent="0.3">
      <c r="A645" s="254" t="str">
        <f>IF(ISBLANK(INDEX('Policy Characteristics'!A:A,MATCH($C645,'Policy Characteristics'!$C:$C,0))),"",INDEX('Policy Characteristics'!A:A,MATCH($C645,'Policy Characteristics'!$C:$C,0)))</f>
        <v>Industry</v>
      </c>
      <c r="B645" s="262" t="str">
        <f>IF(ISBLANK(INDEX('Policy Characteristics'!B:B,MATCH($C645,'Policy Characteristics'!$C:$C,0))),"",INDEX('Policy Characteristics'!B:B,MATCH($C645,'Policy Characteristics'!$C:$C,0)))</f>
        <v>Electrification</v>
      </c>
      <c r="C645" s="254" t="str">
        <f t="shared" si="34"/>
        <v>Fraction of Eligible Industrial Energy Use Shifted to Electricity</v>
      </c>
      <c r="D645" s="6" t="s">
        <v>3062</v>
      </c>
      <c r="E645" s="1" t="s">
        <v>3671</v>
      </c>
      <c r="F645" t="s">
        <v>2759</v>
      </c>
      <c r="G645" s="45" t="s">
        <v>3671</v>
      </c>
      <c r="H645" s="43">
        <v>1849</v>
      </c>
      <c r="I645" s="324" t="s">
        <v>43</v>
      </c>
      <c r="J645" s="255" t="str">
        <f>IF(ISBLANK(INDEX('Policy Characteristics'!D:D,MATCH($C645,'Policy Characteristics'!$C:$C,0))),"",INDEX('Policy Characteristics'!D:D,MATCH($C645,'Policy Characteristics'!$C:$C,0)))</f>
        <v>Electrification</v>
      </c>
      <c r="K645" s="254" t="str">
        <f>IF(ISBLANK(INDEX('Policy Characteristics'!E:E,MATCH($C645,'Policy Characteristics'!$C:$C,0))),"",INDEX('Policy Characteristics'!E:E,MATCH($C645,'Policy Characteristics'!$C:$C,0)))</f>
        <v>indst shift to electricity</v>
      </c>
      <c r="L645" s="261">
        <f>IF(ISBLANK(INDEX('Policy Characteristics'!F:F,MATCH($C645,'Policy Characteristics'!$C:$C,0))),"",INDEX('Policy Characteristics'!F:F,MATCH($C645,'Policy Characteristics'!$C:$C,0)))</f>
        <v>0</v>
      </c>
      <c r="M645" s="261">
        <f>IF(ISBLANK(INDEX('Policy Characteristics'!G:G,MATCH($C645,'Policy Characteristics'!$C:$C,0))),"",INDEX('Policy Characteristics'!G:G,MATCH($C645,'Policy Characteristics'!$C:$C,0)))</f>
        <v>1</v>
      </c>
      <c r="N645" s="261">
        <f>IF(ISBLANK(INDEX('Policy Characteristics'!H:H,MATCH($C645,'Policy Characteristics'!$C:$C,0))),"",INDEX('Policy Characteristics'!H:H,MATCH($C645,'Policy Characteristics'!$C:$C,0)))</f>
        <v>0.01</v>
      </c>
      <c r="O645" s="254" t="str">
        <f>IF(ISBLANK(INDEX('Policy Characteristics'!I:I,MATCH($C645,'Policy Characteristics'!$C:$C,0))),"",INDEX('Policy Characteristics'!I:I,MATCH($C645,'Policy Characteristics'!$C:$C,0)))</f>
        <v>% of fuel shifted</v>
      </c>
      <c r="P645" s="254" t="str">
        <f>IF(ISBLANK(INDEX('Policy Characteristics'!J:J,MATCH($C645,'Policy Characteristics'!$C:$C,0))),"",INDEX('Policy Characteristics'!J:J,MATCH($C645,'Policy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5" s="254" t="str">
        <f>IF(ISBLANK(INDEX('Policy Characteristics'!K:K,MATCH($C645,'Policy Characteristics'!$C:$C,0))),"",INDEX('Policy Characteristics'!K:K,MATCH($C645,'Policy Characteristics'!$C:$C,0)))</f>
        <v>industry-ag-main.html#fuel-switching</v>
      </c>
      <c r="R645" s="254" t="str">
        <f>IF(ISBLANK(INDEX('Policy Characteristics'!L:L,MATCH($C645,'Policy Characteristics'!$C:$C,0))),"",INDEX('Policy Characteristics'!L:L,MATCH($C645,'Policy Characteristics'!$C:$C,0)))</f>
        <v>industry-elec-and-hydrogen.html</v>
      </c>
    </row>
    <row r="646" spans="1:18" x14ac:dyDescent="0.3">
      <c r="A646" s="254" t="str">
        <f>IF(ISBLANK(INDEX('Policy Characteristics'!A:A,MATCH($C646,'Policy Characteristics'!$C:$C,0))),"",INDEX('Policy Characteristics'!A:A,MATCH($C646,'Policy Characteristics'!$C:$C,0)))</f>
        <v>Industry</v>
      </c>
      <c r="B646" s="262" t="str">
        <f>IF(ISBLANK(INDEX('Policy Characteristics'!B:B,MATCH($C646,'Policy Characteristics'!$C:$C,0))),"",INDEX('Policy Characteristics'!B:B,MATCH($C646,'Policy Characteristics'!$C:$C,0)))</f>
        <v>Electrification</v>
      </c>
      <c r="C646" s="254" t="str">
        <f t="shared" si="34"/>
        <v>Fraction of Eligible Industrial Energy Use Shifted to Electricity</v>
      </c>
      <c r="D646" s="6" t="s">
        <v>3063</v>
      </c>
      <c r="E646" s="1" t="s">
        <v>3515</v>
      </c>
      <c r="F646" t="s">
        <v>3027</v>
      </c>
      <c r="G646" s="45" t="s">
        <v>3522</v>
      </c>
      <c r="H646" s="43">
        <v>1850</v>
      </c>
      <c r="I646" s="324" t="s">
        <v>43</v>
      </c>
      <c r="J646" s="255" t="str">
        <f>IF(ISBLANK(INDEX('Policy Characteristics'!D:D,MATCH($C646,'Policy Characteristics'!$C:$C,0))),"",INDEX('Policy Characteristics'!D:D,MATCH($C646,'Policy Characteristics'!$C:$C,0)))</f>
        <v>Electrification</v>
      </c>
      <c r="K646" s="254" t="str">
        <f>IF(ISBLANK(INDEX('Policy Characteristics'!E:E,MATCH($C646,'Policy Characteristics'!$C:$C,0))),"",INDEX('Policy Characteristics'!E:E,MATCH($C646,'Policy Characteristics'!$C:$C,0)))</f>
        <v>indst shift to electricity</v>
      </c>
      <c r="L646" s="261">
        <f>IF(ISBLANK(INDEX('Policy Characteristics'!F:F,MATCH($C646,'Policy Characteristics'!$C:$C,0))),"",INDEX('Policy Characteristics'!F:F,MATCH($C646,'Policy Characteristics'!$C:$C,0)))</f>
        <v>0</v>
      </c>
      <c r="M646" s="261">
        <f>IF(ISBLANK(INDEX('Policy Characteristics'!G:G,MATCH($C646,'Policy Characteristics'!$C:$C,0))),"",INDEX('Policy Characteristics'!G:G,MATCH($C646,'Policy Characteristics'!$C:$C,0)))</f>
        <v>1</v>
      </c>
      <c r="N646" s="261">
        <f>IF(ISBLANK(INDEX('Policy Characteristics'!H:H,MATCH($C646,'Policy Characteristics'!$C:$C,0))),"",INDEX('Policy Characteristics'!H:H,MATCH($C646,'Policy Characteristics'!$C:$C,0)))</f>
        <v>0.01</v>
      </c>
      <c r="O646" s="254" t="str">
        <f>IF(ISBLANK(INDEX('Policy Characteristics'!I:I,MATCH($C646,'Policy Characteristics'!$C:$C,0))),"",INDEX('Policy Characteristics'!I:I,MATCH($C646,'Policy Characteristics'!$C:$C,0)))</f>
        <v>% of fuel shifted</v>
      </c>
      <c r="P646" s="254" t="str">
        <f>IF(ISBLANK(INDEX('Policy Characteristics'!J:J,MATCH($C646,'Policy Characteristics'!$C:$C,0))),"",INDEX('Policy Characteristics'!J:J,MATCH($C646,'Policy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6" s="254" t="str">
        <f>IF(ISBLANK(INDEX('Policy Characteristics'!K:K,MATCH($C646,'Policy Characteristics'!$C:$C,0))),"",INDEX('Policy Characteristics'!K:K,MATCH($C646,'Policy Characteristics'!$C:$C,0)))</f>
        <v>industry-ag-main.html#fuel-switching</v>
      </c>
      <c r="R646" s="254" t="str">
        <f>IF(ISBLANK(INDEX('Policy Characteristics'!L:L,MATCH($C646,'Policy Characteristics'!$C:$C,0))),"",INDEX('Policy Characteristics'!L:L,MATCH($C646,'Policy Characteristics'!$C:$C,0)))</f>
        <v>industry-elec-and-hydrogen.html</v>
      </c>
    </row>
    <row r="647" spans="1:18" x14ac:dyDescent="0.3">
      <c r="A647" s="254" t="str">
        <f>IF(ISBLANK(INDEX('Policy Characteristics'!A:A,MATCH($C647,'Policy Characteristics'!$C:$C,0))),"",INDEX('Policy Characteristics'!A:A,MATCH($C647,'Policy Characteristics'!$C:$C,0)))</f>
        <v>Industry</v>
      </c>
      <c r="B647" s="262" t="str">
        <f>IF(ISBLANK(INDEX('Policy Characteristics'!B:B,MATCH($C647,'Policy Characteristics'!$C:$C,0))),"",INDEX('Policy Characteristics'!B:B,MATCH($C647,'Policy Characteristics'!$C:$C,0)))</f>
        <v>Electrification</v>
      </c>
      <c r="C647" s="254" t="str">
        <f t="shared" si="34"/>
        <v>Fraction of Eligible Industrial Energy Use Shifted to Electricity</v>
      </c>
      <c r="D647" s="6" t="s">
        <v>3063</v>
      </c>
      <c r="E647" s="1" t="s">
        <v>3516</v>
      </c>
      <c r="F647" t="s">
        <v>3027</v>
      </c>
      <c r="G647" s="45" t="s">
        <v>3523</v>
      </c>
      <c r="H647" s="43">
        <v>1851</v>
      </c>
      <c r="I647" s="324" t="s">
        <v>43</v>
      </c>
      <c r="J647" s="255" t="str">
        <f>IF(ISBLANK(INDEX('Policy Characteristics'!D:D,MATCH($C647,'Policy Characteristics'!$C:$C,0))),"",INDEX('Policy Characteristics'!D:D,MATCH($C647,'Policy Characteristics'!$C:$C,0)))</f>
        <v>Electrification</v>
      </c>
      <c r="K647" s="254" t="str">
        <f>IF(ISBLANK(INDEX('Policy Characteristics'!E:E,MATCH($C647,'Policy Characteristics'!$C:$C,0))),"",INDEX('Policy Characteristics'!E:E,MATCH($C647,'Policy Characteristics'!$C:$C,0)))</f>
        <v>indst shift to electricity</v>
      </c>
      <c r="L647" s="261">
        <f>IF(ISBLANK(INDEX('Policy Characteristics'!F:F,MATCH($C647,'Policy Characteristics'!$C:$C,0))),"",INDEX('Policy Characteristics'!F:F,MATCH($C647,'Policy Characteristics'!$C:$C,0)))</f>
        <v>0</v>
      </c>
      <c r="M647" s="261">
        <f>IF(ISBLANK(INDEX('Policy Characteristics'!G:G,MATCH($C647,'Policy Characteristics'!$C:$C,0))),"",INDEX('Policy Characteristics'!G:G,MATCH($C647,'Policy Characteristics'!$C:$C,0)))</f>
        <v>1</v>
      </c>
      <c r="N647" s="261">
        <f>IF(ISBLANK(INDEX('Policy Characteristics'!H:H,MATCH($C647,'Policy Characteristics'!$C:$C,0))),"",INDEX('Policy Characteristics'!H:H,MATCH($C647,'Policy Characteristics'!$C:$C,0)))</f>
        <v>0.01</v>
      </c>
      <c r="O647" s="254" t="str">
        <f>IF(ISBLANK(INDEX('Policy Characteristics'!I:I,MATCH($C647,'Policy Characteristics'!$C:$C,0))),"",INDEX('Policy Characteristics'!I:I,MATCH($C647,'Policy Characteristics'!$C:$C,0)))</f>
        <v>% of fuel shifted</v>
      </c>
      <c r="P647" s="254" t="str">
        <f>IF(ISBLANK(INDEX('Policy Characteristics'!J:J,MATCH($C647,'Policy Characteristics'!$C:$C,0))),"",INDEX('Policy Characteristics'!J:J,MATCH($C647,'Policy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7" s="254" t="str">
        <f>IF(ISBLANK(INDEX('Policy Characteristics'!K:K,MATCH($C647,'Policy Characteristics'!$C:$C,0))),"",INDEX('Policy Characteristics'!K:K,MATCH($C647,'Policy Characteristics'!$C:$C,0)))</f>
        <v>industry-ag-main.html#fuel-switching</v>
      </c>
      <c r="R647" s="254" t="str">
        <f>IF(ISBLANK(INDEX('Policy Characteristics'!L:L,MATCH($C647,'Policy Characteristics'!$C:$C,0))),"",INDEX('Policy Characteristics'!L:L,MATCH($C647,'Policy Characteristics'!$C:$C,0)))</f>
        <v>industry-elec-and-hydrogen.html</v>
      </c>
    </row>
    <row r="648" spans="1:18" x14ac:dyDescent="0.3">
      <c r="A648" s="254" t="str">
        <f>IF(ISBLANK(INDEX('Policy Characteristics'!A:A,MATCH($C648,'Policy Characteristics'!$C:$C,0))),"",INDEX('Policy Characteristics'!A:A,MATCH($C648,'Policy Characteristics'!$C:$C,0)))</f>
        <v>Industry</v>
      </c>
      <c r="B648" s="262" t="str">
        <f>IF(ISBLANK(INDEX('Policy Characteristics'!B:B,MATCH($C648,'Policy Characteristics'!$C:$C,0))),"",INDEX('Policy Characteristics'!B:B,MATCH($C648,'Policy Characteristics'!$C:$C,0)))</f>
        <v>Electrification</v>
      </c>
      <c r="C648" s="254" t="str">
        <f t="shared" si="34"/>
        <v>Fraction of Eligible Industrial Energy Use Shifted to Electricity</v>
      </c>
      <c r="D648" s="6" t="s">
        <v>3063</v>
      </c>
      <c r="E648" s="1" t="s">
        <v>3517</v>
      </c>
      <c r="F648" t="s">
        <v>3027</v>
      </c>
      <c r="G648" s="45" t="s">
        <v>3524</v>
      </c>
      <c r="H648" s="43">
        <v>1852</v>
      </c>
      <c r="I648" s="324" t="s">
        <v>43</v>
      </c>
      <c r="J648" s="255" t="str">
        <f>IF(ISBLANK(INDEX('Policy Characteristics'!D:D,MATCH($C648,'Policy Characteristics'!$C:$C,0))),"",INDEX('Policy Characteristics'!D:D,MATCH($C648,'Policy Characteristics'!$C:$C,0)))</f>
        <v>Electrification</v>
      </c>
      <c r="K648" s="254" t="str">
        <f>IF(ISBLANK(INDEX('Policy Characteristics'!E:E,MATCH($C648,'Policy Characteristics'!$C:$C,0))),"",INDEX('Policy Characteristics'!E:E,MATCH($C648,'Policy Characteristics'!$C:$C,0)))</f>
        <v>indst shift to electricity</v>
      </c>
      <c r="L648" s="261">
        <f>IF(ISBLANK(INDEX('Policy Characteristics'!F:F,MATCH($C648,'Policy Characteristics'!$C:$C,0))),"",INDEX('Policy Characteristics'!F:F,MATCH($C648,'Policy Characteristics'!$C:$C,0)))</f>
        <v>0</v>
      </c>
      <c r="M648" s="261">
        <f>IF(ISBLANK(INDEX('Policy Characteristics'!G:G,MATCH($C648,'Policy Characteristics'!$C:$C,0))),"",INDEX('Policy Characteristics'!G:G,MATCH($C648,'Policy Characteristics'!$C:$C,0)))</f>
        <v>1</v>
      </c>
      <c r="N648" s="261">
        <f>IF(ISBLANK(INDEX('Policy Characteristics'!H:H,MATCH($C648,'Policy Characteristics'!$C:$C,0))),"",INDEX('Policy Characteristics'!H:H,MATCH($C648,'Policy Characteristics'!$C:$C,0)))</f>
        <v>0.01</v>
      </c>
      <c r="O648" s="254" t="str">
        <f>IF(ISBLANK(INDEX('Policy Characteristics'!I:I,MATCH($C648,'Policy Characteristics'!$C:$C,0))),"",INDEX('Policy Characteristics'!I:I,MATCH($C648,'Policy Characteristics'!$C:$C,0)))</f>
        <v>% of fuel shifted</v>
      </c>
      <c r="P648" s="254" t="str">
        <f>IF(ISBLANK(INDEX('Policy Characteristics'!J:J,MATCH($C648,'Policy Characteristics'!$C:$C,0))),"",INDEX('Policy Characteristics'!J:J,MATCH($C648,'Policy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8" s="254" t="str">
        <f>IF(ISBLANK(INDEX('Policy Characteristics'!K:K,MATCH($C648,'Policy Characteristics'!$C:$C,0))),"",INDEX('Policy Characteristics'!K:K,MATCH($C648,'Policy Characteristics'!$C:$C,0)))</f>
        <v>industry-ag-main.html#fuel-switching</v>
      </c>
      <c r="R648" s="254" t="str">
        <f>IF(ISBLANK(INDEX('Policy Characteristics'!L:L,MATCH($C648,'Policy Characteristics'!$C:$C,0))),"",INDEX('Policy Characteristics'!L:L,MATCH($C648,'Policy Characteristics'!$C:$C,0)))</f>
        <v>industry-elec-and-hydrogen.html</v>
      </c>
    </row>
    <row r="649" spans="1:18" x14ac:dyDescent="0.3">
      <c r="A649" s="254" t="str">
        <f>IF(ISBLANK(INDEX('Policy Characteristics'!A:A,MATCH($C649,'Policy Characteristics'!$C:$C,0))),"",INDEX('Policy Characteristics'!A:A,MATCH($C649,'Policy Characteristics'!$C:$C,0)))</f>
        <v>Industry</v>
      </c>
      <c r="B649" s="262" t="str">
        <f>IF(ISBLANK(INDEX('Policy Characteristics'!B:B,MATCH($C649,'Policy Characteristics'!$C:$C,0))),"",INDEX('Policy Characteristics'!B:B,MATCH($C649,'Policy Characteristics'!$C:$C,0)))</f>
        <v>Electrification</v>
      </c>
      <c r="C649" s="254" t="str">
        <f t="shared" si="34"/>
        <v>Fraction of Eligible Industrial Energy Use Shifted to Electricity</v>
      </c>
      <c r="D649" s="6" t="s">
        <v>3063</v>
      </c>
      <c r="E649" s="1" t="s">
        <v>3518</v>
      </c>
      <c r="F649" t="s">
        <v>3027</v>
      </c>
      <c r="G649" s="45" t="s">
        <v>3525</v>
      </c>
      <c r="H649" s="43">
        <v>1853</v>
      </c>
      <c r="I649" s="324" t="s">
        <v>43</v>
      </c>
      <c r="J649" s="255" t="str">
        <f>IF(ISBLANK(INDEX('Policy Characteristics'!D:D,MATCH($C649,'Policy Characteristics'!$C:$C,0))),"",INDEX('Policy Characteristics'!D:D,MATCH($C649,'Policy Characteristics'!$C:$C,0)))</f>
        <v>Electrification</v>
      </c>
      <c r="K649" s="254" t="str">
        <f>IF(ISBLANK(INDEX('Policy Characteristics'!E:E,MATCH($C649,'Policy Characteristics'!$C:$C,0))),"",INDEX('Policy Characteristics'!E:E,MATCH($C649,'Policy Characteristics'!$C:$C,0)))</f>
        <v>indst shift to electricity</v>
      </c>
      <c r="L649" s="261">
        <f>IF(ISBLANK(INDEX('Policy Characteristics'!F:F,MATCH($C649,'Policy Characteristics'!$C:$C,0))),"",INDEX('Policy Characteristics'!F:F,MATCH($C649,'Policy Characteristics'!$C:$C,0)))</f>
        <v>0</v>
      </c>
      <c r="M649" s="261">
        <f>IF(ISBLANK(INDEX('Policy Characteristics'!G:G,MATCH($C649,'Policy Characteristics'!$C:$C,0))),"",INDEX('Policy Characteristics'!G:G,MATCH($C649,'Policy Characteristics'!$C:$C,0)))</f>
        <v>1</v>
      </c>
      <c r="N649" s="261">
        <f>IF(ISBLANK(INDEX('Policy Characteristics'!H:H,MATCH($C649,'Policy Characteristics'!$C:$C,0))),"",INDEX('Policy Characteristics'!H:H,MATCH($C649,'Policy Characteristics'!$C:$C,0)))</f>
        <v>0.01</v>
      </c>
      <c r="O649" s="254" t="str">
        <f>IF(ISBLANK(INDEX('Policy Characteristics'!I:I,MATCH($C649,'Policy Characteristics'!$C:$C,0))),"",INDEX('Policy Characteristics'!I:I,MATCH($C649,'Policy Characteristics'!$C:$C,0)))</f>
        <v>% of fuel shifted</v>
      </c>
      <c r="P649" s="254" t="str">
        <f>IF(ISBLANK(INDEX('Policy Characteristics'!J:J,MATCH($C649,'Policy Characteristics'!$C:$C,0))),"",INDEX('Policy Characteristics'!J:J,MATCH($C649,'Policy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49" s="254" t="str">
        <f>IF(ISBLANK(INDEX('Policy Characteristics'!K:K,MATCH($C649,'Policy Characteristics'!$C:$C,0))),"",INDEX('Policy Characteristics'!K:K,MATCH($C649,'Policy Characteristics'!$C:$C,0)))</f>
        <v>industry-ag-main.html#fuel-switching</v>
      </c>
      <c r="R649" s="254" t="str">
        <f>IF(ISBLANK(INDEX('Policy Characteristics'!L:L,MATCH($C649,'Policy Characteristics'!$C:$C,0))),"",INDEX('Policy Characteristics'!L:L,MATCH($C649,'Policy Characteristics'!$C:$C,0)))</f>
        <v>industry-elec-and-hydrogen.html</v>
      </c>
    </row>
    <row r="650" spans="1:18" x14ac:dyDescent="0.3">
      <c r="A650" s="254" t="str">
        <f>IF(ISBLANK(INDEX('Policy Characteristics'!A:A,MATCH($C650,'Policy Characteristics'!$C:$C,0))),"",INDEX('Policy Characteristics'!A:A,MATCH($C650,'Policy Characteristics'!$C:$C,0)))</f>
        <v>Industry</v>
      </c>
      <c r="B650" s="262" t="str">
        <f>IF(ISBLANK(INDEX('Policy Characteristics'!B:B,MATCH($C650,'Policy Characteristics'!$C:$C,0))),"",INDEX('Policy Characteristics'!B:B,MATCH($C650,'Policy Characteristics'!$C:$C,0)))</f>
        <v>Electrification</v>
      </c>
      <c r="C650" s="254" t="str">
        <f t="shared" si="34"/>
        <v>Fraction of Eligible Industrial Energy Use Shifted to Electricity</v>
      </c>
      <c r="D650" s="6" t="s">
        <v>3063</v>
      </c>
      <c r="E650" s="1" t="s">
        <v>3519</v>
      </c>
      <c r="F650" t="s">
        <v>3027</v>
      </c>
      <c r="G650" s="45" t="s">
        <v>3526</v>
      </c>
      <c r="H650" s="43">
        <v>1854</v>
      </c>
      <c r="I650" s="324" t="s">
        <v>43</v>
      </c>
      <c r="J650" s="255" t="str">
        <f>IF(ISBLANK(INDEX('Policy Characteristics'!D:D,MATCH($C650,'Policy Characteristics'!$C:$C,0))),"",INDEX('Policy Characteristics'!D:D,MATCH($C650,'Policy Characteristics'!$C:$C,0)))</f>
        <v>Electrification</v>
      </c>
      <c r="K650" s="254" t="str">
        <f>IF(ISBLANK(INDEX('Policy Characteristics'!E:E,MATCH($C650,'Policy Characteristics'!$C:$C,0))),"",INDEX('Policy Characteristics'!E:E,MATCH($C650,'Policy Characteristics'!$C:$C,0)))</f>
        <v>indst shift to electricity</v>
      </c>
      <c r="L650" s="261">
        <f>IF(ISBLANK(INDEX('Policy Characteristics'!F:F,MATCH($C650,'Policy Characteristics'!$C:$C,0))),"",INDEX('Policy Characteristics'!F:F,MATCH($C650,'Policy Characteristics'!$C:$C,0)))</f>
        <v>0</v>
      </c>
      <c r="M650" s="261">
        <f>IF(ISBLANK(INDEX('Policy Characteristics'!G:G,MATCH($C650,'Policy Characteristics'!$C:$C,0))),"",INDEX('Policy Characteristics'!G:G,MATCH($C650,'Policy Characteristics'!$C:$C,0)))</f>
        <v>1</v>
      </c>
      <c r="N650" s="261">
        <f>IF(ISBLANK(INDEX('Policy Characteristics'!H:H,MATCH($C650,'Policy Characteristics'!$C:$C,0))),"",INDEX('Policy Characteristics'!H:H,MATCH($C650,'Policy Characteristics'!$C:$C,0)))</f>
        <v>0.01</v>
      </c>
      <c r="O650" s="254" t="str">
        <f>IF(ISBLANK(INDEX('Policy Characteristics'!I:I,MATCH($C650,'Policy Characteristics'!$C:$C,0))),"",INDEX('Policy Characteristics'!I:I,MATCH($C650,'Policy Characteristics'!$C:$C,0)))</f>
        <v>% of fuel shifted</v>
      </c>
      <c r="P650" s="254" t="str">
        <f>IF(ISBLANK(INDEX('Policy Characteristics'!J:J,MATCH($C650,'Policy Characteristics'!$C:$C,0))),"",INDEX('Policy Characteristics'!J:J,MATCH($C650,'Policy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0" s="254" t="str">
        <f>IF(ISBLANK(INDEX('Policy Characteristics'!K:K,MATCH($C650,'Policy Characteristics'!$C:$C,0))),"",INDEX('Policy Characteristics'!K:K,MATCH($C650,'Policy Characteristics'!$C:$C,0)))</f>
        <v>industry-ag-main.html#fuel-switching</v>
      </c>
      <c r="R650" s="254" t="str">
        <f>IF(ISBLANK(INDEX('Policy Characteristics'!L:L,MATCH($C650,'Policy Characteristics'!$C:$C,0))),"",INDEX('Policy Characteristics'!L:L,MATCH($C650,'Policy Characteristics'!$C:$C,0)))</f>
        <v>industry-elec-and-hydrogen.html</v>
      </c>
    </row>
    <row r="651" spans="1:18" x14ac:dyDescent="0.3">
      <c r="A651" s="254" t="str">
        <f>IF(ISBLANK(INDEX('Policy Characteristics'!A:A,MATCH($C651,'Policy Characteristics'!$C:$C,0))),"",INDEX('Policy Characteristics'!A:A,MATCH($C651,'Policy Characteristics'!$C:$C,0)))</f>
        <v>Industry</v>
      </c>
      <c r="B651" s="262" t="str">
        <f>IF(ISBLANK(INDEX('Policy Characteristics'!B:B,MATCH($C651,'Policy Characteristics'!$C:$C,0))),"",INDEX('Policy Characteristics'!B:B,MATCH($C651,'Policy Characteristics'!$C:$C,0)))</f>
        <v>Electrification</v>
      </c>
      <c r="C651" s="254" t="str">
        <f t="shared" si="34"/>
        <v>Fraction of Eligible Industrial Energy Use Shifted to Electricity</v>
      </c>
      <c r="D651" s="6" t="s">
        <v>3063</v>
      </c>
      <c r="E651" s="1" t="s">
        <v>3520</v>
      </c>
      <c r="F651" t="s">
        <v>3027</v>
      </c>
      <c r="G651" s="45" t="s">
        <v>3527</v>
      </c>
      <c r="H651" s="43">
        <v>1855</v>
      </c>
      <c r="I651" s="324" t="s">
        <v>43</v>
      </c>
      <c r="J651" s="255" t="str">
        <f>IF(ISBLANK(INDEX('Policy Characteristics'!D:D,MATCH($C651,'Policy Characteristics'!$C:$C,0))),"",INDEX('Policy Characteristics'!D:D,MATCH($C651,'Policy Characteristics'!$C:$C,0)))</f>
        <v>Electrification</v>
      </c>
      <c r="K651" s="254" t="str">
        <f>IF(ISBLANK(INDEX('Policy Characteristics'!E:E,MATCH($C651,'Policy Characteristics'!$C:$C,0))),"",INDEX('Policy Characteristics'!E:E,MATCH($C651,'Policy Characteristics'!$C:$C,0)))</f>
        <v>indst shift to electricity</v>
      </c>
      <c r="L651" s="261">
        <f>IF(ISBLANK(INDEX('Policy Characteristics'!F:F,MATCH($C651,'Policy Characteristics'!$C:$C,0))),"",INDEX('Policy Characteristics'!F:F,MATCH($C651,'Policy Characteristics'!$C:$C,0)))</f>
        <v>0</v>
      </c>
      <c r="M651" s="261">
        <f>IF(ISBLANK(INDEX('Policy Characteristics'!G:G,MATCH($C651,'Policy Characteristics'!$C:$C,0))),"",INDEX('Policy Characteristics'!G:G,MATCH($C651,'Policy Characteristics'!$C:$C,0)))</f>
        <v>1</v>
      </c>
      <c r="N651" s="261">
        <f>IF(ISBLANK(INDEX('Policy Characteristics'!H:H,MATCH($C651,'Policy Characteristics'!$C:$C,0))),"",INDEX('Policy Characteristics'!H:H,MATCH($C651,'Policy Characteristics'!$C:$C,0)))</f>
        <v>0.01</v>
      </c>
      <c r="O651" s="254" t="str">
        <f>IF(ISBLANK(INDEX('Policy Characteristics'!I:I,MATCH($C651,'Policy Characteristics'!$C:$C,0))),"",INDEX('Policy Characteristics'!I:I,MATCH($C651,'Policy Characteristics'!$C:$C,0)))</f>
        <v>% of fuel shifted</v>
      </c>
      <c r="P651" s="254" t="str">
        <f>IF(ISBLANK(INDEX('Policy Characteristics'!J:J,MATCH($C651,'Policy Characteristics'!$C:$C,0))),"",INDEX('Policy Characteristics'!J:J,MATCH($C651,'Policy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1" s="254" t="str">
        <f>IF(ISBLANK(INDEX('Policy Characteristics'!K:K,MATCH($C651,'Policy Characteristics'!$C:$C,0))),"",INDEX('Policy Characteristics'!K:K,MATCH($C651,'Policy Characteristics'!$C:$C,0)))</f>
        <v>industry-ag-main.html#fuel-switching</v>
      </c>
      <c r="R651" s="254" t="str">
        <f>IF(ISBLANK(INDEX('Policy Characteristics'!L:L,MATCH($C651,'Policy Characteristics'!$C:$C,0))),"",INDEX('Policy Characteristics'!L:L,MATCH($C651,'Policy Characteristics'!$C:$C,0)))</f>
        <v>industry-elec-and-hydrogen.html</v>
      </c>
    </row>
    <row r="652" spans="1:18" x14ac:dyDescent="0.3">
      <c r="A652" s="254" t="str">
        <f>IF(ISBLANK(INDEX('Policy Characteristics'!A:A,MATCH($C652,'Policy Characteristics'!$C:$C,0))),"",INDEX('Policy Characteristics'!A:A,MATCH($C652,'Policy Characteristics'!$C:$C,0)))</f>
        <v>Industry</v>
      </c>
      <c r="B652" s="262" t="str">
        <f>IF(ISBLANK(INDEX('Policy Characteristics'!B:B,MATCH($C652,'Policy Characteristics'!$C:$C,0))),"",INDEX('Policy Characteristics'!B:B,MATCH($C652,'Policy Characteristics'!$C:$C,0)))</f>
        <v>Electrification</v>
      </c>
      <c r="C652" s="254" t="str">
        <f t="shared" si="34"/>
        <v>Fraction of Eligible Industrial Energy Use Shifted to Electricity</v>
      </c>
      <c r="D652" s="6" t="s">
        <v>3063</v>
      </c>
      <c r="E652" s="1" t="s">
        <v>3521</v>
      </c>
      <c r="F652" t="s">
        <v>3027</v>
      </c>
      <c r="G652" s="45" t="s">
        <v>3528</v>
      </c>
      <c r="H652" s="43">
        <v>1856</v>
      </c>
      <c r="I652" s="324" t="s">
        <v>43</v>
      </c>
      <c r="J652" s="255" t="str">
        <f>IF(ISBLANK(INDEX('Policy Characteristics'!D:D,MATCH($C652,'Policy Characteristics'!$C:$C,0))),"",INDEX('Policy Characteristics'!D:D,MATCH($C652,'Policy Characteristics'!$C:$C,0)))</f>
        <v>Electrification</v>
      </c>
      <c r="K652" s="254" t="str">
        <f>IF(ISBLANK(INDEX('Policy Characteristics'!E:E,MATCH($C652,'Policy Characteristics'!$C:$C,0))),"",INDEX('Policy Characteristics'!E:E,MATCH($C652,'Policy Characteristics'!$C:$C,0)))</f>
        <v>indst shift to electricity</v>
      </c>
      <c r="L652" s="261">
        <f>IF(ISBLANK(INDEX('Policy Characteristics'!F:F,MATCH($C652,'Policy Characteristics'!$C:$C,0))),"",INDEX('Policy Characteristics'!F:F,MATCH($C652,'Policy Characteristics'!$C:$C,0)))</f>
        <v>0</v>
      </c>
      <c r="M652" s="261">
        <f>IF(ISBLANK(INDEX('Policy Characteristics'!G:G,MATCH($C652,'Policy Characteristics'!$C:$C,0))),"",INDEX('Policy Characteristics'!G:G,MATCH($C652,'Policy Characteristics'!$C:$C,0)))</f>
        <v>1</v>
      </c>
      <c r="N652" s="261">
        <f>IF(ISBLANK(INDEX('Policy Characteristics'!H:H,MATCH($C652,'Policy Characteristics'!$C:$C,0))),"",INDEX('Policy Characteristics'!H:H,MATCH($C652,'Policy Characteristics'!$C:$C,0)))</f>
        <v>0.01</v>
      </c>
      <c r="O652" s="254" t="str">
        <f>IF(ISBLANK(INDEX('Policy Characteristics'!I:I,MATCH($C652,'Policy Characteristics'!$C:$C,0))),"",INDEX('Policy Characteristics'!I:I,MATCH($C652,'Policy Characteristics'!$C:$C,0)))</f>
        <v>% of fuel shifted</v>
      </c>
      <c r="P652" s="254" t="str">
        <f>IF(ISBLANK(INDEX('Policy Characteristics'!J:J,MATCH($C652,'Policy Characteristics'!$C:$C,0))),"",INDEX('Policy Characteristics'!J:J,MATCH($C652,'Policy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2" s="254" t="str">
        <f>IF(ISBLANK(INDEX('Policy Characteristics'!K:K,MATCH($C652,'Policy Characteristics'!$C:$C,0))),"",INDEX('Policy Characteristics'!K:K,MATCH($C652,'Policy Characteristics'!$C:$C,0)))</f>
        <v>industry-ag-main.html#fuel-switching</v>
      </c>
      <c r="R652" s="254" t="str">
        <f>IF(ISBLANK(INDEX('Policy Characteristics'!L:L,MATCH($C652,'Policy Characteristics'!$C:$C,0))),"",INDEX('Policy Characteristics'!L:L,MATCH($C652,'Policy Characteristics'!$C:$C,0)))</f>
        <v>industry-elec-and-hydrogen.html</v>
      </c>
    </row>
    <row r="653" spans="1:18" x14ac:dyDescent="0.3">
      <c r="A653" s="254" t="str">
        <f>IF(ISBLANK(INDEX('Policy Characteristics'!A:A,MATCH($C653,'Policy Characteristics'!$C:$C,0))),"",INDEX('Policy Characteristics'!A:A,MATCH($C653,'Policy Characteristics'!$C:$C,0)))</f>
        <v>Industry</v>
      </c>
      <c r="B653" s="262" t="str">
        <f>IF(ISBLANK(INDEX('Policy Characteristics'!B:B,MATCH($C653,'Policy Characteristics'!$C:$C,0))),"",INDEX('Policy Characteristics'!B:B,MATCH($C653,'Policy Characteristics'!$C:$C,0)))</f>
        <v>Electrification</v>
      </c>
      <c r="C653" s="254" t="str">
        <f t="shared" si="34"/>
        <v>Fraction of Eligible Industrial Energy Use Shifted to Electricity</v>
      </c>
      <c r="D653" s="6" t="s">
        <v>3063</v>
      </c>
      <c r="E653" s="1" t="s">
        <v>3671</v>
      </c>
      <c r="F653" t="s">
        <v>3027</v>
      </c>
      <c r="G653" s="45" t="s">
        <v>3671</v>
      </c>
      <c r="H653" s="43">
        <v>1857</v>
      </c>
      <c r="I653" s="324" t="s">
        <v>43</v>
      </c>
      <c r="J653" s="255" t="str">
        <f>IF(ISBLANK(INDEX('Policy Characteristics'!D:D,MATCH($C653,'Policy Characteristics'!$C:$C,0))),"",INDEX('Policy Characteristics'!D:D,MATCH($C653,'Policy Characteristics'!$C:$C,0)))</f>
        <v>Electrification</v>
      </c>
      <c r="K653" s="254" t="str">
        <f>IF(ISBLANK(INDEX('Policy Characteristics'!E:E,MATCH($C653,'Policy Characteristics'!$C:$C,0))),"",INDEX('Policy Characteristics'!E:E,MATCH($C653,'Policy Characteristics'!$C:$C,0)))</f>
        <v>indst shift to electricity</v>
      </c>
      <c r="L653" s="261">
        <f>IF(ISBLANK(INDEX('Policy Characteristics'!F:F,MATCH($C653,'Policy Characteristics'!$C:$C,0))),"",INDEX('Policy Characteristics'!F:F,MATCH($C653,'Policy Characteristics'!$C:$C,0)))</f>
        <v>0</v>
      </c>
      <c r="M653" s="261">
        <f>IF(ISBLANK(INDEX('Policy Characteristics'!G:G,MATCH($C653,'Policy Characteristics'!$C:$C,0))),"",INDEX('Policy Characteristics'!G:G,MATCH($C653,'Policy Characteristics'!$C:$C,0)))</f>
        <v>1</v>
      </c>
      <c r="N653" s="261">
        <f>IF(ISBLANK(INDEX('Policy Characteristics'!H:H,MATCH($C653,'Policy Characteristics'!$C:$C,0))),"",INDEX('Policy Characteristics'!H:H,MATCH($C653,'Policy Characteristics'!$C:$C,0)))</f>
        <v>0.01</v>
      </c>
      <c r="O653" s="254" t="str">
        <f>IF(ISBLANK(INDEX('Policy Characteristics'!I:I,MATCH($C653,'Policy Characteristics'!$C:$C,0))),"",INDEX('Policy Characteristics'!I:I,MATCH($C653,'Policy Characteristics'!$C:$C,0)))</f>
        <v>% of fuel shifted</v>
      </c>
      <c r="P653" s="254" t="str">
        <f>IF(ISBLANK(INDEX('Policy Characteristics'!J:J,MATCH($C653,'Policy Characteristics'!$C:$C,0))),"",INDEX('Policy Characteristics'!J:J,MATCH($C653,'Policy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3" s="254" t="str">
        <f>IF(ISBLANK(INDEX('Policy Characteristics'!K:K,MATCH($C653,'Policy Characteristics'!$C:$C,0))),"",INDEX('Policy Characteristics'!K:K,MATCH($C653,'Policy Characteristics'!$C:$C,0)))</f>
        <v>industry-ag-main.html#fuel-switching</v>
      </c>
      <c r="R653" s="254" t="str">
        <f>IF(ISBLANK(INDEX('Policy Characteristics'!L:L,MATCH($C653,'Policy Characteristics'!$C:$C,0))),"",INDEX('Policy Characteristics'!L:L,MATCH($C653,'Policy Characteristics'!$C:$C,0)))</f>
        <v>industry-elec-and-hydrogen.html</v>
      </c>
    </row>
    <row r="654" spans="1:18" x14ac:dyDescent="0.3">
      <c r="A654" s="254" t="str">
        <f>IF(ISBLANK(INDEX('Policy Characteristics'!A:A,MATCH($C654,'Policy Characteristics'!$C:$C,0))),"",INDEX('Policy Characteristics'!A:A,MATCH($C654,'Policy Characteristics'!$C:$C,0)))</f>
        <v>Industry</v>
      </c>
      <c r="B654" s="262" t="str">
        <f>IF(ISBLANK(INDEX('Policy Characteristics'!B:B,MATCH($C654,'Policy Characteristics'!$C:$C,0))),"",INDEX('Policy Characteristics'!B:B,MATCH($C654,'Policy Characteristics'!$C:$C,0)))</f>
        <v>Electrification</v>
      </c>
      <c r="C654" s="254" t="str">
        <f t="shared" si="34"/>
        <v>Fraction of Eligible Industrial Energy Use Shifted to Electricity</v>
      </c>
      <c r="D654" s="6" t="s">
        <v>3064</v>
      </c>
      <c r="E654" s="1" t="s">
        <v>3515</v>
      </c>
      <c r="F654" t="s">
        <v>3028</v>
      </c>
      <c r="G654" s="45" t="s">
        <v>3522</v>
      </c>
      <c r="H654" s="43">
        <v>1858</v>
      </c>
      <c r="I654" s="324" t="s">
        <v>43</v>
      </c>
      <c r="J654" s="255" t="str">
        <f>IF(ISBLANK(INDEX('Policy Characteristics'!D:D,MATCH($C654,'Policy Characteristics'!$C:$C,0))),"",INDEX('Policy Characteristics'!D:D,MATCH($C654,'Policy Characteristics'!$C:$C,0)))</f>
        <v>Electrification</v>
      </c>
      <c r="K654" s="254" t="str">
        <f>IF(ISBLANK(INDEX('Policy Characteristics'!E:E,MATCH($C654,'Policy Characteristics'!$C:$C,0))),"",INDEX('Policy Characteristics'!E:E,MATCH($C654,'Policy Characteristics'!$C:$C,0)))</f>
        <v>indst shift to electricity</v>
      </c>
      <c r="L654" s="261">
        <f>IF(ISBLANK(INDEX('Policy Characteristics'!F:F,MATCH($C654,'Policy Characteristics'!$C:$C,0))),"",INDEX('Policy Characteristics'!F:F,MATCH($C654,'Policy Characteristics'!$C:$C,0)))</f>
        <v>0</v>
      </c>
      <c r="M654" s="261">
        <f>IF(ISBLANK(INDEX('Policy Characteristics'!G:G,MATCH($C654,'Policy Characteristics'!$C:$C,0))),"",INDEX('Policy Characteristics'!G:G,MATCH($C654,'Policy Characteristics'!$C:$C,0)))</f>
        <v>1</v>
      </c>
      <c r="N654" s="261">
        <f>IF(ISBLANK(INDEX('Policy Characteristics'!H:H,MATCH($C654,'Policy Characteristics'!$C:$C,0))),"",INDEX('Policy Characteristics'!H:H,MATCH($C654,'Policy Characteristics'!$C:$C,0)))</f>
        <v>0.01</v>
      </c>
      <c r="O654" s="254" t="str">
        <f>IF(ISBLANK(INDEX('Policy Characteristics'!I:I,MATCH($C654,'Policy Characteristics'!$C:$C,0))),"",INDEX('Policy Characteristics'!I:I,MATCH($C654,'Policy Characteristics'!$C:$C,0)))</f>
        <v>% of fuel shifted</v>
      </c>
      <c r="P654" s="254" t="str">
        <f>IF(ISBLANK(INDEX('Policy Characteristics'!J:J,MATCH($C654,'Policy Characteristics'!$C:$C,0))),"",INDEX('Policy Characteristics'!J:J,MATCH($C654,'Policy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4" s="254" t="str">
        <f>IF(ISBLANK(INDEX('Policy Characteristics'!K:K,MATCH($C654,'Policy Characteristics'!$C:$C,0))),"",INDEX('Policy Characteristics'!K:K,MATCH($C654,'Policy Characteristics'!$C:$C,0)))</f>
        <v>industry-ag-main.html#fuel-switching</v>
      </c>
      <c r="R654" s="254" t="str">
        <f>IF(ISBLANK(INDEX('Policy Characteristics'!L:L,MATCH($C654,'Policy Characteristics'!$C:$C,0))),"",INDEX('Policy Characteristics'!L:L,MATCH($C654,'Policy Characteristics'!$C:$C,0)))</f>
        <v>industry-elec-and-hydrogen.html</v>
      </c>
    </row>
    <row r="655" spans="1:18" x14ac:dyDescent="0.3">
      <c r="A655" s="254" t="str">
        <f>IF(ISBLANK(INDEX('Policy Characteristics'!A:A,MATCH($C655,'Policy Characteristics'!$C:$C,0))),"",INDEX('Policy Characteristics'!A:A,MATCH($C655,'Policy Characteristics'!$C:$C,0)))</f>
        <v>Industry</v>
      </c>
      <c r="B655" s="262" t="str">
        <f>IF(ISBLANK(INDEX('Policy Characteristics'!B:B,MATCH($C655,'Policy Characteristics'!$C:$C,0))),"",INDEX('Policy Characteristics'!B:B,MATCH($C655,'Policy Characteristics'!$C:$C,0)))</f>
        <v>Electrification</v>
      </c>
      <c r="C655" s="254" t="str">
        <f t="shared" si="34"/>
        <v>Fraction of Eligible Industrial Energy Use Shifted to Electricity</v>
      </c>
      <c r="D655" s="6" t="s">
        <v>3064</v>
      </c>
      <c r="E655" s="1" t="s">
        <v>3516</v>
      </c>
      <c r="F655" t="s">
        <v>3028</v>
      </c>
      <c r="G655" s="45" t="s">
        <v>3523</v>
      </c>
      <c r="H655" s="43">
        <v>1859</v>
      </c>
      <c r="I655" s="324" t="s">
        <v>43</v>
      </c>
      <c r="J655" s="255" t="str">
        <f>IF(ISBLANK(INDEX('Policy Characteristics'!D:D,MATCH($C655,'Policy Characteristics'!$C:$C,0))),"",INDEX('Policy Characteristics'!D:D,MATCH($C655,'Policy Characteristics'!$C:$C,0)))</f>
        <v>Electrification</v>
      </c>
      <c r="K655" s="254" t="str">
        <f>IF(ISBLANK(INDEX('Policy Characteristics'!E:E,MATCH($C655,'Policy Characteristics'!$C:$C,0))),"",INDEX('Policy Characteristics'!E:E,MATCH($C655,'Policy Characteristics'!$C:$C,0)))</f>
        <v>indst shift to electricity</v>
      </c>
      <c r="L655" s="261">
        <f>IF(ISBLANK(INDEX('Policy Characteristics'!F:F,MATCH($C655,'Policy Characteristics'!$C:$C,0))),"",INDEX('Policy Characteristics'!F:F,MATCH($C655,'Policy Characteristics'!$C:$C,0)))</f>
        <v>0</v>
      </c>
      <c r="M655" s="261">
        <f>IF(ISBLANK(INDEX('Policy Characteristics'!G:G,MATCH($C655,'Policy Characteristics'!$C:$C,0))),"",INDEX('Policy Characteristics'!G:G,MATCH($C655,'Policy Characteristics'!$C:$C,0)))</f>
        <v>1</v>
      </c>
      <c r="N655" s="261">
        <f>IF(ISBLANK(INDEX('Policy Characteristics'!H:H,MATCH($C655,'Policy Characteristics'!$C:$C,0))),"",INDEX('Policy Characteristics'!H:H,MATCH($C655,'Policy Characteristics'!$C:$C,0)))</f>
        <v>0.01</v>
      </c>
      <c r="O655" s="254" t="str">
        <f>IF(ISBLANK(INDEX('Policy Characteristics'!I:I,MATCH($C655,'Policy Characteristics'!$C:$C,0))),"",INDEX('Policy Characteristics'!I:I,MATCH($C655,'Policy Characteristics'!$C:$C,0)))</f>
        <v>% of fuel shifted</v>
      </c>
      <c r="P655" s="254" t="str">
        <f>IF(ISBLANK(INDEX('Policy Characteristics'!J:J,MATCH($C655,'Policy Characteristics'!$C:$C,0))),"",INDEX('Policy Characteristics'!J:J,MATCH($C655,'Policy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5" s="254" t="str">
        <f>IF(ISBLANK(INDEX('Policy Characteristics'!K:K,MATCH($C655,'Policy Characteristics'!$C:$C,0))),"",INDEX('Policy Characteristics'!K:K,MATCH($C655,'Policy Characteristics'!$C:$C,0)))</f>
        <v>industry-ag-main.html#fuel-switching</v>
      </c>
      <c r="R655" s="254" t="str">
        <f>IF(ISBLANK(INDEX('Policy Characteristics'!L:L,MATCH($C655,'Policy Characteristics'!$C:$C,0))),"",INDEX('Policy Characteristics'!L:L,MATCH($C655,'Policy Characteristics'!$C:$C,0)))</f>
        <v>industry-elec-and-hydrogen.html</v>
      </c>
    </row>
    <row r="656" spans="1:18" x14ac:dyDescent="0.3">
      <c r="A656" s="254" t="str">
        <f>IF(ISBLANK(INDEX('Policy Characteristics'!A:A,MATCH($C656,'Policy Characteristics'!$C:$C,0))),"",INDEX('Policy Characteristics'!A:A,MATCH($C656,'Policy Characteristics'!$C:$C,0)))</f>
        <v>Industry</v>
      </c>
      <c r="B656" s="262" t="str">
        <f>IF(ISBLANK(INDEX('Policy Characteristics'!B:B,MATCH($C656,'Policy Characteristics'!$C:$C,0))),"",INDEX('Policy Characteristics'!B:B,MATCH($C656,'Policy Characteristics'!$C:$C,0)))</f>
        <v>Electrification</v>
      </c>
      <c r="C656" s="254" t="str">
        <f t="shared" si="34"/>
        <v>Fraction of Eligible Industrial Energy Use Shifted to Electricity</v>
      </c>
      <c r="D656" s="6" t="s">
        <v>3064</v>
      </c>
      <c r="E656" s="1" t="s">
        <v>3517</v>
      </c>
      <c r="F656" t="s">
        <v>3028</v>
      </c>
      <c r="G656" s="45" t="s">
        <v>3524</v>
      </c>
      <c r="H656" s="43">
        <v>1860</v>
      </c>
      <c r="I656" s="324" t="s">
        <v>43</v>
      </c>
      <c r="J656" s="255" t="str">
        <f>IF(ISBLANK(INDEX('Policy Characteristics'!D:D,MATCH($C656,'Policy Characteristics'!$C:$C,0))),"",INDEX('Policy Characteristics'!D:D,MATCH($C656,'Policy Characteristics'!$C:$C,0)))</f>
        <v>Electrification</v>
      </c>
      <c r="K656" s="254" t="str">
        <f>IF(ISBLANK(INDEX('Policy Characteristics'!E:E,MATCH($C656,'Policy Characteristics'!$C:$C,0))),"",INDEX('Policy Characteristics'!E:E,MATCH($C656,'Policy Characteristics'!$C:$C,0)))</f>
        <v>indst shift to electricity</v>
      </c>
      <c r="L656" s="261">
        <f>IF(ISBLANK(INDEX('Policy Characteristics'!F:F,MATCH($C656,'Policy Characteristics'!$C:$C,0))),"",INDEX('Policy Characteristics'!F:F,MATCH($C656,'Policy Characteristics'!$C:$C,0)))</f>
        <v>0</v>
      </c>
      <c r="M656" s="261">
        <f>IF(ISBLANK(INDEX('Policy Characteristics'!G:G,MATCH($C656,'Policy Characteristics'!$C:$C,0))),"",INDEX('Policy Characteristics'!G:G,MATCH($C656,'Policy Characteristics'!$C:$C,0)))</f>
        <v>1</v>
      </c>
      <c r="N656" s="261">
        <f>IF(ISBLANK(INDEX('Policy Characteristics'!H:H,MATCH($C656,'Policy Characteristics'!$C:$C,0))),"",INDEX('Policy Characteristics'!H:H,MATCH($C656,'Policy Characteristics'!$C:$C,0)))</f>
        <v>0.01</v>
      </c>
      <c r="O656" s="254" t="str">
        <f>IF(ISBLANK(INDEX('Policy Characteristics'!I:I,MATCH($C656,'Policy Characteristics'!$C:$C,0))),"",INDEX('Policy Characteristics'!I:I,MATCH($C656,'Policy Characteristics'!$C:$C,0)))</f>
        <v>% of fuel shifted</v>
      </c>
      <c r="P656" s="254" t="str">
        <f>IF(ISBLANK(INDEX('Policy Characteristics'!J:J,MATCH($C656,'Policy Characteristics'!$C:$C,0))),"",INDEX('Policy Characteristics'!J:J,MATCH($C656,'Policy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6" s="254" t="str">
        <f>IF(ISBLANK(INDEX('Policy Characteristics'!K:K,MATCH($C656,'Policy Characteristics'!$C:$C,0))),"",INDEX('Policy Characteristics'!K:K,MATCH($C656,'Policy Characteristics'!$C:$C,0)))</f>
        <v>industry-ag-main.html#fuel-switching</v>
      </c>
      <c r="R656" s="254" t="str">
        <f>IF(ISBLANK(INDEX('Policy Characteristics'!L:L,MATCH($C656,'Policy Characteristics'!$C:$C,0))),"",INDEX('Policy Characteristics'!L:L,MATCH($C656,'Policy Characteristics'!$C:$C,0)))</f>
        <v>industry-elec-and-hydrogen.html</v>
      </c>
    </row>
    <row r="657" spans="1:18" x14ac:dyDescent="0.3">
      <c r="A657" s="254" t="str">
        <f>IF(ISBLANK(INDEX('Policy Characteristics'!A:A,MATCH($C657,'Policy Characteristics'!$C:$C,0))),"",INDEX('Policy Characteristics'!A:A,MATCH($C657,'Policy Characteristics'!$C:$C,0)))</f>
        <v>Industry</v>
      </c>
      <c r="B657" s="262" t="str">
        <f>IF(ISBLANK(INDEX('Policy Characteristics'!B:B,MATCH($C657,'Policy Characteristics'!$C:$C,0))),"",INDEX('Policy Characteristics'!B:B,MATCH($C657,'Policy Characteristics'!$C:$C,0)))</f>
        <v>Electrification</v>
      </c>
      <c r="C657" s="254" t="str">
        <f t="shared" ref="C657:C658" si="35">C$630</f>
        <v>Fraction of Eligible Industrial Energy Use Shifted to Electricity</v>
      </c>
      <c r="D657" s="6" t="s">
        <v>3064</v>
      </c>
      <c r="E657" s="1" t="s">
        <v>3518</v>
      </c>
      <c r="F657" t="s">
        <v>3028</v>
      </c>
      <c r="G657" s="45" t="s">
        <v>3525</v>
      </c>
      <c r="H657" s="43">
        <v>1861</v>
      </c>
      <c r="I657" s="324" t="s">
        <v>43</v>
      </c>
      <c r="J657" s="255" t="str">
        <f>IF(ISBLANK(INDEX('Policy Characteristics'!D:D,MATCH($C657,'Policy Characteristics'!$C:$C,0))),"",INDEX('Policy Characteristics'!D:D,MATCH($C657,'Policy Characteristics'!$C:$C,0)))</f>
        <v>Electrification</v>
      </c>
      <c r="K657" s="254" t="str">
        <f>IF(ISBLANK(INDEX('Policy Characteristics'!E:E,MATCH($C657,'Policy Characteristics'!$C:$C,0))),"",INDEX('Policy Characteristics'!E:E,MATCH($C657,'Policy Characteristics'!$C:$C,0)))</f>
        <v>indst shift to electricity</v>
      </c>
      <c r="L657" s="261">
        <f>IF(ISBLANK(INDEX('Policy Characteristics'!F:F,MATCH($C657,'Policy Characteristics'!$C:$C,0))),"",INDEX('Policy Characteristics'!F:F,MATCH($C657,'Policy Characteristics'!$C:$C,0)))</f>
        <v>0</v>
      </c>
      <c r="M657" s="261">
        <f>IF(ISBLANK(INDEX('Policy Characteristics'!G:G,MATCH($C657,'Policy Characteristics'!$C:$C,0))),"",INDEX('Policy Characteristics'!G:G,MATCH($C657,'Policy Characteristics'!$C:$C,0)))</f>
        <v>1</v>
      </c>
      <c r="N657" s="261">
        <f>IF(ISBLANK(INDEX('Policy Characteristics'!H:H,MATCH($C657,'Policy Characteristics'!$C:$C,0))),"",INDEX('Policy Characteristics'!H:H,MATCH($C657,'Policy Characteristics'!$C:$C,0)))</f>
        <v>0.01</v>
      </c>
      <c r="O657" s="254" t="str">
        <f>IF(ISBLANK(INDEX('Policy Characteristics'!I:I,MATCH($C657,'Policy Characteristics'!$C:$C,0))),"",INDEX('Policy Characteristics'!I:I,MATCH($C657,'Policy Characteristics'!$C:$C,0)))</f>
        <v>% of fuel shifted</v>
      </c>
      <c r="P657" s="254" t="str">
        <f>IF(ISBLANK(INDEX('Policy Characteristics'!J:J,MATCH($C657,'Policy Characteristics'!$C:$C,0))),"",INDEX('Policy Characteristics'!J:J,MATCH($C657,'Policy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7" s="254" t="str">
        <f>IF(ISBLANK(INDEX('Policy Characteristics'!K:K,MATCH($C657,'Policy Characteristics'!$C:$C,0))),"",INDEX('Policy Characteristics'!K:K,MATCH($C657,'Policy Characteristics'!$C:$C,0)))</f>
        <v>industry-ag-main.html#fuel-switching</v>
      </c>
      <c r="R657" s="254" t="str">
        <f>IF(ISBLANK(INDEX('Policy Characteristics'!L:L,MATCH($C657,'Policy Characteristics'!$C:$C,0))),"",INDEX('Policy Characteristics'!L:L,MATCH($C657,'Policy Characteristics'!$C:$C,0)))</f>
        <v>industry-elec-and-hydrogen.html</v>
      </c>
    </row>
    <row r="658" spans="1:18" x14ac:dyDescent="0.3">
      <c r="A658" s="254" t="str">
        <f>IF(ISBLANK(INDEX('Policy Characteristics'!A:A,MATCH($C658,'Policy Characteristics'!$C:$C,0))),"",INDEX('Policy Characteristics'!A:A,MATCH($C658,'Policy Characteristics'!$C:$C,0)))</f>
        <v>Industry</v>
      </c>
      <c r="B658" s="262" t="str">
        <f>IF(ISBLANK(INDEX('Policy Characteristics'!B:B,MATCH($C658,'Policy Characteristics'!$C:$C,0))),"",INDEX('Policy Characteristics'!B:B,MATCH($C658,'Policy Characteristics'!$C:$C,0)))</f>
        <v>Electrification</v>
      </c>
      <c r="C658" s="254" t="str">
        <f t="shared" si="35"/>
        <v>Fraction of Eligible Industrial Energy Use Shifted to Electricity</v>
      </c>
      <c r="D658" s="6" t="s">
        <v>3064</v>
      </c>
      <c r="E658" s="1" t="s">
        <v>3519</v>
      </c>
      <c r="F658" t="s">
        <v>3028</v>
      </c>
      <c r="G658" s="45" t="s">
        <v>3526</v>
      </c>
      <c r="H658" s="43">
        <v>1862</v>
      </c>
      <c r="I658" s="324" t="s">
        <v>43</v>
      </c>
      <c r="J658" s="255" t="str">
        <f>IF(ISBLANK(INDEX('Policy Characteristics'!D:D,MATCH($C658,'Policy Characteristics'!$C:$C,0))),"",INDEX('Policy Characteristics'!D:D,MATCH($C658,'Policy Characteristics'!$C:$C,0)))</f>
        <v>Electrification</v>
      </c>
      <c r="K658" s="254" t="str">
        <f>IF(ISBLANK(INDEX('Policy Characteristics'!E:E,MATCH($C658,'Policy Characteristics'!$C:$C,0))),"",INDEX('Policy Characteristics'!E:E,MATCH($C658,'Policy Characteristics'!$C:$C,0)))</f>
        <v>indst shift to electricity</v>
      </c>
      <c r="L658" s="261">
        <f>IF(ISBLANK(INDEX('Policy Characteristics'!F:F,MATCH($C658,'Policy Characteristics'!$C:$C,0))),"",INDEX('Policy Characteristics'!F:F,MATCH($C658,'Policy Characteristics'!$C:$C,0)))</f>
        <v>0</v>
      </c>
      <c r="M658" s="261">
        <f>IF(ISBLANK(INDEX('Policy Characteristics'!G:G,MATCH($C658,'Policy Characteristics'!$C:$C,0))),"",INDEX('Policy Characteristics'!G:G,MATCH($C658,'Policy Characteristics'!$C:$C,0)))</f>
        <v>1</v>
      </c>
      <c r="N658" s="261">
        <f>IF(ISBLANK(INDEX('Policy Characteristics'!H:H,MATCH($C658,'Policy Characteristics'!$C:$C,0))),"",INDEX('Policy Characteristics'!H:H,MATCH($C658,'Policy Characteristics'!$C:$C,0)))</f>
        <v>0.01</v>
      </c>
      <c r="O658" s="254" t="str">
        <f>IF(ISBLANK(INDEX('Policy Characteristics'!I:I,MATCH($C658,'Policy Characteristics'!$C:$C,0))),"",INDEX('Policy Characteristics'!I:I,MATCH($C658,'Policy Characteristics'!$C:$C,0)))</f>
        <v>% of fuel shifted</v>
      </c>
      <c r="P658" s="254" t="str">
        <f>IF(ISBLANK(INDEX('Policy Characteristics'!J:J,MATCH($C658,'Policy Characteristics'!$C:$C,0))),"",INDEX('Policy Characteristics'!J:J,MATCH($C658,'Policy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8" s="254" t="str">
        <f>IF(ISBLANK(INDEX('Policy Characteristics'!K:K,MATCH($C658,'Policy Characteristics'!$C:$C,0))),"",INDEX('Policy Characteristics'!K:K,MATCH($C658,'Policy Characteristics'!$C:$C,0)))</f>
        <v>industry-ag-main.html#fuel-switching</v>
      </c>
      <c r="R658" s="254" t="str">
        <f>IF(ISBLANK(INDEX('Policy Characteristics'!L:L,MATCH($C658,'Policy Characteristics'!$C:$C,0))),"",INDEX('Policy Characteristics'!L:L,MATCH($C658,'Policy Characteristics'!$C:$C,0)))</f>
        <v>industry-elec-and-hydrogen.html</v>
      </c>
    </row>
    <row r="659" spans="1:18" x14ac:dyDescent="0.3">
      <c r="A659" s="254" t="str">
        <f>IF(ISBLANK(INDEX('Policy Characteristics'!A:A,MATCH($C659,'Policy Characteristics'!$C:$C,0))),"",INDEX('Policy Characteristics'!A:A,MATCH($C659,'Policy Characteristics'!$C:$C,0)))</f>
        <v>Industry</v>
      </c>
      <c r="B659" s="262" t="str">
        <f>IF(ISBLANK(INDEX('Policy Characteristics'!B:B,MATCH($C659,'Policy Characteristics'!$C:$C,0))),"",INDEX('Policy Characteristics'!B:B,MATCH($C659,'Policy Characteristics'!$C:$C,0)))</f>
        <v>Electrification</v>
      </c>
      <c r="C659" s="254" t="str">
        <f t="shared" ref="C659:C694" si="36">C$630</f>
        <v>Fraction of Eligible Industrial Energy Use Shifted to Electricity</v>
      </c>
      <c r="D659" s="6" t="s">
        <v>3064</v>
      </c>
      <c r="E659" s="1" t="s">
        <v>3520</v>
      </c>
      <c r="F659" t="s">
        <v>3028</v>
      </c>
      <c r="G659" s="45" t="s">
        <v>3527</v>
      </c>
      <c r="H659" s="43">
        <v>1863</v>
      </c>
      <c r="I659" s="324" t="s">
        <v>43</v>
      </c>
      <c r="J659" s="255" t="str">
        <f>IF(ISBLANK(INDEX('Policy Characteristics'!D:D,MATCH($C659,'Policy Characteristics'!$C:$C,0))),"",INDEX('Policy Characteristics'!D:D,MATCH($C659,'Policy Characteristics'!$C:$C,0)))</f>
        <v>Electrification</v>
      </c>
      <c r="K659" s="254" t="str">
        <f>IF(ISBLANK(INDEX('Policy Characteristics'!E:E,MATCH($C659,'Policy Characteristics'!$C:$C,0))),"",INDEX('Policy Characteristics'!E:E,MATCH($C659,'Policy Characteristics'!$C:$C,0)))</f>
        <v>indst shift to electricity</v>
      </c>
      <c r="L659" s="261">
        <f>IF(ISBLANK(INDEX('Policy Characteristics'!F:F,MATCH($C659,'Policy Characteristics'!$C:$C,0))),"",INDEX('Policy Characteristics'!F:F,MATCH($C659,'Policy Characteristics'!$C:$C,0)))</f>
        <v>0</v>
      </c>
      <c r="M659" s="261">
        <f>IF(ISBLANK(INDEX('Policy Characteristics'!G:G,MATCH($C659,'Policy Characteristics'!$C:$C,0))),"",INDEX('Policy Characteristics'!G:G,MATCH($C659,'Policy Characteristics'!$C:$C,0)))</f>
        <v>1</v>
      </c>
      <c r="N659" s="261">
        <f>IF(ISBLANK(INDEX('Policy Characteristics'!H:H,MATCH($C659,'Policy Characteristics'!$C:$C,0))),"",INDEX('Policy Characteristics'!H:H,MATCH($C659,'Policy Characteristics'!$C:$C,0)))</f>
        <v>0.01</v>
      </c>
      <c r="O659" s="254" t="str">
        <f>IF(ISBLANK(INDEX('Policy Characteristics'!I:I,MATCH($C659,'Policy Characteristics'!$C:$C,0))),"",INDEX('Policy Characteristics'!I:I,MATCH($C659,'Policy Characteristics'!$C:$C,0)))</f>
        <v>% of fuel shifted</v>
      </c>
      <c r="P659" s="254" t="str">
        <f>IF(ISBLANK(INDEX('Policy Characteristics'!J:J,MATCH($C659,'Policy Characteristics'!$C:$C,0))),"",INDEX('Policy Characteristics'!J:J,MATCH($C659,'Policy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59" s="254" t="str">
        <f>IF(ISBLANK(INDEX('Policy Characteristics'!K:K,MATCH($C659,'Policy Characteristics'!$C:$C,0))),"",INDEX('Policy Characteristics'!K:K,MATCH($C659,'Policy Characteristics'!$C:$C,0)))</f>
        <v>industry-ag-main.html#fuel-switching</v>
      </c>
      <c r="R659" s="254" t="str">
        <f>IF(ISBLANK(INDEX('Policy Characteristics'!L:L,MATCH($C659,'Policy Characteristics'!$C:$C,0))),"",INDEX('Policy Characteristics'!L:L,MATCH($C659,'Policy Characteristics'!$C:$C,0)))</f>
        <v>industry-elec-and-hydrogen.html</v>
      </c>
    </row>
    <row r="660" spans="1:18" x14ac:dyDescent="0.3">
      <c r="A660" s="254" t="str">
        <f>IF(ISBLANK(INDEX('Policy Characteristics'!A:A,MATCH($C660,'Policy Characteristics'!$C:$C,0))),"",INDEX('Policy Characteristics'!A:A,MATCH($C660,'Policy Characteristics'!$C:$C,0)))</f>
        <v>Industry</v>
      </c>
      <c r="B660" s="262" t="str">
        <f>IF(ISBLANK(INDEX('Policy Characteristics'!B:B,MATCH($C660,'Policy Characteristics'!$C:$C,0))),"",INDEX('Policy Characteristics'!B:B,MATCH($C660,'Policy Characteristics'!$C:$C,0)))</f>
        <v>Electrification</v>
      </c>
      <c r="C660" s="254" t="str">
        <f t="shared" si="36"/>
        <v>Fraction of Eligible Industrial Energy Use Shifted to Electricity</v>
      </c>
      <c r="D660" s="6" t="s">
        <v>3064</v>
      </c>
      <c r="E660" s="1" t="s">
        <v>3521</v>
      </c>
      <c r="F660" t="s">
        <v>3028</v>
      </c>
      <c r="G660" s="45" t="s">
        <v>3528</v>
      </c>
      <c r="H660" s="43">
        <v>1864</v>
      </c>
      <c r="I660" s="324" t="s">
        <v>43</v>
      </c>
      <c r="J660" s="255" t="str">
        <f>IF(ISBLANK(INDEX('Policy Characteristics'!D:D,MATCH($C660,'Policy Characteristics'!$C:$C,0))),"",INDEX('Policy Characteristics'!D:D,MATCH($C660,'Policy Characteristics'!$C:$C,0)))</f>
        <v>Electrification</v>
      </c>
      <c r="K660" s="254" t="str">
        <f>IF(ISBLANK(INDEX('Policy Characteristics'!E:E,MATCH($C660,'Policy Characteristics'!$C:$C,0))),"",INDEX('Policy Characteristics'!E:E,MATCH($C660,'Policy Characteristics'!$C:$C,0)))</f>
        <v>indst shift to electricity</v>
      </c>
      <c r="L660" s="261">
        <f>IF(ISBLANK(INDEX('Policy Characteristics'!F:F,MATCH($C660,'Policy Characteristics'!$C:$C,0))),"",INDEX('Policy Characteristics'!F:F,MATCH($C660,'Policy Characteristics'!$C:$C,0)))</f>
        <v>0</v>
      </c>
      <c r="M660" s="261">
        <f>IF(ISBLANK(INDEX('Policy Characteristics'!G:G,MATCH($C660,'Policy Characteristics'!$C:$C,0))),"",INDEX('Policy Characteristics'!G:G,MATCH($C660,'Policy Characteristics'!$C:$C,0)))</f>
        <v>1</v>
      </c>
      <c r="N660" s="261">
        <f>IF(ISBLANK(INDEX('Policy Characteristics'!H:H,MATCH($C660,'Policy Characteristics'!$C:$C,0))),"",INDEX('Policy Characteristics'!H:H,MATCH($C660,'Policy Characteristics'!$C:$C,0)))</f>
        <v>0.01</v>
      </c>
      <c r="O660" s="254" t="str">
        <f>IF(ISBLANK(INDEX('Policy Characteristics'!I:I,MATCH($C660,'Policy Characteristics'!$C:$C,0))),"",INDEX('Policy Characteristics'!I:I,MATCH($C660,'Policy Characteristics'!$C:$C,0)))</f>
        <v>% of fuel shifted</v>
      </c>
      <c r="P660" s="254"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4" t="str">
        <f>IF(ISBLANK(INDEX('Policy Characteristics'!K:K,MATCH($C660,'Policy Characteristics'!$C:$C,0))),"",INDEX('Policy Characteristics'!K:K,MATCH($C660,'Policy Characteristics'!$C:$C,0)))</f>
        <v>industry-ag-main.html#fuel-switching</v>
      </c>
      <c r="R660" s="254" t="str">
        <f>IF(ISBLANK(INDEX('Policy Characteristics'!L:L,MATCH($C660,'Policy Characteristics'!$C:$C,0))),"",INDEX('Policy Characteristics'!L:L,MATCH($C660,'Policy Characteristics'!$C:$C,0)))</f>
        <v>industry-elec-and-hydrogen.html</v>
      </c>
    </row>
    <row r="661" spans="1:18" x14ac:dyDescent="0.3">
      <c r="A661" s="254" t="str">
        <f>IF(ISBLANK(INDEX('Policy Characteristics'!A:A,MATCH($C661,'Policy Characteristics'!$C:$C,0))),"",INDEX('Policy Characteristics'!A:A,MATCH($C661,'Policy Characteristics'!$C:$C,0)))</f>
        <v>Industry</v>
      </c>
      <c r="B661" s="262" t="str">
        <f>IF(ISBLANK(INDEX('Policy Characteristics'!B:B,MATCH($C661,'Policy Characteristics'!$C:$C,0))),"",INDEX('Policy Characteristics'!B:B,MATCH($C661,'Policy Characteristics'!$C:$C,0)))</f>
        <v>Electrification</v>
      </c>
      <c r="C661" s="254" t="str">
        <f t="shared" si="36"/>
        <v>Fraction of Eligible Industrial Energy Use Shifted to Electricity</v>
      </c>
      <c r="D661" s="6" t="s">
        <v>3064</v>
      </c>
      <c r="E661" s="1" t="s">
        <v>3671</v>
      </c>
      <c r="F661" t="s">
        <v>3028</v>
      </c>
      <c r="G661" s="45" t="s">
        <v>3671</v>
      </c>
      <c r="H661" s="43">
        <v>1865</v>
      </c>
      <c r="I661" s="324" t="s">
        <v>43</v>
      </c>
      <c r="J661" s="255" t="str">
        <f>IF(ISBLANK(INDEX('Policy Characteristics'!D:D,MATCH($C661,'Policy Characteristics'!$C:$C,0))),"",INDEX('Policy Characteristics'!D:D,MATCH($C661,'Policy Characteristics'!$C:$C,0)))</f>
        <v>Electrification</v>
      </c>
      <c r="K661" s="254" t="str">
        <f>IF(ISBLANK(INDEX('Policy Characteristics'!E:E,MATCH($C661,'Policy Characteristics'!$C:$C,0))),"",INDEX('Policy Characteristics'!E:E,MATCH($C661,'Policy Characteristics'!$C:$C,0)))</f>
        <v>indst shift to electricity</v>
      </c>
      <c r="L661" s="261">
        <f>IF(ISBLANK(INDEX('Policy Characteristics'!F:F,MATCH($C661,'Policy Characteristics'!$C:$C,0))),"",INDEX('Policy Characteristics'!F:F,MATCH($C661,'Policy Characteristics'!$C:$C,0)))</f>
        <v>0</v>
      </c>
      <c r="M661" s="261">
        <f>IF(ISBLANK(INDEX('Policy Characteristics'!G:G,MATCH($C661,'Policy Characteristics'!$C:$C,0))),"",INDEX('Policy Characteristics'!G:G,MATCH($C661,'Policy Characteristics'!$C:$C,0)))</f>
        <v>1</v>
      </c>
      <c r="N661" s="261">
        <f>IF(ISBLANK(INDEX('Policy Characteristics'!H:H,MATCH($C661,'Policy Characteristics'!$C:$C,0))),"",INDEX('Policy Characteristics'!H:H,MATCH($C661,'Policy Characteristics'!$C:$C,0)))</f>
        <v>0.01</v>
      </c>
      <c r="O661" s="254" t="str">
        <f>IF(ISBLANK(INDEX('Policy Characteristics'!I:I,MATCH($C661,'Policy Characteristics'!$C:$C,0))),"",INDEX('Policy Characteristics'!I:I,MATCH($C661,'Policy Characteristics'!$C:$C,0)))</f>
        <v>% of fuel shifted</v>
      </c>
      <c r="P661" s="254"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4" t="str">
        <f>IF(ISBLANK(INDEX('Policy Characteristics'!K:K,MATCH($C661,'Policy Characteristics'!$C:$C,0))),"",INDEX('Policy Characteristics'!K:K,MATCH($C661,'Policy Characteristics'!$C:$C,0)))</f>
        <v>industry-ag-main.html#fuel-switching</v>
      </c>
      <c r="R661" s="254" t="str">
        <f>IF(ISBLANK(INDEX('Policy Characteristics'!L:L,MATCH($C661,'Policy Characteristics'!$C:$C,0))),"",INDEX('Policy Characteristics'!L:L,MATCH($C661,'Policy Characteristics'!$C:$C,0)))</f>
        <v>industry-elec-and-hydrogen.html</v>
      </c>
    </row>
    <row r="662" spans="1:18" x14ac:dyDescent="0.3">
      <c r="A662" s="254" t="str">
        <f>IF(ISBLANK(INDEX('Policy Characteristics'!A:A,MATCH($C662,'Policy Characteristics'!$C:$C,0))),"",INDEX('Policy Characteristics'!A:A,MATCH($C662,'Policy Characteristics'!$C:$C,0)))</f>
        <v>Industry</v>
      </c>
      <c r="B662" s="262" t="str">
        <f>IF(ISBLANK(INDEX('Policy Characteristics'!B:B,MATCH($C662,'Policy Characteristics'!$C:$C,0))),"",INDEX('Policy Characteristics'!B:B,MATCH($C662,'Policy Characteristics'!$C:$C,0)))</f>
        <v>Electrification</v>
      </c>
      <c r="C662" s="254" t="str">
        <f t="shared" si="36"/>
        <v>Fraction of Eligible Industrial Energy Use Shifted to Electricity</v>
      </c>
      <c r="D662" s="6" t="s">
        <v>3065</v>
      </c>
      <c r="E662" s="1" t="s">
        <v>3515</v>
      </c>
      <c r="F662" t="s">
        <v>3029</v>
      </c>
      <c r="G662" s="45" t="s">
        <v>3522</v>
      </c>
      <c r="H662" s="43">
        <v>1866</v>
      </c>
      <c r="I662" s="324" t="s">
        <v>43</v>
      </c>
      <c r="J662" s="255" t="str">
        <f>IF(ISBLANK(INDEX('Policy Characteristics'!D:D,MATCH($C662,'Policy Characteristics'!$C:$C,0))),"",INDEX('Policy Characteristics'!D:D,MATCH($C662,'Policy Characteristics'!$C:$C,0)))</f>
        <v>Electrification</v>
      </c>
      <c r="K662" s="254" t="str">
        <f>IF(ISBLANK(INDEX('Policy Characteristics'!E:E,MATCH($C662,'Policy Characteristics'!$C:$C,0))),"",INDEX('Policy Characteristics'!E:E,MATCH($C662,'Policy Characteristics'!$C:$C,0)))</f>
        <v>indst shift to electricity</v>
      </c>
      <c r="L662" s="261">
        <f>IF(ISBLANK(INDEX('Policy Characteristics'!F:F,MATCH($C662,'Policy Characteristics'!$C:$C,0))),"",INDEX('Policy Characteristics'!F:F,MATCH($C662,'Policy Characteristics'!$C:$C,0)))</f>
        <v>0</v>
      </c>
      <c r="M662" s="261">
        <f>IF(ISBLANK(INDEX('Policy Characteristics'!G:G,MATCH($C662,'Policy Characteristics'!$C:$C,0))),"",INDEX('Policy Characteristics'!G:G,MATCH($C662,'Policy Characteristics'!$C:$C,0)))</f>
        <v>1</v>
      </c>
      <c r="N662" s="261">
        <f>IF(ISBLANK(INDEX('Policy Characteristics'!H:H,MATCH($C662,'Policy Characteristics'!$C:$C,0))),"",INDEX('Policy Characteristics'!H:H,MATCH($C662,'Policy Characteristics'!$C:$C,0)))</f>
        <v>0.01</v>
      </c>
      <c r="O662" s="254" t="str">
        <f>IF(ISBLANK(INDEX('Policy Characteristics'!I:I,MATCH($C662,'Policy Characteristics'!$C:$C,0))),"",INDEX('Policy Characteristics'!I:I,MATCH($C662,'Policy Characteristics'!$C:$C,0)))</f>
        <v>% of fuel shifted</v>
      </c>
      <c r="P662" s="254"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4" t="str">
        <f>IF(ISBLANK(INDEX('Policy Characteristics'!K:K,MATCH($C662,'Policy Characteristics'!$C:$C,0))),"",INDEX('Policy Characteristics'!K:K,MATCH($C662,'Policy Characteristics'!$C:$C,0)))</f>
        <v>industry-ag-main.html#fuel-switching</v>
      </c>
      <c r="R662" s="254" t="str">
        <f>IF(ISBLANK(INDEX('Policy Characteristics'!L:L,MATCH($C662,'Policy Characteristics'!$C:$C,0))),"",INDEX('Policy Characteristics'!L:L,MATCH($C662,'Policy Characteristics'!$C:$C,0)))</f>
        <v>industry-elec-and-hydrogen.html</v>
      </c>
    </row>
    <row r="663" spans="1:18" x14ac:dyDescent="0.3">
      <c r="A663" s="254" t="str">
        <f>IF(ISBLANK(INDEX('Policy Characteristics'!A:A,MATCH($C663,'Policy Characteristics'!$C:$C,0))),"",INDEX('Policy Characteristics'!A:A,MATCH($C663,'Policy Characteristics'!$C:$C,0)))</f>
        <v>Industry</v>
      </c>
      <c r="B663" s="262" t="str">
        <f>IF(ISBLANK(INDEX('Policy Characteristics'!B:B,MATCH($C663,'Policy Characteristics'!$C:$C,0))),"",INDEX('Policy Characteristics'!B:B,MATCH($C663,'Policy Characteristics'!$C:$C,0)))</f>
        <v>Electrification</v>
      </c>
      <c r="C663" s="254" t="str">
        <f t="shared" si="36"/>
        <v>Fraction of Eligible Industrial Energy Use Shifted to Electricity</v>
      </c>
      <c r="D663" s="6" t="s">
        <v>3065</v>
      </c>
      <c r="E663" s="1" t="s">
        <v>3516</v>
      </c>
      <c r="F663" t="s">
        <v>3029</v>
      </c>
      <c r="G663" s="45" t="s">
        <v>3523</v>
      </c>
      <c r="H663" s="43">
        <v>1867</v>
      </c>
      <c r="I663" s="324" t="s">
        <v>43</v>
      </c>
      <c r="J663" s="255" t="str">
        <f>IF(ISBLANK(INDEX('Policy Characteristics'!D:D,MATCH($C663,'Policy Characteristics'!$C:$C,0))),"",INDEX('Policy Characteristics'!D:D,MATCH($C663,'Policy Characteristics'!$C:$C,0)))</f>
        <v>Electrification</v>
      </c>
      <c r="K663" s="254" t="str">
        <f>IF(ISBLANK(INDEX('Policy Characteristics'!E:E,MATCH($C663,'Policy Characteristics'!$C:$C,0))),"",INDEX('Policy Characteristics'!E:E,MATCH($C663,'Policy Characteristics'!$C:$C,0)))</f>
        <v>indst shift to electricity</v>
      </c>
      <c r="L663" s="261">
        <f>IF(ISBLANK(INDEX('Policy Characteristics'!F:F,MATCH($C663,'Policy Characteristics'!$C:$C,0))),"",INDEX('Policy Characteristics'!F:F,MATCH($C663,'Policy Characteristics'!$C:$C,0)))</f>
        <v>0</v>
      </c>
      <c r="M663" s="261">
        <f>IF(ISBLANK(INDEX('Policy Characteristics'!G:G,MATCH($C663,'Policy Characteristics'!$C:$C,0))),"",INDEX('Policy Characteristics'!G:G,MATCH($C663,'Policy Characteristics'!$C:$C,0)))</f>
        <v>1</v>
      </c>
      <c r="N663" s="261">
        <f>IF(ISBLANK(INDEX('Policy Characteristics'!H:H,MATCH($C663,'Policy Characteristics'!$C:$C,0))),"",INDEX('Policy Characteristics'!H:H,MATCH($C663,'Policy Characteristics'!$C:$C,0)))</f>
        <v>0.01</v>
      </c>
      <c r="O663" s="254" t="str">
        <f>IF(ISBLANK(INDEX('Policy Characteristics'!I:I,MATCH($C663,'Policy Characteristics'!$C:$C,0))),"",INDEX('Policy Characteristics'!I:I,MATCH($C663,'Policy Characteristics'!$C:$C,0)))</f>
        <v>% of fuel shifted</v>
      </c>
      <c r="P663" s="254"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4" t="str">
        <f>IF(ISBLANK(INDEX('Policy Characteristics'!K:K,MATCH($C663,'Policy Characteristics'!$C:$C,0))),"",INDEX('Policy Characteristics'!K:K,MATCH($C663,'Policy Characteristics'!$C:$C,0)))</f>
        <v>industry-ag-main.html#fuel-switching</v>
      </c>
      <c r="R663" s="254" t="str">
        <f>IF(ISBLANK(INDEX('Policy Characteristics'!L:L,MATCH($C663,'Policy Characteristics'!$C:$C,0))),"",INDEX('Policy Characteristics'!L:L,MATCH($C663,'Policy Characteristics'!$C:$C,0)))</f>
        <v>industry-elec-and-hydrogen.html</v>
      </c>
    </row>
    <row r="664" spans="1:18" x14ac:dyDescent="0.3">
      <c r="A664" s="254" t="str">
        <f>IF(ISBLANK(INDEX('Policy Characteristics'!A:A,MATCH($C664,'Policy Characteristics'!$C:$C,0))),"",INDEX('Policy Characteristics'!A:A,MATCH($C664,'Policy Characteristics'!$C:$C,0)))</f>
        <v>Industry</v>
      </c>
      <c r="B664" s="262" t="str">
        <f>IF(ISBLANK(INDEX('Policy Characteristics'!B:B,MATCH($C664,'Policy Characteristics'!$C:$C,0))),"",INDEX('Policy Characteristics'!B:B,MATCH($C664,'Policy Characteristics'!$C:$C,0)))</f>
        <v>Electrification</v>
      </c>
      <c r="C664" s="254" t="str">
        <f t="shared" si="36"/>
        <v>Fraction of Eligible Industrial Energy Use Shifted to Electricity</v>
      </c>
      <c r="D664" s="6" t="s">
        <v>3065</v>
      </c>
      <c r="E664" s="1" t="s">
        <v>3517</v>
      </c>
      <c r="F664" t="s">
        <v>3029</v>
      </c>
      <c r="G664" s="45" t="s">
        <v>3524</v>
      </c>
      <c r="H664" s="43">
        <v>1868</v>
      </c>
      <c r="I664" s="324" t="s">
        <v>43</v>
      </c>
      <c r="J664" s="255" t="str">
        <f>IF(ISBLANK(INDEX('Policy Characteristics'!D:D,MATCH($C664,'Policy Characteristics'!$C:$C,0))),"",INDEX('Policy Characteristics'!D:D,MATCH($C664,'Policy Characteristics'!$C:$C,0)))</f>
        <v>Electrification</v>
      </c>
      <c r="K664" s="254" t="str">
        <f>IF(ISBLANK(INDEX('Policy Characteristics'!E:E,MATCH($C664,'Policy Characteristics'!$C:$C,0))),"",INDEX('Policy Characteristics'!E:E,MATCH($C664,'Policy Characteristics'!$C:$C,0)))</f>
        <v>indst shift to electricity</v>
      </c>
      <c r="L664" s="261">
        <f>IF(ISBLANK(INDEX('Policy Characteristics'!F:F,MATCH($C664,'Policy Characteristics'!$C:$C,0))),"",INDEX('Policy Characteristics'!F:F,MATCH($C664,'Policy Characteristics'!$C:$C,0)))</f>
        <v>0</v>
      </c>
      <c r="M664" s="261">
        <f>IF(ISBLANK(INDEX('Policy Characteristics'!G:G,MATCH($C664,'Policy Characteristics'!$C:$C,0))),"",INDEX('Policy Characteristics'!G:G,MATCH($C664,'Policy Characteristics'!$C:$C,0)))</f>
        <v>1</v>
      </c>
      <c r="N664" s="261">
        <f>IF(ISBLANK(INDEX('Policy Characteristics'!H:H,MATCH($C664,'Policy Characteristics'!$C:$C,0))),"",INDEX('Policy Characteristics'!H:H,MATCH($C664,'Policy Characteristics'!$C:$C,0)))</f>
        <v>0.01</v>
      </c>
      <c r="O664" s="254" t="str">
        <f>IF(ISBLANK(INDEX('Policy Characteristics'!I:I,MATCH($C664,'Policy Characteristics'!$C:$C,0))),"",INDEX('Policy Characteristics'!I:I,MATCH($C664,'Policy Characteristics'!$C:$C,0)))</f>
        <v>% of fuel shifted</v>
      </c>
      <c r="P664" s="254"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4" t="str">
        <f>IF(ISBLANK(INDEX('Policy Characteristics'!K:K,MATCH($C664,'Policy Characteristics'!$C:$C,0))),"",INDEX('Policy Characteristics'!K:K,MATCH($C664,'Policy Characteristics'!$C:$C,0)))</f>
        <v>industry-ag-main.html#fuel-switching</v>
      </c>
      <c r="R664" s="254" t="str">
        <f>IF(ISBLANK(INDEX('Policy Characteristics'!L:L,MATCH($C664,'Policy Characteristics'!$C:$C,0))),"",INDEX('Policy Characteristics'!L:L,MATCH($C664,'Policy Characteristics'!$C:$C,0)))</f>
        <v>industry-elec-and-hydrogen.html</v>
      </c>
    </row>
    <row r="665" spans="1:18" x14ac:dyDescent="0.3">
      <c r="A665" s="254" t="str">
        <f>IF(ISBLANK(INDEX('Policy Characteristics'!A:A,MATCH($C665,'Policy Characteristics'!$C:$C,0))),"",INDEX('Policy Characteristics'!A:A,MATCH($C665,'Policy Characteristics'!$C:$C,0)))</f>
        <v>Industry</v>
      </c>
      <c r="B665" s="262" t="str">
        <f>IF(ISBLANK(INDEX('Policy Characteristics'!B:B,MATCH($C665,'Policy Characteristics'!$C:$C,0))),"",INDEX('Policy Characteristics'!B:B,MATCH($C665,'Policy Characteristics'!$C:$C,0)))</f>
        <v>Electrification</v>
      </c>
      <c r="C665" s="254" t="str">
        <f t="shared" si="36"/>
        <v>Fraction of Eligible Industrial Energy Use Shifted to Electricity</v>
      </c>
      <c r="D665" s="6" t="s">
        <v>3065</v>
      </c>
      <c r="E665" s="1" t="s">
        <v>3518</v>
      </c>
      <c r="F665" t="s">
        <v>3029</v>
      </c>
      <c r="G665" s="45" t="s">
        <v>3525</v>
      </c>
      <c r="H665" s="43">
        <v>1869</v>
      </c>
      <c r="I665" s="324" t="s">
        <v>43</v>
      </c>
      <c r="J665" s="255" t="str">
        <f>IF(ISBLANK(INDEX('Policy Characteristics'!D:D,MATCH($C665,'Policy Characteristics'!$C:$C,0))),"",INDEX('Policy Characteristics'!D:D,MATCH($C665,'Policy Characteristics'!$C:$C,0)))</f>
        <v>Electrification</v>
      </c>
      <c r="K665" s="254" t="str">
        <f>IF(ISBLANK(INDEX('Policy Characteristics'!E:E,MATCH($C665,'Policy Characteristics'!$C:$C,0))),"",INDEX('Policy Characteristics'!E:E,MATCH($C665,'Policy Characteristics'!$C:$C,0)))</f>
        <v>indst shift to electricity</v>
      </c>
      <c r="L665" s="261">
        <f>IF(ISBLANK(INDEX('Policy Characteristics'!F:F,MATCH($C665,'Policy Characteristics'!$C:$C,0))),"",INDEX('Policy Characteristics'!F:F,MATCH($C665,'Policy Characteristics'!$C:$C,0)))</f>
        <v>0</v>
      </c>
      <c r="M665" s="261">
        <f>IF(ISBLANK(INDEX('Policy Characteristics'!G:G,MATCH($C665,'Policy Characteristics'!$C:$C,0))),"",INDEX('Policy Characteristics'!G:G,MATCH($C665,'Policy Characteristics'!$C:$C,0)))</f>
        <v>1</v>
      </c>
      <c r="N665" s="261">
        <f>IF(ISBLANK(INDEX('Policy Characteristics'!H:H,MATCH($C665,'Policy Characteristics'!$C:$C,0))),"",INDEX('Policy Characteristics'!H:H,MATCH($C665,'Policy Characteristics'!$C:$C,0)))</f>
        <v>0.01</v>
      </c>
      <c r="O665" s="254" t="str">
        <f>IF(ISBLANK(INDEX('Policy Characteristics'!I:I,MATCH($C665,'Policy Characteristics'!$C:$C,0))),"",INDEX('Policy Characteristics'!I:I,MATCH($C665,'Policy Characteristics'!$C:$C,0)))</f>
        <v>% of fuel shifted</v>
      </c>
      <c r="P665" s="254"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4" t="str">
        <f>IF(ISBLANK(INDEX('Policy Characteristics'!K:K,MATCH($C665,'Policy Characteristics'!$C:$C,0))),"",INDEX('Policy Characteristics'!K:K,MATCH($C665,'Policy Characteristics'!$C:$C,0)))</f>
        <v>industry-ag-main.html#fuel-switching</v>
      </c>
      <c r="R665" s="254" t="str">
        <f>IF(ISBLANK(INDEX('Policy Characteristics'!L:L,MATCH($C665,'Policy Characteristics'!$C:$C,0))),"",INDEX('Policy Characteristics'!L:L,MATCH($C665,'Policy Characteristics'!$C:$C,0)))</f>
        <v>industry-elec-and-hydrogen.html</v>
      </c>
    </row>
    <row r="666" spans="1:18" x14ac:dyDescent="0.3">
      <c r="A666" s="254" t="str">
        <f>IF(ISBLANK(INDEX('Policy Characteristics'!A:A,MATCH($C666,'Policy Characteristics'!$C:$C,0))),"",INDEX('Policy Characteristics'!A:A,MATCH($C666,'Policy Characteristics'!$C:$C,0)))</f>
        <v>Industry</v>
      </c>
      <c r="B666" s="262" t="str">
        <f>IF(ISBLANK(INDEX('Policy Characteristics'!B:B,MATCH($C666,'Policy Characteristics'!$C:$C,0))),"",INDEX('Policy Characteristics'!B:B,MATCH($C666,'Policy Characteristics'!$C:$C,0)))</f>
        <v>Electrification</v>
      </c>
      <c r="C666" s="254" t="str">
        <f t="shared" si="36"/>
        <v>Fraction of Eligible Industrial Energy Use Shifted to Electricity</v>
      </c>
      <c r="D666" s="6" t="s">
        <v>3065</v>
      </c>
      <c r="E666" s="1" t="s">
        <v>3519</v>
      </c>
      <c r="F666" t="s">
        <v>3029</v>
      </c>
      <c r="G666" s="45" t="s">
        <v>3526</v>
      </c>
      <c r="H666" s="43">
        <v>1870</v>
      </c>
      <c r="I666" s="324" t="s">
        <v>43</v>
      </c>
      <c r="J666" s="255" t="str">
        <f>IF(ISBLANK(INDEX('Policy Characteristics'!D:D,MATCH($C666,'Policy Characteristics'!$C:$C,0))),"",INDEX('Policy Characteristics'!D:D,MATCH($C666,'Policy Characteristics'!$C:$C,0)))</f>
        <v>Electrification</v>
      </c>
      <c r="K666" s="254" t="str">
        <f>IF(ISBLANK(INDEX('Policy Characteristics'!E:E,MATCH($C666,'Policy Characteristics'!$C:$C,0))),"",INDEX('Policy Characteristics'!E:E,MATCH($C666,'Policy Characteristics'!$C:$C,0)))</f>
        <v>indst shift to electricity</v>
      </c>
      <c r="L666" s="261">
        <f>IF(ISBLANK(INDEX('Policy Characteristics'!F:F,MATCH($C666,'Policy Characteristics'!$C:$C,0))),"",INDEX('Policy Characteristics'!F:F,MATCH($C666,'Policy Characteristics'!$C:$C,0)))</f>
        <v>0</v>
      </c>
      <c r="M666" s="261">
        <f>IF(ISBLANK(INDEX('Policy Characteristics'!G:G,MATCH($C666,'Policy Characteristics'!$C:$C,0))),"",INDEX('Policy Characteristics'!G:G,MATCH($C666,'Policy Characteristics'!$C:$C,0)))</f>
        <v>1</v>
      </c>
      <c r="N666" s="261">
        <f>IF(ISBLANK(INDEX('Policy Characteristics'!H:H,MATCH($C666,'Policy Characteristics'!$C:$C,0))),"",INDEX('Policy Characteristics'!H:H,MATCH($C666,'Policy Characteristics'!$C:$C,0)))</f>
        <v>0.01</v>
      </c>
      <c r="O666" s="254" t="str">
        <f>IF(ISBLANK(INDEX('Policy Characteristics'!I:I,MATCH($C666,'Policy Characteristics'!$C:$C,0))),"",INDEX('Policy Characteristics'!I:I,MATCH($C666,'Policy Characteristics'!$C:$C,0)))</f>
        <v>% of fuel shifted</v>
      </c>
      <c r="P666" s="254"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4" t="str">
        <f>IF(ISBLANK(INDEX('Policy Characteristics'!K:K,MATCH($C666,'Policy Characteristics'!$C:$C,0))),"",INDEX('Policy Characteristics'!K:K,MATCH($C666,'Policy Characteristics'!$C:$C,0)))</f>
        <v>industry-ag-main.html#fuel-switching</v>
      </c>
      <c r="R666" s="254" t="str">
        <f>IF(ISBLANK(INDEX('Policy Characteristics'!L:L,MATCH($C666,'Policy Characteristics'!$C:$C,0))),"",INDEX('Policy Characteristics'!L:L,MATCH($C666,'Policy Characteristics'!$C:$C,0)))</f>
        <v>industry-elec-and-hydrogen.html</v>
      </c>
    </row>
    <row r="667" spans="1:18" x14ac:dyDescent="0.3">
      <c r="A667" s="254" t="str">
        <f>IF(ISBLANK(INDEX('Policy Characteristics'!A:A,MATCH($C667,'Policy Characteristics'!$C:$C,0))),"",INDEX('Policy Characteristics'!A:A,MATCH($C667,'Policy Characteristics'!$C:$C,0)))</f>
        <v>Industry</v>
      </c>
      <c r="B667" s="262" t="str">
        <f>IF(ISBLANK(INDEX('Policy Characteristics'!B:B,MATCH($C667,'Policy Characteristics'!$C:$C,0))),"",INDEX('Policy Characteristics'!B:B,MATCH($C667,'Policy Characteristics'!$C:$C,0)))</f>
        <v>Electrification</v>
      </c>
      <c r="C667" s="254" t="str">
        <f t="shared" si="36"/>
        <v>Fraction of Eligible Industrial Energy Use Shifted to Electricity</v>
      </c>
      <c r="D667" s="6" t="s">
        <v>3065</v>
      </c>
      <c r="E667" s="1" t="s">
        <v>3520</v>
      </c>
      <c r="F667" t="s">
        <v>3029</v>
      </c>
      <c r="G667" s="45" t="s">
        <v>3527</v>
      </c>
      <c r="H667" s="43">
        <v>1871</v>
      </c>
      <c r="I667" s="324" t="s">
        <v>43</v>
      </c>
      <c r="J667" s="255" t="str">
        <f>IF(ISBLANK(INDEX('Policy Characteristics'!D:D,MATCH($C667,'Policy Characteristics'!$C:$C,0))),"",INDEX('Policy Characteristics'!D:D,MATCH($C667,'Policy Characteristics'!$C:$C,0)))</f>
        <v>Electrification</v>
      </c>
      <c r="K667" s="254" t="str">
        <f>IF(ISBLANK(INDEX('Policy Characteristics'!E:E,MATCH($C667,'Policy Characteristics'!$C:$C,0))),"",INDEX('Policy Characteristics'!E:E,MATCH($C667,'Policy Characteristics'!$C:$C,0)))</f>
        <v>indst shift to electricity</v>
      </c>
      <c r="L667" s="261">
        <f>IF(ISBLANK(INDEX('Policy Characteristics'!F:F,MATCH($C667,'Policy Characteristics'!$C:$C,0))),"",INDEX('Policy Characteristics'!F:F,MATCH($C667,'Policy Characteristics'!$C:$C,0)))</f>
        <v>0</v>
      </c>
      <c r="M667" s="261">
        <f>IF(ISBLANK(INDEX('Policy Characteristics'!G:G,MATCH($C667,'Policy Characteristics'!$C:$C,0))),"",INDEX('Policy Characteristics'!G:G,MATCH($C667,'Policy Characteristics'!$C:$C,0)))</f>
        <v>1</v>
      </c>
      <c r="N667" s="261">
        <f>IF(ISBLANK(INDEX('Policy Characteristics'!H:H,MATCH($C667,'Policy Characteristics'!$C:$C,0))),"",INDEX('Policy Characteristics'!H:H,MATCH($C667,'Policy Characteristics'!$C:$C,0)))</f>
        <v>0.01</v>
      </c>
      <c r="O667" s="254" t="str">
        <f>IF(ISBLANK(INDEX('Policy Characteristics'!I:I,MATCH($C667,'Policy Characteristics'!$C:$C,0))),"",INDEX('Policy Characteristics'!I:I,MATCH($C667,'Policy Characteristics'!$C:$C,0)))</f>
        <v>% of fuel shifted</v>
      </c>
      <c r="P667" s="254"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4" t="str">
        <f>IF(ISBLANK(INDEX('Policy Characteristics'!K:K,MATCH($C667,'Policy Characteristics'!$C:$C,0))),"",INDEX('Policy Characteristics'!K:K,MATCH($C667,'Policy Characteristics'!$C:$C,0)))</f>
        <v>industry-ag-main.html#fuel-switching</v>
      </c>
      <c r="R667" s="254" t="str">
        <f>IF(ISBLANK(INDEX('Policy Characteristics'!L:L,MATCH($C667,'Policy Characteristics'!$C:$C,0))),"",INDEX('Policy Characteristics'!L:L,MATCH($C667,'Policy Characteristics'!$C:$C,0)))</f>
        <v>industry-elec-and-hydrogen.html</v>
      </c>
    </row>
    <row r="668" spans="1:18" x14ac:dyDescent="0.3">
      <c r="A668" s="254" t="str">
        <f>IF(ISBLANK(INDEX('Policy Characteristics'!A:A,MATCH($C668,'Policy Characteristics'!$C:$C,0))),"",INDEX('Policy Characteristics'!A:A,MATCH($C668,'Policy Characteristics'!$C:$C,0)))</f>
        <v>Industry</v>
      </c>
      <c r="B668" s="262" t="str">
        <f>IF(ISBLANK(INDEX('Policy Characteristics'!B:B,MATCH($C668,'Policy Characteristics'!$C:$C,0))),"",INDEX('Policy Characteristics'!B:B,MATCH($C668,'Policy Characteristics'!$C:$C,0)))</f>
        <v>Electrification</v>
      </c>
      <c r="C668" s="254" t="str">
        <f t="shared" si="36"/>
        <v>Fraction of Eligible Industrial Energy Use Shifted to Electricity</v>
      </c>
      <c r="D668" s="6" t="s">
        <v>3065</v>
      </c>
      <c r="E668" s="1" t="s">
        <v>3521</v>
      </c>
      <c r="F668" t="s">
        <v>3029</v>
      </c>
      <c r="G668" s="45" t="s">
        <v>3528</v>
      </c>
      <c r="H668" s="43">
        <v>1872</v>
      </c>
      <c r="I668" s="324" t="s">
        <v>43</v>
      </c>
      <c r="J668" s="255" t="str">
        <f>IF(ISBLANK(INDEX('Policy Characteristics'!D:D,MATCH($C668,'Policy Characteristics'!$C:$C,0))),"",INDEX('Policy Characteristics'!D:D,MATCH($C668,'Policy Characteristics'!$C:$C,0)))</f>
        <v>Electrification</v>
      </c>
      <c r="K668" s="254" t="str">
        <f>IF(ISBLANK(INDEX('Policy Characteristics'!E:E,MATCH($C668,'Policy Characteristics'!$C:$C,0))),"",INDEX('Policy Characteristics'!E:E,MATCH($C668,'Policy Characteristics'!$C:$C,0)))</f>
        <v>indst shift to electricity</v>
      </c>
      <c r="L668" s="261">
        <f>IF(ISBLANK(INDEX('Policy Characteristics'!F:F,MATCH($C668,'Policy Characteristics'!$C:$C,0))),"",INDEX('Policy Characteristics'!F:F,MATCH($C668,'Policy Characteristics'!$C:$C,0)))</f>
        <v>0</v>
      </c>
      <c r="M668" s="261">
        <f>IF(ISBLANK(INDEX('Policy Characteristics'!G:G,MATCH($C668,'Policy Characteristics'!$C:$C,0))),"",INDEX('Policy Characteristics'!G:G,MATCH($C668,'Policy Characteristics'!$C:$C,0)))</f>
        <v>1</v>
      </c>
      <c r="N668" s="261">
        <f>IF(ISBLANK(INDEX('Policy Characteristics'!H:H,MATCH($C668,'Policy Characteristics'!$C:$C,0))),"",INDEX('Policy Characteristics'!H:H,MATCH($C668,'Policy Characteristics'!$C:$C,0)))</f>
        <v>0.01</v>
      </c>
      <c r="O668" s="254" t="str">
        <f>IF(ISBLANK(INDEX('Policy Characteristics'!I:I,MATCH($C668,'Policy Characteristics'!$C:$C,0))),"",INDEX('Policy Characteristics'!I:I,MATCH($C668,'Policy Characteristics'!$C:$C,0)))</f>
        <v>% of fuel shifted</v>
      </c>
      <c r="P668" s="254"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4" t="str">
        <f>IF(ISBLANK(INDEX('Policy Characteristics'!K:K,MATCH($C668,'Policy Characteristics'!$C:$C,0))),"",INDEX('Policy Characteristics'!K:K,MATCH($C668,'Policy Characteristics'!$C:$C,0)))</f>
        <v>industry-ag-main.html#fuel-switching</v>
      </c>
      <c r="R668" s="254" t="str">
        <f>IF(ISBLANK(INDEX('Policy Characteristics'!L:L,MATCH($C668,'Policy Characteristics'!$C:$C,0))),"",INDEX('Policy Characteristics'!L:L,MATCH($C668,'Policy Characteristics'!$C:$C,0)))</f>
        <v>industry-elec-and-hydrogen.html</v>
      </c>
    </row>
    <row r="669" spans="1:18" x14ac:dyDescent="0.3">
      <c r="A669" s="254" t="str">
        <f>IF(ISBLANK(INDEX('Policy Characteristics'!A:A,MATCH($C669,'Policy Characteristics'!$C:$C,0))),"",INDEX('Policy Characteristics'!A:A,MATCH($C669,'Policy Characteristics'!$C:$C,0)))</f>
        <v>Industry</v>
      </c>
      <c r="B669" s="262" t="str">
        <f>IF(ISBLANK(INDEX('Policy Characteristics'!B:B,MATCH($C669,'Policy Characteristics'!$C:$C,0))),"",INDEX('Policy Characteristics'!B:B,MATCH($C669,'Policy Characteristics'!$C:$C,0)))</f>
        <v>Electrification</v>
      </c>
      <c r="C669" s="254" t="str">
        <f t="shared" si="36"/>
        <v>Fraction of Eligible Industrial Energy Use Shifted to Electricity</v>
      </c>
      <c r="D669" s="6" t="s">
        <v>3065</v>
      </c>
      <c r="E669" s="1" t="s">
        <v>3671</v>
      </c>
      <c r="F669" t="s">
        <v>3029</v>
      </c>
      <c r="G669" s="45" t="s">
        <v>3671</v>
      </c>
      <c r="H669" s="43">
        <v>1873</v>
      </c>
      <c r="I669" s="324" t="s">
        <v>43</v>
      </c>
      <c r="J669" s="255" t="str">
        <f>IF(ISBLANK(INDEX('Policy Characteristics'!D:D,MATCH($C669,'Policy Characteristics'!$C:$C,0))),"",INDEX('Policy Characteristics'!D:D,MATCH($C669,'Policy Characteristics'!$C:$C,0)))</f>
        <v>Electrification</v>
      </c>
      <c r="K669" s="254" t="str">
        <f>IF(ISBLANK(INDEX('Policy Characteristics'!E:E,MATCH($C669,'Policy Characteristics'!$C:$C,0))),"",INDEX('Policy Characteristics'!E:E,MATCH($C669,'Policy Characteristics'!$C:$C,0)))</f>
        <v>indst shift to electricity</v>
      </c>
      <c r="L669" s="261">
        <f>IF(ISBLANK(INDEX('Policy Characteristics'!F:F,MATCH($C669,'Policy Characteristics'!$C:$C,0))),"",INDEX('Policy Characteristics'!F:F,MATCH($C669,'Policy Characteristics'!$C:$C,0)))</f>
        <v>0</v>
      </c>
      <c r="M669" s="261">
        <f>IF(ISBLANK(INDEX('Policy Characteristics'!G:G,MATCH($C669,'Policy Characteristics'!$C:$C,0))),"",INDEX('Policy Characteristics'!G:G,MATCH($C669,'Policy Characteristics'!$C:$C,0)))</f>
        <v>1</v>
      </c>
      <c r="N669" s="261">
        <f>IF(ISBLANK(INDEX('Policy Characteristics'!H:H,MATCH($C669,'Policy Characteristics'!$C:$C,0))),"",INDEX('Policy Characteristics'!H:H,MATCH($C669,'Policy Characteristics'!$C:$C,0)))</f>
        <v>0.01</v>
      </c>
      <c r="O669" s="254" t="str">
        <f>IF(ISBLANK(INDEX('Policy Characteristics'!I:I,MATCH($C669,'Policy Characteristics'!$C:$C,0))),"",INDEX('Policy Characteristics'!I:I,MATCH($C669,'Policy Characteristics'!$C:$C,0)))</f>
        <v>% of fuel shifted</v>
      </c>
      <c r="P669" s="254"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4" t="str">
        <f>IF(ISBLANK(INDEX('Policy Characteristics'!K:K,MATCH($C669,'Policy Characteristics'!$C:$C,0))),"",INDEX('Policy Characteristics'!K:K,MATCH($C669,'Policy Characteristics'!$C:$C,0)))</f>
        <v>industry-ag-main.html#fuel-switching</v>
      </c>
      <c r="R669" s="254" t="str">
        <f>IF(ISBLANK(INDEX('Policy Characteristics'!L:L,MATCH($C669,'Policy Characteristics'!$C:$C,0))),"",INDEX('Policy Characteristics'!L:L,MATCH($C669,'Policy Characteristics'!$C:$C,0)))</f>
        <v>industry-elec-and-hydrogen.html</v>
      </c>
    </row>
    <row r="670" spans="1:18" x14ac:dyDescent="0.3">
      <c r="A670" s="254" t="str">
        <f>IF(ISBLANK(INDEX('Policy Characteristics'!A:A,MATCH($C670,'Policy Characteristics'!$C:$C,0))),"",INDEX('Policy Characteristics'!A:A,MATCH($C670,'Policy Characteristics'!$C:$C,0)))</f>
        <v>Industry</v>
      </c>
      <c r="B670" s="262" t="str">
        <f>IF(ISBLANK(INDEX('Policy Characteristics'!B:B,MATCH($C670,'Policy Characteristics'!$C:$C,0))),"",INDEX('Policy Characteristics'!B:B,MATCH($C670,'Policy Characteristics'!$C:$C,0)))</f>
        <v>Electrification</v>
      </c>
      <c r="C670" s="254" t="str">
        <f t="shared" si="36"/>
        <v>Fraction of Eligible Industrial Energy Use Shifted to Electricity</v>
      </c>
      <c r="D670" s="6" t="s">
        <v>3066</v>
      </c>
      <c r="E670" s="1" t="s">
        <v>3515</v>
      </c>
      <c r="F670" t="s">
        <v>3030</v>
      </c>
      <c r="G670" s="45" t="s">
        <v>3522</v>
      </c>
      <c r="H670" s="43">
        <v>1874</v>
      </c>
      <c r="I670" s="324" t="s">
        <v>43</v>
      </c>
      <c r="J670" s="255" t="str">
        <f>IF(ISBLANK(INDEX('Policy Characteristics'!D:D,MATCH($C670,'Policy Characteristics'!$C:$C,0))),"",INDEX('Policy Characteristics'!D:D,MATCH($C670,'Policy Characteristics'!$C:$C,0)))</f>
        <v>Electrification</v>
      </c>
      <c r="K670" s="254" t="str">
        <f>IF(ISBLANK(INDEX('Policy Characteristics'!E:E,MATCH($C670,'Policy Characteristics'!$C:$C,0))),"",INDEX('Policy Characteristics'!E:E,MATCH($C670,'Policy Characteristics'!$C:$C,0)))</f>
        <v>indst shift to electricity</v>
      </c>
      <c r="L670" s="261">
        <f>IF(ISBLANK(INDEX('Policy Characteristics'!F:F,MATCH($C670,'Policy Characteristics'!$C:$C,0))),"",INDEX('Policy Characteristics'!F:F,MATCH($C670,'Policy Characteristics'!$C:$C,0)))</f>
        <v>0</v>
      </c>
      <c r="M670" s="261">
        <f>IF(ISBLANK(INDEX('Policy Characteristics'!G:G,MATCH($C670,'Policy Characteristics'!$C:$C,0))),"",INDEX('Policy Characteristics'!G:G,MATCH($C670,'Policy Characteristics'!$C:$C,0)))</f>
        <v>1</v>
      </c>
      <c r="N670" s="261">
        <f>IF(ISBLANK(INDEX('Policy Characteristics'!H:H,MATCH($C670,'Policy Characteristics'!$C:$C,0))),"",INDEX('Policy Characteristics'!H:H,MATCH($C670,'Policy Characteristics'!$C:$C,0)))</f>
        <v>0.01</v>
      </c>
      <c r="O670" s="254" t="str">
        <f>IF(ISBLANK(INDEX('Policy Characteristics'!I:I,MATCH($C670,'Policy Characteristics'!$C:$C,0))),"",INDEX('Policy Characteristics'!I:I,MATCH($C670,'Policy Characteristics'!$C:$C,0)))</f>
        <v>% of fuel shifted</v>
      </c>
      <c r="P670" s="254"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4" t="str">
        <f>IF(ISBLANK(INDEX('Policy Characteristics'!K:K,MATCH($C670,'Policy Characteristics'!$C:$C,0))),"",INDEX('Policy Characteristics'!K:K,MATCH($C670,'Policy Characteristics'!$C:$C,0)))</f>
        <v>industry-ag-main.html#fuel-switching</v>
      </c>
      <c r="R670" s="254" t="str">
        <f>IF(ISBLANK(INDEX('Policy Characteristics'!L:L,MATCH($C670,'Policy Characteristics'!$C:$C,0))),"",INDEX('Policy Characteristics'!L:L,MATCH($C670,'Policy Characteristics'!$C:$C,0)))</f>
        <v>industry-elec-and-hydrogen.html</v>
      </c>
    </row>
    <row r="671" spans="1:18" x14ac:dyDescent="0.3">
      <c r="A671" s="254" t="str">
        <f>IF(ISBLANK(INDEX('Policy Characteristics'!A:A,MATCH($C671,'Policy Characteristics'!$C:$C,0))),"",INDEX('Policy Characteristics'!A:A,MATCH($C671,'Policy Characteristics'!$C:$C,0)))</f>
        <v>Industry</v>
      </c>
      <c r="B671" s="262" t="str">
        <f>IF(ISBLANK(INDEX('Policy Characteristics'!B:B,MATCH($C671,'Policy Characteristics'!$C:$C,0))),"",INDEX('Policy Characteristics'!B:B,MATCH($C671,'Policy Characteristics'!$C:$C,0)))</f>
        <v>Electrification</v>
      </c>
      <c r="C671" s="254" t="str">
        <f t="shared" si="36"/>
        <v>Fraction of Eligible Industrial Energy Use Shifted to Electricity</v>
      </c>
      <c r="D671" s="6" t="s">
        <v>3066</v>
      </c>
      <c r="E671" s="1" t="s">
        <v>3516</v>
      </c>
      <c r="F671" t="s">
        <v>3030</v>
      </c>
      <c r="G671" s="45" t="s">
        <v>3523</v>
      </c>
      <c r="H671" s="43">
        <v>1875</v>
      </c>
      <c r="I671" s="324" t="s">
        <v>43</v>
      </c>
      <c r="J671" s="255" t="str">
        <f>IF(ISBLANK(INDEX('Policy Characteristics'!D:D,MATCH($C671,'Policy Characteristics'!$C:$C,0))),"",INDEX('Policy Characteristics'!D:D,MATCH($C671,'Policy Characteristics'!$C:$C,0)))</f>
        <v>Electrification</v>
      </c>
      <c r="K671" s="254" t="str">
        <f>IF(ISBLANK(INDEX('Policy Characteristics'!E:E,MATCH($C671,'Policy Characteristics'!$C:$C,0))),"",INDEX('Policy Characteristics'!E:E,MATCH($C671,'Policy Characteristics'!$C:$C,0)))</f>
        <v>indst shift to electricity</v>
      </c>
      <c r="L671" s="261">
        <f>IF(ISBLANK(INDEX('Policy Characteristics'!F:F,MATCH($C671,'Policy Characteristics'!$C:$C,0))),"",INDEX('Policy Characteristics'!F:F,MATCH($C671,'Policy Characteristics'!$C:$C,0)))</f>
        <v>0</v>
      </c>
      <c r="M671" s="261">
        <f>IF(ISBLANK(INDEX('Policy Characteristics'!G:G,MATCH($C671,'Policy Characteristics'!$C:$C,0))),"",INDEX('Policy Characteristics'!G:G,MATCH($C671,'Policy Characteristics'!$C:$C,0)))</f>
        <v>1</v>
      </c>
      <c r="N671" s="261">
        <f>IF(ISBLANK(INDEX('Policy Characteristics'!H:H,MATCH($C671,'Policy Characteristics'!$C:$C,0))),"",INDEX('Policy Characteristics'!H:H,MATCH($C671,'Policy Characteristics'!$C:$C,0)))</f>
        <v>0.01</v>
      </c>
      <c r="O671" s="254" t="str">
        <f>IF(ISBLANK(INDEX('Policy Characteristics'!I:I,MATCH($C671,'Policy Characteristics'!$C:$C,0))),"",INDEX('Policy Characteristics'!I:I,MATCH($C671,'Policy Characteristics'!$C:$C,0)))</f>
        <v>% of fuel shifted</v>
      </c>
      <c r="P671" s="254"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4" t="str">
        <f>IF(ISBLANK(INDEX('Policy Characteristics'!K:K,MATCH($C671,'Policy Characteristics'!$C:$C,0))),"",INDEX('Policy Characteristics'!K:K,MATCH($C671,'Policy Characteristics'!$C:$C,0)))</f>
        <v>industry-ag-main.html#fuel-switching</v>
      </c>
      <c r="R671" s="254" t="str">
        <f>IF(ISBLANK(INDEX('Policy Characteristics'!L:L,MATCH($C671,'Policy Characteristics'!$C:$C,0))),"",INDEX('Policy Characteristics'!L:L,MATCH($C671,'Policy Characteristics'!$C:$C,0)))</f>
        <v>industry-elec-and-hydrogen.html</v>
      </c>
    </row>
    <row r="672" spans="1:18" x14ac:dyDescent="0.3">
      <c r="A672" s="254" t="str">
        <f>IF(ISBLANK(INDEX('Policy Characteristics'!A:A,MATCH($C672,'Policy Characteristics'!$C:$C,0))),"",INDEX('Policy Characteristics'!A:A,MATCH($C672,'Policy Characteristics'!$C:$C,0)))</f>
        <v>Industry</v>
      </c>
      <c r="B672" s="262" t="str">
        <f>IF(ISBLANK(INDEX('Policy Characteristics'!B:B,MATCH($C672,'Policy Characteristics'!$C:$C,0))),"",INDEX('Policy Characteristics'!B:B,MATCH($C672,'Policy Characteristics'!$C:$C,0)))</f>
        <v>Electrification</v>
      </c>
      <c r="C672" s="254" t="str">
        <f t="shared" si="36"/>
        <v>Fraction of Eligible Industrial Energy Use Shifted to Electricity</v>
      </c>
      <c r="D672" s="6" t="s">
        <v>3066</v>
      </c>
      <c r="E672" s="1" t="s">
        <v>3517</v>
      </c>
      <c r="F672" t="s">
        <v>3030</v>
      </c>
      <c r="G672" s="45" t="s">
        <v>3524</v>
      </c>
      <c r="H672" s="43">
        <v>1876</v>
      </c>
      <c r="I672" s="324" t="s">
        <v>43</v>
      </c>
      <c r="J672" s="255" t="str">
        <f>IF(ISBLANK(INDEX('Policy Characteristics'!D:D,MATCH($C672,'Policy Characteristics'!$C:$C,0))),"",INDEX('Policy Characteristics'!D:D,MATCH($C672,'Policy Characteristics'!$C:$C,0)))</f>
        <v>Electrification</v>
      </c>
      <c r="K672" s="254" t="str">
        <f>IF(ISBLANK(INDEX('Policy Characteristics'!E:E,MATCH($C672,'Policy Characteristics'!$C:$C,0))),"",INDEX('Policy Characteristics'!E:E,MATCH($C672,'Policy Characteristics'!$C:$C,0)))</f>
        <v>indst shift to electricity</v>
      </c>
      <c r="L672" s="261">
        <f>IF(ISBLANK(INDEX('Policy Characteristics'!F:F,MATCH($C672,'Policy Characteristics'!$C:$C,0))),"",INDEX('Policy Characteristics'!F:F,MATCH($C672,'Policy Characteristics'!$C:$C,0)))</f>
        <v>0</v>
      </c>
      <c r="M672" s="261">
        <f>IF(ISBLANK(INDEX('Policy Characteristics'!G:G,MATCH($C672,'Policy Characteristics'!$C:$C,0))),"",INDEX('Policy Characteristics'!G:G,MATCH($C672,'Policy Characteristics'!$C:$C,0)))</f>
        <v>1</v>
      </c>
      <c r="N672" s="261">
        <f>IF(ISBLANK(INDEX('Policy Characteristics'!H:H,MATCH($C672,'Policy Characteristics'!$C:$C,0))),"",INDEX('Policy Characteristics'!H:H,MATCH($C672,'Policy Characteristics'!$C:$C,0)))</f>
        <v>0.01</v>
      </c>
      <c r="O672" s="254" t="str">
        <f>IF(ISBLANK(INDEX('Policy Characteristics'!I:I,MATCH($C672,'Policy Characteristics'!$C:$C,0))),"",INDEX('Policy Characteristics'!I:I,MATCH($C672,'Policy Characteristics'!$C:$C,0)))</f>
        <v>% of fuel shifted</v>
      </c>
      <c r="P672" s="254"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4" t="str">
        <f>IF(ISBLANK(INDEX('Policy Characteristics'!K:K,MATCH($C672,'Policy Characteristics'!$C:$C,0))),"",INDEX('Policy Characteristics'!K:K,MATCH($C672,'Policy Characteristics'!$C:$C,0)))</f>
        <v>industry-ag-main.html#fuel-switching</v>
      </c>
      <c r="R672" s="254" t="str">
        <f>IF(ISBLANK(INDEX('Policy Characteristics'!L:L,MATCH($C672,'Policy Characteristics'!$C:$C,0))),"",INDEX('Policy Characteristics'!L:L,MATCH($C672,'Policy Characteristics'!$C:$C,0)))</f>
        <v>industry-elec-and-hydrogen.html</v>
      </c>
    </row>
    <row r="673" spans="1:18" x14ac:dyDescent="0.3">
      <c r="A673" s="254" t="str">
        <f>IF(ISBLANK(INDEX('Policy Characteristics'!A:A,MATCH($C673,'Policy Characteristics'!$C:$C,0))),"",INDEX('Policy Characteristics'!A:A,MATCH($C673,'Policy Characteristics'!$C:$C,0)))</f>
        <v>Industry</v>
      </c>
      <c r="B673" s="262" t="str">
        <f>IF(ISBLANK(INDEX('Policy Characteristics'!B:B,MATCH($C673,'Policy Characteristics'!$C:$C,0))),"",INDEX('Policy Characteristics'!B:B,MATCH($C673,'Policy Characteristics'!$C:$C,0)))</f>
        <v>Electrification</v>
      </c>
      <c r="C673" s="254" t="str">
        <f t="shared" si="36"/>
        <v>Fraction of Eligible Industrial Energy Use Shifted to Electricity</v>
      </c>
      <c r="D673" s="6" t="s">
        <v>3066</v>
      </c>
      <c r="E673" s="1" t="s">
        <v>3518</v>
      </c>
      <c r="F673" t="s">
        <v>3030</v>
      </c>
      <c r="G673" s="45" t="s">
        <v>3525</v>
      </c>
      <c r="H673" s="43">
        <v>1877</v>
      </c>
      <c r="I673" s="324" t="s">
        <v>43</v>
      </c>
      <c r="J673" s="255" t="str">
        <f>IF(ISBLANK(INDEX('Policy Characteristics'!D:D,MATCH($C673,'Policy Characteristics'!$C:$C,0))),"",INDEX('Policy Characteristics'!D:D,MATCH($C673,'Policy Characteristics'!$C:$C,0)))</f>
        <v>Electrification</v>
      </c>
      <c r="K673" s="254" t="str">
        <f>IF(ISBLANK(INDEX('Policy Characteristics'!E:E,MATCH($C673,'Policy Characteristics'!$C:$C,0))),"",INDEX('Policy Characteristics'!E:E,MATCH($C673,'Policy Characteristics'!$C:$C,0)))</f>
        <v>indst shift to electricity</v>
      </c>
      <c r="L673" s="261">
        <f>IF(ISBLANK(INDEX('Policy Characteristics'!F:F,MATCH($C673,'Policy Characteristics'!$C:$C,0))),"",INDEX('Policy Characteristics'!F:F,MATCH($C673,'Policy Characteristics'!$C:$C,0)))</f>
        <v>0</v>
      </c>
      <c r="M673" s="261">
        <f>IF(ISBLANK(INDEX('Policy Characteristics'!G:G,MATCH($C673,'Policy Characteristics'!$C:$C,0))),"",INDEX('Policy Characteristics'!G:G,MATCH($C673,'Policy Characteristics'!$C:$C,0)))</f>
        <v>1</v>
      </c>
      <c r="N673" s="261">
        <f>IF(ISBLANK(INDEX('Policy Characteristics'!H:H,MATCH($C673,'Policy Characteristics'!$C:$C,0))),"",INDEX('Policy Characteristics'!H:H,MATCH($C673,'Policy Characteristics'!$C:$C,0)))</f>
        <v>0.01</v>
      </c>
      <c r="O673" s="254" t="str">
        <f>IF(ISBLANK(INDEX('Policy Characteristics'!I:I,MATCH($C673,'Policy Characteristics'!$C:$C,0))),"",INDEX('Policy Characteristics'!I:I,MATCH($C673,'Policy Characteristics'!$C:$C,0)))</f>
        <v>% of fuel shifted</v>
      </c>
      <c r="P673" s="254"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4" t="str">
        <f>IF(ISBLANK(INDEX('Policy Characteristics'!K:K,MATCH($C673,'Policy Characteristics'!$C:$C,0))),"",INDEX('Policy Characteristics'!K:K,MATCH($C673,'Policy Characteristics'!$C:$C,0)))</f>
        <v>industry-ag-main.html#fuel-switching</v>
      </c>
      <c r="R673" s="254" t="str">
        <f>IF(ISBLANK(INDEX('Policy Characteristics'!L:L,MATCH($C673,'Policy Characteristics'!$C:$C,0))),"",INDEX('Policy Characteristics'!L:L,MATCH($C673,'Policy Characteristics'!$C:$C,0)))</f>
        <v>industry-elec-and-hydrogen.html</v>
      </c>
    </row>
    <row r="674" spans="1:18" x14ac:dyDescent="0.3">
      <c r="A674" s="254" t="str">
        <f>IF(ISBLANK(INDEX('Policy Characteristics'!A:A,MATCH($C674,'Policy Characteristics'!$C:$C,0))),"",INDEX('Policy Characteristics'!A:A,MATCH($C674,'Policy Characteristics'!$C:$C,0)))</f>
        <v>Industry</v>
      </c>
      <c r="B674" s="262" t="str">
        <f>IF(ISBLANK(INDEX('Policy Characteristics'!B:B,MATCH($C674,'Policy Characteristics'!$C:$C,0))),"",INDEX('Policy Characteristics'!B:B,MATCH($C674,'Policy Characteristics'!$C:$C,0)))</f>
        <v>Electrification</v>
      </c>
      <c r="C674" s="254" t="str">
        <f t="shared" si="36"/>
        <v>Fraction of Eligible Industrial Energy Use Shifted to Electricity</v>
      </c>
      <c r="D674" s="6" t="s">
        <v>3066</v>
      </c>
      <c r="E674" s="1" t="s">
        <v>3519</v>
      </c>
      <c r="F674" t="s">
        <v>3030</v>
      </c>
      <c r="G674" s="45" t="s">
        <v>3526</v>
      </c>
      <c r="H674" s="43">
        <v>1878</v>
      </c>
      <c r="I674" s="324" t="s">
        <v>43</v>
      </c>
      <c r="J674" s="255" t="str">
        <f>IF(ISBLANK(INDEX('Policy Characteristics'!D:D,MATCH($C674,'Policy Characteristics'!$C:$C,0))),"",INDEX('Policy Characteristics'!D:D,MATCH($C674,'Policy Characteristics'!$C:$C,0)))</f>
        <v>Electrification</v>
      </c>
      <c r="K674" s="254" t="str">
        <f>IF(ISBLANK(INDEX('Policy Characteristics'!E:E,MATCH($C674,'Policy Characteristics'!$C:$C,0))),"",INDEX('Policy Characteristics'!E:E,MATCH($C674,'Policy Characteristics'!$C:$C,0)))</f>
        <v>indst shift to electricity</v>
      </c>
      <c r="L674" s="261">
        <f>IF(ISBLANK(INDEX('Policy Characteristics'!F:F,MATCH($C674,'Policy Characteristics'!$C:$C,0))),"",INDEX('Policy Characteristics'!F:F,MATCH($C674,'Policy Characteristics'!$C:$C,0)))</f>
        <v>0</v>
      </c>
      <c r="M674" s="261">
        <f>IF(ISBLANK(INDEX('Policy Characteristics'!G:G,MATCH($C674,'Policy Characteristics'!$C:$C,0))),"",INDEX('Policy Characteristics'!G:G,MATCH($C674,'Policy Characteristics'!$C:$C,0)))</f>
        <v>1</v>
      </c>
      <c r="N674" s="261">
        <f>IF(ISBLANK(INDEX('Policy Characteristics'!H:H,MATCH($C674,'Policy Characteristics'!$C:$C,0))),"",INDEX('Policy Characteristics'!H:H,MATCH($C674,'Policy Characteristics'!$C:$C,0)))</f>
        <v>0.01</v>
      </c>
      <c r="O674" s="254" t="str">
        <f>IF(ISBLANK(INDEX('Policy Characteristics'!I:I,MATCH($C674,'Policy Characteristics'!$C:$C,0))),"",INDEX('Policy Characteristics'!I:I,MATCH($C674,'Policy Characteristics'!$C:$C,0)))</f>
        <v>% of fuel shifted</v>
      </c>
      <c r="P674" s="254"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4" t="str">
        <f>IF(ISBLANK(INDEX('Policy Characteristics'!K:K,MATCH($C674,'Policy Characteristics'!$C:$C,0))),"",INDEX('Policy Characteristics'!K:K,MATCH($C674,'Policy Characteristics'!$C:$C,0)))</f>
        <v>industry-ag-main.html#fuel-switching</v>
      </c>
      <c r="R674" s="254" t="str">
        <f>IF(ISBLANK(INDEX('Policy Characteristics'!L:L,MATCH($C674,'Policy Characteristics'!$C:$C,0))),"",INDEX('Policy Characteristics'!L:L,MATCH($C674,'Policy Characteristics'!$C:$C,0)))</f>
        <v>industry-elec-and-hydrogen.html</v>
      </c>
    </row>
    <row r="675" spans="1:18" x14ac:dyDescent="0.3">
      <c r="A675" s="254" t="str">
        <f>IF(ISBLANK(INDEX('Policy Characteristics'!A:A,MATCH($C675,'Policy Characteristics'!$C:$C,0))),"",INDEX('Policy Characteristics'!A:A,MATCH($C675,'Policy Characteristics'!$C:$C,0)))</f>
        <v>Industry</v>
      </c>
      <c r="B675" s="262" t="str">
        <f>IF(ISBLANK(INDEX('Policy Characteristics'!B:B,MATCH($C675,'Policy Characteristics'!$C:$C,0))),"",INDEX('Policy Characteristics'!B:B,MATCH($C675,'Policy Characteristics'!$C:$C,0)))</f>
        <v>Electrification</v>
      </c>
      <c r="C675" s="254" t="str">
        <f t="shared" si="36"/>
        <v>Fraction of Eligible Industrial Energy Use Shifted to Electricity</v>
      </c>
      <c r="D675" s="6" t="s">
        <v>3066</v>
      </c>
      <c r="E675" s="1" t="s">
        <v>3520</v>
      </c>
      <c r="F675" t="s">
        <v>3030</v>
      </c>
      <c r="G675" s="45" t="s">
        <v>3527</v>
      </c>
      <c r="H675" s="43">
        <v>1879</v>
      </c>
      <c r="I675" s="324" t="s">
        <v>43</v>
      </c>
      <c r="J675" s="255" t="str">
        <f>IF(ISBLANK(INDEX('Policy Characteristics'!D:D,MATCH($C675,'Policy Characteristics'!$C:$C,0))),"",INDEX('Policy Characteristics'!D:D,MATCH($C675,'Policy Characteristics'!$C:$C,0)))</f>
        <v>Electrification</v>
      </c>
      <c r="K675" s="254" t="str">
        <f>IF(ISBLANK(INDEX('Policy Characteristics'!E:E,MATCH($C675,'Policy Characteristics'!$C:$C,0))),"",INDEX('Policy Characteristics'!E:E,MATCH($C675,'Policy Characteristics'!$C:$C,0)))</f>
        <v>indst shift to electricity</v>
      </c>
      <c r="L675" s="261">
        <f>IF(ISBLANK(INDEX('Policy Characteristics'!F:F,MATCH($C675,'Policy Characteristics'!$C:$C,0))),"",INDEX('Policy Characteristics'!F:F,MATCH($C675,'Policy Characteristics'!$C:$C,0)))</f>
        <v>0</v>
      </c>
      <c r="M675" s="261">
        <f>IF(ISBLANK(INDEX('Policy Characteristics'!G:G,MATCH($C675,'Policy Characteristics'!$C:$C,0))),"",INDEX('Policy Characteristics'!G:G,MATCH($C675,'Policy Characteristics'!$C:$C,0)))</f>
        <v>1</v>
      </c>
      <c r="N675" s="261">
        <f>IF(ISBLANK(INDEX('Policy Characteristics'!H:H,MATCH($C675,'Policy Characteristics'!$C:$C,0))),"",INDEX('Policy Characteristics'!H:H,MATCH($C675,'Policy Characteristics'!$C:$C,0)))</f>
        <v>0.01</v>
      </c>
      <c r="O675" s="254" t="str">
        <f>IF(ISBLANK(INDEX('Policy Characteristics'!I:I,MATCH($C675,'Policy Characteristics'!$C:$C,0))),"",INDEX('Policy Characteristics'!I:I,MATCH($C675,'Policy Characteristics'!$C:$C,0)))</f>
        <v>% of fuel shifted</v>
      </c>
      <c r="P675" s="254"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4" t="str">
        <f>IF(ISBLANK(INDEX('Policy Characteristics'!K:K,MATCH($C675,'Policy Characteristics'!$C:$C,0))),"",INDEX('Policy Characteristics'!K:K,MATCH($C675,'Policy Characteristics'!$C:$C,0)))</f>
        <v>industry-ag-main.html#fuel-switching</v>
      </c>
      <c r="R675" s="254" t="str">
        <f>IF(ISBLANK(INDEX('Policy Characteristics'!L:L,MATCH($C675,'Policy Characteristics'!$C:$C,0))),"",INDEX('Policy Characteristics'!L:L,MATCH($C675,'Policy Characteristics'!$C:$C,0)))</f>
        <v>industry-elec-and-hydrogen.html</v>
      </c>
    </row>
    <row r="676" spans="1:18" x14ac:dyDescent="0.3">
      <c r="A676" s="254" t="str">
        <f>IF(ISBLANK(INDEX('Policy Characteristics'!A:A,MATCH($C676,'Policy Characteristics'!$C:$C,0))),"",INDEX('Policy Characteristics'!A:A,MATCH($C676,'Policy Characteristics'!$C:$C,0)))</f>
        <v>Industry</v>
      </c>
      <c r="B676" s="262" t="str">
        <f>IF(ISBLANK(INDEX('Policy Characteristics'!B:B,MATCH($C676,'Policy Characteristics'!$C:$C,0))),"",INDEX('Policy Characteristics'!B:B,MATCH($C676,'Policy Characteristics'!$C:$C,0)))</f>
        <v>Electrification</v>
      </c>
      <c r="C676" s="254" t="str">
        <f t="shared" si="36"/>
        <v>Fraction of Eligible Industrial Energy Use Shifted to Electricity</v>
      </c>
      <c r="D676" s="6" t="s">
        <v>3066</v>
      </c>
      <c r="E676" s="1" t="s">
        <v>3521</v>
      </c>
      <c r="F676" t="s">
        <v>3030</v>
      </c>
      <c r="G676" s="45" t="s">
        <v>3528</v>
      </c>
      <c r="H676" s="43">
        <v>1880</v>
      </c>
      <c r="I676" s="324" t="s">
        <v>43</v>
      </c>
      <c r="J676" s="255" t="str">
        <f>IF(ISBLANK(INDEX('Policy Characteristics'!D:D,MATCH($C676,'Policy Characteristics'!$C:$C,0))),"",INDEX('Policy Characteristics'!D:D,MATCH($C676,'Policy Characteristics'!$C:$C,0)))</f>
        <v>Electrification</v>
      </c>
      <c r="K676" s="254" t="str">
        <f>IF(ISBLANK(INDEX('Policy Characteristics'!E:E,MATCH($C676,'Policy Characteristics'!$C:$C,0))),"",INDEX('Policy Characteristics'!E:E,MATCH($C676,'Policy Characteristics'!$C:$C,0)))</f>
        <v>indst shift to electricity</v>
      </c>
      <c r="L676" s="261">
        <f>IF(ISBLANK(INDEX('Policy Characteristics'!F:F,MATCH($C676,'Policy Characteristics'!$C:$C,0))),"",INDEX('Policy Characteristics'!F:F,MATCH($C676,'Policy Characteristics'!$C:$C,0)))</f>
        <v>0</v>
      </c>
      <c r="M676" s="261">
        <f>IF(ISBLANK(INDEX('Policy Characteristics'!G:G,MATCH($C676,'Policy Characteristics'!$C:$C,0))),"",INDEX('Policy Characteristics'!G:G,MATCH($C676,'Policy Characteristics'!$C:$C,0)))</f>
        <v>1</v>
      </c>
      <c r="N676" s="261">
        <f>IF(ISBLANK(INDEX('Policy Characteristics'!H:H,MATCH($C676,'Policy Characteristics'!$C:$C,0))),"",INDEX('Policy Characteristics'!H:H,MATCH($C676,'Policy Characteristics'!$C:$C,0)))</f>
        <v>0.01</v>
      </c>
      <c r="O676" s="254" t="str">
        <f>IF(ISBLANK(INDEX('Policy Characteristics'!I:I,MATCH($C676,'Policy Characteristics'!$C:$C,0))),"",INDEX('Policy Characteristics'!I:I,MATCH($C676,'Policy Characteristics'!$C:$C,0)))</f>
        <v>% of fuel shifted</v>
      </c>
      <c r="P676" s="254"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4" t="str">
        <f>IF(ISBLANK(INDEX('Policy Characteristics'!K:K,MATCH($C676,'Policy Characteristics'!$C:$C,0))),"",INDEX('Policy Characteristics'!K:K,MATCH($C676,'Policy Characteristics'!$C:$C,0)))</f>
        <v>industry-ag-main.html#fuel-switching</v>
      </c>
      <c r="R676" s="254" t="str">
        <f>IF(ISBLANK(INDEX('Policy Characteristics'!L:L,MATCH($C676,'Policy Characteristics'!$C:$C,0))),"",INDEX('Policy Characteristics'!L:L,MATCH($C676,'Policy Characteristics'!$C:$C,0)))</f>
        <v>industry-elec-and-hydrogen.html</v>
      </c>
    </row>
    <row r="677" spans="1:18" x14ac:dyDescent="0.3">
      <c r="A677" s="254" t="str">
        <f>IF(ISBLANK(INDEX('Policy Characteristics'!A:A,MATCH($C677,'Policy Characteristics'!$C:$C,0))),"",INDEX('Policy Characteristics'!A:A,MATCH($C677,'Policy Characteristics'!$C:$C,0)))</f>
        <v>Industry</v>
      </c>
      <c r="B677" s="262" t="str">
        <f>IF(ISBLANK(INDEX('Policy Characteristics'!B:B,MATCH($C677,'Policy Characteristics'!$C:$C,0))),"",INDEX('Policy Characteristics'!B:B,MATCH($C677,'Policy Characteristics'!$C:$C,0)))</f>
        <v>Electrification</v>
      </c>
      <c r="C677" s="254" t="str">
        <f t="shared" si="36"/>
        <v>Fraction of Eligible Industrial Energy Use Shifted to Electricity</v>
      </c>
      <c r="D677" s="6" t="s">
        <v>3066</v>
      </c>
      <c r="E677" s="1" t="s">
        <v>3671</v>
      </c>
      <c r="F677" t="s">
        <v>3030</v>
      </c>
      <c r="G677" s="45" t="s">
        <v>3671</v>
      </c>
      <c r="H677" s="43">
        <v>1881</v>
      </c>
      <c r="I677" s="324" t="s">
        <v>43</v>
      </c>
      <c r="J677" s="255" t="str">
        <f>IF(ISBLANK(INDEX('Policy Characteristics'!D:D,MATCH($C677,'Policy Characteristics'!$C:$C,0))),"",INDEX('Policy Characteristics'!D:D,MATCH($C677,'Policy Characteristics'!$C:$C,0)))</f>
        <v>Electrification</v>
      </c>
      <c r="K677" s="254" t="str">
        <f>IF(ISBLANK(INDEX('Policy Characteristics'!E:E,MATCH($C677,'Policy Characteristics'!$C:$C,0))),"",INDEX('Policy Characteristics'!E:E,MATCH($C677,'Policy Characteristics'!$C:$C,0)))</f>
        <v>indst shift to electricity</v>
      </c>
      <c r="L677" s="261">
        <f>IF(ISBLANK(INDEX('Policy Characteristics'!F:F,MATCH($C677,'Policy Characteristics'!$C:$C,0))),"",INDEX('Policy Characteristics'!F:F,MATCH($C677,'Policy Characteristics'!$C:$C,0)))</f>
        <v>0</v>
      </c>
      <c r="M677" s="261">
        <f>IF(ISBLANK(INDEX('Policy Characteristics'!G:G,MATCH($C677,'Policy Characteristics'!$C:$C,0))),"",INDEX('Policy Characteristics'!G:G,MATCH($C677,'Policy Characteristics'!$C:$C,0)))</f>
        <v>1</v>
      </c>
      <c r="N677" s="261">
        <f>IF(ISBLANK(INDEX('Policy Characteristics'!H:H,MATCH($C677,'Policy Characteristics'!$C:$C,0))),"",INDEX('Policy Characteristics'!H:H,MATCH($C677,'Policy Characteristics'!$C:$C,0)))</f>
        <v>0.01</v>
      </c>
      <c r="O677" s="254" t="str">
        <f>IF(ISBLANK(INDEX('Policy Characteristics'!I:I,MATCH($C677,'Policy Characteristics'!$C:$C,0))),"",INDEX('Policy Characteristics'!I:I,MATCH($C677,'Policy Characteristics'!$C:$C,0)))</f>
        <v>% of fuel shifted</v>
      </c>
      <c r="P677" s="254"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4" t="str">
        <f>IF(ISBLANK(INDEX('Policy Characteristics'!K:K,MATCH($C677,'Policy Characteristics'!$C:$C,0))),"",INDEX('Policy Characteristics'!K:K,MATCH($C677,'Policy Characteristics'!$C:$C,0)))</f>
        <v>industry-ag-main.html#fuel-switching</v>
      </c>
      <c r="R677" s="254" t="str">
        <f>IF(ISBLANK(INDEX('Policy Characteristics'!L:L,MATCH($C677,'Policy Characteristics'!$C:$C,0))),"",INDEX('Policy Characteristics'!L:L,MATCH($C677,'Policy Characteristics'!$C:$C,0)))</f>
        <v>industry-elec-and-hydrogen.html</v>
      </c>
    </row>
    <row r="678" spans="1:18" x14ac:dyDescent="0.3">
      <c r="A678" s="254" t="str">
        <f>IF(ISBLANK(INDEX('Policy Characteristics'!A:A,MATCH($C678,'Policy Characteristics'!$C:$C,0))),"",INDEX('Policy Characteristics'!A:A,MATCH($C678,'Policy Characteristics'!$C:$C,0)))</f>
        <v>Industry</v>
      </c>
      <c r="B678" s="262" t="str">
        <f>IF(ISBLANK(INDEX('Policy Characteristics'!B:B,MATCH($C678,'Policy Characteristics'!$C:$C,0))),"",INDEX('Policy Characteristics'!B:B,MATCH($C678,'Policy Characteristics'!$C:$C,0)))</f>
        <v>Electrification</v>
      </c>
      <c r="C678" s="254" t="str">
        <f t="shared" si="36"/>
        <v>Fraction of Eligible Industrial Energy Use Shifted to Electricity</v>
      </c>
      <c r="D678" s="6" t="s">
        <v>3067</v>
      </c>
      <c r="E678" s="1" t="s">
        <v>3515</v>
      </c>
      <c r="F678" t="s">
        <v>3031</v>
      </c>
      <c r="G678" s="45" t="s">
        <v>3522</v>
      </c>
      <c r="H678" s="43">
        <v>1882</v>
      </c>
      <c r="I678" s="324" t="s">
        <v>43</v>
      </c>
      <c r="J678" s="255" t="str">
        <f>IF(ISBLANK(INDEX('Policy Characteristics'!D:D,MATCH($C678,'Policy Characteristics'!$C:$C,0))),"",INDEX('Policy Characteristics'!D:D,MATCH($C678,'Policy Characteristics'!$C:$C,0)))</f>
        <v>Electrification</v>
      </c>
      <c r="K678" s="254" t="str">
        <f>IF(ISBLANK(INDEX('Policy Characteristics'!E:E,MATCH($C678,'Policy Characteristics'!$C:$C,0))),"",INDEX('Policy Characteristics'!E:E,MATCH($C678,'Policy Characteristics'!$C:$C,0)))</f>
        <v>indst shift to electricity</v>
      </c>
      <c r="L678" s="261">
        <f>IF(ISBLANK(INDEX('Policy Characteristics'!F:F,MATCH($C678,'Policy Characteristics'!$C:$C,0))),"",INDEX('Policy Characteristics'!F:F,MATCH($C678,'Policy Characteristics'!$C:$C,0)))</f>
        <v>0</v>
      </c>
      <c r="M678" s="261">
        <f>IF(ISBLANK(INDEX('Policy Characteristics'!G:G,MATCH($C678,'Policy Characteristics'!$C:$C,0))),"",INDEX('Policy Characteristics'!G:G,MATCH($C678,'Policy Characteristics'!$C:$C,0)))</f>
        <v>1</v>
      </c>
      <c r="N678" s="261">
        <f>IF(ISBLANK(INDEX('Policy Characteristics'!H:H,MATCH($C678,'Policy Characteristics'!$C:$C,0))),"",INDEX('Policy Characteristics'!H:H,MATCH($C678,'Policy Characteristics'!$C:$C,0)))</f>
        <v>0.01</v>
      </c>
      <c r="O678" s="254" t="str">
        <f>IF(ISBLANK(INDEX('Policy Characteristics'!I:I,MATCH($C678,'Policy Characteristics'!$C:$C,0))),"",INDEX('Policy Characteristics'!I:I,MATCH($C678,'Policy Characteristics'!$C:$C,0)))</f>
        <v>% of fuel shifted</v>
      </c>
      <c r="P678" s="254"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4" t="str">
        <f>IF(ISBLANK(INDEX('Policy Characteristics'!K:K,MATCH($C678,'Policy Characteristics'!$C:$C,0))),"",INDEX('Policy Characteristics'!K:K,MATCH($C678,'Policy Characteristics'!$C:$C,0)))</f>
        <v>industry-ag-main.html#fuel-switching</v>
      </c>
      <c r="R678" s="254" t="str">
        <f>IF(ISBLANK(INDEX('Policy Characteristics'!L:L,MATCH($C678,'Policy Characteristics'!$C:$C,0))),"",INDEX('Policy Characteristics'!L:L,MATCH($C678,'Policy Characteristics'!$C:$C,0)))</f>
        <v>industry-elec-and-hydrogen.html</v>
      </c>
    </row>
    <row r="679" spans="1:18" x14ac:dyDescent="0.3">
      <c r="A679" s="254" t="str">
        <f>IF(ISBLANK(INDEX('Policy Characteristics'!A:A,MATCH($C679,'Policy Characteristics'!$C:$C,0))),"",INDEX('Policy Characteristics'!A:A,MATCH($C679,'Policy Characteristics'!$C:$C,0)))</f>
        <v>Industry</v>
      </c>
      <c r="B679" s="262" t="str">
        <f>IF(ISBLANK(INDEX('Policy Characteristics'!B:B,MATCH($C679,'Policy Characteristics'!$C:$C,0))),"",INDEX('Policy Characteristics'!B:B,MATCH($C679,'Policy Characteristics'!$C:$C,0)))</f>
        <v>Electrification</v>
      </c>
      <c r="C679" s="254" t="str">
        <f t="shared" si="36"/>
        <v>Fraction of Eligible Industrial Energy Use Shifted to Electricity</v>
      </c>
      <c r="D679" s="6" t="s">
        <v>3067</v>
      </c>
      <c r="E679" s="1" t="s">
        <v>3516</v>
      </c>
      <c r="F679" t="s">
        <v>3031</v>
      </c>
      <c r="G679" s="45" t="s">
        <v>3523</v>
      </c>
      <c r="H679" s="43">
        <v>1883</v>
      </c>
      <c r="I679" s="324" t="s">
        <v>43</v>
      </c>
      <c r="J679" s="255" t="str">
        <f>IF(ISBLANK(INDEX('Policy Characteristics'!D:D,MATCH($C679,'Policy Characteristics'!$C:$C,0))),"",INDEX('Policy Characteristics'!D:D,MATCH($C679,'Policy Characteristics'!$C:$C,0)))</f>
        <v>Electrification</v>
      </c>
      <c r="K679" s="254" t="str">
        <f>IF(ISBLANK(INDEX('Policy Characteristics'!E:E,MATCH($C679,'Policy Characteristics'!$C:$C,0))),"",INDEX('Policy Characteristics'!E:E,MATCH($C679,'Policy Characteristics'!$C:$C,0)))</f>
        <v>indst shift to electricity</v>
      </c>
      <c r="L679" s="261">
        <f>IF(ISBLANK(INDEX('Policy Characteristics'!F:F,MATCH($C679,'Policy Characteristics'!$C:$C,0))),"",INDEX('Policy Characteristics'!F:F,MATCH($C679,'Policy Characteristics'!$C:$C,0)))</f>
        <v>0</v>
      </c>
      <c r="M679" s="261">
        <f>IF(ISBLANK(INDEX('Policy Characteristics'!G:G,MATCH($C679,'Policy Characteristics'!$C:$C,0))),"",INDEX('Policy Characteristics'!G:G,MATCH($C679,'Policy Characteristics'!$C:$C,0)))</f>
        <v>1</v>
      </c>
      <c r="N679" s="261">
        <f>IF(ISBLANK(INDEX('Policy Characteristics'!H:H,MATCH($C679,'Policy Characteristics'!$C:$C,0))),"",INDEX('Policy Characteristics'!H:H,MATCH($C679,'Policy Characteristics'!$C:$C,0)))</f>
        <v>0.01</v>
      </c>
      <c r="O679" s="254" t="str">
        <f>IF(ISBLANK(INDEX('Policy Characteristics'!I:I,MATCH($C679,'Policy Characteristics'!$C:$C,0))),"",INDEX('Policy Characteristics'!I:I,MATCH($C679,'Policy Characteristics'!$C:$C,0)))</f>
        <v>% of fuel shifted</v>
      </c>
      <c r="P679" s="254"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4" t="str">
        <f>IF(ISBLANK(INDEX('Policy Characteristics'!K:K,MATCH($C679,'Policy Characteristics'!$C:$C,0))),"",INDEX('Policy Characteristics'!K:K,MATCH($C679,'Policy Characteristics'!$C:$C,0)))</f>
        <v>industry-ag-main.html#fuel-switching</v>
      </c>
      <c r="R679" s="254" t="str">
        <f>IF(ISBLANK(INDEX('Policy Characteristics'!L:L,MATCH($C679,'Policy Characteristics'!$C:$C,0))),"",INDEX('Policy Characteristics'!L:L,MATCH($C679,'Policy Characteristics'!$C:$C,0)))</f>
        <v>industry-elec-and-hydrogen.html</v>
      </c>
    </row>
    <row r="680" spans="1:18" x14ac:dyDescent="0.3">
      <c r="A680" s="254" t="str">
        <f>IF(ISBLANK(INDEX('Policy Characteristics'!A:A,MATCH($C680,'Policy Characteristics'!$C:$C,0))),"",INDEX('Policy Characteristics'!A:A,MATCH($C680,'Policy Characteristics'!$C:$C,0)))</f>
        <v>Industry</v>
      </c>
      <c r="B680" s="262" t="str">
        <f>IF(ISBLANK(INDEX('Policy Characteristics'!B:B,MATCH($C680,'Policy Characteristics'!$C:$C,0))),"",INDEX('Policy Characteristics'!B:B,MATCH($C680,'Policy Characteristics'!$C:$C,0)))</f>
        <v>Electrification</v>
      </c>
      <c r="C680" s="254" t="str">
        <f t="shared" si="36"/>
        <v>Fraction of Eligible Industrial Energy Use Shifted to Electricity</v>
      </c>
      <c r="D680" s="6" t="s">
        <v>3067</v>
      </c>
      <c r="E680" s="1" t="s">
        <v>3517</v>
      </c>
      <c r="F680" t="s">
        <v>3031</v>
      </c>
      <c r="G680" s="45" t="s">
        <v>3524</v>
      </c>
      <c r="H680" s="43">
        <v>1884</v>
      </c>
      <c r="I680" s="324" t="s">
        <v>43</v>
      </c>
      <c r="J680" s="255" t="str">
        <f>IF(ISBLANK(INDEX('Policy Characteristics'!D:D,MATCH($C680,'Policy Characteristics'!$C:$C,0))),"",INDEX('Policy Characteristics'!D:D,MATCH($C680,'Policy Characteristics'!$C:$C,0)))</f>
        <v>Electrification</v>
      </c>
      <c r="K680" s="254" t="str">
        <f>IF(ISBLANK(INDEX('Policy Characteristics'!E:E,MATCH($C680,'Policy Characteristics'!$C:$C,0))),"",INDEX('Policy Characteristics'!E:E,MATCH($C680,'Policy Characteristics'!$C:$C,0)))</f>
        <v>indst shift to electricity</v>
      </c>
      <c r="L680" s="261">
        <f>IF(ISBLANK(INDEX('Policy Characteristics'!F:F,MATCH($C680,'Policy Characteristics'!$C:$C,0))),"",INDEX('Policy Characteristics'!F:F,MATCH($C680,'Policy Characteristics'!$C:$C,0)))</f>
        <v>0</v>
      </c>
      <c r="M680" s="261">
        <f>IF(ISBLANK(INDEX('Policy Characteristics'!G:G,MATCH($C680,'Policy Characteristics'!$C:$C,0))),"",INDEX('Policy Characteristics'!G:G,MATCH($C680,'Policy Characteristics'!$C:$C,0)))</f>
        <v>1</v>
      </c>
      <c r="N680" s="261">
        <f>IF(ISBLANK(INDEX('Policy Characteristics'!H:H,MATCH($C680,'Policy Characteristics'!$C:$C,0))),"",INDEX('Policy Characteristics'!H:H,MATCH($C680,'Policy Characteristics'!$C:$C,0)))</f>
        <v>0.01</v>
      </c>
      <c r="O680" s="254" t="str">
        <f>IF(ISBLANK(INDEX('Policy Characteristics'!I:I,MATCH($C680,'Policy Characteristics'!$C:$C,0))),"",INDEX('Policy Characteristics'!I:I,MATCH($C680,'Policy Characteristics'!$C:$C,0)))</f>
        <v>% of fuel shifted</v>
      </c>
      <c r="P680" s="254"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4" t="str">
        <f>IF(ISBLANK(INDEX('Policy Characteristics'!K:K,MATCH($C680,'Policy Characteristics'!$C:$C,0))),"",INDEX('Policy Characteristics'!K:K,MATCH($C680,'Policy Characteristics'!$C:$C,0)))</f>
        <v>industry-ag-main.html#fuel-switching</v>
      </c>
      <c r="R680" s="254" t="str">
        <f>IF(ISBLANK(INDEX('Policy Characteristics'!L:L,MATCH($C680,'Policy Characteristics'!$C:$C,0))),"",INDEX('Policy Characteristics'!L:L,MATCH($C680,'Policy Characteristics'!$C:$C,0)))</f>
        <v>industry-elec-and-hydrogen.html</v>
      </c>
    </row>
    <row r="681" spans="1:18" x14ac:dyDescent="0.3">
      <c r="A681" s="254" t="str">
        <f>IF(ISBLANK(INDEX('Policy Characteristics'!A:A,MATCH($C681,'Policy Characteristics'!$C:$C,0))),"",INDEX('Policy Characteristics'!A:A,MATCH($C681,'Policy Characteristics'!$C:$C,0)))</f>
        <v>Industry</v>
      </c>
      <c r="B681" s="262" t="str">
        <f>IF(ISBLANK(INDEX('Policy Characteristics'!B:B,MATCH($C681,'Policy Characteristics'!$C:$C,0))),"",INDEX('Policy Characteristics'!B:B,MATCH($C681,'Policy Characteristics'!$C:$C,0)))</f>
        <v>Electrification</v>
      </c>
      <c r="C681" s="254" t="str">
        <f t="shared" si="36"/>
        <v>Fraction of Eligible Industrial Energy Use Shifted to Electricity</v>
      </c>
      <c r="D681" s="6" t="s">
        <v>3067</v>
      </c>
      <c r="E681" s="1" t="s">
        <v>3518</v>
      </c>
      <c r="F681" t="s">
        <v>3031</v>
      </c>
      <c r="G681" s="45" t="s">
        <v>3525</v>
      </c>
      <c r="H681" s="43">
        <v>1885</v>
      </c>
      <c r="I681" s="324" t="s">
        <v>43</v>
      </c>
      <c r="J681" s="255" t="str">
        <f>IF(ISBLANK(INDEX('Policy Characteristics'!D:D,MATCH($C681,'Policy Characteristics'!$C:$C,0))),"",INDEX('Policy Characteristics'!D:D,MATCH($C681,'Policy Characteristics'!$C:$C,0)))</f>
        <v>Electrification</v>
      </c>
      <c r="K681" s="254" t="str">
        <f>IF(ISBLANK(INDEX('Policy Characteristics'!E:E,MATCH($C681,'Policy Characteristics'!$C:$C,0))),"",INDEX('Policy Characteristics'!E:E,MATCH($C681,'Policy Characteristics'!$C:$C,0)))</f>
        <v>indst shift to electricity</v>
      </c>
      <c r="L681" s="261">
        <f>IF(ISBLANK(INDEX('Policy Characteristics'!F:F,MATCH($C681,'Policy Characteristics'!$C:$C,0))),"",INDEX('Policy Characteristics'!F:F,MATCH($C681,'Policy Characteristics'!$C:$C,0)))</f>
        <v>0</v>
      </c>
      <c r="M681" s="261">
        <f>IF(ISBLANK(INDEX('Policy Characteristics'!G:G,MATCH($C681,'Policy Characteristics'!$C:$C,0))),"",INDEX('Policy Characteristics'!G:G,MATCH($C681,'Policy Characteristics'!$C:$C,0)))</f>
        <v>1</v>
      </c>
      <c r="N681" s="261">
        <f>IF(ISBLANK(INDEX('Policy Characteristics'!H:H,MATCH($C681,'Policy Characteristics'!$C:$C,0))),"",INDEX('Policy Characteristics'!H:H,MATCH($C681,'Policy Characteristics'!$C:$C,0)))</f>
        <v>0.01</v>
      </c>
      <c r="O681" s="254" t="str">
        <f>IF(ISBLANK(INDEX('Policy Characteristics'!I:I,MATCH($C681,'Policy Characteristics'!$C:$C,0))),"",INDEX('Policy Characteristics'!I:I,MATCH($C681,'Policy Characteristics'!$C:$C,0)))</f>
        <v>% of fuel shifted</v>
      </c>
      <c r="P681" s="254"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4" t="str">
        <f>IF(ISBLANK(INDEX('Policy Characteristics'!K:K,MATCH($C681,'Policy Characteristics'!$C:$C,0))),"",INDEX('Policy Characteristics'!K:K,MATCH($C681,'Policy Characteristics'!$C:$C,0)))</f>
        <v>industry-ag-main.html#fuel-switching</v>
      </c>
      <c r="R681" s="254" t="str">
        <f>IF(ISBLANK(INDEX('Policy Characteristics'!L:L,MATCH($C681,'Policy Characteristics'!$C:$C,0))),"",INDEX('Policy Characteristics'!L:L,MATCH($C681,'Policy Characteristics'!$C:$C,0)))</f>
        <v>industry-elec-and-hydrogen.html</v>
      </c>
    </row>
    <row r="682" spans="1:18" x14ac:dyDescent="0.3">
      <c r="A682" s="254" t="str">
        <f>IF(ISBLANK(INDEX('Policy Characteristics'!A:A,MATCH($C682,'Policy Characteristics'!$C:$C,0))),"",INDEX('Policy Characteristics'!A:A,MATCH($C682,'Policy Characteristics'!$C:$C,0)))</f>
        <v>Industry</v>
      </c>
      <c r="B682" s="262" t="str">
        <f>IF(ISBLANK(INDEX('Policy Characteristics'!B:B,MATCH($C682,'Policy Characteristics'!$C:$C,0))),"",INDEX('Policy Characteristics'!B:B,MATCH($C682,'Policy Characteristics'!$C:$C,0)))</f>
        <v>Electrification</v>
      </c>
      <c r="C682" s="254" t="str">
        <f t="shared" si="36"/>
        <v>Fraction of Eligible Industrial Energy Use Shifted to Electricity</v>
      </c>
      <c r="D682" s="6" t="s">
        <v>3067</v>
      </c>
      <c r="E682" s="1" t="s">
        <v>3519</v>
      </c>
      <c r="F682" t="s">
        <v>3031</v>
      </c>
      <c r="G682" s="45" t="s">
        <v>3526</v>
      </c>
      <c r="H682" s="43">
        <v>1886</v>
      </c>
      <c r="I682" s="324" t="s">
        <v>43</v>
      </c>
      <c r="J682" s="255" t="str">
        <f>IF(ISBLANK(INDEX('Policy Characteristics'!D:D,MATCH($C682,'Policy Characteristics'!$C:$C,0))),"",INDEX('Policy Characteristics'!D:D,MATCH($C682,'Policy Characteristics'!$C:$C,0)))</f>
        <v>Electrification</v>
      </c>
      <c r="K682" s="254" t="str">
        <f>IF(ISBLANK(INDEX('Policy Characteristics'!E:E,MATCH($C682,'Policy Characteristics'!$C:$C,0))),"",INDEX('Policy Characteristics'!E:E,MATCH($C682,'Policy Characteristics'!$C:$C,0)))</f>
        <v>indst shift to electricity</v>
      </c>
      <c r="L682" s="261">
        <f>IF(ISBLANK(INDEX('Policy Characteristics'!F:F,MATCH($C682,'Policy Characteristics'!$C:$C,0))),"",INDEX('Policy Characteristics'!F:F,MATCH($C682,'Policy Characteristics'!$C:$C,0)))</f>
        <v>0</v>
      </c>
      <c r="M682" s="261">
        <f>IF(ISBLANK(INDEX('Policy Characteristics'!G:G,MATCH($C682,'Policy Characteristics'!$C:$C,0))),"",INDEX('Policy Characteristics'!G:G,MATCH($C682,'Policy Characteristics'!$C:$C,0)))</f>
        <v>1</v>
      </c>
      <c r="N682" s="261">
        <f>IF(ISBLANK(INDEX('Policy Characteristics'!H:H,MATCH($C682,'Policy Characteristics'!$C:$C,0))),"",INDEX('Policy Characteristics'!H:H,MATCH($C682,'Policy Characteristics'!$C:$C,0)))</f>
        <v>0.01</v>
      </c>
      <c r="O682" s="254" t="str">
        <f>IF(ISBLANK(INDEX('Policy Characteristics'!I:I,MATCH($C682,'Policy Characteristics'!$C:$C,0))),"",INDEX('Policy Characteristics'!I:I,MATCH($C682,'Policy Characteristics'!$C:$C,0)))</f>
        <v>% of fuel shifted</v>
      </c>
      <c r="P682" s="254"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4" t="str">
        <f>IF(ISBLANK(INDEX('Policy Characteristics'!K:K,MATCH($C682,'Policy Characteristics'!$C:$C,0))),"",INDEX('Policy Characteristics'!K:K,MATCH($C682,'Policy Characteristics'!$C:$C,0)))</f>
        <v>industry-ag-main.html#fuel-switching</v>
      </c>
      <c r="R682" s="254" t="str">
        <f>IF(ISBLANK(INDEX('Policy Characteristics'!L:L,MATCH($C682,'Policy Characteristics'!$C:$C,0))),"",INDEX('Policy Characteristics'!L:L,MATCH($C682,'Policy Characteristics'!$C:$C,0)))</f>
        <v>industry-elec-and-hydrogen.html</v>
      </c>
    </row>
    <row r="683" spans="1:18" x14ac:dyDescent="0.3">
      <c r="A683" s="254" t="str">
        <f>IF(ISBLANK(INDEX('Policy Characteristics'!A:A,MATCH($C683,'Policy Characteristics'!$C:$C,0))),"",INDEX('Policy Characteristics'!A:A,MATCH($C683,'Policy Characteristics'!$C:$C,0)))</f>
        <v>Industry</v>
      </c>
      <c r="B683" s="262" t="str">
        <f>IF(ISBLANK(INDEX('Policy Characteristics'!B:B,MATCH($C683,'Policy Characteristics'!$C:$C,0))),"",INDEX('Policy Characteristics'!B:B,MATCH($C683,'Policy Characteristics'!$C:$C,0)))</f>
        <v>Electrification</v>
      </c>
      <c r="C683" s="254" t="str">
        <f t="shared" si="36"/>
        <v>Fraction of Eligible Industrial Energy Use Shifted to Electricity</v>
      </c>
      <c r="D683" s="6" t="s">
        <v>3067</v>
      </c>
      <c r="E683" s="1" t="s">
        <v>3520</v>
      </c>
      <c r="F683" t="s">
        <v>3031</v>
      </c>
      <c r="G683" s="45" t="s">
        <v>3527</v>
      </c>
      <c r="H683" s="43">
        <v>1887</v>
      </c>
      <c r="I683" s="324" t="s">
        <v>43</v>
      </c>
      <c r="J683" s="255" t="str">
        <f>IF(ISBLANK(INDEX('Policy Characteristics'!D:D,MATCH($C683,'Policy Characteristics'!$C:$C,0))),"",INDEX('Policy Characteristics'!D:D,MATCH($C683,'Policy Characteristics'!$C:$C,0)))</f>
        <v>Electrification</v>
      </c>
      <c r="K683" s="254" t="str">
        <f>IF(ISBLANK(INDEX('Policy Characteristics'!E:E,MATCH($C683,'Policy Characteristics'!$C:$C,0))),"",INDEX('Policy Characteristics'!E:E,MATCH($C683,'Policy Characteristics'!$C:$C,0)))</f>
        <v>indst shift to electricity</v>
      </c>
      <c r="L683" s="261">
        <f>IF(ISBLANK(INDEX('Policy Characteristics'!F:F,MATCH($C683,'Policy Characteristics'!$C:$C,0))),"",INDEX('Policy Characteristics'!F:F,MATCH($C683,'Policy Characteristics'!$C:$C,0)))</f>
        <v>0</v>
      </c>
      <c r="M683" s="261">
        <f>IF(ISBLANK(INDEX('Policy Characteristics'!G:G,MATCH($C683,'Policy Characteristics'!$C:$C,0))),"",INDEX('Policy Characteristics'!G:G,MATCH($C683,'Policy Characteristics'!$C:$C,0)))</f>
        <v>1</v>
      </c>
      <c r="N683" s="261">
        <f>IF(ISBLANK(INDEX('Policy Characteristics'!H:H,MATCH($C683,'Policy Characteristics'!$C:$C,0))),"",INDEX('Policy Characteristics'!H:H,MATCH($C683,'Policy Characteristics'!$C:$C,0)))</f>
        <v>0.01</v>
      </c>
      <c r="O683" s="254" t="str">
        <f>IF(ISBLANK(INDEX('Policy Characteristics'!I:I,MATCH($C683,'Policy Characteristics'!$C:$C,0))),"",INDEX('Policy Characteristics'!I:I,MATCH($C683,'Policy Characteristics'!$C:$C,0)))</f>
        <v>% of fuel shifted</v>
      </c>
      <c r="P683" s="254"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4" t="str">
        <f>IF(ISBLANK(INDEX('Policy Characteristics'!K:K,MATCH($C683,'Policy Characteristics'!$C:$C,0))),"",INDEX('Policy Characteristics'!K:K,MATCH($C683,'Policy Characteristics'!$C:$C,0)))</f>
        <v>industry-ag-main.html#fuel-switching</v>
      </c>
      <c r="R683" s="254" t="str">
        <f>IF(ISBLANK(INDEX('Policy Characteristics'!L:L,MATCH($C683,'Policy Characteristics'!$C:$C,0))),"",INDEX('Policy Characteristics'!L:L,MATCH($C683,'Policy Characteristics'!$C:$C,0)))</f>
        <v>industry-elec-and-hydrogen.html</v>
      </c>
    </row>
    <row r="684" spans="1:18" x14ac:dyDescent="0.3">
      <c r="A684" s="254" t="str">
        <f>IF(ISBLANK(INDEX('Policy Characteristics'!A:A,MATCH($C684,'Policy Characteristics'!$C:$C,0))),"",INDEX('Policy Characteristics'!A:A,MATCH($C684,'Policy Characteristics'!$C:$C,0)))</f>
        <v>Industry</v>
      </c>
      <c r="B684" s="262" t="str">
        <f>IF(ISBLANK(INDEX('Policy Characteristics'!B:B,MATCH($C684,'Policy Characteristics'!$C:$C,0))),"",INDEX('Policy Characteristics'!B:B,MATCH($C684,'Policy Characteristics'!$C:$C,0)))</f>
        <v>Electrification</v>
      </c>
      <c r="C684" s="254" t="str">
        <f t="shared" si="36"/>
        <v>Fraction of Eligible Industrial Energy Use Shifted to Electricity</v>
      </c>
      <c r="D684" s="6" t="s">
        <v>3067</v>
      </c>
      <c r="E684" s="1" t="s">
        <v>3521</v>
      </c>
      <c r="F684" t="s">
        <v>3031</v>
      </c>
      <c r="G684" s="45" t="s">
        <v>3528</v>
      </c>
      <c r="H684" s="43">
        <v>1888</v>
      </c>
      <c r="I684" s="324" t="s">
        <v>43</v>
      </c>
      <c r="J684" s="255" t="str">
        <f>IF(ISBLANK(INDEX('Policy Characteristics'!D:D,MATCH($C684,'Policy Characteristics'!$C:$C,0))),"",INDEX('Policy Characteristics'!D:D,MATCH($C684,'Policy Characteristics'!$C:$C,0)))</f>
        <v>Electrification</v>
      </c>
      <c r="K684" s="254" t="str">
        <f>IF(ISBLANK(INDEX('Policy Characteristics'!E:E,MATCH($C684,'Policy Characteristics'!$C:$C,0))),"",INDEX('Policy Characteristics'!E:E,MATCH($C684,'Policy Characteristics'!$C:$C,0)))</f>
        <v>indst shift to electricity</v>
      </c>
      <c r="L684" s="261">
        <f>IF(ISBLANK(INDEX('Policy Characteristics'!F:F,MATCH($C684,'Policy Characteristics'!$C:$C,0))),"",INDEX('Policy Characteristics'!F:F,MATCH($C684,'Policy Characteristics'!$C:$C,0)))</f>
        <v>0</v>
      </c>
      <c r="M684" s="261">
        <f>IF(ISBLANK(INDEX('Policy Characteristics'!G:G,MATCH($C684,'Policy Characteristics'!$C:$C,0))),"",INDEX('Policy Characteristics'!G:G,MATCH($C684,'Policy Characteristics'!$C:$C,0)))</f>
        <v>1</v>
      </c>
      <c r="N684" s="261">
        <f>IF(ISBLANK(INDEX('Policy Characteristics'!H:H,MATCH($C684,'Policy Characteristics'!$C:$C,0))),"",INDEX('Policy Characteristics'!H:H,MATCH($C684,'Policy Characteristics'!$C:$C,0)))</f>
        <v>0.01</v>
      </c>
      <c r="O684" s="254" t="str">
        <f>IF(ISBLANK(INDEX('Policy Characteristics'!I:I,MATCH($C684,'Policy Characteristics'!$C:$C,0))),"",INDEX('Policy Characteristics'!I:I,MATCH($C684,'Policy Characteristics'!$C:$C,0)))</f>
        <v>% of fuel shifted</v>
      </c>
      <c r="P684" s="254"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4" t="str">
        <f>IF(ISBLANK(INDEX('Policy Characteristics'!K:K,MATCH($C684,'Policy Characteristics'!$C:$C,0))),"",INDEX('Policy Characteristics'!K:K,MATCH($C684,'Policy Characteristics'!$C:$C,0)))</f>
        <v>industry-ag-main.html#fuel-switching</v>
      </c>
      <c r="R684" s="254" t="str">
        <f>IF(ISBLANK(INDEX('Policy Characteristics'!L:L,MATCH($C684,'Policy Characteristics'!$C:$C,0))),"",INDEX('Policy Characteristics'!L:L,MATCH($C684,'Policy Characteristics'!$C:$C,0)))</f>
        <v>industry-elec-and-hydrogen.html</v>
      </c>
    </row>
    <row r="685" spans="1:18" x14ac:dyDescent="0.3">
      <c r="A685" s="254" t="str">
        <f>IF(ISBLANK(INDEX('Policy Characteristics'!A:A,MATCH($C685,'Policy Characteristics'!$C:$C,0))),"",INDEX('Policy Characteristics'!A:A,MATCH($C685,'Policy Characteristics'!$C:$C,0)))</f>
        <v>Industry</v>
      </c>
      <c r="B685" s="262" t="str">
        <f>IF(ISBLANK(INDEX('Policy Characteristics'!B:B,MATCH($C685,'Policy Characteristics'!$C:$C,0))),"",INDEX('Policy Characteristics'!B:B,MATCH($C685,'Policy Characteristics'!$C:$C,0)))</f>
        <v>Electrification</v>
      </c>
      <c r="C685" s="254" t="str">
        <f t="shared" si="36"/>
        <v>Fraction of Eligible Industrial Energy Use Shifted to Electricity</v>
      </c>
      <c r="D685" s="6" t="s">
        <v>3067</v>
      </c>
      <c r="E685" s="1" t="s">
        <v>3671</v>
      </c>
      <c r="F685" t="s">
        <v>3031</v>
      </c>
      <c r="G685" s="45" t="s">
        <v>3671</v>
      </c>
      <c r="H685" s="43">
        <v>1889</v>
      </c>
      <c r="I685" s="324" t="s">
        <v>43</v>
      </c>
      <c r="J685" s="255" t="str">
        <f>IF(ISBLANK(INDEX('Policy Characteristics'!D:D,MATCH($C685,'Policy Characteristics'!$C:$C,0))),"",INDEX('Policy Characteristics'!D:D,MATCH($C685,'Policy Characteristics'!$C:$C,0)))</f>
        <v>Electrification</v>
      </c>
      <c r="K685" s="254" t="str">
        <f>IF(ISBLANK(INDEX('Policy Characteristics'!E:E,MATCH($C685,'Policy Characteristics'!$C:$C,0))),"",INDEX('Policy Characteristics'!E:E,MATCH($C685,'Policy Characteristics'!$C:$C,0)))</f>
        <v>indst shift to electricity</v>
      </c>
      <c r="L685" s="261">
        <f>IF(ISBLANK(INDEX('Policy Characteristics'!F:F,MATCH($C685,'Policy Characteristics'!$C:$C,0))),"",INDEX('Policy Characteristics'!F:F,MATCH($C685,'Policy Characteristics'!$C:$C,0)))</f>
        <v>0</v>
      </c>
      <c r="M685" s="261">
        <f>IF(ISBLANK(INDEX('Policy Characteristics'!G:G,MATCH($C685,'Policy Characteristics'!$C:$C,0))),"",INDEX('Policy Characteristics'!G:G,MATCH($C685,'Policy Characteristics'!$C:$C,0)))</f>
        <v>1</v>
      </c>
      <c r="N685" s="261">
        <f>IF(ISBLANK(INDEX('Policy Characteristics'!H:H,MATCH($C685,'Policy Characteristics'!$C:$C,0))),"",INDEX('Policy Characteristics'!H:H,MATCH($C685,'Policy Characteristics'!$C:$C,0)))</f>
        <v>0.01</v>
      </c>
      <c r="O685" s="254" t="str">
        <f>IF(ISBLANK(INDEX('Policy Characteristics'!I:I,MATCH($C685,'Policy Characteristics'!$C:$C,0))),"",INDEX('Policy Characteristics'!I:I,MATCH($C685,'Policy Characteristics'!$C:$C,0)))</f>
        <v>% of fuel shifted</v>
      </c>
      <c r="P685" s="254"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4" t="str">
        <f>IF(ISBLANK(INDEX('Policy Characteristics'!K:K,MATCH($C685,'Policy Characteristics'!$C:$C,0))),"",INDEX('Policy Characteristics'!K:K,MATCH($C685,'Policy Characteristics'!$C:$C,0)))</f>
        <v>industry-ag-main.html#fuel-switching</v>
      </c>
      <c r="R685" s="254" t="str">
        <f>IF(ISBLANK(INDEX('Policy Characteristics'!L:L,MATCH($C685,'Policy Characteristics'!$C:$C,0))),"",INDEX('Policy Characteristics'!L:L,MATCH($C685,'Policy Characteristics'!$C:$C,0)))</f>
        <v>industry-elec-and-hydrogen.html</v>
      </c>
    </row>
    <row r="686" spans="1:18" x14ac:dyDescent="0.3">
      <c r="A686" s="254" t="str">
        <f>IF(ISBLANK(INDEX('Policy Characteristics'!A:A,MATCH($C686,'Policy Characteristics'!$C:$C,0))),"",INDEX('Policy Characteristics'!A:A,MATCH($C686,'Policy Characteristics'!$C:$C,0)))</f>
        <v>Industry</v>
      </c>
      <c r="B686" s="262" t="str">
        <f>IF(ISBLANK(INDEX('Policy Characteristics'!B:B,MATCH($C686,'Policy Characteristics'!$C:$C,0))),"",INDEX('Policy Characteristics'!B:B,MATCH($C686,'Policy Characteristics'!$C:$C,0)))</f>
        <v>Electrification</v>
      </c>
      <c r="C686" s="254" t="str">
        <f t="shared" si="36"/>
        <v>Fraction of Eligible Industrial Energy Use Shifted to Electricity</v>
      </c>
      <c r="D686" s="6" t="s">
        <v>3068</v>
      </c>
      <c r="E686" s="1" t="s">
        <v>3515</v>
      </c>
      <c r="F686" t="s">
        <v>3032</v>
      </c>
      <c r="G686" s="45" t="s">
        <v>3522</v>
      </c>
      <c r="H686" s="43">
        <v>1890</v>
      </c>
      <c r="I686" s="324" t="s">
        <v>43</v>
      </c>
      <c r="J686" s="255" t="str">
        <f>IF(ISBLANK(INDEX('Policy Characteristics'!D:D,MATCH($C686,'Policy Characteristics'!$C:$C,0))),"",INDEX('Policy Characteristics'!D:D,MATCH($C686,'Policy Characteristics'!$C:$C,0)))</f>
        <v>Electrification</v>
      </c>
      <c r="K686" s="254" t="str">
        <f>IF(ISBLANK(INDEX('Policy Characteristics'!E:E,MATCH($C686,'Policy Characteristics'!$C:$C,0))),"",INDEX('Policy Characteristics'!E:E,MATCH($C686,'Policy Characteristics'!$C:$C,0)))</f>
        <v>indst shift to electricity</v>
      </c>
      <c r="L686" s="261">
        <f>IF(ISBLANK(INDEX('Policy Characteristics'!F:F,MATCH($C686,'Policy Characteristics'!$C:$C,0))),"",INDEX('Policy Characteristics'!F:F,MATCH($C686,'Policy Characteristics'!$C:$C,0)))</f>
        <v>0</v>
      </c>
      <c r="M686" s="261">
        <f>IF(ISBLANK(INDEX('Policy Characteristics'!G:G,MATCH($C686,'Policy Characteristics'!$C:$C,0))),"",INDEX('Policy Characteristics'!G:G,MATCH($C686,'Policy Characteristics'!$C:$C,0)))</f>
        <v>1</v>
      </c>
      <c r="N686" s="261">
        <f>IF(ISBLANK(INDEX('Policy Characteristics'!H:H,MATCH($C686,'Policy Characteristics'!$C:$C,0))),"",INDEX('Policy Characteristics'!H:H,MATCH($C686,'Policy Characteristics'!$C:$C,0)))</f>
        <v>0.01</v>
      </c>
      <c r="O686" s="254" t="str">
        <f>IF(ISBLANK(INDEX('Policy Characteristics'!I:I,MATCH($C686,'Policy Characteristics'!$C:$C,0))),"",INDEX('Policy Characteristics'!I:I,MATCH($C686,'Policy Characteristics'!$C:$C,0)))</f>
        <v>% of fuel shifted</v>
      </c>
      <c r="P686" s="254"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4" t="str">
        <f>IF(ISBLANK(INDEX('Policy Characteristics'!K:K,MATCH($C686,'Policy Characteristics'!$C:$C,0))),"",INDEX('Policy Characteristics'!K:K,MATCH($C686,'Policy Characteristics'!$C:$C,0)))</f>
        <v>industry-ag-main.html#fuel-switching</v>
      </c>
      <c r="R686" s="254" t="str">
        <f>IF(ISBLANK(INDEX('Policy Characteristics'!L:L,MATCH($C686,'Policy Characteristics'!$C:$C,0))),"",INDEX('Policy Characteristics'!L:L,MATCH($C686,'Policy Characteristics'!$C:$C,0)))</f>
        <v>industry-elec-and-hydrogen.html</v>
      </c>
    </row>
    <row r="687" spans="1:18" x14ac:dyDescent="0.3">
      <c r="A687" s="254" t="str">
        <f>IF(ISBLANK(INDEX('Policy Characteristics'!A:A,MATCH($C687,'Policy Characteristics'!$C:$C,0))),"",INDEX('Policy Characteristics'!A:A,MATCH($C687,'Policy Characteristics'!$C:$C,0)))</f>
        <v>Industry</v>
      </c>
      <c r="B687" s="262" t="str">
        <f>IF(ISBLANK(INDEX('Policy Characteristics'!B:B,MATCH($C687,'Policy Characteristics'!$C:$C,0))),"",INDEX('Policy Characteristics'!B:B,MATCH($C687,'Policy Characteristics'!$C:$C,0)))</f>
        <v>Electrification</v>
      </c>
      <c r="C687" s="254" t="str">
        <f t="shared" si="36"/>
        <v>Fraction of Eligible Industrial Energy Use Shifted to Electricity</v>
      </c>
      <c r="D687" s="6" t="s">
        <v>3068</v>
      </c>
      <c r="E687" s="1" t="s">
        <v>3516</v>
      </c>
      <c r="F687" t="s">
        <v>3032</v>
      </c>
      <c r="G687" s="45" t="s">
        <v>3523</v>
      </c>
      <c r="H687" s="43">
        <v>1891</v>
      </c>
      <c r="I687" s="324" t="s">
        <v>43</v>
      </c>
      <c r="J687" s="255" t="str">
        <f>IF(ISBLANK(INDEX('Policy Characteristics'!D:D,MATCH($C687,'Policy Characteristics'!$C:$C,0))),"",INDEX('Policy Characteristics'!D:D,MATCH($C687,'Policy Characteristics'!$C:$C,0)))</f>
        <v>Electrification</v>
      </c>
      <c r="K687" s="254" t="str">
        <f>IF(ISBLANK(INDEX('Policy Characteristics'!E:E,MATCH($C687,'Policy Characteristics'!$C:$C,0))),"",INDEX('Policy Characteristics'!E:E,MATCH($C687,'Policy Characteristics'!$C:$C,0)))</f>
        <v>indst shift to electricity</v>
      </c>
      <c r="L687" s="261">
        <f>IF(ISBLANK(INDEX('Policy Characteristics'!F:F,MATCH($C687,'Policy Characteristics'!$C:$C,0))),"",INDEX('Policy Characteristics'!F:F,MATCH($C687,'Policy Characteristics'!$C:$C,0)))</f>
        <v>0</v>
      </c>
      <c r="M687" s="261">
        <f>IF(ISBLANK(INDEX('Policy Characteristics'!G:G,MATCH($C687,'Policy Characteristics'!$C:$C,0))),"",INDEX('Policy Characteristics'!G:G,MATCH($C687,'Policy Characteristics'!$C:$C,0)))</f>
        <v>1</v>
      </c>
      <c r="N687" s="261">
        <f>IF(ISBLANK(INDEX('Policy Characteristics'!H:H,MATCH($C687,'Policy Characteristics'!$C:$C,0))),"",INDEX('Policy Characteristics'!H:H,MATCH($C687,'Policy Characteristics'!$C:$C,0)))</f>
        <v>0.01</v>
      </c>
      <c r="O687" s="254" t="str">
        <f>IF(ISBLANK(INDEX('Policy Characteristics'!I:I,MATCH($C687,'Policy Characteristics'!$C:$C,0))),"",INDEX('Policy Characteristics'!I:I,MATCH($C687,'Policy Characteristics'!$C:$C,0)))</f>
        <v>% of fuel shifted</v>
      </c>
      <c r="P687" s="254"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4" t="str">
        <f>IF(ISBLANK(INDEX('Policy Characteristics'!K:K,MATCH($C687,'Policy Characteristics'!$C:$C,0))),"",INDEX('Policy Characteristics'!K:K,MATCH($C687,'Policy Characteristics'!$C:$C,0)))</f>
        <v>industry-ag-main.html#fuel-switching</v>
      </c>
      <c r="R687" s="254" t="str">
        <f>IF(ISBLANK(INDEX('Policy Characteristics'!L:L,MATCH($C687,'Policy Characteristics'!$C:$C,0))),"",INDEX('Policy Characteristics'!L:L,MATCH($C687,'Policy Characteristics'!$C:$C,0)))</f>
        <v>industry-elec-and-hydrogen.html</v>
      </c>
    </row>
    <row r="688" spans="1:18" x14ac:dyDescent="0.3">
      <c r="A688" s="254" t="str">
        <f>IF(ISBLANK(INDEX('Policy Characteristics'!A:A,MATCH($C688,'Policy Characteristics'!$C:$C,0))),"",INDEX('Policy Characteristics'!A:A,MATCH($C688,'Policy Characteristics'!$C:$C,0)))</f>
        <v>Industry</v>
      </c>
      <c r="B688" s="262" t="str">
        <f>IF(ISBLANK(INDEX('Policy Characteristics'!B:B,MATCH($C688,'Policy Characteristics'!$C:$C,0))),"",INDEX('Policy Characteristics'!B:B,MATCH($C688,'Policy Characteristics'!$C:$C,0)))</f>
        <v>Electrification</v>
      </c>
      <c r="C688" s="254" t="str">
        <f t="shared" si="36"/>
        <v>Fraction of Eligible Industrial Energy Use Shifted to Electricity</v>
      </c>
      <c r="D688" s="6" t="s">
        <v>3068</v>
      </c>
      <c r="E688" s="1" t="s">
        <v>3517</v>
      </c>
      <c r="F688" t="s">
        <v>3032</v>
      </c>
      <c r="G688" s="45" t="s">
        <v>3524</v>
      </c>
      <c r="H688" s="43">
        <v>1892</v>
      </c>
      <c r="I688" s="324" t="s">
        <v>43</v>
      </c>
      <c r="J688" s="255" t="str">
        <f>IF(ISBLANK(INDEX('Policy Characteristics'!D:D,MATCH($C688,'Policy Characteristics'!$C:$C,0))),"",INDEX('Policy Characteristics'!D:D,MATCH($C688,'Policy Characteristics'!$C:$C,0)))</f>
        <v>Electrification</v>
      </c>
      <c r="K688" s="254" t="str">
        <f>IF(ISBLANK(INDEX('Policy Characteristics'!E:E,MATCH($C688,'Policy Characteristics'!$C:$C,0))),"",INDEX('Policy Characteristics'!E:E,MATCH($C688,'Policy Characteristics'!$C:$C,0)))</f>
        <v>indst shift to electricity</v>
      </c>
      <c r="L688" s="261">
        <f>IF(ISBLANK(INDEX('Policy Characteristics'!F:F,MATCH($C688,'Policy Characteristics'!$C:$C,0))),"",INDEX('Policy Characteristics'!F:F,MATCH($C688,'Policy Characteristics'!$C:$C,0)))</f>
        <v>0</v>
      </c>
      <c r="M688" s="261">
        <f>IF(ISBLANK(INDEX('Policy Characteristics'!G:G,MATCH($C688,'Policy Characteristics'!$C:$C,0))),"",INDEX('Policy Characteristics'!G:G,MATCH($C688,'Policy Characteristics'!$C:$C,0)))</f>
        <v>1</v>
      </c>
      <c r="N688" s="261">
        <f>IF(ISBLANK(INDEX('Policy Characteristics'!H:H,MATCH($C688,'Policy Characteristics'!$C:$C,0))),"",INDEX('Policy Characteristics'!H:H,MATCH($C688,'Policy Characteristics'!$C:$C,0)))</f>
        <v>0.01</v>
      </c>
      <c r="O688" s="254" t="str">
        <f>IF(ISBLANK(INDEX('Policy Characteristics'!I:I,MATCH($C688,'Policy Characteristics'!$C:$C,0))),"",INDEX('Policy Characteristics'!I:I,MATCH($C688,'Policy Characteristics'!$C:$C,0)))</f>
        <v>% of fuel shifted</v>
      </c>
      <c r="P688" s="254"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4" t="str">
        <f>IF(ISBLANK(INDEX('Policy Characteristics'!K:K,MATCH($C688,'Policy Characteristics'!$C:$C,0))),"",INDEX('Policy Characteristics'!K:K,MATCH($C688,'Policy Characteristics'!$C:$C,0)))</f>
        <v>industry-ag-main.html#fuel-switching</v>
      </c>
      <c r="R688" s="254" t="str">
        <f>IF(ISBLANK(INDEX('Policy Characteristics'!L:L,MATCH($C688,'Policy Characteristics'!$C:$C,0))),"",INDEX('Policy Characteristics'!L:L,MATCH($C688,'Policy Characteristics'!$C:$C,0)))</f>
        <v>industry-elec-and-hydrogen.html</v>
      </c>
    </row>
    <row r="689" spans="1:18" x14ac:dyDescent="0.3">
      <c r="A689" s="254" t="str">
        <f>IF(ISBLANK(INDEX('Policy Characteristics'!A:A,MATCH($C689,'Policy Characteristics'!$C:$C,0))),"",INDEX('Policy Characteristics'!A:A,MATCH($C689,'Policy Characteristics'!$C:$C,0)))</f>
        <v>Industry</v>
      </c>
      <c r="B689" s="262" t="str">
        <f>IF(ISBLANK(INDEX('Policy Characteristics'!B:B,MATCH($C689,'Policy Characteristics'!$C:$C,0))),"",INDEX('Policy Characteristics'!B:B,MATCH($C689,'Policy Characteristics'!$C:$C,0)))</f>
        <v>Electrification</v>
      </c>
      <c r="C689" s="254" t="str">
        <f t="shared" si="36"/>
        <v>Fraction of Eligible Industrial Energy Use Shifted to Electricity</v>
      </c>
      <c r="D689" s="6" t="s">
        <v>3068</v>
      </c>
      <c r="E689" s="1" t="s">
        <v>3518</v>
      </c>
      <c r="F689" t="s">
        <v>3032</v>
      </c>
      <c r="G689" s="45" t="s">
        <v>3525</v>
      </c>
      <c r="H689" s="43">
        <v>1893</v>
      </c>
      <c r="I689" s="324" t="s">
        <v>43</v>
      </c>
      <c r="J689" s="255" t="str">
        <f>IF(ISBLANK(INDEX('Policy Characteristics'!D:D,MATCH($C689,'Policy Characteristics'!$C:$C,0))),"",INDEX('Policy Characteristics'!D:D,MATCH($C689,'Policy Characteristics'!$C:$C,0)))</f>
        <v>Electrification</v>
      </c>
      <c r="K689" s="254" t="str">
        <f>IF(ISBLANK(INDEX('Policy Characteristics'!E:E,MATCH($C689,'Policy Characteristics'!$C:$C,0))),"",INDEX('Policy Characteristics'!E:E,MATCH($C689,'Policy Characteristics'!$C:$C,0)))</f>
        <v>indst shift to electricity</v>
      </c>
      <c r="L689" s="261">
        <f>IF(ISBLANK(INDEX('Policy Characteristics'!F:F,MATCH($C689,'Policy Characteristics'!$C:$C,0))),"",INDEX('Policy Characteristics'!F:F,MATCH($C689,'Policy Characteristics'!$C:$C,0)))</f>
        <v>0</v>
      </c>
      <c r="M689" s="261">
        <f>IF(ISBLANK(INDEX('Policy Characteristics'!G:G,MATCH($C689,'Policy Characteristics'!$C:$C,0))),"",INDEX('Policy Characteristics'!G:G,MATCH($C689,'Policy Characteristics'!$C:$C,0)))</f>
        <v>1</v>
      </c>
      <c r="N689" s="261">
        <f>IF(ISBLANK(INDEX('Policy Characteristics'!H:H,MATCH($C689,'Policy Characteristics'!$C:$C,0))),"",INDEX('Policy Characteristics'!H:H,MATCH($C689,'Policy Characteristics'!$C:$C,0)))</f>
        <v>0.01</v>
      </c>
      <c r="O689" s="254" t="str">
        <f>IF(ISBLANK(INDEX('Policy Characteristics'!I:I,MATCH($C689,'Policy Characteristics'!$C:$C,0))),"",INDEX('Policy Characteristics'!I:I,MATCH($C689,'Policy Characteristics'!$C:$C,0)))</f>
        <v>% of fuel shifted</v>
      </c>
      <c r="P689" s="254"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4" t="str">
        <f>IF(ISBLANK(INDEX('Policy Characteristics'!K:K,MATCH($C689,'Policy Characteristics'!$C:$C,0))),"",INDEX('Policy Characteristics'!K:K,MATCH($C689,'Policy Characteristics'!$C:$C,0)))</f>
        <v>industry-ag-main.html#fuel-switching</v>
      </c>
      <c r="R689" s="254" t="str">
        <f>IF(ISBLANK(INDEX('Policy Characteristics'!L:L,MATCH($C689,'Policy Characteristics'!$C:$C,0))),"",INDEX('Policy Characteristics'!L:L,MATCH($C689,'Policy Characteristics'!$C:$C,0)))</f>
        <v>industry-elec-and-hydrogen.html</v>
      </c>
    </row>
    <row r="690" spans="1:18" x14ac:dyDescent="0.3">
      <c r="A690" s="254" t="str">
        <f>IF(ISBLANK(INDEX('Policy Characteristics'!A:A,MATCH($C690,'Policy Characteristics'!$C:$C,0))),"",INDEX('Policy Characteristics'!A:A,MATCH($C690,'Policy Characteristics'!$C:$C,0)))</f>
        <v>Industry</v>
      </c>
      <c r="B690" s="262" t="str">
        <f>IF(ISBLANK(INDEX('Policy Characteristics'!B:B,MATCH($C690,'Policy Characteristics'!$C:$C,0))),"",INDEX('Policy Characteristics'!B:B,MATCH($C690,'Policy Characteristics'!$C:$C,0)))</f>
        <v>Electrification</v>
      </c>
      <c r="C690" s="254" t="str">
        <f t="shared" si="36"/>
        <v>Fraction of Eligible Industrial Energy Use Shifted to Electricity</v>
      </c>
      <c r="D690" s="6" t="s">
        <v>3068</v>
      </c>
      <c r="E690" s="1" t="s">
        <v>3519</v>
      </c>
      <c r="F690" t="s">
        <v>3032</v>
      </c>
      <c r="G690" s="45" t="s">
        <v>3526</v>
      </c>
      <c r="H690" s="43">
        <v>1894</v>
      </c>
      <c r="I690" s="324" t="s">
        <v>43</v>
      </c>
      <c r="J690" s="255" t="str">
        <f>IF(ISBLANK(INDEX('Policy Characteristics'!D:D,MATCH($C690,'Policy Characteristics'!$C:$C,0))),"",INDEX('Policy Characteristics'!D:D,MATCH($C690,'Policy Characteristics'!$C:$C,0)))</f>
        <v>Electrification</v>
      </c>
      <c r="K690" s="254" t="str">
        <f>IF(ISBLANK(INDEX('Policy Characteristics'!E:E,MATCH($C690,'Policy Characteristics'!$C:$C,0))),"",INDEX('Policy Characteristics'!E:E,MATCH($C690,'Policy Characteristics'!$C:$C,0)))</f>
        <v>indst shift to electricity</v>
      </c>
      <c r="L690" s="261">
        <f>IF(ISBLANK(INDEX('Policy Characteristics'!F:F,MATCH($C690,'Policy Characteristics'!$C:$C,0))),"",INDEX('Policy Characteristics'!F:F,MATCH($C690,'Policy Characteristics'!$C:$C,0)))</f>
        <v>0</v>
      </c>
      <c r="M690" s="261">
        <f>IF(ISBLANK(INDEX('Policy Characteristics'!G:G,MATCH($C690,'Policy Characteristics'!$C:$C,0))),"",INDEX('Policy Characteristics'!G:G,MATCH($C690,'Policy Characteristics'!$C:$C,0)))</f>
        <v>1</v>
      </c>
      <c r="N690" s="261">
        <f>IF(ISBLANK(INDEX('Policy Characteristics'!H:H,MATCH($C690,'Policy Characteristics'!$C:$C,0))),"",INDEX('Policy Characteristics'!H:H,MATCH($C690,'Policy Characteristics'!$C:$C,0)))</f>
        <v>0.01</v>
      </c>
      <c r="O690" s="254" t="str">
        <f>IF(ISBLANK(INDEX('Policy Characteristics'!I:I,MATCH($C690,'Policy Characteristics'!$C:$C,0))),"",INDEX('Policy Characteristics'!I:I,MATCH($C690,'Policy Characteristics'!$C:$C,0)))</f>
        <v>% of fuel shifted</v>
      </c>
      <c r="P690" s="254"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4" t="str">
        <f>IF(ISBLANK(INDEX('Policy Characteristics'!K:K,MATCH($C690,'Policy Characteristics'!$C:$C,0))),"",INDEX('Policy Characteristics'!K:K,MATCH($C690,'Policy Characteristics'!$C:$C,0)))</f>
        <v>industry-ag-main.html#fuel-switching</v>
      </c>
      <c r="R690" s="254" t="str">
        <f>IF(ISBLANK(INDEX('Policy Characteristics'!L:L,MATCH($C690,'Policy Characteristics'!$C:$C,0))),"",INDEX('Policy Characteristics'!L:L,MATCH($C690,'Policy Characteristics'!$C:$C,0)))</f>
        <v>industry-elec-and-hydrogen.html</v>
      </c>
    </row>
    <row r="691" spans="1:18" x14ac:dyDescent="0.3">
      <c r="A691" s="254" t="str">
        <f>IF(ISBLANK(INDEX('Policy Characteristics'!A:A,MATCH($C691,'Policy Characteristics'!$C:$C,0))),"",INDEX('Policy Characteristics'!A:A,MATCH($C691,'Policy Characteristics'!$C:$C,0)))</f>
        <v>Industry</v>
      </c>
      <c r="B691" s="262" t="str">
        <f>IF(ISBLANK(INDEX('Policy Characteristics'!B:B,MATCH($C691,'Policy Characteristics'!$C:$C,0))),"",INDEX('Policy Characteristics'!B:B,MATCH($C691,'Policy Characteristics'!$C:$C,0)))</f>
        <v>Electrification</v>
      </c>
      <c r="C691" s="254" t="str">
        <f t="shared" si="36"/>
        <v>Fraction of Eligible Industrial Energy Use Shifted to Electricity</v>
      </c>
      <c r="D691" s="6" t="s">
        <v>3068</v>
      </c>
      <c r="E691" s="1" t="s">
        <v>3520</v>
      </c>
      <c r="F691" t="s">
        <v>3032</v>
      </c>
      <c r="G691" s="45" t="s">
        <v>3527</v>
      </c>
      <c r="H691" s="43">
        <v>1895</v>
      </c>
      <c r="I691" s="324" t="s">
        <v>43</v>
      </c>
      <c r="J691" s="255" t="str">
        <f>IF(ISBLANK(INDEX('Policy Characteristics'!D:D,MATCH($C691,'Policy Characteristics'!$C:$C,0))),"",INDEX('Policy Characteristics'!D:D,MATCH($C691,'Policy Characteristics'!$C:$C,0)))</f>
        <v>Electrification</v>
      </c>
      <c r="K691" s="254" t="str">
        <f>IF(ISBLANK(INDEX('Policy Characteristics'!E:E,MATCH($C691,'Policy Characteristics'!$C:$C,0))),"",INDEX('Policy Characteristics'!E:E,MATCH($C691,'Policy Characteristics'!$C:$C,0)))</f>
        <v>indst shift to electricity</v>
      </c>
      <c r="L691" s="261">
        <f>IF(ISBLANK(INDEX('Policy Characteristics'!F:F,MATCH($C691,'Policy Characteristics'!$C:$C,0))),"",INDEX('Policy Characteristics'!F:F,MATCH($C691,'Policy Characteristics'!$C:$C,0)))</f>
        <v>0</v>
      </c>
      <c r="M691" s="261">
        <f>IF(ISBLANK(INDEX('Policy Characteristics'!G:G,MATCH($C691,'Policy Characteristics'!$C:$C,0))),"",INDEX('Policy Characteristics'!G:G,MATCH($C691,'Policy Characteristics'!$C:$C,0)))</f>
        <v>1</v>
      </c>
      <c r="N691" s="261">
        <f>IF(ISBLANK(INDEX('Policy Characteristics'!H:H,MATCH($C691,'Policy Characteristics'!$C:$C,0))),"",INDEX('Policy Characteristics'!H:H,MATCH($C691,'Policy Characteristics'!$C:$C,0)))</f>
        <v>0.01</v>
      </c>
      <c r="O691" s="254" t="str">
        <f>IF(ISBLANK(INDEX('Policy Characteristics'!I:I,MATCH($C691,'Policy Characteristics'!$C:$C,0))),"",INDEX('Policy Characteristics'!I:I,MATCH($C691,'Policy Characteristics'!$C:$C,0)))</f>
        <v>% of fuel shifted</v>
      </c>
      <c r="P691" s="254"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4" t="str">
        <f>IF(ISBLANK(INDEX('Policy Characteristics'!K:K,MATCH($C691,'Policy Characteristics'!$C:$C,0))),"",INDEX('Policy Characteristics'!K:K,MATCH($C691,'Policy Characteristics'!$C:$C,0)))</f>
        <v>industry-ag-main.html#fuel-switching</v>
      </c>
      <c r="R691" s="254" t="str">
        <f>IF(ISBLANK(INDEX('Policy Characteristics'!L:L,MATCH($C691,'Policy Characteristics'!$C:$C,0))),"",INDEX('Policy Characteristics'!L:L,MATCH($C691,'Policy Characteristics'!$C:$C,0)))</f>
        <v>industry-elec-and-hydrogen.html</v>
      </c>
    </row>
    <row r="692" spans="1:18" x14ac:dyDescent="0.3">
      <c r="A692" s="254" t="str">
        <f>IF(ISBLANK(INDEX('Policy Characteristics'!A:A,MATCH($C692,'Policy Characteristics'!$C:$C,0))),"",INDEX('Policy Characteristics'!A:A,MATCH($C692,'Policy Characteristics'!$C:$C,0)))</f>
        <v>Industry</v>
      </c>
      <c r="B692" s="262" t="str">
        <f>IF(ISBLANK(INDEX('Policy Characteristics'!B:B,MATCH($C692,'Policy Characteristics'!$C:$C,0))),"",INDEX('Policy Characteristics'!B:B,MATCH($C692,'Policy Characteristics'!$C:$C,0)))</f>
        <v>Electrification</v>
      </c>
      <c r="C692" s="254" t="str">
        <f t="shared" si="36"/>
        <v>Fraction of Eligible Industrial Energy Use Shifted to Electricity</v>
      </c>
      <c r="D692" s="6" t="s">
        <v>3068</v>
      </c>
      <c r="E692" s="1" t="s">
        <v>3521</v>
      </c>
      <c r="F692" t="s">
        <v>3032</v>
      </c>
      <c r="G692" s="45" t="s">
        <v>3528</v>
      </c>
      <c r="H692" s="43">
        <v>1896</v>
      </c>
      <c r="I692" s="324" t="s">
        <v>43</v>
      </c>
      <c r="J692" s="255" t="str">
        <f>IF(ISBLANK(INDEX('Policy Characteristics'!D:D,MATCH($C692,'Policy Characteristics'!$C:$C,0))),"",INDEX('Policy Characteristics'!D:D,MATCH($C692,'Policy Characteristics'!$C:$C,0)))</f>
        <v>Electrification</v>
      </c>
      <c r="K692" s="254" t="str">
        <f>IF(ISBLANK(INDEX('Policy Characteristics'!E:E,MATCH($C692,'Policy Characteristics'!$C:$C,0))),"",INDEX('Policy Characteristics'!E:E,MATCH($C692,'Policy Characteristics'!$C:$C,0)))</f>
        <v>indst shift to electricity</v>
      </c>
      <c r="L692" s="261">
        <f>IF(ISBLANK(INDEX('Policy Characteristics'!F:F,MATCH($C692,'Policy Characteristics'!$C:$C,0))),"",INDEX('Policy Characteristics'!F:F,MATCH($C692,'Policy Characteristics'!$C:$C,0)))</f>
        <v>0</v>
      </c>
      <c r="M692" s="261">
        <f>IF(ISBLANK(INDEX('Policy Characteristics'!G:G,MATCH($C692,'Policy Characteristics'!$C:$C,0))),"",INDEX('Policy Characteristics'!G:G,MATCH($C692,'Policy Characteristics'!$C:$C,0)))</f>
        <v>1</v>
      </c>
      <c r="N692" s="261">
        <f>IF(ISBLANK(INDEX('Policy Characteristics'!H:H,MATCH($C692,'Policy Characteristics'!$C:$C,0))),"",INDEX('Policy Characteristics'!H:H,MATCH($C692,'Policy Characteristics'!$C:$C,0)))</f>
        <v>0.01</v>
      </c>
      <c r="O692" s="254" t="str">
        <f>IF(ISBLANK(INDEX('Policy Characteristics'!I:I,MATCH($C692,'Policy Characteristics'!$C:$C,0))),"",INDEX('Policy Characteristics'!I:I,MATCH($C692,'Policy Characteristics'!$C:$C,0)))</f>
        <v>% of fuel shifted</v>
      </c>
      <c r="P692" s="254"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4" t="str">
        <f>IF(ISBLANK(INDEX('Policy Characteristics'!K:K,MATCH($C692,'Policy Characteristics'!$C:$C,0))),"",INDEX('Policy Characteristics'!K:K,MATCH($C692,'Policy Characteristics'!$C:$C,0)))</f>
        <v>industry-ag-main.html#fuel-switching</v>
      </c>
      <c r="R692" s="254" t="str">
        <f>IF(ISBLANK(INDEX('Policy Characteristics'!L:L,MATCH($C692,'Policy Characteristics'!$C:$C,0))),"",INDEX('Policy Characteristics'!L:L,MATCH($C692,'Policy Characteristics'!$C:$C,0)))</f>
        <v>industry-elec-and-hydrogen.html</v>
      </c>
    </row>
    <row r="693" spans="1:18" x14ac:dyDescent="0.3">
      <c r="A693" s="254" t="str">
        <f>IF(ISBLANK(INDEX('Policy Characteristics'!A:A,MATCH($C693,'Policy Characteristics'!$C:$C,0))),"",INDEX('Policy Characteristics'!A:A,MATCH($C693,'Policy Characteristics'!$C:$C,0)))</f>
        <v>Industry</v>
      </c>
      <c r="B693" s="262" t="str">
        <f>IF(ISBLANK(INDEX('Policy Characteristics'!B:B,MATCH($C693,'Policy Characteristics'!$C:$C,0))),"",INDEX('Policy Characteristics'!B:B,MATCH($C693,'Policy Characteristics'!$C:$C,0)))</f>
        <v>Electrification</v>
      </c>
      <c r="C693" s="254" t="str">
        <f t="shared" si="36"/>
        <v>Fraction of Eligible Industrial Energy Use Shifted to Electricity</v>
      </c>
      <c r="D693" s="6" t="s">
        <v>3068</v>
      </c>
      <c r="E693" s="1" t="s">
        <v>3671</v>
      </c>
      <c r="F693" t="s">
        <v>3032</v>
      </c>
      <c r="G693" s="45" t="s">
        <v>3671</v>
      </c>
      <c r="H693" s="43">
        <v>1897</v>
      </c>
      <c r="I693" s="324" t="s">
        <v>43</v>
      </c>
      <c r="J693" s="255" t="str">
        <f>IF(ISBLANK(INDEX('Policy Characteristics'!D:D,MATCH($C693,'Policy Characteristics'!$C:$C,0))),"",INDEX('Policy Characteristics'!D:D,MATCH($C693,'Policy Characteristics'!$C:$C,0)))</f>
        <v>Electrification</v>
      </c>
      <c r="K693" s="254" t="str">
        <f>IF(ISBLANK(INDEX('Policy Characteristics'!E:E,MATCH($C693,'Policy Characteristics'!$C:$C,0))),"",INDEX('Policy Characteristics'!E:E,MATCH($C693,'Policy Characteristics'!$C:$C,0)))</f>
        <v>indst shift to electricity</v>
      </c>
      <c r="L693" s="261">
        <f>IF(ISBLANK(INDEX('Policy Characteristics'!F:F,MATCH($C693,'Policy Characteristics'!$C:$C,0))),"",INDEX('Policy Characteristics'!F:F,MATCH($C693,'Policy Characteristics'!$C:$C,0)))</f>
        <v>0</v>
      </c>
      <c r="M693" s="261">
        <f>IF(ISBLANK(INDEX('Policy Characteristics'!G:G,MATCH($C693,'Policy Characteristics'!$C:$C,0))),"",INDEX('Policy Characteristics'!G:G,MATCH($C693,'Policy Characteristics'!$C:$C,0)))</f>
        <v>1</v>
      </c>
      <c r="N693" s="261">
        <f>IF(ISBLANK(INDEX('Policy Characteristics'!H:H,MATCH($C693,'Policy Characteristics'!$C:$C,0))),"",INDEX('Policy Characteristics'!H:H,MATCH($C693,'Policy Characteristics'!$C:$C,0)))</f>
        <v>0.01</v>
      </c>
      <c r="O693" s="254" t="str">
        <f>IF(ISBLANK(INDEX('Policy Characteristics'!I:I,MATCH($C693,'Policy Characteristics'!$C:$C,0))),"",INDEX('Policy Characteristics'!I:I,MATCH($C693,'Policy Characteristics'!$C:$C,0)))</f>
        <v>% of fuel shifted</v>
      </c>
      <c r="P693" s="254"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4" t="str">
        <f>IF(ISBLANK(INDEX('Policy Characteristics'!K:K,MATCH($C693,'Policy Characteristics'!$C:$C,0))),"",INDEX('Policy Characteristics'!K:K,MATCH($C693,'Policy Characteristics'!$C:$C,0)))</f>
        <v>industry-ag-main.html#fuel-switching</v>
      </c>
      <c r="R693" s="254" t="str">
        <f>IF(ISBLANK(INDEX('Policy Characteristics'!L:L,MATCH($C693,'Policy Characteristics'!$C:$C,0))),"",INDEX('Policy Characteristics'!L:L,MATCH($C693,'Policy Characteristics'!$C:$C,0)))</f>
        <v>industry-elec-and-hydrogen.html</v>
      </c>
    </row>
    <row r="694" spans="1:18" x14ac:dyDescent="0.3">
      <c r="A694" s="254" t="str">
        <f>IF(ISBLANK(INDEX('Policy Characteristics'!A:A,MATCH($C694,'Policy Characteristics'!$C:$C,0))),"",INDEX('Policy Characteristics'!A:A,MATCH($C694,'Policy Characteristics'!$C:$C,0)))</f>
        <v>Industry</v>
      </c>
      <c r="B694" s="262" t="str">
        <f>IF(ISBLANK(INDEX('Policy Characteristics'!B:B,MATCH($C694,'Policy Characteristics'!$C:$C,0))),"",INDEX('Policy Characteristics'!B:B,MATCH($C694,'Policy Characteristics'!$C:$C,0)))</f>
        <v>Electrification</v>
      </c>
      <c r="C694" s="254" t="str">
        <f t="shared" si="36"/>
        <v>Fraction of Eligible Industrial Energy Use Shifted to Electricity</v>
      </c>
      <c r="D694" s="6" t="s">
        <v>3069</v>
      </c>
      <c r="E694" s="1" t="s">
        <v>3515</v>
      </c>
      <c r="F694" t="s">
        <v>3033</v>
      </c>
      <c r="G694" s="45" t="s">
        <v>3522</v>
      </c>
      <c r="H694" s="43">
        <v>1898</v>
      </c>
      <c r="I694" s="324" t="s">
        <v>43</v>
      </c>
      <c r="J694" s="255" t="str">
        <f>IF(ISBLANK(INDEX('Policy Characteristics'!D:D,MATCH($C694,'Policy Characteristics'!$C:$C,0))),"",INDEX('Policy Characteristics'!D:D,MATCH($C694,'Policy Characteristics'!$C:$C,0)))</f>
        <v>Electrification</v>
      </c>
      <c r="K694" s="254" t="str">
        <f>IF(ISBLANK(INDEX('Policy Characteristics'!E:E,MATCH($C694,'Policy Characteristics'!$C:$C,0))),"",INDEX('Policy Characteristics'!E:E,MATCH($C694,'Policy Characteristics'!$C:$C,0)))</f>
        <v>indst shift to electricity</v>
      </c>
      <c r="L694" s="261">
        <f>IF(ISBLANK(INDEX('Policy Characteristics'!F:F,MATCH($C694,'Policy Characteristics'!$C:$C,0))),"",INDEX('Policy Characteristics'!F:F,MATCH($C694,'Policy Characteristics'!$C:$C,0)))</f>
        <v>0</v>
      </c>
      <c r="M694" s="261">
        <f>IF(ISBLANK(INDEX('Policy Characteristics'!G:G,MATCH($C694,'Policy Characteristics'!$C:$C,0))),"",INDEX('Policy Characteristics'!G:G,MATCH($C694,'Policy Characteristics'!$C:$C,0)))</f>
        <v>1</v>
      </c>
      <c r="N694" s="261">
        <f>IF(ISBLANK(INDEX('Policy Characteristics'!H:H,MATCH($C694,'Policy Characteristics'!$C:$C,0))),"",INDEX('Policy Characteristics'!H:H,MATCH($C694,'Policy Characteristics'!$C:$C,0)))</f>
        <v>0.01</v>
      </c>
      <c r="O694" s="254" t="str">
        <f>IF(ISBLANK(INDEX('Policy Characteristics'!I:I,MATCH($C694,'Policy Characteristics'!$C:$C,0))),"",INDEX('Policy Characteristics'!I:I,MATCH($C694,'Policy Characteristics'!$C:$C,0)))</f>
        <v>% of fuel shifted</v>
      </c>
      <c r="P694" s="254"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4" t="str">
        <f>IF(ISBLANK(INDEX('Policy Characteristics'!K:K,MATCH($C694,'Policy Characteristics'!$C:$C,0))),"",INDEX('Policy Characteristics'!K:K,MATCH($C694,'Policy Characteristics'!$C:$C,0)))</f>
        <v>industry-ag-main.html#fuel-switching</v>
      </c>
      <c r="R694" s="254" t="str">
        <f>IF(ISBLANK(INDEX('Policy Characteristics'!L:L,MATCH($C694,'Policy Characteristics'!$C:$C,0))),"",INDEX('Policy Characteristics'!L:L,MATCH($C694,'Policy Characteristics'!$C:$C,0)))</f>
        <v>industry-elec-and-hydrogen.html</v>
      </c>
    </row>
    <row r="695" spans="1:18" x14ac:dyDescent="0.3">
      <c r="A695" s="254" t="str">
        <f>IF(ISBLANK(INDEX('Policy Characteristics'!A:A,MATCH($C695,'Policy Characteristics'!$C:$C,0))),"",INDEX('Policy Characteristics'!A:A,MATCH($C695,'Policy Characteristics'!$C:$C,0)))</f>
        <v>Industry</v>
      </c>
      <c r="B695" s="262" t="str">
        <f>IF(ISBLANK(INDEX('Policy Characteristics'!B:B,MATCH($C695,'Policy Characteristics'!$C:$C,0))),"",INDEX('Policy Characteristics'!B:B,MATCH($C695,'Policy Characteristics'!$C:$C,0)))</f>
        <v>Electrification</v>
      </c>
      <c r="C695" s="254" t="str">
        <f t="shared" ref="C695:C746" si="37">C$630</f>
        <v>Fraction of Eligible Industrial Energy Use Shifted to Electricity</v>
      </c>
      <c r="D695" s="6" t="s">
        <v>3069</v>
      </c>
      <c r="E695" s="1" t="s">
        <v>3516</v>
      </c>
      <c r="F695" t="s">
        <v>3033</v>
      </c>
      <c r="G695" s="45" t="s">
        <v>3523</v>
      </c>
      <c r="H695" s="43">
        <v>1899</v>
      </c>
      <c r="I695" s="324" t="s">
        <v>43</v>
      </c>
      <c r="J695" s="255" t="str">
        <f>IF(ISBLANK(INDEX('Policy Characteristics'!D:D,MATCH($C695,'Policy Characteristics'!$C:$C,0))),"",INDEX('Policy Characteristics'!D:D,MATCH($C695,'Policy Characteristics'!$C:$C,0)))</f>
        <v>Electrification</v>
      </c>
      <c r="K695" s="254" t="str">
        <f>IF(ISBLANK(INDEX('Policy Characteristics'!E:E,MATCH($C695,'Policy Characteristics'!$C:$C,0))),"",INDEX('Policy Characteristics'!E:E,MATCH($C695,'Policy Characteristics'!$C:$C,0)))</f>
        <v>indst shift to electricity</v>
      </c>
      <c r="L695" s="261">
        <f>IF(ISBLANK(INDEX('Policy Characteristics'!F:F,MATCH($C695,'Policy Characteristics'!$C:$C,0))),"",INDEX('Policy Characteristics'!F:F,MATCH($C695,'Policy Characteristics'!$C:$C,0)))</f>
        <v>0</v>
      </c>
      <c r="M695" s="261">
        <f>IF(ISBLANK(INDEX('Policy Characteristics'!G:G,MATCH($C695,'Policy Characteristics'!$C:$C,0))),"",INDEX('Policy Characteristics'!G:G,MATCH($C695,'Policy Characteristics'!$C:$C,0)))</f>
        <v>1</v>
      </c>
      <c r="N695" s="261">
        <f>IF(ISBLANK(INDEX('Policy Characteristics'!H:H,MATCH($C695,'Policy Characteristics'!$C:$C,0))),"",INDEX('Policy Characteristics'!H:H,MATCH($C695,'Policy Characteristics'!$C:$C,0)))</f>
        <v>0.01</v>
      </c>
      <c r="O695" s="254" t="str">
        <f>IF(ISBLANK(INDEX('Policy Characteristics'!I:I,MATCH($C695,'Policy Characteristics'!$C:$C,0))),"",INDEX('Policy Characteristics'!I:I,MATCH($C695,'Policy Characteristics'!$C:$C,0)))</f>
        <v>% of fuel shifted</v>
      </c>
      <c r="P695" s="254"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4" t="str">
        <f>IF(ISBLANK(INDEX('Policy Characteristics'!K:K,MATCH($C695,'Policy Characteristics'!$C:$C,0))),"",INDEX('Policy Characteristics'!K:K,MATCH($C695,'Policy Characteristics'!$C:$C,0)))</f>
        <v>industry-ag-main.html#fuel-switching</v>
      </c>
      <c r="R695" s="254" t="str">
        <f>IF(ISBLANK(INDEX('Policy Characteristics'!L:L,MATCH($C695,'Policy Characteristics'!$C:$C,0))),"",INDEX('Policy Characteristics'!L:L,MATCH($C695,'Policy Characteristics'!$C:$C,0)))</f>
        <v>industry-elec-and-hydrogen.html</v>
      </c>
    </row>
    <row r="696" spans="1:18" x14ac:dyDescent="0.3">
      <c r="A696" s="254" t="str">
        <f>IF(ISBLANK(INDEX('Policy Characteristics'!A:A,MATCH($C696,'Policy Characteristics'!$C:$C,0))),"",INDEX('Policy Characteristics'!A:A,MATCH($C696,'Policy Characteristics'!$C:$C,0)))</f>
        <v>Industry</v>
      </c>
      <c r="B696" s="262" t="str">
        <f>IF(ISBLANK(INDEX('Policy Characteristics'!B:B,MATCH($C696,'Policy Characteristics'!$C:$C,0))),"",INDEX('Policy Characteristics'!B:B,MATCH($C696,'Policy Characteristics'!$C:$C,0)))</f>
        <v>Electrification</v>
      </c>
      <c r="C696" s="254" t="str">
        <f t="shared" si="37"/>
        <v>Fraction of Eligible Industrial Energy Use Shifted to Electricity</v>
      </c>
      <c r="D696" s="6" t="s">
        <v>3069</v>
      </c>
      <c r="E696" s="1" t="s">
        <v>3517</v>
      </c>
      <c r="F696" t="s">
        <v>3033</v>
      </c>
      <c r="G696" s="45" t="s">
        <v>3524</v>
      </c>
      <c r="H696" s="43">
        <v>1900</v>
      </c>
      <c r="I696" s="324" t="s">
        <v>43</v>
      </c>
      <c r="J696" s="255" t="str">
        <f>IF(ISBLANK(INDEX('Policy Characteristics'!D:D,MATCH($C696,'Policy Characteristics'!$C:$C,0))),"",INDEX('Policy Characteristics'!D:D,MATCH($C696,'Policy Characteristics'!$C:$C,0)))</f>
        <v>Electrification</v>
      </c>
      <c r="K696" s="254" t="str">
        <f>IF(ISBLANK(INDEX('Policy Characteristics'!E:E,MATCH($C696,'Policy Characteristics'!$C:$C,0))),"",INDEX('Policy Characteristics'!E:E,MATCH($C696,'Policy Characteristics'!$C:$C,0)))</f>
        <v>indst shift to electricity</v>
      </c>
      <c r="L696" s="261">
        <f>IF(ISBLANK(INDEX('Policy Characteristics'!F:F,MATCH($C696,'Policy Characteristics'!$C:$C,0))),"",INDEX('Policy Characteristics'!F:F,MATCH($C696,'Policy Characteristics'!$C:$C,0)))</f>
        <v>0</v>
      </c>
      <c r="M696" s="261">
        <f>IF(ISBLANK(INDEX('Policy Characteristics'!G:G,MATCH($C696,'Policy Characteristics'!$C:$C,0))),"",INDEX('Policy Characteristics'!G:G,MATCH($C696,'Policy Characteristics'!$C:$C,0)))</f>
        <v>1</v>
      </c>
      <c r="N696" s="261">
        <f>IF(ISBLANK(INDEX('Policy Characteristics'!H:H,MATCH($C696,'Policy Characteristics'!$C:$C,0))),"",INDEX('Policy Characteristics'!H:H,MATCH($C696,'Policy Characteristics'!$C:$C,0)))</f>
        <v>0.01</v>
      </c>
      <c r="O696" s="254" t="str">
        <f>IF(ISBLANK(INDEX('Policy Characteristics'!I:I,MATCH($C696,'Policy Characteristics'!$C:$C,0))),"",INDEX('Policy Characteristics'!I:I,MATCH($C696,'Policy Characteristics'!$C:$C,0)))</f>
        <v>% of fuel shifted</v>
      </c>
      <c r="P696" s="254"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4" t="str">
        <f>IF(ISBLANK(INDEX('Policy Characteristics'!K:K,MATCH($C696,'Policy Characteristics'!$C:$C,0))),"",INDEX('Policy Characteristics'!K:K,MATCH($C696,'Policy Characteristics'!$C:$C,0)))</f>
        <v>industry-ag-main.html#fuel-switching</v>
      </c>
      <c r="R696" s="254" t="str">
        <f>IF(ISBLANK(INDEX('Policy Characteristics'!L:L,MATCH($C696,'Policy Characteristics'!$C:$C,0))),"",INDEX('Policy Characteristics'!L:L,MATCH($C696,'Policy Characteristics'!$C:$C,0)))</f>
        <v>industry-elec-and-hydrogen.html</v>
      </c>
    </row>
    <row r="697" spans="1:18" x14ac:dyDescent="0.3">
      <c r="A697" s="254" t="str">
        <f>IF(ISBLANK(INDEX('Policy Characteristics'!A:A,MATCH($C697,'Policy Characteristics'!$C:$C,0))),"",INDEX('Policy Characteristics'!A:A,MATCH($C697,'Policy Characteristics'!$C:$C,0)))</f>
        <v>Industry</v>
      </c>
      <c r="B697" s="262" t="str">
        <f>IF(ISBLANK(INDEX('Policy Characteristics'!B:B,MATCH($C697,'Policy Characteristics'!$C:$C,0))),"",INDEX('Policy Characteristics'!B:B,MATCH($C697,'Policy Characteristics'!$C:$C,0)))</f>
        <v>Electrification</v>
      </c>
      <c r="C697" s="254" t="str">
        <f t="shared" si="37"/>
        <v>Fraction of Eligible Industrial Energy Use Shifted to Electricity</v>
      </c>
      <c r="D697" s="6" t="s">
        <v>3069</v>
      </c>
      <c r="E697" s="1" t="s">
        <v>3518</v>
      </c>
      <c r="F697" t="s">
        <v>3033</v>
      </c>
      <c r="G697" s="45" t="s">
        <v>3525</v>
      </c>
      <c r="H697" s="43">
        <v>1901</v>
      </c>
      <c r="I697" s="324" t="s">
        <v>43</v>
      </c>
      <c r="J697" s="255" t="str">
        <f>IF(ISBLANK(INDEX('Policy Characteristics'!D:D,MATCH($C697,'Policy Characteristics'!$C:$C,0))),"",INDEX('Policy Characteristics'!D:D,MATCH($C697,'Policy Characteristics'!$C:$C,0)))</f>
        <v>Electrification</v>
      </c>
      <c r="K697" s="254" t="str">
        <f>IF(ISBLANK(INDEX('Policy Characteristics'!E:E,MATCH($C697,'Policy Characteristics'!$C:$C,0))),"",INDEX('Policy Characteristics'!E:E,MATCH($C697,'Policy Characteristics'!$C:$C,0)))</f>
        <v>indst shift to electricity</v>
      </c>
      <c r="L697" s="261">
        <f>IF(ISBLANK(INDEX('Policy Characteristics'!F:F,MATCH($C697,'Policy Characteristics'!$C:$C,0))),"",INDEX('Policy Characteristics'!F:F,MATCH($C697,'Policy Characteristics'!$C:$C,0)))</f>
        <v>0</v>
      </c>
      <c r="M697" s="261">
        <f>IF(ISBLANK(INDEX('Policy Characteristics'!G:G,MATCH($C697,'Policy Characteristics'!$C:$C,0))),"",INDEX('Policy Characteristics'!G:G,MATCH($C697,'Policy Characteristics'!$C:$C,0)))</f>
        <v>1</v>
      </c>
      <c r="N697" s="261">
        <f>IF(ISBLANK(INDEX('Policy Characteristics'!H:H,MATCH($C697,'Policy Characteristics'!$C:$C,0))),"",INDEX('Policy Characteristics'!H:H,MATCH($C697,'Policy Characteristics'!$C:$C,0)))</f>
        <v>0.01</v>
      </c>
      <c r="O697" s="254" t="str">
        <f>IF(ISBLANK(INDEX('Policy Characteristics'!I:I,MATCH($C697,'Policy Characteristics'!$C:$C,0))),"",INDEX('Policy Characteristics'!I:I,MATCH($C697,'Policy Characteristics'!$C:$C,0)))</f>
        <v>% of fuel shifted</v>
      </c>
      <c r="P697" s="254"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4" t="str">
        <f>IF(ISBLANK(INDEX('Policy Characteristics'!K:K,MATCH($C697,'Policy Characteristics'!$C:$C,0))),"",INDEX('Policy Characteristics'!K:K,MATCH($C697,'Policy Characteristics'!$C:$C,0)))</f>
        <v>industry-ag-main.html#fuel-switching</v>
      </c>
      <c r="R697" s="254" t="str">
        <f>IF(ISBLANK(INDEX('Policy Characteristics'!L:L,MATCH($C697,'Policy Characteristics'!$C:$C,0))),"",INDEX('Policy Characteristics'!L:L,MATCH($C697,'Policy Characteristics'!$C:$C,0)))</f>
        <v>industry-elec-and-hydrogen.html</v>
      </c>
    </row>
    <row r="698" spans="1:18" x14ac:dyDescent="0.3">
      <c r="A698" s="254" t="str">
        <f>IF(ISBLANK(INDEX('Policy Characteristics'!A:A,MATCH($C698,'Policy Characteristics'!$C:$C,0))),"",INDEX('Policy Characteristics'!A:A,MATCH($C698,'Policy Characteristics'!$C:$C,0)))</f>
        <v>Industry</v>
      </c>
      <c r="B698" s="262" t="str">
        <f>IF(ISBLANK(INDEX('Policy Characteristics'!B:B,MATCH($C698,'Policy Characteristics'!$C:$C,0))),"",INDEX('Policy Characteristics'!B:B,MATCH($C698,'Policy Characteristics'!$C:$C,0)))</f>
        <v>Electrification</v>
      </c>
      <c r="C698" s="254" t="str">
        <f t="shared" si="37"/>
        <v>Fraction of Eligible Industrial Energy Use Shifted to Electricity</v>
      </c>
      <c r="D698" s="6" t="s">
        <v>3069</v>
      </c>
      <c r="E698" s="1" t="s">
        <v>3519</v>
      </c>
      <c r="F698" t="s">
        <v>3033</v>
      </c>
      <c r="G698" s="45" t="s">
        <v>3526</v>
      </c>
      <c r="H698" s="43">
        <v>1902</v>
      </c>
      <c r="I698" s="324" t="s">
        <v>43</v>
      </c>
      <c r="J698" s="255" t="str">
        <f>IF(ISBLANK(INDEX('Policy Characteristics'!D:D,MATCH($C698,'Policy Characteristics'!$C:$C,0))),"",INDEX('Policy Characteristics'!D:D,MATCH($C698,'Policy Characteristics'!$C:$C,0)))</f>
        <v>Electrification</v>
      </c>
      <c r="K698" s="254" t="str">
        <f>IF(ISBLANK(INDEX('Policy Characteristics'!E:E,MATCH($C698,'Policy Characteristics'!$C:$C,0))),"",INDEX('Policy Characteristics'!E:E,MATCH($C698,'Policy Characteristics'!$C:$C,0)))</f>
        <v>indst shift to electricity</v>
      </c>
      <c r="L698" s="261">
        <f>IF(ISBLANK(INDEX('Policy Characteristics'!F:F,MATCH($C698,'Policy Characteristics'!$C:$C,0))),"",INDEX('Policy Characteristics'!F:F,MATCH($C698,'Policy Characteristics'!$C:$C,0)))</f>
        <v>0</v>
      </c>
      <c r="M698" s="261">
        <f>IF(ISBLANK(INDEX('Policy Characteristics'!G:G,MATCH($C698,'Policy Characteristics'!$C:$C,0))),"",INDEX('Policy Characteristics'!G:G,MATCH($C698,'Policy Characteristics'!$C:$C,0)))</f>
        <v>1</v>
      </c>
      <c r="N698" s="261">
        <f>IF(ISBLANK(INDEX('Policy Characteristics'!H:H,MATCH($C698,'Policy Characteristics'!$C:$C,0))),"",INDEX('Policy Characteristics'!H:H,MATCH($C698,'Policy Characteristics'!$C:$C,0)))</f>
        <v>0.01</v>
      </c>
      <c r="O698" s="254" t="str">
        <f>IF(ISBLANK(INDEX('Policy Characteristics'!I:I,MATCH($C698,'Policy Characteristics'!$C:$C,0))),"",INDEX('Policy Characteristics'!I:I,MATCH($C698,'Policy Characteristics'!$C:$C,0)))</f>
        <v>% of fuel shifted</v>
      </c>
      <c r="P698" s="254"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4" t="str">
        <f>IF(ISBLANK(INDEX('Policy Characteristics'!K:K,MATCH($C698,'Policy Characteristics'!$C:$C,0))),"",INDEX('Policy Characteristics'!K:K,MATCH($C698,'Policy Characteristics'!$C:$C,0)))</f>
        <v>industry-ag-main.html#fuel-switching</v>
      </c>
      <c r="R698" s="254" t="str">
        <f>IF(ISBLANK(INDEX('Policy Characteristics'!L:L,MATCH($C698,'Policy Characteristics'!$C:$C,0))),"",INDEX('Policy Characteristics'!L:L,MATCH($C698,'Policy Characteristics'!$C:$C,0)))</f>
        <v>industry-elec-and-hydrogen.html</v>
      </c>
    </row>
    <row r="699" spans="1:18" x14ac:dyDescent="0.3">
      <c r="A699" s="254" t="str">
        <f>IF(ISBLANK(INDEX('Policy Characteristics'!A:A,MATCH($C699,'Policy Characteristics'!$C:$C,0))),"",INDEX('Policy Characteristics'!A:A,MATCH($C699,'Policy Characteristics'!$C:$C,0)))</f>
        <v>Industry</v>
      </c>
      <c r="B699" s="262" t="str">
        <f>IF(ISBLANK(INDEX('Policy Characteristics'!B:B,MATCH($C699,'Policy Characteristics'!$C:$C,0))),"",INDEX('Policy Characteristics'!B:B,MATCH($C699,'Policy Characteristics'!$C:$C,0)))</f>
        <v>Electrification</v>
      </c>
      <c r="C699" s="254" t="str">
        <f t="shared" si="37"/>
        <v>Fraction of Eligible Industrial Energy Use Shifted to Electricity</v>
      </c>
      <c r="D699" s="6" t="s">
        <v>3069</v>
      </c>
      <c r="E699" s="1" t="s">
        <v>3520</v>
      </c>
      <c r="F699" t="s">
        <v>3033</v>
      </c>
      <c r="G699" s="45" t="s">
        <v>3527</v>
      </c>
      <c r="H699" s="43">
        <v>1903</v>
      </c>
      <c r="I699" s="324" t="s">
        <v>43</v>
      </c>
      <c r="J699" s="255" t="str">
        <f>IF(ISBLANK(INDEX('Policy Characteristics'!D:D,MATCH($C699,'Policy Characteristics'!$C:$C,0))),"",INDEX('Policy Characteristics'!D:D,MATCH($C699,'Policy Characteristics'!$C:$C,0)))</f>
        <v>Electrification</v>
      </c>
      <c r="K699" s="254" t="str">
        <f>IF(ISBLANK(INDEX('Policy Characteristics'!E:E,MATCH($C699,'Policy Characteristics'!$C:$C,0))),"",INDEX('Policy Characteristics'!E:E,MATCH($C699,'Policy Characteristics'!$C:$C,0)))</f>
        <v>indst shift to electricity</v>
      </c>
      <c r="L699" s="261">
        <f>IF(ISBLANK(INDEX('Policy Characteristics'!F:F,MATCH($C699,'Policy Characteristics'!$C:$C,0))),"",INDEX('Policy Characteristics'!F:F,MATCH($C699,'Policy Characteristics'!$C:$C,0)))</f>
        <v>0</v>
      </c>
      <c r="M699" s="261">
        <f>IF(ISBLANK(INDEX('Policy Characteristics'!G:G,MATCH($C699,'Policy Characteristics'!$C:$C,0))),"",INDEX('Policy Characteristics'!G:G,MATCH($C699,'Policy Characteristics'!$C:$C,0)))</f>
        <v>1</v>
      </c>
      <c r="N699" s="261">
        <f>IF(ISBLANK(INDEX('Policy Characteristics'!H:H,MATCH($C699,'Policy Characteristics'!$C:$C,0))),"",INDEX('Policy Characteristics'!H:H,MATCH($C699,'Policy Characteristics'!$C:$C,0)))</f>
        <v>0.01</v>
      </c>
      <c r="O699" s="254" t="str">
        <f>IF(ISBLANK(INDEX('Policy Characteristics'!I:I,MATCH($C699,'Policy Characteristics'!$C:$C,0))),"",INDEX('Policy Characteristics'!I:I,MATCH($C699,'Policy Characteristics'!$C:$C,0)))</f>
        <v>% of fuel shifted</v>
      </c>
      <c r="P699" s="254"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4" t="str">
        <f>IF(ISBLANK(INDEX('Policy Characteristics'!K:K,MATCH($C699,'Policy Characteristics'!$C:$C,0))),"",INDEX('Policy Characteristics'!K:K,MATCH($C699,'Policy Characteristics'!$C:$C,0)))</f>
        <v>industry-ag-main.html#fuel-switching</v>
      </c>
      <c r="R699" s="254" t="str">
        <f>IF(ISBLANK(INDEX('Policy Characteristics'!L:L,MATCH($C699,'Policy Characteristics'!$C:$C,0))),"",INDEX('Policy Characteristics'!L:L,MATCH($C699,'Policy Characteristics'!$C:$C,0)))</f>
        <v>industry-elec-and-hydrogen.html</v>
      </c>
    </row>
    <row r="700" spans="1:18" x14ac:dyDescent="0.3">
      <c r="A700" s="254" t="str">
        <f>IF(ISBLANK(INDEX('Policy Characteristics'!A:A,MATCH($C700,'Policy Characteristics'!$C:$C,0))),"",INDEX('Policy Characteristics'!A:A,MATCH($C700,'Policy Characteristics'!$C:$C,0)))</f>
        <v>Industry</v>
      </c>
      <c r="B700" s="262" t="str">
        <f>IF(ISBLANK(INDEX('Policy Characteristics'!B:B,MATCH($C700,'Policy Characteristics'!$C:$C,0))),"",INDEX('Policy Characteristics'!B:B,MATCH($C700,'Policy Characteristics'!$C:$C,0)))</f>
        <v>Electrification</v>
      </c>
      <c r="C700" s="254" t="str">
        <f t="shared" si="37"/>
        <v>Fraction of Eligible Industrial Energy Use Shifted to Electricity</v>
      </c>
      <c r="D700" s="6" t="s">
        <v>3069</v>
      </c>
      <c r="E700" s="1" t="s">
        <v>3521</v>
      </c>
      <c r="F700" t="s">
        <v>3033</v>
      </c>
      <c r="G700" s="45" t="s">
        <v>3528</v>
      </c>
      <c r="H700" s="43">
        <v>1904</v>
      </c>
      <c r="I700" s="324" t="s">
        <v>43</v>
      </c>
      <c r="J700" s="255" t="str">
        <f>IF(ISBLANK(INDEX('Policy Characteristics'!D:D,MATCH($C700,'Policy Characteristics'!$C:$C,0))),"",INDEX('Policy Characteristics'!D:D,MATCH($C700,'Policy Characteristics'!$C:$C,0)))</f>
        <v>Electrification</v>
      </c>
      <c r="K700" s="254" t="str">
        <f>IF(ISBLANK(INDEX('Policy Characteristics'!E:E,MATCH($C700,'Policy Characteristics'!$C:$C,0))),"",INDEX('Policy Characteristics'!E:E,MATCH($C700,'Policy Characteristics'!$C:$C,0)))</f>
        <v>indst shift to electricity</v>
      </c>
      <c r="L700" s="261">
        <f>IF(ISBLANK(INDEX('Policy Characteristics'!F:F,MATCH($C700,'Policy Characteristics'!$C:$C,0))),"",INDEX('Policy Characteristics'!F:F,MATCH($C700,'Policy Characteristics'!$C:$C,0)))</f>
        <v>0</v>
      </c>
      <c r="M700" s="261">
        <f>IF(ISBLANK(INDEX('Policy Characteristics'!G:G,MATCH($C700,'Policy Characteristics'!$C:$C,0))),"",INDEX('Policy Characteristics'!G:G,MATCH($C700,'Policy Characteristics'!$C:$C,0)))</f>
        <v>1</v>
      </c>
      <c r="N700" s="261">
        <f>IF(ISBLANK(INDEX('Policy Characteristics'!H:H,MATCH($C700,'Policy Characteristics'!$C:$C,0))),"",INDEX('Policy Characteristics'!H:H,MATCH($C700,'Policy Characteristics'!$C:$C,0)))</f>
        <v>0.01</v>
      </c>
      <c r="O700" s="254" t="str">
        <f>IF(ISBLANK(INDEX('Policy Characteristics'!I:I,MATCH($C700,'Policy Characteristics'!$C:$C,0))),"",INDEX('Policy Characteristics'!I:I,MATCH($C700,'Policy Characteristics'!$C:$C,0)))</f>
        <v>% of fuel shifted</v>
      </c>
      <c r="P700" s="254"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4" t="str">
        <f>IF(ISBLANK(INDEX('Policy Characteristics'!K:K,MATCH($C700,'Policy Characteristics'!$C:$C,0))),"",INDEX('Policy Characteristics'!K:K,MATCH($C700,'Policy Characteristics'!$C:$C,0)))</f>
        <v>industry-ag-main.html#fuel-switching</v>
      </c>
      <c r="R700" s="254" t="str">
        <f>IF(ISBLANK(INDEX('Policy Characteristics'!L:L,MATCH($C700,'Policy Characteristics'!$C:$C,0))),"",INDEX('Policy Characteristics'!L:L,MATCH($C700,'Policy Characteristics'!$C:$C,0)))</f>
        <v>industry-elec-and-hydrogen.html</v>
      </c>
    </row>
    <row r="701" spans="1:18" x14ac:dyDescent="0.3">
      <c r="A701" s="254" t="str">
        <f>IF(ISBLANK(INDEX('Policy Characteristics'!A:A,MATCH($C701,'Policy Characteristics'!$C:$C,0))),"",INDEX('Policy Characteristics'!A:A,MATCH($C701,'Policy Characteristics'!$C:$C,0)))</f>
        <v>Industry</v>
      </c>
      <c r="B701" s="262" t="str">
        <f>IF(ISBLANK(INDEX('Policy Characteristics'!B:B,MATCH($C701,'Policy Characteristics'!$C:$C,0))),"",INDEX('Policy Characteristics'!B:B,MATCH($C701,'Policy Characteristics'!$C:$C,0)))</f>
        <v>Electrification</v>
      </c>
      <c r="C701" s="254" t="str">
        <f t="shared" si="37"/>
        <v>Fraction of Eligible Industrial Energy Use Shifted to Electricity</v>
      </c>
      <c r="D701" s="6" t="s">
        <v>3069</v>
      </c>
      <c r="E701" s="1" t="s">
        <v>3671</v>
      </c>
      <c r="F701" t="s">
        <v>3033</v>
      </c>
      <c r="G701" s="45" t="s">
        <v>3671</v>
      </c>
      <c r="H701" s="43">
        <v>1905</v>
      </c>
      <c r="I701" s="324" t="s">
        <v>43</v>
      </c>
      <c r="J701" s="255" t="str">
        <f>IF(ISBLANK(INDEX('Policy Characteristics'!D:D,MATCH($C701,'Policy Characteristics'!$C:$C,0))),"",INDEX('Policy Characteristics'!D:D,MATCH($C701,'Policy Characteristics'!$C:$C,0)))</f>
        <v>Electrification</v>
      </c>
      <c r="K701" s="254" t="str">
        <f>IF(ISBLANK(INDEX('Policy Characteristics'!E:E,MATCH($C701,'Policy Characteristics'!$C:$C,0))),"",INDEX('Policy Characteristics'!E:E,MATCH($C701,'Policy Characteristics'!$C:$C,0)))</f>
        <v>indst shift to electricity</v>
      </c>
      <c r="L701" s="261">
        <f>IF(ISBLANK(INDEX('Policy Characteristics'!F:F,MATCH($C701,'Policy Characteristics'!$C:$C,0))),"",INDEX('Policy Characteristics'!F:F,MATCH($C701,'Policy Characteristics'!$C:$C,0)))</f>
        <v>0</v>
      </c>
      <c r="M701" s="261">
        <f>IF(ISBLANK(INDEX('Policy Characteristics'!G:G,MATCH($C701,'Policy Characteristics'!$C:$C,0))),"",INDEX('Policy Characteristics'!G:G,MATCH($C701,'Policy Characteristics'!$C:$C,0)))</f>
        <v>1</v>
      </c>
      <c r="N701" s="261">
        <f>IF(ISBLANK(INDEX('Policy Characteristics'!H:H,MATCH($C701,'Policy Characteristics'!$C:$C,0))),"",INDEX('Policy Characteristics'!H:H,MATCH($C701,'Policy Characteristics'!$C:$C,0)))</f>
        <v>0.01</v>
      </c>
      <c r="O701" s="254" t="str">
        <f>IF(ISBLANK(INDEX('Policy Characteristics'!I:I,MATCH($C701,'Policy Characteristics'!$C:$C,0))),"",INDEX('Policy Characteristics'!I:I,MATCH($C701,'Policy Characteristics'!$C:$C,0)))</f>
        <v>% of fuel shifted</v>
      </c>
      <c r="P701" s="254"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4" t="str">
        <f>IF(ISBLANK(INDEX('Policy Characteristics'!K:K,MATCH($C701,'Policy Characteristics'!$C:$C,0))),"",INDEX('Policy Characteristics'!K:K,MATCH($C701,'Policy Characteristics'!$C:$C,0)))</f>
        <v>industry-ag-main.html#fuel-switching</v>
      </c>
      <c r="R701" s="254" t="str">
        <f>IF(ISBLANK(INDEX('Policy Characteristics'!L:L,MATCH($C701,'Policy Characteristics'!$C:$C,0))),"",INDEX('Policy Characteristics'!L:L,MATCH($C701,'Policy Characteristics'!$C:$C,0)))</f>
        <v>industry-elec-and-hydrogen.html</v>
      </c>
    </row>
    <row r="702" spans="1:18" x14ac:dyDescent="0.3">
      <c r="A702" s="254" t="str">
        <f>IF(ISBLANK(INDEX('Policy Characteristics'!A:A,MATCH($C702,'Policy Characteristics'!$C:$C,0))),"",INDEX('Policy Characteristics'!A:A,MATCH($C702,'Policy Characteristics'!$C:$C,0)))</f>
        <v>Industry</v>
      </c>
      <c r="B702" s="262" t="str">
        <f>IF(ISBLANK(INDEX('Policy Characteristics'!B:B,MATCH($C702,'Policy Characteristics'!$C:$C,0))),"",INDEX('Policy Characteristics'!B:B,MATCH($C702,'Policy Characteristics'!$C:$C,0)))</f>
        <v>Electrification</v>
      </c>
      <c r="C702" s="254" t="str">
        <f t="shared" si="37"/>
        <v>Fraction of Eligible Industrial Energy Use Shifted to Electricity</v>
      </c>
      <c r="D702" s="6" t="s">
        <v>3070</v>
      </c>
      <c r="E702" s="1" t="s">
        <v>3515</v>
      </c>
      <c r="F702" t="s">
        <v>2579</v>
      </c>
      <c r="G702" s="45" t="s">
        <v>3522</v>
      </c>
      <c r="H702" s="43">
        <v>1906</v>
      </c>
      <c r="I702" s="324" t="s">
        <v>43</v>
      </c>
      <c r="J702" s="255" t="str">
        <f>IF(ISBLANK(INDEX('Policy Characteristics'!D:D,MATCH($C702,'Policy Characteristics'!$C:$C,0))),"",INDEX('Policy Characteristics'!D:D,MATCH($C702,'Policy Characteristics'!$C:$C,0)))</f>
        <v>Electrification</v>
      </c>
      <c r="K702" s="254" t="str">
        <f>IF(ISBLANK(INDEX('Policy Characteristics'!E:E,MATCH($C702,'Policy Characteristics'!$C:$C,0))),"",INDEX('Policy Characteristics'!E:E,MATCH($C702,'Policy Characteristics'!$C:$C,0)))</f>
        <v>indst shift to electricity</v>
      </c>
      <c r="L702" s="261">
        <f>IF(ISBLANK(INDEX('Policy Characteristics'!F:F,MATCH($C702,'Policy Characteristics'!$C:$C,0))),"",INDEX('Policy Characteristics'!F:F,MATCH($C702,'Policy Characteristics'!$C:$C,0)))</f>
        <v>0</v>
      </c>
      <c r="M702" s="261">
        <f>IF(ISBLANK(INDEX('Policy Characteristics'!G:G,MATCH($C702,'Policy Characteristics'!$C:$C,0))),"",INDEX('Policy Characteristics'!G:G,MATCH($C702,'Policy Characteristics'!$C:$C,0)))</f>
        <v>1</v>
      </c>
      <c r="N702" s="261">
        <f>IF(ISBLANK(INDEX('Policy Characteristics'!H:H,MATCH($C702,'Policy Characteristics'!$C:$C,0))),"",INDEX('Policy Characteristics'!H:H,MATCH($C702,'Policy Characteristics'!$C:$C,0)))</f>
        <v>0.01</v>
      </c>
      <c r="O702" s="254" t="str">
        <f>IF(ISBLANK(INDEX('Policy Characteristics'!I:I,MATCH($C702,'Policy Characteristics'!$C:$C,0))),"",INDEX('Policy Characteristics'!I:I,MATCH($C702,'Policy Characteristics'!$C:$C,0)))</f>
        <v>% of fuel shifted</v>
      </c>
      <c r="P702" s="254"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4" t="str">
        <f>IF(ISBLANK(INDEX('Policy Characteristics'!K:K,MATCH($C702,'Policy Characteristics'!$C:$C,0))),"",INDEX('Policy Characteristics'!K:K,MATCH($C702,'Policy Characteristics'!$C:$C,0)))</f>
        <v>industry-ag-main.html#fuel-switching</v>
      </c>
      <c r="R702" s="254" t="str">
        <f>IF(ISBLANK(INDEX('Policy Characteristics'!L:L,MATCH($C702,'Policy Characteristics'!$C:$C,0))),"",INDEX('Policy Characteristics'!L:L,MATCH($C702,'Policy Characteristics'!$C:$C,0)))</f>
        <v>industry-elec-and-hydrogen.html</v>
      </c>
    </row>
    <row r="703" spans="1:18" x14ac:dyDescent="0.3">
      <c r="A703" s="254" t="str">
        <f>IF(ISBLANK(INDEX('Policy Characteristics'!A:A,MATCH($C703,'Policy Characteristics'!$C:$C,0))),"",INDEX('Policy Characteristics'!A:A,MATCH($C703,'Policy Characteristics'!$C:$C,0)))</f>
        <v>Industry</v>
      </c>
      <c r="B703" s="262" t="str">
        <f>IF(ISBLANK(INDEX('Policy Characteristics'!B:B,MATCH($C703,'Policy Characteristics'!$C:$C,0))),"",INDEX('Policy Characteristics'!B:B,MATCH($C703,'Policy Characteristics'!$C:$C,0)))</f>
        <v>Electrification</v>
      </c>
      <c r="C703" s="254" t="str">
        <f t="shared" si="37"/>
        <v>Fraction of Eligible Industrial Energy Use Shifted to Electricity</v>
      </c>
      <c r="D703" s="6" t="s">
        <v>3070</v>
      </c>
      <c r="E703" s="1" t="s">
        <v>3516</v>
      </c>
      <c r="F703" t="s">
        <v>2579</v>
      </c>
      <c r="G703" s="45" t="s">
        <v>3523</v>
      </c>
      <c r="H703" s="43">
        <v>1907</v>
      </c>
      <c r="I703" s="324" t="s">
        <v>43</v>
      </c>
      <c r="J703" s="255" t="str">
        <f>IF(ISBLANK(INDEX('Policy Characteristics'!D:D,MATCH($C703,'Policy Characteristics'!$C:$C,0))),"",INDEX('Policy Characteristics'!D:D,MATCH($C703,'Policy Characteristics'!$C:$C,0)))</f>
        <v>Electrification</v>
      </c>
      <c r="K703" s="254" t="str">
        <f>IF(ISBLANK(INDEX('Policy Characteristics'!E:E,MATCH($C703,'Policy Characteristics'!$C:$C,0))),"",INDEX('Policy Characteristics'!E:E,MATCH($C703,'Policy Characteristics'!$C:$C,0)))</f>
        <v>indst shift to electricity</v>
      </c>
      <c r="L703" s="261">
        <f>IF(ISBLANK(INDEX('Policy Characteristics'!F:F,MATCH($C703,'Policy Characteristics'!$C:$C,0))),"",INDEX('Policy Characteristics'!F:F,MATCH($C703,'Policy Characteristics'!$C:$C,0)))</f>
        <v>0</v>
      </c>
      <c r="M703" s="261">
        <f>IF(ISBLANK(INDEX('Policy Characteristics'!G:G,MATCH($C703,'Policy Characteristics'!$C:$C,0))),"",INDEX('Policy Characteristics'!G:G,MATCH($C703,'Policy Characteristics'!$C:$C,0)))</f>
        <v>1</v>
      </c>
      <c r="N703" s="261">
        <f>IF(ISBLANK(INDEX('Policy Characteristics'!H:H,MATCH($C703,'Policy Characteristics'!$C:$C,0))),"",INDEX('Policy Characteristics'!H:H,MATCH($C703,'Policy Characteristics'!$C:$C,0)))</f>
        <v>0.01</v>
      </c>
      <c r="O703" s="254" t="str">
        <f>IF(ISBLANK(INDEX('Policy Characteristics'!I:I,MATCH($C703,'Policy Characteristics'!$C:$C,0))),"",INDEX('Policy Characteristics'!I:I,MATCH($C703,'Policy Characteristics'!$C:$C,0)))</f>
        <v>% of fuel shifted</v>
      </c>
      <c r="P703" s="254"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4" t="str">
        <f>IF(ISBLANK(INDEX('Policy Characteristics'!K:K,MATCH($C703,'Policy Characteristics'!$C:$C,0))),"",INDEX('Policy Characteristics'!K:K,MATCH($C703,'Policy Characteristics'!$C:$C,0)))</f>
        <v>industry-ag-main.html#fuel-switching</v>
      </c>
      <c r="R703" s="254" t="str">
        <f>IF(ISBLANK(INDEX('Policy Characteristics'!L:L,MATCH($C703,'Policy Characteristics'!$C:$C,0))),"",INDEX('Policy Characteristics'!L:L,MATCH($C703,'Policy Characteristics'!$C:$C,0)))</f>
        <v>industry-elec-and-hydrogen.html</v>
      </c>
    </row>
    <row r="704" spans="1:18" x14ac:dyDescent="0.3">
      <c r="A704" s="254" t="str">
        <f>IF(ISBLANK(INDEX('Policy Characteristics'!A:A,MATCH($C704,'Policy Characteristics'!$C:$C,0))),"",INDEX('Policy Characteristics'!A:A,MATCH($C704,'Policy Characteristics'!$C:$C,0)))</f>
        <v>Industry</v>
      </c>
      <c r="B704" s="262" t="str">
        <f>IF(ISBLANK(INDEX('Policy Characteristics'!B:B,MATCH($C704,'Policy Characteristics'!$C:$C,0))),"",INDEX('Policy Characteristics'!B:B,MATCH($C704,'Policy Characteristics'!$C:$C,0)))</f>
        <v>Electrification</v>
      </c>
      <c r="C704" s="254" t="str">
        <f t="shared" si="37"/>
        <v>Fraction of Eligible Industrial Energy Use Shifted to Electricity</v>
      </c>
      <c r="D704" s="6" t="s">
        <v>3070</v>
      </c>
      <c r="E704" s="1" t="s">
        <v>3517</v>
      </c>
      <c r="F704" t="s">
        <v>2579</v>
      </c>
      <c r="G704" s="45" t="s">
        <v>3524</v>
      </c>
      <c r="H704" s="43">
        <v>1908</v>
      </c>
      <c r="I704" s="324" t="s">
        <v>43</v>
      </c>
      <c r="J704" s="255" t="str">
        <f>IF(ISBLANK(INDEX('Policy Characteristics'!D:D,MATCH($C704,'Policy Characteristics'!$C:$C,0))),"",INDEX('Policy Characteristics'!D:D,MATCH($C704,'Policy Characteristics'!$C:$C,0)))</f>
        <v>Electrification</v>
      </c>
      <c r="K704" s="254" t="str">
        <f>IF(ISBLANK(INDEX('Policy Characteristics'!E:E,MATCH($C704,'Policy Characteristics'!$C:$C,0))),"",INDEX('Policy Characteristics'!E:E,MATCH($C704,'Policy Characteristics'!$C:$C,0)))</f>
        <v>indst shift to electricity</v>
      </c>
      <c r="L704" s="261">
        <f>IF(ISBLANK(INDEX('Policy Characteristics'!F:F,MATCH($C704,'Policy Characteristics'!$C:$C,0))),"",INDEX('Policy Characteristics'!F:F,MATCH($C704,'Policy Characteristics'!$C:$C,0)))</f>
        <v>0</v>
      </c>
      <c r="M704" s="261">
        <f>IF(ISBLANK(INDEX('Policy Characteristics'!G:G,MATCH($C704,'Policy Characteristics'!$C:$C,0))),"",INDEX('Policy Characteristics'!G:G,MATCH($C704,'Policy Characteristics'!$C:$C,0)))</f>
        <v>1</v>
      </c>
      <c r="N704" s="261">
        <f>IF(ISBLANK(INDEX('Policy Characteristics'!H:H,MATCH($C704,'Policy Characteristics'!$C:$C,0))),"",INDEX('Policy Characteristics'!H:H,MATCH($C704,'Policy Characteristics'!$C:$C,0)))</f>
        <v>0.01</v>
      </c>
      <c r="O704" s="254" t="str">
        <f>IF(ISBLANK(INDEX('Policy Characteristics'!I:I,MATCH($C704,'Policy Characteristics'!$C:$C,0))),"",INDEX('Policy Characteristics'!I:I,MATCH($C704,'Policy Characteristics'!$C:$C,0)))</f>
        <v>% of fuel shifted</v>
      </c>
      <c r="P704" s="254"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4" t="str">
        <f>IF(ISBLANK(INDEX('Policy Characteristics'!K:K,MATCH($C704,'Policy Characteristics'!$C:$C,0))),"",INDEX('Policy Characteristics'!K:K,MATCH($C704,'Policy Characteristics'!$C:$C,0)))</f>
        <v>industry-ag-main.html#fuel-switching</v>
      </c>
      <c r="R704" s="254" t="str">
        <f>IF(ISBLANK(INDEX('Policy Characteristics'!L:L,MATCH($C704,'Policy Characteristics'!$C:$C,0))),"",INDEX('Policy Characteristics'!L:L,MATCH($C704,'Policy Characteristics'!$C:$C,0)))</f>
        <v>industry-elec-and-hydrogen.html</v>
      </c>
    </row>
    <row r="705" spans="1:18" x14ac:dyDescent="0.3">
      <c r="A705" s="254" t="str">
        <f>IF(ISBLANK(INDEX('Policy Characteristics'!A:A,MATCH($C705,'Policy Characteristics'!$C:$C,0))),"",INDEX('Policy Characteristics'!A:A,MATCH($C705,'Policy Characteristics'!$C:$C,0)))</f>
        <v>Industry</v>
      </c>
      <c r="B705" s="262" t="str">
        <f>IF(ISBLANK(INDEX('Policy Characteristics'!B:B,MATCH($C705,'Policy Characteristics'!$C:$C,0))),"",INDEX('Policy Characteristics'!B:B,MATCH($C705,'Policy Characteristics'!$C:$C,0)))</f>
        <v>Electrification</v>
      </c>
      <c r="C705" s="254" t="str">
        <f t="shared" si="37"/>
        <v>Fraction of Eligible Industrial Energy Use Shifted to Electricity</v>
      </c>
      <c r="D705" s="6" t="s">
        <v>3070</v>
      </c>
      <c r="E705" s="1" t="s">
        <v>3518</v>
      </c>
      <c r="F705" t="s">
        <v>2579</v>
      </c>
      <c r="G705" s="45" t="s">
        <v>3525</v>
      </c>
      <c r="H705" s="43">
        <v>1909</v>
      </c>
      <c r="I705" s="324" t="s">
        <v>43</v>
      </c>
      <c r="J705" s="255" t="str">
        <f>IF(ISBLANK(INDEX('Policy Characteristics'!D:D,MATCH($C705,'Policy Characteristics'!$C:$C,0))),"",INDEX('Policy Characteristics'!D:D,MATCH($C705,'Policy Characteristics'!$C:$C,0)))</f>
        <v>Electrification</v>
      </c>
      <c r="K705" s="254" t="str">
        <f>IF(ISBLANK(INDEX('Policy Characteristics'!E:E,MATCH($C705,'Policy Characteristics'!$C:$C,0))),"",INDEX('Policy Characteristics'!E:E,MATCH($C705,'Policy Characteristics'!$C:$C,0)))</f>
        <v>indst shift to electricity</v>
      </c>
      <c r="L705" s="261">
        <f>IF(ISBLANK(INDEX('Policy Characteristics'!F:F,MATCH($C705,'Policy Characteristics'!$C:$C,0))),"",INDEX('Policy Characteristics'!F:F,MATCH($C705,'Policy Characteristics'!$C:$C,0)))</f>
        <v>0</v>
      </c>
      <c r="M705" s="261">
        <f>IF(ISBLANK(INDEX('Policy Characteristics'!G:G,MATCH($C705,'Policy Characteristics'!$C:$C,0))),"",INDEX('Policy Characteristics'!G:G,MATCH($C705,'Policy Characteristics'!$C:$C,0)))</f>
        <v>1</v>
      </c>
      <c r="N705" s="261">
        <f>IF(ISBLANK(INDEX('Policy Characteristics'!H:H,MATCH($C705,'Policy Characteristics'!$C:$C,0))),"",INDEX('Policy Characteristics'!H:H,MATCH($C705,'Policy Characteristics'!$C:$C,0)))</f>
        <v>0.01</v>
      </c>
      <c r="O705" s="254" t="str">
        <f>IF(ISBLANK(INDEX('Policy Characteristics'!I:I,MATCH($C705,'Policy Characteristics'!$C:$C,0))),"",INDEX('Policy Characteristics'!I:I,MATCH($C705,'Policy Characteristics'!$C:$C,0)))</f>
        <v>% of fuel shifted</v>
      </c>
      <c r="P705" s="254"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4" t="str">
        <f>IF(ISBLANK(INDEX('Policy Characteristics'!K:K,MATCH($C705,'Policy Characteristics'!$C:$C,0))),"",INDEX('Policy Characteristics'!K:K,MATCH($C705,'Policy Characteristics'!$C:$C,0)))</f>
        <v>industry-ag-main.html#fuel-switching</v>
      </c>
      <c r="R705" s="254" t="str">
        <f>IF(ISBLANK(INDEX('Policy Characteristics'!L:L,MATCH($C705,'Policy Characteristics'!$C:$C,0))),"",INDEX('Policy Characteristics'!L:L,MATCH($C705,'Policy Characteristics'!$C:$C,0)))</f>
        <v>industry-elec-and-hydrogen.html</v>
      </c>
    </row>
    <row r="706" spans="1:18" x14ac:dyDescent="0.3">
      <c r="A706" s="254" t="str">
        <f>IF(ISBLANK(INDEX('Policy Characteristics'!A:A,MATCH($C706,'Policy Characteristics'!$C:$C,0))),"",INDEX('Policy Characteristics'!A:A,MATCH($C706,'Policy Characteristics'!$C:$C,0)))</f>
        <v>Industry</v>
      </c>
      <c r="B706" s="262" t="str">
        <f>IF(ISBLANK(INDEX('Policy Characteristics'!B:B,MATCH($C706,'Policy Characteristics'!$C:$C,0))),"",INDEX('Policy Characteristics'!B:B,MATCH($C706,'Policy Characteristics'!$C:$C,0)))</f>
        <v>Electrification</v>
      </c>
      <c r="C706" s="254" t="str">
        <f t="shared" si="37"/>
        <v>Fraction of Eligible Industrial Energy Use Shifted to Electricity</v>
      </c>
      <c r="D706" s="6" t="s">
        <v>3070</v>
      </c>
      <c r="E706" s="1" t="s">
        <v>3519</v>
      </c>
      <c r="F706" t="s">
        <v>2579</v>
      </c>
      <c r="G706" s="45" t="s">
        <v>3526</v>
      </c>
      <c r="H706" s="43">
        <v>1910</v>
      </c>
      <c r="I706" s="324" t="s">
        <v>43</v>
      </c>
      <c r="J706" s="255" t="str">
        <f>IF(ISBLANK(INDEX('Policy Characteristics'!D:D,MATCH($C706,'Policy Characteristics'!$C:$C,0))),"",INDEX('Policy Characteristics'!D:D,MATCH($C706,'Policy Characteristics'!$C:$C,0)))</f>
        <v>Electrification</v>
      </c>
      <c r="K706" s="254" t="str">
        <f>IF(ISBLANK(INDEX('Policy Characteristics'!E:E,MATCH($C706,'Policy Characteristics'!$C:$C,0))),"",INDEX('Policy Characteristics'!E:E,MATCH($C706,'Policy Characteristics'!$C:$C,0)))</f>
        <v>indst shift to electricity</v>
      </c>
      <c r="L706" s="261">
        <f>IF(ISBLANK(INDEX('Policy Characteristics'!F:F,MATCH($C706,'Policy Characteristics'!$C:$C,0))),"",INDEX('Policy Characteristics'!F:F,MATCH($C706,'Policy Characteristics'!$C:$C,0)))</f>
        <v>0</v>
      </c>
      <c r="M706" s="261">
        <f>IF(ISBLANK(INDEX('Policy Characteristics'!G:G,MATCH($C706,'Policy Characteristics'!$C:$C,0))),"",INDEX('Policy Characteristics'!G:G,MATCH($C706,'Policy Characteristics'!$C:$C,0)))</f>
        <v>1</v>
      </c>
      <c r="N706" s="261">
        <f>IF(ISBLANK(INDEX('Policy Characteristics'!H:H,MATCH($C706,'Policy Characteristics'!$C:$C,0))),"",INDEX('Policy Characteristics'!H:H,MATCH($C706,'Policy Characteristics'!$C:$C,0)))</f>
        <v>0.01</v>
      </c>
      <c r="O706" s="254" t="str">
        <f>IF(ISBLANK(INDEX('Policy Characteristics'!I:I,MATCH($C706,'Policy Characteristics'!$C:$C,0))),"",INDEX('Policy Characteristics'!I:I,MATCH($C706,'Policy Characteristics'!$C:$C,0)))</f>
        <v>% of fuel shifted</v>
      </c>
      <c r="P706" s="254"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4" t="str">
        <f>IF(ISBLANK(INDEX('Policy Characteristics'!K:K,MATCH($C706,'Policy Characteristics'!$C:$C,0))),"",INDEX('Policy Characteristics'!K:K,MATCH($C706,'Policy Characteristics'!$C:$C,0)))</f>
        <v>industry-ag-main.html#fuel-switching</v>
      </c>
      <c r="R706" s="254" t="str">
        <f>IF(ISBLANK(INDEX('Policy Characteristics'!L:L,MATCH($C706,'Policy Characteristics'!$C:$C,0))),"",INDEX('Policy Characteristics'!L:L,MATCH($C706,'Policy Characteristics'!$C:$C,0)))</f>
        <v>industry-elec-and-hydrogen.html</v>
      </c>
    </row>
    <row r="707" spans="1:18" x14ac:dyDescent="0.3">
      <c r="A707" s="254" t="str">
        <f>IF(ISBLANK(INDEX('Policy Characteristics'!A:A,MATCH($C707,'Policy Characteristics'!$C:$C,0))),"",INDEX('Policy Characteristics'!A:A,MATCH($C707,'Policy Characteristics'!$C:$C,0)))</f>
        <v>Industry</v>
      </c>
      <c r="B707" s="262" t="str">
        <f>IF(ISBLANK(INDEX('Policy Characteristics'!B:B,MATCH($C707,'Policy Characteristics'!$C:$C,0))),"",INDEX('Policy Characteristics'!B:B,MATCH($C707,'Policy Characteristics'!$C:$C,0)))</f>
        <v>Electrification</v>
      </c>
      <c r="C707" s="254" t="str">
        <f t="shared" si="37"/>
        <v>Fraction of Eligible Industrial Energy Use Shifted to Electricity</v>
      </c>
      <c r="D707" s="6" t="s">
        <v>3070</v>
      </c>
      <c r="E707" s="1" t="s">
        <v>3520</v>
      </c>
      <c r="F707" t="s">
        <v>2579</v>
      </c>
      <c r="G707" s="45" t="s">
        <v>3527</v>
      </c>
      <c r="H707" s="43">
        <v>1911</v>
      </c>
      <c r="I707" s="324" t="s">
        <v>43</v>
      </c>
      <c r="J707" s="255" t="str">
        <f>IF(ISBLANK(INDEX('Policy Characteristics'!D:D,MATCH($C707,'Policy Characteristics'!$C:$C,0))),"",INDEX('Policy Characteristics'!D:D,MATCH($C707,'Policy Characteristics'!$C:$C,0)))</f>
        <v>Electrification</v>
      </c>
      <c r="K707" s="254" t="str">
        <f>IF(ISBLANK(INDEX('Policy Characteristics'!E:E,MATCH($C707,'Policy Characteristics'!$C:$C,0))),"",INDEX('Policy Characteristics'!E:E,MATCH($C707,'Policy Characteristics'!$C:$C,0)))</f>
        <v>indst shift to electricity</v>
      </c>
      <c r="L707" s="261">
        <f>IF(ISBLANK(INDEX('Policy Characteristics'!F:F,MATCH($C707,'Policy Characteristics'!$C:$C,0))),"",INDEX('Policy Characteristics'!F:F,MATCH($C707,'Policy Characteristics'!$C:$C,0)))</f>
        <v>0</v>
      </c>
      <c r="M707" s="261">
        <f>IF(ISBLANK(INDEX('Policy Characteristics'!G:G,MATCH($C707,'Policy Characteristics'!$C:$C,0))),"",INDEX('Policy Characteristics'!G:G,MATCH($C707,'Policy Characteristics'!$C:$C,0)))</f>
        <v>1</v>
      </c>
      <c r="N707" s="261">
        <f>IF(ISBLANK(INDEX('Policy Characteristics'!H:H,MATCH($C707,'Policy Characteristics'!$C:$C,0))),"",INDEX('Policy Characteristics'!H:H,MATCH($C707,'Policy Characteristics'!$C:$C,0)))</f>
        <v>0.01</v>
      </c>
      <c r="O707" s="254" t="str">
        <f>IF(ISBLANK(INDEX('Policy Characteristics'!I:I,MATCH($C707,'Policy Characteristics'!$C:$C,0))),"",INDEX('Policy Characteristics'!I:I,MATCH($C707,'Policy Characteristics'!$C:$C,0)))</f>
        <v>% of fuel shifted</v>
      </c>
      <c r="P707" s="254"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4" t="str">
        <f>IF(ISBLANK(INDEX('Policy Characteristics'!K:K,MATCH($C707,'Policy Characteristics'!$C:$C,0))),"",INDEX('Policy Characteristics'!K:K,MATCH($C707,'Policy Characteristics'!$C:$C,0)))</f>
        <v>industry-ag-main.html#fuel-switching</v>
      </c>
      <c r="R707" s="254" t="str">
        <f>IF(ISBLANK(INDEX('Policy Characteristics'!L:L,MATCH($C707,'Policy Characteristics'!$C:$C,0))),"",INDEX('Policy Characteristics'!L:L,MATCH($C707,'Policy Characteristics'!$C:$C,0)))</f>
        <v>industry-elec-and-hydrogen.html</v>
      </c>
    </row>
    <row r="708" spans="1:18" x14ac:dyDescent="0.3">
      <c r="A708" s="254" t="str">
        <f>IF(ISBLANK(INDEX('Policy Characteristics'!A:A,MATCH($C708,'Policy Characteristics'!$C:$C,0))),"",INDEX('Policy Characteristics'!A:A,MATCH($C708,'Policy Characteristics'!$C:$C,0)))</f>
        <v>Industry</v>
      </c>
      <c r="B708" s="262" t="str">
        <f>IF(ISBLANK(INDEX('Policy Characteristics'!B:B,MATCH($C708,'Policy Characteristics'!$C:$C,0))),"",INDEX('Policy Characteristics'!B:B,MATCH($C708,'Policy Characteristics'!$C:$C,0)))</f>
        <v>Electrification</v>
      </c>
      <c r="C708" s="254" t="str">
        <f t="shared" si="37"/>
        <v>Fraction of Eligible Industrial Energy Use Shifted to Electricity</v>
      </c>
      <c r="D708" s="6" t="s">
        <v>3070</v>
      </c>
      <c r="E708" s="1" t="s">
        <v>3521</v>
      </c>
      <c r="F708" t="s">
        <v>2579</v>
      </c>
      <c r="G708" s="45" t="s">
        <v>3528</v>
      </c>
      <c r="H708" s="43">
        <v>1912</v>
      </c>
      <c r="I708" s="324" t="s">
        <v>43</v>
      </c>
      <c r="J708" s="255" t="str">
        <f>IF(ISBLANK(INDEX('Policy Characteristics'!D:D,MATCH($C708,'Policy Characteristics'!$C:$C,0))),"",INDEX('Policy Characteristics'!D:D,MATCH($C708,'Policy Characteristics'!$C:$C,0)))</f>
        <v>Electrification</v>
      </c>
      <c r="K708" s="254" t="str">
        <f>IF(ISBLANK(INDEX('Policy Characteristics'!E:E,MATCH($C708,'Policy Characteristics'!$C:$C,0))),"",INDEX('Policy Characteristics'!E:E,MATCH($C708,'Policy Characteristics'!$C:$C,0)))</f>
        <v>indst shift to electricity</v>
      </c>
      <c r="L708" s="261">
        <f>IF(ISBLANK(INDEX('Policy Characteristics'!F:F,MATCH($C708,'Policy Characteristics'!$C:$C,0))),"",INDEX('Policy Characteristics'!F:F,MATCH($C708,'Policy Characteristics'!$C:$C,0)))</f>
        <v>0</v>
      </c>
      <c r="M708" s="261">
        <f>IF(ISBLANK(INDEX('Policy Characteristics'!G:G,MATCH($C708,'Policy Characteristics'!$C:$C,0))),"",INDEX('Policy Characteristics'!G:G,MATCH($C708,'Policy Characteristics'!$C:$C,0)))</f>
        <v>1</v>
      </c>
      <c r="N708" s="261">
        <f>IF(ISBLANK(INDEX('Policy Characteristics'!H:H,MATCH($C708,'Policy Characteristics'!$C:$C,0))),"",INDEX('Policy Characteristics'!H:H,MATCH($C708,'Policy Characteristics'!$C:$C,0)))</f>
        <v>0.01</v>
      </c>
      <c r="O708" s="254" t="str">
        <f>IF(ISBLANK(INDEX('Policy Characteristics'!I:I,MATCH($C708,'Policy Characteristics'!$C:$C,0))),"",INDEX('Policy Characteristics'!I:I,MATCH($C708,'Policy Characteristics'!$C:$C,0)))</f>
        <v>% of fuel shifted</v>
      </c>
      <c r="P708" s="254"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4" t="str">
        <f>IF(ISBLANK(INDEX('Policy Characteristics'!K:K,MATCH($C708,'Policy Characteristics'!$C:$C,0))),"",INDEX('Policy Characteristics'!K:K,MATCH($C708,'Policy Characteristics'!$C:$C,0)))</f>
        <v>industry-ag-main.html#fuel-switching</v>
      </c>
      <c r="R708" s="254" t="str">
        <f>IF(ISBLANK(INDEX('Policy Characteristics'!L:L,MATCH($C708,'Policy Characteristics'!$C:$C,0))),"",INDEX('Policy Characteristics'!L:L,MATCH($C708,'Policy Characteristics'!$C:$C,0)))</f>
        <v>industry-elec-and-hydrogen.html</v>
      </c>
    </row>
    <row r="709" spans="1:18" x14ac:dyDescent="0.3">
      <c r="A709" s="254" t="str">
        <f>IF(ISBLANK(INDEX('Policy Characteristics'!A:A,MATCH($C709,'Policy Characteristics'!$C:$C,0))),"",INDEX('Policy Characteristics'!A:A,MATCH($C709,'Policy Characteristics'!$C:$C,0)))</f>
        <v>Industry</v>
      </c>
      <c r="B709" s="262" t="str">
        <f>IF(ISBLANK(INDEX('Policy Characteristics'!B:B,MATCH($C709,'Policy Characteristics'!$C:$C,0))),"",INDEX('Policy Characteristics'!B:B,MATCH($C709,'Policy Characteristics'!$C:$C,0)))</f>
        <v>Electrification</v>
      </c>
      <c r="C709" s="254" t="str">
        <f t="shared" si="37"/>
        <v>Fraction of Eligible Industrial Energy Use Shifted to Electricity</v>
      </c>
      <c r="D709" s="6" t="s">
        <v>3070</v>
      </c>
      <c r="E709" s="1" t="s">
        <v>3671</v>
      </c>
      <c r="F709" t="s">
        <v>2579</v>
      </c>
      <c r="G709" s="45" t="s">
        <v>3671</v>
      </c>
      <c r="H709" s="43">
        <v>1913</v>
      </c>
      <c r="I709" s="324" t="s">
        <v>43</v>
      </c>
      <c r="J709" s="255" t="str">
        <f>IF(ISBLANK(INDEX('Policy Characteristics'!D:D,MATCH($C709,'Policy Characteristics'!$C:$C,0))),"",INDEX('Policy Characteristics'!D:D,MATCH($C709,'Policy Characteristics'!$C:$C,0)))</f>
        <v>Electrification</v>
      </c>
      <c r="K709" s="254" t="str">
        <f>IF(ISBLANK(INDEX('Policy Characteristics'!E:E,MATCH($C709,'Policy Characteristics'!$C:$C,0))),"",INDEX('Policy Characteristics'!E:E,MATCH($C709,'Policy Characteristics'!$C:$C,0)))</f>
        <v>indst shift to electricity</v>
      </c>
      <c r="L709" s="261">
        <f>IF(ISBLANK(INDEX('Policy Characteristics'!F:F,MATCH($C709,'Policy Characteristics'!$C:$C,0))),"",INDEX('Policy Characteristics'!F:F,MATCH($C709,'Policy Characteristics'!$C:$C,0)))</f>
        <v>0</v>
      </c>
      <c r="M709" s="261">
        <f>IF(ISBLANK(INDEX('Policy Characteristics'!G:G,MATCH($C709,'Policy Characteristics'!$C:$C,0))),"",INDEX('Policy Characteristics'!G:G,MATCH($C709,'Policy Characteristics'!$C:$C,0)))</f>
        <v>1</v>
      </c>
      <c r="N709" s="261">
        <f>IF(ISBLANK(INDEX('Policy Characteristics'!H:H,MATCH($C709,'Policy Characteristics'!$C:$C,0))),"",INDEX('Policy Characteristics'!H:H,MATCH($C709,'Policy Characteristics'!$C:$C,0)))</f>
        <v>0.01</v>
      </c>
      <c r="O709" s="254" t="str">
        <f>IF(ISBLANK(INDEX('Policy Characteristics'!I:I,MATCH($C709,'Policy Characteristics'!$C:$C,0))),"",INDEX('Policy Characteristics'!I:I,MATCH($C709,'Policy Characteristics'!$C:$C,0)))</f>
        <v>% of fuel shifted</v>
      </c>
      <c r="P709" s="254"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4" t="str">
        <f>IF(ISBLANK(INDEX('Policy Characteristics'!K:K,MATCH($C709,'Policy Characteristics'!$C:$C,0))),"",INDEX('Policy Characteristics'!K:K,MATCH($C709,'Policy Characteristics'!$C:$C,0)))</f>
        <v>industry-ag-main.html#fuel-switching</v>
      </c>
      <c r="R709" s="254" t="str">
        <f>IF(ISBLANK(INDEX('Policy Characteristics'!L:L,MATCH($C709,'Policy Characteristics'!$C:$C,0))),"",INDEX('Policy Characteristics'!L:L,MATCH($C709,'Policy Characteristics'!$C:$C,0)))</f>
        <v>industry-elec-and-hydrogen.html</v>
      </c>
    </row>
    <row r="710" spans="1:18" x14ac:dyDescent="0.3">
      <c r="A710" s="254" t="str">
        <f>IF(ISBLANK(INDEX('Policy Characteristics'!A:A,MATCH($C710,'Policy Characteristics'!$C:$C,0))),"",INDEX('Policy Characteristics'!A:A,MATCH($C710,'Policy Characteristics'!$C:$C,0)))</f>
        <v>Industry</v>
      </c>
      <c r="B710" s="262" t="str">
        <f>IF(ISBLANK(INDEX('Policy Characteristics'!B:B,MATCH($C710,'Policy Characteristics'!$C:$C,0))),"",INDEX('Policy Characteristics'!B:B,MATCH($C710,'Policy Characteristics'!$C:$C,0)))</f>
        <v>Electrification</v>
      </c>
      <c r="C710" s="254" t="str">
        <f t="shared" si="37"/>
        <v>Fraction of Eligible Industrial Energy Use Shifted to Electricity</v>
      </c>
      <c r="D710" s="6" t="s">
        <v>3071</v>
      </c>
      <c r="E710" s="1" t="s">
        <v>3515</v>
      </c>
      <c r="F710" t="s">
        <v>3034</v>
      </c>
      <c r="G710" s="45" t="s">
        <v>3522</v>
      </c>
      <c r="H710" s="43">
        <v>1914</v>
      </c>
      <c r="I710" s="324" t="s">
        <v>43</v>
      </c>
      <c r="J710" s="255" t="str">
        <f>IF(ISBLANK(INDEX('Policy Characteristics'!D:D,MATCH($C710,'Policy Characteristics'!$C:$C,0))),"",INDEX('Policy Characteristics'!D:D,MATCH($C710,'Policy Characteristics'!$C:$C,0)))</f>
        <v>Electrification</v>
      </c>
      <c r="K710" s="254" t="str">
        <f>IF(ISBLANK(INDEX('Policy Characteristics'!E:E,MATCH($C710,'Policy Characteristics'!$C:$C,0))),"",INDEX('Policy Characteristics'!E:E,MATCH($C710,'Policy Characteristics'!$C:$C,0)))</f>
        <v>indst shift to electricity</v>
      </c>
      <c r="L710" s="261">
        <f>IF(ISBLANK(INDEX('Policy Characteristics'!F:F,MATCH($C710,'Policy Characteristics'!$C:$C,0))),"",INDEX('Policy Characteristics'!F:F,MATCH($C710,'Policy Characteristics'!$C:$C,0)))</f>
        <v>0</v>
      </c>
      <c r="M710" s="261">
        <f>IF(ISBLANK(INDEX('Policy Characteristics'!G:G,MATCH($C710,'Policy Characteristics'!$C:$C,0))),"",INDEX('Policy Characteristics'!G:G,MATCH($C710,'Policy Characteristics'!$C:$C,0)))</f>
        <v>1</v>
      </c>
      <c r="N710" s="261">
        <f>IF(ISBLANK(INDEX('Policy Characteristics'!H:H,MATCH($C710,'Policy Characteristics'!$C:$C,0))),"",INDEX('Policy Characteristics'!H:H,MATCH($C710,'Policy Characteristics'!$C:$C,0)))</f>
        <v>0.01</v>
      </c>
      <c r="O710" s="254" t="str">
        <f>IF(ISBLANK(INDEX('Policy Characteristics'!I:I,MATCH($C710,'Policy Characteristics'!$C:$C,0))),"",INDEX('Policy Characteristics'!I:I,MATCH($C710,'Policy Characteristics'!$C:$C,0)))</f>
        <v>% of fuel shifted</v>
      </c>
      <c r="P710" s="254"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4" t="str">
        <f>IF(ISBLANK(INDEX('Policy Characteristics'!K:K,MATCH($C710,'Policy Characteristics'!$C:$C,0))),"",INDEX('Policy Characteristics'!K:K,MATCH($C710,'Policy Characteristics'!$C:$C,0)))</f>
        <v>industry-ag-main.html#fuel-switching</v>
      </c>
      <c r="R710" s="254" t="str">
        <f>IF(ISBLANK(INDEX('Policy Characteristics'!L:L,MATCH($C710,'Policy Characteristics'!$C:$C,0))),"",INDEX('Policy Characteristics'!L:L,MATCH($C710,'Policy Characteristics'!$C:$C,0)))</f>
        <v>industry-elec-and-hydrogen.html</v>
      </c>
    </row>
    <row r="711" spans="1:18" x14ac:dyDescent="0.3">
      <c r="A711" s="254" t="str">
        <f>IF(ISBLANK(INDEX('Policy Characteristics'!A:A,MATCH($C711,'Policy Characteristics'!$C:$C,0))),"",INDEX('Policy Characteristics'!A:A,MATCH($C711,'Policy Characteristics'!$C:$C,0)))</f>
        <v>Industry</v>
      </c>
      <c r="B711" s="262" t="str">
        <f>IF(ISBLANK(INDEX('Policy Characteristics'!B:B,MATCH($C711,'Policy Characteristics'!$C:$C,0))),"",INDEX('Policy Characteristics'!B:B,MATCH($C711,'Policy Characteristics'!$C:$C,0)))</f>
        <v>Electrification</v>
      </c>
      <c r="C711" s="254" t="str">
        <f t="shared" si="37"/>
        <v>Fraction of Eligible Industrial Energy Use Shifted to Electricity</v>
      </c>
      <c r="D711" s="6" t="s">
        <v>3071</v>
      </c>
      <c r="E711" s="1" t="s">
        <v>3516</v>
      </c>
      <c r="F711" t="s">
        <v>3034</v>
      </c>
      <c r="G711" s="45" t="s">
        <v>3523</v>
      </c>
      <c r="H711" s="43">
        <v>1915</v>
      </c>
      <c r="I711" s="324" t="s">
        <v>43</v>
      </c>
      <c r="J711" s="255" t="str">
        <f>IF(ISBLANK(INDEX('Policy Characteristics'!D:D,MATCH($C711,'Policy Characteristics'!$C:$C,0))),"",INDEX('Policy Characteristics'!D:D,MATCH($C711,'Policy Characteristics'!$C:$C,0)))</f>
        <v>Electrification</v>
      </c>
      <c r="K711" s="254" t="str">
        <f>IF(ISBLANK(INDEX('Policy Characteristics'!E:E,MATCH($C711,'Policy Characteristics'!$C:$C,0))),"",INDEX('Policy Characteristics'!E:E,MATCH($C711,'Policy Characteristics'!$C:$C,0)))</f>
        <v>indst shift to electricity</v>
      </c>
      <c r="L711" s="261">
        <f>IF(ISBLANK(INDEX('Policy Characteristics'!F:F,MATCH($C711,'Policy Characteristics'!$C:$C,0))),"",INDEX('Policy Characteristics'!F:F,MATCH($C711,'Policy Characteristics'!$C:$C,0)))</f>
        <v>0</v>
      </c>
      <c r="M711" s="261">
        <f>IF(ISBLANK(INDEX('Policy Characteristics'!G:G,MATCH($C711,'Policy Characteristics'!$C:$C,0))),"",INDEX('Policy Characteristics'!G:G,MATCH($C711,'Policy Characteristics'!$C:$C,0)))</f>
        <v>1</v>
      </c>
      <c r="N711" s="261">
        <f>IF(ISBLANK(INDEX('Policy Characteristics'!H:H,MATCH($C711,'Policy Characteristics'!$C:$C,0))),"",INDEX('Policy Characteristics'!H:H,MATCH($C711,'Policy Characteristics'!$C:$C,0)))</f>
        <v>0.01</v>
      </c>
      <c r="O711" s="254" t="str">
        <f>IF(ISBLANK(INDEX('Policy Characteristics'!I:I,MATCH($C711,'Policy Characteristics'!$C:$C,0))),"",INDEX('Policy Characteristics'!I:I,MATCH($C711,'Policy Characteristics'!$C:$C,0)))</f>
        <v>% of fuel shifted</v>
      </c>
      <c r="P711" s="254"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4" t="str">
        <f>IF(ISBLANK(INDEX('Policy Characteristics'!K:K,MATCH($C711,'Policy Characteristics'!$C:$C,0))),"",INDEX('Policy Characteristics'!K:K,MATCH($C711,'Policy Characteristics'!$C:$C,0)))</f>
        <v>industry-ag-main.html#fuel-switching</v>
      </c>
      <c r="R711" s="254" t="str">
        <f>IF(ISBLANK(INDEX('Policy Characteristics'!L:L,MATCH($C711,'Policy Characteristics'!$C:$C,0))),"",INDEX('Policy Characteristics'!L:L,MATCH($C711,'Policy Characteristics'!$C:$C,0)))</f>
        <v>industry-elec-and-hydrogen.html</v>
      </c>
    </row>
    <row r="712" spans="1:18" x14ac:dyDescent="0.3">
      <c r="A712" s="254" t="str">
        <f>IF(ISBLANK(INDEX('Policy Characteristics'!A:A,MATCH($C712,'Policy Characteristics'!$C:$C,0))),"",INDEX('Policy Characteristics'!A:A,MATCH($C712,'Policy Characteristics'!$C:$C,0)))</f>
        <v>Industry</v>
      </c>
      <c r="B712" s="262" t="str">
        <f>IF(ISBLANK(INDEX('Policy Characteristics'!B:B,MATCH($C712,'Policy Characteristics'!$C:$C,0))),"",INDEX('Policy Characteristics'!B:B,MATCH($C712,'Policy Characteristics'!$C:$C,0)))</f>
        <v>Electrification</v>
      </c>
      <c r="C712" s="254" t="str">
        <f t="shared" si="37"/>
        <v>Fraction of Eligible Industrial Energy Use Shifted to Electricity</v>
      </c>
      <c r="D712" s="6" t="s">
        <v>3071</v>
      </c>
      <c r="E712" s="1" t="s">
        <v>3517</v>
      </c>
      <c r="F712" t="s">
        <v>3034</v>
      </c>
      <c r="G712" s="45" t="s">
        <v>3524</v>
      </c>
      <c r="H712" s="43">
        <v>1916</v>
      </c>
      <c r="I712" s="324" t="s">
        <v>43</v>
      </c>
      <c r="J712" s="255" t="str">
        <f>IF(ISBLANK(INDEX('Policy Characteristics'!D:D,MATCH($C712,'Policy Characteristics'!$C:$C,0))),"",INDEX('Policy Characteristics'!D:D,MATCH($C712,'Policy Characteristics'!$C:$C,0)))</f>
        <v>Electrification</v>
      </c>
      <c r="K712" s="254" t="str">
        <f>IF(ISBLANK(INDEX('Policy Characteristics'!E:E,MATCH($C712,'Policy Characteristics'!$C:$C,0))),"",INDEX('Policy Characteristics'!E:E,MATCH($C712,'Policy Characteristics'!$C:$C,0)))</f>
        <v>indst shift to electricity</v>
      </c>
      <c r="L712" s="261">
        <f>IF(ISBLANK(INDEX('Policy Characteristics'!F:F,MATCH($C712,'Policy Characteristics'!$C:$C,0))),"",INDEX('Policy Characteristics'!F:F,MATCH($C712,'Policy Characteristics'!$C:$C,0)))</f>
        <v>0</v>
      </c>
      <c r="M712" s="261">
        <f>IF(ISBLANK(INDEX('Policy Characteristics'!G:G,MATCH($C712,'Policy Characteristics'!$C:$C,0))),"",INDEX('Policy Characteristics'!G:G,MATCH($C712,'Policy Characteristics'!$C:$C,0)))</f>
        <v>1</v>
      </c>
      <c r="N712" s="261">
        <f>IF(ISBLANK(INDEX('Policy Characteristics'!H:H,MATCH($C712,'Policy Characteristics'!$C:$C,0))),"",INDEX('Policy Characteristics'!H:H,MATCH($C712,'Policy Characteristics'!$C:$C,0)))</f>
        <v>0.01</v>
      </c>
      <c r="O712" s="254" t="str">
        <f>IF(ISBLANK(INDEX('Policy Characteristics'!I:I,MATCH($C712,'Policy Characteristics'!$C:$C,0))),"",INDEX('Policy Characteristics'!I:I,MATCH($C712,'Policy Characteristics'!$C:$C,0)))</f>
        <v>% of fuel shifted</v>
      </c>
      <c r="P712" s="254"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4" t="str">
        <f>IF(ISBLANK(INDEX('Policy Characteristics'!K:K,MATCH($C712,'Policy Characteristics'!$C:$C,0))),"",INDEX('Policy Characteristics'!K:K,MATCH($C712,'Policy Characteristics'!$C:$C,0)))</f>
        <v>industry-ag-main.html#fuel-switching</v>
      </c>
      <c r="R712" s="254" t="str">
        <f>IF(ISBLANK(INDEX('Policy Characteristics'!L:L,MATCH($C712,'Policy Characteristics'!$C:$C,0))),"",INDEX('Policy Characteristics'!L:L,MATCH($C712,'Policy Characteristics'!$C:$C,0)))</f>
        <v>industry-elec-and-hydrogen.html</v>
      </c>
    </row>
    <row r="713" spans="1:18" x14ac:dyDescent="0.3">
      <c r="A713" s="254" t="str">
        <f>IF(ISBLANK(INDEX('Policy Characteristics'!A:A,MATCH($C713,'Policy Characteristics'!$C:$C,0))),"",INDEX('Policy Characteristics'!A:A,MATCH($C713,'Policy Characteristics'!$C:$C,0)))</f>
        <v>Industry</v>
      </c>
      <c r="B713" s="262" t="str">
        <f>IF(ISBLANK(INDEX('Policy Characteristics'!B:B,MATCH($C713,'Policy Characteristics'!$C:$C,0))),"",INDEX('Policy Characteristics'!B:B,MATCH($C713,'Policy Characteristics'!$C:$C,0)))</f>
        <v>Electrification</v>
      </c>
      <c r="C713" s="254" t="str">
        <f t="shared" si="37"/>
        <v>Fraction of Eligible Industrial Energy Use Shifted to Electricity</v>
      </c>
      <c r="D713" s="6" t="s">
        <v>3071</v>
      </c>
      <c r="E713" s="1" t="s">
        <v>3518</v>
      </c>
      <c r="F713" t="s">
        <v>3034</v>
      </c>
      <c r="G713" s="45" t="s">
        <v>3525</v>
      </c>
      <c r="H713" s="43">
        <v>1917</v>
      </c>
      <c r="I713" s="324" t="s">
        <v>43</v>
      </c>
      <c r="J713" s="255" t="str">
        <f>IF(ISBLANK(INDEX('Policy Characteristics'!D:D,MATCH($C713,'Policy Characteristics'!$C:$C,0))),"",INDEX('Policy Characteristics'!D:D,MATCH($C713,'Policy Characteristics'!$C:$C,0)))</f>
        <v>Electrification</v>
      </c>
      <c r="K713" s="254" t="str">
        <f>IF(ISBLANK(INDEX('Policy Characteristics'!E:E,MATCH($C713,'Policy Characteristics'!$C:$C,0))),"",INDEX('Policy Characteristics'!E:E,MATCH($C713,'Policy Characteristics'!$C:$C,0)))</f>
        <v>indst shift to electricity</v>
      </c>
      <c r="L713" s="261">
        <f>IF(ISBLANK(INDEX('Policy Characteristics'!F:F,MATCH($C713,'Policy Characteristics'!$C:$C,0))),"",INDEX('Policy Characteristics'!F:F,MATCH($C713,'Policy Characteristics'!$C:$C,0)))</f>
        <v>0</v>
      </c>
      <c r="M713" s="261">
        <f>IF(ISBLANK(INDEX('Policy Characteristics'!G:G,MATCH($C713,'Policy Characteristics'!$C:$C,0))),"",INDEX('Policy Characteristics'!G:G,MATCH($C713,'Policy Characteristics'!$C:$C,0)))</f>
        <v>1</v>
      </c>
      <c r="N713" s="261">
        <f>IF(ISBLANK(INDEX('Policy Characteristics'!H:H,MATCH($C713,'Policy Characteristics'!$C:$C,0))),"",INDEX('Policy Characteristics'!H:H,MATCH($C713,'Policy Characteristics'!$C:$C,0)))</f>
        <v>0.01</v>
      </c>
      <c r="O713" s="254" t="str">
        <f>IF(ISBLANK(INDEX('Policy Characteristics'!I:I,MATCH($C713,'Policy Characteristics'!$C:$C,0))),"",INDEX('Policy Characteristics'!I:I,MATCH($C713,'Policy Characteristics'!$C:$C,0)))</f>
        <v>% of fuel shifted</v>
      </c>
      <c r="P713" s="254"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4" t="str">
        <f>IF(ISBLANK(INDEX('Policy Characteristics'!K:K,MATCH($C713,'Policy Characteristics'!$C:$C,0))),"",INDEX('Policy Characteristics'!K:K,MATCH($C713,'Policy Characteristics'!$C:$C,0)))</f>
        <v>industry-ag-main.html#fuel-switching</v>
      </c>
      <c r="R713" s="254" t="str">
        <f>IF(ISBLANK(INDEX('Policy Characteristics'!L:L,MATCH($C713,'Policy Characteristics'!$C:$C,0))),"",INDEX('Policy Characteristics'!L:L,MATCH($C713,'Policy Characteristics'!$C:$C,0)))</f>
        <v>industry-elec-and-hydrogen.html</v>
      </c>
    </row>
    <row r="714" spans="1:18" x14ac:dyDescent="0.3">
      <c r="A714" s="254" t="str">
        <f>IF(ISBLANK(INDEX('Policy Characteristics'!A:A,MATCH($C714,'Policy Characteristics'!$C:$C,0))),"",INDEX('Policy Characteristics'!A:A,MATCH($C714,'Policy Characteristics'!$C:$C,0)))</f>
        <v>Industry</v>
      </c>
      <c r="B714" s="262" t="str">
        <f>IF(ISBLANK(INDEX('Policy Characteristics'!B:B,MATCH($C714,'Policy Characteristics'!$C:$C,0))),"",INDEX('Policy Characteristics'!B:B,MATCH($C714,'Policy Characteristics'!$C:$C,0)))</f>
        <v>Electrification</v>
      </c>
      <c r="C714" s="254" t="str">
        <f t="shared" si="37"/>
        <v>Fraction of Eligible Industrial Energy Use Shifted to Electricity</v>
      </c>
      <c r="D714" s="6" t="s">
        <v>3071</v>
      </c>
      <c r="E714" s="1" t="s">
        <v>3519</v>
      </c>
      <c r="F714" t="s">
        <v>3034</v>
      </c>
      <c r="G714" s="45" t="s">
        <v>3526</v>
      </c>
      <c r="H714" s="43">
        <v>1918</v>
      </c>
      <c r="I714" s="324" t="s">
        <v>43</v>
      </c>
      <c r="J714" s="255" t="str">
        <f>IF(ISBLANK(INDEX('Policy Characteristics'!D:D,MATCH($C714,'Policy Characteristics'!$C:$C,0))),"",INDEX('Policy Characteristics'!D:D,MATCH($C714,'Policy Characteristics'!$C:$C,0)))</f>
        <v>Electrification</v>
      </c>
      <c r="K714" s="254" t="str">
        <f>IF(ISBLANK(INDEX('Policy Characteristics'!E:E,MATCH($C714,'Policy Characteristics'!$C:$C,0))),"",INDEX('Policy Characteristics'!E:E,MATCH($C714,'Policy Characteristics'!$C:$C,0)))</f>
        <v>indst shift to electricity</v>
      </c>
      <c r="L714" s="261">
        <f>IF(ISBLANK(INDEX('Policy Characteristics'!F:F,MATCH($C714,'Policy Characteristics'!$C:$C,0))),"",INDEX('Policy Characteristics'!F:F,MATCH($C714,'Policy Characteristics'!$C:$C,0)))</f>
        <v>0</v>
      </c>
      <c r="M714" s="261">
        <f>IF(ISBLANK(INDEX('Policy Characteristics'!G:G,MATCH($C714,'Policy Characteristics'!$C:$C,0))),"",INDEX('Policy Characteristics'!G:G,MATCH($C714,'Policy Characteristics'!$C:$C,0)))</f>
        <v>1</v>
      </c>
      <c r="N714" s="261">
        <f>IF(ISBLANK(INDEX('Policy Characteristics'!H:H,MATCH($C714,'Policy Characteristics'!$C:$C,0))),"",INDEX('Policy Characteristics'!H:H,MATCH($C714,'Policy Characteristics'!$C:$C,0)))</f>
        <v>0.01</v>
      </c>
      <c r="O714" s="254" t="str">
        <f>IF(ISBLANK(INDEX('Policy Characteristics'!I:I,MATCH($C714,'Policy Characteristics'!$C:$C,0))),"",INDEX('Policy Characteristics'!I:I,MATCH($C714,'Policy Characteristics'!$C:$C,0)))</f>
        <v>% of fuel shifted</v>
      </c>
      <c r="P714" s="254"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4" t="str">
        <f>IF(ISBLANK(INDEX('Policy Characteristics'!K:K,MATCH($C714,'Policy Characteristics'!$C:$C,0))),"",INDEX('Policy Characteristics'!K:K,MATCH($C714,'Policy Characteristics'!$C:$C,0)))</f>
        <v>industry-ag-main.html#fuel-switching</v>
      </c>
      <c r="R714" s="254" t="str">
        <f>IF(ISBLANK(INDEX('Policy Characteristics'!L:L,MATCH($C714,'Policy Characteristics'!$C:$C,0))),"",INDEX('Policy Characteristics'!L:L,MATCH($C714,'Policy Characteristics'!$C:$C,0)))</f>
        <v>industry-elec-and-hydrogen.html</v>
      </c>
    </row>
    <row r="715" spans="1:18" x14ac:dyDescent="0.3">
      <c r="A715" s="254" t="str">
        <f>IF(ISBLANK(INDEX('Policy Characteristics'!A:A,MATCH($C715,'Policy Characteristics'!$C:$C,0))),"",INDEX('Policy Characteristics'!A:A,MATCH($C715,'Policy Characteristics'!$C:$C,0)))</f>
        <v>Industry</v>
      </c>
      <c r="B715" s="262" t="str">
        <f>IF(ISBLANK(INDEX('Policy Characteristics'!B:B,MATCH($C715,'Policy Characteristics'!$C:$C,0))),"",INDEX('Policy Characteristics'!B:B,MATCH($C715,'Policy Characteristics'!$C:$C,0)))</f>
        <v>Electrification</v>
      </c>
      <c r="C715" s="254" t="str">
        <f t="shared" si="37"/>
        <v>Fraction of Eligible Industrial Energy Use Shifted to Electricity</v>
      </c>
      <c r="D715" s="6" t="s">
        <v>3071</v>
      </c>
      <c r="E715" s="1" t="s">
        <v>3520</v>
      </c>
      <c r="F715" t="s">
        <v>3034</v>
      </c>
      <c r="G715" s="45" t="s">
        <v>3527</v>
      </c>
      <c r="H715" s="43">
        <v>1919</v>
      </c>
      <c r="I715" s="324" t="s">
        <v>43</v>
      </c>
      <c r="J715" s="255" t="str">
        <f>IF(ISBLANK(INDEX('Policy Characteristics'!D:D,MATCH($C715,'Policy Characteristics'!$C:$C,0))),"",INDEX('Policy Characteristics'!D:D,MATCH($C715,'Policy Characteristics'!$C:$C,0)))</f>
        <v>Electrification</v>
      </c>
      <c r="K715" s="254" t="str">
        <f>IF(ISBLANK(INDEX('Policy Characteristics'!E:E,MATCH($C715,'Policy Characteristics'!$C:$C,0))),"",INDEX('Policy Characteristics'!E:E,MATCH($C715,'Policy Characteristics'!$C:$C,0)))</f>
        <v>indst shift to electricity</v>
      </c>
      <c r="L715" s="261">
        <f>IF(ISBLANK(INDEX('Policy Characteristics'!F:F,MATCH($C715,'Policy Characteristics'!$C:$C,0))),"",INDEX('Policy Characteristics'!F:F,MATCH($C715,'Policy Characteristics'!$C:$C,0)))</f>
        <v>0</v>
      </c>
      <c r="M715" s="261">
        <f>IF(ISBLANK(INDEX('Policy Characteristics'!G:G,MATCH($C715,'Policy Characteristics'!$C:$C,0))),"",INDEX('Policy Characteristics'!G:G,MATCH($C715,'Policy Characteristics'!$C:$C,0)))</f>
        <v>1</v>
      </c>
      <c r="N715" s="261">
        <f>IF(ISBLANK(INDEX('Policy Characteristics'!H:H,MATCH($C715,'Policy Characteristics'!$C:$C,0))),"",INDEX('Policy Characteristics'!H:H,MATCH($C715,'Policy Characteristics'!$C:$C,0)))</f>
        <v>0.01</v>
      </c>
      <c r="O715" s="254" t="str">
        <f>IF(ISBLANK(INDEX('Policy Characteristics'!I:I,MATCH($C715,'Policy Characteristics'!$C:$C,0))),"",INDEX('Policy Characteristics'!I:I,MATCH($C715,'Policy Characteristics'!$C:$C,0)))</f>
        <v>% of fuel shifted</v>
      </c>
      <c r="P715" s="254"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4" t="str">
        <f>IF(ISBLANK(INDEX('Policy Characteristics'!K:K,MATCH($C715,'Policy Characteristics'!$C:$C,0))),"",INDEX('Policy Characteristics'!K:K,MATCH($C715,'Policy Characteristics'!$C:$C,0)))</f>
        <v>industry-ag-main.html#fuel-switching</v>
      </c>
      <c r="R715" s="254" t="str">
        <f>IF(ISBLANK(INDEX('Policy Characteristics'!L:L,MATCH($C715,'Policy Characteristics'!$C:$C,0))),"",INDEX('Policy Characteristics'!L:L,MATCH($C715,'Policy Characteristics'!$C:$C,0)))</f>
        <v>industry-elec-and-hydrogen.html</v>
      </c>
    </row>
    <row r="716" spans="1:18" x14ac:dyDescent="0.3">
      <c r="A716" s="254" t="str">
        <f>IF(ISBLANK(INDEX('Policy Characteristics'!A:A,MATCH($C716,'Policy Characteristics'!$C:$C,0))),"",INDEX('Policy Characteristics'!A:A,MATCH($C716,'Policy Characteristics'!$C:$C,0)))</f>
        <v>Industry</v>
      </c>
      <c r="B716" s="262" t="str">
        <f>IF(ISBLANK(INDEX('Policy Characteristics'!B:B,MATCH($C716,'Policy Characteristics'!$C:$C,0))),"",INDEX('Policy Characteristics'!B:B,MATCH($C716,'Policy Characteristics'!$C:$C,0)))</f>
        <v>Electrification</v>
      </c>
      <c r="C716" s="254" t="str">
        <f t="shared" si="37"/>
        <v>Fraction of Eligible Industrial Energy Use Shifted to Electricity</v>
      </c>
      <c r="D716" s="6" t="s">
        <v>3071</v>
      </c>
      <c r="E716" s="1" t="s">
        <v>3521</v>
      </c>
      <c r="F716" t="s">
        <v>3034</v>
      </c>
      <c r="G716" s="45" t="s">
        <v>3528</v>
      </c>
      <c r="H716" s="43">
        <v>1920</v>
      </c>
      <c r="I716" s="324" t="s">
        <v>43</v>
      </c>
      <c r="J716" s="255" t="str">
        <f>IF(ISBLANK(INDEX('Policy Characteristics'!D:D,MATCH($C716,'Policy Characteristics'!$C:$C,0))),"",INDEX('Policy Characteristics'!D:D,MATCH($C716,'Policy Characteristics'!$C:$C,0)))</f>
        <v>Electrification</v>
      </c>
      <c r="K716" s="254" t="str">
        <f>IF(ISBLANK(INDEX('Policy Characteristics'!E:E,MATCH($C716,'Policy Characteristics'!$C:$C,0))),"",INDEX('Policy Characteristics'!E:E,MATCH($C716,'Policy Characteristics'!$C:$C,0)))</f>
        <v>indst shift to electricity</v>
      </c>
      <c r="L716" s="261">
        <f>IF(ISBLANK(INDEX('Policy Characteristics'!F:F,MATCH($C716,'Policy Characteristics'!$C:$C,0))),"",INDEX('Policy Characteristics'!F:F,MATCH($C716,'Policy Characteristics'!$C:$C,0)))</f>
        <v>0</v>
      </c>
      <c r="M716" s="261">
        <f>IF(ISBLANK(INDEX('Policy Characteristics'!G:G,MATCH($C716,'Policy Characteristics'!$C:$C,0))),"",INDEX('Policy Characteristics'!G:G,MATCH($C716,'Policy Characteristics'!$C:$C,0)))</f>
        <v>1</v>
      </c>
      <c r="N716" s="261">
        <f>IF(ISBLANK(INDEX('Policy Characteristics'!H:H,MATCH($C716,'Policy Characteristics'!$C:$C,0))),"",INDEX('Policy Characteristics'!H:H,MATCH($C716,'Policy Characteristics'!$C:$C,0)))</f>
        <v>0.01</v>
      </c>
      <c r="O716" s="254" t="str">
        <f>IF(ISBLANK(INDEX('Policy Characteristics'!I:I,MATCH($C716,'Policy Characteristics'!$C:$C,0))),"",INDEX('Policy Characteristics'!I:I,MATCH($C716,'Policy Characteristics'!$C:$C,0)))</f>
        <v>% of fuel shifted</v>
      </c>
      <c r="P716" s="254"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4" t="str">
        <f>IF(ISBLANK(INDEX('Policy Characteristics'!K:K,MATCH($C716,'Policy Characteristics'!$C:$C,0))),"",INDEX('Policy Characteristics'!K:K,MATCH($C716,'Policy Characteristics'!$C:$C,0)))</f>
        <v>industry-ag-main.html#fuel-switching</v>
      </c>
      <c r="R716" s="254" t="str">
        <f>IF(ISBLANK(INDEX('Policy Characteristics'!L:L,MATCH($C716,'Policy Characteristics'!$C:$C,0))),"",INDEX('Policy Characteristics'!L:L,MATCH($C716,'Policy Characteristics'!$C:$C,0)))</f>
        <v>industry-elec-and-hydrogen.html</v>
      </c>
    </row>
    <row r="717" spans="1:18" x14ac:dyDescent="0.3">
      <c r="A717" s="254" t="str">
        <f>IF(ISBLANK(INDEX('Policy Characteristics'!A:A,MATCH($C717,'Policy Characteristics'!$C:$C,0))),"",INDEX('Policy Characteristics'!A:A,MATCH($C717,'Policy Characteristics'!$C:$C,0)))</f>
        <v>Industry</v>
      </c>
      <c r="B717" s="262" t="str">
        <f>IF(ISBLANK(INDEX('Policy Characteristics'!B:B,MATCH($C717,'Policy Characteristics'!$C:$C,0))),"",INDEX('Policy Characteristics'!B:B,MATCH($C717,'Policy Characteristics'!$C:$C,0)))</f>
        <v>Electrification</v>
      </c>
      <c r="C717" s="254" t="str">
        <f t="shared" si="37"/>
        <v>Fraction of Eligible Industrial Energy Use Shifted to Electricity</v>
      </c>
      <c r="D717" s="6" t="s">
        <v>3071</v>
      </c>
      <c r="E717" s="1" t="s">
        <v>3671</v>
      </c>
      <c r="F717" t="s">
        <v>3034</v>
      </c>
      <c r="G717" s="45" t="s">
        <v>3671</v>
      </c>
      <c r="H717" s="43">
        <v>1921</v>
      </c>
      <c r="I717" s="324" t="s">
        <v>43</v>
      </c>
      <c r="J717" s="255" t="str">
        <f>IF(ISBLANK(INDEX('Policy Characteristics'!D:D,MATCH($C717,'Policy Characteristics'!$C:$C,0))),"",INDEX('Policy Characteristics'!D:D,MATCH($C717,'Policy Characteristics'!$C:$C,0)))</f>
        <v>Electrification</v>
      </c>
      <c r="K717" s="254" t="str">
        <f>IF(ISBLANK(INDEX('Policy Characteristics'!E:E,MATCH($C717,'Policy Characteristics'!$C:$C,0))),"",INDEX('Policy Characteristics'!E:E,MATCH($C717,'Policy Characteristics'!$C:$C,0)))</f>
        <v>indst shift to electricity</v>
      </c>
      <c r="L717" s="261">
        <f>IF(ISBLANK(INDEX('Policy Characteristics'!F:F,MATCH($C717,'Policy Characteristics'!$C:$C,0))),"",INDEX('Policy Characteristics'!F:F,MATCH($C717,'Policy Characteristics'!$C:$C,0)))</f>
        <v>0</v>
      </c>
      <c r="M717" s="261">
        <f>IF(ISBLANK(INDEX('Policy Characteristics'!G:G,MATCH($C717,'Policy Characteristics'!$C:$C,0))),"",INDEX('Policy Characteristics'!G:G,MATCH($C717,'Policy Characteristics'!$C:$C,0)))</f>
        <v>1</v>
      </c>
      <c r="N717" s="261">
        <f>IF(ISBLANK(INDEX('Policy Characteristics'!H:H,MATCH($C717,'Policy Characteristics'!$C:$C,0))),"",INDEX('Policy Characteristics'!H:H,MATCH($C717,'Policy Characteristics'!$C:$C,0)))</f>
        <v>0.01</v>
      </c>
      <c r="O717" s="254" t="str">
        <f>IF(ISBLANK(INDEX('Policy Characteristics'!I:I,MATCH($C717,'Policy Characteristics'!$C:$C,0))),"",INDEX('Policy Characteristics'!I:I,MATCH($C717,'Policy Characteristics'!$C:$C,0)))</f>
        <v>% of fuel shifted</v>
      </c>
      <c r="P717" s="254"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4" t="str">
        <f>IF(ISBLANK(INDEX('Policy Characteristics'!K:K,MATCH($C717,'Policy Characteristics'!$C:$C,0))),"",INDEX('Policy Characteristics'!K:K,MATCH($C717,'Policy Characteristics'!$C:$C,0)))</f>
        <v>industry-ag-main.html#fuel-switching</v>
      </c>
      <c r="R717" s="254" t="str">
        <f>IF(ISBLANK(INDEX('Policy Characteristics'!L:L,MATCH($C717,'Policy Characteristics'!$C:$C,0))),"",INDEX('Policy Characteristics'!L:L,MATCH($C717,'Policy Characteristics'!$C:$C,0)))</f>
        <v>industry-elec-and-hydrogen.html</v>
      </c>
    </row>
    <row r="718" spans="1:18" x14ac:dyDescent="0.3">
      <c r="A718" s="254" t="str">
        <f>IF(ISBLANK(INDEX('Policy Characteristics'!A:A,MATCH($C718,'Policy Characteristics'!$C:$C,0))),"",INDEX('Policy Characteristics'!A:A,MATCH($C718,'Policy Characteristics'!$C:$C,0)))</f>
        <v>Industry</v>
      </c>
      <c r="B718" s="262" t="str">
        <f>IF(ISBLANK(INDEX('Policy Characteristics'!B:B,MATCH($C718,'Policy Characteristics'!$C:$C,0))),"",INDEX('Policy Characteristics'!B:B,MATCH($C718,'Policy Characteristics'!$C:$C,0)))</f>
        <v>Electrification</v>
      </c>
      <c r="C718" s="254" t="str">
        <f t="shared" si="37"/>
        <v>Fraction of Eligible Industrial Energy Use Shifted to Electricity</v>
      </c>
      <c r="D718" s="6" t="s">
        <v>3072</v>
      </c>
      <c r="E718" s="1" t="s">
        <v>3515</v>
      </c>
      <c r="F718" t="s">
        <v>3035</v>
      </c>
      <c r="G718" s="45" t="s">
        <v>3522</v>
      </c>
      <c r="H718" s="43">
        <v>1922</v>
      </c>
      <c r="I718" s="324" t="s">
        <v>43</v>
      </c>
      <c r="J718" s="255" t="str">
        <f>IF(ISBLANK(INDEX('Policy Characteristics'!D:D,MATCH($C718,'Policy Characteristics'!$C:$C,0))),"",INDEX('Policy Characteristics'!D:D,MATCH($C718,'Policy Characteristics'!$C:$C,0)))</f>
        <v>Electrification</v>
      </c>
      <c r="K718" s="254" t="str">
        <f>IF(ISBLANK(INDEX('Policy Characteristics'!E:E,MATCH($C718,'Policy Characteristics'!$C:$C,0))),"",INDEX('Policy Characteristics'!E:E,MATCH($C718,'Policy Characteristics'!$C:$C,0)))</f>
        <v>indst shift to electricity</v>
      </c>
      <c r="L718" s="261">
        <f>IF(ISBLANK(INDEX('Policy Characteristics'!F:F,MATCH($C718,'Policy Characteristics'!$C:$C,0))),"",INDEX('Policy Characteristics'!F:F,MATCH($C718,'Policy Characteristics'!$C:$C,0)))</f>
        <v>0</v>
      </c>
      <c r="M718" s="261">
        <f>IF(ISBLANK(INDEX('Policy Characteristics'!G:G,MATCH($C718,'Policy Characteristics'!$C:$C,0))),"",INDEX('Policy Characteristics'!G:G,MATCH($C718,'Policy Characteristics'!$C:$C,0)))</f>
        <v>1</v>
      </c>
      <c r="N718" s="261">
        <f>IF(ISBLANK(INDEX('Policy Characteristics'!H:H,MATCH($C718,'Policy Characteristics'!$C:$C,0))),"",INDEX('Policy Characteristics'!H:H,MATCH($C718,'Policy Characteristics'!$C:$C,0)))</f>
        <v>0.01</v>
      </c>
      <c r="O718" s="254" t="str">
        <f>IF(ISBLANK(INDEX('Policy Characteristics'!I:I,MATCH($C718,'Policy Characteristics'!$C:$C,0))),"",INDEX('Policy Characteristics'!I:I,MATCH($C718,'Policy Characteristics'!$C:$C,0)))</f>
        <v>% of fuel shifted</v>
      </c>
      <c r="P718" s="254"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4" t="str">
        <f>IF(ISBLANK(INDEX('Policy Characteristics'!K:K,MATCH($C718,'Policy Characteristics'!$C:$C,0))),"",INDEX('Policy Characteristics'!K:K,MATCH($C718,'Policy Characteristics'!$C:$C,0)))</f>
        <v>industry-ag-main.html#fuel-switching</v>
      </c>
      <c r="R718" s="254" t="str">
        <f>IF(ISBLANK(INDEX('Policy Characteristics'!L:L,MATCH($C718,'Policy Characteristics'!$C:$C,0))),"",INDEX('Policy Characteristics'!L:L,MATCH($C718,'Policy Characteristics'!$C:$C,0)))</f>
        <v>industry-elec-and-hydrogen.html</v>
      </c>
    </row>
    <row r="719" spans="1:18" x14ac:dyDescent="0.3">
      <c r="A719" s="254" t="str">
        <f>IF(ISBLANK(INDEX('Policy Characteristics'!A:A,MATCH($C719,'Policy Characteristics'!$C:$C,0))),"",INDEX('Policy Characteristics'!A:A,MATCH($C719,'Policy Characteristics'!$C:$C,0)))</f>
        <v>Industry</v>
      </c>
      <c r="B719" s="262" t="str">
        <f>IF(ISBLANK(INDEX('Policy Characteristics'!B:B,MATCH($C719,'Policy Characteristics'!$C:$C,0))),"",INDEX('Policy Characteristics'!B:B,MATCH($C719,'Policy Characteristics'!$C:$C,0)))</f>
        <v>Electrification</v>
      </c>
      <c r="C719" s="254" t="str">
        <f t="shared" si="37"/>
        <v>Fraction of Eligible Industrial Energy Use Shifted to Electricity</v>
      </c>
      <c r="D719" s="6" t="s">
        <v>3072</v>
      </c>
      <c r="E719" s="1" t="s">
        <v>3516</v>
      </c>
      <c r="F719" t="s">
        <v>3035</v>
      </c>
      <c r="G719" s="45" t="s">
        <v>3523</v>
      </c>
      <c r="H719" s="43">
        <v>1923</v>
      </c>
      <c r="I719" s="324" t="s">
        <v>43</v>
      </c>
      <c r="J719" s="255" t="str">
        <f>IF(ISBLANK(INDEX('Policy Characteristics'!D:D,MATCH($C719,'Policy Characteristics'!$C:$C,0))),"",INDEX('Policy Characteristics'!D:D,MATCH($C719,'Policy Characteristics'!$C:$C,0)))</f>
        <v>Electrification</v>
      </c>
      <c r="K719" s="254" t="str">
        <f>IF(ISBLANK(INDEX('Policy Characteristics'!E:E,MATCH($C719,'Policy Characteristics'!$C:$C,0))),"",INDEX('Policy Characteristics'!E:E,MATCH($C719,'Policy Characteristics'!$C:$C,0)))</f>
        <v>indst shift to electricity</v>
      </c>
      <c r="L719" s="261">
        <f>IF(ISBLANK(INDEX('Policy Characteristics'!F:F,MATCH($C719,'Policy Characteristics'!$C:$C,0))),"",INDEX('Policy Characteristics'!F:F,MATCH($C719,'Policy Characteristics'!$C:$C,0)))</f>
        <v>0</v>
      </c>
      <c r="M719" s="261">
        <f>IF(ISBLANK(INDEX('Policy Characteristics'!G:G,MATCH($C719,'Policy Characteristics'!$C:$C,0))),"",INDEX('Policy Characteristics'!G:G,MATCH($C719,'Policy Characteristics'!$C:$C,0)))</f>
        <v>1</v>
      </c>
      <c r="N719" s="261">
        <f>IF(ISBLANK(INDEX('Policy Characteristics'!H:H,MATCH($C719,'Policy Characteristics'!$C:$C,0))),"",INDEX('Policy Characteristics'!H:H,MATCH($C719,'Policy Characteristics'!$C:$C,0)))</f>
        <v>0.01</v>
      </c>
      <c r="O719" s="254" t="str">
        <f>IF(ISBLANK(INDEX('Policy Characteristics'!I:I,MATCH($C719,'Policy Characteristics'!$C:$C,0))),"",INDEX('Policy Characteristics'!I:I,MATCH($C719,'Policy Characteristics'!$C:$C,0)))</f>
        <v>% of fuel shifted</v>
      </c>
      <c r="P719" s="254"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4" t="str">
        <f>IF(ISBLANK(INDEX('Policy Characteristics'!K:K,MATCH($C719,'Policy Characteristics'!$C:$C,0))),"",INDEX('Policy Characteristics'!K:K,MATCH($C719,'Policy Characteristics'!$C:$C,0)))</f>
        <v>industry-ag-main.html#fuel-switching</v>
      </c>
      <c r="R719" s="254" t="str">
        <f>IF(ISBLANK(INDEX('Policy Characteristics'!L:L,MATCH($C719,'Policy Characteristics'!$C:$C,0))),"",INDEX('Policy Characteristics'!L:L,MATCH($C719,'Policy Characteristics'!$C:$C,0)))</f>
        <v>industry-elec-and-hydrogen.html</v>
      </c>
    </row>
    <row r="720" spans="1:18" x14ac:dyDescent="0.3">
      <c r="A720" s="254" t="str">
        <f>IF(ISBLANK(INDEX('Policy Characteristics'!A:A,MATCH($C720,'Policy Characteristics'!$C:$C,0))),"",INDEX('Policy Characteristics'!A:A,MATCH($C720,'Policy Characteristics'!$C:$C,0)))</f>
        <v>Industry</v>
      </c>
      <c r="B720" s="262" t="str">
        <f>IF(ISBLANK(INDEX('Policy Characteristics'!B:B,MATCH($C720,'Policy Characteristics'!$C:$C,0))),"",INDEX('Policy Characteristics'!B:B,MATCH($C720,'Policy Characteristics'!$C:$C,0)))</f>
        <v>Electrification</v>
      </c>
      <c r="C720" s="254" t="str">
        <f t="shared" si="37"/>
        <v>Fraction of Eligible Industrial Energy Use Shifted to Electricity</v>
      </c>
      <c r="D720" s="6" t="s">
        <v>3072</v>
      </c>
      <c r="E720" s="1" t="s">
        <v>3517</v>
      </c>
      <c r="F720" t="s">
        <v>3035</v>
      </c>
      <c r="G720" s="45" t="s">
        <v>3524</v>
      </c>
      <c r="H720" s="43">
        <v>1924</v>
      </c>
      <c r="I720" s="324" t="s">
        <v>43</v>
      </c>
      <c r="J720" s="255" t="str">
        <f>IF(ISBLANK(INDEX('Policy Characteristics'!D:D,MATCH($C720,'Policy Characteristics'!$C:$C,0))),"",INDEX('Policy Characteristics'!D:D,MATCH($C720,'Policy Characteristics'!$C:$C,0)))</f>
        <v>Electrification</v>
      </c>
      <c r="K720" s="254" t="str">
        <f>IF(ISBLANK(INDEX('Policy Characteristics'!E:E,MATCH($C720,'Policy Characteristics'!$C:$C,0))),"",INDEX('Policy Characteristics'!E:E,MATCH($C720,'Policy Characteristics'!$C:$C,0)))</f>
        <v>indst shift to electricity</v>
      </c>
      <c r="L720" s="261">
        <f>IF(ISBLANK(INDEX('Policy Characteristics'!F:F,MATCH($C720,'Policy Characteristics'!$C:$C,0))),"",INDEX('Policy Characteristics'!F:F,MATCH($C720,'Policy Characteristics'!$C:$C,0)))</f>
        <v>0</v>
      </c>
      <c r="M720" s="261">
        <f>IF(ISBLANK(INDEX('Policy Characteristics'!G:G,MATCH($C720,'Policy Characteristics'!$C:$C,0))),"",INDEX('Policy Characteristics'!G:G,MATCH($C720,'Policy Characteristics'!$C:$C,0)))</f>
        <v>1</v>
      </c>
      <c r="N720" s="261">
        <f>IF(ISBLANK(INDEX('Policy Characteristics'!H:H,MATCH($C720,'Policy Characteristics'!$C:$C,0))),"",INDEX('Policy Characteristics'!H:H,MATCH($C720,'Policy Characteristics'!$C:$C,0)))</f>
        <v>0.01</v>
      </c>
      <c r="O720" s="254" t="str">
        <f>IF(ISBLANK(INDEX('Policy Characteristics'!I:I,MATCH($C720,'Policy Characteristics'!$C:$C,0))),"",INDEX('Policy Characteristics'!I:I,MATCH($C720,'Policy Characteristics'!$C:$C,0)))</f>
        <v>% of fuel shifted</v>
      </c>
      <c r="P720" s="254"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4" t="str">
        <f>IF(ISBLANK(INDEX('Policy Characteristics'!K:K,MATCH($C720,'Policy Characteristics'!$C:$C,0))),"",INDEX('Policy Characteristics'!K:K,MATCH($C720,'Policy Characteristics'!$C:$C,0)))</f>
        <v>industry-ag-main.html#fuel-switching</v>
      </c>
      <c r="R720" s="254" t="str">
        <f>IF(ISBLANK(INDEX('Policy Characteristics'!L:L,MATCH($C720,'Policy Characteristics'!$C:$C,0))),"",INDEX('Policy Characteristics'!L:L,MATCH($C720,'Policy Characteristics'!$C:$C,0)))</f>
        <v>industry-elec-and-hydrogen.html</v>
      </c>
    </row>
    <row r="721" spans="1:18" x14ac:dyDescent="0.3">
      <c r="A721" s="254" t="str">
        <f>IF(ISBLANK(INDEX('Policy Characteristics'!A:A,MATCH($C721,'Policy Characteristics'!$C:$C,0))),"",INDEX('Policy Characteristics'!A:A,MATCH($C721,'Policy Characteristics'!$C:$C,0)))</f>
        <v>Industry</v>
      </c>
      <c r="B721" s="262" t="str">
        <f>IF(ISBLANK(INDEX('Policy Characteristics'!B:B,MATCH($C721,'Policy Characteristics'!$C:$C,0))),"",INDEX('Policy Characteristics'!B:B,MATCH($C721,'Policy Characteristics'!$C:$C,0)))</f>
        <v>Electrification</v>
      </c>
      <c r="C721" s="254" t="str">
        <f t="shared" si="37"/>
        <v>Fraction of Eligible Industrial Energy Use Shifted to Electricity</v>
      </c>
      <c r="D721" s="6" t="s">
        <v>3072</v>
      </c>
      <c r="E721" s="1" t="s">
        <v>3518</v>
      </c>
      <c r="F721" t="s">
        <v>3035</v>
      </c>
      <c r="G721" s="45" t="s">
        <v>3525</v>
      </c>
      <c r="H721" s="43">
        <v>1925</v>
      </c>
      <c r="I721" s="324" t="s">
        <v>43</v>
      </c>
      <c r="J721" s="255" t="str">
        <f>IF(ISBLANK(INDEX('Policy Characteristics'!D:D,MATCH($C721,'Policy Characteristics'!$C:$C,0))),"",INDEX('Policy Characteristics'!D:D,MATCH($C721,'Policy Characteristics'!$C:$C,0)))</f>
        <v>Electrification</v>
      </c>
      <c r="K721" s="254" t="str">
        <f>IF(ISBLANK(INDEX('Policy Characteristics'!E:E,MATCH($C721,'Policy Characteristics'!$C:$C,0))),"",INDEX('Policy Characteristics'!E:E,MATCH($C721,'Policy Characteristics'!$C:$C,0)))</f>
        <v>indst shift to electricity</v>
      </c>
      <c r="L721" s="261">
        <f>IF(ISBLANK(INDEX('Policy Characteristics'!F:F,MATCH($C721,'Policy Characteristics'!$C:$C,0))),"",INDEX('Policy Characteristics'!F:F,MATCH($C721,'Policy Characteristics'!$C:$C,0)))</f>
        <v>0</v>
      </c>
      <c r="M721" s="261">
        <f>IF(ISBLANK(INDEX('Policy Characteristics'!G:G,MATCH($C721,'Policy Characteristics'!$C:$C,0))),"",INDEX('Policy Characteristics'!G:G,MATCH($C721,'Policy Characteristics'!$C:$C,0)))</f>
        <v>1</v>
      </c>
      <c r="N721" s="261">
        <f>IF(ISBLANK(INDEX('Policy Characteristics'!H:H,MATCH($C721,'Policy Characteristics'!$C:$C,0))),"",INDEX('Policy Characteristics'!H:H,MATCH($C721,'Policy Characteristics'!$C:$C,0)))</f>
        <v>0.01</v>
      </c>
      <c r="O721" s="254" t="str">
        <f>IF(ISBLANK(INDEX('Policy Characteristics'!I:I,MATCH($C721,'Policy Characteristics'!$C:$C,0))),"",INDEX('Policy Characteristics'!I:I,MATCH($C721,'Policy Characteristics'!$C:$C,0)))</f>
        <v>% of fuel shifted</v>
      </c>
      <c r="P721" s="254"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4" t="str">
        <f>IF(ISBLANK(INDEX('Policy Characteristics'!K:K,MATCH($C721,'Policy Characteristics'!$C:$C,0))),"",INDEX('Policy Characteristics'!K:K,MATCH($C721,'Policy Characteristics'!$C:$C,0)))</f>
        <v>industry-ag-main.html#fuel-switching</v>
      </c>
      <c r="R721" s="254" t="str">
        <f>IF(ISBLANK(INDEX('Policy Characteristics'!L:L,MATCH($C721,'Policy Characteristics'!$C:$C,0))),"",INDEX('Policy Characteristics'!L:L,MATCH($C721,'Policy Characteristics'!$C:$C,0)))</f>
        <v>industry-elec-and-hydrogen.html</v>
      </c>
    </row>
    <row r="722" spans="1:18" x14ac:dyDescent="0.3">
      <c r="A722" s="254" t="str">
        <f>IF(ISBLANK(INDEX('Policy Characteristics'!A:A,MATCH($C722,'Policy Characteristics'!$C:$C,0))),"",INDEX('Policy Characteristics'!A:A,MATCH($C722,'Policy Characteristics'!$C:$C,0)))</f>
        <v>Industry</v>
      </c>
      <c r="B722" s="262" t="str">
        <f>IF(ISBLANK(INDEX('Policy Characteristics'!B:B,MATCH($C722,'Policy Characteristics'!$C:$C,0))),"",INDEX('Policy Characteristics'!B:B,MATCH($C722,'Policy Characteristics'!$C:$C,0)))</f>
        <v>Electrification</v>
      </c>
      <c r="C722" s="254" t="str">
        <f t="shared" si="37"/>
        <v>Fraction of Eligible Industrial Energy Use Shifted to Electricity</v>
      </c>
      <c r="D722" s="6" t="s">
        <v>3072</v>
      </c>
      <c r="E722" s="1" t="s">
        <v>3519</v>
      </c>
      <c r="F722" t="s">
        <v>3035</v>
      </c>
      <c r="G722" s="45" t="s">
        <v>3526</v>
      </c>
      <c r="H722" s="43">
        <v>1926</v>
      </c>
      <c r="I722" s="324" t="s">
        <v>43</v>
      </c>
      <c r="J722" s="255" t="str">
        <f>IF(ISBLANK(INDEX('Policy Characteristics'!D:D,MATCH($C722,'Policy Characteristics'!$C:$C,0))),"",INDEX('Policy Characteristics'!D:D,MATCH($C722,'Policy Characteristics'!$C:$C,0)))</f>
        <v>Electrification</v>
      </c>
      <c r="K722" s="254" t="str">
        <f>IF(ISBLANK(INDEX('Policy Characteristics'!E:E,MATCH($C722,'Policy Characteristics'!$C:$C,0))),"",INDEX('Policy Characteristics'!E:E,MATCH($C722,'Policy Characteristics'!$C:$C,0)))</f>
        <v>indst shift to electricity</v>
      </c>
      <c r="L722" s="261">
        <f>IF(ISBLANK(INDEX('Policy Characteristics'!F:F,MATCH($C722,'Policy Characteristics'!$C:$C,0))),"",INDEX('Policy Characteristics'!F:F,MATCH($C722,'Policy Characteristics'!$C:$C,0)))</f>
        <v>0</v>
      </c>
      <c r="M722" s="261">
        <f>IF(ISBLANK(INDEX('Policy Characteristics'!G:G,MATCH($C722,'Policy Characteristics'!$C:$C,0))),"",INDEX('Policy Characteristics'!G:G,MATCH($C722,'Policy Characteristics'!$C:$C,0)))</f>
        <v>1</v>
      </c>
      <c r="N722" s="261">
        <f>IF(ISBLANK(INDEX('Policy Characteristics'!H:H,MATCH($C722,'Policy Characteristics'!$C:$C,0))),"",INDEX('Policy Characteristics'!H:H,MATCH($C722,'Policy Characteristics'!$C:$C,0)))</f>
        <v>0.01</v>
      </c>
      <c r="O722" s="254" t="str">
        <f>IF(ISBLANK(INDEX('Policy Characteristics'!I:I,MATCH($C722,'Policy Characteristics'!$C:$C,0))),"",INDEX('Policy Characteristics'!I:I,MATCH($C722,'Policy Characteristics'!$C:$C,0)))</f>
        <v>% of fuel shifted</v>
      </c>
      <c r="P722" s="254"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4" t="str">
        <f>IF(ISBLANK(INDEX('Policy Characteristics'!K:K,MATCH($C722,'Policy Characteristics'!$C:$C,0))),"",INDEX('Policy Characteristics'!K:K,MATCH($C722,'Policy Characteristics'!$C:$C,0)))</f>
        <v>industry-ag-main.html#fuel-switching</v>
      </c>
      <c r="R722" s="254" t="str">
        <f>IF(ISBLANK(INDEX('Policy Characteristics'!L:L,MATCH($C722,'Policy Characteristics'!$C:$C,0))),"",INDEX('Policy Characteristics'!L:L,MATCH($C722,'Policy Characteristics'!$C:$C,0)))</f>
        <v>industry-elec-and-hydrogen.html</v>
      </c>
    </row>
    <row r="723" spans="1:18" x14ac:dyDescent="0.3">
      <c r="A723" s="254" t="str">
        <f>IF(ISBLANK(INDEX('Policy Characteristics'!A:A,MATCH($C723,'Policy Characteristics'!$C:$C,0))),"",INDEX('Policy Characteristics'!A:A,MATCH($C723,'Policy Characteristics'!$C:$C,0)))</f>
        <v>Industry</v>
      </c>
      <c r="B723" s="262" t="str">
        <f>IF(ISBLANK(INDEX('Policy Characteristics'!B:B,MATCH($C723,'Policy Characteristics'!$C:$C,0))),"",INDEX('Policy Characteristics'!B:B,MATCH($C723,'Policy Characteristics'!$C:$C,0)))</f>
        <v>Electrification</v>
      </c>
      <c r="C723" s="254" t="str">
        <f t="shared" si="37"/>
        <v>Fraction of Eligible Industrial Energy Use Shifted to Electricity</v>
      </c>
      <c r="D723" s="6" t="s">
        <v>3072</v>
      </c>
      <c r="E723" s="1" t="s">
        <v>3520</v>
      </c>
      <c r="F723" t="s">
        <v>3035</v>
      </c>
      <c r="G723" s="45" t="s">
        <v>3527</v>
      </c>
      <c r="H723" s="43">
        <v>1927</v>
      </c>
      <c r="I723" s="324" t="s">
        <v>43</v>
      </c>
      <c r="J723" s="255" t="str">
        <f>IF(ISBLANK(INDEX('Policy Characteristics'!D:D,MATCH($C723,'Policy Characteristics'!$C:$C,0))),"",INDEX('Policy Characteristics'!D:D,MATCH($C723,'Policy Characteristics'!$C:$C,0)))</f>
        <v>Electrification</v>
      </c>
      <c r="K723" s="254" t="str">
        <f>IF(ISBLANK(INDEX('Policy Characteristics'!E:E,MATCH($C723,'Policy Characteristics'!$C:$C,0))),"",INDEX('Policy Characteristics'!E:E,MATCH($C723,'Policy Characteristics'!$C:$C,0)))</f>
        <v>indst shift to electricity</v>
      </c>
      <c r="L723" s="261">
        <f>IF(ISBLANK(INDEX('Policy Characteristics'!F:F,MATCH($C723,'Policy Characteristics'!$C:$C,0))),"",INDEX('Policy Characteristics'!F:F,MATCH($C723,'Policy Characteristics'!$C:$C,0)))</f>
        <v>0</v>
      </c>
      <c r="M723" s="261">
        <f>IF(ISBLANK(INDEX('Policy Characteristics'!G:G,MATCH($C723,'Policy Characteristics'!$C:$C,0))),"",INDEX('Policy Characteristics'!G:G,MATCH($C723,'Policy Characteristics'!$C:$C,0)))</f>
        <v>1</v>
      </c>
      <c r="N723" s="261">
        <f>IF(ISBLANK(INDEX('Policy Characteristics'!H:H,MATCH($C723,'Policy Characteristics'!$C:$C,0))),"",INDEX('Policy Characteristics'!H:H,MATCH($C723,'Policy Characteristics'!$C:$C,0)))</f>
        <v>0.01</v>
      </c>
      <c r="O723" s="254" t="str">
        <f>IF(ISBLANK(INDEX('Policy Characteristics'!I:I,MATCH($C723,'Policy Characteristics'!$C:$C,0))),"",INDEX('Policy Characteristics'!I:I,MATCH($C723,'Policy Characteristics'!$C:$C,0)))</f>
        <v>% of fuel shifted</v>
      </c>
      <c r="P723" s="254"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4" t="str">
        <f>IF(ISBLANK(INDEX('Policy Characteristics'!K:K,MATCH($C723,'Policy Characteristics'!$C:$C,0))),"",INDEX('Policy Characteristics'!K:K,MATCH($C723,'Policy Characteristics'!$C:$C,0)))</f>
        <v>industry-ag-main.html#fuel-switching</v>
      </c>
      <c r="R723" s="254" t="str">
        <f>IF(ISBLANK(INDEX('Policy Characteristics'!L:L,MATCH($C723,'Policy Characteristics'!$C:$C,0))),"",INDEX('Policy Characteristics'!L:L,MATCH($C723,'Policy Characteristics'!$C:$C,0)))</f>
        <v>industry-elec-and-hydrogen.html</v>
      </c>
    </row>
    <row r="724" spans="1:18" x14ac:dyDescent="0.3">
      <c r="A724" s="254" t="str">
        <f>IF(ISBLANK(INDEX('Policy Characteristics'!A:A,MATCH($C724,'Policy Characteristics'!$C:$C,0))),"",INDEX('Policy Characteristics'!A:A,MATCH($C724,'Policy Characteristics'!$C:$C,0)))</f>
        <v>Industry</v>
      </c>
      <c r="B724" s="262" t="str">
        <f>IF(ISBLANK(INDEX('Policy Characteristics'!B:B,MATCH($C724,'Policy Characteristics'!$C:$C,0))),"",INDEX('Policy Characteristics'!B:B,MATCH($C724,'Policy Characteristics'!$C:$C,0)))</f>
        <v>Electrification</v>
      </c>
      <c r="C724" s="254" t="str">
        <f t="shared" si="37"/>
        <v>Fraction of Eligible Industrial Energy Use Shifted to Electricity</v>
      </c>
      <c r="D724" s="6" t="s">
        <v>3072</v>
      </c>
      <c r="E724" s="1" t="s">
        <v>3521</v>
      </c>
      <c r="F724" t="s">
        <v>3035</v>
      </c>
      <c r="G724" s="45" t="s">
        <v>3528</v>
      </c>
      <c r="H724" s="43">
        <v>1928</v>
      </c>
      <c r="I724" s="324" t="s">
        <v>43</v>
      </c>
      <c r="J724" s="255" t="str">
        <f>IF(ISBLANK(INDEX('Policy Characteristics'!D:D,MATCH($C724,'Policy Characteristics'!$C:$C,0))),"",INDEX('Policy Characteristics'!D:D,MATCH($C724,'Policy Characteristics'!$C:$C,0)))</f>
        <v>Electrification</v>
      </c>
      <c r="K724" s="254" t="str">
        <f>IF(ISBLANK(INDEX('Policy Characteristics'!E:E,MATCH($C724,'Policy Characteristics'!$C:$C,0))),"",INDEX('Policy Characteristics'!E:E,MATCH($C724,'Policy Characteristics'!$C:$C,0)))</f>
        <v>indst shift to electricity</v>
      </c>
      <c r="L724" s="261">
        <f>IF(ISBLANK(INDEX('Policy Characteristics'!F:F,MATCH($C724,'Policy Characteristics'!$C:$C,0))),"",INDEX('Policy Characteristics'!F:F,MATCH($C724,'Policy Characteristics'!$C:$C,0)))</f>
        <v>0</v>
      </c>
      <c r="M724" s="261">
        <f>IF(ISBLANK(INDEX('Policy Characteristics'!G:G,MATCH($C724,'Policy Characteristics'!$C:$C,0))),"",INDEX('Policy Characteristics'!G:G,MATCH($C724,'Policy Characteristics'!$C:$C,0)))</f>
        <v>1</v>
      </c>
      <c r="N724" s="261">
        <f>IF(ISBLANK(INDEX('Policy Characteristics'!H:H,MATCH($C724,'Policy Characteristics'!$C:$C,0))),"",INDEX('Policy Characteristics'!H:H,MATCH($C724,'Policy Characteristics'!$C:$C,0)))</f>
        <v>0.01</v>
      </c>
      <c r="O724" s="254" t="str">
        <f>IF(ISBLANK(INDEX('Policy Characteristics'!I:I,MATCH($C724,'Policy Characteristics'!$C:$C,0))),"",INDEX('Policy Characteristics'!I:I,MATCH($C724,'Policy Characteristics'!$C:$C,0)))</f>
        <v>% of fuel shifted</v>
      </c>
      <c r="P724" s="254"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4" t="str">
        <f>IF(ISBLANK(INDEX('Policy Characteristics'!K:K,MATCH($C724,'Policy Characteristics'!$C:$C,0))),"",INDEX('Policy Characteristics'!K:K,MATCH($C724,'Policy Characteristics'!$C:$C,0)))</f>
        <v>industry-ag-main.html#fuel-switching</v>
      </c>
      <c r="R724" s="254" t="str">
        <f>IF(ISBLANK(INDEX('Policy Characteristics'!L:L,MATCH($C724,'Policy Characteristics'!$C:$C,0))),"",INDEX('Policy Characteristics'!L:L,MATCH($C724,'Policy Characteristics'!$C:$C,0)))</f>
        <v>industry-elec-and-hydrogen.html</v>
      </c>
    </row>
    <row r="725" spans="1:18" x14ac:dyDescent="0.3">
      <c r="A725" s="254" t="str">
        <f>IF(ISBLANK(INDEX('Policy Characteristics'!A:A,MATCH($C725,'Policy Characteristics'!$C:$C,0))),"",INDEX('Policy Characteristics'!A:A,MATCH($C725,'Policy Characteristics'!$C:$C,0)))</f>
        <v>Industry</v>
      </c>
      <c r="B725" s="262" t="str">
        <f>IF(ISBLANK(INDEX('Policy Characteristics'!B:B,MATCH($C725,'Policy Characteristics'!$C:$C,0))),"",INDEX('Policy Characteristics'!B:B,MATCH($C725,'Policy Characteristics'!$C:$C,0)))</f>
        <v>Electrification</v>
      </c>
      <c r="C725" s="254" t="str">
        <f t="shared" si="37"/>
        <v>Fraction of Eligible Industrial Energy Use Shifted to Electricity</v>
      </c>
      <c r="D725" s="6" t="s">
        <v>3072</v>
      </c>
      <c r="E725" s="1" t="s">
        <v>3671</v>
      </c>
      <c r="F725" t="s">
        <v>3035</v>
      </c>
      <c r="G725" s="45" t="s">
        <v>3671</v>
      </c>
      <c r="H725" s="43">
        <v>1929</v>
      </c>
      <c r="I725" s="324" t="s">
        <v>43</v>
      </c>
      <c r="J725" s="255" t="str">
        <f>IF(ISBLANK(INDEX('Policy Characteristics'!D:D,MATCH($C725,'Policy Characteristics'!$C:$C,0))),"",INDEX('Policy Characteristics'!D:D,MATCH($C725,'Policy Characteristics'!$C:$C,0)))</f>
        <v>Electrification</v>
      </c>
      <c r="K725" s="254" t="str">
        <f>IF(ISBLANK(INDEX('Policy Characteristics'!E:E,MATCH($C725,'Policy Characteristics'!$C:$C,0))),"",INDEX('Policy Characteristics'!E:E,MATCH($C725,'Policy Characteristics'!$C:$C,0)))</f>
        <v>indst shift to electricity</v>
      </c>
      <c r="L725" s="261">
        <f>IF(ISBLANK(INDEX('Policy Characteristics'!F:F,MATCH($C725,'Policy Characteristics'!$C:$C,0))),"",INDEX('Policy Characteristics'!F:F,MATCH($C725,'Policy Characteristics'!$C:$C,0)))</f>
        <v>0</v>
      </c>
      <c r="M725" s="261">
        <f>IF(ISBLANK(INDEX('Policy Characteristics'!G:G,MATCH($C725,'Policy Characteristics'!$C:$C,0))),"",INDEX('Policy Characteristics'!G:G,MATCH($C725,'Policy Characteristics'!$C:$C,0)))</f>
        <v>1</v>
      </c>
      <c r="N725" s="261">
        <f>IF(ISBLANK(INDEX('Policy Characteristics'!H:H,MATCH($C725,'Policy Characteristics'!$C:$C,0))),"",INDEX('Policy Characteristics'!H:H,MATCH($C725,'Policy Characteristics'!$C:$C,0)))</f>
        <v>0.01</v>
      </c>
      <c r="O725" s="254" t="str">
        <f>IF(ISBLANK(INDEX('Policy Characteristics'!I:I,MATCH($C725,'Policy Characteristics'!$C:$C,0))),"",INDEX('Policy Characteristics'!I:I,MATCH($C725,'Policy Characteristics'!$C:$C,0)))</f>
        <v>% of fuel shifted</v>
      </c>
      <c r="P725" s="254"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4" t="str">
        <f>IF(ISBLANK(INDEX('Policy Characteristics'!K:K,MATCH($C725,'Policy Characteristics'!$C:$C,0))),"",INDEX('Policy Characteristics'!K:K,MATCH($C725,'Policy Characteristics'!$C:$C,0)))</f>
        <v>industry-ag-main.html#fuel-switching</v>
      </c>
      <c r="R725" s="254" t="str">
        <f>IF(ISBLANK(INDEX('Policy Characteristics'!L:L,MATCH($C725,'Policy Characteristics'!$C:$C,0))),"",INDEX('Policy Characteristics'!L:L,MATCH($C725,'Policy Characteristics'!$C:$C,0)))</f>
        <v>industry-elec-and-hydrogen.html</v>
      </c>
    </row>
    <row r="726" spans="1:18" x14ac:dyDescent="0.3">
      <c r="A726" s="254" t="str">
        <f>IF(ISBLANK(INDEX('Policy Characteristics'!A:A,MATCH($C726,'Policy Characteristics'!$C:$C,0))),"",INDEX('Policy Characteristics'!A:A,MATCH($C726,'Policy Characteristics'!$C:$C,0)))</f>
        <v>Industry</v>
      </c>
      <c r="B726" s="262" t="str">
        <f>IF(ISBLANK(INDEX('Policy Characteristics'!B:B,MATCH($C726,'Policy Characteristics'!$C:$C,0))),"",INDEX('Policy Characteristics'!B:B,MATCH($C726,'Policy Characteristics'!$C:$C,0)))</f>
        <v>Electrification</v>
      </c>
      <c r="C726" s="254" t="str">
        <f t="shared" si="37"/>
        <v>Fraction of Eligible Industrial Energy Use Shifted to Electricity</v>
      </c>
      <c r="D726" s="6" t="s">
        <v>3073</v>
      </c>
      <c r="E726" s="1" t="s">
        <v>3515</v>
      </c>
      <c r="F726" t="s">
        <v>3036</v>
      </c>
      <c r="G726" s="45" t="s">
        <v>3522</v>
      </c>
      <c r="H726" s="43">
        <v>1930</v>
      </c>
      <c r="I726" s="324" t="s">
        <v>43</v>
      </c>
      <c r="J726" s="255" t="str">
        <f>IF(ISBLANK(INDEX('Policy Characteristics'!D:D,MATCH($C726,'Policy Characteristics'!$C:$C,0))),"",INDEX('Policy Characteristics'!D:D,MATCH($C726,'Policy Characteristics'!$C:$C,0)))</f>
        <v>Electrification</v>
      </c>
      <c r="K726" s="254" t="str">
        <f>IF(ISBLANK(INDEX('Policy Characteristics'!E:E,MATCH($C726,'Policy Characteristics'!$C:$C,0))),"",INDEX('Policy Characteristics'!E:E,MATCH($C726,'Policy Characteristics'!$C:$C,0)))</f>
        <v>indst shift to electricity</v>
      </c>
      <c r="L726" s="261">
        <f>IF(ISBLANK(INDEX('Policy Characteristics'!F:F,MATCH($C726,'Policy Characteristics'!$C:$C,0))),"",INDEX('Policy Characteristics'!F:F,MATCH($C726,'Policy Characteristics'!$C:$C,0)))</f>
        <v>0</v>
      </c>
      <c r="M726" s="261">
        <f>IF(ISBLANK(INDEX('Policy Characteristics'!G:G,MATCH($C726,'Policy Characteristics'!$C:$C,0))),"",INDEX('Policy Characteristics'!G:G,MATCH($C726,'Policy Characteristics'!$C:$C,0)))</f>
        <v>1</v>
      </c>
      <c r="N726" s="261">
        <f>IF(ISBLANK(INDEX('Policy Characteristics'!H:H,MATCH($C726,'Policy Characteristics'!$C:$C,0))),"",INDEX('Policy Characteristics'!H:H,MATCH($C726,'Policy Characteristics'!$C:$C,0)))</f>
        <v>0.01</v>
      </c>
      <c r="O726" s="254" t="str">
        <f>IF(ISBLANK(INDEX('Policy Characteristics'!I:I,MATCH($C726,'Policy Characteristics'!$C:$C,0))),"",INDEX('Policy Characteristics'!I:I,MATCH($C726,'Policy Characteristics'!$C:$C,0)))</f>
        <v>% of fuel shifted</v>
      </c>
      <c r="P726" s="254"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4" t="str">
        <f>IF(ISBLANK(INDEX('Policy Characteristics'!K:K,MATCH($C726,'Policy Characteristics'!$C:$C,0))),"",INDEX('Policy Characteristics'!K:K,MATCH($C726,'Policy Characteristics'!$C:$C,0)))</f>
        <v>industry-ag-main.html#fuel-switching</v>
      </c>
      <c r="R726" s="254" t="str">
        <f>IF(ISBLANK(INDEX('Policy Characteristics'!L:L,MATCH($C726,'Policy Characteristics'!$C:$C,0))),"",INDEX('Policy Characteristics'!L:L,MATCH($C726,'Policy Characteristics'!$C:$C,0)))</f>
        <v>industry-elec-and-hydrogen.html</v>
      </c>
    </row>
    <row r="727" spans="1:18" x14ac:dyDescent="0.3">
      <c r="A727" s="254" t="str">
        <f>IF(ISBLANK(INDEX('Policy Characteristics'!A:A,MATCH($C727,'Policy Characteristics'!$C:$C,0))),"",INDEX('Policy Characteristics'!A:A,MATCH($C727,'Policy Characteristics'!$C:$C,0)))</f>
        <v>Industry</v>
      </c>
      <c r="B727" s="262" t="str">
        <f>IF(ISBLANK(INDEX('Policy Characteristics'!B:B,MATCH($C727,'Policy Characteristics'!$C:$C,0))),"",INDEX('Policy Characteristics'!B:B,MATCH($C727,'Policy Characteristics'!$C:$C,0)))</f>
        <v>Electrification</v>
      </c>
      <c r="C727" s="254" t="str">
        <f t="shared" si="37"/>
        <v>Fraction of Eligible Industrial Energy Use Shifted to Electricity</v>
      </c>
      <c r="D727" s="6" t="s">
        <v>3073</v>
      </c>
      <c r="E727" s="1" t="s">
        <v>3516</v>
      </c>
      <c r="F727" t="s">
        <v>3036</v>
      </c>
      <c r="G727" s="45" t="s">
        <v>3523</v>
      </c>
      <c r="H727" s="43">
        <v>1931</v>
      </c>
      <c r="I727" s="324" t="s">
        <v>43</v>
      </c>
      <c r="J727" s="255" t="str">
        <f>IF(ISBLANK(INDEX('Policy Characteristics'!D:D,MATCH($C727,'Policy Characteristics'!$C:$C,0))),"",INDEX('Policy Characteristics'!D:D,MATCH($C727,'Policy Characteristics'!$C:$C,0)))</f>
        <v>Electrification</v>
      </c>
      <c r="K727" s="254" t="str">
        <f>IF(ISBLANK(INDEX('Policy Characteristics'!E:E,MATCH($C727,'Policy Characteristics'!$C:$C,0))),"",INDEX('Policy Characteristics'!E:E,MATCH($C727,'Policy Characteristics'!$C:$C,0)))</f>
        <v>indst shift to electricity</v>
      </c>
      <c r="L727" s="261">
        <f>IF(ISBLANK(INDEX('Policy Characteristics'!F:F,MATCH($C727,'Policy Characteristics'!$C:$C,0))),"",INDEX('Policy Characteristics'!F:F,MATCH($C727,'Policy Characteristics'!$C:$C,0)))</f>
        <v>0</v>
      </c>
      <c r="M727" s="261">
        <f>IF(ISBLANK(INDEX('Policy Characteristics'!G:G,MATCH($C727,'Policy Characteristics'!$C:$C,0))),"",INDEX('Policy Characteristics'!G:G,MATCH($C727,'Policy Characteristics'!$C:$C,0)))</f>
        <v>1</v>
      </c>
      <c r="N727" s="261">
        <f>IF(ISBLANK(INDEX('Policy Characteristics'!H:H,MATCH($C727,'Policy Characteristics'!$C:$C,0))),"",INDEX('Policy Characteristics'!H:H,MATCH($C727,'Policy Characteristics'!$C:$C,0)))</f>
        <v>0.01</v>
      </c>
      <c r="O727" s="254" t="str">
        <f>IF(ISBLANK(INDEX('Policy Characteristics'!I:I,MATCH($C727,'Policy Characteristics'!$C:$C,0))),"",INDEX('Policy Characteristics'!I:I,MATCH($C727,'Policy Characteristics'!$C:$C,0)))</f>
        <v>% of fuel shifted</v>
      </c>
      <c r="P727" s="254"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4" t="str">
        <f>IF(ISBLANK(INDEX('Policy Characteristics'!K:K,MATCH($C727,'Policy Characteristics'!$C:$C,0))),"",INDEX('Policy Characteristics'!K:K,MATCH($C727,'Policy Characteristics'!$C:$C,0)))</f>
        <v>industry-ag-main.html#fuel-switching</v>
      </c>
      <c r="R727" s="254" t="str">
        <f>IF(ISBLANK(INDEX('Policy Characteristics'!L:L,MATCH($C727,'Policy Characteristics'!$C:$C,0))),"",INDEX('Policy Characteristics'!L:L,MATCH($C727,'Policy Characteristics'!$C:$C,0)))</f>
        <v>industry-elec-and-hydrogen.html</v>
      </c>
    </row>
    <row r="728" spans="1:18" x14ac:dyDescent="0.3">
      <c r="A728" s="254" t="str">
        <f>IF(ISBLANK(INDEX('Policy Characteristics'!A:A,MATCH($C728,'Policy Characteristics'!$C:$C,0))),"",INDEX('Policy Characteristics'!A:A,MATCH($C728,'Policy Characteristics'!$C:$C,0)))</f>
        <v>Industry</v>
      </c>
      <c r="B728" s="262" t="str">
        <f>IF(ISBLANK(INDEX('Policy Characteristics'!B:B,MATCH($C728,'Policy Characteristics'!$C:$C,0))),"",INDEX('Policy Characteristics'!B:B,MATCH($C728,'Policy Characteristics'!$C:$C,0)))</f>
        <v>Electrification</v>
      </c>
      <c r="C728" s="254" t="str">
        <f t="shared" si="37"/>
        <v>Fraction of Eligible Industrial Energy Use Shifted to Electricity</v>
      </c>
      <c r="D728" s="6" t="s">
        <v>3073</v>
      </c>
      <c r="E728" s="1" t="s">
        <v>3517</v>
      </c>
      <c r="F728" t="s">
        <v>3036</v>
      </c>
      <c r="G728" s="45" t="s">
        <v>3524</v>
      </c>
      <c r="H728" s="43">
        <v>1932</v>
      </c>
      <c r="I728" s="324" t="s">
        <v>43</v>
      </c>
      <c r="J728" s="255" t="str">
        <f>IF(ISBLANK(INDEX('Policy Characteristics'!D:D,MATCH($C728,'Policy Characteristics'!$C:$C,0))),"",INDEX('Policy Characteristics'!D:D,MATCH($C728,'Policy Characteristics'!$C:$C,0)))</f>
        <v>Electrification</v>
      </c>
      <c r="K728" s="254" t="str">
        <f>IF(ISBLANK(INDEX('Policy Characteristics'!E:E,MATCH($C728,'Policy Characteristics'!$C:$C,0))),"",INDEX('Policy Characteristics'!E:E,MATCH($C728,'Policy Characteristics'!$C:$C,0)))</f>
        <v>indst shift to electricity</v>
      </c>
      <c r="L728" s="261">
        <f>IF(ISBLANK(INDEX('Policy Characteristics'!F:F,MATCH($C728,'Policy Characteristics'!$C:$C,0))),"",INDEX('Policy Characteristics'!F:F,MATCH($C728,'Policy Characteristics'!$C:$C,0)))</f>
        <v>0</v>
      </c>
      <c r="M728" s="261">
        <f>IF(ISBLANK(INDEX('Policy Characteristics'!G:G,MATCH($C728,'Policy Characteristics'!$C:$C,0))),"",INDEX('Policy Characteristics'!G:G,MATCH($C728,'Policy Characteristics'!$C:$C,0)))</f>
        <v>1</v>
      </c>
      <c r="N728" s="261">
        <f>IF(ISBLANK(INDEX('Policy Characteristics'!H:H,MATCH($C728,'Policy Characteristics'!$C:$C,0))),"",INDEX('Policy Characteristics'!H:H,MATCH($C728,'Policy Characteristics'!$C:$C,0)))</f>
        <v>0.01</v>
      </c>
      <c r="O728" s="254" t="str">
        <f>IF(ISBLANK(INDEX('Policy Characteristics'!I:I,MATCH($C728,'Policy Characteristics'!$C:$C,0))),"",INDEX('Policy Characteristics'!I:I,MATCH($C728,'Policy Characteristics'!$C:$C,0)))</f>
        <v>% of fuel shifted</v>
      </c>
      <c r="P728" s="254"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4" t="str">
        <f>IF(ISBLANK(INDEX('Policy Characteristics'!K:K,MATCH($C728,'Policy Characteristics'!$C:$C,0))),"",INDEX('Policy Characteristics'!K:K,MATCH($C728,'Policy Characteristics'!$C:$C,0)))</f>
        <v>industry-ag-main.html#fuel-switching</v>
      </c>
      <c r="R728" s="254" t="str">
        <f>IF(ISBLANK(INDEX('Policy Characteristics'!L:L,MATCH($C728,'Policy Characteristics'!$C:$C,0))),"",INDEX('Policy Characteristics'!L:L,MATCH($C728,'Policy Characteristics'!$C:$C,0)))</f>
        <v>industry-elec-and-hydrogen.html</v>
      </c>
    </row>
    <row r="729" spans="1:18" x14ac:dyDescent="0.3">
      <c r="A729" s="254" t="str">
        <f>IF(ISBLANK(INDEX('Policy Characteristics'!A:A,MATCH($C729,'Policy Characteristics'!$C:$C,0))),"",INDEX('Policy Characteristics'!A:A,MATCH($C729,'Policy Characteristics'!$C:$C,0)))</f>
        <v>Industry</v>
      </c>
      <c r="B729" s="262" t="str">
        <f>IF(ISBLANK(INDEX('Policy Characteristics'!B:B,MATCH($C729,'Policy Characteristics'!$C:$C,0))),"",INDEX('Policy Characteristics'!B:B,MATCH($C729,'Policy Characteristics'!$C:$C,0)))</f>
        <v>Electrification</v>
      </c>
      <c r="C729" s="254" t="str">
        <f t="shared" si="37"/>
        <v>Fraction of Eligible Industrial Energy Use Shifted to Electricity</v>
      </c>
      <c r="D729" s="6" t="s">
        <v>3073</v>
      </c>
      <c r="E729" s="1" t="s">
        <v>3518</v>
      </c>
      <c r="F729" t="s">
        <v>3036</v>
      </c>
      <c r="G729" s="45" t="s">
        <v>3525</v>
      </c>
      <c r="H729" s="43">
        <v>1933</v>
      </c>
      <c r="I729" s="324" t="s">
        <v>43</v>
      </c>
      <c r="J729" s="255" t="str">
        <f>IF(ISBLANK(INDEX('Policy Characteristics'!D:D,MATCH($C729,'Policy Characteristics'!$C:$C,0))),"",INDEX('Policy Characteristics'!D:D,MATCH($C729,'Policy Characteristics'!$C:$C,0)))</f>
        <v>Electrification</v>
      </c>
      <c r="K729" s="254" t="str">
        <f>IF(ISBLANK(INDEX('Policy Characteristics'!E:E,MATCH($C729,'Policy Characteristics'!$C:$C,0))),"",INDEX('Policy Characteristics'!E:E,MATCH($C729,'Policy Characteristics'!$C:$C,0)))</f>
        <v>indst shift to electricity</v>
      </c>
      <c r="L729" s="261">
        <f>IF(ISBLANK(INDEX('Policy Characteristics'!F:F,MATCH($C729,'Policy Characteristics'!$C:$C,0))),"",INDEX('Policy Characteristics'!F:F,MATCH($C729,'Policy Characteristics'!$C:$C,0)))</f>
        <v>0</v>
      </c>
      <c r="M729" s="261">
        <f>IF(ISBLANK(INDEX('Policy Characteristics'!G:G,MATCH($C729,'Policy Characteristics'!$C:$C,0))),"",INDEX('Policy Characteristics'!G:G,MATCH($C729,'Policy Characteristics'!$C:$C,0)))</f>
        <v>1</v>
      </c>
      <c r="N729" s="261">
        <f>IF(ISBLANK(INDEX('Policy Characteristics'!H:H,MATCH($C729,'Policy Characteristics'!$C:$C,0))),"",INDEX('Policy Characteristics'!H:H,MATCH($C729,'Policy Characteristics'!$C:$C,0)))</f>
        <v>0.01</v>
      </c>
      <c r="O729" s="254" t="str">
        <f>IF(ISBLANK(INDEX('Policy Characteristics'!I:I,MATCH($C729,'Policy Characteristics'!$C:$C,0))),"",INDEX('Policy Characteristics'!I:I,MATCH($C729,'Policy Characteristics'!$C:$C,0)))</f>
        <v>% of fuel shifted</v>
      </c>
      <c r="P729" s="254"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4" t="str">
        <f>IF(ISBLANK(INDEX('Policy Characteristics'!K:K,MATCH($C729,'Policy Characteristics'!$C:$C,0))),"",INDEX('Policy Characteristics'!K:K,MATCH($C729,'Policy Characteristics'!$C:$C,0)))</f>
        <v>industry-ag-main.html#fuel-switching</v>
      </c>
      <c r="R729" s="254" t="str">
        <f>IF(ISBLANK(INDEX('Policy Characteristics'!L:L,MATCH($C729,'Policy Characteristics'!$C:$C,0))),"",INDEX('Policy Characteristics'!L:L,MATCH($C729,'Policy Characteristics'!$C:$C,0)))</f>
        <v>industry-elec-and-hydrogen.html</v>
      </c>
    </row>
    <row r="730" spans="1:18" x14ac:dyDescent="0.3">
      <c r="A730" s="254" t="str">
        <f>IF(ISBLANK(INDEX('Policy Characteristics'!A:A,MATCH($C730,'Policy Characteristics'!$C:$C,0))),"",INDEX('Policy Characteristics'!A:A,MATCH($C730,'Policy Characteristics'!$C:$C,0)))</f>
        <v>Industry</v>
      </c>
      <c r="B730" s="262" t="str">
        <f>IF(ISBLANK(INDEX('Policy Characteristics'!B:B,MATCH($C730,'Policy Characteristics'!$C:$C,0))),"",INDEX('Policy Characteristics'!B:B,MATCH($C730,'Policy Characteristics'!$C:$C,0)))</f>
        <v>Electrification</v>
      </c>
      <c r="C730" s="254" t="str">
        <f t="shared" si="37"/>
        <v>Fraction of Eligible Industrial Energy Use Shifted to Electricity</v>
      </c>
      <c r="D730" s="6" t="s">
        <v>3073</v>
      </c>
      <c r="E730" s="1" t="s">
        <v>3519</v>
      </c>
      <c r="F730" t="s">
        <v>3036</v>
      </c>
      <c r="G730" s="45" t="s">
        <v>3526</v>
      </c>
      <c r="H730" s="43">
        <v>1934</v>
      </c>
      <c r="I730" s="324" t="s">
        <v>43</v>
      </c>
      <c r="J730" s="255" t="str">
        <f>IF(ISBLANK(INDEX('Policy Characteristics'!D:D,MATCH($C730,'Policy Characteristics'!$C:$C,0))),"",INDEX('Policy Characteristics'!D:D,MATCH($C730,'Policy Characteristics'!$C:$C,0)))</f>
        <v>Electrification</v>
      </c>
      <c r="K730" s="254" t="str">
        <f>IF(ISBLANK(INDEX('Policy Characteristics'!E:E,MATCH($C730,'Policy Characteristics'!$C:$C,0))),"",INDEX('Policy Characteristics'!E:E,MATCH($C730,'Policy Characteristics'!$C:$C,0)))</f>
        <v>indst shift to electricity</v>
      </c>
      <c r="L730" s="261">
        <f>IF(ISBLANK(INDEX('Policy Characteristics'!F:F,MATCH($C730,'Policy Characteristics'!$C:$C,0))),"",INDEX('Policy Characteristics'!F:F,MATCH($C730,'Policy Characteristics'!$C:$C,0)))</f>
        <v>0</v>
      </c>
      <c r="M730" s="261">
        <f>IF(ISBLANK(INDEX('Policy Characteristics'!G:G,MATCH($C730,'Policy Characteristics'!$C:$C,0))),"",INDEX('Policy Characteristics'!G:G,MATCH($C730,'Policy Characteristics'!$C:$C,0)))</f>
        <v>1</v>
      </c>
      <c r="N730" s="261">
        <f>IF(ISBLANK(INDEX('Policy Characteristics'!H:H,MATCH($C730,'Policy Characteristics'!$C:$C,0))),"",INDEX('Policy Characteristics'!H:H,MATCH($C730,'Policy Characteristics'!$C:$C,0)))</f>
        <v>0.01</v>
      </c>
      <c r="O730" s="254" t="str">
        <f>IF(ISBLANK(INDEX('Policy Characteristics'!I:I,MATCH($C730,'Policy Characteristics'!$C:$C,0))),"",INDEX('Policy Characteristics'!I:I,MATCH($C730,'Policy Characteristics'!$C:$C,0)))</f>
        <v>% of fuel shifted</v>
      </c>
      <c r="P730" s="254"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4" t="str">
        <f>IF(ISBLANK(INDEX('Policy Characteristics'!K:K,MATCH($C730,'Policy Characteristics'!$C:$C,0))),"",INDEX('Policy Characteristics'!K:K,MATCH($C730,'Policy Characteristics'!$C:$C,0)))</f>
        <v>industry-ag-main.html#fuel-switching</v>
      </c>
      <c r="R730" s="254" t="str">
        <f>IF(ISBLANK(INDEX('Policy Characteristics'!L:L,MATCH($C730,'Policy Characteristics'!$C:$C,0))),"",INDEX('Policy Characteristics'!L:L,MATCH($C730,'Policy Characteristics'!$C:$C,0)))</f>
        <v>industry-elec-and-hydrogen.html</v>
      </c>
    </row>
    <row r="731" spans="1:18" x14ac:dyDescent="0.3">
      <c r="A731" s="254" t="str">
        <f>IF(ISBLANK(INDEX('Policy Characteristics'!A:A,MATCH($C731,'Policy Characteristics'!$C:$C,0))),"",INDEX('Policy Characteristics'!A:A,MATCH($C731,'Policy Characteristics'!$C:$C,0)))</f>
        <v>Industry</v>
      </c>
      <c r="B731" s="262" t="str">
        <f>IF(ISBLANK(INDEX('Policy Characteristics'!B:B,MATCH($C731,'Policy Characteristics'!$C:$C,0))),"",INDEX('Policy Characteristics'!B:B,MATCH($C731,'Policy Characteristics'!$C:$C,0)))</f>
        <v>Electrification</v>
      </c>
      <c r="C731" s="254" t="str">
        <f t="shared" si="37"/>
        <v>Fraction of Eligible Industrial Energy Use Shifted to Electricity</v>
      </c>
      <c r="D731" s="6" t="s">
        <v>3073</v>
      </c>
      <c r="E731" s="1" t="s">
        <v>3520</v>
      </c>
      <c r="F731" t="s">
        <v>3036</v>
      </c>
      <c r="G731" s="45" t="s">
        <v>3527</v>
      </c>
      <c r="H731" s="43">
        <v>1935</v>
      </c>
      <c r="I731" s="324" t="s">
        <v>43</v>
      </c>
      <c r="J731" s="255" t="str">
        <f>IF(ISBLANK(INDEX('Policy Characteristics'!D:D,MATCH($C731,'Policy Characteristics'!$C:$C,0))),"",INDEX('Policy Characteristics'!D:D,MATCH($C731,'Policy Characteristics'!$C:$C,0)))</f>
        <v>Electrification</v>
      </c>
      <c r="K731" s="254" t="str">
        <f>IF(ISBLANK(INDEX('Policy Characteristics'!E:E,MATCH($C731,'Policy Characteristics'!$C:$C,0))),"",INDEX('Policy Characteristics'!E:E,MATCH($C731,'Policy Characteristics'!$C:$C,0)))</f>
        <v>indst shift to electricity</v>
      </c>
      <c r="L731" s="261">
        <f>IF(ISBLANK(INDEX('Policy Characteristics'!F:F,MATCH($C731,'Policy Characteristics'!$C:$C,0))),"",INDEX('Policy Characteristics'!F:F,MATCH($C731,'Policy Characteristics'!$C:$C,0)))</f>
        <v>0</v>
      </c>
      <c r="M731" s="261">
        <f>IF(ISBLANK(INDEX('Policy Characteristics'!G:G,MATCH($C731,'Policy Characteristics'!$C:$C,0))),"",INDEX('Policy Characteristics'!G:G,MATCH($C731,'Policy Characteristics'!$C:$C,0)))</f>
        <v>1</v>
      </c>
      <c r="N731" s="261">
        <f>IF(ISBLANK(INDEX('Policy Characteristics'!H:H,MATCH($C731,'Policy Characteristics'!$C:$C,0))),"",INDEX('Policy Characteristics'!H:H,MATCH($C731,'Policy Characteristics'!$C:$C,0)))</f>
        <v>0.01</v>
      </c>
      <c r="O731" s="254" t="str">
        <f>IF(ISBLANK(INDEX('Policy Characteristics'!I:I,MATCH($C731,'Policy Characteristics'!$C:$C,0))),"",INDEX('Policy Characteristics'!I:I,MATCH($C731,'Policy Characteristics'!$C:$C,0)))</f>
        <v>% of fuel shifted</v>
      </c>
      <c r="P731" s="254"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4" t="str">
        <f>IF(ISBLANK(INDEX('Policy Characteristics'!K:K,MATCH($C731,'Policy Characteristics'!$C:$C,0))),"",INDEX('Policy Characteristics'!K:K,MATCH($C731,'Policy Characteristics'!$C:$C,0)))</f>
        <v>industry-ag-main.html#fuel-switching</v>
      </c>
      <c r="R731" s="254" t="str">
        <f>IF(ISBLANK(INDEX('Policy Characteristics'!L:L,MATCH($C731,'Policy Characteristics'!$C:$C,0))),"",INDEX('Policy Characteristics'!L:L,MATCH($C731,'Policy Characteristics'!$C:$C,0)))</f>
        <v>industry-elec-and-hydrogen.html</v>
      </c>
    </row>
    <row r="732" spans="1:18" x14ac:dyDescent="0.3">
      <c r="A732" s="254" t="str">
        <f>IF(ISBLANK(INDEX('Policy Characteristics'!A:A,MATCH($C732,'Policy Characteristics'!$C:$C,0))),"",INDEX('Policy Characteristics'!A:A,MATCH($C732,'Policy Characteristics'!$C:$C,0)))</f>
        <v>Industry</v>
      </c>
      <c r="B732" s="262" t="str">
        <f>IF(ISBLANK(INDEX('Policy Characteristics'!B:B,MATCH($C732,'Policy Characteristics'!$C:$C,0))),"",INDEX('Policy Characteristics'!B:B,MATCH($C732,'Policy Characteristics'!$C:$C,0)))</f>
        <v>Electrification</v>
      </c>
      <c r="C732" s="254" t="str">
        <f t="shared" si="37"/>
        <v>Fraction of Eligible Industrial Energy Use Shifted to Electricity</v>
      </c>
      <c r="D732" s="6" t="s">
        <v>3073</v>
      </c>
      <c r="E732" s="1" t="s">
        <v>3521</v>
      </c>
      <c r="F732" t="s">
        <v>3036</v>
      </c>
      <c r="G732" s="45" t="s">
        <v>3528</v>
      </c>
      <c r="H732" s="43">
        <v>1936</v>
      </c>
      <c r="I732" s="324" t="s">
        <v>43</v>
      </c>
      <c r="J732" s="255" t="str">
        <f>IF(ISBLANK(INDEX('Policy Characteristics'!D:D,MATCH($C732,'Policy Characteristics'!$C:$C,0))),"",INDEX('Policy Characteristics'!D:D,MATCH($C732,'Policy Characteristics'!$C:$C,0)))</f>
        <v>Electrification</v>
      </c>
      <c r="K732" s="254" t="str">
        <f>IF(ISBLANK(INDEX('Policy Characteristics'!E:E,MATCH($C732,'Policy Characteristics'!$C:$C,0))),"",INDEX('Policy Characteristics'!E:E,MATCH($C732,'Policy Characteristics'!$C:$C,0)))</f>
        <v>indst shift to electricity</v>
      </c>
      <c r="L732" s="261">
        <f>IF(ISBLANK(INDEX('Policy Characteristics'!F:F,MATCH($C732,'Policy Characteristics'!$C:$C,0))),"",INDEX('Policy Characteristics'!F:F,MATCH($C732,'Policy Characteristics'!$C:$C,0)))</f>
        <v>0</v>
      </c>
      <c r="M732" s="261">
        <f>IF(ISBLANK(INDEX('Policy Characteristics'!G:G,MATCH($C732,'Policy Characteristics'!$C:$C,0))),"",INDEX('Policy Characteristics'!G:G,MATCH($C732,'Policy Characteristics'!$C:$C,0)))</f>
        <v>1</v>
      </c>
      <c r="N732" s="261">
        <f>IF(ISBLANK(INDEX('Policy Characteristics'!H:H,MATCH($C732,'Policy Characteristics'!$C:$C,0))),"",INDEX('Policy Characteristics'!H:H,MATCH($C732,'Policy Characteristics'!$C:$C,0)))</f>
        <v>0.01</v>
      </c>
      <c r="O732" s="254" t="str">
        <f>IF(ISBLANK(INDEX('Policy Characteristics'!I:I,MATCH($C732,'Policy Characteristics'!$C:$C,0))),"",INDEX('Policy Characteristics'!I:I,MATCH($C732,'Policy Characteristics'!$C:$C,0)))</f>
        <v>% of fuel shifted</v>
      </c>
      <c r="P732" s="254"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4" t="str">
        <f>IF(ISBLANK(INDEX('Policy Characteristics'!K:K,MATCH($C732,'Policy Characteristics'!$C:$C,0))),"",INDEX('Policy Characteristics'!K:K,MATCH($C732,'Policy Characteristics'!$C:$C,0)))</f>
        <v>industry-ag-main.html#fuel-switching</v>
      </c>
      <c r="R732" s="254" t="str">
        <f>IF(ISBLANK(INDEX('Policy Characteristics'!L:L,MATCH($C732,'Policy Characteristics'!$C:$C,0))),"",INDEX('Policy Characteristics'!L:L,MATCH($C732,'Policy Characteristics'!$C:$C,0)))</f>
        <v>industry-elec-and-hydrogen.html</v>
      </c>
    </row>
    <row r="733" spans="1:18" x14ac:dyDescent="0.3">
      <c r="A733" s="254" t="str">
        <f>IF(ISBLANK(INDEX('Policy Characteristics'!A:A,MATCH($C733,'Policy Characteristics'!$C:$C,0))),"",INDEX('Policy Characteristics'!A:A,MATCH($C733,'Policy Characteristics'!$C:$C,0)))</f>
        <v>Industry</v>
      </c>
      <c r="B733" s="262" t="str">
        <f>IF(ISBLANK(INDEX('Policy Characteristics'!B:B,MATCH($C733,'Policy Characteristics'!$C:$C,0))),"",INDEX('Policy Characteristics'!B:B,MATCH($C733,'Policy Characteristics'!$C:$C,0)))</f>
        <v>Electrification</v>
      </c>
      <c r="C733" s="254" t="str">
        <f t="shared" si="37"/>
        <v>Fraction of Eligible Industrial Energy Use Shifted to Electricity</v>
      </c>
      <c r="D733" s="6" t="s">
        <v>3073</v>
      </c>
      <c r="E733" s="1" t="s">
        <v>3671</v>
      </c>
      <c r="F733" t="s">
        <v>3036</v>
      </c>
      <c r="G733" s="45" t="s">
        <v>3671</v>
      </c>
      <c r="H733" s="43">
        <v>1937</v>
      </c>
      <c r="I733" s="324" t="s">
        <v>43</v>
      </c>
      <c r="J733" s="255" t="str">
        <f>IF(ISBLANK(INDEX('Policy Characteristics'!D:D,MATCH($C733,'Policy Characteristics'!$C:$C,0))),"",INDEX('Policy Characteristics'!D:D,MATCH($C733,'Policy Characteristics'!$C:$C,0)))</f>
        <v>Electrification</v>
      </c>
      <c r="K733" s="254" t="str">
        <f>IF(ISBLANK(INDEX('Policy Characteristics'!E:E,MATCH($C733,'Policy Characteristics'!$C:$C,0))),"",INDEX('Policy Characteristics'!E:E,MATCH($C733,'Policy Characteristics'!$C:$C,0)))</f>
        <v>indst shift to electricity</v>
      </c>
      <c r="L733" s="261">
        <f>IF(ISBLANK(INDEX('Policy Characteristics'!F:F,MATCH($C733,'Policy Characteristics'!$C:$C,0))),"",INDEX('Policy Characteristics'!F:F,MATCH($C733,'Policy Characteristics'!$C:$C,0)))</f>
        <v>0</v>
      </c>
      <c r="M733" s="261">
        <f>IF(ISBLANK(INDEX('Policy Characteristics'!G:G,MATCH($C733,'Policy Characteristics'!$C:$C,0))),"",INDEX('Policy Characteristics'!G:G,MATCH($C733,'Policy Characteristics'!$C:$C,0)))</f>
        <v>1</v>
      </c>
      <c r="N733" s="261">
        <f>IF(ISBLANK(INDEX('Policy Characteristics'!H:H,MATCH($C733,'Policy Characteristics'!$C:$C,0))),"",INDEX('Policy Characteristics'!H:H,MATCH($C733,'Policy Characteristics'!$C:$C,0)))</f>
        <v>0.01</v>
      </c>
      <c r="O733" s="254" t="str">
        <f>IF(ISBLANK(INDEX('Policy Characteristics'!I:I,MATCH($C733,'Policy Characteristics'!$C:$C,0))),"",INDEX('Policy Characteristics'!I:I,MATCH($C733,'Policy Characteristics'!$C:$C,0)))</f>
        <v>% of fuel shifted</v>
      </c>
      <c r="P733" s="254"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4" t="str">
        <f>IF(ISBLANK(INDEX('Policy Characteristics'!K:K,MATCH($C733,'Policy Characteristics'!$C:$C,0))),"",INDEX('Policy Characteristics'!K:K,MATCH($C733,'Policy Characteristics'!$C:$C,0)))</f>
        <v>industry-ag-main.html#fuel-switching</v>
      </c>
      <c r="R733" s="254" t="str">
        <f>IF(ISBLANK(INDEX('Policy Characteristics'!L:L,MATCH($C733,'Policy Characteristics'!$C:$C,0))),"",INDEX('Policy Characteristics'!L:L,MATCH($C733,'Policy Characteristics'!$C:$C,0)))</f>
        <v>industry-elec-and-hydrogen.html</v>
      </c>
    </row>
    <row r="734" spans="1:18" x14ac:dyDescent="0.3">
      <c r="A734" s="254" t="str">
        <f>IF(ISBLANK(INDEX('Policy Characteristics'!A:A,MATCH($C734,'Policy Characteristics'!$C:$C,0))),"",INDEX('Policy Characteristics'!A:A,MATCH($C734,'Policy Characteristics'!$C:$C,0)))</f>
        <v>Industry</v>
      </c>
      <c r="B734" s="262" t="str">
        <f>IF(ISBLANK(INDEX('Policy Characteristics'!B:B,MATCH($C734,'Policy Characteristics'!$C:$C,0))),"",INDEX('Policy Characteristics'!B:B,MATCH($C734,'Policy Characteristics'!$C:$C,0)))</f>
        <v>Electrification</v>
      </c>
      <c r="C734" s="254" t="str">
        <f t="shared" si="37"/>
        <v>Fraction of Eligible Industrial Energy Use Shifted to Electricity</v>
      </c>
      <c r="D734" s="6" t="s">
        <v>3074</v>
      </c>
      <c r="E734" s="1" t="s">
        <v>3515</v>
      </c>
      <c r="F734" t="s">
        <v>2580</v>
      </c>
      <c r="G734" s="45" t="s">
        <v>3522</v>
      </c>
      <c r="H734" s="43">
        <v>1938</v>
      </c>
      <c r="I734" s="324" t="s">
        <v>43</v>
      </c>
      <c r="J734" s="255" t="str">
        <f>IF(ISBLANK(INDEX('Policy Characteristics'!D:D,MATCH($C734,'Policy Characteristics'!$C:$C,0))),"",INDEX('Policy Characteristics'!D:D,MATCH($C734,'Policy Characteristics'!$C:$C,0)))</f>
        <v>Electrification</v>
      </c>
      <c r="K734" s="254" t="str">
        <f>IF(ISBLANK(INDEX('Policy Characteristics'!E:E,MATCH($C734,'Policy Characteristics'!$C:$C,0))),"",INDEX('Policy Characteristics'!E:E,MATCH($C734,'Policy Characteristics'!$C:$C,0)))</f>
        <v>indst shift to electricity</v>
      </c>
      <c r="L734" s="261">
        <f>IF(ISBLANK(INDEX('Policy Characteristics'!F:F,MATCH($C734,'Policy Characteristics'!$C:$C,0))),"",INDEX('Policy Characteristics'!F:F,MATCH($C734,'Policy Characteristics'!$C:$C,0)))</f>
        <v>0</v>
      </c>
      <c r="M734" s="261">
        <f>IF(ISBLANK(INDEX('Policy Characteristics'!G:G,MATCH($C734,'Policy Characteristics'!$C:$C,0))),"",INDEX('Policy Characteristics'!G:G,MATCH($C734,'Policy Characteristics'!$C:$C,0)))</f>
        <v>1</v>
      </c>
      <c r="N734" s="261">
        <f>IF(ISBLANK(INDEX('Policy Characteristics'!H:H,MATCH($C734,'Policy Characteristics'!$C:$C,0))),"",INDEX('Policy Characteristics'!H:H,MATCH($C734,'Policy Characteristics'!$C:$C,0)))</f>
        <v>0.01</v>
      </c>
      <c r="O734" s="254" t="str">
        <f>IF(ISBLANK(INDEX('Policy Characteristics'!I:I,MATCH($C734,'Policy Characteristics'!$C:$C,0))),"",INDEX('Policy Characteristics'!I:I,MATCH($C734,'Policy Characteristics'!$C:$C,0)))</f>
        <v>% of fuel shifted</v>
      </c>
      <c r="P734" s="254"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4" t="str">
        <f>IF(ISBLANK(INDEX('Policy Characteristics'!K:K,MATCH($C734,'Policy Characteristics'!$C:$C,0))),"",INDEX('Policy Characteristics'!K:K,MATCH($C734,'Policy Characteristics'!$C:$C,0)))</f>
        <v>industry-ag-main.html#fuel-switching</v>
      </c>
      <c r="R734" s="254" t="str">
        <f>IF(ISBLANK(INDEX('Policy Characteristics'!L:L,MATCH($C734,'Policy Characteristics'!$C:$C,0))),"",INDEX('Policy Characteristics'!L:L,MATCH($C734,'Policy Characteristics'!$C:$C,0)))</f>
        <v>industry-elec-and-hydrogen.html</v>
      </c>
    </row>
    <row r="735" spans="1:18" x14ac:dyDescent="0.3">
      <c r="A735" s="254" t="str">
        <f>IF(ISBLANK(INDEX('Policy Characteristics'!A:A,MATCH($C735,'Policy Characteristics'!$C:$C,0))),"",INDEX('Policy Characteristics'!A:A,MATCH($C735,'Policy Characteristics'!$C:$C,0)))</f>
        <v>Industry</v>
      </c>
      <c r="B735" s="262" t="str">
        <f>IF(ISBLANK(INDEX('Policy Characteristics'!B:B,MATCH($C735,'Policy Characteristics'!$C:$C,0))),"",INDEX('Policy Characteristics'!B:B,MATCH($C735,'Policy Characteristics'!$C:$C,0)))</f>
        <v>Electrification</v>
      </c>
      <c r="C735" s="254" t="str">
        <f t="shared" si="37"/>
        <v>Fraction of Eligible Industrial Energy Use Shifted to Electricity</v>
      </c>
      <c r="D735" s="6" t="s">
        <v>3074</v>
      </c>
      <c r="E735" s="1" t="s">
        <v>3516</v>
      </c>
      <c r="F735" t="s">
        <v>2580</v>
      </c>
      <c r="G735" s="45" t="s">
        <v>3523</v>
      </c>
      <c r="H735" s="43">
        <v>1939</v>
      </c>
      <c r="I735" s="324" t="s">
        <v>43</v>
      </c>
      <c r="J735" s="255" t="str">
        <f>IF(ISBLANK(INDEX('Policy Characteristics'!D:D,MATCH($C735,'Policy Characteristics'!$C:$C,0))),"",INDEX('Policy Characteristics'!D:D,MATCH($C735,'Policy Characteristics'!$C:$C,0)))</f>
        <v>Electrification</v>
      </c>
      <c r="K735" s="254" t="str">
        <f>IF(ISBLANK(INDEX('Policy Characteristics'!E:E,MATCH($C735,'Policy Characteristics'!$C:$C,0))),"",INDEX('Policy Characteristics'!E:E,MATCH($C735,'Policy Characteristics'!$C:$C,0)))</f>
        <v>indst shift to electricity</v>
      </c>
      <c r="L735" s="261">
        <f>IF(ISBLANK(INDEX('Policy Characteristics'!F:F,MATCH($C735,'Policy Characteristics'!$C:$C,0))),"",INDEX('Policy Characteristics'!F:F,MATCH($C735,'Policy Characteristics'!$C:$C,0)))</f>
        <v>0</v>
      </c>
      <c r="M735" s="261">
        <f>IF(ISBLANK(INDEX('Policy Characteristics'!G:G,MATCH($C735,'Policy Characteristics'!$C:$C,0))),"",INDEX('Policy Characteristics'!G:G,MATCH($C735,'Policy Characteristics'!$C:$C,0)))</f>
        <v>1</v>
      </c>
      <c r="N735" s="261">
        <f>IF(ISBLANK(INDEX('Policy Characteristics'!H:H,MATCH($C735,'Policy Characteristics'!$C:$C,0))),"",INDEX('Policy Characteristics'!H:H,MATCH($C735,'Policy Characteristics'!$C:$C,0)))</f>
        <v>0.01</v>
      </c>
      <c r="O735" s="254" t="str">
        <f>IF(ISBLANK(INDEX('Policy Characteristics'!I:I,MATCH($C735,'Policy Characteristics'!$C:$C,0))),"",INDEX('Policy Characteristics'!I:I,MATCH($C735,'Policy Characteristics'!$C:$C,0)))</f>
        <v>% of fuel shifted</v>
      </c>
      <c r="P735" s="254"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4" t="str">
        <f>IF(ISBLANK(INDEX('Policy Characteristics'!K:K,MATCH($C735,'Policy Characteristics'!$C:$C,0))),"",INDEX('Policy Characteristics'!K:K,MATCH($C735,'Policy Characteristics'!$C:$C,0)))</f>
        <v>industry-ag-main.html#fuel-switching</v>
      </c>
      <c r="R735" s="254" t="str">
        <f>IF(ISBLANK(INDEX('Policy Characteristics'!L:L,MATCH($C735,'Policy Characteristics'!$C:$C,0))),"",INDEX('Policy Characteristics'!L:L,MATCH($C735,'Policy Characteristics'!$C:$C,0)))</f>
        <v>industry-elec-and-hydrogen.html</v>
      </c>
    </row>
    <row r="736" spans="1:18" x14ac:dyDescent="0.3">
      <c r="A736" s="254" t="str">
        <f>IF(ISBLANK(INDEX('Policy Characteristics'!A:A,MATCH($C736,'Policy Characteristics'!$C:$C,0))),"",INDEX('Policy Characteristics'!A:A,MATCH($C736,'Policy Characteristics'!$C:$C,0)))</f>
        <v>Industry</v>
      </c>
      <c r="B736" s="262" t="str">
        <f>IF(ISBLANK(INDEX('Policy Characteristics'!B:B,MATCH($C736,'Policy Characteristics'!$C:$C,0))),"",INDEX('Policy Characteristics'!B:B,MATCH($C736,'Policy Characteristics'!$C:$C,0)))</f>
        <v>Electrification</v>
      </c>
      <c r="C736" s="254" t="str">
        <f t="shared" si="37"/>
        <v>Fraction of Eligible Industrial Energy Use Shifted to Electricity</v>
      </c>
      <c r="D736" s="6" t="s">
        <v>3074</v>
      </c>
      <c r="E736" s="1" t="s">
        <v>3517</v>
      </c>
      <c r="F736" t="s">
        <v>2580</v>
      </c>
      <c r="G736" s="45" t="s">
        <v>3524</v>
      </c>
      <c r="H736" s="43">
        <v>1940</v>
      </c>
      <c r="I736" s="324" t="s">
        <v>43</v>
      </c>
      <c r="J736" s="255" t="str">
        <f>IF(ISBLANK(INDEX('Policy Characteristics'!D:D,MATCH($C736,'Policy Characteristics'!$C:$C,0))),"",INDEX('Policy Characteristics'!D:D,MATCH($C736,'Policy Characteristics'!$C:$C,0)))</f>
        <v>Electrification</v>
      </c>
      <c r="K736" s="254" t="str">
        <f>IF(ISBLANK(INDEX('Policy Characteristics'!E:E,MATCH($C736,'Policy Characteristics'!$C:$C,0))),"",INDEX('Policy Characteristics'!E:E,MATCH($C736,'Policy Characteristics'!$C:$C,0)))</f>
        <v>indst shift to electricity</v>
      </c>
      <c r="L736" s="261">
        <f>IF(ISBLANK(INDEX('Policy Characteristics'!F:F,MATCH($C736,'Policy Characteristics'!$C:$C,0))),"",INDEX('Policy Characteristics'!F:F,MATCH($C736,'Policy Characteristics'!$C:$C,0)))</f>
        <v>0</v>
      </c>
      <c r="M736" s="261">
        <f>IF(ISBLANK(INDEX('Policy Characteristics'!G:G,MATCH($C736,'Policy Characteristics'!$C:$C,0))),"",INDEX('Policy Characteristics'!G:G,MATCH($C736,'Policy Characteristics'!$C:$C,0)))</f>
        <v>1</v>
      </c>
      <c r="N736" s="261">
        <f>IF(ISBLANK(INDEX('Policy Characteristics'!H:H,MATCH($C736,'Policy Characteristics'!$C:$C,0))),"",INDEX('Policy Characteristics'!H:H,MATCH($C736,'Policy Characteristics'!$C:$C,0)))</f>
        <v>0.01</v>
      </c>
      <c r="O736" s="254" t="str">
        <f>IF(ISBLANK(INDEX('Policy Characteristics'!I:I,MATCH($C736,'Policy Characteristics'!$C:$C,0))),"",INDEX('Policy Characteristics'!I:I,MATCH($C736,'Policy Characteristics'!$C:$C,0)))</f>
        <v>% of fuel shifted</v>
      </c>
      <c r="P736" s="254"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4" t="str">
        <f>IF(ISBLANK(INDEX('Policy Characteristics'!K:K,MATCH($C736,'Policy Characteristics'!$C:$C,0))),"",INDEX('Policy Characteristics'!K:K,MATCH($C736,'Policy Characteristics'!$C:$C,0)))</f>
        <v>industry-ag-main.html#fuel-switching</v>
      </c>
      <c r="R736" s="254" t="str">
        <f>IF(ISBLANK(INDEX('Policy Characteristics'!L:L,MATCH($C736,'Policy Characteristics'!$C:$C,0))),"",INDEX('Policy Characteristics'!L:L,MATCH($C736,'Policy Characteristics'!$C:$C,0)))</f>
        <v>industry-elec-and-hydrogen.html</v>
      </c>
    </row>
    <row r="737" spans="1:18" x14ac:dyDescent="0.3">
      <c r="A737" s="254" t="str">
        <f>IF(ISBLANK(INDEX('Policy Characteristics'!A:A,MATCH($C737,'Policy Characteristics'!$C:$C,0))),"",INDEX('Policy Characteristics'!A:A,MATCH($C737,'Policy Characteristics'!$C:$C,0)))</f>
        <v>Industry</v>
      </c>
      <c r="B737" s="262" t="str">
        <f>IF(ISBLANK(INDEX('Policy Characteristics'!B:B,MATCH($C737,'Policy Characteristics'!$C:$C,0))),"",INDEX('Policy Characteristics'!B:B,MATCH($C737,'Policy Characteristics'!$C:$C,0)))</f>
        <v>Electrification</v>
      </c>
      <c r="C737" s="254" t="str">
        <f t="shared" si="37"/>
        <v>Fraction of Eligible Industrial Energy Use Shifted to Electricity</v>
      </c>
      <c r="D737" s="6" t="s">
        <v>3074</v>
      </c>
      <c r="E737" s="1" t="s">
        <v>3518</v>
      </c>
      <c r="F737" t="s">
        <v>2580</v>
      </c>
      <c r="G737" s="45" t="s">
        <v>3525</v>
      </c>
      <c r="H737" s="43">
        <v>1941</v>
      </c>
      <c r="I737" s="324" t="s">
        <v>43</v>
      </c>
      <c r="J737" s="255" t="str">
        <f>IF(ISBLANK(INDEX('Policy Characteristics'!D:D,MATCH($C737,'Policy Characteristics'!$C:$C,0))),"",INDEX('Policy Characteristics'!D:D,MATCH($C737,'Policy Characteristics'!$C:$C,0)))</f>
        <v>Electrification</v>
      </c>
      <c r="K737" s="254" t="str">
        <f>IF(ISBLANK(INDEX('Policy Characteristics'!E:E,MATCH($C737,'Policy Characteristics'!$C:$C,0))),"",INDEX('Policy Characteristics'!E:E,MATCH($C737,'Policy Characteristics'!$C:$C,0)))</f>
        <v>indst shift to electricity</v>
      </c>
      <c r="L737" s="261">
        <f>IF(ISBLANK(INDEX('Policy Characteristics'!F:F,MATCH($C737,'Policy Characteristics'!$C:$C,0))),"",INDEX('Policy Characteristics'!F:F,MATCH($C737,'Policy Characteristics'!$C:$C,0)))</f>
        <v>0</v>
      </c>
      <c r="M737" s="261">
        <f>IF(ISBLANK(INDEX('Policy Characteristics'!G:G,MATCH($C737,'Policy Characteristics'!$C:$C,0))),"",INDEX('Policy Characteristics'!G:G,MATCH($C737,'Policy Characteristics'!$C:$C,0)))</f>
        <v>1</v>
      </c>
      <c r="N737" s="261">
        <f>IF(ISBLANK(INDEX('Policy Characteristics'!H:H,MATCH($C737,'Policy Characteristics'!$C:$C,0))),"",INDEX('Policy Characteristics'!H:H,MATCH($C737,'Policy Characteristics'!$C:$C,0)))</f>
        <v>0.01</v>
      </c>
      <c r="O737" s="254" t="str">
        <f>IF(ISBLANK(INDEX('Policy Characteristics'!I:I,MATCH($C737,'Policy Characteristics'!$C:$C,0))),"",INDEX('Policy Characteristics'!I:I,MATCH($C737,'Policy Characteristics'!$C:$C,0)))</f>
        <v>% of fuel shifted</v>
      </c>
      <c r="P737" s="254"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4" t="str">
        <f>IF(ISBLANK(INDEX('Policy Characteristics'!K:K,MATCH($C737,'Policy Characteristics'!$C:$C,0))),"",INDEX('Policy Characteristics'!K:K,MATCH($C737,'Policy Characteristics'!$C:$C,0)))</f>
        <v>industry-ag-main.html#fuel-switching</v>
      </c>
      <c r="R737" s="254" t="str">
        <f>IF(ISBLANK(INDEX('Policy Characteristics'!L:L,MATCH($C737,'Policy Characteristics'!$C:$C,0))),"",INDEX('Policy Characteristics'!L:L,MATCH($C737,'Policy Characteristics'!$C:$C,0)))</f>
        <v>industry-elec-and-hydrogen.html</v>
      </c>
    </row>
    <row r="738" spans="1:18" x14ac:dyDescent="0.3">
      <c r="A738" s="254" t="str">
        <f>IF(ISBLANK(INDEX('Policy Characteristics'!A:A,MATCH($C738,'Policy Characteristics'!$C:$C,0))),"",INDEX('Policy Characteristics'!A:A,MATCH($C738,'Policy Characteristics'!$C:$C,0)))</f>
        <v>Industry</v>
      </c>
      <c r="B738" s="262" t="str">
        <f>IF(ISBLANK(INDEX('Policy Characteristics'!B:B,MATCH($C738,'Policy Characteristics'!$C:$C,0))),"",INDEX('Policy Characteristics'!B:B,MATCH($C738,'Policy Characteristics'!$C:$C,0)))</f>
        <v>Electrification</v>
      </c>
      <c r="C738" s="254" t="str">
        <f t="shared" si="37"/>
        <v>Fraction of Eligible Industrial Energy Use Shifted to Electricity</v>
      </c>
      <c r="D738" s="6" t="s">
        <v>3074</v>
      </c>
      <c r="E738" s="1" t="s">
        <v>3519</v>
      </c>
      <c r="F738" t="s">
        <v>2580</v>
      </c>
      <c r="G738" s="45" t="s">
        <v>3526</v>
      </c>
      <c r="H738" s="43">
        <v>1942</v>
      </c>
      <c r="I738" s="324" t="s">
        <v>43</v>
      </c>
      <c r="J738" s="255" t="str">
        <f>IF(ISBLANK(INDEX('Policy Characteristics'!D:D,MATCH($C738,'Policy Characteristics'!$C:$C,0))),"",INDEX('Policy Characteristics'!D:D,MATCH($C738,'Policy Characteristics'!$C:$C,0)))</f>
        <v>Electrification</v>
      </c>
      <c r="K738" s="254" t="str">
        <f>IF(ISBLANK(INDEX('Policy Characteristics'!E:E,MATCH($C738,'Policy Characteristics'!$C:$C,0))),"",INDEX('Policy Characteristics'!E:E,MATCH($C738,'Policy Characteristics'!$C:$C,0)))</f>
        <v>indst shift to electricity</v>
      </c>
      <c r="L738" s="261">
        <f>IF(ISBLANK(INDEX('Policy Characteristics'!F:F,MATCH($C738,'Policy Characteristics'!$C:$C,0))),"",INDEX('Policy Characteristics'!F:F,MATCH($C738,'Policy Characteristics'!$C:$C,0)))</f>
        <v>0</v>
      </c>
      <c r="M738" s="261">
        <f>IF(ISBLANK(INDEX('Policy Characteristics'!G:G,MATCH($C738,'Policy Characteristics'!$C:$C,0))),"",INDEX('Policy Characteristics'!G:G,MATCH($C738,'Policy Characteristics'!$C:$C,0)))</f>
        <v>1</v>
      </c>
      <c r="N738" s="261">
        <f>IF(ISBLANK(INDEX('Policy Characteristics'!H:H,MATCH($C738,'Policy Characteristics'!$C:$C,0))),"",INDEX('Policy Characteristics'!H:H,MATCH($C738,'Policy Characteristics'!$C:$C,0)))</f>
        <v>0.01</v>
      </c>
      <c r="O738" s="254" t="str">
        <f>IF(ISBLANK(INDEX('Policy Characteristics'!I:I,MATCH($C738,'Policy Characteristics'!$C:$C,0))),"",INDEX('Policy Characteristics'!I:I,MATCH($C738,'Policy Characteristics'!$C:$C,0)))</f>
        <v>% of fuel shifted</v>
      </c>
      <c r="P738" s="254"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4" t="str">
        <f>IF(ISBLANK(INDEX('Policy Characteristics'!K:K,MATCH($C738,'Policy Characteristics'!$C:$C,0))),"",INDEX('Policy Characteristics'!K:K,MATCH($C738,'Policy Characteristics'!$C:$C,0)))</f>
        <v>industry-ag-main.html#fuel-switching</v>
      </c>
      <c r="R738" s="254" t="str">
        <f>IF(ISBLANK(INDEX('Policy Characteristics'!L:L,MATCH($C738,'Policy Characteristics'!$C:$C,0))),"",INDEX('Policy Characteristics'!L:L,MATCH($C738,'Policy Characteristics'!$C:$C,0)))</f>
        <v>industry-elec-and-hydrogen.html</v>
      </c>
    </row>
    <row r="739" spans="1:18" x14ac:dyDescent="0.3">
      <c r="A739" s="254" t="str">
        <f>IF(ISBLANK(INDEX('Policy Characteristics'!A:A,MATCH($C739,'Policy Characteristics'!$C:$C,0))),"",INDEX('Policy Characteristics'!A:A,MATCH($C739,'Policy Characteristics'!$C:$C,0)))</f>
        <v>Industry</v>
      </c>
      <c r="B739" s="262" t="str">
        <f>IF(ISBLANK(INDEX('Policy Characteristics'!B:B,MATCH($C739,'Policy Characteristics'!$C:$C,0))),"",INDEX('Policy Characteristics'!B:B,MATCH($C739,'Policy Characteristics'!$C:$C,0)))</f>
        <v>Electrification</v>
      </c>
      <c r="C739" s="254" t="str">
        <f t="shared" si="37"/>
        <v>Fraction of Eligible Industrial Energy Use Shifted to Electricity</v>
      </c>
      <c r="D739" s="6" t="s">
        <v>3074</v>
      </c>
      <c r="E739" s="1" t="s">
        <v>3520</v>
      </c>
      <c r="F739" t="s">
        <v>2580</v>
      </c>
      <c r="G739" s="45" t="s">
        <v>3527</v>
      </c>
      <c r="H739" s="43">
        <v>1943</v>
      </c>
      <c r="I739" s="324" t="s">
        <v>43</v>
      </c>
      <c r="J739" s="255" t="str">
        <f>IF(ISBLANK(INDEX('Policy Characteristics'!D:D,MATCH($C739,'Policy Characteristics'!$C:$C,0))),"",INDEX('Policy Characteristics'!D:D,MATCH($C739,'Policy Characteristics'!$C:$C,0)))</f>
        <v>Electrification</v>
      </c>
      <c r="K739" s="254" t="str">
        <f>IF(ISBLANK(INDEX('Policy Characteristics'!E:E,MATCH($C739,'Policy Characteristics'!$C:$C,0))),"",INDEX('Policy Characteristics'!E:E,MATCH($C739,'Policy Characteristics'!$C:$C,0)))</f>
        <v>indst shift to electricity</v>
      </c>
      <c r="L739" s="261">
        <f>IF(ISBLANK(INDEX('Policy Characteristics'!F:F,MATCH($C739,'Policy Characteristics'!$C:$C,0))),"",INDEX('Policy Characteristics'!F:F,MATCH($C739,'Policy Characteristics'!$C:$C,0)))</f>
        <v>0</v>
      </c>
      <c r="M739" s="261">
        <f>IF(ISBLANK(INDEX('Policy Characteristics'!G:G,MATCH($C739,'Policy Characteristics'!$C:$C,0))),"",INDEX('Policy Characteristics'!G:G,MATCH($C739,'Policy Characteristics'!$C:$C,0)))</f>
        <v>1</v>
      </c>
      <c r="N739" s="261">
        <f>IF(ISBLANK(INDEX('Policy Characteristics'!H:H,MATCH($C739,'Policy Characteristics'!$C:$C,0))),"",INDEX('Policy Characteristics'!H:H,MATCH($C739,'Policy Characteristics'!$C:$C,0)))</f>
        <v>0.01</v>
      </c>
      <c r="O739" s="254" t="str">
        <f>IF(ISBLANK(INDEX('Policy Characteristics'!I:I,MATCH($C739,'Policy Characteristics'!$C:$C,0))),"",INDEX('Policy Characteristics'!I:I,MATCH($C739,'Policy Characteristics'!$C:$C,0)))</f>
        <v>% of fuel shifted</v>
      </c>
      <c r="P739" s="254"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4" t="str">
        <f>IF(ISBLANK(INDEX('Policy Characteristics'!K:K,MATCH($C739,'Policy Characteristics'!$C:$C,0))),"",INDEX('Policy Characteristics'!K:K,MATCH($C739,'Policy Characteristics'!$C:$C,0)))</f>
        <v>industry-ag-main.html#fuel-switching</v>
      </c>
      <c r="R739" s="254" t="str">
        <f>IF(ISBLANK(INDEX('Policy Characteristics'!L:L,MATCH($C739,'Policy Characteristics'!$C:$C,0))),"",INDEX('Policy Characteristics'!L:L,MATCH($C739,'Policy Characteristics'!$C:$C,0)))</f>
        <v>industry-elec-and-hydrogen.html</v>
      </c>
    </row>
    <row r="740" spans="1:18" x14ac:dyDescent="0.3">
      <c r="A740" s="254" t="str">
        <f>IF(ISBLANK(INDEX('Policy Characteristics'!A:A,MATCH($C740,'Policy Characteristics'!$C:$C,0))),"",INDEX('Policy Characteristics'!A:A,MATCH($C740,'Policy Characteristics'!$C:$C,0)))</f>
        <v>Industry</v>
      </c>
      <c r="B740" s="262" t="str">
        <f>IF(ISBLANK(INDEX('Policy Characteristics'!B:B,MATCH($C740,'Policy Characteristics'!$C:$C,0))),"",INDEX('Policy Characteristics'!B:B,MATCH($C740,'Policy Characteristics'!$C:$C,0)))</f>
        <v>Electrification</v>
      </c>
      <c r="C740" s="254" t="str">
        <f t="shared" si="37"/>
        <v>Fraction of Eligible Industrial Energy Use Shifted to Electricity</v>
      </c>
      <c r="D740" s="6" t="s">
        <v>3074</v>
      </c>
      <c r="E740" s="1" t="s">
        <v>3521</v>
      </c>
      <c r="F740" t="s">
        <v>2580</v>
      </c>
      <c r="G740" s="45" t="s">
        <v>3528</v>
      </c>
      <c r="H740" s="43">
        <v>1944</v>
      </c>
      <c r="I740" s="324" t="s">
        <v>43</v>
      </c>
      <c r="J740" s="255" t="str">
        <f>IF(ISBLANK(INDEX('Policy Characteristics'!D:D,MATCH($C740,'Policy Characteristics'!$C:$C,0))),"",INDEX('Policy Characteristics'!D:D,MATCH($C740,'Policy Characteristics'!$C:$C,0)))</f>
        <v>Electrification</v>
      </c>
      <c r="K740" s="254" t="str">
        <f>IF(ISBLANK(INDEX('Policy Characteristics'!E:E,MATCH($C740,'Policy Characteristics'!$C:$C,0))),"",INDEX('Policy Characteristics'!E:E,MATCH($C740,'Policy Characteristics'!$C:$C,0)))</f>
        <v>indst shift to electricity</v>
      </c>
      <c r="L740" s="261">
        <f>IF(ISBLANK(INDEX('Policy Characteristics'!F:F,MATCH($C740,'Policy Characteristics'!$C:$C,0))),"",INDEX('Policy Characteristics'!F:F,MATCH($C740,'Policy Characteristics'!$C:$C,0)))</f>
        <v>0</v>
      </c>
      <c r="M740" s="261">
        <f>IF(ISBLANK(INDEX('Policy Characteristics'!G:G,MATCH($C740,'Policy Characteristics'!$C:$C,0))),"",INDEX('Policy Characteristics'!G:G,MATCH($C740,'Policy Characteristics'!$C:$C,0)))</f>
        <v>1</v>
      </c>
      <c r="N740" s="261">
        <f>IF(ISBLANK(INDEX('Policy Characteristics'!H:H,MATCH($C740,'Policy Characteristics'!$C:$C,0))),"",INDEX('Policy Characteristics'!H:H,MATCH($C740,'Policy Characteristics'!$C:$C,0)))</f>
        <v>0.01</v>
      </c>
      <c r="O740" s="254" t="str">
        <f>IF(ISBLANK(INDEX('Policy Characteristics'!I:I,MATCH($C740,'Policy Characteristics'!$C:$C,0))),"",INDEX('Policy Characteristics'!I:I,MATCH($C740,'Policy Characteristics'!$C:$C,0)))</f>
        <v>% of fuel shifted</v>
      </c>
      <c r="P740" s="254"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4" t="str">
        <f>IF(ISBLANK(INDEX('Policy Characteristics'!K:K,MATCH($C740,'Policy Characteristics'!$C:$C,0))),"",INDEX('Policy Characteristics'!K:K,MATCH($C740,'Policy Characteristics'!$C:$C,0)))</f>
        <v>industry-ag-main.html#fuel-switching</v>
      </c>
      <c r="R740" s="254" t="str">
        <f>IF(ISBLANK(INDEX('Policy Characteristics'!L:L,MATCH($C740,'Policy Characteristics'!$C:$C,0))),"",INDEX('Policy Characteristics'!L:L,MATCH($C740,'Policy Characteristics'!$C:$C,0)))</f>
        <v>industry-elec-and-hydrogen.html</v>
      </c>
    </row>
    <row r="741" spans="1:18" x14ac:dyDescent="0.3">
      <c r="A741" s="254" t="str">
        <f>IF(ISBLANK(INDEX('Policy Characteristics'!A:A,MATCH($C741,'Policy Characteristics'!$C:$C,0))),"",INDEX('Policy Characteristics'!A:A,MATCH($C741,'Policy Characteristics'!$C:$C,0)))</f>
        <v>Industry</v>
      </c>
      <c r="B741" s="262" t="str">
        <f>IF(ISBLANK(INDEX('Policy Characteristics'!B:B,MATCH($C741,'Policy Characteristics'!$C:$C,0))),"",INDEX('Policy Characteristics'!B:B,MATCH($C741,'Policy Characteristics'!$C:$C,0)))</f>
        <v>Electrification</v>
      </c>
      <c r="C741" s="254" t="str">
        <f t="shared" si="37"/>
        <v>Fraction of Eligible Industrial Energy Use Shifted to Electricity</v>
      </c>
      <c r="D741" s="6" t="s">
        <v>3074</v>
      </c>
      <c r="E741" s="1" t="s">
        <v>3671</v>
      </c>
      <c r="F741" t="s">
        <v>2580</v>
      </c>
      <c r="G741" s="45" t="s">
        <v>3671</v>
      </c>
      <c r="H741" s="43">
        <v>1945</v>
      </c>
      <c r="I741" s="324" t="s">
        <v>43</v>
      </c>
      <c r="J741" s="255" t="str">
        <f>IF(ISBLANK(INDEX('Policy Characteristics'!D:D,MATCH($C741,'Policy Characteristics'!$C:$C,0))),"",INDEX('Policy Characteristics'!D:D,MATCH($C741,'Policy Characteristics'!$C:$C,0)))</f>
        <v>Electrification</v>
      </c>
      <c r="K741" s="254" t="str">
        <f>IF(ISBLANK(INDEX('Policy Characteristics'!E:E,MATCH($C741,'Policy Characteristics'!$C:$C,0))),"",INDEX('Policy Characteristics'!E:E,MATCH($C741,'Policy Characteristics'!$C:$C,0)))</f>
        <v>indst shift to electricity</v>
      </c>
      <c r="L741" s="261">
        <f>IF(ISBLANK(INDEX('Policy Characteristics'!F:F,MATCH($C741,'Policy Characteristics'!$C:$C,0))),"",INDEX('Policy Characteristics'!F:F,MATCH($C741,'Policy Characteristics'!$C:$C,0)))</f>
        <v>0</v>
      </c>
      <c r="M741" s="261">
        <f>IF(ISBLANK(INDEX('Policy Characteristics'!G:G,MATCH($C741,'Policy Characteristics'!$C:$C,0))),"",INDEX('Policy Characteristics'!G:G,MATCH($C741,'Policy Characteristics'!$C:$C,0)))</f>
        <v>1</v>
      </c>
      <c r="N741" s="261">
        <f>IF(ISBLANK(INDEX('Policy Characteristics'!H:H,MATCH($C741,'Policy Characteristics'!$C:$C,0))),"",INDEX('Policy Characteristics'!H:H,MATCH($C741,'Policy Characteristics'!$C:$C,0)))</f>
        <v>0.01</v>
      </c>
      <c r="O741" s="254" t="str">
        <f>IF(ISBLANK(INDEX('Policy Characteristics'!I:I,MATCH($C741,'Policy Characteristics'!$C:$C,0))),"",INDEX('Policy Characteristics'!I:I,MATCH($C741,'Policy Characteristics'!$C:$C,0)))</f>
        <v>% of fuel shifted</v>
      </c>
      <c r="P741" s="254"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4" t="str">
        <f>IF(ISBLANK(INDEX('Policy Characteristics'!K:K,MATCH($C741,'Policy Characteristics'!$C:$C,0))),"",INDEX('Policy Characteristics'!K:K,MATCH($C741,'Policy Characteristics'!$C:$C,0)))</f>
        <v>industry-ag-main.html#fuel-switching</v>
      </c>
      <c r="R741" s="254" t="str">
        <f>IF(ISBLANK(INDEX('Policy Characteristics'!L:L,MATCH($C741,'Policy Characteristics'!$C:$C,0))),"",INDEX('Policy Characteristics'!L:L,MATCH($C741,'Policy Characteristics'!$C:$C,0)))</f>
        <v>industry-elec-and-hydrogen.html</v>
      </c>
    </row>
    <row r="742" spans="1:18" x14ac:dyDescent="0.3">
      <c r="A742" s="254" t="str">
        <f>IF(ISBLANK(INDEX('Policy Characteristics'!A:A,MATCH($C742,'Policy Characteristics'!$C:$C,0))),"",INDEX('Policy Characteristics'!A:A,MATCH($C742,'Policy Characteristics'!$C:$C,0)))</f>
        <v>Industry</v>
      </c>
      <c r="B742" s="262" t="str">
        <f>IF(ISBLANK(INDEX('Policy Characteristics'!B:B,MATCH($C742,'Policy Characteristics'!$C:$C,0))),"",INDEX('Policy Characteristics'!B:B,MATCH($C742,'Policy Characteristics'!$C:$C,0)))</f>
        <v>Electrification</v>
      </c>
      <c r="C742" s="254" t="str">
        <f t="shared" si="37"/>
        <v>Fraction of Eligible Industrial Energy Use Shifted to Electricity</v>
      </c>
      <c r="D742" s="6" t="s">
        <v>3075</v>
      </c>
      <c r="E742" s="1" t="s">
        <v>3515</v>
      </c>
      <c r="F742" t="s">
        <v>3037</v>
      </c>
      <c r="G742" s="45" t="s">
        <v>3522</v>
      </c>
      <c r="H742" s="43">
        <v>1946</v>
      </c>
      <c r="I742" s="324" t="s">
        <v>43</v>
      </c>
      <c r="J742" s="255" t="str">
        <f>IF(ISBLANK(INDEX('Policy Characteristics'!D:D,MATCH($C742,'Policy Characteristics'!$C:$C,0))),"",INDEX('Policy Characteristics'!D:D,MATCH($C742,'Policy Characteristics'!$C:$C,0)))</f>
        <v>Electrification</v>
      </c>
      <c r="K742" s="254" t="str">
        <f>IF(ISBLANK(INDEX('Policy Characteristics'!E:E,MATCH($C742,'Policy Characteristics'!$C:$C,0))),"",INDEX('Policy Characteristics'!E:E,MATCH($C742,'Policy Characteristics'!$C:$C,0)))</f>
        <v>indst shift to electricity</v>
      </c>
      <c r="L742" s="261">
        <f>IF(ISBLANK(INDEX('Policy Characteristics'!F:F,MATCH($C742,'Policy Characteristics'!$C:$C,0))),"",INDEX('Policy Characteristics'!F:F,MATCH($C742,'Policy Characteristics'!$C:$C,0)))</f>
        <v>0</v>
      </c>
      <c r="M742" s="261">
        <f>IF(ISBLANK(INDEX('Policy Characteristics'!G:G,MATCH($C742,'Policy Characteristics'!$C:$C,0))),"",INDEX('Policy Characteristics'!G:G,MATCH($C742,'Policy Characteristics'!$C:$C,0)))</f>
        <v>1</v>
      </c>
      <c r="N742" s="261">
        <f>IF(ISBLANK(INDEX('Policy Characteristics'!H:H,MATCH($C742,'Policy Characteristics'!$C:$C,0))),"",INDEX('Policy Characteristics'!H:H,MATCH($C742,'Policy Characteristics'!$C:$C,0)))</f>
        <v>0.01</v>
      </c>
      <c r="O742" s="254" t="str">
        <f>IF(ISBLANK(INDEX('Policy Characteristics'!I:I,MATCH($C742,'Policy Characteristics'!$C:$C,0))),"",INDEX('Policy Characteristics'!I:I,MATCH($C742,'Policy Characteristics'!$C:$C,0)))</f>
        <v>% of fuel shifted</v>
      </c>
      <c r="P742" s="254"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4" t="str">
        <f>IF(ISBLANK(INDEX('Policy Characteristics'!K:K,MATCH($C742,'Policy Characteristics'!$C:$C,0))),"",INDEX('Policy Characteristics'!K:K,MATCH($C742,'Policy Characteristics'!$C:$C,0)))</f>
        <v>industry-ag-main.html#fuel-switching</v>
      </c>
      <c r="R742" s="254" t="str">
        <f>IF(ISBLANK(INDEX('Policy Characteristics'!L:L,MATCH($C742,'Policy Characteristics'!$C:$C,0))),"",INDEX('Policy Characteristics'!L:L,MATCH($C742,'Policy Characteristics'!$C:$C,0)))</f>
        <v>industry-elec-and-hydrogen.html</v>
      </c>
    </row>
    <row r="743" spans="1:18" x14ac:dyDescent="0.3">
      <c r="A743" s="254" t="str">
        <f>IF(ISBLANK(INDEX('Policy Characteristics'!A:A,MATCH($C743,'Policy Characteristics'!$C:$C,0))),"",INDEX('Policy Characteristics'!A:A,MATCH($C743,'Policy Characteristics'!$C:$C,0)))</f>
        <v>Industry</v>
      </c>
      <c r="B743" s="262" t="str">
        <f>IF(ISBLANK(INDEX('Policy Characteristics'!B:B,MATCH($C743,'Policy Characteristics'!$C:$C,0))),"",INDEX('Policy Characteristics'!B:B,MATCH($C743,'Policy Characteristics'!$C:$C,0)))</f>
        <v>Electrification</v>
      </c>
      <c r="C743" s="254" t="str">
        <f t="shared" si="37"/>
        <v>Fraction of Eligible Industrial Energy Use Shifted to Electricity</v>
      </c>
      <c r="D743" s="6" t="s">
        <v>3075</v>
      </c>
      <c r="E743" s="1" t="s">
        <v>3516</v>
      </c>
      <c r="F743" t="s">
        <v>3037</v>
      </c>
      <c r="G743" s="45" t="s">
        <v>3523</v>
      </c>
      <c r="H743" s="43">
        <v>1947</v>
      </c>
      <c r="I743" s="324" t="s">
        <v>43</v>
      </c>
      <c r="J743" s="255" t="str">
        <f>IF(ISBLANK(INDEX('Policy Characteristics'!D:D,MATCH($C743,'Policy Characteristics'!$C:$C,0))),"",INDEX('Policy Characteristics'!D:D,MATCH($C743,'Policy Characteristics'!$C:$C,0)))</f>
        <v>Electrification</v>
      </c>
      <c r="K743" s="254" t="str">
        <f>IF(ISBLANK(INDEX('Policy Characteristics'!E:E,MATCH($C743,'Policy Characteristics'!$C:$C,0))),"",INDEX('Policy Characteristics'!E:E,MATCH($C743,'Policy Characteristics'!$C:$C,0)))</f>
        <v>indst shift to electricity</v>
      </c>
      <c r="L743" s="261">
        <f>IF(ISBLANK(INDEX('Policy Characteristics'!F:F,MATCH($C743,'Policy Characteristics'!$C:$C,0))),"",INDEX('Policy Characteristics'!F:F,MATCH($C743,'Policy Characteristics'!$C:$C,0)))</f>
        <v>0</v>
      </c>
      <c r="M743" s="261">
        <f>IF(ISBLANK(INDEX('Policy Characteristics'!G:G,MATCH($C743,'Policy Characteristics'!$C:$C,0))),"",INDEX('Policy Characteristics'!G:G,MATCH($C743,'Policy Characteristics'!$C:$C,0)))</f>
        <v>1</v>
      </c>
      <c r="N743" s="261">
        <f>IF(ISBLANK(INDEX('Policy Characteristics'!H:H,MATCH($C743,'Policy Characteristics'!$C:$C,0))),"",INDEX('Policy Characteristics'!H:H,MATCH($C743,'Policy Characteristics'!$C:$C,0)))</f>
        <v>0.01</v>
      </c>
      <c r="O743" s="254" t="str">
        <f>IF(ISBLANK(INDEX('Policy Characteristics'!I:I,MATCH($C743,'Policy Characteristics'!$C:$C,0))),"",INDEX('Policy Characteristics'!I:I,MATCH($C743,'Policy Characteristics'!$C:$C,0)))</f>
        <v>% of fuel shifted</v>
      </c>
      <c r="P743" s="254"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4" t="str">
        <f>IF(ISBLANK(INDEX('Policy Characteristics'!K:K,MATCH($C743,'Policy Characteristics'!$C:$C,0))),"",INDEX('Policy Characteristics'!K:K,MATCH($C743,'Policy Characteristics'!$C:$C,0)))</f>
        <v>industry-ag-main.html#fuel-switching</v>
      </c>
      <c r="R743" s="254" t="str">
        <f>IF(ISBLANK(INDEX('Policy Characteristics'!L:L,MATCH($C743,'Policy Characteristics'!$C:$C,0))),"",INDEX('Policy Characteristics'!L:L,MATCH($C743,'Policy Characteristics'!$C:$C,0)))</f>
        <v>industry-elec-and-hydrogen.html</v>
      </c>
    </row>
    <row r="744" spans="1:18" x14ac:dyDescent="0.3">
      <c r="A744" s="254" t="str">
        <f>IF(ISBLANK(INDEX('Policy Characteristics'!A:A,MATCH($C744,'Policy Characteristics'!$C:$C,0))),"",INDEX('Policy Characteristics'!A:A,MATCH($C744,'Policy Characteristics'!$C:$C,0)))</f>
        <v>Industry</v>
      </c>
      <c r="B744" s="262" t="str">
        <f>IF(ISBLANK(INDEX('Policy Characteristics'!B:B,MATCH($C744,'Policy Characteristics'!$C:$C,0))),"",INDEX('Policy Characteristics'!B:B,MATCH($C744,'Policy Characteristics'!$C:$C,0)))</f>
        <v>Electrification</v>
      </c>
      <c r="C744" s="254" t="str">
        <f t="shared" si="37"/>
        <v>Fraction of Eligible Industrial Energy Use Shifted to Electricity</v>
      </c>
      <c r="D744" s="6" t="s">
        <v>3075</v>
      </c>
      <c r="E744" s="1" t="s">
        <v>3517</v>
      </c>
      <c r="F744" t="s">
        <v>3037</v>
      </c>
      <c r="G744" s="45" t="s">
        <v>3524</v>
      </c>
      <c r="H744" s="43">
        <v>1948</v>
      </c>
      <c r="I744" s="324" t="s">
        <v>43</v>
      </c>
      <c r="J744" s="255" t="str">
        <f>IF(ISBLANK(INDEX('Policy Characteristics'!D:D,MATCH($C744,'Policy Characteristics'!$C:$C,0))),"",INDEX('Policy Characteristics'!D:D,MATCH($C744,'Policy Characteristics'!$C:$C,0)))</f>
        <v>Electrification</v>
      </c>
      <c r="K744" s="254" t="str">
        <f>IF(ISBLANK(INDEX('Policy Characteristics'!E:E,MATCH($C744,'Policy Characteristics'!$C:$C,0))),"",INDEX('Policy Characteristics'!E:E,MATCH($C744,'Policy Characteristics'!$C:$C,0)))</f>
        <v>indst shift to electricity</v>
      </c>
      <c r="L744" s="261">
        <f>IF(ISBLANK(INDEX('Policy Characteristics'!F:F,MATCH($C744,'Policy Characteristics'!$C:$C,0))),"",INDEX('Policy Characteristics'!F:F,MATCH($C744,'Policy Characteristics'!$C:$C,0)))</f>
        <v>0</v>
      </c>
      <c r="M744" s="261">
        <f>IF(ISBLANK(INDEX('Policy Characteristics'!G:G,MATCH($C744,'Policy Characteristics'!$C:$C,0))),"",INDEX('Policy Characteristics'!G:G,MATCH($C744,'Policy Characteristics'!$C:$C,0)))</f>
        <v>1</v>
      </c>
      <c r="N744" s="261">
        <f>IF(ISBLANK(INDEX('Policy Characteristics'!H:H,MATCH($C744,'Policy Characteristics'!$C:$C,0))),"",INDEX('Policy Characteristics'!H:H,MATCH($C744,'Policy Characteristics'!$C:$C,0)))</f>
        <v>0.01</v>
      </c>
      <c r="O744" s="254" t="str">
        <f>IF(ISBLANK(INDEX('Policy Characteristics'!I:I,MATCH($C744,'Policy Characteristics'!$C:$C,0))),"",INDEX('Policy Characteristics'!I:I,MATCH($C744,'Policy Characteristics'!$C:$C,0)))</f>
        <v>% of fuel shifted</v>
      </c>
      <c r="P744" s="254"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4" t="str">
        <f>IF(ISBLANK(INDEX('Policy Characteristics'!K:K,MATCH($C744,'Policy Characteristics'!$C:$C,0))),"",INDEX('Policy Characteristics'!K:K,MATCH($C744,'Policy Characteristics'!$C:$C,0)))</f>
        <v>industry-ag-main.html#fuel-switching</v>
      </c>
      <c r="R744" s="254" t="str">
        <f>IF(ISBLANK(INDEX('Policy Characteristics'!L:L,MATCH($C744,'Policy Characteristics'!$C:$C,0))),"",INDEX('Policy Characteristics'!L:L,MATCH($C744,'Policy Characteristics'!$C:$C,0)))</f>
        <v>industry-elec-and-hydrogen.html</v>
      </c>
    </row>
    <row r="745" spans="1:18" x14ac:dyDescent="0.3">
      <c r="A745" s="254" t="str">
        <f>IF(ISBLANK(INDEX('Policy Characteristics'!A:A,MATCH($C745,'Policy Characteristics'!$C:$C,0))),"",INDEX('Policy Characteristics'!A:A,MATCH($C745,'Policy Characteristics'!$C:$C,0)))</f>
        <v>Industry</v>
      </c>
      <c r="B745" s="262" t="str">
        <f>IF(ISBLANK(INDEX('Policy Characteristics'!B:B,MATCH($C745,'Policy Characteristics'!$C:$C,0))),"",INDEX('Policy Characteristics'!B:B,MATCH($C745,'Policy Characteristics'!$C:$C,0)))</f>
        <v>Electrification</v>
      </c>
      <c r="C745" s="254" t="str">
        <f t="shared" si="37"/>
        <v>Fraction of Eligible Industrial Energy Use Shifted to Electricity</v>
      </c>
      <c r="D745" s="6" t="s">
        <v>3075</v>
      </c>
      <c r="E745" s="1" t="s">
        <v>3518</v>
      </c>
      <c r="F745" t="s">
        <v>3037</v>
      </c>
      <c r="G745" s="45" t="s">
        <v>3525</v>
      </c>
      <c r="H745" s="43">
        <v>1949</v>
      </c>
      <c r="I745" s="324" t="s">
        <v>43</v>
      </c>
      <c r="J745" s="255" t="str">
        <f>IF(ISBLANK(INDEX('Policy Characteristics'!D:D,MATCH($C745,'Policy Characteristics'!$C:$C,0))),"",INDEX('Policy Characteristics'!D:D,MATCH($C745,'Policy Characteristics'!$C:$C,0)))</f>
        <v>Electrification</v>
      </c>
      <c r="K745" s="254" t="str">
        <f>IF(ISBLANK(INDEX('Policy Characteristics'!E:E,MATCH($C745,'Policy Characteristics'!$C:$C,0))),"",INDEX('Policy Characteristics'!E:E,MATCH($C745,'Policy Characteristics'!$C:$C,0)))</f>
        <v>indst shift to electricity</v>
      </c>
      <c r="L745" s="261">
        <f>IF(ISBLANK(INDEX('Policy Characteristics'!F:F,MATCH($C745,'Policy Characteristics'!$C:$C,0))),"",INDEX('Policy Characteristics'!F:F,MATCH($C745,'Policy Characteristics'!$C:$C,0)))</f>
        <v>0</v>
      </c>
      <c r="M745" s="261">
        <f>IF(ISBLANK(INDEX('Policy Characteristics'!G:G,MATCH($C745,'Policy Characteristics'!$C:$C,0))),"",INDEX('Policy Characteristics'!G:G,MATCH($C745,'Policy Characteristics'!$C:$C,0)))</f>
        <v>1</v>
      </c>
      <c r="N745" s="261">
        <f>IF(ISBLANK(INDEX('Policy Characteristics'!H:H,MATCH($C745,'Policy Characteristics'!$C:$C,0))),"",INDEX('Policy Characteristics'!H:H,MATCH($C745,'Policy Characteristics'!$C:$C,0)))</f>
        <v>0.01</v>
      </c>
      <c r="O745" s="254" t="str">
        <f>IF(ISBLANK(INDEX('Policy Characteristics'!I:I,MATCH($C745,'Policy Characteristics'!$C:$C,0))),"",INDEX('Policy Characteristics'!I:I,MATCH($C745,'Policy Characteristics'!$C:$C,0)))</f>
        <v>% of fuel shifted</v>
      </c>
      <c r="P745" s="254"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4" t="str">
        <f>IF(ISBLANK(INDEX('Policy Characteristics'!K:K,MATCH($C745,'Policy Characteristics'!$C:$C,0))),"",INDEX('Policy Characteristics'!K:K,MATCH($C745,'Policy Characteristics'!$C:$C,0)))</f>
        <v>industry-ag-main.html#fuel-switching</v>
      </c>
      <c r="R745" s="254" t="str">
        <f>IF(ISBLANK(INDEX('Policy Characteristics'!L:L,MATCH($C745,'Policy Characteristics'!$C:$C,0))),"",INDEX('Policy Characteristics'!L:L,MATCH($C745,'Policy Characteristics'!$C:$C,0)))</f>
        <v>industry-elec-and-hydrogen.html</v>
      </c>
    </row>
    <row r="746" spans="1:18" x14ac:dyDescent="0.3">
      <c r="A746" s="254" t="str">
        <f>IF(ISBLANK(INDEX('Policy Characteristics'!A:A,MATCH($C746,'Policy Characteristics'!$C:$C,0))),"",INDEX('Policy Characteristics'!A:A,MATCH($C746,'Policy Characteristics'!$C:$C,0)))</f>
        <v>Industry</v>
      </c>
      <c r="B746" s="262" t="str">
        <f>IF(ISBLANK(INDEX('Policy Characteristics'!B:B,MATCH($C746,'Policy Characteristics'!$C:$C,0))),"",INDEX('Policy Characteristics'!B:B,MATCH($C746,'Policy Characteristics'!$C:$C,0)))</f>
        <v>Electrification</v>
      </c>
      <c r="C746" s="254" t="str">
        <f t="shared" si="37"/>
        <v>Fraction of Eligible Industrial Energy Use Shifted to Electricity</v>
      </c>
      <c r="D746" s="6" t="s">
        <v>3075</v>
      </c>
      <c r="E746" s="1" t="s">
        <v>3519</v>
      </c>
      <c r="F746" t="s">
        <v>3037</v>
      </c>
      <c r="G746" s="45" t="s">
        <v>3526</v>
      </c>
      <c r="H746" s="43">
        <v>1950</v>
      </c>
      <c r="I746" s="324" t="s">
        <v>43</v>
      </c>
      <c r="J746" s="255" t="str">
        <f>IF(ISBLANK(INDEX('Policy Characteristics'!D:D,MATCH($C746,'Policy Characteristics'!$C:$C,0))),"",INDEX('Policy Characteristics'!D:D,MATCH($C746,'Policy Characteristics'!$C:$C,0)))</f>
        <v>Electrification</v>
      </c>
      <c r="K746" s="254" t="str">
        <f>IF(ISBLANK(INDEX('Policy Characteristics'!E:E,MATCH($C746,'Policy Characteristics'!$C:$C,0))),"",INDEX('Policy Characteristics'!E:E,MATCH($C746,'Policy Characteristics'!$C:$C,0)))</f>
        <v>indst shift to electricity</v>
      </c>
      <c r="L746" s="261">
        <f>IF(ISBLANK(INDEX('Policy Characteristics'!F:F,MATCH($C746,'Policy Characteristics'!$C:$C,0))),"",INDEX('Policy Characteristics'!F:F,MATCH($C746,'Policy Characteristics'!$C:$C,0)))</f>
        <v>0</v>
      </c>
      <c r="M746" s="261">
        <f>IF(ISBLANK(INDEX('Policy Characteristics'!G:G,MATCH($C746,'Policy Characteristics'!$C:$C,0))),"",INDEX('Policy Characteristics'!G:G,MATCH($C746,'Policy Characteristics'!$C:$C,0)))</f>
        <v>1</v>
      </c>
      <c r="N746" s="261">
        <f>IF(ISBLANK(INDEX('Policy Characteristics'!H:H,MATCH($C746,'Policy Characteristics'!$C:$C,0))),"",INDEX('Policy Characteristics'!H:H,MATCH($C746,'Policy Characteristics'!$C:$C,0)))</f>
        <v>0.01</v>
      </c>
      <c r="O746" s="254" t="str">
        <f>IF(ISBLANK(INDEX('Policy Characteristics'!I:I,MATCH($C746,'Policy Characteristics'!$C:$C,0))),"",INDEX('Policy Characteristics'!I:I,MATCH($C746,'Policy Characteristics'!$C:$C,0)))</f>
        <v>% of fuel shifted</v>
      </c>
      <c r="P746" s="254"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4" t="str">
        <f>IF(ISBLANK(INDEX('Policy Characteristics'!K:K,MATCH($C746,'Policy Characteristics'!$C:$C,0))),"",INDEX('Policy Characteristics'!K:K,MATCH($C746,'Policy Characteristics'!$C:$C,0)))</f>
        <v>industry-ag-main.html#fuel-switching</v>
      </c>
      <c r="R746" s="254" t="str">
        <f>IF(ISBLANK(INDEX('Policy Characteristics'!L:L,MATCH($C746,'Policy Characteristics'!$C:$C,0))),"",INDEX('Policy Characteristics'!L:L,MATCH($C746,'Policy Characteristics'!$C:$C,0)))</f>
        <v>industry-elec-and-hydrogen.html</v>
      </c>
    </row>
    <row r="747" spans="1:18" x14ac:dyDescent="0.3">
      <c r="A747" s="254" t="str">
        <f>IF(ISBLANK(INDEX('Policy Characteristics'!A:A,MATCH($C747,'Policy Characteristics'!$C:$C,0))),"",INDEX('Policy Characteristics'!A:A,MATCH($C747,'Policy Characteristics'!$C:$C,0)))</f>
        <v>Industry</v>
      </c>
      <c r="B747" s="262" t="str">
        <f>IF(ISBLANK(INDEX('Policy Characteristics'!B:B,MATCH($C747,'Policy Characteristics'!$C:$C,0))),"",INDEX('Policy Characteristics'!B:B,MATCH($C747,'Policy Characteristics'!$C:$C,0)))</f>
        <v>Electrification</v>
      </c>
      <c r="C747" s="254" t="str">
        <f t="shared" ref="C747:C797" si="38">C$630</f>
        <v>Fraction of Eligible Industrial Energy Use Shifted to Electricity</v>
      </c>
      <c r="D747" s="6" t="s">
        <v>3075</v>
      </c>
      <c r="E747" s="1" t="s">
        <v>3520</v>
      </c>
      <c r="F747" t="s">
        <v>3037</v>
      </c>
      <c r="G747" s="45" t="s">
        <v>3527</v>
      </c>
      <c r="H747" s="43">
        <v>1951</v>
      </c>
      <c r="I747" s="324" t="s">
        <v>43</v>
      </c>
      <c r="J747" s="255" t="str">
        <f>IF(ISBLANK(INDEX('Policy Characteristics'!D:D,MATCH($C747,'Policy Characteristics'!$C:$C,0))),"",INDEX('Policy Characteristics'!D:D,MATCH($C747,'Policy Characteristics'!$C:$C,0)))</f>
        <v>Electrification</v>
      </c>
      <c r="K747" s="254" t="str">
        <f>IF(ISBLANK(INDEX('Policy Characteristics'!E:E,MATCH($C747,'Policy Characteristics'!$C:$C,0))),"",INDEX('Policy Characteristics'!E:E,MATCH($C747,'Policy Characteristics'!$C:$C,0)))</f>
        <v>indst shift to electricity</v>
      </c>
      <c r="L747" s="261">
        <f>IF(ISBLANK(INDEX('Policy Characteristics'!F:F,MATCH($C747,'Policy Characteristics'!$C:$C,0))),"",INDEX('Policy Characteristics'!F:F,MATCH($C747,'Policy Characteristics'!$C:$C,0)))</f>
        <v>0</v>
      </c>
      <c r="M747" s="261">
        <f>IF(ISBLANK(INDEX('Policy Characteristics'!G:G,MATCH($C747,'Policy Characteristics'!$C:$C,0))),"",INDEX('Policy Characteristics'!G:G,MATCH($C747,'Policy Characteristics'!$C:$C,0)))</f>
        <v>1</v>
      </c>
      <c r="N747" s="261">
        <f>IF(ISBLANK(INDEX('Policy Characteristics'!H:H,MATCH($C747,'Policy Characteristics'!$C:$C,0))),"",INDEX('Policy Characteristics'!H:H,MATCH($C747,'Policy Characteristics'!$C:$C,0)))</f>
        <v>0.01</v>
      </c>
      <c r="O747" s="254" t="str">
        <f>IF(ISBLANK(INDEX('Policy Characteristics'!I:I,MATCH($C747,'Policy Characteristics'!$C:$C,0))),"",INDEX('Policy Characteristics'!I:I,MATCH($C747,'Policy Characteristics'!$C:$C,0)))</f>
        <v>% of fuel shifted</v>
      </c>
      <c r="P747" s="254"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4" t="str">
        <f>IF(ISBLANK(INDEX('Policy Characteristics'!K:K,MATCH($C747,'Policy Characteristics'!$C:$C,0))),"",INDEX('Policy Characteristics'!K:K,MATCH($C747,'Policy Characteristics'!$C:$C,0)))</f>
        <v>industry-ag-main.html#fuel-switching</v>
      </c>
      <c r="R747" s="254" t="str">
        <f>IF(ISBLANK(INDEX('Policy Characteristics'!L:L,MATCH($C747,'Policy Characteristics'!$C:$C,0))),"",INDEX('Policy Characteristics'!L:L,MATCH($C747,'Policy Characteristics'!$C:$C,0)))</f>
        <v>industry-elec-and-hydrogen.html</v>
      </c>
    </row>
    <row r="748" spans="1:18" x14ac:dyDescent="0.3">
      <c r="A748" s="254" t="str">
        <f>IF(ISBLANK(INDEX('Policy Characteristics'!A:A,MATCH($C748,'Policy Characteristics'!$C:$C,0))),"",INDEX('Policy Characteristics'!A:A,MATCH($C748,'Policy Characteristics'!$C:$C,0)))</f>
        <v>Industry</v>
      </c>
      <c r="B748" s="262" t="str">
        <f>IF(ISBLANK(INDEX('Policy Characteristics'!B:B,MATCH($C748,'Policy Characteristics'!$C:$C,0))),"",INDEX('Policy Characteristics'!B:B,MATCH($C748,'Policy Characteristics'!$C:$C,0)))</f>
        <v>Electrification</v>
      </c>
      <c r="C748" s="254" t="str">
        <f t="shared" si="38"/>
        <v>Fraction of Eligible Industrial Energy Use Shifted to Electricity</v>
      </c>
      <c r="D748" s="6" t="s">
        <v>3075</v>
      </c>
      <c r="E748" s="1" t="s">
        <v>3521</v>
      </c>
      <c r="F748" t="s">
        <v>3037</v>
      </c>
      <c r="G748" s="45" t="s">
        <v>3528</v>
      </c>
      <c r="H748" s="43">
        <v>1952</v>
      </c>
      <c r="I748" s="324" t="s">
        <v>43</v>
      </c>
      <c r="J748" s="255" t="str">
        <f>IF(ISBLANK(INDEX('Policy Characteristics'!D:D,MATCH($C748,'Policy Characteristics'!$C:$C,0))),"",INDEX('Policy Characteristics'!D:D,MATCH($C748,'Policy Characteristics'!$C:$C,0)))</f>
        <v>Electrification</v>
      </c>
      <c r="K748" s="254" t="str">
        <f>IF(ISBLANK(INDEX('Policy Characteristics'!E:E,MATCH($C748,'Policy Characteristics'!$C:$C,0))),"",INDEX('Policy Characteristics'!E:E,MATCH($C748,'Policy Characteristics'!$C:$C,0)))</f>
        <v>indst shift to electricity</v>
      </c>
      <c r="L748" s="261">
        <f>IF(ISBLANK(INDEX('Policy Characteristics'!F:F,MATCH($C748,'Policy Characteristics'!$C:$C,0))),"",INDEX('Policy Characteristics'!F:F,MATCH($C748,'Policy Characteristics'!$C:$C,0)))</f>
        <v>0</v>
      </c>
      <c r="M748" s="261">
        <f>IF(ISBLANK(INDEX('Policy Characteristics'!G:G,MATCH($C748,'Policy Characteristics'!$C:$C,0))),"",INDEX('Policy Characteristics'!G:G,MATCH($C748,'Policy Characteristics'!$C:$C,0)))</f>
        <v>1</v>
      </c>
      <c r="N748" s="261">
        <f>IF(ISBLANK(INDEX('Policy Characteristics'!H:H,MATCH($C748,'Policy Characteristics'!$C:$C,0))),"",INDEX('Policy Characteristics'!H:H,MATCH($C748,'Policy Characteristics'!$C:$C,0)))</f>
        <v>0.01</v>
      </c>
      <c r="O748" s="254" t="str">
        <f>IF(ISBLANK(INDEX('Policy Characteristics'!I:I,MATCH($C748,'Policy Characteristics'!$C:$C,0))),"",INDEX('Policy Characteristics'!I:I,MATCH($C748,'Policy Characteristics'!$C:$C,0)))</f>
        <v>% of fuel shifted</v>
      </c>
      <c r="P748" s="254"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4" t="str">
        <f>IF(ISBLANK(INDEX('Policy Characteristics'!K:K,MATCH($C748,'Policy Characteristics'!$C:$C,0))),"",INDEX('Policy Characteristics'!K:K,MATCH($C748,'Policy Characteristics'!$C:$C,0)))</f>
        <v>industry-ag-main.html#fuel-switching</v>
      </c>
      <c r="R748" s="254" t="str">
        <f>IF(ISBLANK(INDEX('Policy Characteristics'!L:L,MATCH($C748,'Policy Characteristics'!$C:$C,0))),"",INDEX('Policy Characteristics'!L:L,MATCH($C748,'Policy Characteristics'!$C:$C,0)))</f>
        <v>industry-elec-and-hydrogen.html</v>
      </c>
    </row>
    <row r="749" spans="1:18" x14ac:dyDescent="0.3">
      <c r="A749" s="254" t="str">
        <f>IF(ISBLANK(INDEX('Policy Characteristics'!A:A,MATCH($C749,'Policy Characteristics'!$C:$C,0))),"",INDEX('Policy Characteristics'!A:A,MATCH($C749,'Policy Characteristics'!$C:$C,0)))</f>
        <v>Industry</v>
      </c>
      <c r="B749" s="262" t="str">
        <f>IF(ISBLANK(INDEX('Policy Characteristics'!B:B,MATCH($C749,'Policy Characteristics'!$C:$C,0))),"",INDEX('Policy Characteristics'!B:B,MATCH($C749,'Policy Characteristics'!$C:$C,0)))</f>
        <v>Electrification</v>
      </c>
      <c r="C749" s="254" t="str">
        <f t="shared" si="38"/>
        <v>Fraction of Eligible Industrial Energy Use Shifted to Electricity</v>
      </c>
      <c r="D749" s="6" t="s">
        <v>3075</v>
      </c>
      <c r="E749" s="1" t="s">
        <v>3671</v>
      </c>
      <c r="F749" t="s">
        <v>3037</v>
      </c>
      <c r="G749" s="45" t="s">
        <v>3671</v>
      </c>
      <c r="H749" s="43">
        <v>1953</v>
      </c>
      <c r="I749" s="324" t="s">
        <v>43</v>
      </c>
      <c r="J749" s="255" t="str">
        <f>IF(ISBLANK(INDEX('Policy Characteristics'!D:D,MATCH($C749,'Policy Characteristics'!$C:$C,0))),"",INDEX('Policy Characteristics'!D:D,MATCH($C749,'Policy Characteristics'!$C:$C,0)))</f>
        <v>Electrification</v>
      </c>
      <c r="K749" s="254" t="str">
        <f>IF(ISBLANK(INDEX('Policy Characteristics'!E:E,MATCH($C749,'Policy Characteristics'!$C:$C,0))),"",INDEX('Policy Characteristics'!E:E,MATCH($C749,'Policy Characteristics'!$C:$C,0)))</f>
        <v>indst shift to electricity</v>
      </c>
      <c r="L749" s="261">
        <f>IF(ISBLANK(INDEX('Policy Characteristics'!F:F,MATCH($C749,'Policy Characteristics'!$C:$C,0))),"",INDEX('Policy Characteristics'!F:F,MATCH($C749,'Policy Characteristics'!$C:$C,0)))</f>
        <v>0</v>
      </c>
      <c r="M749" s="261">
        <f>IF(ISBLANK(INDEX('Policy Characteristics'!G:G,MATCH($C749,'Policy Characteristics'!$C:$C,0))),"",INDEX('Policy Characteristics'!G:G,MATCH($C749,'Policy Characteristics'!$C:$C,0)))</f>
        <v>1</v>
      </c>
      <c r="N749" s="261">
        <f>IF(ISBLANK(INDEX('Policy Characteristics'!H:H,MATCH($C749,'Policy Characteristics'!$C:$C,0))),"",INDEX('Policy Characteristics'!H:H,MATCH($C749,'Policy Characteristics'!$C:$C,0)))</f>
        <v>0.01</v>
      </c>
      <c r="O749" s="254" t="str">
        <f>IF(ISBLANK(INDEX('Policy Characteristics'!I:I,MATCH($C749,'Policy Characteristics'!$C:$C,0))),"",INDEX('Policy Characteristics'!I:I,MATCH($C749,'Policy Characteristics'!$C:$C,0)))</f>
        <v>% of fuel shifted</v>
      </c>
      <c r="P749" s="254"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4" t="str">
        <f>IF(ISBLANK(INDEX('Policy Characteristics'!K:K,MATCH($C749,'Policy Characteristics'!$C:$C,0))),"",INDEX('Policy Characteristics'!K:K,MATCH($C749,'Policy Characteristics'!$C:$C,0)))</f>
        <v>industry-ag-main.html#fuel-switching</v>
      </c>
      <c r="R749" s="254" t="str">
        <f>IF(ISBLANK(INDEX('Policy Characteristics'!L:L,MATCH($C749,'Policy Characteristics'!$C:$C,0))),"",INDEX('Policy Characteristics'!L:L,MATCH($C749,'Policy Characteristics'!$C:$C,0)))</f>
        <v>industry-elec-and-hydrogen.html</v>
      </c>
    </row>
    <row r="750" spans="1:18" x14ac:dyDescent="0.3">
      <c r="A750" s="254" t="str">
        <f>IF(ISBLANK(INDEX('Policy Characteristics'!A:A,MATCH($C750,'Policy Characteristics'!$C:$C,0))),"",INDEX('Policy Characteristics'!A:A,MATCH($C750,'Policy Characteristics'!$C:$C,0)))</f>
        <v>Industry</v>
      </c>
      <c r="B750" s="262" t="str">
        <f>IF(ISBLANK(INDEX('Policy Characteristics'!B:B,MATCH($C750,'Policy Characteristics'!$C:$C,0))),"",INDEX('Policy Characteristics'!B:B,MATCH($C750,'Policy Characteristics'!$C:$C,0)))</f>
        <v>Electrification</v>
      </c>
      <c r="C750" s="254" t="str">
        <f t="shared" si="38"/>
        <v>Fraction of Eligible Industrial Energy Use Shifted to Electricity</v>
      </c>
      <c r="D750" s="6" t="s">
        <v>3076</v>
      </c>
      <c r="E750" s="1" t="s">
        <v>3515</v>
      </c>
      <c r="F750" t="s">
        <v>3038</v>
      </c>
      <c r="G750" s="45" t="s">
        <v>3522</v>
      </c>
      <c r="H750" s="43">
        <v>1954</v>
      </c>
      <c r="I750" s="324" t="s">
        <v>43</v>
      </c>
      <c r="J750" s="255" t="str">
        <f>IF(ISBLANK(INDEX('Policy Characteristics'!D:D,MATCH($C750,'Policy Characteristics'!$C:$C,0))),"",INDEX('Policy Characteristics'!D:D,MATCH($C750,'Policy Characteristics'!$C:$C,0)))</f>
        <v>Electrification</v>
      </c>
      <c r="K750" s="254" t="str">
        <f>IF(ISBLANK(INDEX('Policy Characteristics'!E:E,MATCH($C750,'Policy Characteristics'!$C:$C,0))),"",INDEX('Policy Characteristics'!E:E,MATCH($C750,'Policy Characteristics'!$C:$C,0)))</f>
        <v>indst shift to electricity</v>
      </c>
      <c r="L750" s="261">
        <f>IF(ISBLANK(INDEX('Policy Characteristics'!F:F,MATCH($C750,'Policy Characteristics'!$C:$C,0))),"",INDEX('Policy Characteristics'!F:F,MATCH($C750,'Policy Characteristics'!$C:$C,0)))</f>
        <v>0</v>
      </c>
      <c r="M750" s="261">
        <f>IF(ISBLANK(INDEX('Policy Characteristics'!G:G,MATCH($C750,'Policy Characteristics'!$C:$C,0))),"",INDEX('Policy Characteristics'!G:G,MATCH($C750,'Policy Characteristics'!$C:$C,0)))</f>
        <v>1</v>
      </c>
      <c r="N750" s="261">
        <f>IF(ISBLANK(INDEX('Policy Characteristics'!H:H,MATCH($C750,'Policy Characteristics'!$C:$C,0))),"",INDEX('Policy Characteristics'!H:H,MATCH($C750,'Policy Characteristics'!$C:$C,0)))</f>
        <v>0.01</v>
      </c>
      <c r="O750" s="254" t="str">
        <f>IF(ISBLANK(INDEX('Policy Characteristics'!I:I,MATCH($C750,'Policy Characteristics'!$C:$C,0))),"",INDEX('Policy Characteristics'!I:I,MATCH($C750,'Policy Characteristics'!$C:$C,0)))</f>
        <v>% of fuel shifted</v>
      </c>
      <c r="P750" s="254"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4" t="str">
        <f>IF(ISBLANK(INDEX('Policy Characteristics'!K:K,MATCH($C750,'Policy Characteristics'!$C:$C,0))),"",INDEX('Policy Characteristics'!K:K,MATCH($C750,'Policy Characteristics'!$C:$C,0)))</f>
        <v>industry-ag-main.html#fuel-switching</v>
      </c>
      <c r="R750" s="254" t="str">
        <f>IF(ISBLANK(INDEX('Policy Characteristics'!L:L,MATCH($C750,'Policy Characteristics'!$C:$C,0))),"",INDEX('Policy Characteristics'!L:L,MATCH($C750,'Policy Characteristics'!$C:$C,0)))</f>
        <v>industry-elec-and-hydrogen.html</v>
      </c>
    </row>
    <row r="751" spans="1:18" x14ac:dyDescent="0.3">
      <c r="A751" s="254" t="str">
        <f>IF(ISBLANK(INDEX('Policy Characteristics'!A:A,MATCH($C751,'Policy Characteristics'!$C:$C,0))),"",INDEX('Policy Characteristics'!A:A,MATCH($C751,'Policy Characteristics'!$C:$C,0)))</f>
        <v>Industry</v>
      </c>
      <c r="B751" s="262" t="str">
        <f>IF(ISBLANK(INDEX('Policy Characteristics'!B:B,MATCH($C751,'Policy Characteristics'!$C:$C,0))),"",INDEX('Policy Characteristics'!B:B,MATCH($C751,'Policy Characteristics'!$C:$C,0)))</f>
        <v>Electrification</v>
      </c>
      <c r="C751" s="254" t="str">
        <f t="shared" si="38"/>
        <v>Fraction of Eligible Industrial Energy Use Shifted to Electricity</v>
      </c>
      <c r="D751" s="6" t="s">
        <v>3076</v>
      </c>
      <c r="E751" s="1" t="s">
        <v>3516</v>
      </c>
      <c r="F751" t="s">
        <v>3038</v>
      </c>
      <c r="G751" s="45" t="s">
        <v>3523</v>
      </c>
      <c r="H751" s="43">
        <v>1955</v>
      </c>
      <c r="I751" s="324" t="s">
        <v>43</v>
      </c>
      <c r="J751" s="255" t="str">
        <f>IF(ISBLANK(INDEX('Policy Characteristics'!D:D,MATCH($C751,'Policy Characteristics'!$C:$C,0))),"",INDEX('Policy Characteristics'!D:D,MATCH($C751,'Policy Characteristics'!$C:$C,0)))</f>
        <v>Electrification</v>
      </c>
      <c r="K751" s="254" t="str">
        <f>IF(ISBLANK(INDEX('Policy Characteristics'!E:E,MATCH($C751,'Policy Characteristics'!$C:$C,0))),"",INDEX('Policy Characteristics'!E:E,MATCH($C751,'Policy Characteristics'!$C:$C,0)))</f>
        <v>indst shift to electricity</v>
      </c>
      <c r="L751" s="261">
        <f>IF(ISBLANK(INDEX('Policy Characteristics'!F:F,MATCH($C751,'Policy Characteristics'!$C:$C,0))),"",INDEX('Policy Characteristics'!F:F,MATCH($C751,'Policy Characteristics'!$C:$C,0)))</f>
        <v>0</v>
      </c>
      <c r="M751" s="261">
        <f>IF(ISBLANK(INDEX('Policy Characteristics'!G:G,MATCH($C751,'Policy Characteristics'!$C:$C,0))),"",INDEX('Policy Characteristics'!G:G,MATCH($C751,'Policy Characteristics'!$C:$C,0)))</f>
        <v>1</v>
      </c>
      <c r="N751" s="261">
        <f>IF(ISBLANK(INDEX('Policy Characteristics'!H:H,MATCH($C751,'Policy Characteristics'!$C:$C,0))),"",INDEX('Policy Characteristics'!H:H,MATCH($C751,'Policy Characteristics'!$C:$C,0)))</f>
        <v>0.01</v>
      </c>
      <c r="O751" s="254" t="str">
        <f>IF(ISBLANK(INDEX('Policy Characteristics'!I:I,MATCH($C751,'Policy Characteristics'!$C:$C,0))),"",INDEX('Policy Characteristics'!I:I,MATCH($C751,'Policy Characteristics'!$C:$C,0)))</f>
        <v>% of fuel shifted</v>
      </c>
      <c r="P751" s="254"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4" t="str">
        <f>IF(ISBLANK(INDEX('Policy Characteristics'!K:K,MATCH($C751,'Policy Characteristics'!$C:$C,0))),"",INDEX('Policy Characteristics'!K:K,MATCH($C751,'Policy Characteristics'!$C:$C,0)))</f>
        <v>industry-ag-main.html#fuel-switching</v>
      </c>
      <c r="R751" s="254" t="str">
        <f>IF(ISBLANK(INDEX('Policy Characteristics'!L:L,MATCH($C751,'Policy Characteristics'!$C:$C,0))),"",INDEX('Policy Characteristics'!L:L,MATCH($C751,'Policy Characteristics'!$C:$C,0)))</f>
        <v>industry-elec-and-hydrogen.html</v>
      </c>
    </row>
    <row r="752" spans="1:18" x14ac:dyDescent="0.3">
      <c r="A752" s="254" t="str">
        <f>IF(ISBLANK(INDEX('Policy Characteristics'!A:A,MATCH($C752,'Policy Characteristics'!$C:$C,0))),"",INDEX('Policy Characteristics'!A:A,MATCH($C752,'Policy Characteristics'!$C:$C,0)))</f>
        <v>Industry</v>
      </c>
      <c r="B752" s="262" t="str">
        <f>IF(ISBLANK(INDEX('Policy Characteristics'!B:B,MATCH($C752,'Policy Characteristics'!$C:$C,0))),"",INDEX('Policy Characteristics'!B:B,MATCH($C752,'Policy Characteristics'!$C:$C,0)))</f>
        <v>Electrification</v>
      </c>
      <c r="C752" s="254" t="str">
        <f t="shared" si="38"/>
        <v>Fraction of Eligible Industrial Energy Use Shifted to Electricity</v>
      </c>
      <c r="D752" s="6" t="s">
        <v>3076</v>
      </c>
      <c r="E752" s="1" t="s">
        <v>3517</v>
      </c>
      <c r="F752" t="s">
        <v>3038</v>
      </c>
      <c r="G752" s="45" t="s">
        <v>3524</v>
      </c>
      <c r="H752" s="43">
        <v>1956</v>
      </c>
      <c r="I752" s="324" t="s">
        <v>43</v>
      </c>
      <c r="J752" s="255" t="str">
        <f>IF(ISBLANK(INDEX('Policy Characteristics'!D:D,MATCH($C752,'Policy Characteristics'!$C:$C,0))),"",INDEX('Policy Characteristics'!D:D,MATCH($C752,'Policy Characteristics'!$C:$C,0)))</f>
        <v>Electrification</v>
      </c>
      <c r="K752" s="254" t="str">
        <f>IF(ISBLANK(INDEX('Policy Characteristics'!E:E,MATCH($C752,'Policy Characteristics'!$C:$C,0))),"",INDEX('Policy Characteristics'!E:E,MATCH($C752,'Policy Characteristics'!$C:$C,0)))</f>
        <v>indst shift to electricity</v>
      </c>
      <c r="L752" s="261">
        <f>IF(ISBLANK(INDEX('Policy Characteristics'!F:F,MATCH($C752,'Policy Characteristics'!$C:$C,0))),"",INDEX('Policy Characteristics'!F:F,MATCH($C752,'Policy Characteristics'!$C:$C,0)))</f>
        <v>0</v>
      </c>
      <c r="M752" s="261">
        <f>IF(ISBLANK(INDEX('Policy Characteristics'!G:G,MATCH($C752,'Policy Characteristics'!$C:$C,0))),"",INDEX('Policy Characteristics'!G:G,MATCH($C752,'Policy Characteristics'!$C:$C,0)))</f>
        <v>1</v>
      </c>
      <c r="N752" s="261">
        <f>IF(ISBLANK(INDEX('Policy Characteristics'!H:H,MATCH($C752,'Policy Characteristics'!$C:$C,0))),"",INDEX('Policy Characteristics'!H:H,MATCH($C752,'Policy Characteristics'!$C:$C,0)))</f>
        <v>0.01</v>
      </c>
      <c r="O752" s="254" t="str">
        <f>IF(ISBLANK(INDEX('Policy Characteristics'!I:I,MATCH($C752,'Policy Characteristics'!$C:$C,0))),"",INDEX('Policy Characteristics'!I:I,MATCH($C752,'Policy Characteristics'!$C:$C,0)))</f>
        <v>% of fuel shifted</v>
      </c>
      <c r="P752" s="254"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4" t="str">
        <f>IF(ISBLANK(INDEX('Policy Characteristics'!K:K,MATCH($C752,'Policy Characteristics'!$C:$C,0))),"",INDEX('Policy Characteristics'!K:K,MATCH($C752,'Policy Characteristics'!$C:$C,0)))</f>
        <v>industry-ag-main.html#fuel-switching</v>
      </c>
      <c r="R752" s="254" t="str">
        <f>IF(ISBLANK(INDEX('Policy Characteristics'!L:L,MATCH($C752,'Policy Characteristics'!$C:$C,0))),"",INDEX('Policy Characteristics'!L:L,MATCH($C752,'Policy Characteristics'!$C:$C,0)))</f>
        <v>industry-elec-and-hydrogen.html</v>
      </c>
    </row>
    <row r="753" spans="1:18" x14ac:dyDescent="0.3">
      <c r="A753" s="254" t="str">
        <f>IF(ISBLANK(INDEX('Policy Characteristics'!A:A,MATCH($C753,'Policy Characteristics'!$C:$C,0))),"",INDEX('Policy Characteristics'!A:A,MATCH($C753,'Policy Characteristics'!$C:$C,0)))</f>
        <v>Industry</v>
      </c>
      <c r="B753" s="262" t="str">
        <f>IF(ISBLANK(INDEX('Policy Characteristics'!B:B,MATCH($C753,'Policy Characteristics'!$C:$C,0))),"",INDEX('Policy Characteristics'!B:B,MATCH($C753,'Policy Characteristics'!$C:$C,0)))</f>
        <v>Electrification</v>
      </c>
      <c r="C753" s="254" t="str">
        <f t="shared" si="38"/>
        <v>Fraction of Eligible Industrial Energy Use Shifted to Electricity</v>
      </c>
      <c r="D753" s="6" t="s">
        <v>3076</v>
      </c>
      <c r="E753" s="1" t="s">
        <v>3518</v>
      </c>
      <c r="F753" t="s">
        <v>3038</v>
      </c>
      <c r="G753" s="45" t="s">
        <v>3525</v>
      </c>
      <c r="H753" s="43">
        <v>1957</v>
      </c>
      <c r="I753" s="324" t="s">
        <v>43</v>
      </c>
      <c r="J753" s="255" t="str">
        <f>IF(ISBLANK(INDEX('Policy Characteristics'!D:D,MATCH($C753,'Policy Characteristics'!$C:$C,0))),"",INDEX('Policy Characteristics'!D:D,MATCH($C753,'Policy Characteristics'!$C:$C,0)))</f>
        <v>Electrification</v>
      </c>
      <c r="K753" s="254" t="str">
        <f>IF(ISBLANK(INDEX('Policy Characteristics'!E:E,MATCH($C753,'Policy Characteristics'!$C:$C,0))),"",INDEX('Policy Characteristics'!E:E,MATCH($C753,'Policy Characteristics'!$C:$C,0)))</f>
        <v>indst shift to electricity</v>
      </c>
      <c r="L753" s="261">
        <f>IF(ISBLANK(INDEX('Policy Characteristics'!F:F,MATCH($C753,'Policy Characteristics'!$C:$C,0))),"",INDEX('Policy Characteristics'!F:F,MATCH($C753,'Policy Characteristics'!$C:$C,0)))</f>
        <v>0</v>
      </c>
      <c r="M753" s="261">
        <f>IF(ISBLANK(INDEX('Policy Characteristics'!G:G,MATCH($C753,'Policy Characteristics'!$C:$C,0))),"",INDEX('Policy Characteristics'!G:G,MATCH($C753,'Policy Characteristics'!$C:$C,0)))</f>
        <v>1</v>
      </c>
      <c r="N753" s="261">
        <f>IF(ISBLANK(INDEX('Policy Characteristics'!H:H,MATCH($C753,'Policy Characteristics'!$C:$C,0))),"",INDEX('Policy Characteristics'!H:H,MATCH($C753,'Policy Characteristics'!$C:$C,0)))</f>
        <v>0.01</v>
      </c>
      <c r="O753" s="254" t="str">
        <f>IF(ISBLANK(INDEX('Policy Characteristics'!I:I,MATCH($C753,'Policy Characteristics'!$C:$C,0))),"",INDEX('Policy Characteristics'!I:I,MATCH($C753,'Policy Characteristics'!$C:$C,0)))</f>
        <v>% of fuel shifted</v>
      </c>
      <c r="P753" s="254"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4" t="str">
        <f>IF(ISBLANK(INDEX('Policy Characteristics'!K:K,MATCH($C753,'Policy Characteristics'!$C:$C,0))),"",INDEX('Policy Characteristics'!K:K,MATCH($C753,'Policy Characteristics'!$C:$C,0)))</f>
        <v>industry-ag-main.html#fuel-switching</v>
      </c>
      <c r="R753" s="254" t="str">
        <f>IF(ISBLANK(INDEX('Policy Characteristics'!L:L,MATCH($C753,'Policy Characteristics'!$C:$C,0))),"",INDEX('Policy Characteristics'!L:L,MATCH($C753,'Policy Characteristics'!$C:$C,0)))</f>
        <v>industry-elec-and-hydrogen.html</v>
      </c>
    </row>
    <row r="754" spans="1:18" x14ac:dyDescent="0.3">
      <c r="A754" s="254" t="str">
        <f>IF(ISBLANK(INDEX('Policy Characteristics'!A:A,MATCH($C754,'Policy Characteristics'!$C:$C,0))),"",INDEX('Policy Characteristics'!A:A,MATCH($C754,'Policy Characteristics'!$C:$C,0)))</f>
        <v>Industry</v>
      </c>
      <c r="B754" s="262" t="str">
        <f>IF(ISBLANK(INDEX('Policy Characteristics'!B:B,MATCH($C754,'Policy Characteristics'!$C:$C,0))),"",INDEX('Policy Characteristics'!B:B,MATCH($C754,'Policy Characteristics'!$C:$C,0)))</f>
        <v>Electrification</v>
      </c>
      <c r="C754" s="254" t="str">
        <f t="shared" si="38"/>
        <v>Fraction of Eligible Industrial Energy Use Shifted to Electricity</v>
      </c>
      <c r="D754" s="6" t="s">
        <v>3076</v>
      </c>
      <c r="E754" s="1" t="s">
        <v>3519</v>
      </c>
      <c r="F754" t="s">
        <v>3038</v>
      </c>
      <c r="G754" s="45" t="s">
        <v>3526</v>
      </c>
      <c r="H754" s="43">
        <v>1958</v>
      </c>
      <c r="I754" s="324" t="s">
        <v>43</v>
      </c>
      <c r="J754" s="255" t="str">
        <f>IF(ISBLANK(INDEX('Policy Characteristics'!D:D,MATCH($C754,'Policy Characteristics'!$C:$C,0))),"",INDEX('Policy Characteristics'!D:D,MATCH($C754,'Policy Characteristics'!$C:$C,0)))</f>
        <v>Electrification</v>
      </c>
      <c r="K754" s="254" t="str">
        <f>IF(ISBLANK(INDEX('Policy Characteristics'!E:E,MATCH($C754,'Policy Characteristics'!$C:$C,0))),"",INDEX('Policy Characteristics'!E:E,MATCH($C754,'Policy Characteristics'!$C:$C,0)))</f>
        <v>indst shift to electricity</v>
      </c>
      <c r="L754" s="261">
        <f>IF(ISBLANK(INDEX('Policy Characteristics'!F:F,MATCH($C754,'Policy Characteristics'!$C:$C,0))),"",INDEX('Policy Characteristics'!F:F,MATCH($C754,'Policy Characteristics'!$C:$C,0)))</f>
        <v>0</v>
      </c>
      <c r="M754" s="261">
        <f>IF(ISBLANK(INDEX('Policy Characteristics'!G:G,MATCH($C754,'Policy Characteristics'!$C:$C,0))),"",INDEX('Policy Characteristics'!G:G,MATCH($C754,'Policy Characteristics'!$C:$C,0)))</f>
        <v>1</v>
      </c>
      <c r="N754" s="261">
        <f>IF(ISBLANK(INDEX('Policy Characteristics'!H:H,MATCH($C754,'Policy Characteristics'!$C:$C,0))),"",INDEX('Policy Characteristics'!H:H,MATCH($C754,'Policy Characteristics'!$C:$C,0)))</f>
        <v>0.01</v>
      </c>
      <c r="O754" s="254" t="str">
        <f>IF(ISBLANK(INDEX('Policy Characteristics'!I:I,MATCH($C754,'Policy Characteristics'!$C:$C,0))),"",INDEX('Policy Characteristics'!I:I,MATCH($C754,'Policy Characteristics'!$C:$C,0)))</f>
        <v>% of fuel shifted</v>
      </c>
      <c r="P754" s="254"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4" t="str">
        <f>IF(ISBLANK(INDEX('Policy Characteristics'!K:K,MATCH($C754,'Policy Characteristics'!$C:$C,0))),"",INDEX('Policy Characteristics'!K:K,MATCH($C754,'Policy Characteristics'!$C:$C,0)))</f>
        <v>industry-ag-main.html#fuel-switching</v>
      </c>
      <c r="R754" s="254" t="str">
        <f>IF(ISBLANK(INDEX('Policy Characteristics'!L:L,MATCH($C754,'Policy Characteristics'!$C:$C,0))),"",INDEX('Policy Characteristics'!L:L,MATCH($C754,'Policy Characteristics'!$C:$C,0)))</f>
        <v>industry-elec-and-hydrogen.html</v>
      </c>
    </row>
    <row r="755" spans="1:18" x14ac:dyDescent="0.3">
      <c r="A755" s="254" t="str">
        <f>IF(ISBLANK(INDEX('Policy Characteristics'!A:A,MATCH($C755,'Policy Characteristics'!$C:$C,0))),"",INDEX('Policy Characteristics'!A:A,MATCH($C755,'Policy Characteristics'!$C:$C,0)))</f>
        <v>Industry</v>
      </c>
      <c r="B755" s="262" t="str">
        <f>IF(ISBLANK(INDEX('Policy Characteristics'!B:B,MATCH($C755,'Policy Characteristics'!$C:$C,0))),"",INDEX('Policy Characteristics'!B:B,MATCH($C755,'Policy Characteristics'!$C:$C,0)))</f>
        <v>Electrification</v>
      </c>
      <c r="C755" s="254" t="str">
        <f t="shared" si="38"/>
        <v>Fraction of Eligible Industrial Energy Use Shifted to Electricity</v>
      </c>
      <c r="D755" s="6" t="s">
        <v>3076</v>
      </c>
      <c r="E755" s="1" t="s">
        <v>3520</v>
      </c>
      <c r="F755" t="s">
        <v>3038</v>
      </c>
      <c r="G755" s="45" t="s">
        <v>3527</v>
      </c>
      <c r="H755" s="43">
        <v>1959</v>
      </c>
      <c r="I755" s="324" t="s">
        <v>43</v>
      </c>
      <c r="J755" s="255" t="str">
        <f>IF(ISBLANK(INDEX('Policy Characteristics'!D:D,MATCH($C755,'Policy Characteristics'!$C:$C,0))),"",INDEX('Policy Characteristics'!D:D,MATCH($C755,'Policy Characteristics'!$C:$C,0)))</f>
        <v>Electrification</v>
      </c>
      <c r="K755" s="254" t="str">
        <f>IF(ISBLANK(INDEX('Policy Characteristics'!E:E,MATCH($C755,'Policy Characteristics'!$C:$C,0))),"",INDEX('Policy Characteristics'!E:E,MATCH($C755,'Policy Characteristics'!$C:$C,0)))</f>
        <v>indst shift to electricity</v>
      </c>
      <c r="L755" s="261">
        <f>IF(ISBLANK(INDEX('Policy Characteristics'!F:F,MATCH($C755,'Policy Characteristics'!$C:$C,0))),"",INDEX('Policy Characteristics'!F:F,MATCH($C755,'Policy Characteristics'!$C:$C,0)))</f>
        <v>0</v>
      </c>
      <c r="M755" s="261">
        <f>IF(ISBLANK(INDEX('Policy Characteristics'!G:G,MATCH($C755,'Policy Characteristics'!$C:$C,0))),"",INDEX('Policy Characteristics'!G:G,MATCH($C755,'Policy Characteristics'!$C:$C,0)))</f>
        <v>1</v>
      </c>
      <c r="N755" s="261">
        <f>IF(ISBLANK(INDEX('Policy Characteristics'!H:H,MATCH($C755,'Policy Characteristics'!$C:$C,0))),"",INDEX('Policy Characteristics'!H:H,MATCH($C755,'Policy Characteristics'!$C:$C,0)))</f>
        <v>0.01</v>
      </c>
      <c r="O755" s="254" t="str">
        <f>IF(ISBLANK(INDEX('Policy Characteristics'!I:I,MATCH($C755,'Policy Characteristics'!$C:$C,0))),"",INDEX('Policy Characteristics'!I:I,MATCH($C755,'Policy Characteristics'!$C:$C,0)))</f>
        <v>% of fuel shifted</v>
      </c>
      <c r="P755" s="254"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4" t="str">
        <f>IF(ISBLANK(INDEX('Policy Characteristics'!K:K,MATCH($C755,'Policy Characteristics'!$C:$C,0))),"",INDEX('Policy Characteristics'!K:K,MATCH($C755,'Policy Characteristics'!$C:$C,0)))</f>
        <v>industry-ag-main.html#fuel-switching</v>
      </c>
      <c r="R755" s="254" t="str">
        <f>IF(ISBLANK(INDEX('Policy Characteristics'!L:L,MATCH($C755,'Policy Characteristics'!$C:$C,0))),"",INDEX('Policy Characteristics'!L:L,MATCH($C755,'Policy Characteristics'!$C:$C,0)))</f>
        <v>industry-elec-and-hydrogen.html</v>
      </c>
    </row>
    <row r="756" spans="1:18" x14ac:dyDescent="0.3">
      <c r="A756" s="254" t="str">
        <f>IF(ISBLANK(INDEX('Policy Characteristics'!A:A,MATCH($C756,'Policy Characteristics'!$C:$C,0))),"",INDEX('Policy Characteristics'!A:A,MATCH($C756,'Policy Characteristics'!$C:$C,0)))</f>
        <v>Industry</v>
      </c>
      <c r="B756" s="262" t="str">
        <f>IF(ISBLANK(INDEX('Policy Characteristics'!B:B,MATCH($C756,'Policy Characteristics'!$C:$C,0))),"",INDEX('Policy Characteristics'!B:B,MATCH($C756,'Policy Characteristics'!$C:$C,0)))</f>
        <v>Electrification</v>
      </c>
      <c r="C756" s="254" t="str">
        <f t="shared" si="38"/>
        <v>Fraction of Eligible Industrial Energy Use Shifted to Electricity</v>
      </c>
      <c r="D756" s="6" t="s">
        <v>3076</v>
      </c>
      <c r="E756" s="1" t="s">
        <v>3521</v>
      </c>
      <c r="F756" t="s">
        <v>3038</v>
      </c>
      <c r="G756" s="45" t="s">
        <v>3528</v>
      </c>
      <c r="H756" s="43">
        <v>1960</v>
      </c>
      <c r="I756" s="324" t="s">
        <v>43</v>
      </c>
      <c r="J756" s="255" t="str">
        <f>IF(ISBLANK(INDEX('Policy Characteristics'!D:D,MATCH($C756,'Policy Characteristics'!$C:$C,0))),"",INDEX('Policy Characteristics'!D:D,MATCH($C756,'Policy Characteristics'!$C:$C,0)))</f>
        <v>Electrification</v>
      </c>
      <c r="K756" s="254" t="str">
        <f>IF(ISBLANK(INDEX('Policy Characteristics'!E:E,MATCH($C756,'Policy Characteristics'!$C:$C,0))),"",INDEX('Policy Characteristics'!E:E,MATCH($C756,'Policy Characteristics'!$C:$C,0)))</f>
        <v>indst shift to electricity</v>
      </c>
      <c r="L756" s="261">
        <f>IF(ISBLANK(INDEX('Policy Characteristics'!F:F,MATCH($C756,'Policy Characteristics'!$C:$C,0))),"",INDEX('Policy Characteristics'!F:F,MATCH($C756,'Policy Characteristics'!$C:$C,0)))</f>
        <v>0</v>
      </c>
      <c r="M756" s="261">
        <f>IF(ISBLANK(INDEX('Policy Characteristics'!G:G,MATCH($C756,'Policy Characteristics'!$C:$C,0))),"",INDEX('Policy Characteristics'!G:G,MATCH($C756,'Policy Characteristics'!$C:$C,0)))</f>
        <v>1</v>
      </c>
      <c r="N756" s="261">
        <f>IF(ISBLANK(INDEX('Policy Characteristics'!H:H,MATCH($C756,'Policy Characteristics'!$C:$C,0))),"",INDEX('Policy Characteristics'!H:H,MATCH($C756,'Policy Characteristics'!$C:$C,0)))</f>
        <v>0.01</v>
      </c>
      <c r="O756" s="254" t="str">
        <f>IF(ISBLANK(INDEX('Policy Characteristics'!I:I,MATCH($C756,'Policy Characteristics'!$C:$C,0))),"",INDEX('Policy Characteristics'!I:I,MATCH($C756,'Policy Characteristics'!$C:$C,0)))</f>
        <v>% of fuel shifted</v>
      </c>
      <c r="P756" s="254"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4" t="str">
        <f>IF(ISBLANK(INDEX('Policy Characteristics'!K:K,MATCH($C756,'Policy Characteristics'!$C:$C,0))),"",INDEX('Policy Characteristics'!K:K,MATCH($C756,'Policy Characteristics'!$C:$C,0)))</f>
        <v>industry-ag-main.html#fuel-switching</v>
      </c>
      <c r="R756" s="254" t="str">
        <f>IF(ISBLANK(INDEX('Policy Characteristics'!L:L,MATCH($C756,'Policy Characteristics'!$C:$C,0))),"",INDEX('Policy Characteristics'!L:L,MATCH($C756,'Policy Characteristics'!$C:$C,0)))</f>
        <v>industry-elec-and-hydrogen.html</v>
      </c>
    </row>
    <row r="757" spans="1:18" x14ac:dyDescent="0.3">
      <c r="A757" s="254" t="str">
        <f>IF(ISBLANK(INDEX('Policy Characteristics'!A:A,MATCH($C757,'Policy Characteristics'!$C:$C,0))),"",INDEX('Policy Characteristics'!A:A,MATCH($C757,'Policy Characteristics'!$C:$C,0)))</f>
        <v>Industry</v>
      </c>
      <c r="B757" s="262" t="str">
        <f>IF(ISBLANK(INDEX('Policy Characteristics'!B:B,MATCH($C757,'Policy Characteristics'!$C:$C,0))),"",INDEX('Policy Characteristics'!B:B,MATCH($C757,'Policy Characteristics'!$C:$C,0)))</f>
        <v>Electrification</v>
      </c>
      <c r="C757" s="254" t="str">
        <f t="shared" si="38"/>
        <v>Fraction of Eligible Industrial Energy Use Shifted to Electricity</v>
      </c>
      <c r="D757" s="6" t="s">
        <v>3076</v>
      </c>
      <c r="E757" s="1" t="s">
        <v>3671</v>
      </c>
      <c r="F757" t="s">
        <v>3038</v>
      </c>
      <c r="G757" s="45" t="s">
        <v>3671</v>
      </c>
      <c r="H757" s="43">
        <v>1961</v>
      </c>
      <c r="I757" s="324" t="s">
        <v>43</v>
      </c>
      <c r="J757" s="255" t="str">
        <f>IF(ISBLANK(INDEX('Policy Characteristics'!D:D,MATCH($C757,'Policy Characteristics'!$C:$C,0))),"",INDEX('Policy Characteristics'!D:D,MATCH($C757,'Policy Characteristics'!$C:$C,0)))</f>
        <v>Electrification</v>
      </c>
      <c r="K757" s="254" t="str">
        <f>IF(ISBLANK(INDEX('Policy Characteristics'!E:E,MATCH($C757,'Policy Characteristics'!$C:$C,0))),"",INDEX('Policy Characteristics'!E:E,MATCH($C757,'Policy Characteristics'!$C:$C,0)))</f>
        <v>indst shift to electricity</v>
      </c>
      <c r="L757" s="261">
        <f>IF(ISBLANK(INDEX('Policy Characteristics'!F:F,MATCH($C757,'Policy Characteristics'!$C:$C,0))),"",INDEX('Policy Characteristics'!F:F,MATCH($C757,'Policy Characteristics'!$C:$C,0)))</f>
        <v>0</v>
      </c>
      <c r="M757" s="261">
        <f>IF(ISBLANK(INDEX('Policy Characteristics'!G:G,MATCH($C757,'Policy Characteristics'!$C:$C,0))),"",INDEX('Policy Characteristics'!G:G,MATCH($C757,'Policy Characteristics'!$C:$C,0)))</f>
        <v>1</v>
      </c>
      <c r="N757" s="261">
        <f>IF(ISBLANK(INDEX('Policy Characteristics'!H:H,MATCH($C757,'Policy Characteristics'!$C:$C,0))),"",INDEX('Policy Characteristics'!H:H,MATCH($C757,'Policy Characteristics'!$C:$C,0)))</f>
        <v>0.01</v>
      </c>
      <c r="O757" s="254" t="str">
        <f>IF(ISBLANK(INDEX('Policy Characteristics'!I:I,MATCH($C757,'Policy Characteristics'!$C:$C,0))),"",INDEX('Policy Characteristics'!I:I,MATCH($C757,'Policy Characteristics'!$C:$C,0)))</f>
        <v>% of fuel shifted</v>
      </c>
      <c r="P757" s="254"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4" t="str">
        <f>IF(ISBLANK(INDEX('Policy Characteristics'!K:K,MATCH($C757,'Policy Characteristics'!$C:$C,0))),"",INDEX('Policy Characteristics'!K:K,MATCH($C757,'Policy Characteristics'!$C:$C,0)))</f>
        <v>industry-ag-main.html#fuel-switching</v>
      </c>
      <c r="R757" s="254" t="str">
        <f>IF(ISBLANK(INDEX('Policy Characteristics'!L:L,MATCH($C757,'Policy Characteristics'!$C:$C,0))),"",INDEX('Policy Characteristics'!L:L,MATCH($C757,'Policy Characteristics'!$C:$C,0)))</f>
        <v>industry-elec-and-hydrogen.html</v>
      </c>
    </row>
    <row r="758" spans="1:18" x14ac:dyDescent="0.3">
      <c r="A758" s="254" t="str">
        <f>IF(ISBLANK(INDEX('Policy Characteristics'!A:A,MATCH($C758,'Policy Characteristics'!$C:$C,0))),"",INDEX('Policy Characteristics'!A:A,MATCH($C758,'Policy Characteristics'!$C:$C,0)))</f>
        <v>Industry</v>
      </c>
      <c r="B758" s="262" t="str">
        <f>IF(ISBLANK(INDEX('Policy Characteristics'!B:B,MATCH($C758,'Policy Characteristics'!$C:$C,0))),"",INDEX('Policy Characteristics'!B:B,MATCH($C758,'Policy Characteristics'!$C:$C,0)))</f>
        <v>Electrification</v>
      </c>
      <c r="C758" s="254" t="str">
        <f t="shared" si="38"/>
        <v>Fraction of Eligible Industrial Energy Use Shifted to Electricity</v>
      </c>
      <c r="D758" s="6" t="s">
        <v>3077</v>
      </c>
      <c r="E758" s="1" t="s">
        <v>3515</v>
      </c>
      <c r="F758" t="s">
        <v>3039</v>
      </c>
      <c r="G758" s="45" t="s">
        <v>3522</v>
      </c>
      <c r="H758" s="43">
        <v>1962</v>
      </c>
      <c r="I758" s="324" t="s">
        <v>43</v>
      </c>
      <c r="J758" s="255" t="str">
        <f>IF(ISBLANK(INDEX('Policy Characteristics'!D:D,MATCH($C758,'Policy Characteristics'!$C:$C,0))),"",INDEX('Policy Characteristics'!D:D,MATCH($C758,'Policy Characteristics'!$C:$C,0)))</f>
        <v>Electrification</v>
      </c>
      <c r="K758" s="254" t="str">
        <f>IF(ISBLANK(INDEX('Policy Characteristics'!E:E,MATCH($C758,'Policy Characteristics'!$C:$C,0))),"",INDEX('Policy Characteristics'!E:E,MATCH($C758,'Policy Characteristics'!$C:$C,0)))</f>
        <v>indst shift to electricity</v>
      </c>
      <c r="L758" s="261">
        <f>IF(ISBLANK(INDEX('Policy Characteristics'!F:F,MATCH($C758,'Policy Characteristics'!$C:$C,0))),"",INDEX('Policy Characteristics'!F:F,MATCH($C758,'Policy Characteristics'!$C:$C,0)))</f>
        <v>0</v>
      </c>
      <c r="M758" s="261">
        <f>IF(ISBLANK(INDEX('Policy Characteristics'!G:G,MATCH($C758,'Policy Characteristics'!$C:$C,0))),"",INDEX('Policy Characteristics'!G:G,MATCH($C758,'Policy Characteristics'!$C:$C,0)))</f>
        <v>1</v>
      </c>
      <c r="N758" s="261">
        <f>IF(ISBLANK(INDEX('Policy Characteristics'!H:H,MATCH($C758,'Policy Characteristics'!$C:$C,0))),"",INDEX('Policy Characteristics'!H:H,MATCH($C758,'Policy Characteristics'!$C:$C,0)))</f>
        <v>0.01</v>
      </c>
      <c r="O758" s="254" t="str">
        <f>IF(ISBLANK(INDEX('Policy Characteristics'!I:I,MATCH($C758,'Policy Characteristics'!$C:$C,0))),"",INDEX('Policy Characteristics'!I:I,MATCH($C758,'Policy Characteristics'!$C:$C,0)))</f>
        <v>% of fuel shifted</v>
      </c>
      <c r="P758" s="254"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4" t="str">
        <f>IF(ISBLANK(INDEX('Policy Characteristics'!K:K,MATCH($C758,'Policy Characteristics'!$C:$C,0))),"",INDEX('Policy Characteristics'!K:K,MATCH($C758,'Policy Characteristics'!$C:$C,0)))</f>
        <v>industry-ag-main.html#fuel-switching</v>
      </c>
      <c r="R758" s="254" t="str">
        <f>IF(ISBLANK(INDEX('Policy Characteristics'!L:L,MATCH($C758,'Policy Characteristics'!$C:$C,0))),"",INDEX('Policy Characteristics'!L:L,MATCH($C758,'Policy Characteristics'!$C:$C,0)))</f>
        <v>industry-elec-and-hydrogen.html</v>
      </c>
    </row>
    <row r="759" spans="1:18" x14ac:dyDescent="0.3">
      <c r="A759" s="254" t="str">
        <f>IF(ISBLANK(INDEX('Policy Characteristics'!A:A,MATCH($C759,'Policy Characteristics'!$C:$C,0))),"",INDEX('Policy Characteristics'!A:A,MATCH($C759,'Policy Characteristics'!$C:$C,0)))</f>
        <v>Industry</v>
      </c>
      <c r="B759" s="262" t="str">
        <f>IF(ISBLANK(INDEX('Policy Characteristics'!B:B,MATCH($C759,'Policy Characteristics'!$C:$C,0))),"",INDEX('Policy Characteristics'!B:B,MATCH($C759,'Policy Characteristics'!$C:$C,0)))</f>
        <v>Electrification</v>
      </c>
      <c r="C759" s="254" t="str">
        <f t="shared" si="38"/>
        <v>Fraction of Eligible Industrial Energy Use Shifted to Electricity</v>
      </c>
      <c r="D759" s="6" t="s">
        <v>3077</v>
      </c>
      <c r="E759" s="1" t="s">
        <v>3516</v>
      </c>
      <c r="F759" t="s">
        <v>3039</v>
      </c>
      <c r="G759" s="45" t="s">
        <v>3523</v>
      </c>
      <c r="H759" s="43">
        <v>1963</v>
      </c>
      <c r="I759" s="324" t="s">
        <v>43</v>
      </c>
      <c r="J759" s="255" t="str">
        <f>IF(ISBLANK(INDEX('Policy Characteristics'!D:D,MATCH($C759,'Policy Characteristics'!$C:$C,0))),"",INDEX('Policy Characteristics'!D:D,MATCH($C759,'Policy Characteristics'!$C:$C,0)))</f>
        <v>Electrification</v>
      </c>
      <c r="K759" s="254" t="str">
        <f>IF(ISBLANK(INDEX('Policy Characteristics'!E:E,MATCH($C759,'Policy Characteristics'!$C:$C,0))),"",INDEX('Policy Characteristics'!E:E,MATCH($C759,'Policy Characteristics'!$C:$C,0)))</f>
        <v>indst shift to electricity</v>
      </c>
      <c r="L759" s="261">
        <f>IF(ISBLANK(INDEX('Policy Characteristics'!F:F,MATCH($C759,'Policy Characteristics'!$C:$C,0))),"",INDEX('Policy Characteristics'!F:F,MATCH($C759,'Policy Characteristics'!$C:$C,0)))</f>
        <v>0</v>
      </c>
      <c r="M759" s="261">
        <f>IF(ISBLANK(INDEX('Policy Characteristics'!G:G,MATCH($C759,'Policy Characteristics'!$C:$C,0))),"",INDEX('Policy Characteristics'!G:G,MATCH($C759,'Policy Characteristics'!$C:$C,0)))</f>
        <v>1</v>
      </c>
      <c r="N759" s="261">
        <f>IF(ISBLANK(INDEX('Policy Characteristics'!H:H,MATCH($C759,'Policy Characteristics'!$C:$C,0))),"",INDEX('Policy Characteristics'!H:H,MATCH($C759,'Policy Characteristics'!$C:$C,0)))</f>
        <v>0.01</v>
      </c>
      <c r="O759" s="254" t="str">
        <f>IF(ISBLANK(INDEX('Policy Characteristics'!I:I,MATCH($C759,'Policy Characteristics'!$C:$C,0))),"",INDEX('Policy Characteristics'!I:I,MATCH($C759,'Policy Characteristics'!$C:$C,0)))</f>
        <v>% of fuel shifted</v>
      </c>
      <c r="P759" s="254"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4" t="str">
        <f>IF(ISBLANK(INDEX('Policy Characteristics'!K:K,MATCH($C759,'Policy Characteristics'!$C:$C,0))),"",INDEX('Policy Characteristics'!K:K,MATCH($C759,'Policy Characteristics'!$C:$C,0)))</f>
        <v>industry-ag-main.html#fuel-switching</v>
      </c>
      <c r="R759" s="254" t="str">
        <f>IF(ISBLANK(INDEX('Policy Characteristics'!L:L,MATCH($C759,'Policy Characteristics'!$C:$C,0))),"",INDEX('Policy Characteristics'!L:L,MATCH($C759,'Policy Characteristics'!$C:$C,0)))</f>
        <v>industry-elec-and-hydrogen.html</v>
      </c>
    </row>
    <row r="760" spans="1:18" x14ac:dyDescent="0.3">
      <c r="A760" s="254" t="str">
        <f>IF(ISBLANK(INDEX('Policy Characteristics'!A:A,MATCH($C760,'Policy Characteristics'!$C:$C,0))),"",INDEX('Policy Characteristics'!A:A,MATCH($C760,'Policy Characteristics'!$C:$C,0)))</f>
        <v>Industry</v>
      </c>
      <c r="B760" s="262" t="str">
        <f>IF(ISBLANK(INDEX('Policy Characteristics'!B:B,MATCH($C760,'Policy Characteristics'!$C:$C,0))),"",INDEX('Policy Characteristics'!B:B,MATCH($C760,'Policy Characteristics'!$C:$C,0)))</f>
        <v>Electrification</v>
      </c>
      <c r="C760" s="254" t="str">
        <f t="shared" si="38"/>
        <v>Fraction of Eligible Industrial Energy Use Shifted to Electricity</v>
      </c>
      <c r="D760" s="6" t="s">
        <v>3077</v>
      </c>
      <c r="E760" s="1" t="s">
        <v>3517</v>
      </c>
      <c r="F760" t="s">
        <v>3039</v>
      </c>
      <c r="G760" s="45" t="s">
        <v>3524</v>
      </c>
      <c r="H760" s="43">
        <v>1964</v>
      </c>
      <c r="I760" s="324" t="s">
        <v>43</v>
      </c>
      <c r="J760" s="255" t="str">
        <f>IF(ISBLANK(INDEX('Policy Characteristics'!D:D,MATCH($C760,'Policy Characteristics'!$C:$C,0))),"",INDEX('Policy Characteristics'!D:D,MATCH($C760,'Policy Characteristics'!$C:$C,0)))</f>
        <v>Electrification</v>
      </c>
      <c r="K760" s="254" t="str">
        <f>IF(ISBLANK(INDEX('Policy Characteristics'!E:E,MATCH($C760,'Policy Characteristics'!$C:$C,0))),"",INDEX('Policy Characteristics'!E:E,MATCH($C760,'Policy Characteristics'!$C:$C,0)))</f>
        <v>indst shift to electricity</v>
      </c>
      <c r="L760" s="261">
        <f>IF(ISBLANK(INDEX('Policy Characteristics'!F:F,MATCH($C760,'Policy Characteristics'!$C:$C,0))),"",INDEX('Policy Characteristics'!F:F,MATCH($C760,'Policy Characteristics'!$C:$C,0)))</f>
        <v>0</v>
      </c>
      <c r="M760" s="261">
        <f>IF(ISBLANK(INDEX('Policy Characteristics'!G:G,MATCH($C760,'Policy Characteristics'!$C:$C,0))),"",INDEX('Policy Characteristics'!G:G,MATCH($C760,'Policy Characteristics'!$C:$C,0)))</f>
        <v>1</v>
      </c>
      <c r="N760" s="261">
        <f>IF(ISBLANK(INDEX('Policy Characteristics'!H:H,MATCH($C760,'Policy Characteristics'!$C:$C,0))),"",INDEX('Policy Characteristics'!H:H,MATCH($C760,'Policy Characteristics'!$C:$C,0)))</f>
        <v>0.01</v>
      </c>
      <c r="O760" s="254" t="str">
        <f>IF(ISBLANK(INDEX('Policy Characteristics'!I:I,MATCH($C760,'Policy Characteristics'!$C:$C,0))),"",INDEX('Policy Characteristics'!I:I,MATCH($C760,'Policy Characteristics'!$C:$C,0)))</f>
        <v>% of fuel shifted</v>
      </c>
      <c r="P760" s="254"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4" t="str">
        <f>IF(ISBLANK(INDEX('Policy Characteristics'!K:K,MATCH($C760,'Policy Characteristics'!$C:$C,0))),"",INDEX('Policy Characteristics'!K:K,MATCH($C760,'Policy Characteristics'!$C:$C,0)))</f>
        <v>industry-ag-main.html#fuel-switching</v>
      </c>
      <c r="R760" s="254" t="str">
        <f>IF(ISBLANK(INDEX('Policy Characteristics'!L:L,MATCH($C760,'Policy Characteristics'!$C:$C,0))),"",INDEX('Policy Characteristics'!L:L,MATCH($C760,'Policy Characteristics'!$C:$C,0)))</f>
        <v>industry-elec-and-hydrogen.html</v>
      </c>
    </row>
    <row r="761" spans="1:18" x14ac:dyDescent="0.3">
      <c r="A761" s="254" t="str">
        <f>IF(ISBLANK(INDEX('Policy Characteristics'!A:A,MATCH($C761,'Policy Characteristics'!$C:$C,0))),"",INDEX('Policy Characteristics'!A:A,MATCH($C761,'Policy Characteristics'!$C:$C,0)))</f>
        <v>Industry</v>
      </c>
      <c r="B761" s="262" t="str">
        <f>IF(ISBLANK(INDEX('Policy Characteristics'!B:B,MATCH($C761,'Policy Characteristics'!$C:$C,0))),"",INDEX('Policy Characteristics'!B:B,MATCH($C761,'Policy Characteristics'!$C:$C,0)))</f>
        <v>Electrification</v>
      </c>
      <c r="C761" s="254" t="str">
        <f t="shared" si="38"/>
        <v>Fraction of Eligible Industrial Energy Use Shifted to Electricity</v>
      </c>
      <c r="D761" s="6" t="s">
        <v>3077</v>
      </c>
      <c r="E761" s="1" t="s">
        <v>3518</v>
      </c>
      <c r="F761" t="s">
        <v>3039</v>
      </c>
      <c r="G761" s="45" t="s">
        <v>3525</v>
      </c>
      <c r="H761" s="43">
        <v>1965</v>
      </c>
      <c r="I761" s="324" t="s">
        <v>43</v>
      </c>
      <c r="J761" s="255" t="str">
        <f>IF(ISBLANK(INDEX('Policy Characteristics'!D:D,MATCH($C761,'Policy Characteristics'!$C:$C,0))),"",INDEX('Policy Characteristics'!D:D,MATCH($C761,'Policy Characteristics'!$C:$C,0)))</f>
        <v>Electrification</v>
      </c>
      <c r="K761" s="254" t="str">
        <f>IF(ISBLANK(INDEX('Policy Characteristics'!E:E,MATCH($C761,'Policy Characteristics'!$C:$C,0))),"",INDEX('Policy Characteristics'!E:E,MATCH($C761,'Policy Characteristics'!$C:$C,0)))</f>
        <v>indst shift to electricity</v>
      </c>
      <c r="L761" s="261">
        <f>IF(ISBLANK(INDEX('Policy Characteristics'!F:F,MATCH($C761,'Policy Characteristics'!$C:$C,0))),"",INDEX('Policy Characteristics'!F:F,MATCH($C761,'Policy Characteristics'!$C:$C,0)))</f>
        <v>0</v>
      </c>
      <c r="M761" s="261">
        <f>IF(ISBLANK(INDEX('Policy Characteristics'!G:G,MATCH($C761,'Policy Characteristics'!$C:$C,0))),"",INDEX('Policy Characteristics'!G:G,MATCH($C761,'Policy Characteristics'!$C:$C,0)))</f>
        <v>1</v>
      </c>
      <c r="N761" s="261">
        <f>IF(ISBLANK(INDEX('Policy Characteristics'!H:H,MATCH($C761,'Policy Characteristics'!$C:$C,0))),"",INDEX('Policy Characteristics'!H:H,MATCH($C761,'Policy Characteristics'!$C:$C,0)))</f>
        <v>0.01</v>
      </c>
      <c r="O761" s="254" t="str">
        <f>IF(ISBLANK(INDEX('Policy Characteristics'!I:I,MATCH($C761,'Policy Characteristics'!$C:$C,0))),"",INDEX('Policy Characteristics'!I:I,MATCH($C761,'Policy Characteristics'!$C:$C,0)))</f>
        <v>% of fuel shifted</v>
      </c>
      <c r="P761" s="254"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4" t="str">
        <f>IF(ISBLANK(INDEX('Policy Characteristics'!K:K,MATCH($C761,'Policy Characteristics'!$C:$C,0))),"",INDEX('Policy Characteristics'!K:K,MATCH($C761,'Policy Characteristics'!$C:$C,0)))</f>
        <v>industry-ag-main.html#fuel-switching</v>
      </c>
      <c r="R761" s="254" t="str">
        <f>IF(ISBLANK(INDEX('Policy Characteristics'!L:L,MATCH($C761,'Policy Characteristics'!$C:$C,0))),"",INDEX('Policy Characteristics'!L:L,MATCH($C761,'Policy Characteristics'!$C:$C,0)))</f>
        <v>industry-elec-and-hydrogen.html</v>
      </c>
    </row>
    <row r="762" spans="1:18" x14ac:dyDescent="0.3">
      <c r="A762" s="254" t="str">
        <f>IF(ISBLANK(INDEX('Policy Characteristics'!A:A,MATCH($C762,'Policy Characteristics'!$C:$C,0))),"",INDEX('Policy Characteristics'!A:A,MATCH($C762,'Policy Characteristics'!$C:$C,0)))</f>
        <v>Industry</v>
      </c>
      <c r="B762" s="262" t="str">
        <f>IF(ISBLANK(INDEX('Policy Characteristics'!B:B,MATCH($C762,'Policy Characteristics'!$C:$C,0))),"",INDEX('Policy Characteristics'!B:B,MATCH($C762,'Policy Characteristics'!$C:$C,0)))</f>
        <v>Electrification</v>
      </c>
      <c r="C762" s="254" t="str">
        <f t="shared" si="38"/>
        <v>Fraction of Eligible Industrial Energy Use Shifted to Electricity</v>
      </c>
      <c r="D762" s="6" t="s">
        <v>3077</v>
      </c>
      <c r="E762" s="1" t="s">
        <v>3519</v>
      </c>
      <c r="F762" t="s">
        <v>3039</v>
      </c>
      <c r="G762" s="45" t="s">
        <v>3526</v>
      </c>
      <c r="H762" s="43">
        <v>1966</v>
      </c>
      <c r="I762" s="324" t="s">
        <v>43</v>
      </c>
      <c r="J762" s="255" t="str">
        <f>IF(ISBLANK(INDEX('Policy Characteristics'!D:D,MATCH($C762,'Policy Characteristics'!$C:$C,0))),"",INDEX('Policy Characteristics'!D:D,MATCH($C762,'Policy Characteristics'!$C:$C,0)))</f>
        <v>Electrification</v>
      </c>
      <c r="K762" s="254" t="str">
        <f>IF(ISBLANK(INDEX('Policy Characteristics'!E:E,MATCH($C762,'Policy Characteristics'!$C:$C,0))),"",INDEX('Policy Characteristics'!E:E,MATCH($C762,'Policy Characteristics'!$C:$C,0)))</f>
        <v>indst shift to electricity</v>
      </c>
      <c r="L762" s="261">
        <f>IF(ISBLANK(INDEX('Policy Characteristics'!F:F,MATCH($C762,'Policy Characteristics'!$C:$C,0))),"",INDEX('Policy Characteristics'!F:F,MATCH($C762,'Policy Characteristics'!$C:$C,0)))</f>
        <v>0</v>
      </c>
      <c r="M762" s="261">
        <f>IF(ISBLANK(INDEX('Policy Characteristics'!G:G,MATCH($C762,'Policy Characteristics'!$C:$C,0))),"",INDEX('Policy Characteristics'!G:G,MATCH($C762,'Policy Characteristics'!$C:$C,0)))</f>
        <v>1</v>
      </c>
      <c r="N762" s="261">
        <f>IF(ISBLANK(INDEX('Policy Characteristics'!H:H,MATCH($C762,'Policy Characteristics'!$C:$C,0))),"",INDEX('Policy Characteristics'!H:H,MATCH($C762,'Policy Characteristics'!$C:$C,0)))</f>
        <v>0.01</v>
      </c>
      <c r="O762" s="254" t="str">
        <f>IF(ISBLANK(INDEX('Policy Characteristics'!I:I,MATCH($C762,'Policy Characteristics'!$C:$C,0))),"",INDEX('Policy Characteristics'!I:I,MATCH($C762,'Policy Characteristics'!$C:$C,0)))</f>
        <v>% of fuel shifted</v>
      </c>
      <c r="P762" s="254"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4" t="str">
        <f>IF(ISBLANK(INDEX('Policy Characteristics'!K:K,MATCH($C762,'Policy Characteristics'!$C:$C,0))),"",INDEX('Policy Characteristics'!K:K,MATCH($C762,'Policy Characteristics'!$C:$C,0)))</f>
        <v>industry-ag-main.html#fuel-switching</v>
      </c>
      <c r="R762" s="254" t="str">
        <f>IF(ISBLANK(INDEX('Policy Characteristics'!L:L,MATCH($C762,'Policy Characteristics'!$C:$C,0))),"",INDEX('Policy Characteristics'!L:L,MATCH($C762,'Policy Characteristics'!$C:$C,0)))</f>
        <v>industry-elec-and-hydrogen.html</v>
      </c>
    </row>
    <row r="763" spans="1:18" x14ac:dyDescent="0.3">
      <c r="A763" s="254" t="str">
        <f>IF(ISBLANK(INDEX('Policy Characteristics'!A:A,MATCH($C763,'Policy Characteristics'!$C:$C,0))),"",INDEX('Policy Characteristics'!A:A,MATCH($C763,'Policy Characteristics'!$C:$C,0)))</f>
        <v>Industry</v>
      </c>
      <c r="B763" s="262" t="str">
        <f>IF(ISBLANK(INDEX('Policy Characteristics'!B:B,MATCH($C763,'Policy Characteristics'!$C:$C,0))),"",INDEX('Policy Characteristics'!B:B,MATCH($C763,'Policy Characteristics'!$C:$C,0)))</f>
        <v>Electrification</v>
      </c>
      <c r="C763" s="254" t="str">
        <f t="shared" si="38"/>
        <v>Fraction of Eligible Industrial Energy Use Shifted to Electricity</v>
      </c>
      <c r="D763" s="6" t="s">
        <v>3077</v>
      </c>
      <c r="E763" s="1" t="s">
        <v>3520</v>
      </c>
      <c r="F763" t="s">
        <v>3039</v>
      </c>
      <c r="G763" s="45" t="s">
        <v>3527</v>
      </c>
      <c r="H763" s="43">
        <v>1967</v>
      </c>
      <c r="I763" s="324" t="s">
        <v>43</v>
      </c>
      <c r="J763" s="255" t="str">
        <f>IF(ISBLANK(INDEX('Policy Characteristics'!D:D,MATCH($C763,'Policy Characteristics'!$C:$C,0))),"",INDEX('Policy Characteristics'!D:D,MATCH($C763,'Policy Characteristics'!$C:$C,0)))</f>
        <v>Electrification</v>
      </c>
      <c r="K763" s="254" t="str">
        <f>IF(ISBLANK(INDEX('Policy Characteristics'!E:E,MATCH($C763,'Policy Characteristics'!$C:$C,0))),"",INDEX('Policy Characteristics'!E:E,MATCH($C763,'Policy Characteristics'!$C:$C,0)))</f>
        <v>indst shift to electricity</v>
      </c>
      <c r="L763" s="261">
        <f>IF(ISBLANK(INDEX('Policy Characteristics'!F:F,MATCH($C763,'Policy Characteristics'!$C:$C,0))),"",INDEX('Policy Characteristics'!F:F,MATCH($C763,'Policy Characteristics'!$C:$C,0)))</f>
        <v>0</v>
      </c>
      <c r="M763" s="261">
        <f>IF(ISBLANK(INDEX('Policy Characteristics'!G:G,MATCH($C763,'Policy Characteristics'!$C:$C,0))),"",INDEX('Policy Characteristics'!G:G,MATCH($C763,'Policy Characteristics'!$C:$C,0)))</f>
        <v>1</v>
      </c>
      <c r="N763" s="261">
        <f>IF(ISBLANK(INDEX('Policy Characteristics'!H:H,MATCH($C763,'Policy Characteristics'!$C:$C,0))),"",INDEX('Policy Characteristics'!H:H,MATCH($C763,'Policy Characteristics'!$C:$C,0)))</f>
        <v>0.01</v>
      </c>
      <c r="O763" s="254" t="str">
        <f>IF(ISBLANK(INDEX('Policy Characteristics'!I:I,MATCH($C763,'Policy Characteristics'!$C:$C,0))),"",INDEX('Policy Characteristics'!I:I,MATCH($C763,'Policy Characteristics'!$C:$C,0)))</f>
        <v>% of fuel shifted</v>
      </c>
      <c r="P763" s="254"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4" t="str">
        <f>IF(ISBLANK(INDEX('Policy Characteristics'!K:K,MATCH($C763,'Policy Characteristics'!$C:$C,0))),"",INDEX('Policy Characteristics'!K:K,MATCH($C763,'Policy Characteristics'!$C:$C,0)))</f>
        <v>industry-ag-main.html#fuel-switching</v>
      </c>
      <c r="R763" s="254" t="str">
        <f>IF(ISBLANK(INDEX('Policy Characteristics'!L:L,MATCH($C763,'Policy Characteristics'!$C:$C,0))),"",INDEX('Policy Characteristics'!L:L,MATCH($C763,'Policy Characteristics'!$C:$C,0)))</f>
        <v>industry-elec-and-hydrogen.html</v>
      </c>
    </row>
    <row r="764" spans="1:18" x14ac:dyDescent="0.3">
      <c r="A764" s="254" t="str">
        <f>IF(ISBLANK(INDEX('Policy Characteristics'!A:A,MATCH($C764,'Policy Characteristics'!$C:$C,0))),"",INDEX('Policy Characteristics'!A:A,MATCH($C764,'Policy Characteristics'!$C:$C,0)))</f>
        <v>Industry</v>
      </c>
      <c r="B764" s="262" t="str">
        <f>IF(ISBLANK(INDEX('Policy Characteristics'!B:B,MATCH($C764,'Policy Characteristics'!$C:$C,0))),"",INDEX('Policy Characteristics'!B:B,MATCH($C764,'Policy Characteristics'!$C:$C,0)))</f>
        <v>Electrification</v>
      </c>
      <c r="C764" s="254" t="str">
        <f t="shared" si="38"/>
        <v>Fraction of Eligible Industrial Energy Use Shifted to Electricity</v>
      </c>
      <c r="D764" s="6" t="s">
        <v>3077</v>
      </c>
      <c r="E764" s="1" t="s">
        <v>3521</v>
      </c>
      <c r="F764" t="s">
        <v>3039</v>
      </c>
      <c r="G764" s="45" t="s">
        <v>3528</v>
      </c>
      <c r="H764" s="43">
        <v>1968</v>
      </c>
      <c r="I764" s="324" t="s">
        <v>43</v>
      </c>
      <c r="J764" s="255" t="str">
        <f>IF(ISBLANK(INDEX('Policy Characteristics'!D:D,MATCH($C764,'Policy Characteristics'!$C:$C,0))),"",INDEX('Policy Characteristics'!D:D,MATCH($C764,'Policy Characteristics'!$C:$C,0)))</f>
        <v>Electrification</v>
      </c>
      <c r="K764" s="254" t="str">
        <f>IF(ISBLANK(INDEX('Policy Characteristics'!E:E,MATCH($C764,'Policy Characteristics'!$C:$C,0))),"",INDEX('Policy Characteristics'!E:E,MATCH($C764,'Policy Characteristics'!$C:$C,0)))</f>
        <v>indst shift to electricity</v>
      </c>
      <c r="L764" s="261">
        <f>IF(ISBLANK(INDEX('Policy Characteristics'!F:F,MATCH($C764,'Policy Characteristics'!$C:$C,0))),"",INDEX('Policy Characteristics'!F:F,MATCH($C764,'Policy Characteristics'!$C:$C,0)))</f>
        <v>0</v>
      </c>
      <c r="M764" s="261">
        <f>IF(ISBLANK(INDEX('Policy Characteristics'!G:G,MATCH($C764,'Policy Characteristics'!$C:$C,0))),"",INDEX('Policy Characteristics'!G:G,MATCH($C764,'Policy Characteristics'!$C:$C,0)))</f>
        <v>1</v>
      </c>
      <c r="N764" s="261">
        <f>IF(ISBLANK(INDEX('Policy Characteristics'!H:H,MATCH($C764,'Policy Characteristics'!$C:$C,0))),"",INDEX('Policy Characteristics'!H:H,MATCH($C764,'Policy Characteristics'!$C:$C,0)))</f>
        <v>0.01</v>
      </c>
      <c r="O764" s="254" t="str">
        <f>IF(ISBLANK(INDEX('Policy Characteristics'!I:I,MATCH($C764,'Policy Characteristics'!$C:$C,0))),"",INDEX('Policy Characteristics'!I:I,MATCH($C764,'Policy Characteristics'!$C:$C,0)))</f>
        <v>% of fuel shifted</v>
      </c>
      <c r="P764" s="254"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4" t="str">
        <f>IF(ISBLANK(INDEX('Policy Characteristics'!K:K,MATCH($C764,'Policy Characteristics'!$C:$C,0))),"",INDEX('Policy Characteristics'!K:K,MATCH($C764,'Policy Characteristics'!$C:$C,0)))</f>
        <v>industry-ag-main.html#fuel-switching</v>
      </c>
      <c r="R764" s="254" t="str">
        <f>IF(ISBLANK(INDEX('Policy Characteristics'!L:L,MATCH($C764,'Policy Characteristics'!$C:$C,0))),"",INDEX('Policy Characteristics'!L:L,MATCH($C764,'Policy Characteristics'!$C:$C,0)))</f>
        <v>industry-elec-and-hydrogen.html</v>
      </c>
    </row>
    <row r="765" spans="1:18" x14ac:dyDescent="0.3">
      <c r="A765" s="254" t="str">
        <f>IF(ISBLANK(INDEX('Policy Characteristics'!A:A,MATCH($C765,'Policy Characteristics'!$C:$C,0))),"",INDEX('Policy Characteristics'!A:A,MATCH($C765,'Policy Characteristics'!$C:$C,0)))</f>
        <v>Industry</v>
      </c>
      <c r="B765" s="262" t="str">
        <f>IF(ISBLANK(INDEX('Policy Characteristics'!B:B,MATCH($C765,'Policy Characteristics'!$C:$C,0))),"",INDEX('Policy Characteristics'!B:B,MATCH($C765,'Policy Characteristics'!$C:$C,0)))</f>
        <v>Electrification</v>
      </c>
      <c r="C765" s="254" t="str">
        <f t="shared" si="38"/>
        <v>Fraction of Eligible Industrial Energy Use Shifted to Electricity</v>
      </c>
      <c r="D765" s="6" t="s">
        <v>3077</v>
      </c>
      <c r="E765" s="1" t="s">
        <v>3671</v>
      </c>
      <c r="F765" t="s">
        <v>3039</v>
      </c>
      <c r="G765" s="45" t="s">
        <v>3671</v>
      </c>
      <c r="H765" s="43">
        <v>1969</v>
      </c>
      <c r="I765" s="324" t="s">
        <v>43</v>
      </c>
      <c r="J765" s="255" t="str">
        <f>IF(ISBLANK(INDEX('Policy Characteristics'!D:D,MATCH($C765,'Policy Characteristics'!$C:$C,0))),"",INDEX('Policy Characteristics'!D:D,MATCH($C765,'Policy Characteristics'!$C:$C,0)))</f>
        <v>Electrification</v>
      </c>
      <c r="K765" s="254" t="str">
        <f>IF(ISBLANK(INDEX('Policy Characteristics'!E:E,MATCH($C765,'Policy Characteristics'!$C:$C,0))),"",INDEX('Policy Characteristics'!E:E,MATCH($C765,'Policy Characteristics'!$C:$C,0)))</f>
        <v>indst shift to electricity</v>
      </c>
      <c r="L765" s="261">
        <f>IF(ISBLANK(INDEX('Policy Characteristics'!F:F,MATCH($C765,'Policy Characteristics'!$C:$C,0))),"",INDEX('Policy Characteristics'!F:F,MATCH($C765,'Policy Characteristics'!$C:$C,0)))</f>
        <v>0</v>
      </c>
      <c r="M765" s="261">
        <f>IF(ISBLANK(INDEX('Policy Characteristics'!G:G,MATCH($C765,'Policy Characteristics'!$C:$C,0))),"",INDEX('Policy Characteristics'!G:G,MATCH($C765,'Policy Characteristics'!$C:$C,0)))</f>
        <v>1</v>
      </c>
      <c r="N765" s="261">
        <f>IF(ISBLANK(INDEX('Policy Characteristics'!H:H,MATCH($C765,'Policy Characteristics'!$C:$C,0))),"",INDEX('Policy Characteristics'!H:H,MATCH($C765,'Policy Characteristics'!$C:$C,0)))</f>
        <v>0.01</v>
      </c>
      <c r="O765" s="254" t="str">
        <f>IF(ISBLANK(INDEX('Policy Characteristics'!I:I,MATCH($C765,'Policy Characteristics'!$C:$C,0))),"",INDEX('Policy Characteristics'!I:I,MATCH($C765,'Policy Characteristics'!$C:$C,0)))</f>
        <v>% of fuel shifted</v>
      </c>
      <c r="P765" s="254"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4" t="str">
        <f>IF(ISBLANK(INDEX('Policy Characteristics'!K:K,MATCH($C765,'Policy Characteristics'!$C:$C,0))),"",INDEX('Policy Characteristics'!K:K,MATCH($C765,'Policy Characteristics'!$C:$C,0)))</f>
        <v>industry-ag-main.html#fuel-switching</v>
      </c>
      <c r="R765" s="254" t="str">
        <f>IF(ISBLANK(INDEX('Policy Characteristics'!L:L,MATCH($C765,'Policy Characteristics'!$C:$C,0))),"",INDEX('Policy Characteristics'!L:L,MATCH($C765,'Policy Characteristics'!$C:$C,0)))</f>
        <v>industry-elec-and-hydrogen.html</v>
      </c>
    </row>
    <row r="766" spans="1:18" x14ac:dyDescent="0.3">
      <c r="A766" s="254" t="str">
        <f>IF(ISBLANK(INDEX('Policy Characteristics'!A:A,MATCH($C766,'Policy Characteristics'!$C:$C,0))),"",INDEX('Policy Characteristics'!A:A,MATCH($C766,'Policy Characteristics'!$C:$C,0)))</f>
        <v>Industry</v>
      </c>
      <c r="B766" s="262" t="str">
        <f>IF(ISBLANK(INDEX('Policy Characteristics'!B:B,MATCH($C766,'Policy Characteristics'!$C:$C,0))),"",INDEX('Policy Characteristics'!B:B,MATCH($C766,'Policy Characteristics'!$C:$C,0)))</f>
        <v>Electrification</v>
      </c>
      <c r="C766" s="254" t="str">
        <f t="shared" si="38"/>
        <v>Fraction of Eligible Industrial Energy Use Shifted to Electricity</v>
      </c>
      <c r="D766" s="6" t="s">
        <v>3078</v>
      </c>
      <c r="E766" s="1" t="s">
        <v>3515</v>
      </c>
      <c r="F766" t="s">
        <v>3040</v>
      </c>
      <c r="G766" s="45" t="s">
        <v>3522</v>
      </c>
      <c r="H766" s="43">
        <v>1970</v>
      </c>
      <c r="I766" s="324" t="s">
        <v>43</v>
      </c>
      <c r="J766" s="255" t="str">
        <f>IF(ISBLANK(INDEX('Policy Characteristics'!D:D,MATCH($C766,'Policy Characteristics'!$C:$C,0))),"",INDEX('Policy Characteristics'!D:D,MATCH($C766,'Policy Characteristics'!$C:$C,0)))</f>
        <v>Electrification</v>
      </c>
      <c r="K766" s="254" t="str">
        <f>IF(ISBLANK(INDEX('Policy Characteristics'!E:E,MATCH($C766,'Policy Characteristics'!$C:$C,0))),"",INDEX('Policy Characteristics'!E:E,MATCH($C766,'Policy Characteristics'!$C:$C,0)))</f>
        <v>indst shift to electricity</v>
      </c>
      <c r="L766" s="261">
        <f>IF(ISBLANK(INDEX('Policy Characteristics'!F:F,MATCH($C766,'Policy Characteristics'!$C:$C,0))),"",INDEX('Policy Characteristics'!F:F,MATCH($C766,'Policy Characteristics'!$C:$C,0)))</f>
        <v>0</v>
      </c>
      <c r="M766" s="261">
        <f>IF(ISBLANK(INDEX('Policy Characteristics'!G:G,MATCH($C766,'Policy Characteristics'!$C:$C,0))),"",INDEX('Policy Characteristics'!G:G,MATCH($C766,'Policy Characteristics'!$C:$C,0)))</f>
        <v>1</v>
      </c>
      <c r="N766" s="261">
        <f>IF(ISBLANK(INDEX('Policy Characteristics'!H:H,MATCH($C766,'Policy Characteristics'!$C:$C,0))),"",INDEX('Policy Characteristics'!H:H,MATCH($C766,'Policy Characteristics'!$C:$C,0)))</f>
        <v>0.01</v>
      </c>
      <c r="O766" s="254" t="str">
        <f>IF(ISBLANK(INDEX('Policy Characteristics'!I:I,MATCH($C766,'Policy Characteristics'!$C:$C,0))),"",INDEX('Policy Characteristics'!I:I,MATCH($C766,'Policy Characteristics'!$C:$C,0)))</f>
        <v>% of fuel shifted</v>
      </c>
      <c r="P766" s="254"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4" t="str">
        <f>IF(ISBLANK(INDEX('Policy Characteristics'!K:K,MATCH($C766,'Policy Characteristics'!$C:$C,0))),"",INDEX('Policy Characteristics'!K:K,MATCH($C766,'Policy Characteristics'!$C:$C,0)))</f>
        <v>industry-ag-main.html#fuel-switching</v>
      </c>
      <c r="R766" s="254" t="str">
        <f>IF(ISBLANK(INDEX('Policy Characteristics'!L:L,MATCH($C766,'Policy Characteristics'!$C:$C,0))),"",INDEX('Policy Characteristics'!L:L,MATCH($C766,'Policy Characteristics'!$C:$C,0)))</f>
        <v>industry-elec-and-hydrogen.html</v>
      </c>
    </row>
    <row r="767" spans="1:18" x14ac:dyDescent="0.3">
      <c r="A767" s="254" t="str">
        <f>IF(ISBLANK(INDEX('Policy Characteristics'!A:A,MATCH($C767,'Policy Characteristics'!$C:$C,0))),"",INDEX('Policy Characteristics'!A:A,MATCH($C767,'Policy Characteristics'!$C:$C,0)))</f>
        <v>Industry</v>
      </c>
      <c r="B767" s="262" t="str">
        <f>IF(ISBLANK(INDEX('Policy Characteristics'!B:B,MATCH($C767,'Policy Characteristics'!$C:$C,0))),"",INDEX('Policy Characteristics'!B:B,MATCH($C767,'Policy Characteristics'!$C:$C,0)))</f>
        <v>Electrification</v>
      </c>
      <c r="C767" s="254" t="str">
        <f t="shared" si="38"/>
        <v>Fraction of Eligible Industrial Energy Use Shifted to Electricity</v>
      </c>
      <c r="D767" s="6" t="s">
        <v>3078</v>
      </c>
      <c r="E767" s="1" t="s">
        <v>3516</v>
      </c>
      <c r="F767" t="s">
        <v>3040</v>
      </c>
      <c r="G767" s="45" t="s">
        <v>3523</v>
      </c>
      <c r="H767" s="43">
        <v>1971</v>
      </c>
      <c r="I767" s="324" t="s">
        <v>43</v>
      </c>
      <c r="J767" s="255" t="str">
        <f>IF(ISBLANK(INDEX('Policy Characteristics'!D:D,MATCH($C767,'Policy Characteristics'!$C:$C,0))),"",INDEX('Policy Characteristics'!D:D,MATCH($C767,'Policy Characteristics'!$C:$C,0)))</f>
        <v>Electrification</v>
      </c>
      <c r="K767" s="254" t="str">
        <f>IF(ISBLANK(INDEX('Policy Characteristics'!E:E,MATCH($C767,'Policy Characteristics'!$C:$C,0))),"",INDEX('Policy Characteristics'!E:E,MATCH($C767,'Policy Characteristics'!$C:$C,0)))</f>
        <v>indst shift to electricity</v>
      </c>
      <c r="L767" s="261">
        <f>IF(ISBLANK(INDEX('Policy Characteristics'!F:F,MATCH($C767,'Policy Characteristics'!$C:$C,0))),"",INDEX('Policy Characteristics'!F:F,MATCH($C767,'Policy Characteristics'!$C:$C,0)))</f>
        <v>0</v>
      </c>
      <c r="M767" s="261">
        <f>IF(ISBLANK(INDEX('Policy Characteristics'!G:G,MATCH($C767,'Policy Characteristics'!$C:$C,0))),"",INDEX('Policy Characteristics'!G:G,MATCH($C767,'Policy Characteristics'!$C:$C,0)))</f>
        <v>1</v>
      </c>
      <c r="N767" s="261">
        <f>IF(ISBLANK(INDEX('Policy Characteristics'!H:H,MATCH($C767,'Policy Characteristics'!$C:$C,0))),"",INDEX('Policy Characteristics'!H:H,MATCH($C767,'Policy Characteristics'!$C:$C,0)))</f>
        <v>0.01</v>
      </c>
      <c r="O767" s="254" t="str">
        <f>IF(ISBLANK(INDEX('Policy Characteristics'!I:I,MATCH($C767,'Policy Characteristics'!$C:$C,0))),"",INDEX('Policy Characteristics'!I:I,MATCH($C767,'Policy Characteristics'!$C:$C,0)))</f>
        <v>% of fuel shifted</v>
      </c>
      <c r="P767" s="254"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4" t="str">
        <f>IF(ISBLANK(INDEX('Policy Characteristics'!K:K,MATCH($C767,'Policy Characteristics'!$C:$C,0))),"",INDEX('Policy Characteristics'!K:K,MATCH($C767,'Policy Characteristics'!$C:$C,0)))</f>
        <v>industry-ag-main.html#fuel-switching</v>
      </c>
      <c r="R767" s="254" t="str">
        <f>IF(ISBLANK(INDEX('Policy Characteristics'!L:L,MATCH($C767,'Policy Characteristics'!$C:$C,0))),"",INDEX('Policy Characteristics'!L:L,MATCH($C767,'Policy Characteristics'!$C:$C,0)))</f>
        <v>industry-elec-and-hydrogen.html</v>
      </c>
    </row>
    <row r="768" spans="1:18" x14ac:dyDescent="0.3">
      <c r="A768" s="254" t="str">
        <f>IF(ISBLANK(INDEX('Policy Characteristics'!A:A,MATCH($C768,'Policy Characteristics'!$C:$C,0))),"",INDEX('Policy Characteristics'!A:A,MATCH($C768,'Policy Characteristics'!$C:$C,0)))</f>
        <v>Industry</v>
      </c>
      <c r="B768" s="262" t="str">
        <f>IF(ISBLANK(INDEX('Policy Characteristics'!B:B,MATCH($C768,'Policy Characteristics'!$C:$C,0))),"",INDEX('Policy Characteristics'!B:B,MATCH($C768,'Policy Characteristics'!$C:$C,0)))</f>
        <v>Electrification</v>
      </c>
      <c r="C768" s="254" t="str">
        <f t="shared" si="38"/>
        <v>Fraction of Eligible Industrial Energy Use Shifted to Electricity</v>
      </c>
      <c r="D768" s="6" t="s">
        <v>3078</v>
      </c>
      <c r="E768" s="1" t="s">
        <v>3517</v>
      </c>
      <c r="F768" t="s">
        <v>3040</v>
      </c>
      <c r="G768" s="45" t="s">
        <v>3524</v>
      </c>
      <c r="H768" s="43">
        <v>1972</v>
      </c>
      <c r="I768" s="324" t="s">
        <v>43</v>
      </c>
      <c r="J768" s="255" t="str">
        <f>IF(ISBLANK(INDEX('Policy Characteristics'!D:D,MATCH($C768,'Policy Characteristics'!$C:$C,0))),"",INDEX('Policy Characteristics'!D:D,MATCH($C768,'Policy Characteristics'!$C:$C,0)))</f>
        <v>Electrification</v>
      </c>
      <c r="K768" s="254" t="str">
        <f>IF(ISBLANK(INDEX('Policy Characteristics'!E:E,MATCH($C768,'Policy Characteristics'!$C:$C,0))),"",INDEX('Policy Characteristics'!E:E,MATCH($C768,'Policy Characteristics'!$C:$C,0)))</f>
        <v>indst shift to electricity</v>
      </c>
      <c r="L768" s="261">
        <f>IF(ISBLANK(INDEX('Policy Characteristics'!F:F,MATCH($C768,'Policy Characteristics'!$C:$C,0))),"",INDEX('Policy Characteristics'!F:F,MATCH($C768,'Policy Characteristics'!$C:$C,0)))</f>
        <v>0</v>
      </c>
      <c r="M768" s="261">
        <f>IF(ISBLANK(INDEX('Policy Characteristics'!G:G,MATCH($C768,'Policy Characteristics'!$C:$C,0))),"",INDEX('Policy Characteristics'!G:G,MATCH($C768,'Policy Characteristics'!$C:$C,0)))</f>
        <v>1</v>
      </c>
      <c r="N768" s="261">
        <f>IF(ISBLANK(INDEX('Policy Characteristics'!H:H,MATCH($C768,'Policy Characteristics'!$C:$C,0))),"",INDEX('Policy Characteristics'!H:H,MATCH($C768,'Policy Characteristics'!$C:$C,0)))</f>
        <v>0.01</v>
      </c>
      <c r="O768" s="254" t="str">
        <f>IF(ISBLANK(INDEX('Policy Characteristics'!I:I,MATCH($C768,'Policy Characteristics'!$C:$C,0))),"",INDEX('Policy Characteristics'!I:I,MATCH($C768,'Policy Characteristics'!$C:$C,0)))</f>
        <v>% of fuel shifted</v>
      </c>
      <c r="P768" s="254"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4" t="str">
        <f>IF(ISBLANK(INDEX('Policy Characteristics'!K:K,MATCH($C768,'Policy Characteristics'!$C:$C,0))),"",INDEX('Policy Characteristics'!K:K,MATCH($C768,'Policy Characteristics'!$C:$C,0)))</f>
        <v>industry-ag-main.html#fuel-switching</v>
      </c>
      <c r="R768" s="254" t="str">
        <f>IF(ISBLANK(INDEX('Policy Characteristics'!L:L,MATCH($C768,'Policy Characteristics'!$C:$C,0))),"",INDEX('Policy Characteristics'!L:L,MATCH($C768,'Policy Characteristics'!$C:$C,0)))</f>
        <v>industry-elec-and-hydrogen.html</v>
      </c>
    </row>
    <row r="769" spans="1:18" x14ac:dyDescent="0.3">
      <c r="A769" s="254" t="str">
        <f>IF(ISBLANK(INDEX('Policy Characteristics'!A:A,MATCH($C769,'Policy Characteristics'!$C:$C,0))),"",INDEX('Policy Characteristics'!A:A,MATCH($C769,'Policy Characteristics'!$C:$C,0)))</f>
        <v>Industry</v>
      </c>
      <c r="B769" s="262" t="str">
        <f>IF(ISBLANK(INDEX('Policy Characteristics'!B:B,MATCH($C769,'Policy Characteristics'!$C:$C,0))),"",INDEX('Policy Characteristics'!B:B,MATCH($C769,'Policy Characteristics'!$C:$C,0)))</f>
        <v>Electrification</v>
      </c>
      <c r="C769" s="254" t="str">
        <f t="shared" si="38"/>
        <v>Fraction of Eligible Industrial Energy Use Shifted to Electricity</v>
      </c>
      <c r="D769" s="6" t="s">
        <v>3078</v>
      </c>
      <c r="E769" s="1" t="s">
        <v>3518</v>
      </c>
      <c r="F769" t="s">
        <v>3040</v>
      </c>
      <c r="G769" s="45" t="s">
        <v>3525</v>
      </c>
      <c r="H769" s="43">
        <v>1973</v>
      </c>
      <c r="I769" s="324" t="s">
        <v>43</v>
      </c>
      <c r="J769" s="255" t="str">
        <f>IF(ISBLANK(INDEX('Policy Characteristics'!D:D,MATCH($C769,'Policy Characteristics'!$C:$C,0))),"",INDEX('Policy Characteristics'!D:D,MATCH($C769,'Policy Characteristics'!$C:$C,0)))</f>
        <v>Electrification</v>
      </c>
      <c r="K769" s="254" t="str">
        <f>IF(ISBLANK(INDEX('Policy Characteristics'!E:E,MATCH($C769,'Policy Characteristics'!$C:$C,0))),"",INDEX('Policy Characteristics'!E:E,MATCH($C769,'Policy Characteristics'!$C:$C,0)))</f>
        <v>indst shift to electricity</v>
      </c>
      <c r="L769" s="261">
        <f>IF(ISBLANK(INDEX('Policy Characteristics'!F:F,MATCH($C769,'Policy Characteristics'!$C:$C,0))),"",INDEX('Policy Characteristics'!F:F,MATCH($C769,'Policy Characteristics'!$C:$C,0)))</f>
        <v>0</v>
      </c>
      <c r="M769" s="261">
        <f>IF(ISBLANK(INDEX('Policy Characteristics'!G:G,MATCH($C769,'Policy Characteristics'!$C:$C,0))),"",INDEX('Policy Characteristics'!G:G,MATCH($C769,'Policy Characteristics'!$C:$C,0)))</f>
        <v>1</v>
      </c>
      <c r="N769" s="261">
        <f>IF(ISBLANK(INDEX('Policy Characteristics'!H:H,MATCH($C769,'Policy Characteristics'!$C:$C,0))),"",INDEX('Policy Characteristics'!H:H,MATCH($C769,'Policy Characteristics'!$C:$C,0)))</f>
        <v>0.01</v>
      </c>
      <c r="O769" s="254" t="str">
        <f>IF(ISBLANK(INDEX('Policy Characteristics'!I:I,MATCH($C769,'Policy Characteristics'!$C:$C,0))),"",INDEX('Policy Characteristics'!I:I,MATCH($C769,'Policy Characteristics'!$C:$C,0)))</f>
        <v>% of fuel shifted</v>
      </c>
      <c r="P769" s="254"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4" t="str">
        <f>IF(ISBLANK(INDEX('Policy Characteristics'!K:K,MATCH($C769,'Policy Characteristics'!$C:$C,0))),"",INDEX('Policy Characteristics'!K:K,MATCH($C769,'Policy Characteristics'!$C:$C,0)))</f>
        <v>industry-ag-main.html#fuel-switching</v>
      </c>
      <c r="R769" s="254" t="str">
        <f>IF(ISBLANK(INDEX('Policy Characteristics'!L:L,MATCH($C769,'Policy Characteristics'!$C:$C,0))),"",INDEX('Policy Characteristics'!L:L,MATCH($C769,'Policy Characteristics'!$C:$C,0)))</f>
        <v>industry-elec-and-hydrogen.html</v>
      </c>
    </row>
    <row r="770" spans="1:18" x14ac:dyDescent="0.3">
      <c r="A770" s="254" t="str">
        <f>IF(ISBLANK(INDEX('Policy Characteristics'!A:A,MATCH($C770,'Policy Characteristics'!$C:$C,0))),"",INDEX('Policy Characteristics'!A:A,MATCH($C770,'Policy Characteristics'!$C:$C,0)))</f>
        <v>Industry</v>
      </c>
      <c r="B770" s="262" t="str">
        <f>IF(ISBLANK(INDEX('Policy Characteristics'!B:B,MATCH($C770,'Policy Characteristics'!$C:$C,0))),"",INDEX('Policy Characteristics'!B:B,MATCH($C770,'Policy Characteristics'!$C:$C,0)))</f>
        <v>Electrification</v>
      </c>
      <c r="C770" s="254" t="str">
        <f t="shared" si="38"/>
        <v>Fraction of Eligible Industrial Energy Use Shifted to Electricity</v>
      </c>
      <c r="D770" s="6" t="s">
        <v>3078</v>
      </c>
      <c r="E770" s="1" t="s">
        <v>3519</v>
      </c>
      <c r="F770" t="s">
        <v>3040</v>
      </c>
      <c r="G770" s="45" t="s">
        <v>3526</v>
      </c>
      <c r="H770" s="43">
        <v>1974</v>
      </c>
      <c r="I770" s="324" t="s">
        <v>43</v>
      </c>
      <c r="J770" s="255" t="str">
        <f>IF(ISBLANK(INDEX('Policy Characteristics'!D:D,MATCH($C770,'Policy Characteristics'!$C:$C,0))),"",INDEX('Policy Characteristics'!D:D,MATCH($C770,'Policy Characteristics'!$C:$C,0)))</f>
        <v>Electrification</v>
      </c>
      <c r="K770" s="254" t="str">
        <f>IF(ISBLANK(INDEX('Policy Characteristics'!E:E,MATCH($C770,'Policy Characteristics'!$C:$C,0))),"",INDEX('Policy Characteristics'!E:E,MATCH($C770,'Policy Characteristics'!$C:$C,0)))</f>
        <v>indst shift to electricity</v>
      </c>
      <c r="L770" s="261">
        <f>IF(ISBLANK(INDEX('Policy Characteristics'!F:F,MATCH($C770,'Policy Characteristics'!$C:$C,0))),"",INDEX('Policy Characteristics'!F:F,MATCH($C770,'Policy Characteristics'!$C:$C,0)))</f>
        <v>0</v>
      </c>
      <c r="M770" s="261">
        <f>IF(ISBLANK(INDEX('Policy Characteristics'!G:G,MATCH($C770,'Policy Characteristics'!$C:$C,0))),"",INDEX('Policy Characteristics'!G:G,MATCH($C770,'Policy Characteristics'!$C:$C,0)))</f>
        <v>1</v>
      </c>
      <c r="N770" s="261">
        <f>IF(ISBLANK(INDEX('Policy Characteristics'!H:H,MATCH($C770,'Policy Characteristics'!$C:$C,0))),"",INDEX('Policy Characteristics'!H:H,MATCH($C770,'Policy Characteristics'!$C:$C,0)))</f>
        <v>0.01</v>
      </c>
      <c r="O770" s="254" t="str">
        <f>IF(ISBLANK(INDEX('Policy Characteristics'!I:I,MATCH($C770,'Policy Characteristics'!$C:$C,0))),"",INDEX('Policy Characteristics'!I:I,MATCH($C770,'Policy Characteristics'!$C:$C,0)))</f>
        <v>% of fuel shifted</v>
      </c>
      <c r="P770" s="254"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4" t="str">
        <f>IF(ISBLANK(INDEX('Policy Characteristics'!K:K,MATCH($C770,'Policy Characteristics'!$C:$C,0))),"",INDEX('Policy Characteristics'!K:K,MATCH($C770,'Policy Characteristics'!$C:$C,0)))</f>
        <v>industry-ag-main.html#fuel-switching</v>
      </c>
      <c r="R770" s="254" t="str">
        <f>IF(ISBLANK(INDEX('Policy Characteristics'!L:L,MATCH($C770,'Policy Characteristics'!$C:$C,0))),"",INDEX('Policy Characteristics'!L:L,MATCH($C770,'Policy Characteristics'!$C:$C,0)))</f>
        <v>industry-elec-and-hydrogen.html</v>
      </c>
    </row>
    <row r="771" spans="1:18" x14ac:dyDescent="0.3">
      <c r="A771" s="254" t="str">
        <f>IF(ISBLANK(INDEX('Policy Characteristics'!A:A,MATCH($C771,'Policy Characteristics'!$C:$C,0))),"",INDEX('Policy Characteristics'!A:A,MATCH($C771,'Policy Characteristics'!$C:$C,0)))</f>
        <v>Industry</v>
      </c>
      <c r="B771" s="262" t="str">
        <f>IF(ISBLANK(INDEX('Policy Characteristics'!B:B,MATCH($C771,'Policy Characteristics'!$C:$C,0))),"",INDEX('Policy Characteristics'!B:B,MATCH($C771,'Policy Characteristics'!$C:$C,0)))</f>
        <v>Electrification</v>
      </c>
      <c r="C771" s="254" t="str">
        <f t="shared" si="38"/>
        <v>Fraction of Eligible Industrial Energy Use Shifted to Electricity</v>
      </c>
      <c r="D771" s="6" t="s">
        <v>3078</v>
      </c>
      <c r="E771" s="1" t="s">
        <v>3520</v>
      </c>
      <c r="F771" t="s">
        <v>3040</v>
      </c>
      <c r="G771" s="45" t="s">
        <v>3527</v>
      </c>
      <c r="H771" s="43">
        <v>1975</v>
      </c>
      <c r="I771" s="324" t="s">
        <v>43</v>
      </c>
      <c r="J771" s="255" t="str">
        <f>IF(ISBLANK(INDEX('Policy Characteristics'!D:D,MATCH($C771,'Policy Characteristics'!$C:$C,0))),"",INDEX('Policy Characteristics'!D:D,MATCH($C771,'Policy Characteristics'!$C:$C,0)))</f>
        <v>Electrification</v>
      </c>
      <c r="K771" s="254" t="str">
        <f>IF(ISBLANK(INDEX('Policy Characteristics'!E:E,MATCH($C771,'Policy Characteristics'!$C:$C,0))),"",INDEX('Policy Characteristics'!E:E,MATCH($C771,'Policy Characteristics'!$C:$C,0)))</f>
        <v>indst shift to electricity</v>
      </c>
      <c r="L771" s="261">
        <f>IF(ISBLANK(INDEX('Policy Characteristics'!F:F,MATCH($C771,'Policy Characteristics'!$C:$C,0))),"",INDEX('Policy Characteristics'!F:F,MATCH($C771,'Policy Characteristics'!$C:$C,0)))</f>
        <v>0</v>
      </c>
      <c r="M771" s="261">
        <f>IF(ISBLANK(INDEX('Policy Characteristics'!G:G,MATCH($C771,'Policy Characteristics'!$C:$C,0))),"",INDEX('Policy Characteristics'!G:G,MATCH($C771,'Policy Characteristics'!$C:$C,0)))</f>
        <v>1</v>
      </c>
      <c r="N771" s="261">
        <f>IF(ISBLANK(INDEX('Policy Characteristics'!H:H,MATCH($C771,'Policy Characteristics'!$C:$C,0))),"",INDEX('Policy Characteristics'!H:H,MATCH($C771,'Policy Characteristics'!$C:$C,0)))</f>
        <v>0.01</v>
      </c>
      <c r="O771" s="254" t="str">
        <f>IF(ISBLANK(INDEX('Policy Characteristics'!I:I,MATCH($C771,'Policy Characteristics'!$C:$C,0))),"",INDEX('Policy Characteristics'!I:I,MATCH($C771,'Policy Characteristics'!$C:$C,0)))</f>
        <v>% of fuel shifted</v>
      </c>
      <c r="P771" s="254"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4" t="str">
        <f>IF(ISBLANK(INDEX('Policy Characteristics'!K:K,MATCH($C771,'Policy Characteristics'!$C:$C,0))),"",INDEX('Policy Characteristics'!K:K,MATCH($C771,'Policy Characteristics'!$C:$C,0)))</f>
        <v>industry-ag-main.html#fuel-switching</v>
      </c>
      <c r="R771" s="254" t="str">
        <f>IF(ISBLANK(INDEX('Policy Characteristics'!L:L,MATCH($C771,'Policy Characteristics'!$C:$C,0))),"",INDEX('Policy Characteristics'!L:L,MATCH($C771,'Policy Characteristics'!$C:$C,0)))</f>
        <v>industry-elec-and-hydrogen.html</v>
      </c>
    </row>
    <row r="772" spans="1:18" x14ac:dyDescent="0.3">
      <c r="A772" s="254" t="str">
        <f>IF(ISBLANK(INDEX('Policy Characteristics'!A:A,MATCH($C772,'Policy Characteristics'!$C:$C,0))),"",INDEX('Policy Characteristics'!A:A,MATCH($C772,'Policy Characteristics'!$C:$C,0)))</f>
        <v>Industry</v>
      </c>
      <c r="B772" s="262" t="str">
        <f>IF(ISBLANK(INDEX('Policy Characteristics'!B:B,MATCH($C772,'Policy Characteristics'!$C:$C,0))),"",INDEX('Policy Characteristics'!B:B,MATCH($C772,'Policy Characteristics'!$C:$C,0)))</f>
        <v>Electrification</v>
      </c>
      <c r="C772" s="254" t="str">
        <f t="shared" si="38"/>
        <v>Fraction of Eligible Industrial Energy Use Shifted to Electricity</v>
      </c>
      <c r="D772" s="6" t="s">
        <v>3078</v>
      </c>
      <c r="E772" s="1" t="s">
        <v>3521</v>
      </c>
      <c r="F772" t="s">
        <v>3040</v>
      </c>
      <c r="G772" s="45" t="s">
        <v>3528</v>
      </c>
      <c r="H772" s="43">
        <v>1976</v>
      </c>
      <c r="I772" s="324" t="s">
        <v>43</v>
      </c>
      <c r="J772" s="255" t="str">
        <f>IF(ISBLANK(INDEX('Policy Characteristics'!D:D,MATCH($C772,'Policy Characteristics'!$C:$C,0))),"",INDEX('Policy Characteristics'!D:D,MATCH($C772,'Policy Characteristics'!$C:$C,0)))</f>
        <v>Electrification</v>
      </c>
      <c r="K772" s="254" t="str">
        <f>IF(ISBLANK(INDEX('Policy Characteristics'!E:E,MATCH($C772,'Policy Characteristics'!$C:$C,0))),"",INDEX('Policy Characteristics'!E:E,MATCH($C772,'Policy Characteristics'!$C:$C,0)))</f>
        <v>indst shift to electricity</v>
      </c>
      <c r="L772" s="261">
        <f>IF(ISBLANK(INDEX('Policy Characteristics'!F:F,MATCH($C772,'Policy Characteristics'!$C:$C,0))),"",INDEX('Policy Characteristics'!F:F,MATCH($C772,'Policy Characteristics'!$C:$C,0)))</f>
        <v>0</v>
      </c>
      <c r="M772" s="261">
        <f>IF(ISBLANK(INDEX('Policy Characteristics'!G:G,MATCH($C772,'Policy Characteristics'!$C:$C,0))),"",INDEX('Policy Characteristics'!G:G,MATCH($C772,'Policy Characteristics'!$C:$C,0)))</f>
        <v>1</v>
      </c>
      <c r="N772" s="261">
        <f>IF(ISBLANK(INDEX('Policy Characteristics'!H:H,MATCH($C772,'Policy Characteristics'!$C:$C,0))),"",INDEX('Policy Characteristics'!H:H,MATCH($C772,'Policy Characteristics'!$C:$C,0)))</f>
        <v>0.01</v>
      </c>
      <c r="O772" s="254" t="str">
        <f>IF(ISBLANK(INDEX('Policy Characteristics'!I:I,MATCH($C772,'Policy Characteristics'!$C:$C,0))),"",INDEX('Policy Characteristics'!I:I,MATCH($C772,'Policy Characteristics'!$C:$C,0)))</f>
        <v>% of fuel shifted</v>
      </c>
      <c r="P772" s="254"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4" t="str">
        <f>IF(ISBLANK(INDEX('Policy Characteristics'!K:K,MATCH($C772,'Policy Characteristics'!$C:$C,0))),"",INDEX('Policy Characteristics'!K:K,MATCH($C772,'Policy Characteristics'!$C:$C,0)))</f>
        <v>industry-ag-main.html#fuel-switching</v>
      </c>
      <c r="R772" s="254" t="str">
        <f>IF(ISBLANK(INDEX('Policy Characteristics'!L:L,MATCH($C772,'Policy Characteristics'!$C:$C,0))),"",INDEX('Policy Characteristics'!L:L,MATCH($C772,'Policy Characteristics'!$C:$C,0)))</f>
        <v>industry-elec-and-hydrogen.html</v>
      </c>
    </row>
    <row r="773" spans="1:18" x14ac:dyDescent="0.3">
      <c r="A773" s="254" t="str">
        <f>IF(ISBLANK(INDEX('Policy Characteristics'!A:A,MATCH($C773,'Policy Characteristics'!$C:$C,0))),"",INDEX('Policy Characteristics'!A:A,MATCH($C773,'Policy Characteristics'!$C:$C,0)))</f>
        <v>Industry</v>
      </c>
      <c r="B773" s="262" t="str">
        <f>IF(ISBLANK(INDEX('Policy Characteristics'!B:B,MATCH($C773,'Policy Characteristics'!$C:$C,0))),"",INDEX('Policy Characteristics'!B:B,MATCH($C773,'Policy Characteristics'!$C:$C,0)))</f>
        <v>Electrification</v>
      </c>
      <c r="C773" s="254" t="str">
        <f t="shared" si="38"/>
        <v>Fraction of Eligible Industrial Energy Use Shifted to Electricity</v>
      </c>
      <c r="D773" s="6" t="s">
        <v>3078</v>
      </c>
      <c r="E773" s="1" t="s">
        <v>3671</v>
      </c>
      <c r="F773" t="s">
        <v>3040</v>
      </c>
      <c r="G773" s="45" t="s">
        <v>3671</v>
      </c>
      <c r="H773" s="43">
        <v>1977</v>
      </c>
      <c r="I773" s="324" t="s">
        <v>43</v>
      </c>
      <c r="J773" s="255" t="str">
        <f>IF(ISBLANK(INDEX('Policy Characteristics'!D:D,MATCH($C773,'Policy Characteristics'!$C:$C,0))),"",INDEX('Policy Characteristics'!D:D,MATCH($C773,'Policy Characteristics'!$C:$C,0)))</f>
        <v>Electrification</v>
      </c>
      <c r="K773" s="254" t="str">
        <f>IF(ISBLANK(INDEX('Policy Characteristics'!E:E,MATCH($C773,'Policy Characteristics'!$C:$C,0))),"",INDEX('Policy Characteristics'!E:E,MATCH($C773,'Policy Characteristics'!$C:$C,0)))</f>
        <v>indst shift to electricity</v>
      </c>
      <c r="L773" s="261">
        <f>IF(ISBLANK(INDEX('Policy Characteristics'!F:F,MATCH($C773,'Policy Characteristics'!$C:$C,0))),"",INDEX('Policy Characteristics'!F:F,MATCH($C773,'Policy Characteristics'!$C:$C,0)))</f>
        <v>0</v>
      </c>
      <c r="M773" s="261">
        <f>IF(ISBLANK(INDEX('Policy Characteristics'!G:G,MATCH($C773,'Policy Characteristics'!$C:$C,0))),"",INDEX('Policy Characteristics'!G:G,MATCH($C773,'Policy Characteristics'!$C:$C,0)))</f>
        <v>1</v>
      </c>
      <c r="N773" s="261">
        <f>IF(ISBLANK(INDEX('Policy Characteristics'!H:H,MATCH($C773,'Policy Characteristics'!$C:$C,0))),"",INDEX('Policy Characteristics'!H:H,MATCH($C773,'Policy Characteristics'!$C:$C,0)))</f>
        <v>0.01</v>
      </c>
      <c r="O773" s="254" t="str">
        <f>IF(ISBLANK(INDEX('Policy Characteristics'!I:I,MATCH($C773,'Policy Characteristics'!$C:$C,0))),"",INDEX('Policy Characteristics'!I:I,MATCH($C773,'Policy Characteristics'!$C:$C,0)))</f>
        <v>% of fuel shifted</v>
      </c>
      <c r="P773" s="254"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4" t="str">
        <f>IF(ISBLANK(INDEX('Policy Characteristics'!K:K,MATCH($C773,'Policy Characteristics'!$C:$C,0))),"",INDEX('Policy Characteristics'!K:K,MATCH($C773,'Policy Characteristics'!$C:$C,0)))</f>
        <v>industry-ag-main.html#fuel-switching</v>
      </c>
      <c r="R773" s="254" t="str">
        <f>IF(ISBLANK(INDEX('Policy Characteristics'!L:L,MATCH($C773,'Policy Characteristics'!$C:$C,0))),"",INDEX('Policy Characteristics'!L:L,MATCH($C773,'Policy Characteristics'!$C:$C,0)))</f>
        <v>industry-elec-and-hydrogen.html</v>
      </c>
    </row>
    <row r="774" spans="1:18" x14ac:dyDescent="0.3">
      <c r="A774" s="254" t="str">
        <f>IF(ISBLANK(INDEX('Policy Characteristics'!A:A,MATCH($C774,'Policy Characteristics'!$C:$C,0))),"",INDEX('Policy Characteristics'!A:A,MATCH($C774,'Policy Characteristics'!$C:$C,0)))</f>
        <v>Industry</v>
      </c>
      <c r="B774" s="262" t="str">
        <f>IF(ISBLANK(INDEX('Policy Characteristics'!B:B,MATCH($C774,'Policy Characteristics'!$C:$C,0))),"",INDEX('Policy Characteristics'!B:B,MATCH($C774,'Policy Characteristics'!$C:$C,0)))</f>
        <v>Electrification</v>
      </c>
      <c r="C774" s="254" t="str">
        <f t="shared" si="38"/>
        <v>Fraction of Eligible Industrial Energy Use Shifted to Electricity</v>
      </c>
      <c r="D774" s="6" t="s">
        <v>3079</v>
      </c>
      <c r="E774" s="1" t="s">
        <v>3515</v>
      </c>
      <c r="F774" t="s">
        <v>3041</v>
      </c>
      <c r="G774" s="45" t="s">
        <v>3522</v>
      </c>
      <c r="H774" s="43">
        <v>1978</v>
      </c>
      <c r="I774" s="324" t="s">
        <v>43</v>
      </c>
      <c r="J774" s="255" t="str">
        <f>IF(ISBLANK(INDEX('Policy Characteristics'!D:D,MATCH($C774,'Policy Characteristics'!$C:$C,0))),"",INDEX('Policy Characteristics'!D:D,MATCH($C774,'Policy Characteristics'!$C:$C,0)))</f>
        <v>Electrification</v>
      </c>
      <c r="K774" s="254" t="str">
        <f>IF(ISBLANK(INDEX('Policy Characteristics'!E:E,MATCH($C774,'Policy Characteristics'!$C:$C,0))),"",INDEX('Policy Characteristics'!E:E,MATCH($C774,'Policy Characteristics'!$C:$C,0)))</f>
        <v>indst shift to electricity</v>
      </c>
      <c r="L774" s="261">
        <f>IF(ISBLANK(INDEX('Policy Characteristics'!F:F,MATCH($C774,'Policy Characteristics'!$C:$C,0))),"",INDEX('Policy Characteristics'!F:F,MATCH($C774,'Policy Characteristics'!$C:$C,0)))</f>
        <v>0</v>
      </c>
      <c r="M774" s="261">
        <f>IF(ISBLANK(INDEX('Policy Characteristics'!G:G,MATCH($C774,'Policy Characteristics'!$C:$C,0))),"",INDEX('Policy Characteristics'!G:G,MATCH($C774,'Policy Characteristics'!$C:$C,0)))</f>
        <v>1</v>
      </c>
      <c r="N774" s="261">
        <f>IF(ISBLANK(INDEX('Policy Characteristics'!H:H,MATCH($C774,'Policy Characteristics'!$C:$C,0))),"",INDEX('Policy Characteristics'!H:H,MATCH($C774,'Policy Characteristics'!$C:$C,0)))</f>
        <v>0.01</v>
      </c>
      <c r="O774" s="254" t="str">
        <f>IF(ISBLANK(INDEX('Policy Characteristics'!I:I,MATCH($C774,'Policy Characteristics'!$C:$C,0))),"",INDEX('Policy Characteristics'!I:I,MATCH($C774,'Policy Characteristics'!$C:$C,0)))</f>
        <v>% of fuel shifted</v>
      </c>
      <c r="P774" s="254"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4" t="str">
        <f>IF(ISBLANK(INDEX('Policy Characteristics'!K:K,MATCH($C774,'Policy Characteristics'!$C:$C,0))),"",INDEX('Policy Characteristics'!K:K,MATCH($C774,'Policy Characteristics'!$C:$C,0)))</f>
        <v>industry-ag-main.html#fuel-switching</v>
      </c>
      <c r="R774" s="254" t="str">
        <f>IF(ISBLANK(INDEX('Policy Characteristics'!L:L,MATCH($C774,'Policy Characteristics'!$C:$C,0))),"",INDEX('Policy Characteristics'!L:L,MATCH($C774,'Policy Characteristics'!$C:$C,0)))</f>
        <v>industry-elec-and-hydrogen.html</v>
      </c>
    </row>
    <row r="775" spans="1:18" x14ac:dyDescent="0.3">
      <c r="A775" s="254" t="str">
        <f>IF(ISBLANK(INDEX('Policy Characteristics'!A:A,MATCH($C775,'Policy Characteristics'!$C:$C,0))),"",INDEX('Policy Characteristics'!A:A,MATCH($C775,'Policy Characteristics'!$C:$C,0)))</f>
        <v>Industry</v>
      </c>
      <c r="B775" s="262" t="str">
        <f>IF(ISBLANK(INDEX('Policy Characteristics'!B:B,MATCH($C775,'Policy Characteristics'!$C:$C,0))),"",INDEX('Policy Characteristics'!B:B,MATCH($C775,'Policy Characteristics'!$C:$C,0)))</f>
        <v>Electrification</v>
      </c>
      <c r="C775" s="254" t="str">
        <f t="shared" si="38"/>
        <v>Fraction of Eligible Industrial Energy Use Shifted to Electricity</v>
      </c>
      <c r="D775" s="6" t="s">
        <v>3079</v>
      </c>
      <c r="E775" s="1" t="s">
        <v>3516</v>
      </c>
      <c r="F775" t="s">
        <v>3041</v>
      </c>
      <c r="G775" s="45" t="s">
        <v>3523</v>
      </c>
      <c r="H775" s="43">
        <v>1979</v>
      </c>
      <c r="I775" s="324" t="s">
        <v>43</v>
      </c>
      <c r="J775" s="255" t="str">
        <f>IF(ISBLANK(INDEX('Policy Characteristics'!D:D,MATCH($C775,'Policy Characteristics'!$C:$C,0))),"",INDEX('Policy Characteristics'!D:D,MATCH($C775,'Policy Characteristics'!$C:$C,0)))</f>
        <v>Electrification</v>
      </c>
      <c r="K775" s="254" t="str">
        <f>IF(ISBLANK(INDEX('Policy Characteristics'!E:E,MATCH($C775,'Policy Characteristics'!$C:$C,0))),"",INDEX('Policy Characteristics'!E:E,MATCH($C775,'Policy Characteristics'!$C:$C,0)))</f>
        <v>indst shift to electricity</v>
      </c>
      <c r="L775" s="261">
        <f>IF(ISBLANK(INDEX('Policy Characteristics'!F:F,MATCH($C775,'Policy Characteristics'!$C:$C,0))),"",INDEX('Policy Characteristics'!F:F,MATCH($C775,'Policy Characteristics'!$C:$C,0)))</f>
        <v>0</v>
      </c>
      <c r="M775" s="261">
        <f>IF(ISBLANK(INDEX('Policy Characteristics'!G:G,MATCH($C775,'Policy Characteristics'!$C:$C,0))),"",INDEX('Policy Characteristics'!G:G,MATCH($C775,'Policy Characteristics'!$C:$C,0)))</f>
        <v>1</v>
      </c>
      <c r="N775" s="261">
        <f>IF(ISBLANK(INDEX('Policy Characteristics'!H:H,MATCH($C775,'Policy Characteristics'!$C:$C,0))),"",INDEX('Policy Characteristics'!H:H,MATCH($C775,'Policy Characteristics'!$C:$C,0)))</f>
        <v>0.01</v>
      </c>
      <c r="O775" s="254" t="str">
        <f>IF(ISBLANK(INDEX('Policy Characteristics'!I:I,MATCH($C775,'Policy Characteristics'!$C:$C,0))),"",INDEX('Policy Characteristics'!I:I,MATCH($C775,'Policy Characteristics'!$C:$C,0)))</f>
        <v>% of fuel shifted</v>
      </c>
      <c r="P775" s="254"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4" t="str">
        <f>IF(ISBLANK(INDEX('Policy Characteristics'!K:K,MATCH($C775,'Policy Characteristics'!$C:$C,0))),"",INDEX('Policy Characteristics'!K:K,MATCH($C775,'Policy Characteristics'!$C:$C,0)))</f>
        <v>industry-ag-main.html#fuel-switching</v>
      </c>
      <c r="R775" s="254" t="str">
        <f>IF(ISBLANK(INDEX('Policy Characteristics'!L:L,MATCH($C775,'Policy Characteristics'!$C:$C,0))),"",INDEX('Policy Characteristics'!L:L,MATCH($C775,'Policy Characteristics'!$C:$C,0)))</f>
        <v>industry-elec-and-hydrogen.html</v>
      </c>
    </row>
    <row r="776" spans="1:18" x14ac:dyDescent="0.3">
      <c r="A776" s="254" t="str">
        <f>IF(ISBLANK(INDEX('Policy Characteristics'!A:A,MATCH($C776,'Policy Characteristics'!$C:$C,0))),"",INDEX('Policy Characteristics'!A:A,MATCH($C776,'Policy Characteristics'!$C:$C,0)))</f>
        <v>Industry</v>
      </c>
      <c r="B776" s="262" t="str">
        <f>IF(ISBLANK(INDEX('Policy Characteristics'!B:B,MATCH($C776,'Policy Characteristics'!$C:$C,0))),"",INDEX('Policy Characteristics'!B:B,MATCH($C776,'Policy Characteristics'!$C:$C,0)))</f>
        <v>Electrification</v>
      </c>
      <c r="C776" s="254" t="str">
        <f t="shared" si="38"/>
        <v>Fraction of Eligible Industrial Energy Use Shifted to Electricity</v>
      </c>
      <c r="D776" s="6" t="s">
        <v>3079</v>
      </c>
      <c r="E776" s="1" t="s">
        <v>3517</v>
      </c>
      <c r="F776" t="s">
        <v>3041</v>
      </c>
      <c r="G776" s="45" t="s">
        <v>3524</v>
      </c>
      <c r="H776" s="43">
        <v>1980</v>
      </c>
      <c r="I776" s="324" t="s">
        <v>43</v>
      </c>
      <c r="J776" s="255" t="str">
        <f>IF(ISBLANK(INDEX('Policy Characteristics'!D:D,MATCH($C776,'Policy Characteristics'!$C:$C,0))),"",INDEX('Policy Characteristics'!D:D,MATCH($C776,'Policy Characteristics'!$C:$C,0)))</f>
        <v>Electrification</v>
      </c>
      <c r="K776" s="254" t="str">
        <f>IF(ISBLANK(INDEX('Policy Characteristics'!E:E,MATCH($C776,'Policy Characteristics'!$C:$C,0))),"",INDEX('Policy Characteristics'!E:E,MATCH($C776,'Policy Characteristics'!$C:$C,0)))</f>
        <v>indst shift to electricity</v>
      </c>
      <c r="L776" s="261">
        <f>IF(ISBLANK(INDEX('Policy Characteristics'!F:F,MATCH($C776,'Policy Characteristics'!$C:$C,0))),"",INDEX('Policy Characteristics'!F:F,MATCH($C776,'Policy Characteristics'!$C:$C,0)))</f>
        <v>0</v>
      </c>
      <c r="M776" s="261">
        <f>IF(ISBLANK(INDEX('Policy Characteristics'!G:G,MATCH($C776,'Policy Characteristics'!$C:$C,0))),"",INDEX('Policy Characteristics'!G:G,MATCH($C776,'Policy Characteristics'!$C:$C,0)))</f>
        <v>1</v>
      </c>
      <c r="N776" s="261">
        <f>IF(ISBLANK(INDEX('Policy Characteristics'!H:H,MATCH($C776,'Policy Characteristics'!$C:$C,0))),"",INDEX('Policy Characteristics'!H:H,MATCH($C776,'Policy Characteristics'!$C:$C,0)))</f>
        <v>0.01</v>
      </c>
      <c r="O776" s="254" t="str">
        <f>IF(ISBLANK(INDEX('Policy Characteristics'!I:I,MATCH($C776,'Policy Characteristics'!$C:$C,0))),"",INDEX('Policy Characteristics'!I:I,MATCH($C776,'Policy Characteristics'!$C:$C,0)))</f>
        <v>% of fuel shifted</v>
      </c>
      <c r="P776" s="254"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4" t="str">
        <f>IF(ISBLANK(INDEX('Policy Characteristics'!K:K,MATCH($C776,'Policy Characteristics'!$C:$C,0))),"",INDEX('Policy Characteristics'!K:K,MATCH($C776,'Policy Characteristics'!$C:$C,0)))</f>
        <v>industry-ag-main.html#fuel-switching</v>
      </c>
      <c r="R776" s="254" t="str">
        <f>IF(ISBLANK(INDEX('Policy Characteristics'!L:L,MATCH($C776,'Policy Characteristics'!$C:$C,0))),"",INDEX('Policy Characteristics'!L:L,MATCH($C776,'Policy Characteristics'!$C:$C,0)))</f>
        <v>industry-elec-and-hydrogen.html</v>
      </c>
    </row>
    <row r="777" spans="1:18" x14ac:dyDescent="0.3">
      <c r="A777" s="254" t="str">
        <f>IF(ISBLANK(INDEX('Policy Characteristics'!A:A,MATCH($C777,'Policy Characteristics'!$C:$C,0))),"",INDEX('Policy Characteristics'!A:A,MATCH($C777,'Policy Characteristics'!$C:$C,0)))</f>
        <v>Industry</v>
      </c>
      <c r="B777" s="262" t="str">
        <f>IF(ISBLANK(INDEX('Policy Characteristics'!B:B,MATCH($C777,'Policy Characteristics'!$C:$C,0))),"",INDEX('Policy Characteristics'!B:B,MATCH($C777,'Policy Characteristics'!$C:$C,0)))</f>
        <v>Electrification</v>
      </c>
      <c r="C777" s="254" t="str">
        <f t="shared" si="38"/>
        <v>Fraction of Eligible Industrial Energy Use Shifted to Electricity</v>
      </c>
      <c r="D777" s="6" t="s">
        <v>3079</v>
      </c>
      <c r="E777" s="1" t="s">
        <v>3518</v>
      </c>
      <c r="F777" t="s">
        <v>3041</v>
      </c>
      <c r="G777" s="45" t="s">
        <v>3525</v>
      </c>
      <c r="H777" s="43">
        <v>1981</v>
      </c>
      <c r="I777" s="324" t="s">
        <v>43</v>
      </c>
      <c r="J777" s="255" t="str">
        <f>IF(ISBLANK(INDEX('Policy Characteristics'!D:D,MATCH($C777,'Policy Characteristics'!$C:$C,0))),"",INDEX('Policy Characteristics'!D:D,MATCH($C777,'Policy Characteristics'!$C:$C,0)))</f>
        <v>Electrification</v>
      </c>
      <c r="K777" s="254" t="str">
        <f>IF(ISBLANK(INDEX('Policy Characteristics'!E:E,MATCH($C777,'Policy Characteristics'!$C:$C,0))),"",INDEX('Policy Characteristics'!E:E,MATCH($C777,'Policy Characteristics'!$C:$C,0)))</f>
        <v>indst shift to electricity</v>
      </c>
      <c r="L777" s="261">
        <f>IF(ISBLANK(INDEX('Policy Characteristics'!F:F,MATCH($C777,'Policy Characteristics'!$C:$C,0))),"",INDEX('Policy Characteristics'!F:F,MATCH($C777,'Policy Characteristics'!$C:$C,0)))</f>
        <v>0</v>
      </c>
      <c r="M777" s="261">
        <f>IF(ISBLANK(INDEX('Policy Characteristics'!G:G,MATCH($C777,'Policy Characteristics'!$C:$C,0))),"",INDEX('Policy Characteristics'!G:G,MATCH($C777,'Policy Characteristics'!$C:$C,0)))</f>
        <v>1</v>
      </c>
      <c r="N777" s="261">
        <f>IF(ISBLANK(INDEX('Policy Characteristics'!H:H,MATCH($C777,'Policy Characteristics'!$C:$C,0))),"",INDEX('Policy Characteristics'!H:H,MATCH($C777,'Policy Characteristics'!$C:$C,0)))</f>
        <v>0.01</v>
      </c>
      <c r="O777" s="254" t="str">
        <f>IF(ISBLANK(INDEX('Policy Characteristics'!I:I,MATCH($C777,'Policy Characteristics'!$C:$C,0))),"",INDEX('Policy Characteristics'!I:I,MATCH($C777,'Policy Characteristics'!$C:$C,0)))</f>
        <v>% of fuel shifted</v>
      </c>
      <c r="P777" s="254"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4" t="str">
        <f>IF(ISBLANK(INDEX('Policy Characteristics'!K:K,MATCH($C777,'Policy Characteristics'!$C:$C,0))),"",INDEX('Policy Characteristics'!K:K,MATCH($C777,'Policy Characteristics'!$C:$C,0)))</f>
        <v>industry-ag-main.html#fuel-switching</v>
      </c>
      <c r="R777" s="254" t="str">
        <f>IF(ISBLANK(INDEX('Policy Characteristics'!L:L,MATCH($C777,'Policy Characteristics'!$C:$C,0))),"",INDEX('Policy Characteristics'!L:L,MATCH($C777,'Policy Characteristics'!$C:$C,0)))</f>
        <v>industry-elec-and-hydrogen.html</v>
      </c>
    </row>
    <row r="778" spans="1:18" x14ac:dyDescent="0.3">
      <c r="A778" s="254" t="str">
        <f>IF(ISBLANK(INDEX('Policy Characteristics'!A:A,MATCH($C778,'Policy Characteristics'!$C:$C,0))),"",INDEX('Policy Characteristics'!A:A,MATCH($C778,'Policy Characteristics'!$C:$C,0)))</f>
        <v>Industry</v>
      </c>
      <c r="B778" s="262" t="str">
        <f>IF(ISBLANK(INDEX('Policy Characteristics'!B:B,MATCH($C778,'Policy Characteristics'!$C:$C,0))),"",INDEX('Policy Characteristics'!B:B,MATCH($C778,'Policy Characteristics'!$C:$C,0)))</f>
        <v>Electrification</v>
      </c>
      <c r="C778" s="254" t="str">
        <f t="shared" si="38"/>
        <v>Fraction of Eligible Industrial Energy Use Shifted to Electricity</v>
      </c>
      <c r="D778" s="6" t="s">
        <v>3079</v>
      </c>
      <c r="E778" s="1" t="s">
        <v>3519</v>
      </c>
      <c r="F778" t="s">
        <v>3041</v>
      </c>
      <c r="G778" s="45" t="s">
        <v>3526</v>
      </c>
      <c r="H778" s="43">
        <v>1982</v>
      </c>
      <c r="I778" s="324" t="s">
        <v>43</v>
      </c>
      <c r="J778" s="255" t="str">
        <f>IF(ISBLANK(INDEX('Policy Characteristics'!D:D,MATCH($C778,'Policy Characteristics'!$C:$C,0))),"",INDEX('Policy Characteristics'!D:D,MATCH($C778,'Policy Characteristics'!$C:$C,0)))</f>
        <v>Electrification</v>
      </c>
      <c r="K778" s="254" t="str">
        <f>IF(ISBLANK(INDEX('Policy Characteristics'!E:E,MATCH($C778,'Policy Characteristics'!$C:$C,0))),"",INDEX('Policy Characteristics'!E:E,MATCH($C778,'Policy Characteristics'!$C:$C,0)))</f>
        <v>indst shift to electricity</v>
      </c>
      <c r="L778" s="261">
        <f>IF(ISBLANK(INDEX('Policy Characteristics'!F:F,MATCH($C778,'Policy Characteristics'!$C:$C,0))),"",INDEX('Policy Characteristics'!F:F,MATCH($C778,'Policy Characteristics'!$C:$C,0)))</f>
        <v>0</v>
      </c>
      <c r="M778" s="261">
        <f>IF(ISBLANK(INDEX('Policy Characteristics'!G:G,MATCH($C778,'Policy Characteristics'!$C:$C,0))),"",INDEX('Policy Characteristics'!G:G,MATCH($C778,'Policy Characteristics'!$C:$C,0)))</f>
        <v>1</v>
      </c>
      <c r="N778" s="261">
        <f>IF(ISBLANK(INDEX('Policy Characteristics'!H:H,MATCH($C778,'Policy Characteristics'!$C:$C,0))),"",INDEX('Policy Characteristics'!H:H,MATCH($C778,'Policy Characteristics'!$C:$C,0)))</f>
        <v>0.01</v>
      </c>
      <c r="O778" s="254" t="str">
        <f>IF(ISBLANK(INDEX('Policy Characteristics'!I:I,MATCH($C778,'Policy Characteristics'!$C:$C,0))),"",INDEX('Policy Characteristics'!I:I,MATCH($C778,'Policy Characteristics'!$C:$C,0)))</f>
        <v>% of fuel shifted</v>
      </c>
      <c r="P778" s="254"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4" t="str">
        <f>IF(ISBLANK(INDEX('Policy Characteristics'!K:K,MATCH($C778,'Policy Characteristics'!$C:$C,0))),"",INDEX('Policy Characteristics'!K:K,MATCH($C778,'Policy Characteristics'!$C:$C,0)))</f>
        <v>industry-ag-main.html#fuel-switching</v>
      </c>
      <c r="R778" s="254" t="str">
        <f>IF(ISBLANK(INDEX('Policy Characteristics'!L:L,MATCH($C778,'Policy Characteristics'!$C:$C,0))),"",INDEX('Policy Characteristics'!L:L,MATCH($C778,'Policy Characteristics'!$C:$C,0)))</f>
        <v>industry-elec-and-hydrogen.html</v>
      </c>
    </row>
    <row r="779" spans="1:18" x14ac:dyDescent="0.3">
      <c r="A779" s="254" t="str">
        <f>IF(ISBLANK(INDEX('Policy Characteristics'!A:A,MATCH($C779,'Policy Characteristics'!$C:$C,0))),"",INDEX('Policy Characteristics'!A:A,MATCH($C779,'Policy Characteristics'!$C:$C,0)))</f>
        <v>Industry</v>
      </c>
      <c r="B779" s="262" t="str">
        <f>IF(ISBLANK(INDEX('Policy Characteristics'!B:B,MATCH($C779,'Policy Characteristics'!$C:$C,0))),"",INDEX('Policy Characteristics'!B:B,MATCH($C779,'Policy Characteristics'!$C:$C,0)))</f>
        <v>Electrification</v>
      </c>
      <c r="C779" s="254" t="str">
        <f t="shared" si="38"/>
        <v>Fraction of Eligible Industrial Energy Use Shifted to Electricity</v>
      </c>
      <c r="D779" s="6" t="s">
        <v>3079</v>
      </c>
      <c r="E779" s="1" t="s">
        <v>3520</v>
      </c>
      <c r="F779" t="s">
        <v>3041</v>
      </c>
      <c r="G779" s="45" t="s">
        <v>3527</v>
      </c>
      <c r="H779" s="43">
        <v>1983</v>
      </c>
      <c r="I779" s="324" t="s">
        <v>43</v>
      </c>
      <c r="J779" s="255" t="str">
        <f>IF(ISBLANK(INDEX('Policy Characteristics'!D:D,MATCH($C779,'Policy Characteristics'!$C:$C,0))),"",INDEX('Policy Characteristics'!D:D,MATCH($C779,'Policy Characteristics'!$C:$C,0)))</f>
        <v>Electrification</v>
      </c>
      <c r="K779" s="254" t="str">
        <f>IF(ISBLANK(INDEX('Policy Characteristics'!E:E,MATCH($C779,'Policy Characteristics'!$C:$C,0))),"",INDEX('Policy Characteristics'!E:E,MATCH($C779,'Policy Characteristics'!$C:$C,0)))</f>
        <v>indst shift to electricity</v>
      </c>
      <c r="L779" s="261">
        <f>IF(ISBLANK(INDEX('Policy Characteristics'!F:F,MATCH($C779,'Policy Characteristics'!$C:$C,0))),"",INDEX('Policy Characteristics'!F:F,MATCH($C779,'Policy Characteristics'!$C:$C,0)))</f>
        <v>0</v>
      </c>
      <c r="M779" s="261">
        <f>IF(ISBLANK(INDEX('Policy Characteristics'!G:G,MATCH($C779,'Policy Characteristics'!$C:$C,0))),"",INDEX('Policy Characteristics'!G:G,MATCH($C779,'Policy Characteristics'!$C:$C,0)))</f>
        <v>1</v>
      </c>
      <c r="N779" s="261">
        <f>IF(ISBLANK(INDEX('Policy Characteristics'!H:H,MATCH($C779,'Policy Characteristics'!$C:$C,0))),"",INDEX('Policy Characteristics'!H:H,MATCH($C779,'Policy Characteristics'!$C:$C,0)))</f>
        <v>0.01</v>
      </c>
      <c r="O779" s="254" t="str">
        <f>IF(ISBLANK(INDEX('Policy Characteristics'!I:I,MATCH($C779,'Policy Characteristics'!$C:$C,0))),"",INDEX('Policy Characteristics'!I:I,MATCH($C779,'Policy Characteristics'!$C:$C,0)))</f>
        <v>% of fuel shifted</v>
      </c>
      <c r="P779" s="254"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4" t="str">
        <f>IF(ISBLANK(INDEX('Policy Characteristics'!K:K,MATCH($C779,'Policy Characteristics'!$C:$C,0))),"",INDEX('Policy Characteristics'!K:K,MATCH($C779,'Policy Characteristics'!$C:$C,0)))</f>
        <v>industry-ag-main.html#fuel-switching</v>
      </c>
      <c r="R779" s="254" t="str">
        <f>IF(ISBLANK(INDEX('Policy Characteristics'!L:L,MATCH($C779,'Policy Characteristics'!$C:$C,0))),"",INDEX('Policy Characteristics'!L:L,MATCH($C779,'Policy Characteristics'!$C:$C,0)))</f>
        <v>industry-elec-and-hydrogen.html</v>
      </c>
    </row>
    <row r="780" spans="1:18" x14ac:dyDescent="0.3">
      <c r="A780" s="254" t="str">
        <f>IF(ISBLANK(INDEX('Policy Characteristics'!A:A,MATCH($C780,'Policy Characteristics'!$C:$C,0))),"",INDEX('Policy Characteristics'!A:A,MATCH($C780,'Policy Characteristics'!$C:$C,0)))</f>
        <v>Industry</v>
      </c>
      <c r="B780" s="262" t="str">
        <f>IF(ISBLANK(INDEX('Policy Characteristics'!B:B,MATCH($C780,'Policy Characteristics'!$C:$C,0))),"",INDEX('Policy Characteristics'!B:B,MATCH($C780,'Policy Characteristics'!$C:$C,0)))</f>
        <v>Electrification</v>
      </c>
      <c r="C780" s="254" t="str">
        <f t="shared" si="38"/>
        <v>Fraction of Eligible Industrial Energy Use Shifted to Electricity</v>
      </c>
      <c r="D780" s="6" t="s">
        <v>3079</v>
      </c>
      <c r="E780" s="1" t="s">
        <v>3521</v>
      </c>
      <c r="F780" t="s">
        <v>3041</v>
      </c>
      <c r="G780" s="45" t="s">
        <v>3528</v>
      </c>
      <c r="H780" s="43">
        <v>1984</v>
      </c>
      <c r="I780" s="324" t="s">
        <v>43</v>
      </c>
      <c r="J780" s="255" t="str">
        <f>IF(ISBLANK(INDEX('Policy Characteristics'!D:D,MATCH($C780,'Policy Characteristics'!$C:$C,0))),"",INDEX('Policy Characteristics'!D:D,MATCH($C780,'Policy Characteristics'!$C:$C,0)))</f>
        <v>Electrification</v>
      </c>
      <c r="K780" s="254" t="str">
        <f>IF(ISBLANK(INDEX('Policy Characteristics'!E:E,MATCH($C780,'Policy Characteristics'!$C:$C,0))),"",INDEX('Policy Characteristics'!E:E,MATCH($C780,'Policy Characteristics'!$C:$C,0)))</f>
        <v>indst shift to electricity</v>
      </c>
      <c r="L780" s="261">
        <f>IF(ISBLANK(INDEX('Policy Characteristics'!F:F,MATCH($C780,'Policy Characteristics'!$C:$C,0))),"",INDEX('Policy Characteristics'!F:F,MATCH($C780,'Policy Characteristics'!$C:$C,0)))</f>
        <v>0</v>
      </c>
      <c r="M780" s="261">
        <f>IF(ISBLANK(INDEX('Policy Characteristics'!G:G,MATCH($C780,'Policy Characteristics'!$C:$C,0))),"",INDEX('Policy Characteristics'!G:G,MATCH($C780,'Policy Characteristics'!$C:$C,0)))</f>
        <v>1</v>
      </c>
      <c r="N780" s="261">
        <f>IF(ISBLANK(INDEX('Policy Characteristics'!H:H,MATCH($C780,'Policy Characteristics'!$C:$C,0))),"",INDEX('Policy Characteristics'!H:H,MATCH($C780,'Policy Characteristics'!$C:$C,0)))</f>
        <v>0.01</v>
      </c>
      <c r="O780" s="254" t="str">
        <f>IF(ISBLANK(INDEX('Policy Characteristics'!I:I,MATCH($C780,'Policy Characteristics'!$C:$C,0))),"",INDEX('Policy Characteristics'!I:I,MATCH($C780,'Policy Characteristics'!$C:$C,0)))</f>
        <v>% of fuel shifted</v>
      </c>
      <c r="P780" s="254"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4" t="str">
        <f>IF(ISBLANK(INDEX('Policy Characteristics'!K:K,MATCH($C780,'Policy Characteristics'!$C:$C,0))),"",INDEX('Policy Characteristics'!K:K,MATCH($C780,'Policy Characteristics'!$C:$C,0)))</f>
        <v>industry-ag-main.html#fuel-switching</v>
      </c>
      <c r="R780" s="254" t="str">
        <f>IF(ISBLANK(INDEX('Policy Characteristics'!L:L,MATCH($C780,'Policy Characteristics'!$C:$C,0))),"",INDEX('Policy Characteristics'!L:L,MATCH($C780,'Policy Characteristics'!$C:$C,0)))</f>
        <v>industry-elec-and-hydrogen.html</v>
      </c>
    </row>
    <row r="781" spans="1:18" x14ac:dyDescent="0.3">
      <c r="A781" s="254" t="str">
        <f>IF(ISBLANK(INDEX('Policy Characteristics'!A:A,MATCH($C781,'Policy Characteristics'!$C:$C,0))),"",INDEX('Policy Characteristics'!A:A,MATCH($C781,'Policy Characteristics'!$C:$C,0)))</f>
        <v>Industry</v>
      </c>
      <c r="B781" s="262" t="str">
        <f>IF(ISBLANK(INDEX('Policy Characteristics'!B:B,MATCH($C781,'Policy Characteristics'!$C:$C,0))),"",INDEX('Policy Characteristics'!B:B,MATCH($C781,'Policy Characteristics'!$C:$C,0)))</f>
        <v>Electrification</v>
      </c>
      <c r="C781" s="254" t="str">
        <f t="shared" si="38"/>
        <v>Fraction of Eligible Industrial Energy Use Shifted to Electricity</v>
      </c>
      <c r="D781" s="6" t="s">
        <v>3079</v>
      </c>
      <c r="E781" s="1" t="s">
        <v>3671</v>
      </c>
      <c r="F781" t="s">
        <v>3041</v>
      </c>
      <c r="G781" s="45" t="s">
        <v>3671</v>
      </c>
      <c r="H781" s="43">
        <v>1985</v>
      </c>
      <c r="I781" s="324" t="s">
        <v>43</v>
      </c>
      <c r="J781" s="255" t="str">
        <f>IF(ISBLANK(INDEX('Policy Characteristics'!D:D,MATCH($C781,'Policy Characteristics'!$C:$C,0))),"",INDEX('Policy Characteristics'!D:D,MATCH($C781,'Policy Characteristics'!$C:$C,0)))</f>
        <v>Electrification</v>
      </c>
      <c r="K781" s="254" t="str">
        <f>IF(ISBLANK(INDEX('Policy Characteristics'!E:E,MATCH($C781,'Policy Characteristics'!$C:$C,0))),"",INDEX('Policy Characteristics'!E:E,MATCH($C781,'Policy Characteristics'!$C:$C,0)))</f>
        <v>indst shift to electricity</v>
      </c>
      <c r="L781" s="261">
        <f>IF(ISBLANK(INDEX('Policy Characteristics'!F:F,MATCH($C781,'Policy Characteristics'!$C:$C,0))),"",INDEX('Policy Characteristics'!F:F,MATCH($C781,'Policy Characteristics'!$C:$C,0)))</f>
        <v>0</v>
      </c>
      <c r="M781" s="261">
        <f>IF(ISBLANK(INDEX('Policy Characteristics'!G:G,MATCH($C781,'Policy Characteristics'!$C:$C,0))),"",INDEX('Policy Characteristics'!G:G,MATCH($C781,'Policy Characteristics'!$C:$C,0)))</f>
        <v>1</v>
      </c>
      <c r="N781" s="261">
        <f>IF(ISBLANK(INDEX('Policy Characteristics'!H:H,MATCH($C781,'Policy Characteristics'!$C:$C,0))),"",INDEX('Policy Characteristics'!H:H,MATCH($C781,'Policy Characteristics'!$C:$C,0)))</f>
        <v>0.01</v>
      </c>
      <c r="O781" s="254" t="str">
        <f>IF(ISBLANK(INDEX('Policy Characteristics'!I:I,MATCH($C781,'Policy Characteristics'!$C:$C,0))),"",INDEX('Policy Characteristics'!I:I,MATCH($C781,'Policy Characteristics'!$C:$C,0)))</f>
        <v>% of fuel shifted</v>
      </c>
      <c r="P781" s="254"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4" t="str">
        <f>IF(ISBLANK(INDEX('Policy Characteristics'!K:K,MATCH($C781,'Policy Characteristics'!$C:$C,0))),"",INDEX('Policy Characteristics'!K:K,MATCH($C781,'Policy Characteristics'!$C:$C,0)))</f>
        <v>industry-ag-main.html#fuel-switching</v>
      </c>
      <c r="R781" s="254" t="str">
        <f>IF(ISBLANK(INDEX('Policy Characteristics'!L:L,MATCH($C781,'Policy Characteristics'!$C:$C,0))),"",INDEX('Policy Characteristics'!L:L,MATCH($C781,'Policy Characteristics'!$C:$C,0)))</f>
        <v>industry-elec-and-hydrogen.html</v>
      </c>
    </row>
    <row r="782" spans="1:18" x14ac:dyDescent="0.3">
      <c r="A782" s="254" t="str">
        <f>IF(ISBLANK(INDEX('Policy Characteristics'!A:A,MATCH($C782,'Policy Characteristics'!$C:$C,0))),"",INDEX('Policy Characteristics'!A:A,MATCH($C782,'Policy Characteristics'!$C:$C,0)))</f>
        <v>Industry</v>
      </c>
      <c r="B782" s="262" t="str">
        <f>IF(ISBLANK(INDEX('Policy Characteristics'!B:B,MATCH($C782,'Policy Characteristics'!$C:$C,0))),"",INDEX('Policy Characteristics'!B:B,MATCH($C782,'Policy Characteristics'!$C:$C,0)))</f>
        <v>Electrification</v>
      </c>
      <c r="C782" s="254" t="str">
        <f t="shared" si="38"/>
        <v>Fraction of Eligible Industrial Energy Use Shifted to Electricity</v>
      </c>
      <c r="D782" s="6" t="s">
        <v>3080</v>
      </c>
      <c r="E782" s="1" t="s">
        <v>3515</v>
      </c>
      <c r="F782" t="s">
        <v>3042</v>
      </c>
      <c r="G782" s="45" t="s">
        <v>3522</v>
      </c>
      <c r="H782" s="43">
        <v>1986</v>
      </c>
      <c r="I782" s="324" t="s">
        <v>43</v>
      </c>
      <c r="J782" s="255" t="str">
        <f>IF(ISBLANK(INDEX('Policy Characteristics'!D:D,MATCH($C782,'Policy Characteristics'!$C:$C,0))),"",INDEX('Policy Characteristics'!D:D,MATCH($C782,'Policy Characteristics'!$C:$C,0)))</f>
        <v>Electrification</v>
      </c>
      <c r="K782" s="254" t="str">
        <f>IF(ISBLANK(INDEX('Policy Characteristics'!E:E,MATCH($C782,'Policy Characteristics'!$C:$C,0))),"",INDEX('Policy Characteristics'!E:E,MATCH($C782,'Policy Characteristics'!$C:$C,0)))</f>
        <v>indst shift to electricity</v>
      </c>
      <c r="L782" s="261">
        <f>IF(ISBLANK(INDEX('Policy Characteristics'!F:F,MATCH($C782,'Policy Characteristics'!$C:$C,0))),"",INDEX('Policy Characteristics'!F:F,MATCH($C782,'Policy Characteristics'!$C:$C,0)))</f>
        <v>0</v>
      </c>
      <c r="M782" s="261">
        <f>IF(ISBLANK(INDEX('Policy Characteristics'!G:G,MATCH($C782,'Policy Characteristics'!$C:$C,0))),"",INDEX('Policy Characteristics'!G:G,MATCH($C782,'Policy Characteristics'!$C:$C,0)))</f>
        <v>1</v>
      </c>
      <c r="N782" s="261">
        <f>IF(ISBLANK(INDEX('Policy Characteristics'!H:H,MATCH($C782,'Policy Characteristics'!$C:$C,0))),"",INDEX('Policy Characteristics'!H:H,MATCH($C782,'Policy Characteristics'!$C:$C,0)))</f>
        <v>0.01</v>
      </c>
      <c r="O782" s="254" t="str">
        <f>IF(ISBLANK(INDEX('Policy Characteristics'!I:I,MATCH($C782,'Policy Characteristics'!$C:$C,0))),"",INDEX('Policy Characteristics'!I:I,MATCH($C782,'Policy Characteristics'!$C:$C,0)))</f>
        <v>% of fuel shifted</v>
      </c>
      <c r="P782" s="254"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4" t="str">
        <f>IF(ISBLANK(INDEX('Policy Characteristics'!K:K,MATCH($C782,'Policy Characteristics'!$C:$C,0))),"",INDEX('Policy Characteristics'!K:K,MATCH($C782,'Policy Characteristics'!$C:$C,0)))</f>
        <v>industry-ag-main.html#fuel-switching</v>
      </c>
      <c r="R782" s="254" t="str">
        <f>IF(ISBLANK(INDEX('Policy Characteristics'!L:L,MATCH($C782,'Policy Characteristics'!$C:$C,0))),"",INDEX('Policy Characteristics'!L:L,MATCH($C782,'Policy Characteristics'!$C:$C,0)))</f>
        <v>industry-elec-and-hydrogen.html</v>
      </c>
    </row>
    <row r="783" spans="1:18" x14ac:dyDescent="0.3">
      <c r="A783" s="254" t="str">
        <f>IF(ISBLANK(INDEX('Policy Characteristics'!A:A,MATCH($C783,'Policy Characteristics'!$C:$C,0))),"",INDEX('Policy Characteristics'!A:A,MATCH($C783,'Policy Characteristics'!$C:$C,0)))</f>
        <v>Industry</v>
      </c>
      <c r="B783" s="262" t="str">
        <f>IF(ISBLANK(INDEX('Policy Characteristics'!B:B,MATCH($C783,'Policy Characteristics'!$C:$C,0))),"",INDEX('Policy Characteristics'!B:B,MATCH($C783,'Policy Characteristics'!$C:$C,0)))</f>
        <v>Electrification</v>
      </c>
      <c r="C783" s="254" t="str">
        <f t="shared" si="38"/>
        <v>Fraction of Eligible Industrial Energy Use Shifted to Electricity</v>
      </c>
      <c r="D783" s="6" t="s">
        <v>3080</v>
      </c>
      <c r="E783" s="1" t="s">
        <v>3516</v>
      </c>
      <c r="F783" t="s">
        <v>3042</v>
      </c>
      <c r="G783" s="45" t="s">
        <v>3523</v>
      </c>
      <c r="H783" s="43">
        <v>1987</v>
      </c>
      <c r="I783" s="324" t="s">
        <v>43</v>
      </c>
      <c r="J783" s="255" t="str">
        <f>IF(ISBLANK(INDEX('Policy Characteristics'!D:D,MATCH($C783,'Policy Characteristics'!$C:$C,0))),"",INDEX('Policy Characteristics'!D:D,MATCH($C783,'Policy Characteristics'!$C:$C,0)))</f>
        <v>Electrification</v>
      </c>
      <c r="K783" s="254" t="str">
        <f>IF(ISBLANK(INDEX('Policy Characteristics'!E:E,MATCH($C783,'Policy Characteristics'!$C:$C,0))),"",INDEX('Policy Characteristics'!E:E,MATCH($C783,'Policy Characteristics'!$C:$C,0)))</f>
        <v>indst shift to electricity</v>
      </c>
      <c r="L783" s="261">
        <f>IF(ISBLANK(INDEX('Policy Characteristics'!F:F,MATCH($C783,'Policy Characteristics'!$C:$C,0))),"",INDEX('Policy Characteristics'!F:F,MATCH($C783,'Policy Characteristics'!$C:$C,0)))</f>
        <v>0</v>
      </c>
      <c r="M783" s="261">
        <f>IF(ISBLANK(INDEX('Policy Characteristics'!G:G,MATCH($C783,'Policy Characteristics'!$C:$C,0))),"",INDEX('Policy Characteristics'!G:G,MATCH($C783,'Policy Characteristics'!$C:$C,0)))</f>
        <v>1</v>
      </c>
      <c r="N783" s="261">
        <f>IF(ISBLANK(INDEX('Policy Characteristics'!H:H,MATCH($C783,'Policy Characteristics'!$C:$C,0))),"",INDEX('Policy Characteristics'!H:H,MATCH($C783,'Policy Characteristics'!$C:$C,0)))</f>
        <v>0.01</v>
      </c>
      <c r="O783" s="254" t="str">
        <f>IF(ISBLANK(INDEX('Policy Characteristics'!I:I,MATCH($C783,'Policy Characteristics'!$C:$C,0))),"",INDEX('Policy Characteristics'!I:I,MATCH($C783,'Policy Characteristics'!$C:$C,0)))</f>
        <v>% of fuel shifted</v>
      </c>
      <c r="P783" s="254"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4" t="str">
        <f>IF(ISBLANK(INDEX('Policy Characteristics'!K:K,MATCH($C783,'Policy Characteristics'!$C:$C,0))),"",INDEX('Policy Characteristics'!K:K,MATCH($C783,'Policy Characteristics'!$C:$C,0)))</f>
        <v>industry-ag-main.html#fuel-switching</v>
      </c>
      <c r="R783" s="254" t="str">
        <f>IF(ISBLANK(INDEX('Policy Characteristics'!L:L,MATCH($C783,'Policy Characteristics'!$C:$C,0))),"",INDEX('Policy Characteristics'!L:L,MATCH($C783,'Policy Characteristics'!$C:$C,0)))</f>
        <v>industry-elec-and-hydrogen.html</v>
      </c>
    </row>
    <row r="784" spans="1:18" x14ac:dyDescent="0.3">
      <c r="A784" s="254" t="str">
        <f>IF(ISBLANK(INDEX('Policy Characteristics'!A:A,MATCH($C784,'Policy Characteristics'!$C:$C,0))),"",INDEX('Policy Characteristics'!A:A,MATCH($C784,'Policy Characteristics'!$C:$C,0)))</f>
        <v>Industry</v>
      </c>
      <c r="B784" s="262" t="str">
        <f>IF(ISBLANK(INDEX('Policy Characteristics'!B:B,MATCH($C784,'Policy Characteristics'!$C:$C,0))),"",INDEX('Policy Characteristics'!B:B,MATCH($C784,'Policy Characteristics'!$C:$C,0)))</f>
        <v>Electrification</v>
      </c>
      <c r="C784" s="254" t="str">
        <f t="shared" si="38"/>
        <v>Fraction of Eligible Industrial Energy Use Shifted to Electricity</v>
      </c>
      <c r="D784" s="6" t="s">
        <v>3080</v>
      </c>
      <c r="E784" s="1" t="s">
        <v>3517</v>
      </c>
      <c r="F784" t="s">
        <v>3042</v>
      </c>
      <c r="G784" s="45" t="s">
        <v>3524</v>
      </c>
      <c r="H784" s="43">
        <v>1988</v>
      </c>
      <c r="I784" s="324" t="s">
        <v>43</v>
      </c>
      <c r="J784" s="255" t="str">
        <f>IF(ISBLANK(INDEX('Policy Characteristics'!D:D,MATCH($C784,'Policy Characteristics'!$C:$C,0))),"",INDEX('Policy Characteristics'!D:D,MATCH($C784,'Policy Characteristics'!$C:$C,0)))</f>
        <v>Electrification</v>
      </c>
      <c r="K784" s="254" t="str">
        <f>IF(ISBLANK(INDEX('Policy Characteristics'!E:E,MATCH($C784,'Policy Characteristics'!$C:$C,0))),"",INDEX('Policy Characteristics'!E:E,MATCH($C784,'Policy Characteristics'!$C:$C,0)))</f>
        <v>indst shift to electricity</v>
      </c>
      <c r="L784" s="261">
        <f>IF(ISBLANK(INDEX('Policy Characteristics'!F:F,MATCH($C784,'Policy Characteristics'!$C:$C,0))),"",INDEX('Policy Characteristics'!F:F,MATCH($C784,'Policy Characteristics'!$C:$C,0)))</f>
        <v>0</v>
      </c>
      <c r="M784" s="261">
        <f>IF(ISBLANK(INDEX('Policy Characteristics'!G:G,MATCH($C784,'Policy Characteristics'!$C:$C,0))),"",INDEX('Policy Characteristics'!G:G,MATCH($C784,'Policy Characteristics'!$C:$C,0)))</f>
        <v>1</v>
      </c>
      <c r="N784" s="261">
        <f>IF(ISBLANK(INDEX('Policy Characteristics'!H:H,MATCH($C784,'Policy Characteristics'!$C:$C,0))),"",INDEX('Policy Characteristics'!H:H,MATCH($C784,'Policy Characteristics'!$C:$C,0)))</f>
        <v>0.01</v>
      </c>
      <c r="O784" s="254" t="str">
        <f>IF(ISBLANK(INDEX('Policy Characteristics'!I:I,MATCH($C784,'Policy Characteristics'!$C:$C,0))),"",INDEX('Policy Characteristics'!I:I,MATCH($C784,'Policy Characteristics'!$C:$C,0)))</f>
        <v>% of fuel shifted</v>
      </c>
      <c r="P784" s="254"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4" t="str">
        <f>IF(ISBLANK(INDEX('Policy Characteristics'!K:K,MATCH($C784,'Policy Characteristics'!$C:$C,0))),"",INDEX('Policy Characteristics'!K:K,MATCH($C784,'Policy Characteristics'!$C:$C,0)))</f>
        <v>industry-ag-main.html#fuel-switching</v>
      </c>
      <c r="R784" s="254" t="str">
        <f>IF(ISBLANK(INDEX('Policy Characteristics'!L:L,MATCH($C784,'Policy Characteristics'!$C:$C,0))),"",INDEX('Policy Characteristics'!L:L,MATCH($C784,'Policy Characteristics'!$C:$C,0)))</f>
        <v>industry-elec-and-hydrogen.html</v>
      </c>
    </row>
    <row r="785" spans="1:18" x14ac:dyDescent="0.3">
      <c r="A785" s="254" t="str">
        <f>IF(ISBLANK(INDEX('Policy Characteristics'!A:A,MATCH($C785,'Policy Characteristics'!$C:$C,0))),"",INDEX('Policy Characteristics'!A:A,MATCH($C785,'Policy Characteristics'!$C:$C,0)))</f>
        <v>Industry</v>
      </c>
      <c r="B785" s="262" t="str">
        <f>IF(ISBLANK(INDEX('Policy Characteristics'!B:B,MATCH($C785,'Policy Characteristics'!$C:$C,0))),"",INDEX('Policy Characteristics'!B:B,MATCH($C785,'Policy Characteristics'!$C:$C,0)))</f>
        <v>Electrification</v>
      </c>
      <c r="C785" s="254" t="str">
        <f t="shared" si="38"/>
        <v>Fraction of Eligible Industrial Energy Use Shifted to Electricity</v>
      </c>
      <c r="D785" s="6" t="s">
        <v>3080</v>
      </c>
      <c r="E785" s="1" t="s">
        <v>3518</v>
      </c>
      <c r="F785" t="s">
        <v>3042</v>
      </c>
      <c r="G785" s="45" t="s">
        <v>3525</v>
      </c>
      <c r="H785" s="43">
        <v>1989</v>
      </c>
      <c r="I785" s="324" t="s">
        <v>43</v>
      </c>
      <c r="J785" s="255" t="str">
        <f>IF(ISBLANK(INDEX('Policy Characteristics'!D:D,MATCH($C785,'Policy Characteristics'!$C:$C,0))),"",INDEX('Policy Characteristics'!D:D,MATCH($C785,'Policy Characteristics'!$C:$C,0)))</f>
        <v>Electrification</v>
      </c>
      <c r="K785" s="254" t="str">
        <f>IF(ISBLANK(INDEX('Policy Characteristics'!E:E,MATCH($C785,'Policy Characteristics'!$C:$C,0))),"",INDEX('Policy Characteristics'!E:E,MATCH($C785,'Policy Characteristics'!$C:$C,0)))</f>
        <v>indst shift to electricity</v>
      </c>
      <c r="L785" s="261">
        <f>IF(ISBLANK(INDEX('Policy Characteristics'!F:F,MATCH($C785,'Policy Characteristics'!$C:$C,0))),"",INDEX('Policy Characteristics'!F:F,MATCH($C785,'Policy Characteristics'!$C:$C,0)))</f>
        <v>0</v>
      </c>
      <c r="M785" s="261">
        <f>IF(ISBLANK(INDEX('Policy Characteristics'!G:G,MATCH($C785,'Policy Characteristics'!$C:$C,0))),"",INDEX('Policy Characteristics'!G:G,MATCH($C785,'Policy Characteristics'!$C:$C,0)))</f>
        <v>1</v>
      </c>
      <c r="N785" s="261">
        <f>IF(ISBLANK(INDEX('Policy Characteristics'!H:H,MATCH($C785,'Policy Characteristics'!$C:$C,0))),"",INDEX('Policy Characteristics'!H:H,MATCH($C785,'Policy Characteristics'!$C:$C,0)))</f>
        <v>0.01</v>
      </c>
      <c r="O785" s="254" t="str">
        <f>IF(ISBLANK(INDEX('Policy Characteristics'!I:I,MATCH($C785,'Policy Characteristics'!$C:$C,0))),"",INDEX('Policy Characteristics'!I:I,MATCH($C785,'Policy Characteristics'!$C:$C,0)))</f>
        <v>% of fuel shifted</v>
      </c>
      <c r="P785" s="254"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4" t="str">
        <f>IF(ISBLANK(INDEX('Policy Characteristics'!K:K,MATCH($C785,'Policy Characteristics'!$C:$C,0))),"",INDEX('Policy Characteristics'!K:K,MATCH($C785,'Policy Characteristics'!$C:$C,0)))</f>
        <v>industry-ag-main.html#fuel-switching</v>
      </c>
      <c r="R785" s="254" t="str">
        <f>IF(ISBLANK(INDEX('Policy Characteristics'!L:L,MATCH($C785,'Policy Characteristics'!$C:$C,0))),"",INDEX('Policy Characteristics'!L:L,MATCH($C785,'Policy Characteristics'!$C:$C,0)))</f>
        <v>industry-elec-and-hydrogen.html</v>
      </c>
    </row>
    <row r="786" spans="1:18" x14ac:dyDescent="0.3">
      <c r="A786" s="254" t="str">
        <f>IF(ISBLANK(INDEX('Policy Characteristics'!A:A,MATCH($C786,'Policy Characteristics'!$C:$C,0))),"",INDEX('Policy Characteristics'!A:A,MATCH($C786,'Policy Characteristics'!$C:$C,0)))</f>
        <v>Industry</v>
      </c>
      <c r="B786" s="262" t="str">
        <f>IF(ISBLANK(INDEX('Policy Characteristics'!B:B,MATCH($C786,'Policy Characteristics'!$C:$C,0))),"",INDEX('Policy Characteristics'!B:B,MATCH($C786,'Policy Characteristics'!$C:$C,0)))</f>
        <v>Electrification</v>
      </c>
      <c r="C786" s="254" t="str">
        <f t="shared" si="38"/>
        <v>Fraction of Eligible Industrial Energy Use Shifted to Electricity</v>
      </c>
      <c r="D786" s="6" t="s">
        <v>3080</v>
      </c>
      <c r="E786" s="1" t="s">
        <v>3519</v>
      </c>
      <c r="F786" t="s">
        <v>3042</v>
      </c>
      <c r="G786" s="45" t="s">
        <v>3526</v>
      </c>
      <c r="H786" s="43">
        <v>1990</v>
      </c>
      <c r="I786" s="324" t="s">
        <v>43</v>
      </c>
      <c r="J786" s="255" t="str">
        <f>IF(ISBLANK(INDEX('Policy Characteristics'!D:D,MATCH($C786,'Policy Characteristics'!$C:$C,0))),"",INDEX('Policy Characteristics'!D:D,MATCH($C786,'Policy Characteristics'!$C:$C,0)))</f>
        <v>Electrification</v>
      </c>
      <c r="K786" s="254" t="str">
        <f>IF(ISBLANK(INDEX('Policy Characteristics'!E:E,MATCH($C786,'Policy Characteristics'!$C:$C,0))),"",INDEX('Policy Characteristics'!E:E,MATCH($C786,'Policy Characteristics'!$C:$C,0)))</f>
        <v>indst shift to electricity</v>
      </c>
      <c r="L786" s="261">
        <f>IF(ISBLANK(INDEX('Policy Characteristics'!F:F,MATCH($C786,'Policy Characteristics'!$C:$C,0))),"",INDEX('Policy Characteristics'!F:F,MATCH($C786,'Policy Characteristics'!$C:$C,0)))</f>
        <v>0</v>
      </c>
      <c r="M786" s="261">
        <f>IF(ISBLANK(INDEX('Policy Characteristics'!G:G,MATCH($C786,'Policy Characteristics'!$C:$C,0))),"",INDEX('Policy Characteristics'!G:G,MATCH($C786,'Policy Characteristics'!$C:$C,0)))</f>
        <v>1</v>
      </c>
      <c r="N786" s="261">
        <f>IF(ISBLANK(INDEX('Policy Characteristics'!H:H,MATCH($C786,'Policy Characteristics'!$C:$C,0))),"",INDEX('Policy Characteristics'!H:H,MATCH($C786,'Policy Characteristics'!$C:$C,0)))</f>
        <v>0.01</v>
      </c>
      <c r="O786" s="254" t="str">
        <f>IF(ISBLANK(INDEX('Policy Characteristics'!I:I,MATCH($C786,'Policy Characteristics'!$C:$C,0))),"",INDEX('Policy Characteristics'!I:I,MATCH($C786,'Policy Characteristics'!$C:$C,0)))</f>
        <v>% of fuel shifted</v>
      </c>
      <c r="P786" s="254"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4" t="str">
        <f>IF(ISBLANK(INDEX('Policy Characteristics'!K:K,MATCH($C786,'Policy Characteristics'!$C:$C,0))),"",INDEX('Policy Characteristics'!K:K,MATCH($C786,'Policy Characteristics'!$C:$C,0)))</f>
        <v>industry-ag-main.html#fuel-switching</v>
      </c>
      <c r="R786" s="254" t="str">
        <f>IF(ISBLANK(INDEX('Policy Characteristics'!L:L,MATCH($C786,'Policy Characteristics'!$C:$C,0))),"",INDEX('Policy Characteristics'!L:L,MATCH($C786,'Policy Characteristics'!$C:$C,0)))</f>
        <v>industry-elec-and-hydrogen.html</v>
      </c>
    </row>
    <row r="787" spans="1:18" x14ac:dyDescent="0.3">
      <c r="A787" s="254" t="str">
        <f>IF(ISBLANK(INDEX('Policy Characteristics'!A:A,MATCH($C787,'Policy Characteristics'!$C:$C,0))),"",INDEX('Policy Characteristics'!A:A,MATCH($C787,'Policy Characteristics'!$C:$C,0)))</f>
        <v>Industry</v>
      </c>
      <c r="B787" s="262" t="str">
        <f>IF(ISBLANK(INDEX('Policy Characteristics'!B:B,MATCH($C787,'Policy Characteristics'!$C:$C,0))),"",INDEX('Policy Characteristics'!B:B,MATCH($C787,'Policy Characteristics'!$C:$C,0)))</f>
        <v>Electrification</v>
      </c>
      <c r="C787" s="254" t="str">
        <f t="shared" si="38"/>
        <v>Fraction of Eligible Industrial Energy Use Shifted to Electricity</v>
      </c>
      <c r="D787" s="6" t="s">
        <v>3080</v>
      </c>
      <c r="E787" s="1" t="s">
        <v>3520</v>
      </c>
      <c r="F787" t="s">
        <v>3042</v>
      </c>
      <c r="G787" s="45" t="s">
        <v>3527</v>
      </c>
      <c r="H787" s="43">
        <v>1991</v>
      </c>
      <c r="I787" s="324" t="s">
        <v>43</v>
      </c>
      <c r="J787" s="255" t="str">
        <f>IF(ISBLANK(INDEX('Policy Characteristics'!D:D,MATCH($C787,'Policy Characteristics'!$C:$C,0))),"",INDEX('Policy Characteristics'!D:D,MATCH($C787,'Policy Characteristics'!$C:$C,0)))</f>
        <v>Electrification</v>
      </c>
      <c r="K787" s="254" t="str">
        <f>IF(ISBLANK(INDEX('Policy Characteristics'!E:E,MATCH($C787,'Policy Characteristics'!$C:$C,0))),"",INDEX('Policy Characteristics'!E:E,MATCH($C787,'Policy Characteristics'!$C:$C,0)))</f>
        <v>indst shift to electricity</v>
      </c>
      <c r="L787" s="261">
        <f>IF(ISBLANK(INDEX('Policy Characteristics'!F:F,MATCH($C787,'Policy Characteristics'!$C:$C,0))),"",INDEX('Policy Characteristics'!F:F,MATCH($C787,'Policy Characteristics'!$C:$C,0)))</f>
        <v>0</v>
      </c>
      <c r="M787" s="261">
        <f>IF(ISBLANK(INDEX('Policy Characteristics'!G:G,MATCH($C787,'Policy Characteristics'!$C:$C,0))),"",INDEX('Policy Characteristics'!G:G,MATCH($C787,'Policy Characteristics'!$C:$C,0)))</f>
        <v>1</v>
      </c>
      <c r="N787" s="261">
        <f>IF(ISBLANK(INDEX('Policy Characteristics'!H:H,MATCH($C787,'Policy Characteristics'!$C:$C,0))),"",INDEX('Policy Characteristics'!H:H,MATCH($C787,'Policy Characteristics'!$C:$C,0)))</f>
        <v>0.01</v>
      </c>
      <c r="O787" s="254" t="str">
        <f>IF(ISBLANK(INDEX('Policy Characteristics'!I:I,MATCH($C787,'Policy Characteristics'!$C:$C,0))),"",INDEX('Policy Characteristics'!I:I,MATCH($C787,'Policy Characteristics'!$C:$C,0)))</f>
        <v>% of fuel shifted</v>
      </c>
      <c r="P787" s="254"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4" t="str">
        <f>IF(ISBLANK(INDEX('Policy Characteristics'!K:K,MATCH($C787,'Policy Characteristics'!$C:$C,0))),"",INDEX('Policy Characteristics'!K:K,MATCH($C787,'Policy Characteristics'!$C:$C,0)))</f>
        <v>industry-ag-main.html#fuel-switching</v>
      </c>
      <c r="R787" s="254" t="str">
        <f>IF(ISBLANK(INDEX('Policy Characteristics'!L:L,MATCH($C787,'Policy Characteristics'!$C:$C,0))),"",INDEX('Policy Characteristics'!L:L,MATCH($C787,'Policy Characteristics'!$C:$C,0)))</f>
        <v>industry-elec-and-hydrogen.html</v>
      </c>
    </row>
    <row r="788" spans="1:18" x14ac:dyDescent="0.3">
      <c r="A788" s="254" t="str">
        <f>IF(ISBLANK(INDEX('Policy Characteristics'!A:A,MATCH($C788,'Policy Characteristics'!$C:$C,0))),"",INDEX('Policy Characteristics'!A:A,MATCH($C788,'Policy Characteristics'!$C:$C,0)))</f>
        <v>Industry</v>
      </c>
      <c r="B788" s="262" t="str">
        <f>IF(ISBLANK(INDEX('Policy Characteristics'!B:B,MATCH($C788,'Policy Characteristics'!$C:$C,0))),"",INDEX('Policy Characteristics'!B:B,MATCH($C788,'Policy Characteristics'!$C:$C,0)))</f>
        <v>Electrification</v>
      </c>
      <c r="C788" s="254" t="str">
        <f t="shared" si="38"/>
        <v>Fraction of Eligible Industrial Energy Use Shifted to Electricity</v>
      </c>
      <c r="D788" s="6" t="s">
        <v>3080</v>
      </c>
      <c r="E788" s="1" t="s">
        <v>3521</v>
      </c>
      <c r="F788" t="s">
        <v>3042</v>
      </c>
      <c r="G788" s="45" t="s">
        <v>3528</v>
      </c>
      <c r="H788" s="43">
        <v>1992</v>
      </c>
      <c r="I788" s="324" t="s">
        <v>43</v>
      </c>
      <c r="J788" s="255" t="str">
        <f>IF(ISBLANK(INDEX('Policy Characteristics'!D:D,MATCH($C788,'Policy Characteristics'!$C:$C,0))),"",INDEX('Policy Characteristics'!D:D,MATCH($C788,'Policy Characteristics'!$C:$C,0)))</f>
        <v>Electrification</v>
      </c>
      <c r="K788" s="254" t="str">
        <f>IF(ISBLANK(INDEX('Policy Characteristics'!E:E,MATCH($C788,'Policy Characteristics'!$C:$C,0))),"",INDEX('Policy Characteristics'!E:E,MATCH($C788,'Policy Characteristics'!$C:$C,0)))</f>
        <v>indst shift to electricity</v>
      </c>
      <c r="L788" s="261">
        <f>IF(ISBLANK(INDEX('Policy Characteristics'!F:F,MATCH($C788,'Policy Characteristics'!$C:$C,0))),"",INDEX('Policy Characteristics'!F:F,MATCH($C788,'Policy Characteristics'!$C:$C,0)))</f>
        <v>0</v>
      </c>
      <c r="M788" s="261">
        <f>IF(ISBLANK(INDEX('Policy Characteristics'!G:G,MATCH($C788,'Policy Characteristics'!$C:$C,0))),"",INDEX('Policy Characteristics'!G:G,MATCH($C788,'Policy Characteristics'!$C:$C,0)))</f>
        <v>1</v>
      </c>
      <c r="N788" s="261">
        <f>IF(ISBLANK(INDEX('Policy Characteristics'!H:H,MATCH($C788,'Policy Characteristics'!$C:$C,0))),"",INDEX('Policy Characteristics'!H:H,MATCH($C788,'Policy Characteristics'!$C:$C,0)))</f>
        <v>0.01</v>
      </c>
      <c r="O788" s="254" t="str">
        <f>IF(ISBLANK(INDEX('Policy Characteristics'!I:I,MATCH($C788,'Policy Characteristics'!$C:$C,0))),"",INDEX('Policy Characteristics'!I:I,MATCH($C788,'Policy Characteristics'!$C:$C,0)))</f>
        <v>% of fuel shifted</v>
      </c>
      <c r="P788" s="254"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4" t="str">
        <f>IF(ISBLANK(INDEX('Policy Characteristics'!K:K,MATCH($C788,'Policy Characteristics'!$C:$C,0))),"",INDEX('Policy Characteristics'!K:K,MATCH($C788,'Policy Characteristics'!$C:$C,0)))</f>
        <v>industry-ag-main.html#fuel-switching</v>
      </c>
      <c r="R788" s="254" t="str">
        <f>IF(ISBLANK(INDEX('Policy Characteristics'!L:L,MATCH($C788,'Policy Characteristics'!$C:$C,0))),"",INDEX('Policy Characteristics'!L:L,MATCH($C788,'Policy Characteristics'!$C:$C,0)))</f>
        <v>industry-elec-and-hydrogen.html</v>
      </c>
    </row>
    <row r="789" spans="1:18" x14ac:dyDescent="0.3">
      <c r="A789" s="254" t="str">
        <f>IF(ISBLANK(INDEX('Policy Characteristics'!A:A,MATCH($C789,'Policy Characteristics'!$C:$C,0))),"",INDEX('Policy Characteristics'!A:A,MATCH($C789,'Policy Characteristics'!$C:$C,0)))</f>
        <v>Industry</v>
      </c>
      <c r="B789" s="262" t="str">
        <f>IF(ISBLANK(INDEX('Policy Characteristics'!B:B,MATCH($C789,'Policy Characteristics'!$C:$C,0))),"",INDEX('Policy Characteristics'!B:B,MATCH($C789,'Policy Characteristics'!$C:$C,0)))</f>
        <v>Electrification</v>
      </c>
      <c r="C789" s="254" t="str">
        <f t="shared" si="38"/>
        <v>Fraction of Eligible Industrial Energy Use Shifted to Electricity</v>
      </c>
      <c r="D789" s="6" t="s">
        <v>3080</v>
      </c>
      <c r="E789" s="1" t="s">
        <v>3671</v>
      </c>
      <c r="F789" t="s">
        <v>3042</v>
      </c>
      <c r="G789" s="45" t="s">
        <v>3671</v>
      </c>
      <c r="H789" s="43">
        <v>1993</v>
      </c>
      <c r="I789" s="324" t="s">
        <v>43</v>
      </c>
      <c r="J789" s="255" t="str">
        <f>IF(ISBLANK(INDEX('Policy Characteristics'!D:D,MATCH($C789,'Policy Characteristics'!$C:$C,0))),"",INDEX('Policy Characteristics'!D:D,MATCH($C789,'Policy Characteristics'!$C:$C,0)))</f>
        <v>Electrification</v>
      </c>
      <c r="K789" s="254" t="str">
        <f>IF(ISBLANK(INDEX('Policy Characteristics'!E:E,MATCH($C789,'Policy Characteristics'!$C:$C,0))),"",INDEX('Policy Characteristics'!E:E,MATCH($C789,'Policy Characteristics'!$C:$C,0)))</f>
        <v>indst shift to electricity</v>
      </c>
      <c r="L789" s="261">
        <f>IF(ISBLANK(INDEX('Policy Characteristics'!F:F,MATCH($C789,'Policy Characteristics'!$C:$C,0))),"",INDEX('Policy Characteristics'!F:F,MATCH($C789,'Policy Characteristics'!$C:$C,0)))</f>
        <v>0</v>
      </c>
      <c r="M789" s="261">
        <f>IF(ISBLANK(INDEX('Policy Characteristics'!G:G,MATCH($C789,'Policy Characteristics'!$C:$C,0))),"",INDEX('Policy Characteristics'!G:G,MATCH($C789,'Policy Characteristics'!$C:$C,0)))</f>
        <v>1</v>
      </c>
      <c r="N789" s="261">
        <f>IF(ISBLANK(INDEX('Policy Characteristics'!H:H,MATCH($C789,'Policy Characteristics'!$C:$C,0))),"",INDEX('Policy Characteristics'!H:H,MATCH($C789,'Policy Characteristics'!$C:$C,0)))</f>
        <v>0.01</v>
      </c>
      <c r="O789" s="254" t="str">
        <f>IF(ISBLANK(INDEX('Policy Characteristics'!I:I,MATCH($C789,'Policy Characteristics'!$C:$C,0))),"",INDEX('Policy Characteristics'!I:I,MATCH($C789,'Policy Characteristics'!$C:$C,0)))</f>
        <v>% of fuel shifted</v>
      </c>
      <c r="P789" s="254"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4" t="str">
        <f>IF(ISBLANK(INDEX('Policy Characteristics'!K:K,MATCH($C789,'Policy Characteristics'!$C:$C,0))),"",INDEX('Policy Characteristics'!K:K,MATCH($C789,'Policy Characteristics'!$C:$C,0)))</f>
        <v>industry-ag-main.html#fuel-switching</v>
      </c>
      <c r="R789" s="254" t="str">
        <f>IF(ISBLANK(INDEX('Policy Characteristics'!L:L,MATCH($C789,'Policy Characteristics'!$C:$C,0))),"",INDEX('Policy Characteristics'!L:L,MATCH($C789,'Policy Characteristics'!$C:$C,0)))</f>
        <v>industry-elec-and-hydrogen.html</v>
      </c>
    </row>
    <row r="790" spans="1:18" x14ac:dyDescent="0.3">
      <c r="A790" s="254" t="str">
        <f>IF(ISBLANK(INDEX('Policy Characteristics'!A:A,MATCH($C790,'Policy Characteristics'!$C:$C,0))),"",INDEX('Policy Characteristics'!A:A,MATCH($C790,'Policy Characteristics'!$C:$C,0)))</f>
        <v>Industry</v>
      </c>
      <c r="B790" s="262" t="str">
        <f>IF(ISBLANK(INDEX('Policy Characteristics'!B:B,MATCH($C790,'Policy Characteristics'!$C:$C,0))),"",INDEX('Policy Characteristics'!B:B,MATCH($C790,'Policy Characteristics'!$C:$C,0)))</f>
        <v>Electrification</v>
      </c>
      <c r="C790" s="254" t="str">
        <f t="shared" si="38"/>
        <v>Fraction of Eligible Industrial Energy Use Shifted to Electricity</v>
      </c>
      <c r="D790" s="6" t="s">
        <v>3081</v>
      </c>
      <c r="E790" s="1" t="s">
        <v>3515</v>
      </c>
      <c r="F790" t="s">
        <v>3043</v>
      </c>
      <c r="G790" s="45" t="s">
        <v>3522</v>
      </c>
      <c r="H790" s="43">
        <v>1994</v>
      </c>
      <c r="I790" s="324" t="s">
        <v>43</v>
      </c>
      <c r="J790" s="255" t="str">
        <f>IF(ISBLANK(INDEX('Policy Characteristics'!D:D,MATCH($C790,'Policy Characteristics'!$C:$C,0))),"",INDEX('Policy Characteristics'!D:D,MATCH($C790,'Policy Characteristics'!$C:$C,0)))</f>
        <v>Electrification</v>
      </c>
      <c r="K790" s="254" t="str">
        <f>IF(ISBLANK(INDEX('Policy Characteristics'!E:E,MATCH($C790,'Policy Characteristics'!$C:$C,0))),"",INDEX('Policy Characteristics'!E:E,MATCH($C790,'Policy Characteristics'!$C:$C,0)))</f>
        <v>indst shift to electricity</v>
      </c>
      <c r="L790" s="261">
        <f>IF(ISBLANK(INDEX('Policy Characteristics'!F:F,MATCH($C790,'Policy Characteristics'!$C:$C,0))),"",INDEX('Policy Characteristics'!F:F,MATCH($C790,'Policy Characteristics'!$C:$C,0)))</f>
        <v>0</v>
      </c>
      <c r="M790" s="261">
        <f>IF(ISBLANK(INDEX('Policy Characteristics'!G:G,MATCH($C790,'Policy Characteristics'!$C:$C,0))),"",INDEX('Policy Characteristics'!G:G,MATCH($C790,'Policy Characteristics'!$C:$C,0)))</f>
        <v>1</v>
      </c>
      <c r="N790" s="261">
        <f>IF(ISBLANK(INDEX('Policy Characteristics'!H:H,MATCH($C790,'Policy Characteristics'!$C:$C,0))),"",INDEX('Policy Characteristics'!H:H,MATCH($C790,'Policy Characteristics'!$C:$C,0)))</f>
        <v>0.01</v>
      </c>
      <c r="O790" s="254" t="str">
        <f>IF(ISBLANK(INDEX('Policy Characteristics'!I:I,MATCH($C790,'Policy Characteristics'!$C:$C,0))),"",INDEX('Policy Characteristics'!I:I,MATCH($C790,'Policy Characteristics'!$C:$C,0)))</f>
        <v>% of fuel shifted</v>
      </c>
      <c r="P790" s="254"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4" t="str">
        <f>IF(ISBLANK(INDEX('Policy Characteristics'!K:K,MATCH($C790,'Policy Characteristics'!$C:$C,0))),"",INDEX('Policy Characteristics'!K:K,MATCH($C790,'Policy Characteristics'!$C:$C,0)))</f>
        <v>industry-ag-main.html#fuel-switching</v>
      </c>
      <c r="R790" s="254" t="str">
        <f>IF(ISBLANK(INDEX('Policy Characteristics'!L:L,MATCH($C790,'Policy Characteristics'!$C:$C,0))),"",INDEX('Policy Characteristics'!L:L,MATCH($C790,'Policy Characteristics'!$C:$C,0)))</f>
        <v>industry-elec-and-hydrogen.html</v>
      </c>
    </row>
    <row r="791" spans="1:18" x14ac:dyDescent="0.3">
      <c r="A791" s="254" t="str">
        <f>IF(ISBLANK(INDEX('Policy Characteristics'!A:A,MATCH($C791,'Policy Characteristics'!$C:$C,0))),"",INDEX('Policy Characteristics'!A:A,MATCH($C791,'Policy Characteristics'!$C:$C,0)))</f>
        <v>Industry</v>
      </c>
      <c r="B791" s="262" t="str">
        <f>IF(ISBLANK(INDEX('Policy Characteristics'!B:B,MATCH($C791,'Policy Characteristics'!$C:$C,0))),"",INDEX('Policy Characteristics'!B:B,MATCH($C791,'Policy Characteristics'!$C:$C,0)))</f>
        <v>Electrification</v>
      </c>
      <c r="C791" s="254" t="str">
        <f t="shared" si="38"/>
        <v>Fraction of Eligible Industrial Energy Use Shifted to Electricity</v>
      </c>
      <c r="D791" s="6" t="s">
        <v>3081</v>
      </c>
      <c r="E791" s="1" t="s">
        <v>3516</v>
      </c>
      <c r="F791" t="s">
        <v>3043</v>
      </c>
      <c r="G791" s="45" t="s">
        <v>3523</v>
      </c>
      <c r="H791" s="43">
        <v>1995</v>
      </c>
      <c r="I791" s="324" t="s">
        <v>43</v>
      </c>
      <c r="J791" s="255" t="str">
        <f>IF(ISBLANK(INDEX('Policy Characteristics'!D:D,MATCH($C791,'Policy Characteristics'!$C:$C,0))),"",INDEX('Policy Characteristics'!D:D,MATCH($C791,'Policy Characteristics'!$C:$C,0)))</f>
        <v>Electrification</v>
      </c>
      <c r="K791" s="254" t="str">
        <f>IF(ISBLANK(INDEX('Policy Characteristics'!E:E,MATCH($C791,'Policy Characteristics'!$C:$C,0))),"",INDEX('Policy Characteristics'!E:E,MATCH($C791,'Policy Characteristics'!$C:$C,0)))</f>
        <v>indst shift to electricity</v>
      </c>
      <c r="L791" s="261">
        <f>IF(ISBLANK(INDEX('Policy Characteristics'!F:F,MATCH($C791,'Policy Characteristics'!$C:$C,0))),"",INDEX('Policy Characteristics'!F:F,MATCH($C791,'Policy Characteristics'!$C:$C,0)))</f>
        <v>0</v>
      </c>
      <c r="M791" s="261">
        <f>IF(ISBLANK(INDEX('Policy Characteristics'!G:G,MATCH($C791,'Policy Characteristics'!$C:$C,0))),"",INDEX('Policy Characteristics'!G:G,MATCH($C791,'Policy Characteristics'!$C:$C,0)))</f>
        <v>1</v>
      </c>
      <c r="N791" s="261">
        <f>IF(ISBLANK(INDEX('Policy Characteristics'!H:H,MATCH($C791,'Policy Characteristics'!$C:$C,0))),"",INDEX('Policy Characteristics'!H:H,MATCH($C791,'Policy Characteristics'!$C:$C,0)))</f>
        <v>0.01</v>
      </c>
      <c r="O791" s="254" t="str">
        <f>IF(ISBLANK(INDEX('Policy Characteristics'!I:I,MATCH($C791,'Policy Characteristics'!$C:$C,0))),"",INDEX('Policy Characteristics'!I:I,MATCH($C791,'Policy Characteristics'!$C:$C,0)))</f>
        <v>% of fuel shifted</v>
      </c>
      <c r="P791" s="254"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4" t="str">
        <f>IF(ISBLANK(INDEX('Policy Characteristics'!K:K,MATCH($C791,'Policy Characteristics'!$C:$C,0))),"",INDEX('Policy Characteristics'!K:K,MATCH($C791,'Policy Characteristics'!$C:$C,0)))</f>
        <v>industry-ag-main.html#fuel-switching</v>
      </c>
      <c r="R791" s="254" t="str">
        <f>IF(ISBLANK(INDEX('Policy Characteristics'!L:L,MATCH($C791,'Policy Characteristics'!$C:$C,0))),"",INDEX('Policy Characteristics'!L:L,MATCH($C791,'Policy Characteristics'!$C:$C,0)))</f>
        <v>industry-elec-and-hydrogen.html</v>
      </c>
    </row>
    <row r="792" spans="1:18" x14ac:dyDescent="0.3">
      <c r="A792" s="254" t="str">
        <f>IF(ISBLANK(INDEX('Policy Characteristics'!A:A,MATCH($C792,'Policy Characteristics'!$C:$C,0))),"",INDEX('Policy Characteristics'!A:A,MATCH($C792,'Policy Characteristics'!$C:$C,0)))</f>
        <v>Industry</v>
      </c>
      <c r="B792" s="262" t="str">
        <f>IF(ISBLANK(INDEX('Policy Characteristics'!B:B,MATCH($C792,'Policy Characteristics'!$C:$C,0))),"",INDEX('Policy Characteristics'!B:B,MATCH($C792,'Policy Characteristics'!$C:$C,0)))</f>
        <v>Electrification</v>
      </c>
      <c r="C792" s="254" t="str">
        <f t="shared" si="38"/>
        <v>Fraction of Eligible Industrial Energy Use Shifted to Electricity</v>
      </c>
      <c r="D792" s="6" t="s">
        <v>3081</v>
      </c>
      <c r="E792" s="1" t="s">
        <v>3517</v>
      </c>
      <c r="F792" t="s">
        <v>3043</v>
      </c>
      <c r="G792" s="45" t="s">
        <v>3524</v>
      </c>
      <c r="H792" s="43">
        <v>1996</v>
      </c>
      <c r="I792" s="324" t="s">
        <v>43</v>
      </c>
      <c r="J792" s="255" t="str">
        <f>IF(ISBLANK(INDEX('Policy Characteristics'!D:D,MATCH($C792,'Policy Characteristics'!$C:$C,0))),"",INDEX('Policy Characteristics'!D:D,MATCH($C792,'Policy Characteristics'!$C:$C,0)))</f>
        <v>Electrification</v>
      </c>
      <c r="K792" s="254" t="str">
        <f>IF(ISBLANK(INDEX('Policy Characteristics'!E:E,MATCH($C792,'Policy Characteristics'!$C:$C,0))),"",INDEX('Policy Characteristics'!E:E,MATCH($C792,'Policy Characteristics'!$C:$C,0)))</f>
        <v>indst shift to electricity</v>
      </c>
      <c r="L792" s="261">
        <f>IF(ISBLANK(INDEX('Policy Characteristics'!F:F,MATCH($C792,'Policy Characteristics'!$C:$C,0))),"",INDEX('Policy Characteristics'!F:F,MATCH($C792,'Policy Characteristics'!$C:$C,0)))</f>
        <v>0</v>
      </c>
      <c r="M792" s="261">
        <f>IF(ISBLANK(INDEX('Policy Characteristics'!G:G,MATCH($C792,'Policy Characteristics'!$C:$C,0))),"",INDEX('Policy Characteristics'!G:G,MATCH($C792,'Policy Characteristics'!$C:$C,0)))</f>
        <v>1</v>
      </c>
      <c r="N792" s="261">
        <f>IF(ISBLANK(INDEX('Policy Characteristics'!H:H,MATCH($C792,'Policy Characteristics'!$C:$C,0))),"",INDEX('Policy Characteristics'!H:H,MATCH($C792,'Policy Characteristics'!$C:$C,0)))</f>
        <v>0.01</v>
      </c>
      <c r="O792" s="254" t="str">
        <f>IF(ISBLANK(INDEX('Policy Characteristics'!I:I,MATCH($C792,'Policy Characteristics'!$C:$C,0))),"",INDEX('Policy Characteristics'!I:I,MATCH($C792,'Policy Characteristics'!$C:$C,0)))</f>
        <v>% of fuel shifted</v>
      </c>
      <c r="P792" s="254"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4" t="str">
        <f>IF(ISBLANK(INDEX('Policy Characteristics'!K:K,MATCH($C792,'Policy Characteristics'!$C:$C,0))),"",INDEX('Policy Characteristics'!K:K,MATCH($C792,'Policy Characteristics'!$C:$C,0)))</f>
        <v>industry-ag-main.html#fuel-switching</v>
      </c>
      <c r="R792" s="254" t="str">
        <f>IF(ISBLANK(INDEX('Policy Characteristics'!L:L,MATCH($C792,'Policy Characteristics'!$C:$C,0))),"",INDEX('Policy Characteristics'!L:L,MATCH($C792,'Policy Characteristics'!$C:$C,0)))</f>
        <v>industry-elec-and-hydrogen.html</v>
      </c>
    </row>
    <row r="793" spans="1:18" x14ac:dyDescent="0.3">
      <c r="A793" s="254" t="str">
        <f>IF(ISBLANK(INDEX('Policy Characteristics'!A:A,MATCH($C793,'Policy Characteristics'!$C:$C,0))),"",INDEX('Policy Characteristics'!A:A,MATCH($C793,'Policy Characteristics'!$C:$C,0)))</f>
        <v>Industry</v>
      </c>
      <c r="B793" s="262" t="str">
        <f>IF(ISBLANK(INDEX('Policy Characteristics'!B:B,MATCH($C793,'Policy Characteristics'!$C:$C,0))),"",INDEX('Policy Characteristics'!B:B,MATCH($C793,'Policy Characteristics'!$C:$C,0)))</f>
        <v>Electrification</v>
      </c>
      <c r="C793" s="254" t="str">
        <f t="shared" si="38"/>
        <v>Fraction of Eligible Industrial Energy Use Shifted to Electricity</v>
      </c>
      <c r="D793" s="6" t="s">
        <v>3081</v>
      </c>
      <c r="E793" s="1" t="s">
        <v>3518</v>
      </c>
      <c r="F793" t="s">
        <v>3043</v>
      </c>
      <c r="G793" s="45" t="s">
        <v>3525</v>
      </c>
      <c r="H793" s="43">
        <v>1997</v>
      </c>
      <c r="I793" s="324" t="s">
        <v>43</v>
      </c>
      <c r="J793" s="255" t="str">
        <f>IF(ISBLANK(INDEX('Policy Characteristics'!D:D,MATCH($C793,'Policy Characteristics'!$C:$C,0))),"",INDEX('Policy Characteristics'!D:D,MATCH($C793,'Policy Characteristics'!$C:$C,0)))</f>
        <v>Electrification</v>
      </c>
      <c r="K793" s="254" t="str">
        <f>IF(ISBLANK(INDEX('Policy Characteristics'!E:E,MATCH($C793,'Policy Characteristics'!$C:$C,0))),"",INDEX('Policy Characteristics'!E:E,MATCH($C793,'Policy Characteristics'!$C:$C,0)))</f>
        <v>indst shift to electricity</v>
      </c>
      <c r="L793" s="261">
        <f>IF(ISBLANK(INDEX('Policy Characteristics'!F:F,MATCH($C793,'Policy Characteristics'!$C:$C,0))),"",INDEX('Policy Characteristics'!F:F,MATCH($C793,'Policy Characteristics'!$C:$C,0)))</f>
        <v>0</v>
      </c>
      <c r="M793" s="261">
        <f>IF(ISBLANK(INDEX('Policy Characteristics'!G:G,MATCH($C793,'Policy Characteristics'!$C:$C,0))),"",INDEX('Policy Characteristics'!G:G,MATCH($C793,'Policy Characteristics'!$C:$C,0)))</f>
        <v>1</v>
      </c>
      <c r="N793" s="261">
        <f>IF(ISBLANK(INDEX('Policy Characteristics'!H:H,MATCH($C793,'Policy Characteristics'!$C:$C,0))),"",INDEX('Policy Characteristics'!H:H,MATCH($C793,'Policy Characteristics'!$C:$C,0)))</f>
        <v>0.01</v>
      </c>
      <c r="O793" s="254" t="str">
        <f>IF(ISBLANK(INDEX('Policy Characteristics'!I:I,MATCH($C793,'Policy Characteristics'!$C:$C,0))),"",INDEX('Policy Characteristics'!I:I,MATCH($C793,'Policy Characteristics'!$C:$C,0)))</f>
        <v>% of fuel shifted</v>
      </c>
      <c r="P793" s="254"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4" t="str">
        <f>IF(ISBLANK(INDEX('Policy Characteristics'!K:K,MATCH($C793,'Policy Characteristics'!$C:$C,0))),"",INDEX('Policy Characteristics'!K:K,MATCH($C793,'Policy Characteristics'!$C:$C,0)))</f>
        <v>industry-ag-main.html#fuel-switching</v>
      </c>
      <c r="R793" s="254" t="str">
        <f>IF(ISBLANK(INDEX('Policy Characteristics'!L:L,MATCH($C793,'Policy Characteristics'!$C:$C,0))),"",INDEX('Policy Characteristics'!L:L,MATCH($C793,'Policy Characteristics'!$C:$C,0)))</f>
        <v>industry-elec-and-hydrogen.html</v>
      </c>
    </row>
    <row r="794" spans="1:18" x14ac:dyDescent="0.3">
      <c r="A794" s="254" t="str">
        <f>IF(ISBLANK(INDEX('Policy Characteristics'!A:A,MATCH($C794,'Policy Characteristics'!$C:$C,0))),"",INDEX('Policy Characteristics'!A:A,MATCH($C794,'Policy Characteristics'!$C:$C,0)))</f>
        <v>Industry</v>
      </c>
      <c r="B794" s="262" t="str">
        <f>IF(ISBLANK(INDEX('Policy Characteristics'!B:B,MATCH($C794,'Policy Characteristics'!$C:$C,0))),"",INDEX('Policy Characteristics'!B:B,MATCH($C794,'Policy Characteristics'!$C:$C,0)))</f>
        <v>Electrification</v>
      </c>
      <c r="C794" s="254" t="str">
        <f t="shared" si="38"/>
        <v>Fraction of Eligible Industrial Energy Use Shifted to Electricity</v>
      </c>
      <c r="D794" s="6" t="s">
        <v>3081</v>
      </c>
      <c r="E794" s="1" t="s">
        <v>3519</v>
      </c>
      <c r="F794" t="s">
        <v>3043</v>
      </c>
      <c r="G794" s="45" t="s">
        <v>3526</v>
      </c>
      <c r="H794" s="43">
        <v>1998</v>
      </c>
      <c r="I794" s="324" t="s">
        <v>43</v>
      </c>
      <c r="J794" s="255" t="str">
        <f>IF(ISBLANK(INDEX('Policy Characteristics'!D:D,MATCH($C794,'Policy Characteristics'!$C:$C,0))),"",INDEX('Policy Characteristics'!D:D,MATCH($C794,'Policy Characteristics'!$C:$C,0)))</f>
        <v>Electrification</v>
      </c>
      <c r="K794" s="254" t="str">
        <f>IF(ISBLANK(INDEX('Policy Characteristics'!E:E,MATCH($C794,'Policy Characteristics'!$C:$C,0))),"",INDEX('Policy Characteristics'!E:E,MATCH($C794,'Policy Characteristics'!$C:$C,0)))</f>
        <v>indst shift to electricity</v>
      </c>
      <c r="L794" s="261">
        <f>IF(ISBLANK(INDEX('Policy Characteristics'!F:F,MATCH($C794,'Policy Characteristics'!$C:$C,0))),"",INDEX('Policy Characteristics'!F:F,MATCH($C794,'Policy Characteristics'!$C:$C,0)))</f>
        <v>0</v>
      </c>
      <c r="M794" s="261">
        <f>IF(ISBLANK(INDEX('Policy Characteristics'!G:G,MATCH($C794,'Policy Characteristics'!$C:$C,0))),"",INDEX('Policy Characteristics'!G:G,MATCH($C794,'Policy Characteristics'!$C:$C,0)))</f>
        <v>1</v>
      </c>
      <c r="N794" s="261">
        <f>IF(ISBLANK(INDEX('Policy Characteristics'!H:H,MATCH($C794,'Policy Characteristics'!$C:$C,0))),"",INDEX('Policy Characteristics'!H:H,MATCH($C794,'Policy Characteristics'!$C:$C,0)))</f>
        <v>0.01</v>
      </c>
      <c r="O794" s="254" t="str">
        <f>IF(ISBLANK(INDEX('Policy Characteristics'!I:I,MATCH($C794,'Policy Characteristics'!$C:$C,0))),"",INDEX('Policy Characteristics'!I:I,MATCH($C794,'Policy Characteristics'!$C:$C,0)))</f>
        <v>% of fuel shifted</v>
      </c>
      <c r="P794" s="254"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4" t="str">
        <f>IF(ISBLANK(INDEX('Policy Characteristics'!K:K,MATCH($C794,'Policy Characteristics'!$C:$C,0))),"",INDEX('Policy Characteristics'!K:K,MATCH($C794,'Policy Characteristics'!$C:$C,0)))</f>
        <v>industry-ag-main.html#fuel-switching</v>
      </c>
      <c r="R794" s="254" t="str">
        <f>IF(ISBLANK(INDEX('Policy Characteristics'!L:L,MATCH($C794,'Policy Characteristics'!$C:$C,0))),"",INDEX('Policy Characteristics'!L:L,MATCH($C794,'Policy Characteristics'!$C:$C,0)))</f>
        <v>industry-elec-and-hydrogen.html</v>
      </c>
    </row>
    <row r="795" spans="1:18" x14ac:dyDescent="0.3">
      <c r="A795" s="254" t="str">
        <f>IF(ISBLANK(INDEX('Policy Characteristics'!A:A,MATCH($C795,'Policy Characteristics'!$C:$C,0))),"",INDEX('Policy Characteristics'!A:A,MATCH($C795,'Policy Characteristics'!$C:$C,0)))</f>
        <v>Industry</v>
      </c>
      <c r="B795" s="262" t="str">
        <f>IF(ISBLANK(INDEX('Policy Characteristics'!B:B,MATCH($C795,'Policy Characteristics'!$C:$C,0))),"",INDEX('Policy Characteristics'!B:B,MATCH($C795,'Policy Characteristics'!$C:$C,0)))</f>
        <v>Electrification</v>
      </c>
      <c r="C795" s="254" t="str">
        <f t="shared" si="38"/>
        <v>Fraction of Eligible Industrial Energy Use Shifted to Electricity</v>
      </c>
      <c r="D795" s="6" t="s">
        <v>3081</v>
      </c>
      <c r="E795" s="1" t="s">
        <v>3520</v>
      </c>
      <c r="F795" t="s">
        <v>3043</v>
      </c>
      <c r="G795" s="45" t="s">
        <v>3527</v>
      </c>
      <c r="H795" s="43">
        <v>1999</v>
      </c>
      <c r="I795" s="324" t="s">
        <v>43</v>
      </c>
      <c r="J795" s="255" t="str">
        <f>IF(ISBLANK(INDEX('Policy Characteristics'!D:D,MATCH($C795,'Policy Characteristics'!$C:$C,0))),"",INDEX('Policy Characteristics'!D:D,MATCH($C795,'Policy Characteristics'!$C:$C,0)))</f>
        <v>Electrification</v>
      </c>
      <c r="K795" s="254" t="str">
        <f>IF(ISBLANK(INDEX('Policy Characteristics'!E:E,MATCH($C795,'Policy Characteristics'!$C:$C,0))),"",INDEX('Policy Characteristics'!E:E,MATCH($C795,'Policy Characteristics'!$C:$C,0)))</f>
        <v>indst shift to electricity</v>
      </c>
      <c r="L795" s="261">
        <f>IF(ISBLANK(INDEX('Policy Characteristics'!F:F,MATCH($C795,'Policy Characteristics'!$C:$C,0))),"",INDEX('Policy Characteristics'!F:F,MATCH($C795,'Policy Characteristics'!$C:$C,0)))</f>
        <v>0</v>
      </c>
      <c r="M795" s="261">
        <f>IF(ISBLANK(INDEX('Policy Characteristics'!G:G,MATCH($C795,'Policy Characteristics'!$C:$C,0))),"",INDEX('Policy Characteristics'!G:G,MATCH($C795,'Policy Characteristics'!$C:$C,0)))</f>
        <v>1</v>
      </c>
      <c r="N795" s="261">
        <f>IF(ISBLANK(INDEX('Policy Characteristics'!H:H,MATCH($C795,'Policy Characteristics'!$C:$C,0))),"",INDEX('Policy Characteristics'!H:H,MATCH($C795,'Policy Characteristics'!$C:$C,0)))</f>
        <v>0.01</v>
      </c>
      <c r="O795" s="254" t="str">
        <f>IF(ISBLANK(INDEX('Policy Characteristics'!I:I,MATCH($C795,'Policy Characteristics'!$C:$C,0))),"",INDEX('Policy Characteristics'!I:I,MATCH($C795,'Policy Characteristics'!$C:$C,0)))</f>
        <v>% of fuel shifted</v>
      </c>
      <c r="P795" s="254"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4" t="str">
        <f>IF(ISBLANK(INDEX('Policy Characteristics'!K:K,MATCH($C795,'Policy Characteristics'!$C:$C,0))),"",INDEX('Policy Characteristics'!K:K,MATCH($C795,'Policy Characteristics'!$C:$C,0)))</f>
        <v>industry-ag-main.html#fuel-switching</v>
      </c>
      <c r="R795" s="254" t="str">
        <f>IF(ISBLANK(INDEX('Policy Characteristics'!L:L,MATCH($C795,'Policy Characteristics'!$C:$C,0))),"",INDEX('Policy Characteristics'!L:L,MATCH($C795,'Policy Characteristics'!$C:$C,0)))</f>
        <v>industry-elec-and-hydrogen.html</v>
      </c>
    </row>
    <row r="796" spans="1:18" x14ac:dyDescent="0.3">
      <c r="A796" s="254" t="str">
        <f>IF(ISBLANK(INDEX('Policy Characteristics'!A:A,MATCH($C796,'Policy Characteristics'!$C:$C,0))),"",INDEX('Policy Characteristics'!A:A,MATCH($C796,'Policy Characteristics'!$C:$C,0)))</f>
        <v>Industry</v>
      </c>
      <c r="B796" s="262" t="str">
        <f>IF(ISBLANK(INDEX('Policy Characteristics'!B:B,MATCH($C796,'Policy Characteristics'!$C:$C,0))),"",INDEX('Policy Characteristics'!B:B,MATCH($C796,'Policy Characteristics'!$C:$C,0)))</f>
        <v>Electrification</v>
      </c>
      <c r="C796" s="254" t="str">
        <f t="shared" si="38"/>
        <v>Fraction of Eligible Industrial Energy Use Shifted to Electricity</v>
      </c>
      <c r="D796" s="6" t="s">
        <v>3081</v>
      </c>
      <c r="E796" s="1" t="s">
        <v>3521</v>
      </c>
      <c r="F796" t="s">
        <v>3043</v>
      </c>
      <c r="G796" s="45" t="s">
        <v>3528</v>
      </c>
      <c r="H796" s="43">
        <v>2000</v>
      </c>
      <c r="I796" s="324" t="s">
        <v>43</v>
      </c>
      <c r="J796" s="255" t="str">
        <f>IF(ISBLANK(INDEX('Policy Characteristics'!D:D,MATCH($C796,'Policy Characteristics'!$C:$C,0))),"",INDEX('Policy Characteristics'!D:D,MATCH($C796,'Policy Characteristics'!$C:$C,0)))</f>
        <v>Electrification</v>
      </c>
      <c r="K796" s="254" t="str">
        <f>IF(ISBLANK(INDEX('Policy Characteristics'!E:E,MATCH($C796,'Policy Characteristics'!$C:$C,0))),"",INDEX('Policy Characteristics'!E:E,MATCH($C796,'Policy Characteristics'!$C:$C,0)))</f>
        <v>indst shift to electricity</v>
      </c>
      <c r="L796" s="261">
        <f>IF(ISBLANK(INDEX('Policy Characteristics'!F:F,MATCH($C796,'Policy Characteristics'!$C:$C,0))),"",INDEX('Policy Characteristics'!F:F,MATCH($C796,'Policy Characteristics'!$C:$C,0)))</f>
        <v>0</v>
      </c>
      <c r="M796" s="261">
        <f>IF(ISBLANK(INDEX('Policy Characteristics'!G:G,MATCH($C796,'Policy Characteristics'!$C:$C,0))),"",INDEX('Policy Characteristics'!G:G,MATCH($C796,'Policy Characteristics'!$C:$C,0)))</f>
        <v>1</v>
      </c>
      <c r="N796" s="261">
        <f>IF(ISBLANK(INDEX('Policy Characteristics'!H:H,MATCH($C796,'Policy Characteristics'!$C:$C,0))),"",INDEX('Policy Characteristics'!H:H,MATCH($C796,'Policy Characteristics'!$C:$C,0)))</f>
        <v>0.01</v>
      </c>
      <c r="O796" s="254" t="str">
        <f>IF(ISBLANK(INDEX('Policy Characteristics'!I:I,MATCH($C796,'Policy Characteristics'!$C:$C,0))),"",INDEX('Policy Characteristics'!I:I,MATCH($C796,'Policy Characteristics'!$C:$C,0)))</f>
        <v>% of fuel shifted</v>
      </c>
      <c r="P796" s="254"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4" t="str">
        <f>IF(ISBLANK(INDEX('Policy Characteristics'!K:K,MATCH($C796,'Policy Characteristics'!$C:$C,0))),"",INDEX('Policy Characteristics'!K:K,MATCH($C796,'Policy Characteristics'!$C:$C,0)))</f>
        <v>industry-ag-main.html#fuel-switching</v>
      </c>
      <c r="R796" s="254" t="str">
        <f>IF(ISBLANK(INDEX('Policy Characteristics'!L:L,MATCH($C796,'Policy Characteristics'!$C:$C,0))),"",INDEX('Policy Characteristics'!L:L,MATCH($C796,'Policy Characteristics'!$C:$C,0)))</f>
        <v>industry-elec-and-hydrogen.html</v>
      </c>
    </row>
    <row r="797" spans="1:18" x14ac:dyDescent="0.3">
      <c r="A797" s="254" t="str">
        <f>IF(ISBLANK(INDEX('Policy Characteristics'!A:A,MATCH($C797,'Policy Characteristics'!$C:$C,0))),"",INDEX('Policy Characteristics'!A:A,MATCH($C797,'Policy Characteristics'!$C:$C,0)))</f>
        <v>Industry</v>
      </c>
      <c r="B797" s="262" t="str">
        <f>IF(ISBLANK(INDEX('Policy Characteristics'!B:B,MATCH($C797,'Policy Characteristics'!$C:$C,0))),"",INDEX('Policy Characteristics'!B:B,MATCH($C797,'Policy Characteristics'!$C:$C,0)))</f>
        <v>Electrification</v>
      </c>
      <c r="C797" s="254" t="str">
        <f t="shared" si="38"/>
        <v>Fraction of Eligible Industrial Energy Use Shifted to Electricity</v>
      </c>
      <c r="D797" s="6" t="s">
        <v>3081</v>
      </c>
      <c r="E797" s="1" t="s">
        <v>3671</v>
      </c>
      <c r="F797" t="s">
        <v>3043</v>
      </c>
      <c r="G797" s="45" t="s">
        <v>3671</v>
      </c>
      <c r="H797" s="43">
        <v>2001</v>
      </c>
      <c r="I797" s="324" t="s">
        <v>43</v>
      </c>
      <c r="J797" s="255" t="str">
        <f>IF(ISBLANK(INDEX('Policy Characteristics'!D:D,MATCH($C797,'Policy Characteristics'!$C:$C,0))),"",INDEX('Policy Characteristics'!D:D,MATCH($C797,'Policy Characteristics'!$C:$C,0)))</f>
        <v>Electrification</v>
      </c>
      <c r="K797" s="254" t="str">
        <f>IF(ISBLANK(INDEX('Policy Characteristics'!E:E,MATCH($C797,'Policy Characteristics'!$C:$C,0))),"",INDEX('Policy Characteristics'!E:E,MATCH($C797,'Policy Characteristics'!$C:$C,0)))</f>
        <v>indst shift to electricity</v>
      </c>
      <c r="L797" s="261">
        <f>IF(ISBLANK(INDEX('Policy Characteristics'!F:F,MATCH($C797,'Policy Characteristics'!$C:$C,0))),"",INDEX('Policy Characteristics'!F:F,MATCH($C797,'Policy Characteristics'!$C:$C,0)))</f>
        <v>0</v>
      </c>
      <c r="M797" s="261">
        <f>IF(ISBLANK(INDEX('Policy Characteristics'!G:G,MATCH($C797,'Policy Characteristics'!$C:$C,0))),"",INDEX('Policy Characteristics'!G:G,MATCH($C797,'Policy Characteristics'!$C:$C,0)))</f>
        <v>1</v>
      </c>
      <c r="N797" s="261">
        <f>IF(ISBLANK(INDEX('Policy Characteristics'!H:H,MATCH($C797,'Policy Characteristics'!$C:$C,0))),"",INDEX('Policy Characteristics'!H:H,MATCH($C797,'Policy Characteristics'!$C:$C,0)))</f>
        <v>0.01</v>
      </c>
      <c r="O797" s="254" t="str">
        <f>IF(ISBLANK(INDEX('Policy Characteristics'!I:I,MATCH($C797,'Policy Characteristics'!$C:$C,0))),"",INDEX('Policy Characteristics'!I:I,MATCH($C797,'Policy Characteristics'!$C:$C,0)))</f>
        <v>% of fuel shifted</v>
      </c>
      <c r="P797" s="254"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4" t="str">
        <f>IF(ISBLANK(INDEX('Policy Characteristics'!K:K,MATCH($C797,'Policy Characteristics'!$C:$C,0))),"",INDEX('Policy Characteristics'!K:K,MATCH($C797,'Policy Characteristics'!$C:$C,0)))</f>
        <v>industry-ag-main.html#fuel-switching</v>
      </c>
      <c r="R797" s="254" t="str">
        <f>IF(ISBLANK(INDEX('Policy Characteristics'!L:L,MATCH($C797,'Policy Characteristics'!$C:$C,0))),"",INDEX('Policy Characteristics'!L:L,MATCH($C797,'Policy Characteristics'!$C:$C,0)))</f>
        <v>industry-elec-and-hydrogen.html</v>
      </c>
    </row>
    <row r="798" spans="1:18" x14ac:dyDescent="0.3">
      <c r="A798" s="254" t="str">
        <f>IF(ISBLANK(INDEX('Policy Characteristics'!A:A,MATCH($C798,'Policy Characteristics'!$C:$C,0))),"",INDEX('Policy Characteristics'!A:A,MATCH($C798,'Policy Characteristics'!$C:$C,0)))</f>
        <v>Industry</v>
      </c>
      <c r="B798" s="262" t="str">
        <f>IF(ISBLANK(INDEX('Policy Characteristics'!B:B,MATCH($C798,'Policy Characteristics'!$C:$C,0))),"",INDEX('Policy Characteristics'!B:B,MATCH($C798,'Policy Characteristics'!$C:$C,0)))</f>
        <v>Electrification</v>
      </c>
      <c r="C798" s="254" t="str">
        <f t="shared" ref="C798:C829" si="39">C$630</f>
        <v>Fraction of Eligible Industrial Energy Use Shifted to Electricity</v>
      </c>
      <c r="D798" s="6" t="s">
        <v>3082</v>
      </c>
      <c r="E798" s="1" t="s">
        <v>3515</v>
      </c>
      <c r="F798" t="s">
        <v>3044</v>
      </c>
      <c r="G798" s="45" t="s">
        <v>3522</v>
      </c>
      <c r="H798" s="43">
        <v>2002</v>
      </c>
      <c r="I798" s="324" t="s">
        <v>43</v>
      </c>
      <c r="J798" s="255" t="str">
        <f>IF(ISBLANK(INDEX('Policy Characteristics'!D:D,MATCH($C798,'Policy Characteristics'!$C:$C,0))),"",INDEX('Policy Characteristics'!D:D,MATCH($C798,'Policy Characteristics'!$C:$C,0)))</f>
        <v>Electrification</v>
      </c>
      <c r="K798" s="254" t="str">
        <f>IF(ISBLANK(INDEX('Policy Characteristics'!E:E,MATCH($C798,'Policy Characteristics'!$C:$C,0))),"",INDEX('Policy Characteristics'!E:E,MATCH($C798,'Policy Characteristics'!$C:$C,0)))</f>
        <v>indst shift to electricity</v>
      </c>
      <c r="L798" s="261">
        <f>IF(ISBLANK(INDEX('Policy Characteristics'!F:F,MATCH($C798,'Policy Characteristics'!$C:$C,0))),"",INDEX('Policy Characteristics'!F:F,MATCH($C798,'Policy Characteristics'!$C:$C,0)))</f>
        <v>0</v>
      </c>
      <c r="M798" s="261">
        <f>IF(ISBLANK(INDEX('Policy Characteristics'!G:G,MATCH($C798,'Policy Characteristics'!$C:$C,0))),"",INDEX('Policy Characteristics'!G:G,MATCH($C798,'Policy Characteristics'!$C:$C,0)))</f>
        <v>1</v>
      </c>
      <c r="N798" s="261">
        <f>IF(ISBLANK(INDEX('Policy Characteristics'!H:H,MATCH($C798,'Policy Characteristics'!$C:$C,0))),"",INDEX('Policy Characteristics'!H:H,MATCH($C798,'Policy Characteristics'!$C:$C,0)))</f>
        <v>0.01</v>
      </c>
      <c r="O798" s="254" t="str">
        <f>IF(ISBLANK(INDEX('Policy Characteristics'!I:I,MATCH($C798,'Policy Characteristics'!$C:$C,0))),"",INDEX('Policy Characteristics'!I:I,MATCH($C798,'Policy Characteristics'!$C:$C,0)))</f>
        <v>% of fuel shifted</v>
      </c>
      <c r="P798" s="254"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4" t="str">
        <f>IF(ISBLANK(INDEX('Policy Characteristics'!K:K,MATCH($C798,'Policy Characteristics'!$C:$C,0))),"",INDEX('Policy Characteristics'!K:K,MATCH($C798,'Policy Characteristics'!$C:$C,0)))</f>
        <v>industry-ag-main.html#fuel-switching</v>
      </c>
      <c r="R798" s="254" t="str">
        <f>IF(ISBLANK(INDEX('Policy Characteristics'!L:L,MATCH($C798,'Policy Characteristics'!$C:$C,0))),"",INDEX('Policy Characteristics'!L:L,MATCH($C798,'Policy Characteristics'!$C:$C,0)))</f>
        <v>industry-elec-and-hydrogen.html</v>
      </c>
    </row>
    <row r="799" spans="1:18" x14ac:dyDescent="0.3">
      <c r="A799" s="254" t="str">
        <f>IF(ISBLANK(INDEX('Policy Characteristics'!A:A,MATCH($C799,'Policy Characteristics'!$C:$C,0))),"",INDEX('Policy Characteristics'!A:A,MATCH($C799,'Policy Characteristics'!$C:$C,0)))</f>
        <v>Industry</v>
      </c>
      <c r="B799" s="262" t="str">
        <f>IF(ISBLANK(INDEX('Policy Characteristics'!B:B,MATCH($C799,'Policy Characteristics'!$C:$C,0))),"",INDEX('Policy Characteristics'!B:B,MATCH($C799,'Policy Characteristics'!$C:$C,0)))</f>
        <v>Electrification</v>
      </c>
      <c r="C799" s="254" t="str">
        <f t="shared" si="39"/>
        <v>Fraction of Eligible Industrial Energy Use Shifted to Electricity</v>
      </c>
      <c r="D799" s="6" t="s">
        <v>3082</v>
      </c>
      <c r="E799" s="1" t="s">
        <v>3516</v>
      </c>
      <c r="F799" t="s">
        <v>3044</v>
      </c>
      <c r="G799" s="45" t="s">
        <v>3523</v>
      </c>
      <c r="H799" s="43">
        <v>2003</v>
      </c>
      <c r="I799" s="324" t="s">
        <v>43</v>
      </c>
      <c r="J799" s="255" t="str">
        <f>IF(ISBLANK(INDEX('Policy Characteristics'!D:D,MATCH($C799,'Policy Characteristics'!$C:$C,0))),"",INDEX('Policy Characteristics'!D:D,MATCH($C799,'Policy Characteristics'!$C:$C,0)))</f>
        <v>Electrification</v>
      </c>
      <c r="K799" s="254" t="str">
        <f>IF(ISBLANK(INDEX('Policy Characteristics'!E:E,MATCH($C799,'Policy Characteristics'!$C:$C,0))),"",INDEX('Policy Characteristics'!E:E,MATCH($C799,'Policy Characteristics'!$C:$C,0)))</f>
        <v>indst shift to electricity</v>
      </c>
      <c r="L799" s="261">
        <f>IF(ISBLANK(INDEX('Policy Characteristics'!F:F,MATCH($C799,'Policy Characteristics'!$C:$C,0))),"",INDEX('Policy Characteristics'!F:F,MATCH($C799,'Policy Characteristics'!$C:$C,0)))</f>
        <v>0</v>
      </c>
      <c r="M799" s="261">
        <f>IF(ISBLANK(INDEX('Policy Characteristics'!G:G,MATCH($C799,'Policy Characteristics'!$C:$C,0))),"",INDEX('Policy Characteristics'!G:G,MATCH($C799,'Policy Characteristics'!$C:$C,0)))</f>
        <v>1</v>
      </c>
      <c r="N799" s="261">
        <f>IF(ISBLANK(INDEX('Policy Characteristics'!H:H,MATCH($C799,'Policy Characteristics'!$C:$C,0))),"",INDEX('Policy Characteristics'!H:H,MATCH($C799,'Policy Characteristics'!$C:$C,0)))</f>
        <v>0.01</v>
      </c>
      <c r="O799" s="254" t="str">
        <f>IF(ISBLANK(INDEX('Policy Characteristics'!I:I,MATCH($C799,'Policy Characteristics'!$C:$C,0))),"",INDEX('Policy Characteristics'!I:I,MATCH($C799,'Policy Characteristics'!$C:$C,0)))</f>
        <v>% of fuel shifted</v>
      </c>
      <c r="P799" s="254"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4" t="str">
        <f>IF(ISBLANK(INDEX('Policy Characteristics'!K:K,MATCH($C799,'Policy Characteristics'!$C:$C,0))),"",INDEX('Policy Characteristics'!K:K,MATCH($C799,'Policy Characteristics'!$C:$C,0)))</f>
        <v>industry-ag-main.html#fuel-switching</v>
      </c>
      <c r="R799" s="254" t="str">
        <f>IF(ISBLANK(INDEX('Policy Characteristics'!L:L,MATCH($C799,'Policy Characteristics'!$C:$C,0))),"",INDEX('Policy Characteristics'!L:L,MATCH($C799,'Policy Characteristics'!$C:$C,0)))</f>
        <v>industry-elec-and-hydrogen.html</v>
      </c>
    </row>
    <row r="800" spans="1:18" x14ac:dyDescent="0.3">
      <c r="A800" s="254" t="str">
        <f>IF(ISBLANK(INDEX('Policy Characteristics'!A:A,MATCH($C800,'Policy Characteristics'!$C:$C,0))),"",INDEX('Policy Characteristics'!A:A,MATCH($C800,'Policy Characteristics'!$C:$C,0)))</f>
        <v>Industry</v>
      </c>
      <c r="B800" s="262" t="str">
        <f>IF(ISBLANK(INDEX('Policy Characteristics'!B:B,MATCH($C800,'Policy Characteristics'!$C:$C,0))),"",INDEX('Policy Characteristics'!B:B,MATCH($C800,'Policy Characteristics'!$C:$C,0)))</f>
        <v>Electrification</v>
      </c>
      <c r="C800" s="254" t="str">
        <f t="shared" si="39"/>
        <v>Fraction of Eligible Industrial Energy Use Shifted to Electricity</v>
      </c>
      <c r="D800" s="6" t="s">
        <v>3082</v>
      </c>
      <c r="E800" s="1" t="s">
        <v>3517</v>
      </c>
      <c r="F800" t="s">
        <v>3044</v>
      </c>
      <c r="G800" s="45" t="s">
        <v>3524</v>
      </c>
      <c r="H800" s="43">
        <v>2004</v>
      </c>
      <c r="I800" s="324" t="s">
        <v>43</v>
      </c>
      <c r="J800" s="255" t="str">
        <f>IF(ISBLANK(INDEX('Policy Characteristics'!D:D,MATCH($C800,'Policy Characteristics'!$C:$C,0))),"",INDEX('Policy Characteristics'!D:D,MATCH($C800,'Policy Characteristics'!$C:$C,0)))</f>
        <v>Electrification</v>
      </c>
      <c r="K800" s="254" t="str">
        <f>IF(ISBLANK(INDEX('Policy Characteristics'!E:E,MATCH($C800,'Policy Characteristics'!$C:$C,0))),"",INDEX('Policy Characteristics'!E:E,MATCH($C800,'Policy Characteristics'!$C:$C,0)))</f>
        <v>indst shift to electricity</v>
      </c>
      <c r="L800" s="261">
        <f>IF(ISBLANK(INDEX('Policy Characteristics'!F:F,MATCH($C800,'Policy Characteristics'!$C:$C,0))),"",INDEX('Policy Characteristics'!F:F,MATCH($C800,'Policy Characteristics'!$C:$C,0)))</f>
        <v>0</v>
      </c>
      <c r="M800" s="261">
        <f>IF(ISBLANK(INDEX('Policy Characteristics'!G:G,MATCH($C800,'Policy Characteristics'!$C:$C,0))),"",INDEX('Policy Characteristics'!G:G,MATCH($C800,'Policy Characteristics'!$C:$C,0)))</f>
        <v>1</v>
      </c>
      <c r="N800" s="261">
        <f>IF(ISBLANK(INDEX('Policy Characteristics'!H:H,MATCH($C800,'Policy Characteristics'!$C:$C,0))),"",INDEX('Policy Characteristics'!H:H,MATCH($C800,'Policy Characteristics'!$C:$C,0)))</f>
        <v>0.01</v>
      </c>
      <c r="O800" s="254" t="str">
        <f>IF(ISBLANK(INDEX('Policy Characteristics'!I:I,MATCH($C800,'Policy Characteristics'!$C:$C,0))),"",INDEX('Policy Characteristics'!I:I,MATCH($C800,'Policy Characteristics'!$C:$C,0)))</f>
        <v>% of fuel shifted</v>
      </c>
      <c r="P800" s="254"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4" t="str">
        <f>IF(ISBLANK(INDEX('Policy Characteristics'!K:K,MATCH($C800,'Policy Characteristics'!$C:$C,0))),"",INDEX('Policy Characteristics'!K:K,MATCH($C800,'Policy Characteristics'!$C:$C,0)))</f>
        <v>industry-ag-main.html#fuel-switching</v>
      </c>
      <c r="R800" s="254" t="str">
        <f>IF(ISBLANK(INDEX('Policy Characteristics'!L:L,MATCH($C800,'Policy Characteristics'!$C:$C,0))),"",INDEX('Policy Characteristics'!L:L,MATCH($C800,'Policy Characteristics'!$C:$C,0)))</f>
        <v>industry-elec-and-hydrogen.html</v>
      </c>
    </row>
    <row r="801" spans="1:18" x14ac:dyDescent="0.3">
      <c r="A801" s="254" t="str">
        <f>IF(ISBLANK(INDEX('Policy Characteristics'!A:A,MATCH($C801,'Policy Characteristics'!$C:$C,0))),"",INDEX('Policy Characteristics'!A:A,MATCH($C801,'Policy Characteristics'!$C:$C,0)))</f>
        <v>Industry</v>
      </c>
      <c r="B801" s="262" t="str">
        <f>IF(ISBLANK(INDEX('Policy Characteristics'!B:B,MATCH($C801,'Policy Characteristics'!$C:$C,0))),"",INDEX('Policy Characteristics'!B:B,MATCH($C801,'Policy Characteristics'!$C:$C,0)))</f>
        <v>Electrification</v>
      </c>
      <c r="C801" s="254" t="str">
        <f t="shared" si="39"/>
        <v>Fraction of Eligible Industrial Energy Use Shifted to Electricity</v>
      </c>
      <c r="D801" s="6" t="s">
        <v>3082</v>
      </c>
      <c r="E801" s="1" t="s">
        <v>3518</v>
      </c>
      <c r="F801" t="s">
        <v>3044</v>
      </c>
      <c r="G801" s="45" t="s">
        <v>3525</v>
      </c>
      <c r="H801" s="43">
        <v>2005</v>
      </c>
      <c r="I801" s="324" t="s">
        <v>43</v>
      </c>
      <c r="J801" s="255" t="str">
        <f>IF(ISBLANK(INDEX('Policy Characteristics'!D:D,MATCH($C801,'Policy Characteristics'!$C:$C,0))),"",INDEX('Policy Characteristics'!D:D,MATCH($C801,'Policy Characteristics'!$C:$C,0)))</f>
        <v>Electrification</v>
      </c>
      <c r="K801" s="254" t="str">
        <f>IF(ISBLANK(INDEX('Policy Characteristics'!E:E,MATCH($C801,'Policy Characteristics'!$C:$C,0))),"",INDEX('Policy Characteristics'!E:E,MATCH($C801,'Policy Characteristics'!$C:$C,0)))</f>
        <v>indst shift to electricity</v>
      </c>
      <c r="L801" s="261">
        <f>IF(ISBLANK(INDEX('Policy Characteristics'!F:F,MATCH($C801,'Policy Characteristics'!$C:$C,0))),"",INDEX('Policy Characteristics'!F:F,MATCH($C801,'Policy Characteristics'!$C:$C,0)))</f>
        <v>0</v>
      </c>
      <c r="M801" s="261">
        <f>IF(ISBLANK(INDEX('Policy Characteristics'!G:G,MATCH($C801,'Policy Characteristics'!$C:$C,0))),"",INDEX('Policy Characteristics'!G:G,MATCH($C801,'Policy Characteristics'!$C:$C,0)))</f>
        <v>1</v>
      </c>
      <c r="N801" s="261">
        <f>IF(ISBLANK(INDEX('Policy Characteristics'!H:H,MATCH($C801,'Policy Characteristics'!$C:$C,0))),"",INDEX('Policy Characteristics'!H:H,MATCH($C801,'Policy Characteristics'!$C:$C,0)))</f>
        <v>0.01</v>
      </c>
      <c r="O801" s="254" t="str">
        <f>IF(ISBLANK(INDEX('Policy Characteristics'!I:I,MATCH($C801,'Policy Characteristics'!$C:$C,0))),"",INDEX('Policy Characteristics'!I:I,MATCH($C801,'Policy Characteristics'!$C:$C,0)))</f>
        <v>% of fuel shifted</v>
      </c>
      <c r="P801" s="254"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4" t="str">
        <f>IF(ISBLANK(INDEX('Policy Characteristics'!K:K,MATCH($C801,'Policy Characteristics'!$C:$C,0))),"",INDEX('Policy Characteristics'!K:K,MATCH($C801,'Policy Characteristics'!$C:$C,0)))</f>
        <v>industry-ag-main.html#fuel-switching</v>
      </c>
      <c r="R801" s="254" t="str">
        <f>IF(ISBLANK(INDEX('Policy Characteristics'!L:L,MATCH($C801,'Policy Characteristics'!$C:$C,0))),"",INDEX('Policy Characteristics'!L:L,MATCH($C801,'Policy Characteristics'!$C:$C,0)))</f>
        <v>industry-elec-and-hydrogen.html</v>
      </c>
    </row>
    <row r="802" spans="1:18" x14ac:dyDescent="0.3">
      <c r="A802" s="254" t="str">
        <f>IF(ISBLANK(INDEX('Policy Characteristics'!A:A,MATCH($C802,'Policy Characteristics'!$C:$C,0))),"",INDEX('Policy Characteristics'!A:A,MATCH($C802,'Policy Characteristics'!$C:$C,0)))</f>
        <v>Industry</v>
      </c>
      <c r="B802" s="262" t="str">
        <f>IF(ISBLANK(INDEX('Policy Characteristics'!B:B,MATCH($C802,'Policy Characteristics'!$C:$C,0))),"",INDEX('Policy Characteristics'!B:B,MATCH($C802,'Policy Characteristics'!$C:$C,0)))</f>
        <v>Electrification</v>
      </c>
      <c r="C802" s="254" t="str">
        <f t="shared" si="39"/>
        <v>Fraction of Eligible Industrial Energy Use Shifted to Electricity</v>
      </c>
      <c r="D802" s="6" t="s">
        <v>3082</v>
      </c>
      <c r="E802" s="1" t="s">
        <v>3519</v>
      </c>
      <c r="F802" t="s">
        <v>3044</v>
      </c>
      <c r="G802" s="45" t="s">
        <v>3526</v>
      </c>
      <c r="H802" s="43">
        <v>2006</v>
      </c>
      <c r="I802" s="324" t="s">
        <v>43</v>
      </c>
      <c r="J802" s="255" t="str">
        <f>IF(ISBLANK(INDEX('Policy Characteristics'!D:D,MATCH($C802,'Policy Characteristics'!$C:$C,0))),"",INDEX('Policy Characteristics'!D:D,MATCH($C802,'Policy Characteristics'!$C:$C,0)))</f>
        <v>Electrification</v>
      </c>
      <c r="K802" s="254" t="str">
        <f>IF(ISBLANK(INDEX('Policy Characteristics'!E:E,MATCH($C802,'Policy Characteristics'!$C:$C,0))),"",INDEX('Policy Characteristics'!E:E,MATCH($C802,'Policy Characteristics'!$C:$C,0)))</f>
        <v>indst shift to electricity</v>
      </c>
      <c r="L802" s="261">
        <f>IF(ISBLANK(INDEX('Policy Characteristics'!F:F,MATCH($C802,'Policy Characteristics'!$C:$C,0))),"",INDEX('Policy Characteristics'!F:F,MATCH($C802,'Policy Characteristics'!$C:$C,0)))</f>
        <v>0</v>
      </c>
      <c r="M802" s="261">
        <f>IF(ISBLANK(INDEX('Policy Characteristics'!G:G,MATCH($C802,'Policy Characteristics'!$C:$C,0))),"",INDEX('Policy Characteristics'!G:G,MATCH($C802,'Policy Characteristics'!$C:$C,0)))</f>
        <v>1</v>
      </c>
      <c r="N802" s="261">
        <f>IF(ISBLANK(INDEX('Policy Characteristics'!H:H,MATCH($C802,'Policy Characteristics'!$C:$C,0))),"",INDEX('Policy Characteristics'!H:H,MATCH($C802,'Policy Characteristics'!$C:$C,0)))</f>
        <v>0.01</v>
      </c>
      <c r="O802" s="254" t="str">
        <f>IF(ISBLANK(INDEX('Policy Characteristics'!I:I,MATCH($C802,'Policy Characteristics'!$C:$C,0))),"",INDEX('Policy Characteristics'!I:I,MATCH($C802,'Policy Characteristics'!$C:$C,0)))</f>
        <v>% of fuel shifted</v>
      </c>
      <c r="P802" s="254"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4" t="str">
        <f>IF(ISBLANK(INDEX('Policy Characteristics'!K:K,MATCH($C802,'Policy Characteristics'!$C:$C,0))),"",INDEX('Policy Characteristics'!K:K,MATCH($C802,'Policy Characteristics'!$C:$C,0)))</f>
        <v>industry-ag-main.html#fuel-switching</v>
      </c>
      <c r="R802" s="254" t="str">
        <f>IF(ISBLANK(INDEX('Policy Characteristics'!L:L,MATCH($C802,'Policy Characteristics'!$C:$C,0))),"",INDEX('Policy Characteristics'!L:L,MATCH($C802,'Policy Characteristics'!$C:$C,0)))</f>
        <v>industry-elec-and-hydrogen.html</v>
      </c>
    </row>
    <row r="803" spans="1:18" x14ac:dyDescent="0.3">
      <c r="A803" s="254" t="str">
        <f>IF(ISBLANK(INDEX('Policy Characteristics'!A:A,MATCH($C803,'Policy Characteristics'!$C:$C,0))),"",INDEX('Policy Characteristics'!A:A,MATCH($C803,'Policy Characteristics'!$C:$C,0)))</f>
        <v>Industry</v>
      </c>
      <c r="B803" s="262" t="str">
        <f>IF(ISBLANK(INDEX('Policy Characteristics'!B:B,MATCH($C803,'Policy Characteristics'!$C:$C,0))),"",INDEX('Policy Characteristics'!B:B,MATCH($C803,'Policy Characteristics'!$C:$C,0)))</f>
        <v>Electrification</v>
      </c>
      <c r="C803" s="254" t="str">
        <f t="shared" si="39"/>
        <v>Fraction of Eligible Industrial Energy Use Shifted to Electricity</v>
      </c>
      <c r="D803" s="6" t="s">
        <v>3082</v>
      </c>
      <c r="E803" s="1" t="s">
        <v>3520</v>
      </c>
      <c r="F803" t="s">
        <v>3044</v>
      </c>
      <c r="G803" s="45" t="s">
        <v>3527</v>
      </c>
      <c r="H803" s="43">
        <v>2007</v>
      </c>
      <c r="I803" s="324" t="s">
        <v>43</v>
      </c>
      <c r="J803" s="255" t="str">
        <f>IF(ISBLANK(INDEX('Policy Characteristics'!D:D,MATCH($C803,'Policy Characteristics'!$C:$C,0))),"",INDEX('Policy Characteristics'!D:D,MATCH($C803,'Policy Characteristics'!$C:$C,0)))</f>
        <v>Electrification</v>
      </c>
      <c r="K803" s="254" t="str">
        <f>IF(ISBLANK(INDEX('Policy Characteristics'!E:E,MATCH($C803,'Policy Characteristics'!$C:$C,0))),"",INDEX('Policy Characteristics'!E:E,MATCH($C803,'Policy Characteristics'!$C:$C,0)))</f>
        <v>indst shift to electricity</v>
      </c>
      <c r="L803" s="261">
        <f>IF(ISBLANK(INDEX('Policy Characteristics'!F:F,MATCH($C803,'Policy Characteristics'!$C:$C,0))),"",INDEX('Policy Characteristics'!F:F,MATCH($C803,'Policy Characteristics'!$C:$C,0)))</f>
        <v>0</v>
      </c>
      <c r="M803" s="261">
        <f>IF(ISBLANK(INDEX('Policy Characteristics'!G:G,MATCH($C803,'Policy Characteristics'!$C:$C,0))),"",INDEX('Policy Characteristics'!G:G,MATCH($C803,'Policy Characteristics'!$C:$C,0)))</f>
        <v>1</v>
      </c>
      <c r="N803" s="261">
        <f>IF(ISBLANK(INDEX('Policy Characteristics'!H:H,MATCH($C803,'Policy Characteristics'!$C:$C,0))),"",INDEX('Policy Characteristics'!H:H,MATCH($C803,'Policy Characteristics'!$C:$C,0)))</f>
        <v>0.01</v>
      </c>
      <c r="O803" s="254" t="str">
        <f>IF(ISBLANK(INDEX('Policy Characteristics'!I:I,MATCH($C803,'Policy Characteristics'!$C:$C,0))),"",INDEX('Policy Characteristics'!I:I,MATCH($C803,'Policy Characteristics'!$C:$C,0)))</f>
        <v>% of fuel shifted</v>
      </c>
      <c r="P803" s="254"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4" t="str">
        <f>IF(ISBLANK(INDEX('Policy Characteristics'!K:K,MATCH($C803,'Policy Characteristics'!$C:$C,0))),"",INDEX('Policy Characteristics'!K:K,MATCH($C803,'Policy Characteristics'!$C:$C,0)))</f>
        <v>industry-ag-main.html#fuel-switching</v>
      </c>
      <c r="R803" s="254" t="str">
        <f>IF(ISBLANK(INDEX('Policy Characteristics'!L:L,MATCH($C803,'Policy Characteristics'!$C:$C,0))),"",INDEX('Policy Characteristics'!L:L,MATCH($C803,'Policy Characteristics'!$C:$C,0)))</f>
        <v>industry-elec-and-hydrogen.html</v>
      </c>
    </row>
    <row r="804" spans="1:18" x14ac:dyDescent="0.3">
      <c r="A804" s="254" t="str">
        <f>IF(ISBLANK(INDEX('Policy Characteristics'!A:A,MATCH($C804,'Policy Characteristics'!$C:$C,0))),"",INDEX('Policy Characteristics'!A:A,MATCH($C804,'Policy Characteristics'!$C:$C,0)))</f>
        <v>Industry</v>
      </c>
      <c r="B804" s="262" t="str">
        <f>IF(ISBLANK(INDEX('Policy Characteristics'!B:B,MATCH($C804,'Policy Characteristics'!$C:$C,0))),"",INDEX('Policy Characteristics'!B:B,MATCH($C804,'Policy Characteristics'!$C:$C,0)))</f>
        <v>Electrification</v>
      </c>
      <c r="C804" s="254" t="str">
        <f t="shared" si="39"/>
        <v>Fraction of Eligible Industrial Energy Use Shifted to Electricity</v>
      </c>
      <c r="D804" s="6" t="s">
        <v>3082</v>
      </c>
      <c r="E804" s="1" t="s">
        <v>3521</v>
      </c>
      <c r="F804" t="s">
        <v>3044</v>
      </c>
      <c r="G804" s="45" t="s">
        <v>3528</v>
      </c>
      <c r="H804" s="43">
        <v>2008</v>
      </c>
      <c r="I804" s="324" t="s">
        <v>43</v>
      </c>
      <c r="J804" s="255" t="str">
        <f>IF(ISBLANK(INDEX('Policy Characteristics'!D:D,MATCH($C804,'Policy Characteristics'!$C:$C,0))),"",INDEX('Policy Characteristics'!D:D,MATCH($C804,'Policy Characteristics'!$C:$C,0)))</f>
        <v>Electrification</v>
      </c>
      <c r="K804" s="254" t="str">
        <f>IF(ISBLANK(INDEX('Policy Characteristics'!E:E,MATCH($C804,'Policy Characteristics'!$C:$C,0))),"",INDEX('Policy Characteristics'!E:E,MATCH($C804,'Policy Characteristics'!$C:$C,0)))</f>
        <v>indst shift to electricity</v>
      </c>
      <c r="L804" s="261">
        <f>IF(ISBLANK(INDEX('Policy Characteristics'!F:F,MATCH($C804,'Policy Characteristics'!$C:$C,0))),"",INDEX('Policy Characteristics'!F:F,MATCH($C804,'Policy Characteristics'!$C:$C,0)))</f>
        <v>0</v>
      </c>
      <c r="M804" s="261">
        <f>IF(ISBLANK(INDEX('Policy Characteristics'!G:G,MATCH($C804,'Policy Characteristics'!$C:$C,0))),"",INDEX('Policy Characteristics'!G:G,MATCH($C804,'Policy Characteristics'!$C:$C,0)))</f>
        <v>1</v>
      </c>
      <c r="N804" s="261">
        <f>IF(ISBLANK(INDEX('Policy Characteristics'!H:H,MATCH($C804,'Policy Characteristics'!$C:$C,0))),"",INDEX('Policy Characteristics'!H:H,MATCH($C804,'Policy Characteristics'!$C:$C,0)))</f>
        <v>0.01</v>
      </c>
      <c r="O804" s="254" t="str">
        <f>IF(ISBLANK(INDEX('Policy Characteristics'!I:I,MATCH($C804,'Policy Characteristics'!$C:$C,0))),"",INDEX('Policy Characteristics'!I:I,MATCH($C804,'Policy Characteristics'!$C:$C,0)))</f>
        <v>% of fuel shifted</v>
      </c>
      <c r="P804" s="254"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4" t="str">
        <f>IF(ISBLANK(INDEX('Policy Characteristics'!K:K,MATCH($C804,'Policy Characteristics'!$C:$C,0))),"",INDEX('Policy Characteristics'!K:K,MATCH($C804,'Policy Characteristics'!$C:$C,0)))</f>
        <v>industry-ag-main.html#fuel-switching</v>
      </c>
      <c r="R804" s="254" t="str">
        <f>IF(ISBLANK(INDEX('Policy Characteristics'!L:L,MATCH($C804,'Policy Characteristics'!$C:$C,0))),"",INDEX('Policy Characteristics'!L:L,MATCH($C804,'Policy Characteristics'!$C:$C,0)))</f>
        <v>industry-elec-and-hydrogen.html</v>
      </c>
    </row>
    <row r="805" spans="1:18" x14ac:dyDescent="0.3">
      <c r="A805" s="254" t="str">
        <f>IF(ISBLANK(INDEX('Policy Characteristics'!A:A,MATCH($C805,'Policy Characteristics'!$C:$C,0))),"",INDEX('Policy Characteristics'!A:A,MATCH($C805,'Policy Characteristics'!$C:$C,0)))</f>
        <v>Industry</v>
      </c>
      <c r="B805" s="262" t="str">
        <f>IF(ISBLANK(INDEX('Policy Characteristics'!B:B,MATCH($C805,'Policy Characteristics'!$C:$C,0))),"",INDEX('Policy Characteristics'!B:B,MATCH($C805,'Policy Characteristics'!$C:$C,0)))</f>
        <v>Electrification</v>
      </c>
      <c r="C805" s="254" t="str">
        <f t="shared" si="39"/>
        <v>Fraction of Eligible Industrial Energy Use Shifted to Electricity</v>
      </c>
      <c r="D805" s="6" t="s">
        <v>3082</v>
      </c>
      <c r="E805" s="1" t="s">
        <v>3671</v>
      </c>
      <c r="F805" t="s">
        <v>3044</v>
      </c>
      <c r="G805" s="45" t="s">
        <v>3671</v>
      </c>
      <c r="H805" s="43">
        <v>2009</v>
      </c>
      <c r="I805" s="324" t="s">
        <v>43</v>
      </c>
      <c r="J805" s="255" t="str">
        <f>IF(ISBLANK(INDEX('Policy Characteristics'!D:D,MATCH($C805,'Policy Characteristics'!$C:$C,0))),"",INDEX('Policy Characteristics'!D:D,MATCH($C805,'Policy Characteristics'!$C:$C,0)))</f>
        <v>Electrification</v>
      </c>
      <c r="K805" s="254" t="str">
        <f>IF(ISBLANK(INDEX('Policy Characteristics'!E:E,MATCH($C805,'Policy Characteristics'!$C:$C,0))),"",INDEX('Policy Characteristics'!E:E,MATCH($C805,'Policy Characteristics'!$C:$C,0)))</f>
        <v>indst shift to electricity</v>
      </c>
      <c r="L805" s="261">
        <f>IF(ISBLANK(INDEX('Policy Characteristics'!F:F,MATCH($C805,'Policy Characteristics'!$C:$C,0))),"",INDEX('Policy Characteristics'!F:F,MATCH($C805,'Policy Characteristics'!$C:$C,0)))</f>
        <v>0</v>
      </c>
      <c r="M805" s="261">
        <f>IF(ISBLANK(INDEX('Policy Characteristics'!G:G,MATCH($C805,'Policy Characteristics'!$C:$C,0))),"",INDEX('Policy Characteristics'!G:G,MATCH($C805,'Policy Characteristics'!$C:$C,0)))</f>
        <v>1</v>
      </c>
      <c r="N805" s="261">
        <f>IF(ISBLANK(INDEX('Policy Characteristics'!H:H,MATCH($C805,'Policy Characteristics'!$C:$C,0))),"",INDEX('Policy Characteristics'!H:H,MATCH($C805,'Policy Characteristics'!$C:$C,0)))</f>
        <v>0.01</v>
      </c>
      <c r="O805" s="254" t="str">
        <f>IF(ISBLANK(INDEX('Policy Characteristics'!I:I,MATCH($C805,'Policy Characteristics'!$C:$C,0))),"",INDEX('Policy Characteristics'!I:I,MATCH($C805,'Policy Characteristics'!$C:$C,0)))</f>
        <v>% of fuel shifted</v>
      </c>
      <c r="P805" s="254"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4" t="str">
        <f>IF(ISBLANK(INDEX('Policy Characteristics'!K:K,MATCH($C805,'Policy Characteristics'!$C:$C,0))),"",INDEX('Policy Characteristics'!K:K,MATCH($C805,'Policy Characteristics'!$C:$C,0)))</f>
        <v>industry-ag-main.html#fuel-switching</v>
      </c>
      <c r="R805" s="254" t="str">
        <f>IF(ISBLANK(INDEX('Policy Characteristics'!L:L,MATCH($C805,'Policy Characteristics'!$C:$C,0))),"",INDEX('Policy Characteristics'!L:L,MATCH($C805,'Policy Characteristics'!$C:$C,0)))</f>
        <v>industry-elec-and-hydrogen.html</v>
      </c>
    </row>
    <row r="806" spans="1:18" x14ac:dyDescent="0.3">
      <c r="A806" s="254" t="str">
        <f>IF(ISBLANK(INDEX('Policy Characteristics'!A:A,MATCH($C806,'Policy Characteristics'!$C:$C,0))),"",INDEX('Policy Characteristics'!A:A,MATCH($C806,'Policy Characteristics'!$C:$C,0)))</f>
        <v>Industry</v>
      </c>
      <c r="B806" s="262" t="str">
        <f>IF(ISBLANK(INDEX('Policy Characteristics'!B:B,MATCH($C806,'Policy Characteristics'!$C:$C,0))),"",INDEX('Policy Characteristics'!B:B,MATCH($C806,'Policy Characteristics'!$C:$C,0)))</f>
        <v>Electrification</v>
      </c>
      <c r="C806" s="254" t="str">
        <f t="shared" si="39"/>
        <v>Fraction of Eligible Industrial Energy Use Shifted to Electricity</v>
      </c>
      <c r="D806" s="6" t="s">
        <v>3083</v>
      </c>
      <c r="E806" s="1" t="s">
        <v>3515</v>
      </c>
      <c r="F806" t="s">
        <v>3045</v>
      </c>
      <c r="G806" s="45" t="s">
        <v>3522</v>
      </c>
      <c r="H806" s="43">
        <v>2010</v>
      </c>
      <c r="I806" s="324" t="s">
        <v>43</v>
      </c>
      <c r="J806" s="255" t="str">
        <f>IF(ISBLANK(INDEX('Policy Characteristics'!D:D,MATCH($C806,'Policy Characteristics'!$C:$C,0))),"",INDEX('Policy Characteristics'!D:D,MATCH($C806,'Policy Characteristics'!$C:$C,0)))</f>
        <v>Electrification</v>
      </c>
      <c r="K806" s="254" t="str">
        <f>IF(ISBLANK(INDEX('Policy Characteristics'!E:E,MATCH($C806,'Policy Characteristics'!$C:$C,0))),"",INDEX('Policy Characteristics'!E:E,MATCH($C806,'Policy Characteristics'!$C:$C,0)))</f>
        <v>indst shift to electricity</v>
      </c>
      <c r="L806" s="261">
        <f>IF(ISBLANK(INDEX('Policy Characteristics'!F:F,MATCH($C806,'Policy Characteristics'!$C:$C,0))),"",INDEX('Policy Characteristics'!F:F,MATCH($C806,'Policy Characteristics'!$C:$C,0)))</f>
        <v>0</v>
      </c>
      <c r="M806" s="261">
        <f>IF(ISBLANK(INDEX('Policy Characteristics'!G:G,MATCH($C806,'Policy Characteristics'!$C:$C,0))),"",INDEX('Policy Characteristics'!G:G,MATCH($C806,'Policy Characteristics'!$C:$C,0)))</f>
        <v>1</v>
      </c>
      <c r="N806" s="261">
        <f>IF(ISBLANK(INDEX('Policy Characteristics'!H:H,MATCH($C806,'Policy Characteristics'!$C:$C,0))),"",INDEX('Policy Characteristics'!H:H,MATCH($C806,'Policy Characteristics'!$C:$C,0)))</f>
        <v>0.01</v>
      </c>
      <c r="O806" s="254" t="str">
        <f>IF(ISBLANK(INDEX('Policy Characteristics'!I:I,MATCH($C806,'Policy Characteristics'!$C:$C,0))),"",INDEX('Policy Characteristics'!I:I,MATCH($C806,'Policy Characteristics'!$C:$C,0)))</f>
        <v>% of fuel shifted</v>
      </c>
      <c r="P806" s="254"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4" t="str">
        <f>IF(ISBLANK(INDEX('Policy Characteristics'!K:K,MATCH($C806,'Policy Characteristics'!$C:$C,0))),"",INDEX('Policy Characteristics'!K:K,MATCH($C806,'Policy Characteristics'!$C:$C,0)))</f>
        <v>industry-ag-main.html#fuel-switching</v>
      </c>
      <c r="R806" s="254" t="str">
        <f>IF(ISBLANK(INDEX('Policy Characteristics'!L:L,MATCH($C806,'Policy Characteristics'!$C:$C,0))),"",INDEX('Policy Characteristics'!L:L,MATCH($C806,'Policy Characteristics'!$C:$C,0)))</f>
        <v>industry-elec-and-hydrogen.html</v>
      </c>
    </row>
    <row r="807" spans="1:18" x14ac:dyDescent="0.3">
      <c r="A807" s="254" t="str">
        <f>IF(ISBLANK(INDEX('Policy Characteristics'!A:A,MATCH($C807,'Policy Characteristics'!$C:$C,0))),"",INDEX('Policy Characteristics'!A:A,MATCH($C807,'Policy Characteristics'!$C:$C,0)))</f>
        <v>Industry</v>
      </c>
      <c r="B807" s="262" t="str">
        <f>IF(ISBLANK(INDEX('Policy Characteristics'!B:B,MATCH($C807,'Policy Characteristics'!$C:$C,0))),"",INDEX('Policy Characteristics'!B:B,MATCH($C807,'Policy Characteristics'!$C:$C,0)))</f>
        <v>Electrification</v>
      </c>
      <c r="C807" s="254" t="str">
        <f t="shared" si="39"/>
        <v>Fraction of Eligible Industrial Energy Use Shifted to Electricity</v>
      </c>
      <c r="D807" s="6" t="s">
        <v>3083</v>
      </c>
      <c r="E807" s="1" t="s">
        <v>3516</v>
      </c>
      <c r="F807" t="s">
        <v>3045</v>
      </c>
      <c r="G807" s="45" t="s">
        <v>3523</v>
      </c>
      <c r="H807" s="43">
        <v>2011</v>
      </c>
      <c r="I807" s="324" t="s">
        <v>43</v>
      </c>
      <c r="J807" s="255" t="str">
        <f>IF(ISBLANK(INDEX('Policy Characteristics'!D:D,MATCH($C807,'Policy Characteristics'!$C:$C,0))),"",INDEX('Policy Characteristics'!D:D,MATCH($C807,'Policy Characteristics'!$C:$C,0)))</f>
        <v>Electrification</v>
      </c>
      <c r="K807" s="254" t="str">
        <f>IF(ISBLANK(INDEX('Policy Characteristics'!E:E,MATCH($C807,'Policy Characteristics'!$C:$C,0))),"",INDEX('Policy Characteristics'!E:E,MATCH($C807,'Policy Characteristics'!$C:$C,0)))</f>
        <v>indst shift to electricity</v>
      </c>
      <c r="L807" s="261">
        <f>IF(ISBLANK(INDEX('Policy Characteristics'!F:F,MATCH($C807,'Policy Characteristics'!$C:$C,0))),"",INDEX('Policy Characteristics'!F:F,MATCH($C807,'Policy Characteristics'!$C:$C,0)))</f>
        <v>0</v>
      </c>
      <c r="M807" s="261">
        <f>IF(ISBLANK(INDEX('Policy Characteristics'!G:G,MATCH($C807,'Policy Characteristics'!$C:$C,0))),"",INDEX('Policy Characteristics'!G:G,MATCH($C807,'Policy Characteristics'!$C:$C,0)))</f>
        <v>1</v>
      </c>
      <c r="N807" s="261">
        <f>IF(ISBLANK(INDEX('Policy Characteristics'!H:H,MATCH($C807,'Policy Characteristics'!$C:$C,0))),"",INDEX('Policy Characteristics'!H:H,MATCH($C807,'Policy Characteristics'!$C:$C,0)))</f>
        <v>0.01</v>
      </c>
      <c r="O807" s="254" t="str">
        <f>IF(ISBLANK(INDEX('Policy Characteristics'!I:I,MATCH($C807,'Policy Characteristics'!$C:$C,0))),"",INDEX('Policy Characteristics'!I:I,MATCH($C807,'Policy Characteristics'!$C:$C,0)))</f>
        <v>% of fuel shifted</v>
      </c>
      <c r="P807" s="254"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4" t="str">
        <f>IF(ISBLANK(INDEX('Policy Characteristics'!K:K,MATCH($C807,'Policy Characteristics'!$C:$C,0))),"",INDEX('Policy Characteristics'!K:K,MATCH($C807,'Policy Characteristics'!$C:$C,0)))</f>
        <v>industry-ag-main.html#fuel-switching</v>
      </c>
      <c r="R807" s="254" t="str">
        <f>IF(ISBLANK(INDEX('Policy Characteristics'!L:L,MATCH($C807,'Policy Characteristics'!$C:$C,0))),"",INDEX('Policy Characteristics'!L:L,MATCH($C807,'Policy Characteristics'!$C:$C,0)))</f>
        <v>industry-elec-and-hydrogen.html</v>
      </c>
    </row>
    <row r="808" spans="1:18" x14ac:dyDescent="0.3">
      <c r="A808" s="254" t="str">
        <f>IF(ISBLANK(INDEX('Policy Characteristics'!A:A,MATCH($C808,'Policy Characteristics'!$C:$C,0))),"",INDEX('Policy Characteristics'!A:A,MATCH($C808,'Policy Characteristics'!$C:$C,0)))</f>
        <v>Industry</v>
      </c>
      <c r="B808" s="262" t="str">
        <f>IF(ISBLANK(INDEX('Policy Characteristics'!B:B,MATCH($C808,'Policy Characteristics'!$C:$C,0))),"",INDEX('Policy Characteristics'!B:B,MATCH($C808,'Policy Characteristics'!$C:$C,0)))</f>
        <v>Electrification</v>
      </c>
      <c r="C808" s="254" t="str">
        <f t="shared" si="39"/>
        <v>Fraction of Eligible Industrial Energy Use Shifted to Electricity</v>
      </c>
      <c r="D808" s="6" t="s">
        <v>3083</v>
      </c>
      <c r="E808" s="1" t="s">
        <v>3517</v>
      </c>
      <c r="F808" t="s">
        <v>3045</v>
      </c>
      <c r="G808" s="45" t="s">
        <v>3524</v>
      </c>
      <c r="H808" s="43">
        <v>2012</v>
      </c>
      <c r="I808" s="324" t="s">
        <v>43</v>
      </c>
      <c r="J808" s="255" t="str">
        <f>IF(ISBLANK(INDEX('Policy Characteristics'!D:D,MATCH($C808,'Policy Characteristics'!$C:$C,0))),"",INDEX('Policy Characteristics'!D:D,MATCH($C808,'Policy Characteristics'!$C:$C,0)))</f>
        <v>Electrification</v>
      </c>
      <c r="K808" s="254" t="str">
        <f>IF(ISBLANK(INDEX('Policy Characteristics'!E:E,MATCH($C808,'Policy Characteristics'!$C:$C,0))),"",INDEX('Policy Characteristics'!E:E,MATCH($C808,'Policy Characteristics'!$C:$C,0)))</f>
        <v>indst shift to electricity</v>
      </c>
      <c r="L808" s="261">
        <f>IF(ISBLANK(INDEX('Policy Characteristics'!F:F,MATCH($C808,'Policy Characteristics'!$C:$C,0))),"",INDEX('Policy Characteristics'!F:F,MATCH($C808,'Policy Characteristics'!$C:$C,0)))</f>
        <v>0</v>
      </c>
      <c r="M808" s="261">
        <f>IF(ISBLANK(INDEX('Policy Characteristics'!G:G,MATCH($C808,'Policy Characteristics'!$C:$C,0))),"",INDEX('Policy Characteristics'!G:G,MATCH($C808,'Policy Characteristics'!$C:$C,0)))</f>
        <v>1</v>
      </c>
      <c r="N808" s="261">
        <f>IF(ISBLANK(INDEX('Policy Characteristics'!H:H,MATCH($C808,'Policy Characteristics'!$C:$C,0))),"",INDEX('Policy Characteristics'!H:H,MATCH($C808,'Policy Characteristics'!$C:$C,0)))</f>
        <v>0.01</v>
      </c>
      <c r="O808" s="254" t="str">
        <f>IF(ISBLANK(INDEX('Policy Characteristics'!I:I,MATCH($C808,'Policy Characteristics'!$C:$C,0))),"",INDEX('Policy Characteristics'!I:I,MATCH($C808,'Policy Characteristics'!$C:$C,0)))</f>
        <v>% of fuel shifted</v>
      </c>
      <c r="P808" s="254"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4" t="str">
        <f>IF(ISBLANK(INDEX('Policy Characteristics'!K:K,MATCH($C808,'Policy Characteristics'!$C:$C,0))),"",INDEX('Policy Characteristics'!K:K,MATCH($C808,'Policy Characteristics'!$C:$C,0)))</f>
        <v>industry-ag-main.html#fuel-switching</v>
      </c>
      <c r="R808" s="254" t="str">
        <f>IF(ISBLANK(INDEX('Policy Characteristics'!L:L,MATCH($C808,'Policy Characteristics'!$C:$C,0))),"",INDEX('Policy Characteristics'!L:L,MATCH($C808,'Policy Characteristics'!$C:$C,0)))</f>
        <v>industry-elec-and-hydrogen.html</v>
      </c>
    </row>
    <row r="809" spans="1:18" x14ac:dyDescent="0.3">
      <c r="A809" s="254" t="str">
        <f>IF(ISBLANK(INDEX('Policy Characteristics'!A:A,MATCH($C809,'Policy Characteristics'!$C:$C,0))),"",INDEX('Policy Characteristics'!A:A,MATCH($C809,'Policy Characteristics'!$C:$C,0)))</f>
        <v>Industry</v>
      </c>
      <c r="B809" s="262" t="str">
        <f>IF(ISBLANK(INDEX('Policy Characteristics'!B:B,MATCH($C809,'Policy Characteristics'!$C:$C,0))),"",INDEX('Policy Characteristics'!B:B,MATCH($C809,'Policy Characteristics'!$C:$C,0)))</f>
        <v>Electrification</v>
      </c>
      <c r="C809" s="254" t="str">
        <f t="shared" si="39"/>
        <v>Fraction of Eligible Industrial Energy Use Shifted to Electricity</v>
      </c>
      <c r="D809" s="6" t="s">
        <v>3083</v>
      </c>
      <c r="E809" s="1" t="s">
        <v>3518</v>
      </c>
      <c r="F809" t="s">
        <v>3045</v>
      </c>
      <c r="G809" s="45" t="s">
        <v>3525</v>
      </c>
      <c r="H809" s="43">
        <v>2013</v>
      </c>
      <c r="I809" s="324" t="s">
        <v>43</v>
      </c>
      <c r="J809" s="255" t="str">
        <f>IF(ISBLANK(INDEX('Policy Characteristics'!D:D,MATCH($C809,'Policy Characteristics'!$C:$C,0))),"",INDEX('Policy Characteristics'!D:D,MATCH($C809,'Policy Characteristics'!$C:$C,0)))</f>
        <v>Electrification</v>
      </c>
      <c r="K809" s="254" t="str">
        <f>IF(ISBLANK(INDEX('Policy Characteristics'!E:E,MATCH($C809,'Policy Characteristics'!$C:$C,0))),"",INDEX('Policy Characteristics'!E:E,MATCH($C809,'Policy Characteristics'!$C:$C,0)))</f>
        <v>indst shift to electricity</v>
      </c>
      <c r="L809" s="261">
        <f>IF(ISBLANK(INDEX('Policy Characteristics'!F:F,MATCH($C809,'Policy Characteristics'!$C:$C,0))),"",INDEX('Policy Characteristics'!F:F,MATCH($C809,'Policy Characteristics'!$C:$C,0)))</f>
        <v>0</v>
      </c>
      <c r="M809" s="261">
        <f>IF(ISBLANK(INDEX('Policy Characteristics'!G:G,MATCH($C809,'Policy Characteristics'!$C:$C,0))),"",INDEX('Policy Characteristics'!G:G,MATCH($C809,'Policy Characteristics'!$C:$C,0)))</f>
        <v>1</v>
      </c>
      <c r="N809" s="261">
        <f>IF(ISBLANK(INDEX('Policy Characteristics'!H:H,MATCH($C809,'Policy Characteristics'!$C:$C,0))),"",INDEX('Policy Characteristics'!H:H,MATCH($C809,'Policy Characteristics'!$C:$C,0)))</f>
        <v>0.01</v>
      </c>
      <c r="O809" s="254" t="str">
        <f>IF(ISBLANK(INDEX('Policy Characteristics'!I:I,MATCH($C809,'Policy Characteristics'!$C:$C,0))),"",INDEX('Policy Characteristics'!I:I,MATCH($C809,'Policy Characteristics'!$C:$C,0)))</f>
        <v>% of fuel shifted</v>
      </c>
      <c r="P809" s="254"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4" t="str">
        <f>IF(ISBLANK(INDEX('Policy Characteristics'!K:K,MATCH($C809,'Policy Characteristics'!$C:$C,0))),"",INDEX('Policy Characteristics'!K:K,MATCH($C809,'Policy Characteristics'!$C:$C,0)))</f>
        <v>industry-ag-main.html#fuel-switching</v>
      </c>
      <c r="R809" s="254" t="str">
        <f>IF(ISBLANK(INDEX('Policy Characteristics'!L:L,MATCH($C809,'Policy Characteristics'!$C:$C,0))),"",INDEX('Policy Characteristics'!L:L,MATCH($C809,'Policy Characteristics'!$C:$C,0)))</f>
        <v>industry-elec-and-hydrogen.html</v>
      </c>
    </row>
    <row r="810" spans="1:18" x14ac:dyDescent="0.3">
      <c r="A810" s="254" t="str">
        <f>IF(ISBLANK(INDEX('Policy Characteristics'!A:A,MATCH($C810,'Policy Characteristics'!$C:$C,0))),"",INDEX('Policy Characteristics'!A:A,MATCH($C810,'Policy Characteristics'!$C:$C,0)))</f>
        <v>Industry</v>
      </c>
      <c r="B810" s="262" t="str">
        <f>IF(ISBLANK(INDEX('Policy Characteristics'!B:B,MATCH($C810,'Policy Characteristics'!$C:$C,0))),"",INDEX('Policy Characteristics'!B:B,MATCH($C810,'Policy Characteristics'!$C:$C,0)))</f>
        <v>Electrification</v>
      </c>
      <c r="C810" s="254" t="str">
        <f t="shared" si="39"/>
        <v>Fraction of Eligible Industrial Energy Use Shifted to Electricity</v>
      </c>
      <c r="D810" s="6" t="s">
        <v>3083</v>
      </c>
      <c r="E810" s="1" t="s">
        <v>3519</v>
      </c>
      <c r="F810" t="s">
        <v>3045</v>
      </c>
      <c r="G810" s="45" t="s">
        <v>3526</v>
      </c>
      <c r="H810" s="43">
        <v>2014</v>
      </c>
      <c r="I810" s="324" t="s">
        <v>43</v>
      </c>
      <c r="J810" s="255" t="str">
        <f>IF(ISBLANK(INDEX('Policy Characteristics'!D:D,MATCH($C810,'Policy Characteristics'!$C:$C,0))),"",INDEX('Policy Characteristics'!D:D,MATCH($C810,'Policy Characteristics'!$C:$C,0)))</f>
        <v>Electrification</v>
      </c>
      <c r="K810" s="254" t="str">
        <f>IF(ISBLANK(INDEX('Policy Characteristics'!E:E,MATCH($C810,'Policy Characteristics'!$C:$C,0))),"",INDEX('Policy Characteristics'!E:E,MATCH($C810,'Policy Characteristics'!$C:$C,0)))</f>
        <v>indst shift to electricity</v>
      </c>
      <c r="L810" s="261">
        <f>IF(ISBLANK(INDEX('Policy Characteristics'!F:F,MATCH($C810,'Policy Characteristics'!$C:$C,0))),"",INDEX('Policy Characteristics'!F:F,MATCH($C810,'Policy Characteristics'!$C:$C,0)))</f>
        <v>0</v>
      </c>
      <c r="M810" s="261">
        <f>IF(ISBLANK(INDEX('Policy Characteristics'!G:G,MATCH($C810,'Policy Characteristics'!$C:$C,0))),"",INDEX('Policy Characteristics'!G:G,MATCH($C810,'Policy Characteristics'!$C:$C,0)))</f>
        <v>1</v>
      </c>
      <c r="N810" s="261">
        <f>IF(ISBLANK(INDEX('Policy Characteristics'!H:H,MATCH($C810,'Policy Characteristics'!$C:$C,0))),"",INDEX('Policy Characteristics'!H:H,MATCH($C810,'Policy Characteristics'!$C:$C,0)))</f>
        <v>0.01</v>
      </c>
      <c r="O810" s="254" t="str">
        <f>IF(ISBLANK(INDEX('Policy Characteristics'!I:I,MATCH($C810,'Policy Characteristics'!$C:$C,0))),"",INDEX('Policy Characteristics'!I:I,MATCH($C810,'Policy Characteristics'!$C:$C,0)))</f>
        <v>% of fuel shifted</v>
      </c>
      <c r="P810" s="254"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4" t="str">
        <f>IF(ISBLANK(INDEX('Policy Characteristics'!K:K,MATCH($C810,'Policy Characteristics'!$C:$C,0))),"",INDEX('Policy Characteristics'!K:K,MATCH($C810,'Policy Characteristics'!$C:$C,0)))</f>
        <v>industry-ag-main.html#fuel-switching</v>
      </c>
      <c r="R810" s="254" t="str">
        <f>IF(ISBLANK(INDEX('Policy Characteristics'!L:L,MATCH($C810,'Policy Characteristics'!$C:$C,0))),"",INDEX('Policy Characteristics'!L:L,MATCH($C810,'Policy Characteristics'!$C:$C,0)))</f>
        <v>industry-elec-and-hydrogen.html</v>
      </c>
    </row>
    <row r="811" spans="1:18" x14ac:dyDescent="0.3">
      <c r="A811" s="254" t="str">
        <f>IF(ISBLANK(INDEX('Policy Characteristics'!A:A,MATCH($C811,'Policy Characteristics'!$C:$C,0))),"",INDEX('Policy Characteristics'!A:A,MATCH($C811,'Policy Characteristics'!$C:$C,0)))</f>
        <v>Industry</v>
      </c>
      <c r="B811" s="262" t="str">
        <f>IF(ISBLANK(INDEX('Policy Characteristics'!B:B,MATCH($C811,'Policy Characteristics'!$C:$C,0))),"",INDEX('Policy Characteristics'!B:B,MATCH($C811,'Policy Characteristics'!$C:$C,0)))</f>
        <v>Electrification</v>
      </c>
      <c r="C811" s="254" t="str">
        <f t="shared" si="39"/>
        <v>Fraction of Eligible Industrial Energy Use Shifted to Electricity</v>
      </c>
      <c r="D811" s="6" t="s">
        <v>3083</v>
      </c>
      <c r="E811" s="1" t="s">
        <v>3520</v>
      </c>
      <c r="F811" t="s">
        <v>3045</v>
      </c>
      <c r="G811" s="45" t="s">
        <v>3527</v>
      </c>
      <c r="H811" s="43">
        <v>2015</v>
      </c>
      <c r="I811" s="324" t="s">
        <v>43</v>
      </c>
      <c r="J811" s="255" t="str">
        <f>IF(ISBLANK(INDEX('Policy Characteristics'!D:D,MATCH($C811,'Policy Characteristics'!$C:$C,0))),"",INDEX('Policy Characteristics'!D:D,MATCH($C811,'Policy Characteristics'!$C:$C,0)))</f>
        <v>Electrification</v>
      </c>
      <c r="K811" s="254" t="str">
        <f>IF(ISBLANK(INDEX('Policy Characteristics'!E:E,MATCH($C811,'Policy Characteristics'!$C:$C,0))),"",INDEX('Policy Characteristics'!E:E,MATCH($C811,'Policy Characteristics'!$C:$C,0)))</f>
        <v>indst shift to electricity</v>
      </c>
      <c r="L811" s="261">
        <f>IF(ISBLANK(INDEX('Policy Characteristics'!F:F,MATCH($C811,'Policy Characteristics'!$C:$C,0))),"",INDEX('Policy Characteristics'!F:F,MATCH($C811,'Policy Characteristics'!$C:$C,0)))</f>
        <v>0</v>
      </c>
      <c r="M811" s="261">
        <f>IF(ISBLANK(INDEX('Policy Characteristics'!G:G,MATCH($C811,'Policy Characteristics'!$C:$C,0))),"",INDEX('Policy Characteristics'!G:G,MATCH($C811,'Policy Characteristics'!$C:$C,0)))</f>
        <v>1</v>
      </c>
      <c r="N811" s="261">
        <f>IF(ISBLANK(INDEX('Policy Characteristics'!H:H,MATCH($C811,'Policy Characteristics'!$C:$C,0))),"",INDEX('Policy Characteristics'!H:H,MATCH($C811,'Policy Characteristics'!$C:$C,0)))</f>
        <v>0.01</v>
      </c>
      <c r="O811" s="254" t="str">
        <f>IF(ISBLANK(INDEX('Policy Characteristics'!I:I,MATCH($C811,'Policy Characteristics'!$C:$C,0))),"",INDEX('Policy Characteristics'!I:I,MATCH($C811,'Policy Characteristics'!$C:$C,0)))</f>
        <v>% of fuel shifted</v>
      </c>
      <c r="P811" s="254"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4" t="str">
        <f>IF(ISBLANK(INDEX('Policy Characteristics'!K:K,MATCH($C811,'Policy Characteristics'!$C:$C,0))),"",INDEX('Policy Characteristics'!K:K,MATCH($C811,'Policy Characteristics'!$C:$C,0)))</f>
        <v>industry-ag-main.html#fuel-switching</v>
      </c>
      <c r="R811" s="254" t="str">
        <f>IF(ISBLANK(INDEX('Policy Characteristics'!L:L,MATCH($C811,'Policy Characteristics'!$C:$C,0))),"",INDEX('Policy Characteristics'!L:L,MATCH($C811,'Policy Characteristics'!$C:$C,0)))</f>
        <v>industry-elec-and-hydrogen.html</v>
      </c>
    </row>
    <row r="812" spans="1:18" x14ac:dyDescent="0.3">
      <c r="A812" s="254" t="str">
        <f>IF(ISBLANK(INDEX('Policy Characteristics'!A:A,MATCH($C812,'Policy Characteristics'!$C:$C,0))),"",INDEX('Policy Characteristics'!A:A,MATCH($C812,'Policy Characteristics'!$C:$C,0)))</f>
        <v>Industry</v>
      </c>
      <c r="B812" s="262" t="str">
        <f>IF(ISBLANK(INDEX('Policy Characteristics'!B:B,MATCH($C812,'Policy Characteristics'!$C:$C,0))),"",INDEX('Policy Characteristics'!B:B,MATCH($C812,'Policy Characteristics'!$C:$C,0)))</f>
        <v>Electrification</v>
      </c>
      <c r="C812" s="254" t="str">
        <f t="shared" si="39"/>
        <v>Fraction of Eligible Industrial Energy Use Shifted to Electricity</v>
      </c>
      <c r="D812" s="6" t="s">
        <v>3083</v>
      </c>
      <c r="E812" s="1" t="s">
        <v>3521</v>
      </c>
      <c r="F812" t="s">
        <v>3045</v>
      </c>
      <c r="G812" s="45" t="s">
        <v>3528</v>
      </c>
      <c r="H812" s="43">
        <v>2016</v>
      </c>
      <c r="I812" s="324" t="s">
        <v>43</v>
      </c>
      <c r="J812" s="255" t="str">
        <f>IF(ISBLANK(INDEX('Policy Characteristics'!D:D,MATCH($C812,'Policy Characteristics'!$C:$C,0))),"",INDEX('Policy Characteristics'!D:D,MATCH($C812,'Policy Characteristics'!$C:$C,0)))</f>
        <v>Electrification</v>
      </c>
      <c r="K812" s="254" t="str">
        <f>IF(ISBLANK(INDEX('Policy Characteristics'!E:E,MATCH($C812,'Policy Characteristics'!$C:$C,0))),"",INDEX('Policy Characteristics'!E:E,MATCH($C812,'Policy Characteristics'!$C:$C,0)))</f>
        <v>indst shift to electricity</v>
      </c>
      <c r="L812" s="261">
        <f>IF(ISBLANK(INDEX('Policy Characteristics'!F:F,MATCH($C812,'Policy Characteristics'!$C:$C,0))),"",INDEX('Policy Characteristics'!F:F,MATCH($C812,'Policy Characteristics'!$C:$C,0)))</f>
        <v>0</v>
      </c>
      <c r="M812" s="261">
        <f>IF(ISBLANK(INDEX('Policy Characteristics'!G:G,MATCH($C812,'Policy Characteristics'!$C:$C,0))),"",INDEX('Policy Characteristics'!G:G,MATCH($C812,'Policy Characteristics'!$C:$C,0)))</f>
        <v>1</v>
      </c>
      <c r="N812" s="261">
        <f>IF(ISBLANK(INDEX('Policy Characteristics'!H:H,MATCH($C812,'Policy Characteristics'!$C:$C,0))),"",INDEX('Policy Characteristics'!H:H,MATCH($C812,'Policy Characteristics'!$C:$C,0)))</f>
        <v>0.01</v>
      </c>
      <c r="O812" s="254" t="str">
        <f>IF(ISBLANK(INDEX('Policy Characteristics'!I:I,MATCH($C812,'Policy Characteristics'!$C:$C,0))),"",INDEX('Policy Characteristics'!I:I,MATCH($C812,'Policy Characteristics'!$C:$C,0)))</f>
        <v>% of fuel shifted</v>
      </c>
      <c r="P812" s="254"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4" t="str">
        <f>IF(ISBLANK(INDEX('Policy Characteristics'!K:K,MATCH($C812,'Policy Characteristics'!$C:$C,0))),"",INDEX('Policy Characteristics'!K:K,MATCH($C812,'Policy Characteristics'!$C:$C,0)))</f>
        <v>industry-ag-main.html#fuel-switching</v>
      </c>
      <c r="R812" s="254" t="str">
        <f>IF(ISBLANK(INDEX('Policy Characteristics'!L:L,MATCH($C812,'Policy Characteristics'!$C:$C,0))),"",INDEX('Policy Characteristics'!L:L,MATCH($C812,'Policy Characteristics'!$C:$C,0)))</f>
        <v>industry-elec-and-hydrogen.html</v>
      </c>
    </row>
    <row r="813" spans="1:18" x14ac:dyDescent="0.3">
      <c r="A813" s="254" t="str">
        <f>IF(ISBLANK(INDEX('Policy Characteristics'!A:A,MATCH($C813,'Policy Characteristics'!$C:$C,0))),"",INDEX('Policy Characteristics'!A:A,MATCH($C813,'Policy Characteristics'!$C:$C,0)))</f>
        <v>Industry</v>
      </c>
      <c r="B813" s="262" t="str">
        <f>IF(ISBLANK(INDEX('Policy Characteristics'!B:B,MATCH($C813,'Policy Characteristics'!$C:$C,0))),"",INDEX('Policy Characteristics'!B:B,MATCH($C813,'Policy Characteristics'!$C:$C,0)))</f>
        <v>Electrification</v>
      </c>
      <c r="C813" s="254" t="str">
        <f t="shared" si="39"/>
        <v>Fraction of Eligible Industrial Energy Use Shifted to Electricity</v>
      </c>
      <c r="D813" s="6" t="s">
        <v>3083</v>
      </c>
      <c r="E813" s="1" t="s">
        <v>3671</v>
      </c>
      <c r="F813" t="s">
        <v>3045</v>
      </c>
      <c r="G813" s="45" t="s">
        <v>3671</v>
      </c>
      <c r="H813" s="43">
        <v>2017</v>
      </c>
      <c r="I813" s="324" t="s">
        <v>43</v>
      </c>
      <c r="J813" s="255" t="str">
        <f>IF(ISBLANK(INDEX('Policy Characteristics'!D:D,MATCH($C813,'Policy Characteristics'!$C:$C,0))),"",INDEX('Policy Characteristics'!D:D,MATCH($C813,'Policy Characteristics'!$C:$C,0)))</f>
        <v>Electrification</v>
      </c>
      <c r="K813" s="254" t="str">
        <f>IF(ISBLANK(INDEX('Policy Characteristics'!E:E,MATCH($C813,'Policy Characteristics'!$C:$C,0))),"",INDEX('Policy Characteristics'!E:E,MATCH($C813,'Policy Characteristics'!$C:$C,0)))</f>
        <v>indst shift to electricity</v>
      </c>
      <c r="L813" s="261">
        <f>IF(ISBLANK(INDEX('Policy Characteristics'!F:F,MATCH($C813,'Policy Characteristics'!$C:$C,0))),"",INDEX('Policy Characteristics'!F:F,MATCH($C813,'Policy Characteristics'!$C:$C,0)))</f>
        <v>0</v>
      </c>
      <c r="M813" s="261">
        <f>IF(ISBLANK(INDEX('Policy Characteristics'!G:G,MATCH($C813,'Policy Characteristics'!$C:$C,0))),"",INDEX('Policy Characteristics'!G:G,MATCH($C813,'Policy Characteristics'!$C:$C,0)))</f>
        <v>1</v>
      </c>
      <c r="N813" s="261">
        <f>IF(ISBLANK(INDEX('Policy Characteristics'!H:H,MATCH($C813,'Policy Characteristics'!$C:$C,0))),"",INDEX('Policy Characteristics'!H:H,MATCH($C813,'Policy Characteristics'!$C:$C,0)))</f>
        <v>0.01</v>
      </c>
      <c r="O813" s="254" t="str">
        <f>IF(ISBLANK(INDEX('Policy Characteristics'!I:I,MATCH($C813,'Policy Characteristics'!$C:$C,0))),"",INDEX('Policy Characteristics'!I:I,MATCH($C813,'Policy Characteristics'!$C:$C,0)))</f>
        <v>% of fuel shifted</v>
      </c>
      <c r="P813" s="254"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4" t="str">
        <f>IF(ISBLANK(INDEX('Policy Characteristics'!K:K,MATCH($C813,'Policy Characteristics'!$C:$C,0))),"",INDEX('Policy Characteristics'!K:K,MATCH($C813,'Policy Characteristics'!$C:$C,0)))</f>
        <v>industry-ag-main.html#fuel-switching</v>
      </c>
      <c r="R813" s="254" t="str">
        <f>IF(ISBLANK(INDEX('Policy Characteristics'!L:L,MATCH($C813,'Policy Characteristics'!$C:$C,0))),"",INDEX('Policy Characteristics'!L:L,MATCH($C813,'Policy Characteristics'!$C:$C,0)))</f>
        <v>industry-elec-and-hydrogen.html</v>
      </c>
    </row>
    <row r="814" spans="1:18" x14ac:dyDescent="0.3">
      <c r="A814" s="254" t="str">
        <f>IF(ISBLANK(INDEX('Policy Characteristics'!A:A,MATCH($C814,'Policy Characteristics'!$C:$C,0))),"",INDEX('Policy Characteristics'!A:A,MATCH($C814,'Policy Characteristics'!$C:$C,0)))</f>
        <v>Industry</v>
      </c>
      <c r="B814" s="262" t="str">
        <f>IF(ISBLANK(INDEX('Policy Characteristics'!B:B,MATCH($C814,'Policy Characteristics'!$C:$C,0))),"",INDEX('Policy Characteristics'!B:B,MATCH($C814,'Policy Characteristics'!$C:$C,0)))</f>
        <v>Electrification</v>
      </c>
      <c r="C814" s="254" t="str">
        <f t="shared" si="39"/>
        <v>Fraction of Eligible Industrial Energy Use Shifted to Electricity</v>
      </c>
      <c r="D814" s="6" t="s">
        <v>3084</v>
      </c>
      <c r="E814" s="1" t="s">
        <v>3515</v>
      </c>
      <c r="F814" t="s">
        <v>3087</v>
      </c>
      <c r="G814" s="45" t="s">
        <v>3522</v>
      </c>
      <c r="H814" s="43">
        <v>2018</v>
      </c>
      <c r="I814" s="324" t="s">
        <v>43</v>
      </c>
      <c r="J814" s="255" t="str">
        <f>IF(ISBLANK(INDEX('Policy Characteristics'!D:D,MATCH($C814,'Policy Characteristics'!$C:$C,0))),"",INDEX('Policy Characteristics'!D:D,MATCH($C814,'Policy Characteristics'!$C:$C,0)))</f>
        <v>Electrification</v>
      </c>
      <c r="K814" s="254" t="str">
        <f>IF(ISBLANK(INDEX('Policy Characteristics'!E:E,MATCH($C814,'Policy Characteristics'!$C:$C,0))),"",INDEX('Policy Characteristics'!E:E,MATCH($C814,'Policy Characteristics'!$C:$C,0)))</f>
        <v>indst shift to electricity</v>
      </c>
      <c r="L814" s="261">
        <f>IF(ISBLANK(INDEX('Policy Characteristics'!F:F,MATCH($C814,'Policy Characteristics'!$C:$C,0))),"",INDEX('Policy Characteristics'!F:F,MATCH($C814,'Policy Characteristics'!$C:$C,0)))</f>
        <v>0</v>
      </c>
      <c r="M814" s="261">
        <f>IF(ISBLANK(INDEX('Policy Characteristics'!G:G,MATCH($C814,'Policy Characteristics'!$C:$C,0))),"",INDEX('Policy Characteristics'!G:G,MATCH($C814,'Policy Characteristics'!$C:$C,0)))</f>
        <v>1</v>
      </c>
      <c r="N814" s="261">
        <f>IF(ISBLANK(INDEX('Policy Characteristics'!H:H,MATCH($C814,'Policy Characteristics'!$C:$C,0))),"",INDEX('Policy Characteristics'!H:H,MATCH($C814,'Policy Characteristics'!$C:$C,0)))</f>
        <v>0.01</v>
      </c>
      <c r="O814" s="254" t="str">
        <f>IF(ISBLANK(INDEX('Policy Characteristics'!I:I,MATCH($C814,'Policy Characteristics'!$C:$C,0))),"",INDEX('Policy Characteristics'!I:I,MATCH($C814,'Policy Characteristics'!$C:$C,0)))</f>
        <v>% of fuel shifted</v>
      </c>
      <c r="P814" s="254"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4" t="str">
        <f>IF(ISBLANK(INDEX('Policy Characteristics'!K:K,MATCH($C814,'Policy Characteristics'!$C:$C,0))),"",INDEX('Policy Characteristics'!K:K,MATCH($C814,'Policy Characteristics'!$C:$C,0)))</f>
        <v>industry-ag-main.html#fuel-switching</v>
      </c>
      <c r="R814" s="254" t="str">
        <f>IF(ISBLANK(INDEX('Policy Characteristics'!L:L,MATCH($C814,'Policy Characteristics'!$C:$C,0))),"",INDEX('Policy Characteristics'!L:L,MATCH($C814,'Policy Characteristics'!$C:$C,0)))</f>
        <v>industry-elec-and-hydrogen.html</v>
      </c>
    </row>
    <row r="815" spans="1:18" x14ac:dyDescent="0.3">
      <c r="A815" s="254" t="str">
        <f>IF(ISBLANK(INDEX('Policy Characteristics'!A:A,MATCH($C815,'Policy Characteristics'!$C:$C,0))),"",INDEX('Policy Characteristics'!A:A,MATCH($C815,'Policy Characteristics'!$C:$C,0)))</f>
        <v>Industry</v>
      </c>
      <c r="B815" s="262" t="str">
        <f>IF(ISBLANK(INDEX('Policy Characteristics'!B:B,MATCH($C815,'Policy Characteristics'!$C:$C,0))),"",INDEX('Policy Characteristics'!B:B,MATCH($C815,'Policy Characteristics'!$C:$C,0)))</f>
        <v>Electrification</v>
      </c>
      <c r="C815" s="254" t="str">
        <f t="shared" si="39"/>
        <v>Fraction of Eligible Industrial Energy Use Shifted to Electricity</v>
      </c>
      <c r="D815" s="6" t="s">
        <v>3084</v>
      </c>
      <c r="E815" s="1" t="s">
        <v>3516</v>
      </c>
      <c r="F815" t="s">
        <v>3087</v>
      </c>
      <c r="G815" s="45" t="s">
        <v>3523</v>
      </c>
      <c r="H815" s="43">
        <v>2019</v>
      </c>
      <c r="I815" s="324" t="s">
        <v>43</v>
      </c>
      <c r="J815" s="255" t="str">
        <f>IF(ISBLANK(INDEX('Policy Characteristics'!D:D,MATCH($C815,'Policy Characteristics'!$C:$C,0))),"",INDEX('Policy Characteristics'!D:D,MATCH($C815,'Policy Characteristics'!$C:$C,0)))</f>
        <v>Electrification</v>
      </c>
      <c r="K815" s="254" t="str">
        <f>IF(ISBLANK(INDEX('Policy Characteristics'!E:E,MATCH($C815,'Policy Characteristics'!$C:$C,0))),"",INDEX('Policy Characteristics'!E:E,MATCH($C815,'Policy Characteristics'!$C:$C,0)))</f>
        <v>indst shift to electricity</v>
      </c>
      <c r="L815" s="261">
        <f>IF(ISBLANK(INDEX('Policy Characteristics'!F:F,MATCH($C815,'Policy Characteristics'!$C:$C,0))),"",INDEX('Policy Characteristics'!F:F,MATCH($C815,'Policy Characteristics'!$C:$C,0)))</f>
        <v>0</v>
      </c>
      <c r="M815" s="261">
        <f>IF(ISBLANK(INDEX('Policy Characteristics'!G:G,MATCH($C815,'Policy Characteristics'!$C:$C,0))),"",INDEX('Policy Characteristics'!G:G,MATCH($C815,'Policy Characteristics'!$C:$C,0)))</f>
        <v>1</v>
      </c>
      <c r="N815" s="261">
        <f>IF(ISBLANK(INDEX('Policy Characteristics'!H:H,MATCH($C815,'Policy Characteristics'!$C:$C,0))),"",INDEX('Policy Characteristics'!H:H,MATCH($C815,'Policy Characteristics'!$C:$C,0)))</f>
        <v>0.01</v>
      </c>
      <c r="O815" s="254" t="str">
        <f>IF(ISBLANK(INDEX('Policy Characteristics'!I:I,MATCH($C815,'Policy Characteristics'!$C:$C,0))),"",INDEX('Policy Characteristics'!I:I,MATCH($C815,'Policy Characteristics'!$C:$C,0)))</f>
        <v>% of fuel shifted</v>
      </c>
      <c r="P815" s="254"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4" t="str">
        <f>IF(ISBLANK(INDEX('Policy Characteristics'!K:K,MATCH($C815,'Policy Characteristics'!$C:$C,0))),"",INDEX('Policy Characteristics'!K:K,MATCH($C815,'Policy Characteristics'!$C:$C,0)))</f>
        <v>industry-ag-main.html#fuel-switching</v>
      </c>
      <c r="R815" s="254" t="str">
        <f>IF(ISBLANK(INDEX('Policy Characteristics'!L:L,MATCH($C815,'Policy Characteristics'!$C:$C,0))),"",INDEX('Policy Characteristics'!L:L,MATCH($C815,'Policy Characteristics'!$C:$C,0)))</f>
        <v>industry-elec-and-hydrogen.html</v>
      </c>
    </row>
    <row r="816" spans="1:18" x14ac:dyDescent="0.3">
      <c r="A816" s="254" t="str">
        <f>IF(ISBLANK(INDEX('Policy Characteristics'!A:A,MATCH($C816,'Policy Characteristics'!$C:$C,0))),"",INDEX('Policy Characteristics'!A:A,MATCH($C816,'Policy Characteristics'!$C:$C,0)))</f>
        <v>Industry</v>
      </c>
      <c r="B816" s="262" t="str">
        <f>IF(ISBLANK(INDEX('Policy Characteristics'!B:B,MATCH($C816,'Policy Characteristics'!$C:$C,0))),"",INDEX('Policy Characteristics'!B:B,MATCH($C816,'Policy Characteristics'!$C:$C,0)))</f>
        <v>Electrification</v>
      </c>
      <c r="C816" s="254" t="str">
        <f t="shared" si="39"/>
        <v>Fraction of Eligible Industrial Energy Use Shifted to Electricity</v>
      </c>
      <c r="D816" s="6" t="s">
        <v>3084</v>
      </c>
      <c r="E816" s="1" t="s">
        <v>3517</v>
      </c>
      <c r="F816" t="s">
        <v>3087</v>
      </c>
      <c r="G816" s="45" t="s">
        <v>3524</v>
      </c>
      <c r="H816" s="43">
        <v>2020</v>
      </c>
      <c r="I816" s="324" t="s">
        <v>43</v>
      </c>
      <c r="J816" s="255" t="str">
        <f>IF(ISBLANK(INDEX('Policy Characteristics'!D:D,MATCH($C816,'Policy Characteristics'!$C:$C,0))),"",INDEX('Policy Characteristics'!D:D,MATCH($C816,'Policy Characteristics'!$C:$C,0)))</f>
        <v>Electrification</v>
      </c>
      <c r="K816" s="254" t="str">
        <f>IF(ISBLANK(INDEX('Policy Characteristics'!E:E,MATCH($C816,'Policy Characteristics'!$C:$C,0))),"",INDEX('Policy Characteristics'!E:E,MATCH($C816,'Policy Characteristics'!$C:$C,0)))</f>
        <v>indst shift to electricity</v>
      </c>
      <c r="L816" s="261">
        <f>IF(ISBLANK(INDEX('Policy Characteristics'!F:F,MATCH($C816,'Policy Characteristics'!$C:$C,0))),"",INDEX('Policy Characteristics'!F:F,MATCH($C816,'Policy Characteristics'!$C:$C,0)))</f>
        <v>0</v>
      </c>
      <c r="M816" s="261">
        <f>IF(ISBLANK(INDEX('Policy Characteristics'!G:G,MATCH($C816,'Policy Characteristics'!$C:$C,0))),"",INDEX('Policy Characteristics'!G:G,MATCH($C816,'Policy Characteristics'!$C:$C,0)))</f>
        <v>1</v>
      </c>
      <c r="N816" s="261">
        <f>IF(ISBLANK(INDEX('Policy Characteristics'!H:H,MATCH($C816,'Policy Characteristics'!$C:$C,0))),"",INDEX('Policy Characteristics'!H:H,MATCH($C816,'Policy Characteristics'!$C:$C,0)))</f>
        <v>0.01</v>
      </c>
      <c r="O816" s="254" t="str">
        <f>IF(ISBLANK(INDEX('Policy Characteristics'!I:I,MATCH($C816,'Policy Characteristics'!$C:$C,0))),"",INDEX('Policy Characteristics'!I:I,MATCH($C816,'Policy Characteristics'!$C:$C,0)))</f>
        <v>% of fuel shifted</v>
      </c>
      <c r="P816" s="254"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4" t="str">
        <f>IF(ISBLANK(INDEX('Policy Characteristics'!K:K,MATCH($C816,'Policy Characteristics'!$C:$C,0))),"",INDEX('Policy Characteristics'!K:K,MATCH($C816,'Policy Characteristics'!$C:$C,0)))</f>
        <v>industry-ag-main.html#fuel-switching</v>
      </c>
      <c r="R816" s="254" t="str">
        <f>IF(ISBLANK(INDEX('Policy Characteristics'!L:L,MATCH($C816,'Policy Characteristics'!$C:$C,0))),"",INDEX('Policy Characteristics'!L:L,MATCH($C816,'Policy Characteristics'!$C:$C,0)))</f>
        <v>industry-elec-and-hydrogen.html</v>
      </c>
    </row>
    <row r="817" spans="1:18" x14ac:dyDescent="0.3">
      <c r="A817" s="254" t="str">
        <f>IF(ISBLANK(INDEX('Policy Characteristics'!A:A,MATCH($C817,'Policy Characteristics'!$C:$C,0))),"",INDEX('Policy Characteristics'!A:A,MATCH($C817,'Policy Characteristics'!$C:$C,0)))</f>
        <v>Industry</v>
      </c>
      <c r="B817" s="262" t="str">
        <f>IF(ISBLANK(INDEX('Policy Characteristics'!B:B,MATCH($C817,'Policy Characteristics'!$C:$C,0))),"",INDEX('Policy Characteristics'!B:B,MATCH($C817,'Policy Characteristics'!$C:$C,0)))</f>
        <v>Electrification</v>
      </c>
      <c r="C817" s="254" t="str">
        <f t="shared" si="39"/>
        <v>Fraction of Eligible Industrial Energy Use Shifted to Electricity</v>
      </c>
      <c r="D817" s="6" t="s">
        <v>3084</v>
      </c>
      <c r="E817" s="1" t="s">
        <v>3518</v>
      </c>
      <c r="F817" t="s">
        <v>3087</v>
      </c>
      <c r="G817" s="45" t="s">
        <v>3525</v>
      </c>
      <c r="H817" s="43">
        <v>2021</v>
      </c>
      <c r="I817" s="324" t="s">
        <v>43</v>
      </c>
      <c r="J817" s="255" t="str">
        <f>IF(ISBLANK(INDEX('Policy Characteristics'!D:D,MATCH($C817,'Policy Characteristics'!$C:$C,0))),"",INDEX('Policy Characteristics'!D:D,MATCH($C817,'Policy Characteristics'!$C:$C,0)))</f>
        <v>Electrification</v>
      </c>
      <c r="K817" s="254" t="str">
        <f>IF(ISBLANK(INDEX('Policy Characteristics'!E:E,MATCH($C817,'Policy Characteristics'!$C:$C,0))),"",INDEX('Policy Characteristics'!E:E,MATCH($C817,'Policy Characteristics'!$C:$C,0)))</f>
        <v>indst shift to electricity</v>
      </c>
      <c r="L817" s="261">
        <f>IF(ISBLANK(INDEX('Policy Characteristics'!F:F,MATCH($C817,'Policy Characteristics'!$C:$C,0))),"",INDEX('Policy Characteristics'!F:F,MATCH($C817,'Policy Characteristics'!$C:$C,0)))</f>
        <v>0</v>
      </c>
      <c r="M817" s="261">
        <f>IF(ISBLANK(INDEX('Policy Characteristics'!G:G,MATCH($C817,'Policy Characteristics'!$C:$C,0))),"",INDEX('Policy Characteristics'!G:G,MATCH($C817,'Policy Characteristics'!$C:$C,0)))</f>
        <v>1</v>
      </c>
      <c r="N817" s="261">
        <f>IF(ISBLANK(INDEX('Policy Characteristics'!H:H,MATCH($C817,'Policy Characteristics'!$C:$C,0))),"",INDEX('Policy Characteristics'!H:H,MATCH($C817,'Policy Characteristics'!$C:$C,0)))</f>
        <v>0.01</v>
      </c>
      <c r="O817" s="254" t="str">
        <f>IF(ISBLANK(INDEX('Policy Characteristics'!I:I,MATCH($C817,'Policy Characteristics'!$C:$C,0))),"",INDEX('Policy Characteristics'!I:I,MATCH($C817,'Policy Characteristics'!$C:$C,0)))</f>
        <v>% of fuel shifted</v>
      </c>
      <c r="P817" s="254"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4" t="str">
        <f>IF(ISBLANK(INDEX('Policy Characteristics'!K:K,MATCH($C817,'Policy Characteristics'!$C:$C,0))),"",INDEX('Policy Characteristics'!K:K,MATCH($C817,'Policy Characteristics'!$C:$C,0)))</f>
        <v>industry-ag-main.html#fuel-switching</v>
      </c>
      <c r="R817" s="254" t="str">
        <f>IF(ISBLANK(INDEX('Policy Characteristics'!L:L,MATCH($C817,'Policy Characteristics'!$C:$C,0))),"",INDEX('Policy Characteristics'!L:L,MATCH($C817,'Policy Characteristics'!$C:$C,0)))</f>
        <v>industry-elec-and-hydrogen.html</v>
      </c>
    </row>
    <row r="818" spans="1:18" x14ac:dyDescent="0.3">
      <c r="A818" s="254" t="str">
        <f>IF(ISBLANK(INDEX('Policy Characteristics'!A:A,MATCH($C818,'Policy Characteristics'!$C:$C,0))),"",INDEX('Policy Characteristics'!A:A,MATCH($C818,'Policy Characteristics'!$C:$C,0)))</f>
        <v>Industry</v>
      </c>
      <c r="B818" s="262" t="str">
        <f>IF(ISBLANK(INDEX('Policy Characteristics'!B:B,MATCH($C818,'Policy Characteristics'!$C:$C,0))),"",INDEX('Policy Characteristics'!B:B,MATCH($C818,'Policy Characteristics'!$C:$C,0)))</f>
        <v>Electrification</v>
      </c>
      <c r="C818" s="254" t="str">
        <f t="shared" si="39"/>
        <v>Fraction of Eligible Industrial Energy Use Shifted to Electricity</v>
      </c>
      <c r="D818" s="6" t="s">
        <v>3084</v>
      </c>
      <c r="E818" s="1" t="s">
        <v>3519</v>
      </c>
      <c r="F818" t="s">
        <v>3087</v>
      </c>
      <c r="G818" s="45" t="s">
        <v>3526</v>
      </c>
      <c r="H818" s="43">
        <v>2022</v>
      </c>
      <c r="I818" s="324" t="s">
        <v>43</v>
      </c>
      <c r="J818" s="255" t="str">
        <f>IF(ISBLANK(INDEX('Policy Characteristics'!D:D,MATCH($C818,'Policy Characteristics'!$C:$C,0))),"",INDEX('Policy Characteristics'!D:D,MATCH($C818,'Policy Characteristics'!$C:$C,0)))</f>
        <v>Electrification</v>
      </c>
      <c r="K818" s="254" t="str">
        <f>IF(ISBLANK(INDEX('Policy Characteristics'!E:E,MATCH($C818,'Policy Characteristics'!$C:$C,0))),"",INDEX('Policy Characteristics'!E:E,MATCH($C818,'Policy Characteristics'!$C:$C,0)))</f>
        <v>indst shift to electricity</v>
      </c>
      <c r="L818" s="261">
        <f>IF(ISBLANK(INDEX('Policy Characteristics'!F:F,MATCH($C818,'Policy Characteristics'!$C:$C,0))),"",INDEX('Policy Characteristics'!F:F,MATCH($C818,'Policy Characteristics'!$C:$C,0)))</f>
        <v>0</v>
      </c>
      <c r="M818" s="261">
        <f>IF(ISBLANK(INDEX('Policy Characteristics'!G:G,MATCH($C818,'Policy Characteristics'!$C:$C,0))),"",INDEX('Policy Characteristics'!G:G,MATCH($C818,'Policy Characteristics'!$C:$C,0)))</f>
        <v>1</v>
      </c>
      <c r="N818" s="261">
        <f>IF(ISBLANK(INDEX('Policy Characteristics'!H:H,MATCH($C818,'Policy Characteristics'!$C:$C,0))),"",INDEX('Policy Characteristics'!H:H,MATCH($C818,'Policy Characteristics'!$C:$C,0)))</f>
        <v>0.01</v>
      </c>
      <c r="O818" s="254" t="str">
        <f>IF(ISBLANK(INDEX('Policy Characteristics'!I:I,MATCH($C818,'Policy Characteristics'!$C:$C,0))),"",INDEX('Policy Characteristics'!I:I,MATCH($C818,'Policy Characteristics'!$C:$C,0)))</f>
        <v>% of fuel shifted</v>
      </c>
      <c r="P818" s="254"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4" t="str">
        <f>IF(ISBLANK(INDEX('Policy Characteristics'!K:K,MATCH($C818,'Policy Characteristics'!$C:$C,0))),"",INDEX('Policy Characteristics'!K:K,MATCH($C818,'Policy Characteristics'!$C:$C,0)))</f>
        <v>industry-ag-main.html#fuel-switching</v>
      </c>
      <c r="R818" s="254" t="str">
        <f>IF(ISBLANK(INDEX('Policy Characteristics'!L:L,MATCH($C818,'Policy Characteristics'!$C:$C,0))),"",INDEX('Policy Characteristics'!L:L,MATCH($C818,'Policy Characteristics'!$C:$C,0)))</f>
        <v>industry-elec-and-hydrogen.html</v>
      </c>
    </row>
    <row r="819" spans="1:18" x14ac:dyDescent="0.3">
      <c r="A819" s="254" t="str">
        <f>IF(ISBLANK(INDEX('Policy Characteristics'!A:A,MATCH($C819,'Policy Characteristics'!$C:$C,0))),"",INDEX('Policy Characteristics'!A:A,MATCH($C819,'Policy Characteristics'!$C:$C,0)))</f>
        <v>Industry</v>
      </c>
      <c r="B819" s="262" t="str">
        <f>IF(ISBLANK(INDEX('Policy Characteristics'!B:B,MATCH($C819,'Policy Characteristics'!$C:$C,0))),"",INDEX('Policy Characteristics'!B:B,MATCH($C819,'Policy Characteristics'!$C:$C,0)))</f>
        <v>Electrification</v>
      </c>
      <c r="C819" s="254" t="str">
        <f t="shared" si="39"/>
        <v>Fraction of Eligible Industrial Energy Use Shifted to Electricity</v>
      </c>
      <c r="D819" s="6" t="s">
        <v>3084</v>
      </c>
      <c r="E819" s="1" t="s">
        <v>3520</v>
      </c>
      <c r="F819" t="s">
        <v>3087</v>
      </c>
      <c r="G819" s="45" t="s">
        <v>3527</v>
      </c>
      <c r="H819" s="43">
        <v>2023</v>
      </c>
      <c r="I819" s="324" t="s">
        <v>43</v>
      </c>
      <c r="J819" s="255" t="str">
        <f>IF(ISBLANK(INDEX('Policy Characteristics'!D:D,MATCH($C819,'Policy Characteristics'!$C:$C,0))),"",INDEX('Policy Characteristics'!D:D,MATCH($C819,'Policy Characteristics'!$C:$C,0)))</f>
        <v>Electrification</v>
      </c>
      <c r="K819" s="254" t="str">
        <f>IF(ISBLANK(INDEX('Policy Characteristics'!E:E,MATCH($C819,'Policy Characteristics'!$C:$C,0))),"",INDEX('Policy Characteristics'!E:E,MATCH($C819,'Policy Characteristics'!$C:$C,0)))</f>
        <v>indst shift to electricity</v>
      </c>
      <c r="L819" s="261">
        <f>IF(ISBLANK(INDEX('Policy Characteristics'!F:F,MATCH($C819,'Policy Characteristics'!$C:$C,0))),"",INDEX('Policy Characteristics'!F:F,MATCH($C819,'Policy Characteristics'!$C:$C,0)))</f>
        <v>0</v>
      </c>
      <c r="M819" s="261">
        <f>IF(ISBLANK(INDEX('Policy Characteristics'!G:G,MATCH($C819,'Policy Characteristics'!$C:$C,0))),"",INDEX('Policy Characteristics'!G:G,MATCH($C819,'Policy Characteristics'!$C:$C,0)))</f>
        <v>1</v>
      </c>
      <c r="N819" s="261">
        <f>IF(ISBLANK(INDEX('Policy Characteristics'!H:H,MATCH($C819,'Policy Characteristics'!$C:$C,0))),"",INDEX('Policy Characteristics'!H:H,MATCH($C819,'Policy Characteristics'!$C:$C,0)))</f>
        <v>0.01</v>
      </c>
      <c r="O819" s="254" t="str">
        <f>IF(ISBLANK(INDEX('Policy Characteristics'!I:I,MATCH($C819,'Policy Characteristics'!$C:$C,0))),"",INDEX('Policy Characteristics'!I:I,MATCH($C819,'Policy Characteristics'!$C:$C,0)))</f>
        <v>% of fuel shifted</v>
      </c>
      <c r="P819" s="254"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4" t="str">
        <f>IF(ISBLANK(INDEX('Policy Characteristics'!K:K,MATCH($C819,'Policy Characteristics'!$C:$C,0))),"",INDEX('Policy Characteristics'!K:K,MATCH($C819,'Policy Characteristics'!$C:$C,0)))</f>
        <v>industry-ag-main.html#fuel-switching</v>
      </c>
      <c r="R819" s="254" t="str">
        <f>IF(ISBLANK(INDEX('Policy Characteristics'!L:L,MATCH($C819,'Policy Characteristics'!$C:$C,0))),"",INDEX('Policy Characteristics'!L:L,MATCH($C819,'Policy Characteristics'!$C:$C,0)))</f>
        <v>industry-elec-and-hydrogen.html</v>
      </c>
    </row>
    <row r="820" spans="1:18" x14ac:dyDescent="0.3">
      <c r="A820" s="254" t="str">
        <f>IF(ISBLANK(INDEX('Policy Characteristics'!A:A,MATCH($C820,'Policy Characteristics'!$C:$C,0))),"",INDEX('Policy Characteristics'!A:A,MATCH($C820,'Policy Characteristics'!$C:$C,0)))</f>
        <v>Industry</v>
      </c>
      <c r="B820" s="262" t="str">
        <f>IF(ISBLANK(INDEX('Policy Characteristics'!B:B,MATCH($C820,'Policy Characteristics'!$C:$C,0))),"",INDEX('Policy Characteristics'!B:B,MATCH($C820,'Policy Characteristics'!$C:$C,0)))</f>
        <v>Electrification</v>
      </c>
      <c r="C820" s="254" t="str">
        <f t="shared" si="39"/>
        <v>Fraction of Eligible Industrial Energy Use Shifted to Electricity</v>
      </c>
      <c r="D820" s="6" t="s">
        <v>3084</v>
      </c>
      <c r="E820" s="1" t="s">
        <v>3521</v>
      </c>
      <c r="F820" t="s">
        <v>3087</v>
      </c>
      <c r="G820" s="45" t="s">
        <v>3528</v>
      </c>
      <c r="H820" s="43">
        <v>2024</v>
      </c>
      <c r="I820" s="324" t="s">
        <v>43</v>
      </c>
      <c r="J820" s="255" t="str">
        <f>IF(ISBLANK(INDEX('Policy Characteristics'!D:D,MATCH($C820,'Policy Characteristics'!$C:$C,0))),"",INDEX('Policy Characteristics'!D:D,MATCH($C820,'Policy Characteristics'!$C:$C,0)))</f>
        <v>Electrification</v>
      </c>
      <c r="K820" s="254" t="str">
        <f>IF(ISBLANK(INDEX('Policy Characteristics'!E:E,MATCH($C820,'Policy Characteristics'!$C:$C,0))),"",INDEX('Policy Characteristics'!E:E,MATCH($C820,'Policy Characteristics'!$C:$C,0)))</f>
        <v>indst shift to electricity</v>
      </c>
      <c r="L820" s="261">
        <f>IF(ISBLANK(INDEX('Policy Characteristics'!F:F,MATCH($C820,'Policy Characteristics'!$C:$C,0))),"",INDEX('Policy Characteristics'!F:F,MATCH($C820,'Policy Characteristics'!$C:$C,0)))</f>
        <v>0</v>
      </c>
      <c r="M820" s="261">
        <f>IF(ISBLANK(INDEX('Policy Characteristics'!G:G,MATCH($C820,'Policy Characteristics'!$C:$C,0))),"",INDEX('Policy Characteristics'!G:G,MATCH($C820,'Policy Characteristics'!$C:$C,0)))</f>
        <v>1</v>
      </c>
      <c r="N820" s="261">
        <f>IF(ISBLANK(INDEX('Policy Characteristics'!H:H,MATCH($C820,'Policy Characteristics'!$C:$C,0))),"",INDEX('Policy Characteristics'!H:H,MATCH($C820,'Policy Characteristics'!$C:$C,0)))</f>
        <v>0.01</v>
      </c>
      <c r="O820" s="254" t="str">
        <f>IF(ISBLANK(INDEX('Policy Characteristics'!I:I,MATCH($C820,'Policy Characteristics'!$C:$C,0))),"",INDEX('Policy Characteristics'!I:I,MATCH($C820,'Policy Characteristics'!$C:$C,0)))</f>
        <v>% of fuel shifted</v>
      </c>
      <c r="P820" s="254"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4" t="str">
        <f>IF(ISBLANK(INDEX('Policy Characteristics'!K:K,MATCH($C820,'Policy Characteristics'!$C:$C,0))),"",INDEX('Policy Characteristics'!K:K,MATCH($C820,'Policy Characteristics'!$C:$C,0)))</f>
        <v>industry-ag-main.html#fuel-switching</v>
      </c>
      <c r="R820" s="254" t="str">
        <f>IF(ISBLANK(INDEX('Policy Characteristics'!L:L,MATCH($C820,'Policy Characteristics'!$C:$C,0))),"",INDEX('Policy Characteristics'!L:L,MATCH($C820,'Policy Characteristics'!$C:$C,0)))</f>
        <v>industry-elec-and-hydrogen.html</v>
      </c>
    </row>
    <row r="821" spans="1:18" x14ac:dyDescent="0.3">
      <c r="A821" s="254" t="str">
        <f>IF(ISBLANK(INDEX('Policy Characteristics'!A:A,MATCH($C821,'Policy Characteristics'!$C:$C,0))),"",INDEX('Policy Characteristics'!A:A,MATCH($C821,'Policy Characteristics'!$C:$C,0)))</f>
        <v>Industry</v>
      </c>
      <c r="B821" s="262" t="str">
        <f>IF(ISBLANK(INDEX('Policy Characteristics'!B:B,MATCH($C821,'Policy Characteristics'!$C:$C,0))),"",INDEX('Policy Characteristics'!B:B,MATCH($C821,'Policy Characteristics'!$C:$C,0)))</f>
        <v>Electrification</v>
      </c>
      <c r="C821" s="254" t="str">
        <f t="shared" si="39"/>
        <v>Fraction of Eligible Industrial Energy Use Shifted to Electricity</v>
      </c>
      <c r="D821" s="6" t="s">
        <v>3084</v>
      </c>
      <c r="E821" s="1" t="s">
        <v>3671</v>
      </c>
      <c r="F821" t="s">
        <v>3087</v>
      </c>
      <c r="G821" s="45" t="s">
        <v>3671</v>
      </c>
      <c r="H821" s="43">
        <v>2025</v>
      </c>
      <c r="I821" s="324" t="s">
        <v>43</v>
      </c>
      <c r="J821" s="255" t="str">
        <f>IF(ISBLANK(INDEX('Policy Characteristics'!D:D,MATCH($C821,'Policy Characteristics'!$C:$C,0))),"",INDEX('Policy Characteristics'!D:D,MATCH($C821,'Policy Characteristics'!$C:$C,0)))</f>
        <v>Electrification</v>
      </c>
      <c r="K821" s="254" t="str">
        <f>IF(ISBLANK(INDEX('Policy Characteristics'!E:E,MATCH($C821,'Policy Characteristics'!$C:$C,0))),"",INDEX('Policy Characteristics'!E:E,MATCH($C821,'Policy Characteristics'!$C:$C,0)))</f>
        <v>indst shift to electricity</v>
      </c>
      <c r="L821" s="261">
        <f>IF(ISBLANK(INDEX('Policy Characteristics'!F:F,MATCH($C821,'Policy Characteristics'!$C:$C,0))),"",INDEX('Policy Characteristics'!F:F,MATCH($C821,'Policy Characteristics'!$C:$C,0)))</f>
        <v>0</v>
      </c>
      <c r="M821" s="261">
        <f>IF(ISBLANK(INDEX('Policy Characteristics'!G:G,MATCH($C821,'Policy Characteristics'!$C:$C,0))),"",INDEX('Policy Characteristics'!G:G,MATCH($C821,'Policy Characteristics'!$C:$C,0)))</f>
        <v>1</v>
      </c>
      <c r="N821" s="261">
        <f>IF(ISBLANK(INDEX('Policy Characteristics'!H:H,MATCH($C821,'Policy Characteristics'!$C:$C,0))),"",INDEX('Policy Characteristics'!H:H,MATCH($C821,'Policy Characteristics'!$C:$C,0)))</f>
        <v>0.01</v>
      </c>
      <c r="O821" s="254" t="str">
        <f>IF(ISBLANK(INDEX('Policy Characteristics'!I:I,MATCH($C821,'Policy Characteristics'!$C:$C,0))),"",INDEX('Policy Characteristics'!I:I,MATCH($C821,'Policy Characteristics'!$C:$C,0)))</f>
        <v>% of fuel shifted</v>
      </c>
      <c r="P821" s="254"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4" t="str">
        <f>IF(ISBLANK(INDEX('Policy Characteristics'!K:K,MATCH($C821,'Policy Characteristics'!$C:$C,0))),"",INDEX('Policy Characteristics'!K:K,MATCH($C821,'Policy Characteristics'!$C:$C,0)))</f>
        <v>industry-ag-main.html#fuel-switching</v>
      </c>
      <c r="R821" s="254" t="str">
        <f>IF(ISBLANK(INDEX('Policy Characteristics'!L:L,MATCH($C821,'Policy Characteristics'!$C:$C,0))),"",INDEX('Policy Characteristics'!L:L,MATCH($C821,'Policy Characteristics'!$C:$C,0)))</f>
        <v>industry-elec-and-hydrogen.html</v>
      </c>
    </row>
    <row r="822" spans="1:18" x14ac:dyDescent="0.3">
      <c r="A822" s="254" t="str">
        <f>IF(ISBLANK(INDEX('Policy Characteristics'!A:A,MATCH($C822,'Policy Characteristics'!$C:$C,0))),"",INDEX('Policy Characteristics'!A:A,MATCH($C822,'Policy Characteristics'!$C:$C,0)))</f>
        <v>Industry</v>
      </c>
      <c r="B822" s="262" t="str">
        <f>IF(ISBLANK(INDEX('Policy Characteristics'!B:B,MATCH($C822,'Policy Characteristics'!$C:$C,0))),"",INDEX('Policy Characteristics'!B:B,MATCH($C822,'Policy Characteristics'!$C:$C,0)))</f>
        <v>Electrification</v>
      </c>
      <c r="C822" s="254" t="str">
        <f t="shared" si="39"/>
        <v>Fraction of Eligible Industrial Energy Use Shifted to Electricity</v>
      </c>
      <c r="D822" s="6" t="s">
        <v>3085</v>
      </c>
      <c r="E822" s="1" t="s">
        <v>3515</v>
      </c>
      <c r="F822" t="s">
        <v>3046</v>
      </c>
      <c r="G822" s="45" t="s">
        <v>3522</v>
      </c>
      <c r="H822" s="43">
        <v>2026</v>
      </c>
      <c r="I822" s="324" t="s">
        <v>43</v>
      </c>
      <c r="J822" s="255" t="str">
        <f>IF(ISBLANK(INDEX('Policy Characteristics'!D:D,MATCH($C822,'Policy Characteristics'!$C:$C,0))),"",INDEX('Policy Characteristics'!D:D,MATCH($C822,'Policy Characteristics'!$C:$C,0)))</f>
        <v>Electrification</v>
      </c>
      <c r="K822" s="254" t="str">
        <f>IF(ISBLANK(INDEX('Policy Characteristics'!E:E,MATCH($C822,'Policy Characteristics'!$C:$C,0))),"",INDEX('Policy Characteristics'!E:E,MATCH($C822,'Policy Characteristics'!$C:$C,0)))</f>
        <v>indst shift to electricity</v>
      </c>
      <c r="L822" s="261">
        <f>IF(ISBLANK(INDEX('Policy Characteristics'!F:F,MATCH($C822,'Policy Characteristics'!$C:$C,0))),"",INDEX('Policy Characteristics'!F:F,MATCH($C822,'Policy Characteristics'!$C:$C,0)))</f>
        <v>0</v>
      </c>
      <c r="M822" s="261">
        <f>IF(ISBLANK(INDEX('Policy Characteristics'!G:G,MATCH($C822,'Policy Characteristics'!$C:$C,0))),"",INDEX('Policy Characteristics'!G:G,MATCH($C822,'Policy Characteristics'!$C:$C,0)))</f>
        <v>1</v>
      </c>
      <c r="N822" s="261">
        <f>IF(ISBLANK(INDEX('Policy Characteristics'!H:H,MATCH($C822,'Policy Characteristics'!$C:$C,0))),"",INDEX('Policy Characteristics'!H:H,MATCH($C822,'Policy Characteristics'!$C:$C,0)))</f>
        <v>0.01</v>
      </c>
      <c r="O822" s="254" t="str">
        <f>IF(ISBLANK(INDEX('Policy Characteristics'!I:I,MATCH($C822,'Policy Characteristics'!$C:$C,0))),"",INDEX('Policy Characteristics'!I:I,MATCH($C822,'Policy Characteristics'!$C:$C,0)))</f>
        <v>% of fuel shifted</v>
      </c>
      <c r="P822" s="254"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4" t="str">
        <f>IF(ISBLANK(INDEX('Policy Characteristics'!K:K,MATCH($C822,'Policy Characteristics'!$C:$C,0))),"",INDEX('Policy Characteristics'!K:K,MATCH($C822,'Policy Characteristics'!$C:$C,0)))</f>
        <v>industry-ag-main.html#fuel-switching</v>
      </c>
      <c r="R822" s="254" t="str">
        <f>IF(ISBLANK(INDEX('Policy Characteristics'!L:L,MATCH($C822,'Policy Characteristics'!$C:$C,0))),"",INDEX('Policy Characteristics'!L:L,MATCH($C822,'Policy Characteristics'!$C:$C,0)))</f>
        <v>industry-elec-and-hydrogen.html</v>
      </c>
    </row>
    <row r="823" spans="1:18" x14ac:dyDescent="0.3">
      <c r="A823" s="254" t="str">
        <f>IF(ISBLANK(INDEX('Policy Characteristics'!A:A,MATCH($C823,'Policy Characteristics'!$C:$C,0))),"",INDEX('Policy Characteristics'!A:A,MATCH($C823,'Policy Characteristics'!$C:$C,0)))</f>
        <v>Industry</v>
      </c>
      <c r="B823" s="262" t="str">
        <f>IF(ISBLANK(INDEX('Policy Characteristics'!B:B,MATCH($C823,'Policy Characteristics'!$C:$C,0))),"",INDEX('Policy Characteristics'!B:B,MATCH($C823,'Policy Characteristics'!$C:$C,0)))</f>
        <v>Electrification</v>
      </c>
      <c r="C823" s="254" t="str">
        <f t="shared" si="39"/>
        <v>Fraction of Eligible Industrial Energy Use Shifted to Electricity</v>
      </c>
      <c r="D823" s="6" t="s">
        <v>3085</v>
      </c>
      <c r="E823" s="1" t="s">
        <v>3516</v>
      </c>
      <c r="F823" t="s">
        <v>3046</v>
      </c>
      <c r="G823" s="45" t="s">
        <v>3523</v>
      </c>
      <c r="H823" s="43">
        <v>2027</v>
      </c>
      <c r="I823" s="324" t="s">
        <v>43</v>
      </c>
      <c r="J823" s="255" t="str">
        <f>IF(ISBLANK(INDEX('Policy Characteristics'!D:D,MATCH($C823,'Policy Characteristics'!$C:$C,0))),"",INDEX('Policy Characteristics'!D:D,MATCH($C823,'Policy Characteristics'!$C:$C,0)))</f>
        <v>Electrification</v>
      </c>
      <c r="K823" s="254" t="str">
        <f>IF(ISBLANK(INDEX('Policy Characteristics'!E:E,MATCH($C823,'Policy Characteristics'!$C:$C,0))),"",INDEX('Policy Characteristics'!E:E,MATCH($C823,'Policy Characteristics'!$C:$C,0)))</f>
        <v>indst shift to electricity</v>
      </c>
      <c r="L823" s="261">
        <f>IF(ISBLANK(INDEX('Policy Characteristics'!F:F,MATCH($C823,'Policy Characteristics'!$C:$C,0))),"",INDEX('Policy Characteristics'!F:F,MATCH($C823,'Policy Characteristics'!$C:$C,0)))</f>
        <v>0</v>
      </c>
      <c r="M823" s="261">
        <f>IF(ISBLANK(INDEX('Policy Characteristics'!G:G,MATCH($C823,'Policy Characteristics'!$C:$C,0))),"",INDEX('Policy Characteristics'!G:G,MATCH($C823,'Policy Characteristics'!$C:$C,0)))</f>
        <v>1</v>
      </c>
      <c r="N823" s="261">
        <f>IF(ISBLANK(INDEX('Policy Characteristics'!H:H,MATCH($C823,'Policy Characteristics'!$C:$C,0))),"",INDEX('Policy Characteristics'!H:H,MATCH($C823,'Policy Characteristics'!$C:$C,0)))</f>
        <v>0.01</v>
      </c>
      <c r="O823" s="254" t="str">
        <f>IF(ISBLANK(INDEX('Policy Characteristics'!I:I,MATCH($C823,'Policy Characteristics'!$C:$C,0))),"",INDEX('Policy Characteristics'!I:I,MATCH($C823,'Policy Characteristics'!$C:$C,0)))</f>
        <v>% of fuel shifted</v>
      </c>
      <c r="P823" s="254"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4" t="str">
        <f>IF(ISBLANK(INDEX('Policy Characteristics'!K:K,MATCH($C823,'Policy Characteristics'!$C:$C,0))),"",INDEX('Policy Characteristics'!K:K,MATCH($C823,'Policy Characteristics'!$C:$C,0)))</f>
        <v>industry-ag-main.html#fuel-switching</v>
      </c>
      <c r="R823" s="254" t="str">
        <f>IF(ISBLANK(INDEX('Policy Characteristics'!L:L,MATCH($C823,'Policy Characteristics'!$C:$C,0))),"",INDEX('Policy Characteristics'!L:L,MATCH($C823,'Policy Characteristics'!$C:$C,0)))</f>
        <v>industry-elec-and-hydrogen.html</v>
      </c>
    </row>
    <row r="824" spans="1:18" x14ac:dyDescent="0.3">
      <c r="A824" s="254" t="str">
        <f>IF(ISBLANK(INDEX('Policy Characteristics'!A:A,MATCH($C824,'Policy Characteristics'!$C:$C,0))),"",INDEX('Policy Characteristics'!A:A,MATCH($C824,'Policy Characteristics'!$C:$C,0)))</f>
        <v>Industry</v>
      </c>
      <c r="B824" s="262" t="str">
        <f>IF(ISBLANK(INDEX('Policy Characteristics'!B:B,MATCH($C824,'Policy Characteristics'!$C:$C,0))),"",INDEX('Policy Characteristics'!B:B,MATCH($C824,'Policy Characteristics'!$C:$C,0)))</f>
        <v>Electrification</v>
      </c>
      <c r="C824" s="254" t="str">
        <f t="shared" si="39"/>
        <v>Fraction of Eligible Industrial Energy Use Shifted to Electricity</v>
      </c>
      <c r="D824" s="6" t="s">
        <v>3085</v>
      </c>
      <c r="E824" s="1" t="s">
        <v>3517</v>
      </c>
      <c r="F824" t="s">
        <v>3046</v>
      </c>
      <c r="G824" s="45" t="s">
        <v>3524</v>
      </c>
      <c r="H824" s="43">
        <v>2028</v>
      </c>
      <c r="I824" s="324" t="s">
        <v>43</v>
      </c>
      <c r="J824" s="255" t="str">
        <f>IF(ISBLANK(INDEX('Policy Characteristics'!D:D,MATCH($C824,'Policy Characteristics'!$C:$C,0))),"",INDEX('Policy Characteristics'!D:D,MATCH($C824,'Policy Characteristics'!$C:$C,0)))</f>
        <v>Electrification</v>
      </c>
      <c r="K824" s="254" t="str">
        <f>IF(ISBLANK(INDEX('Policy Characteristics'!E:E,MATCH($C824,'Policy Characteristics'!$C:$C,0))),"",INDEX('Policy Characteristics'!E:E,MATCH($C824,'Policy Characteristics'!$C:$C,0)))</f>
        <v>indst shift to electricity</v>
      </c>
      <c r="L824" s="261">
        <f>IF(ISBLANK(INDEX('Policy Characteristics'!F:F,MATCH($C824,'Policy Characteristics'!$C:$C,0))),"",INDEX('Policy Characteristics'!F:F,MATCH($C824,'Policy Characteristics'!$C:$C,0)))</f>
        <v>0</v>
      </c>
      <c r="M824" s="261">
        <f>IF(ISBLANK(INDEX('Policy Characteristics'!G:G,MATCH($C824,'Policy Characteristics'!$C:$C,0))),"",INDEX('Policy Characteristics'!G:G,MATCH($C824,'Policy Characteristics'!$C:$C,0)))</f>
        <v>1</v>
      </c>
      <c r="N824" s="261">
        <f>IF(ISBLANK(INDEX('Policy Characteristics'!H:H,MATCH($C824,'Policy Characteristics'!$C:$C,0))),"",INDEX('Policy Characteristics'!H:H,MATCH($C824,'Policy Characteristics'!$C:$C,0)))</f>
        <v>0.01</v>
      </c>
      <c r="O824" s="254" t="str">
        <f>IF(ISBLANK(INDEX('Policy Characteristics'!I:I,MATCH($C824,'Policy Characteristics'!$C:$C,0))),"",INDEX('Policy Characteristics'!I:I,MATCH($C824,'Policy Characteristics'!$C:$C,0)))</f>
        <v>% of fuel shifted</v>
      </c>
      <c r="P824" s="254"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4" t="str">
        <f>IF(ISBLANK(INDEX('Policy Characteristics'!K:K,MATCH($C824,'Policy Characteristics'!$C:$C,0))),"",INDEX('Policy Characteristics'!K:K,MATCH($C824,'Policy Characteristics'!$C:$C,0)))</f>
        <v>industry-ag-main.html#fuel-switching</v>
      </c>
      <c r="R824" s="254" t="str">
        <f>IF(ISBLANK(INDEX('Policy Characteristics'!L:L,MATCH($C824,'Policy Characteristics'!$C:$C,0))),"",INDEX('Policy Characteristics'!L:L,MATCH($C824,'Policy Characteristics'!$C:$C,0)))</f>
        <v>industry-elec-and-hydrogen.html</v>
      </c>
    </row>
    <row r="825" spans="1:18" x14ac:dyDescent="0.3">
      <c r="A825" s="254" t="str">
        <f>IF(ISBLANK(INDEX('Policy Characteristics'!A:A,MATCH($C825,'Policy Characteristics'!$C:$C,0))),"",INDEX('Policy Characteristics'!A:A,MATCH($C825,'Policy Characteristics'!$C:$C,0)))</f>
        <v>Industry</v>
      </c>
      <c r="B825" s="262" t="str">
        <f>IF(ISBLANK(INDEX('Policy Characteristics'!B:B,MATCH($C825,'Policy Characteristics'!$C:$C,0))),"",INDEX('Policy Characteristics'!B:B,MATCH($C825,'Policy Characteristics'!$C:$C,0)))</f>
        <v>Electrification</v>
      </c>
      <c r="C825" s="254" t="str">
        <f t="shared" si="39"/>
        <v>Fraction of Eligible Industrial Energy Use Shifted to Electricity</v>
      </c>
      <c r="D825" s="6" t="s">
        <v>3085</v>
      </c>
      <c r="E825" s="1" t="s">
        <v>3518</v>
      </c>
      <c r="F825" t="s">
        <v>3046</v>
      </c>
      <c r="G825" s="45" t="s">
        <v>3525</v>
      </c>
      <c r="H825" s="43">
        <v>2029</v>
      </c>
      <c r="I825" s="324" t="s">
        <v>43</v>
      </c>
      <c r="J825" s="255" t="str">
        <f>IF(ISBLANK(INDEX('Policy Characteristics'!D:D,MATCH($C825,'Policy Characteristics'!$C:$C,0))),"",INDEX('Policy Characteristics'!D:D,MATCH($C825,'Policy Characteristics'!$C:$C,0)))</f>
        <v>Electrification</v>
      </c>
      <c r="K825" s="254" t="str">
        <f>IF(ISBLANK(INDEX('Policy Characteristics'!E:E,MATCH($C825,'Policy Characteristics'!$C:$C,0))),"",INDEX('Policy Characteristics'!E:E,MATCH($C825,'Policy Characteristics'!$C:$C,0)))</f>
        <v>indst shift to electricity</v>
      </c>
      <c r="L825" s="261">
        <f>IF(ISBLANK(INDEX('Policy Characteristics'!F:F,MATCH($C825,'Policy Characteristics'!$C:$C,0))),"",INDEX('Policy Characteristics'!F:F,MATCH($C825,'Policy Characteristics'!$C:$C,0)))</f>
        <v>0</v>
      </c>
      <c r="M825" s="261">
        <f>IF(ISBLANK(INDEX('Policy Characteristics'!G:G,MATCH($C825,'Policy Characteristics'!$C:$C,0))),"",INDEX('Policy Characteristics'!G:G,MATCH($C825,'Policy Characteristics'!$C:$C,0)))</f>
        <v>1</v>
      </c>
      <c r="N825" s="261">
        <f>IF(ISBLANK(INDEX('Policy Characteristics'!H:H,MATCH($C825,'Policy Characteristics'!$C:$C,0))),"",INDEX('Policy Characteristics'!H:H,MATCH($C825,'Policy Characteristics'!$C:$C,0)))</f>
        <v>0.01</v>
      </c>
      <c r="O825" s="254" t="str">
        <f>IF(ISBLANK(INDEX('Policy Characteristics'!I:I,MATCH($C825,'Policy Characteristics'!$C:$C,0))),"",INDEX('Policy Characteristics'!I:I,MATCH($C825,'Policy Characteristics'!$C:$C,0)))</f>
        <v>% of fuel shifted</v>
      </c>
      <c r="P825" s="254"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4" t="str">
        <f>IF(ISBLANK(INDEX('Policy Characteristics'!K:K,MATCH($C825,'Policy Characteristics'!$C:$C,0))),"",INDEX('Policy Characteristics'!K:K,MATCH($C825,'Policy Characteristics'!$C:$C,0)))</f>
        <v>industry-ag-main.html#fuel-switching</v>
      </c>
      <c r="R825" s="254" t="str">
        <f>IF(ISBLANK(INDEX('Policy Characteristics'!L:L,MATCH($C825,'Policy Characteristics'!$C:$C,0))),"",INDEX('Policy Characteristics'!L:L,MATCH($C825,'Policy Characteristics'!$C:$C,0)))</f>
        <v>industry-elec-and-hydrogen.html</v>
      </c>
    </row>
    <row r="826" spans="1:18" x14ac:dyDescent="0.3">
      <c r="A826" s="254" t="str">
        <f>IF(ISBLANK(INDEX('Policy Characteristics'!A:A,MATCH($C826,'Policy Characteristics'!$C:$C,0))),"",INDEX('Policy Characteristics'!A:A,MATCH($C826,'Policy Characteristics'!$C:$C,0)))</f>
        <v>Industry</v>
      </c>
      <c r="B826" s="262" t="str">
        <f>IF(ISBLANK(INDEX('Policy Characteristics'!B:B,MATCH($C826,'Policy Characteristics'!$C:$C,0))),"",INDEX('Policy Characteristics'!B:B,MATCH($C826,'Policy Characteristics'!$C:$C,0)))</f>
        <v>Electrification</v>
      </c>
      <c r="C826" s="254" t="str">
        <f t="shared" si="39"/>
        <v>Fraction of Eligible Industrial Energy Use Shifted to Electricity</v>
      </c>
      <c r="D826" s="6" t="s">
        <v>3085</v>
      </c>
      <c r="E826" s="1" t="s">
        <v>3519</v>
      </c>
      <c r="F826" t="s">
        <v>3046</v>
      </c>
      <c r="G826" s="45" t="s">
        <v>3526</v>
      </c>
      <c r="H826" s="43">
        <v>2030</v>
      </c>
      <c r="I826" s="324" t="s">
        <v>43</v>
      </c>
      <c r="J826" s="255" t="str">
        <f>IF(ISBLANK(INDEX('Policy Characteristics'!D:D,MATCH($C826,'Policy Characteristics'!$C:$C,0))),"",INDEX('Policy Characteristics'!D:D,MATCH($C826,'Policy Characteristics'!$C:$C,0)))</f>
        <v>Electrification</v>
      </c>
      <c r="K826" s="254" t="str">
        <f>IF(ISBLANK(INDEX('Policy Characteristics'!E:E,MATCH($C826,'Policy Characteristics'!$C:$C,0))),"",INDEX('Policy Characteristics'!E:E,MATCH($C826,'Policy Characteristics'!$C:$C,0)))</f>
        <v>indst shift to electricity</v>
      </c>
      <c r="L826" s="261">
        <f>IF(ISBLANK(INDEX('Policy Characteristics'!F:F,MATCH($C826,'Policy Characteristics'!$C:$C,0))),"",INDEX('Policy Characteristics'!F:F,MATCH($C826,'Policy Characteristics'!$C:$C,0)))</f>
        <v>0</v>
      </c>
      <c r="M826" s="261">
        <f>IF(ISBLANK(INDEX('Policy Characteristics'!G:G,MATCH($C826,'Policy Characteristics'!$C:$C,0))),"",INDEX('Policy Characteristics'!G:G,MATCH($C826,'Policy Characteristics'!$C:$C,0)))</f>
        <v>1</v>
      </c>
      <c r="N826" s="261">
        <f>IF(ISBLANK(INDEX('Policy Characteristics'!H:H,MATCH($C826,'Policy Characteristics'!$C:$C,0))),"",INDEX('Policy Characteristics'!H:H,MATCH($C826,'Policy Characteristics'!$C:$C,0)))</f>
        <v>0.01</v>
      </c>
      <c r="O826" s="254" t="str">
        <f>IF(ISBLANK(INDEX('Policy Characteristics'!I:I,MATCH($C826,'Policy Characteristics'!$C:$C,0))),"",INDEX('Policy Characteristics'!I:I,MATCH($C826,'Policy Characteristics'!$C:$C,0)))</f>
        <v>% of fuel shifted</v>
      </c>
      <c r="P826" s="254"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4" t="str">
        <f>IF(ISBLANK(INDEX('Policy Characteristics'!K:K,MATCH($C826,'Policy Characteristics'!$C:$C,0))),"",INDEX('Policy Characteristics'!K:K,MATCH($C826,'Policy Characteristics'!$C:$C,0)))</f>
        <v>industry-ag-main.html#fuel-switching</v>
      </c>
      <c r="R826" s="254" t="str">
        <f>IF(ISBLANK(INDEX('Policy Characteristics'!L:L,MATCH($C826,'Policy Characteristics'!$C:$C,0))),"",INDEX('Policy Characteristics'!L:L,MATCH($C826,'Policy Characteristics'!$C:$C,0)))</f>
        <v>industry-elec-and-hydrogen.html</v>
      </c>
    </row>
    <row r="827" spans="1:18" x14ac:dyDescent="0.3">
      <c r="A827" s="254" t="str">
        <f>IF(ISBLANK(INDEX('Policy Characteristics'!A:A,MATCH($C827,'Policy Characteristics'!$C:$C,0))),"",INDEX('Policy Characteristics'!A:A,MATCH($C827,'Policy Characteristics'!$C:$C,0)))</f>
        <v>Industry</v>
      </c>
      <c r="B827" s="262" t="str">
        <f>IF(ISBLANK(INDEX('Policy Characteristics'!B:B,MATCH($C827,'Policy Characteristics'!$C:$C,0))),"",INDEX('Policy Characteristics'!B:B,MATCH($C827,'Policy Characteristics'!$C:$C,0)))</f>
        <v>Electrification</v>
      </c>
      <c r="C827" s="254" t="str">
        <f t="shared" si="39"/>
        <v>Fraction of Eligible Industrial Energy Use Shifted to Electricity</v>
      </c>
      <c r="D827" s="6" t="s">
        <v>3085</v>
      </c>
      <c r="E827" s="1" t="s">
        <v>3520</v>
      </c>
      <c r="F827" t="s">
        <v>3046</v>
      </c>
      <c r="G827" s="45" t="s">
        <v>3527</v>
      </c>
      <c r="H827" s="43">
        <v>2031</v>
      </c>
      <c r="I827" s="324" t="s">
        <v>43</v>
      </c>
      <c r="J827" s="255" t="str">
        <f>IF(ISBLANK(INDEX('Policy Characteristics'!D:D,MATCH($C827,'Policy Characteristics'!$C:$C,0))),"",INDEX('Policy Characteristics'!D:D,MATCH($C827,'Policy Characteristics'!$C:$C,0)))</f>
        <v>Electrification</v>
      </c>
      <c r="K827" s="254" t="str">
        <f>IF(ISBLANK(INDEX('Policy Characteristics'!E:E,MATCH($C827,'Policy Characteristics'!$C:$C,0))),"",INDEX('Policy Characteristics'!E:E,MATCH($C827,'Policy Characteristics'!$C:$C,0)))</f>
        <v>indst shift to electricity</v>
      </c>
      <c r="L827" s="261">
        <f>IF(ISBLANK(INDEX('Policy Characteristics'!F:F,MATCH($C827,'Policy Characteristics'!$C:$C,0))),"",INDEX('Policy Characteristics'!F:F,MATCH($C827,'Policy Characteristics'!$C:$C,0)))</f>
        <v>0</v>
      </c>
      <c r="M827" s="261">
        <f>IF(ISBLANK(INDEX('Policy Characteristics'!G:G,MATCH($C827,'Policy Characteristics'!$C:$C,0))),"",INDEX('Policy Characteristics'!G:G,MATCH($C827,'Policy Characteristics'!$C:$C,0)))</f>
        <v>1</v>
      </c>
      <c r="N827" s="261">
        <f>IF(ISBLANK(INDEX('Policy Characteristics'!H:H,MATCH($C827,'Policy Characteristics'!$C:$C,0))),"",INDEX('Policy Characteristics'!H:H,MATCH($C827,'Policy Characteristics'!$C:$C,0)))</f>
        <v>0.01</v>
      </c>
      <c r="O827" s="254" t="str">
        <f>IF(ISBLANK(INDEX('Policy Characteristics'!I:I,MATCH($C827,'Policy Characteristics'!$C:$C,0))),"",INDEX('Policy Characteristics'!I:I,MATCH($C827,'Policy Characteristics'!$C:$C,0)))</f>
        <v>% of fuel shifted</v>
      </c>
      <c r="P827" s="254"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4" t="str">
        <f>IF(ISBLANK(INDEX('Policy Characteristics'!K:K,MATCH($C827,'Policy Characteristics'!$C:$C,0))),"",INDEX('Policy Characteristics'!K:K,MATCH($C827,'Policy Characteristics'!$C:$C,0)))</f>
        <v>industry-ag-main.html#fuel-switching</v>
      </c>
      <c r="R827" s="254" t="str">
        <f>IF(ISBLANK(INDEX('Policy Characteristics'!L:L,MATCH($C827,'Policy Characteristics'!$C:$C,0))),"",INDEX('Policy Characteristics'!L:L,MATCH($C827,'Policy Characteristics'!$C:$C,0)))</f>
        <v>industry-elec-and-hydrogen.html</v>
      </c>
    </row>
    <row r="828" spans="1:18" x14ac:dyDescent="0.3">
      <c r="A828" s="254" t="str">
        <f>IF(ISBLANK(INDEX('Policy Characteristics'!A:A,MATCH($C828,'Policy Characteristics'!$C:$C,0))),"",INDEX('Policy Characteristics'!A:A,MATCH($C828,'Policy Characteristics'!$C:$C,0)))</f>
        <v>Industry</v>
      </c>
      <c r="B828" s="262" t="str">
        <f>IF(ISBLANK(INDEX('Policy Characteristics'!B:B,MATCH($C828,'Policy Characteristics'!$C:$C,0))),"",INDEX('Policy Characteristics'!B:B,MATCH($C828,'Policy Characteristics'!$C:$C,0)))</f>
        <v>Electrification</v>
      </c>
      <c r="C828" s="254" t="str">
        <f t="shared" si="39"/>
        <v>Fraction of Eligible Industrial Energy Use Shifted to Electricity</v>
      </c>
      <c r="D828" s="6" t="s">
        <v>3085</v>
      </c>
      <c r="E828" s="1" t="s">
        <v>3521</v>
      </c>
      <c r="F828" t="s">
        <v>3046</v>
      </c>
      <c r="G828" s="45" t="s">
        <v>3528</v>
      </c>
      <c r="H828" s="43">
        <v>2032</v>
      </c>
      <c r="I828" s="324" t="s">
        <v>43</v>
      </c>
      <c r="J828" s="255" t="str">
        <f>IF(ISBLANK(INDEX('Policy Characteristics'!D:D,MATCH($C828,'Policy Characteristics'!$C:$C,0))),"",INDEX('Policy Characteristics'!D:D,MATCH($C828,'Policy Characteristics'!$C:$C,0)))</f>
        <v>Electrification</v>
      </c>
      <c r="K828" s="254" t="str">
        <f>IF(ISBLANK(INDEX('Policy Characteristics'!E:E,MATCH($C828,'Policy Characteristics'!$C:$C,0))),"",INDEX('Policy Characteristics'!E:E,MATCH($C828,'Policy Characteristics'!$C:$C,0)))</f>
        <v>indst shift to electricity</v>
      </c>
      <c r="L828" s="261">
        <f>IF(ISBLANK(INDEX('Policy Characteristics'!F:F,MATCH($C828,'Policy Characteristics'!$C:$C,0))),"",INDEX('Policy Characteristics'!F:F,MATCH($C828,'Policy Characteristics'!$C:$C,0)))</f>
        <v>0</v>
      </c>
      <c r="M828" s="261">
        <f>IF(ISBLANK(INDEX('Policy Characteristics'!G:G,MATCH($C828,'Policy Characteristics'!$C:$C,0))),"",INDEX('Policy Characteristics'!G:G,MATCH($C828,'Policy Characteristics'!$C:$C,0)))</f>
        <v>1</v>
      </c>
      <c r="N828" s="261">
        <f>IF(ISBLANK(INDEX('Policy Characteristics'!H:H,MATCH($C828,'Policy Characteristics'!$C:$C,0))),"",INDEX('Policy Characteristics'!H:H,MATCH($C828,'Policy Characteristics'!$C:$C,0)))</f>
        <v>0.01</v>
      </c>
      <c r="O828" s="254" t="str">
        <f>IF(ISBLANK(INDEX('Policy Characteristics'!I:I,MATCH($C828,'Policy Characteristics'!$C:$C,0))),"",INDEX('Policy Characteristics'!I:I,MATCH($C828,'Policy Characteristics'!$C:$C,0)))</f>
        <v>% of fuel shifted</v>
      </c>
      <c r="P828" s="254"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4" t="str">
        <f>IF(ISBLANK(INDEX('Policy Characteristics'!K:K,MATCH($C828,'Policy Characteristics'!$C:$C,0))),"",INDEX('Policy Characteristics'!K:K,MATCH($C828,'Policy Characteristics'!$C:$C,0)))</f>
        <v>industry-ag-main.html#fuel-switching</v>
      </c>
      <c r="R828" s="254" t="str">
        <f>IF(ISBLANK(INDEX('Policy Characteristics'!L:L,MATCH($C828,'Policy Characteristics'!$C:$C,0))),"",INDEX('Policy Characteristics'!L:L,MATCH($C828,'Policy Characteristics'!$C:$C,0)))</f>
        <v>industry-elec-and-hydrogen.html</v>
      </c>
    </row>
    <row r="829" spans="1:18" x14ac:dyDescent="0.3">
      <c r="A829" s="254" t="str">
        <f>IF(ISBLANK(INDEX('Policy Characteristics'!A:A,MATCH($C829,'Policy Characteristics'!$C:$C,0))),"",INDEX('Policy Characteristics'!A:A,MATCH($C829,'Policy Characteristics'!$C:$C,0)))</f>
        <v>Industry</v>
      </c>
      <c r="B829" s="262" t="str">
        <f>IF(ISBLANK(INDEX('Policy Characteristics'!B:B,MATCH($C829,'Policy Characteristics'!$C:$C,0))),"",INDEX('Policy Characteristics'!B:B,MATCH($C829,'Policy Characteristics'!$C:$C,0)))</f>
        <v>Electrification</v>
      </c>
      <c r="C829" s="254" t="str">
        <f t="shared" si="39"/>
        <v>Fraction of Eligible Industrial Energy Use Shifted to Electricity</v>
      </c>
      <c r="D829" s="6" t="s">
        <v>3085</v>
      </c>
      <c r="E829" s="1" t="s">
        <v>3671</v>
      </c>
      <c r="F829" t="s">
        <v>3046</v>
      </c>
      <c r="G829" s="45" t="s">
        <v>3671</v>
      </c>
      <c r="H829" s="43">
        <v>2033</v>
      </c>
      <c r="I829" s="324" t="s">
        <v>43</v>
      </c>
      <c r="J829" s="255" t="str">
        <f>IF(ISBLANK(INDEX('Policy Characteristics'!D:D,MATCH($C829,'Policy Characteristics'!$C:$C,0))),"",INDEX('Policy Characteristics'!D:D,MATCH($C829,'Policy Characteristics'!$C:$C,0)))</f>
        <v>Electrification</v>
      </c>
      <c r="K829" s="254" t="str">
        <f>IF(ISBLANK(INDEX('Policy Characteristics'!E:E,MATCH($C829,'Policy Characteristics'!$C:$C,0))),"",INDEX('Policy Characteristics'!E:E,MATCH($C829,'Policy Characteristics'!$C:$C,0)))</f>
        <v>indst shift to electricity</v>
      </c>
      <c r="L829" s="261">
        <f>IF(ISBLANK(INDEX('Policy Characteristics'!F:F,MATCH($C829,'Policy Characteristics'!$C:$C,0))),"",INDEX('Policy Characteristics'!F:F,MATCH($C829,'Policy Characteristics'!$C:$C,0)))</f>
        <v>0</v>
      </c>
      <c r="M829" s="261">
        <f>IF(ISBLANK(INDEX('Policy Characteristics'!G:G,MATCH($C829,'Policy Characteristics'!$C:$C,0))),"",INDEX('Policy Characteristics'!G:G,MATCH($C829,'Policy Characteristics'!$C:$C,0)))</f>
        <v>1</v>
      </c>
      <c r="N829" s="261">
        <f>IF(ISBLANK(INDEX('Policy Characteristics'!H:H,MATCH($C829,'Policy Characteristics'!$C:$C,0))),"",INDEX('Policy Characteristics'!H:H,MATCH($C829,'Policy Characteristics'!$C:$C,0)))</f>
        <v>0.01</v>
      </c>
      <c r="O829" s="254" t="str">
        <f>IF(ISBLANK(INDEX('Policy Characteristics'!I:I,MATCH($C829,'Policy Characteristics'!$C:$C,0))),"",INDEX('Policy Characteristics'!I:I,MATCH($C829,'Policy Characteristics'!$C:$C,0)))</f>
        <v>% of fuel shifted</v>
      </c>
      <c r="P829" s="254"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4" t="str">
        <f>IF(ISBLANK(INDEX('Policy Characteristics'!K:K,MATCH($C829,'Policy Characteristics'!$C:$C,0))),"",INDEX('Policy Characteristics'!K:K,MATCH($C829,'Policy Characteristics'!$C:$C,0)))</f>
        <v>industry-ag-main.html#fuel-switching</v>
      </c>
      <c r="R829" s="254" t="str">
        <f>IF(ISBLANK(INDEX('Policy Characteristics'!L:L,MATCH($C829,'Policy Characteristics'!$C:$C,0))),"",INDEX('Policy Characteristics'!L:L,MATCH($C829,'Policy Characteristics'!$C:$C,0)))</f>
        <v>industry-elec-and-hydrogen.html</v>
      </c>
    </row>
    <row r="830" spans="1:18" s="2" customFormat="1" x14ac:dyDescent="0.3">
      <c r="A830" s="254" t="str">
        <f>IF(ISBLANK(INDEX('Policy Characteristics'!A:A,MATCH($C830,'Policy Characteristics'!$C:$C,0))),"",INDEX('Policy Characteristics'!A:A,MATCH($C830,'Policy Characteristics'!$C:$C,0)))</f>
        <v>Industry</v>
      </c>
      <c r="B830" s="262" t="str">
        <f>IF(ISBLANK(INDEX('Policy Characteristics'!B:B,MATCH($C830,'Policy Characteristics'!$C:$C,0))),"",INDEX('Policy Characteristics'!B:B,MATCH($C830,'Policy Characteristics'!$C:$C,0)))</f>
        <v>F-Gas Substitution</v>
      </c>
      <c r="C830" s="317" t="s">
        <v>2776</v>
      </c>
      <c r="D830" s="6"/>
      <c r="E830" s="6"/>
      <c r="F830" s="6"/>
      <c r="G830" s="6"/>
      <c r="H830" s="47">
        <v>58</v>
      </c>
      <c r="I830" s="324" t="s">
        <v>43</v>
      </c>
      <c r="J830" s="255" t="str">
        <f>IF(ISBLANK(INDEX('Policy Characteristics'!D:D,MATCH($C830,'Policy Characteristics'!$C:$C,0))),"",INDEX('Policy Characteristics'!D:D,MATCH($C830,'Policy Characteristics'!$C:$C,0)))</f>
        <v>F-gas Measures</v>
      </c>
      <c r="K830" s="254" t="str">
        <f>IF(ISBLANK(INDEX('Policy Characteristics'!E:E,MATCH($C830,'Policy Characteristics'!$C:$C,0))),"",INDEX('Policy Characteristics'!E:E,MATCH($C830,'Policy Characteristics'!$C:$C,0)))</f>
        <v>indst f gas substitution</v>
      </c>
      <c r="L830" s="261">
        <f>IF(ISBLANK(INDEX('Policy Characteristics'!F:F,MATCH($C830,'Policy Characteristics'!$C:$C,0))),"",INDEX('Policy Characteristics'!F:F,MATCH($C830,'Policy Characteristics'!$C:$C,0)))</f>
        <v>0</v>
      </c>
      <c r="M830" s="261">
        <f>IF(ISBLANK(INDEX('Policy Characteristics'!G:G,MATCH($C830,'Policy Characteristics'!$C:$C,0))),"",INDEX('Policy Characteristics'!G:G,MATCH($C830,'Policy Characteristics'!$C:$C,0)))</f>
        <v>1</v>
      </c>
      <c r="N830" s="261">
        <f>IF(ISBLANK(INDEX('Policy Characteristics'!H:H,MATCH($C830,'Policy Characteristics'!$C:$C,0))),"",INDEX('Policy Characteristics'!H:H,MATCH($C830,'Policy Characteristics'!$C:$C,0)))</f>
        <v>0.01</v>
      </c>
      <c r="O830" s="254" t="str">
        <f>IF(ISBLANK(INDEX('Policy Characteristics'!I:I,MATCH($C830,'Policy Characteristics'!$C:$C,0))),"",INDEX('Policy Characteristics'!I:I,MATCH($C830,'Policy Characteristics'!$C:$C,0)))</f>
        <v>% of potential achieved</v>
      </c>
      <c r="P830" s="254" t="str">
        <f>IF(ISBLANK(INDEX('Policy Characteristics'!J:J,MATCH($C830,'Policy Characteristics'!$C:$C,0))),"",INDEX('Policy Characteristics'!J:J,MATCH($C830,'Policy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30" s="254" t="str">
        <f>IF(ISBLANK(INDEX('Policy Characteristics'!K:K,MATCH($C830,'Policy Characteristics'!$C:$C,0))),"",INDEX('Policy Characteristics'!K:K,MATCH($C830,'Policy Characteristics'!$C:$C,0)))</f>
        <v>industry-ag-main.html#avoid-f-gases</v>
      </c>
      <c r="R830" s="254" t="str">
        <f>IF(ISBLANK(INDEX('Policy Characteristics'!L:L,MATCH($C830,'Policy Characteristics'!$C:$C,0))),"",INDEX('Policy Characteristics'!L:L,MATCH($C830,'Policy Characteristics'!$C:$C,0)))</f>
        <v>avoid-f-gases.html</v>
      </c>
    </row>
    <row r="831" spans="1:18" s="2" customFormat="1" x14ac:dyDescent="0.3">
      <c r="A831" s="254" t="str">
        <f>IF(ISBLANK(INDEX('Policy Characteristics'!A:A,MATCH($C831,'Policy Characteristics'!$C:$C,0))),"",INDEX('Policy Characteristics'!A:A,MATCH($C831,'Policy Characteristics'!$C:$C,0)))</f>
        <v>Industry</v>
      </c>
      <c r="B831" s="262" t="str">
        <f>IF(ISBLANK(INDEX('Policy Characteristics'!B:B,MATCH($C831,'Policy Characteristics'!$C:$C,0))),"",INDEX('Policy Characteristics'!B:B,MATCH($C831,'Policy Characteristics'!$C:$C,0)))</f>
        <v>F-Gas Destruction</v>
      </c>
      <c r="C831" s="317" t="s">
        <v>2777</v>
      </c>
      <c r="D831" s="6"/>
      <c r="E831" s="6"/>
      <c r="F831" s="6"/>
      <c r="G831" s="6"/>
      <c r="H831" s="47">
        <v>510</v>
      </c>
      <c r="I831" s="324" t="s">
        <v>43</v>
      </c>
      <c r="J831" s="255" t="str">
        <f>IF(ISBLANK(INDEX('Policy Characteristics'!D:D,MATCH($C831,'Policy Characteristics'!$C:$C,0))),"",INDEX('Policy Characteristics'!D:D,MATCH($C831,'Policy Characteristics'!$C:$C,0)))</f>
        <v>F-gas Measures</v>
      </c>
      <c r="K831" s="254" t="str">
        <f>IF(ISBLANK(INDEX('Policy Characteristics'!E:E,MATCH($C831,'Policy Characteristics'!$C:$C,0))),"",INDEX('Policy Characteristics'!E:E,MATCH($C831,'Policy Characteristics'!$C:$C,0)))</f>
        <v>indst f gas destruction</v>
      </c>
      <c r="L831" s="261">
        <f>IF(ISBLANK(INDEX('Policy Characteristics'!F:F,MATCH($C831,'Policy Characteristics'!$C:$C,0))),"",INDEX('Policy Characteristics'!F:F,MATCH($C831,'Policy Characteristics'!$C:$C,0)))</f>
        <v>0</v>
      </c>
      <c r="M831" s="261">
        <f>IF(ISBLANK(INDEX('Policy Characteristics'!G:G,MATCH($C831,'Policy Characteristics'!$C:$C,0))),"",INDEX('Policy Characteristics'!G:G,MATCH($C831,'Policy Characteristics'!$C:$C,0)))</f>
        <v>1</v>
      </c>
      <c r="N831" s="261">
        <f>IF(ISBLANK(INDEX('Policy Characteristics'!H:H,MATCH($C831,'Policy Characteristics'!$C:$C,0))),"",INDEX('Policy Characteristics'!H:H,MATCH($C831,'Policy Characteristics'!$C:$C,0)))</f>
        <v>0.01</v>
      </c>
      <c r="O831" s="254" t="str">
        <f>IF(ISBLANK(INDEX('Policy Characteristics'!I:I,MATCH($C831,'Policy Characteristics'!$C:$C,0))),"",INDEX('Policy Characteristics'!I:I,MATCH($C831,'Policy Characteristics'!$C:$C,0)))</f>
        <v>% of potential achieved</v>
      </c>
      <c r="P831" s="254" t="str">
        <f>IF(ISBLANK(INDEX('Policy Characteristics'!J:J,MATCH($C831,'Policy Characteristics'!$C:$C,0))),"",INDEX('Policy Characteristics'!J:J,MATCH($C831,'Policy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31" s="254" t="str">
        <f>IF(ISBLANK(INDEX('Policy Characteristics'!K:K,MATCH($C831,'Policy Characteristics'!$C:$C,0))),"",INDEX('Policy Characteristics'!K:K,MATCH($C831,'Policy Characteristics'!$C:$C,0)))</f>
        <v>industry-ag-main.html#avoid-f-gases</v>
      </c>
      <c r="R831" s="254" t="str">
        <f>IF(ISBLANK(INDEX('Policy Characteristics'!L:L,MATCH($C831,'Policy Characteristics'!$C:$C,0))),"",INDEX('Policy Characteristics'!L:L,MATCH($C831,'Policy Characteristics'!$C:$C,0)))</f>
        <v>avoid-f-gases.html</v>
      </c>
    </row>
    <row r="832" spans="1:18" s="2" customFormat="1" x14ac:dyDescent="0.3">
      <c r="A832" s="254" t="str">
        <f>IF(ISBLANK(INDEX('Policy Characteristics'!A:A,MATCH($C832,'Policy Characteristics'!$C:$C,0))),"",INDEX('Policy Characteristics'!A:A,MATCH($C832,'Policy Characteristics'!$C:$C,0)))</f>
        <v>Industry</v>
      </c>
      <c r="B832" s="262" t="str">
        <f>IF(ISBLANK(INDEX('Policy Characteristics'!B:B,MATCH($C832,'Policy Characteristics'!$C:$C,0))),"",INDEX('Policy Characteristics'!B:B,MATCH($C832,'Policy Characteristics'!$C:$C,0)))</f>
        <v>F-Gas Recovery</v>
      </c>
      <c r="C832" s="317" t="s">
        <v>2778</v>
      </c>
      <c r="D832" s="6"/>
      <c r="E832" s="6"/>
      <c r="F832" s="6"/>
      <c r="G832" s="6"/>
      <c r="H832" s="47">
        <v>511</v>
      </c>
      <c r="I832" s="324" t="s">
        <v>43</v>
      </c>
      <c r="J832" s="255" t="str">
        <f>IF(ISBLANK(INDEX('Policy Characteristics'!D:D,MATCH($C832,'Policy Characteristics'!$C:$C,0))),"",INDEX('Policy Characteristics'!D:D,MATCH($C832,'Policy Characteristics'!$C:$C,0)))</f>
        <v>F-gas Measures</v>
      </c>
      <c r="K832" s="254" t="str">
        <f>IF(ISBLANK(INDEX('Policy Characteristics'!E:E,MATCH($C832,'Policy Characteristics'!$C:$C,0))),"",INDEX('Policy Characteristics'!E:E,MATCH($C832,'Policy Characteristics'!$C:$C,0)))</f>
        <v>indst f gas recovery</v>
      </c>
      <c r="L832" s="261">
        <f>IF(ISBLANK(INDEX('Policy Characteristics'!F:F,MATCH($C832,'Policy Characteristics'!$C:$C,0))),"",INDEX('Policy Characteristics'!F:F,MATCH($C832,'Policy Characteristics'!$C:$C,0)))</f>
        <v>0</v>
      </c>
      <c r="M832" s="261">
        <f>IF(ISBLANK(INDEX('Policy Characteristics'!G:G,MATCH($C832,'Policy Characteristics'!$C:$C,0))),"",INDEX('Policy Characteristics'!G:G,MATCH($C832,'Policy Characteristics'!$C:$C,0)))</f>
        <v>1</v>
      </c>
      <c r="N832" s="261">
        <f>IF(ISBLANK(INDEX('Policy Characteristics'!H:H,MATCH($C832,'Policy Characteristics'!$C:$C,0))),"",INDEX('Policy Characteristics'!H:H,MATCH($C832,'Policy Characteristics'!$C:$C,0)))</f>
        <v>0.01</v>
      </c>
      <c r="O832" s="254" t="str">
        <f>IF(ISBLANK(INDEX('Policy Characteristics'!I:I,MATCH($C832,'Policy Characteristics'!$C:$C,0))),"",INDEX('Policy Characteristics'!I:I,MATCH($C832,'Policy Characteristics'!$C:$C,0)))</f>
        <v>% of potential achieved</v>
      </c>
      <c r="P832" s="254" t="str">
        <f>IF(ISBLANK(INDEX('Policy Characteristics'!J:J,MATCH($C832,'Policy Characteristics'!$C:$C,0))),"",INDEX('Policy Characteristics'!J:J,MATCH($C832,'Policy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32" s="254" t="str">
        <f>IF(ISBLANK(INDEX('Policy Characteristics'!K:K,MATCH($C832,'Policy Characteristics'!$C:$C,0))),"",INDEX('Policy Characteristics'!K:K,MATCH($C832,'Policy Characteristics'!$C:$C,0)))</f>
        <v>industry-ag-main.html#avoid-f-gases</v>
      </c>
      <c r="R832" s="254" t="str">
        <f>IF(ISBLANK(INDEX('Policy Characteristics'!L:L,MATCH($C832,'Policy Characteristics'!$C:$C,0))),"",INDEX('Policy Characteristics'!L:L,MATCH($C832,'Policy Characteristics'!$C:$C,0)))</f>
        <v>avoid-f-gases.html</v>
      </c>
    </row>
    <row r="833" spans="1:18" s="2" customFormat="1" x14ac:dyDescent="0.3">
      <c r="A833" s="254" t="str">
        <f>IF(ISBLANK(INDEX('Policy Characteristics'!A:A,MATCH($C833,'Policy Characteristics'!$C:$C,0))),"",INDEX('Policy Characteristics'!A:A,MATCH($C833,'Policy Characteristics'!$C:$C,0)))</f>
        <v>Industry</v>
      </c>
      <c r="B833" s="262" t="str">
        <f>IF(ISBLANK(INDEX('Policy Characteristics'!B:B,MATCH($C833,'Policy Characteristics'!$C:$C,0))),"",INDEX('Policy Characteristics'!B:B,MATCH($C833,'Policy Characteristics'!$C:$C,0)))</f>
        <v>F-Gas Eqpt. Maintenance &amp; Retrofits</v>
      </c>
      <c r="C833" s="317" t="s">
        <v>2779</v>
      </c>
      <c r="D833" s="6" t="s">
        <v>3070</v>
      </c>
      <c r="E833" s="6"/>
      <c r="F833" t="s">
        <v>2579</v>
      </c>
      <c r="G833" s="6"/>
      <c r="H833" s="47">
        <v>512</v>
      </c>
      <c r="I833" s="324" t="s">
        <v>43</v>
      </c>
      <c r="J833" s="255" t="str">
        <f>IF(ISBLANK(INDEX('Policy Characteristics'!D:D,MATCH($C833,'Policy Characteristics'!$C:$C,0))),"",INDEX('Policy Characteristics'!D:D,MATCH($C833,'Policy Characteristics'!$C:$C,0)))</f>
        <v>F-gas Measures</v>
      </c>
      <c r="K833" s="254" t="str">
        <f>IF(ISBLANK(INDEX('Policy Characteristics'!E:E,MATCH($C833,'Policy Characteristics'!$C:$C,0))),"",INDEX('Policy Characteristics'!E:E,MATCH($C833,'Policy Characteristics'!$C:$C,0)))</f>
        <v>indst f gas inspct maint retrofit</v>
      </c>
      <c r="L833" s="261">
        <f>IF(ISBLANK(INDEX('Policy Characteristics'!F:F,MATCH($C833,'Policy Characteristics'!$C:$C,0))),"",INDEX('Policy Characteristics'!F:F,MATCH($C833,'Policy Characteristics'!$C:$C,0)))</f>
        <v>0</v>
      </c>
      <c r="M833" s="261">
        <f>IF(ISBLANK(INDEX('Policy Characteristics'!G:G,MATCH($C833,'Policy Characteristics'!$C:$C,0))),"",INDEX('Policy Characteristics'!G:G,MATCH($C833,'Policy Characteristics'!$C:$C,0)))</f>
        <v>1</v>
      </c>
      <c r="N833" s="261">
        <f>IF(ISBLANK(INDEX('Policy Characteristics'!H:H,MATCH($C833,'Policy Characteristics'!$C:$C,0))),"",INDEX('Policy Characteristics'!H:H,MATCH($C833,'Policy Characteristics'!$C:$C,0)))</f>
        <v>0.01</v>
      </c>
      <c r="O833" s="254" t="str">
        <f>IF(ISBLANK(INDEX('Policy Characteristics'!I:I,MATCH($C833,'Policy Characteristics'!$C:$C,0))),"",INDEX('Policy Characteristics'!I:I,MATCH($C833,'Policy Characteristics'!$C:$C,0)))</f>
        <v>% of potential achieved</v>
      </c>
      <c r="P833" s="254" t="str">
        <f>IF(ISBLANK(INDEX('Policy Characteristics'!J:J,MATCH($C833,'Policy Characteristics'!$C:$C,0))),"",INDEX('Policy Characteristics'!J:J,MATCH($C833,'Policy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33" s="254" t="str">
        <f>IF(ISBLANK(INDEX('Policy Characteristics'!K:K,MATCH($C833,'Policy Characteristics'!$C:$C,0))),"",INDEX('Policy Characteristics'!K:K,MATCH($C833,'Policy Characteristics'!$C:$C,0)))</f>
        <v>industry-ag-main.html#avoid-f-gases</v>
      </c>
      <c r="R833" s="254" t="str">
        <f>IF(ISBLANK(INDEX('Policy Characteristics'!L:L,MATCH($C833,'Policy Characteristics'!$C:$C,0))),"",INDEX('Policy Characteristics'!L:L,MATCH($C833,'Policy Characteristics'!$C:$C,0)))</f>
        <v>avoid-f-gases.html</v>
      </c>
    </row>
    <row r="834" spans="1:18" s="2" customFormat="1" x14ac:dyDescent="0.3">
      <c r="A834" s="254" t="str">
        <f>IF(ISBLANK(INDEX('Policy Characteristics'!A:A,MATCH($C834,'Policy Characteristics'!$C:$C,0))),"",INDEX('Policy Characteristics'!A:A,MATCH($C834,'Policy Characteristics'!$C:$C,0)))</f>
        <v>Industry</v>
      </c>
      <c r="B834" s="262" t="str">
        <f>IF(ISBLANK(INDEX('Policy Characteristics'!B:B,MATCH($C834,'Policy Characteristics'!$C:$C,0))),"",INDEX('Policy Characteristics'!B:B,MATCH($C834,'Policy Characteristics'!$C:$C,0)))</f>
        <v>F-Gas Eqpt. Maintenance &amp; Retrofits</v>
      </c>
      <c r="C834" s="317" t="s">
        <v>2779</v>
      </c>
      <c r="D834" s="6" t="s">
        <v>3075</v>
      </c>
      <c r="E834" s="6"/>
      <c r="F834" t="s">
        <v>3037</v>
      </c>
      <c r="G834" s="6"/>
      <c r="H834" s="47">
        <v>1653</v>
      </c>
      <c r="I834" s="324" t="s">
        <v>43</v>
      </c>
      <c r="J834" s="255" t="str">
        <f>IF(ISBLANK(INDEX('Policy Characteristics'!D:D,MATCH($C834,'Policy Characteristics'!$C:$C,0))),"",INDEX('Policy Characteristics'!D:D,MATCH($C834,'Policy Characteristics'!$C:$C,0)))</f>
        <v>F-gas Measures</v>
      </c>
      <c r="K834" s="254" t="str">
        <f>IF(ISBLANK(INDEX('Policy Characteristics'!E:E,MATCH($C834,'Policy Characteristics'!$C:$C,0))),"",INDEX('Policy Characteristics'!E:E,MATCH($C834,'Policy Characteristics'!$C:$C,0)))</f>
        <v>indst f gas inspct maint retrofit</v>
      </c>
      <c r="L834" s="261">
        <f>IF(ISBLANK(INDEX('Policy Characteristics'!F:F,MATCH($C834,'Policy Characteristics'!$C:$C,0))),"",INDEX('Policy Characteristics'!F:F,MATCH($C834,'Policy Characteristics'!$C:$C,0)))</f>
        <v>0</v>
      </c>
      <c r="M834" s="261">
        <f>IF(ISBLANK(INDEX('Policy Characteristics'!G:G,MATCH($C834,'Policy Characteristics'!$C:$C,0))),"",INDEX('Policy Characteristics'!G:G,MATCH($C834,'Policy Characteristics'!$C:$C,0)))</f>
        <v>1</v>
      </c>
      <c r="N834" s="261">
        <f>IF(ISBLANK(INDEX('Policy Characteristics'!H:H,MATCH($C834,'Policy Characteristics'!$C:$C,0))),"",INDEX('Policy Characteristics'!H:H,MATCH($C834,'Policy Characteristics'!$C:$C,0)))</f>
        <v>0.01</v>
      </c>
      <c r="O834" s="254" t="str">
        <f>IF(ISBLANK(INDEX('Policy Characteristics'!I:I,MATCH($C834,'Policy Characteristics'!$C:$C,0))),"",INDEX('Policy Characteristics'!I:I,MATCH($C834,'Policy Characteristics'!$C:$C,0)))</f>
        <v>% of potential achieved</v>
      </c>
      <c r="P834" s="254" t="str">
        <f>IF(ISBLANK(INDEX('Policy Characteristics'!J:J,MATCH($C834,'Policy Characteristics'!$C:$C,0))),"",INDEX('Policy Characteristics'!J:J,MATCH($C834,'Policy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34" s="254" t="str">
        <f>IF(ISBLANK(INDEX('Policy Characteristics'!K:K,MATCH($C834,'Policy Characteristics'!$C:$C,0))),"",INDEX('Policy Characteristics'!K:K,MATCH($C834,'Policy Characteristics'!$C:$C,0)))</f>
        <v>industry-ag-main.html#avoid-f-gases</v>
      </c>
      <c r="R834" s="254" t="str">
        <f>IF(ISBLANK(INDEX('Policy Characteristics'!L:L,MATCH($C834,'Policy Characteristics'!$C:$C,0))),"",INDEX('Policy Characteristics'!L:L,MATCH($C834,'Policy Characteristics'!$C:$C,0)))</f>
        <v>avoid-f-gases.html</v>
      </c>
    </row>
    <row r="835" spans="1:18" s="2" customFormat="1" x14ac:dyDescent="0.3">
      <c r="A835" s="254" t="str">
        <f>IF(ISBLANK(INDEX('Policy Characteristics'!A:A,MATCH($C835,'Policy Characteristics'!$C:$C,0))),"",INDEX('Policy Characteristics'!A:A,MATCH($C835,'Policy Characteristics'!$C:$C,0)))</f>
        <v>Industry</v>
      </c>
      <c r="B835" s="262" t="str">
        <f>IF(ISBLANK(INDEX('Policy Characteristics'!B:B,MATCH($C835,'Policy Characteristics'!$C:$C,0))),"",INDEX('Policy Characteristics'!B:B,MATCH($C835,'Policy Characteristics'!$C:$C,0)))</f>
        <v>Feedstock Shifting</v>
      </c>
      <c r="C835" t="s">
        <v>3814</v>
      </c>
      <c r="D835" s="45" t="s">
        <v>3061</v>
      </c>
      <c r="E835" s="45" t="s">
        <v>2399</v>
      </c>
      <c r="F835" t="s">
        <v>3086</v>
      </c>
      <c r="G835" s="45" t="s">
        <v>2405</v>
      </c>
      <c r="H835" s="47">
        <v>2460</v>
      </c>
      <c r="I835" s="324" t="s">
        <v>44</v>
      </c>
      <c r="J835" s="255" t="str">
        <f>IF(ISBLANK(INDEX('Policy Characteristics'!D:D,MATCH($C835,'Policy Characteristics'!$C:$C,0))),"",INDEX('Policy Characteristics'!D:D,MATCH($C835,'Policy Characteristics'!$C:$C,0)))</f>
        <v>Feedstock Shifting</v>
      </c>
      <c r="K835" s="254" t="str">
        <f>IF(ISBLANK(INDEX('Policy Characteristics'!E:E,MATCH($C835,'Policy Characteristics'!$C:$C,0))),"",INDEX('Policy Characteristics'!E:E,MATCH($C835,'Policy Characteristics'!$C:$C,0)))</f>
        <v>indst feedstock shifting</v>
      </c>
      <c r="L835" s="261">
        <f>IF(ISBLANK(INDEX('Policy Characteristics'!F:F,MATCH($C835,'Policy Characteristics'!$C:$C,0))),"",INDEX('Policy Characteristics'!F:F,MATCH($C835,'Policy Characteristics'!$C:$C,0)))</f>
        <v>0</v>
      </c>
      <c r="M835" s="261">
        <f>IF(ISBLANK(INDEX('Policy Characteristics'!G:G,MATCH($C835,'Policy Characteristics'!$C:$C,0))),"",INDEX('Policy Characteristics'!G:G,MATCH($C835,'Policy Characteristics'!$C:$C,0)))</f>
        <v>1</v>
      </c>
      <c r="N835" s="261">
        <f>IF(ISBLANK(INDEX('Policy Characteristics'!H:H,MATCH($C835,'Policy Characteristics'!$C:$C,0))),"",INDEX('Policy Characteristics'!H:H,MATCH($C835,'Policy Characteristics'!$C:$C,0)))</f>
        <v>0.01</v>
      </c>
      <c r="O835" s="254" t="str">
        <f>IF(ISBLANK(INDEX('Policy Characteristics'!I:I,MATCH($C835,'Policy Characteristics'!$C:$C,0))),"",INDEX('Policy Characteristics'!I:I,MATCH($C835,'Policy Characteristics'!$C:$C,0)))</f>
        <v>% of potential achieved</v>
      </c>
      <c r="P835" s="254" t="str">
        <f>IF(ISBLANK(INDEX('Policy Characteristics'!J:J,MATCH($C835,'Policy Characteristics'!$C:$C,0))),"",INDEX('Policy Characteristics'!J:J,MATCH($C835,'Policy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5" s="254" t="str">
        <f>IF(ISBLANK(INDEX('Policy Characteristics'!K:K,MATCH($C835,'Policy Characteristics'!$C:$C,0))),"",INDEX('Policy Characteristics'!K:K,MATCH($C835,'Policy Characteristics'!$C:$C,0)))</f>
        <v/>
      </c>
      <c r="R835" s="254" t="str">
        <f>IF(ISBLANK(INDEX('Policy Characteristics'!L:L,MATCH($C835,'Policy Characteristics'!$C:$C,0))),"",INDEX('Policy Characteristics'!L:L,MATCH($C835,'Policy Characteristics'!$C:$C,0)))</f>
        <v/>
      </c>
    </row>
    <row r="836" spans="1:18" s="2" customFormat="1" x14ac:dyDescent="0.3">
      <c r="A836" s="254" t="str">
        <f>IF(ISBLANK(INDEX('Policy Characteristics'!A:A,MATCH($C836,'Policy Characteristics'!$C:$C,0))),"",INDEX('Policy Characteristics'!A:A,MATCH($C836,'Policy Characteristics'!$C:$C,0)))</f>
        <v>Industry</v>
      </c>
      <c r="B836" s="262" t="str">
        <f>IF(ISBLANK(INDEX('Policy Characteristics'!B:B,MATCH($C836,'Policy Characteristics'!$C:$C,0))),"",INDEX('Policy Characteristics'!B:B,MATCH($C836,'Policy Characteristics'!$C:$C,0)))</f>
        <v>Feedstock Shifting</v>
      </c>
      <c r="C836" s="254" t="str">
        <f>C$835</f>
        <v>Fraction of Feedstock Shifted</v>
      </c>
      <c r="D836" s="45" t="s">
        <v>3061</v>
      </c>
      <c r="E836" s="45" t="s">
        <v>2400</v>
      </c>
      <c r="F836" t="s">
        <v>3086</v>
      </c>
      <c r="G836" s="45" t="s">
        <v>2408</v>
      </c>
      <c r="H836" s="47">
        <v>2461</v>
      </c>
      <c r="I836" s="324" t="s">
        <v>44</v>
      </c>
      <c r="J836" s="255" t="str">
        <f>IF(ISBLANK(INDEX('Policy Characteristics'!D:D,MATCH($C836,'Policy Characteristics'!$C:$C,0))),"",INDEX('Policy Characteristics'!D:D,MATCH($C836,'Policy Characteristics'!$C:$C,0)))</f>
        <v>Feedstock Shifting</v>
      </c>
      <c r="K836" s="254" t="str">
        <f>IF(ISBLANK(INDEX('Policy Characteristics'!E:E,MATCH($C836,'Policy Characteristics'!$C:$C,0))),"",INDEX('Policy Characteristics'!E:E,MATCH($C836,'Policy Characteristics'!$C:$C,0)))</f>
        <v>indst feedstock shifting</v>
      </c>
      <c r="L836" s="261">
        <f>IF(ISBLANK(INDEX('Policy Characteristics'!F:F,MATCH($C836,'Policy Characteristics'!$C:$C,0))),"",INDEX('Policy Characteristics'!F:F,MATCH($C836,'Policy Characteristics'!$C:$C,0)))</f>
        <v>0</v>
      </c>
      <c r="M836" s="261">
        <f>IF(ISBLANK(INDEX('Policy Characteristics'!G:G,MATCH($C836,'Policy Characteristics'!$C:$C,0))),"",INDEX('Policy Characteristics'!G:G,MATCH($C836,'Policy Characteristics'!$C:$C,0)))</f>
        <v>1</v>
      </c>
      <c r="N836" s="261">
        <f>IF(ISBLANK(INDEX('Policy Characteristics'!H:H,MATCH($C836,'Policy Characteristics'!$C:$C,0))),"",INDEX('Policy Characteristics'!H:H,MATCH($C836,'Policy Characteristics'!$C:$C,0)))</f>
        <v>0.01</v>
      </c>
      <c r="O836" s="254" t="str">
        <f>IF(ISBLANK(INDEX('Policy Characteristics'!I:I,MATCH($C836,'Policy Characteristics'!$C:$C,0))),"",INDEX('Policy Characteristics'!I:I,MATCH($C836,'Policy Characteristics'!$C:$C,0)))</f>
        <v>% of potential achieved</v>
      </c>
      <c r="P836" s="254" t="str">
        <f>IF(ISBLANK(INDEX('Policy Characteristics'!J:J,MATCH($C836,'Policy Characteristics'!$C:$C,0))),"",INDEX('Policy Characteristics'!J:J,MATCH($C836,'Policy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6" s="254" t="str">
        <f>IF(ISBLANK(INDEX('Policy Characteristics'!K:K,MATCH($C836,'Policy Characteristics'!$C:$C,0))),"",INDEX('Policy Characteristics'!K:K,MATCH($C836,'Policy Characteristics'!$C:$C,0)))</f>
        <v/>
      </c>
      <c r="R836" s="254" t="str">
        <f>IF(ISBLANK(INDEX('Policy Characteristics'!L:L,MATCH($C836,'Policy Characteristics'!$C:$C,0))),"",INDEX('Policy Characteristics'!L:L,MATCH($C836,'Policy Characteristics'!$C:$C,0)))</f>
        <v/>
      </c>
    </row>
    <row r="837" spans="1:18" s="2" customFormat="1" x14ac:dyDescent="0.3">
      <c r="A837" s="254" t="str">
        <f>IF(ISBLANK(INDEX('Policy Characteristics'!A:A,MATCH($C837,'Policy Characteristics'!$C:$C,0))),"",INDEX('Policy Characteristics'!A:A,MATCH($C837,'Policy Characteristics'!$C:$C,0)))</f>
        <v>Industry</v>
      </c>
      <c r="B837" s="262" t="str">
        <f>IF(ISBLANK(INDEX('Policy Characteristics'!B:B,MATCH($C837,'Policy Characteristics'!$C:$C,0))),"",INDEX('Policy Characteristics'!B:B,MATCH($C837,'Policy Characteristics'!$C:$C,0)))</f>
        <v>Feedstock Shifting</v>
      </c>
      <c r="C837" s="254" t="str">
        <f t="shared" ref="C837:C900" si="40">C$835</f>
        <v>Fraction of Feedstock Shifted</v>
      </c>
      <c r="D837" s="45" t="s">
        <v>3061</v>
      </c>
      <c r="E837" s="45" t="s">
        <v>2401</v>
      </c>
      <c r="F837" t="s">
        <v>3086</v>
      </c>
      <c r="G837" s="45" t="s">
        <v>2409</v>
      </c>
      <c r="H837" s="47">
        <v>2462</v>
      </c>
      <c r="I837" s="324" t="s">
        <v>44</v>
      </c>
      <c r="J837" s="255" t="str">
        <f>IF(ISBLANK(INDEX('Policy Characteristics'!D:D,MATCH($C837,'Policy Characteristics'!$C:$C,0))),"",INDEX('Policy Characteristics'!D:D,MATCH($C837,'Policy Characteristics'!$C:$C,0)))</f>
        <v>Feedstock Shifting</v>
      </c>
      <c r="K837" s="254" t="str">
        <f>IF(ISBLANK(INDEX('Policy Characteristics'!E:E,MATCH($C837,'Policy Characteristics'!$C:$C,0))),"",INDEX('Policy Characteristics'!E:E,MATCH($C837,'Policy Characteristics'!$C:$C,0)))</f>
        <v>indst feedstock shifting</v>
      </c>
      <c r="L837" s="261">
        <f>IF(ISBLANK(INDEX('Policy Characteristics'!F:F,MATCH($C837,'Policy Characteristics'!$C:$C,0))),"",INDEX('Policy Characteristics'!F:F,MATCH($C837,'Policy Characteristics'!$C:$C,0)))</f>
        <v>0</v>
      </c>
      <c r="M837" s="261">
        <f>IF(ISBLANK(INDEX('Policy Characteristics'!G:G,MATCH($C837,'Policy Characteristics'!$C:$C,0))),"",INDEX('Policy Characteristics'!G:G,MATCH($C837,'Policy Characteristics'!$C:$C,0)))</f>
        <v>1</v>
      </c>
      <c r="N837" s="261">
        <f>IF(ISBLANK(INDEX('Policy Characteristics'!H:H,MATCH($C837,'Policy Characteristics'!$C:$C,0))),"",INDEX('Policy Characteristics'!H:H,MATCH($C837,'Policy Characteristics'!$C:$C,0)))</f>
        <v>0.01</v>
      </c>
      <c r="O837" s="254" t="str">
        <f>IF(ISBLANK(INDEX('Policy Characteristics'!I:I,MATCH($C837,'Policy Characteristics'!$C:$C,0))),"",INDEX('Policy Characteristics'!I:I,MATCH($C837,'Policy Characteristics'!$C:$C,0)))</f>
        <v>% of potential achieved</v>
      </c>
      <c r="P837" s="254" t="str">
        <f>IF(ISBLANK(INDEX('Policy Characteristics'!J:J,MATCH($C837,'Policy Characteristics'!$C:$C,0))),"",INDEX('Policy Characteristics'!J:J,MATCH($C837,'Policy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7" s="254" t="str">
        <f>IF(ISBLANK(INDEX('Policy Characteristics'!K:K,MATCH($C837,'Policy Characteristics'!$C:$C,0))),"",INDEX('Policy Characteristics'!K:K,MATCH($C837,'Policy Characteristics'!$C:$C,0)))</f>
        <v/>
      </c>
      <c r="R837" s="254" t="str">
        <f>IF(ISBLANK(INDEX('Policy Characteristics'!L:L,MATCH($C837,'Policy Characteristics'!$C:$C,0))),"",INDEX('Policy Characteristics'!L:L,MATCH($C837,'Policy Characteristics'!$C:$C,0)))</f>
        <v/>
      </c>
    </row>
    <row r="838" spans="1:18" s="2" customFormat="1" x14ac:dyDescent="0.3">
      <c r="A838" s="254" t="str">
        <f>IF(ISBLANK(INDEX('Policy Characteristics'!A:A,MATCH($C838,'Policy Characteristics'!$C:$C,0))),"",INDEX('Policy Characteristics'!A:A,MATCH($C838,'Policy Characteristics'!$C:$C,0)))</f>
        <v>Industry</v>
      </c>
      <c r="B838" s="262" t="str">
        <f>IF(ISBLANK(INDEX('Policy Characteristics'!B:B,MATCH($C838,'Policy Characteristics'!$C:$C,0))),"",INDEX('Policy Characteristics'!B:B,MATCH($C838,'Policy Characteristics'!$C:$C,0)))</f>
        <v>Feedstock Shifting</v>
      </c>
      <c r="C838" s="254" t="str">
        <f t="shared" si="40"/>
        <v>Fraction of Feedstock Shifted</v>
      </c>
      <c r="D838" s="45" t="s">
        <v>3061</v>
      </c>
      <c r="E838" s="45" t="s">
        <v>2402</v>
      </c>
      <c r="F838" t="s">
        <v>3086</v>
      </c>
      <c r="G838" s="45" t="s">
        <v>2406</v>
      </c>
      <c r="H838" s="47">
        <v>2463</v>
      </c>
      <c r="I838" s="324" t="s">
        <v>44</v>
      </c>
      <c r="J838" s="255" t="str">
        <f>IF(ISBLANK(INDEX('Policy Characteristics'!D:D,MATCH($C838,'Policy Characteristics'!$C:$C,0))),"",INDEX('Policy Characteristics'!D:D,MATCH($C838,'Policy Characteristics'!$C:$C,0)))</f>
        <v>Feedstock Shifting</v>
      </c>
      <c r="K838" s="254" t="str">
        <f>IF(ISBLANK(INDEX('Policy Characteristics'!E:E,MATCH($C838,'Policy Characteristics'!$C:$C,0))),"",INDEX('Policy Characteristics'!E:E,MATCH($C838,'Policy Characteristics'!$C:$C,0)))</f>
        <v>indst feedstock shifting</v>
      </c>
      <c r="L838" s="261">
        <f>IF(ISBLANK(INDEX('Policy Characteristics'!F:F,MATCH($C838,'Policy Characteristics'!$C:$C,0))),"",INDEX('Policy Characteristics'!F:F,MATCH($C838,'Policy Characteristics'!$C:$C,0)))</f>
        <v>0</v>
      </c>
      <c r="M838" s="261">
        <f>IF(ISBLANK(INDEX('Policy Characteristics'!G:G,MATCH($C838,'Policy Characteristics'!$C:$C,0))),"",INDEX('Policy Characteristics'!G:G,MATCH($C838,'Policy Characteristics'!$C:$C,0)))</f>
        <v>1</v>
      </c>
      <c r="N838" s="261">
        <f>IF(ISBLANK(INDEX('Policy Characteristics'!H:H,MATCH($C838,'Policy Characteristics'!$C:$C,0))),"",INDEX('Policy Characteristics'!H:H,MATCH($C838,'Policy Characteristics'!$C:$C,0)))</f>
        <v>0.01</v>
      </c>
      <c r="O838" s="254" t="str">
        <f>IF(ISBLANK(INDEX('Policy Characteristics'!I:I,MATCH($C838,'Policy Characteristics'!$C:$C,0))),"",INDEX('Policy Characteristics'!I:I,MATCH($C838,'Policy Characteristics'!$C:$C,0)))</f>
        <v>% of potential achieved</v>
      </c>
      <c r="P838" s="254" t="str">
        <f>IF(ISBLANK(INDEX('Policy Characteristics'!J:J,MATCH($C838,'Policy Characteristics'!$C:$C,0))),"",INDEX('Policy Characteristics'!J:J,MATCH($C838,'Policy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8" s="254" t="str">
        <f>IF(ISBLANK(INDEX('Policy Characteristics'!K:K,MATCH($C838,'Policy Characteristics'!$C:$C,0))),"",INDEX('Policy Characteristics'!K:K,MATCH($C838,'Policy Characteristics'!$C:$C,0)))</f>
        <v/>
      </c>
      <c r="R838" s="254" t="str">
        <f>IF(ISBLANK(INDEX('Policy Characteristics'!L:L,MATCH($C838,'Policy Characteristics'!$C:$C,0))),"",INDEX('Policy Characteristics'!L:L,MATCH($C838,'Policy Characteristics'!$C:$C,0)))</f>
        <v/>
      </c>
    </row>
    <row r="839" spans="1:18" s="2" customFormat="1" x14ac:dyDescent="0.3">
      <c r="A839" s="254" t="str">
        <f>IF(ISBLANK(INDEX('Policy Characteristics'!A:A,MATCH($C839,'Policy Characteristics'!$C:$C,0))),"",INDEX('Policy Characteristics'!A:A,MATCH($C839,'Policy Characteristics'!$C:$C,0)))</f>
        <v>Industry</v>
      </c>
      <c r="B839" s="262" t="str">
        <f>IF(ISBLANK(INDEX('Policy Characteristics'!B:B,MATCH($C839,'Policy Characteristics'!$C:$C,0))),"",INDEX('Policy Characteristics'!B:B,MATCH($C839,'Policy Characteristics'!$C:$C,0)))</f>
        <v>Feedstock Shifting</v>
      </c>
      <c r="C839" s="254" t="str">
        <f t="shared" si="40"/>
        <v>Fraction of Feedstock Shifted</v>
      </c>
      <c r="D839" s="45" t="s">
        <v>3061</v>
      </c>
      <c r="E839" s="45" t="s">
        <v>2403</v>
      </c>
      <c r="F839" t="s">
        <v>3086</v>
      </c>
      <c r="G839" s="45" t="s">
        <v>2407</v>
      </c>
      <c r="H839" s="47">
        <v>2464</v>
      </c>
      <c r="I839" s="324" t="s">
        <v>44</v>
      </c>
      <c r="J839" s="255" t="str">
        <f>IF(ISBLANK(INDEX('Policy Characteristics'!D:D,MATCH($C839,'Policy Characteristics'!$C:$C,0))),"",INDEX('Policy Characteristics'!D:D,MATCH($C839,'Policy Characteristics'!$C:$C,0)))</f>
        <v>Feedstock Shifting</v>
      </c>
      <c r="K839" s="254" t="str">
        <f>IF(ISBLANK(INDEX('Policy Characteristics'!E:E,MATCH($C839,'Policy Characteristics'!$C:$C,0))),"",INDEX('Policy Characteristics'!E:E,MATCH($C839,'Policy Characteristics'!$C:$C,0)))</f>
        <v>indst feedstock shifting</v>
      </c>
      <c r="L839" s="261">
        <f>IF(ISBLANK(INDEX('Policy Characteristics'!F:F,MATCH($C839,'Policy Characteristics'!$C:$C,0))),"",INDEX('Policy Characteristics'!F:F,MATCH($C839,'Policy Characteristics'!$C:$C,0)))</f>
        <v>0</v>
      </c>
      <c r="M839" s="261">
        <f>IF(ISBLANK(INDEX('Policy Characteristics'!G:G,MATCH($C839,'Policy Characteristics'!$C:$C,0))),"",INDEX('Policy Characteristics'!G:G,MATCH($C839,'Policy Characteristics'!$C:$C,0)))</f>
        <v>1</v>
      </c>
      <c r="N839" s="261">
        <f>IF(ISBLANK(INDEX('Policy Characteristics'!H:H,MATCH($C839,'Policy Characteristics'!$C:$C,0))),"",INDEX('Policy Characteristics'!H:H,MATCH($C839,'Policy Characteristics'!$C:$C,0)))</f>
        <v>0.01</v>
      </c>
      <c r="O839" s="254" t="str">
        <f>IF(ISBLANK(INDEX('Policy Characteristics'!I:I,MATCH($C839,'Policy Characteristics'!$C:$C,0))),"",INDEX('Policy Characteristics'!I:I,MATCH($C839,'Policy Characteristics'!$C:$C,0)))</f>
        <v>% of potential achieved</v>
      </c>
      <c r="P839" s="254" t="str">
        <f>IF(ISBLANK(INDEX('Policy Characteristics'!J:J,MATCH($C839,'Policy Characteristics'!$C:$C,0))),"",INDEX('Policy Characteristics'!J:J,MATCH($C839,'Policy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39" s="254" t="str">
        <f>IF(ISBLANK(INDEX('Policy Characteristics'!K:K,MATCH($C839,'Policy Characteristics'!$C:$C,0))),"",INDEX('Policy Characteristics'!K:K,MATCH($C839,'Policy Characteristics'!$C:$C,0)))</f>
        <v/>
      </c>
      <c r="R839" s="254" t="str">
        <f>IF(ISBLANK(INDEX('Policy Characteristics'!L:L,MATCH($C839,'Policy Characteristics'!$C:$C,0))),"",INDEX('Policy Characteristics'!L:L,MATCH($C839,'Policy Characteristics'!$C:$C,0)))</f>
        <v/>
      </c>
    </row>
    <row r="840" spans="1:18" s="2" customFormat="1" x14ac:dyDescent="0.3">
      <c r="A840" s="254" t="str">
        <f>IF(ISBLANK(INDEX('Policy Characteristics'!A:A,MATCH($C840,'Policy Characteristics'!$C:$C,0))),"",INDEX('Policy Characteristics'!A:A,MATCH($C840,'Policy Characteristics'!$C:$C,0)))</f>
        <v>Industry</v>
      </c>
      <c r="B840" s="262" t="str">
        <f>IF(ISBLANK(INDEX('Policy Characteristics'!B:B,MATCH($C840,'Policy Characteristics'!$C:$C,0))),"",INDEX('Policy Characteristics'!B:B,MATCH($C840,'Policy Characteristics'!$C:$C,0)))</f>
        <v>Feedstock Shifting</v>
      </c>
      <c r="C840" s="254" t="str">
        <f t="shared" si="40"/>
        <v>Fraction of Feedstock Shifted</v>
      </c>
      <c r="D840" s="45" t="s">
        <v>3061</v>
      </c>
      <c r="E840" s="45" t="s">
        <v>2404</v>
      </c>
      <c r="F840" t="s">
        <v>3086</v>
      </c>
      <c r="G840" s="45" t="s">
        <v>2410</v>
      </c>
      <c r="H840" s="47">
        <v>2465</v>
      </c>
      <c r="I840" s="324" t="s">
        <v>44</v>
      </c>
      <c r="J840" s="255" t="str">
        <f>IF(ISBLANK(INDEX('Policy Characteristics'!D:D,MATCH($C840,'Policy Characteristics'!$C:$C,0))),"",INDEX('Policy Characteristics'!D:D,MATCH($C840,'Policy Characteristics'!$C:$C,0)))</f>
        <v>Feedstock Shifting</v>
      </c>
      <c r="K840" s="254" t="str">
        <f>IF(ISBLANK(INDEX('Policy Characteristics'!E:E,MATCH($C840,'Policy Characteristics'!$C:$C,0))),"",INDEX('Policy Characteristics'!E:E,MATCH($C840,'Policy Characteristics'!$C:$C,0)))</f>
        <v>indst feedstock shifting</v>
      </c>
      <c r="L840" s="261">
        <f>IF(ISBLANK(INDEX('Policy Characteristics'!F:F,MATCH($C840,'Policy Characteristics'!$C:$C,0))),"",INDEX('Policy Characteristics'!F:F,MATCH($C840,'Policy Characteristics'!$C:$C,0)))</f>
        <v>0</v>
      </c>
      <c r="M840" s="261">
        <f>IF(ISBLANK(INDEX('Policy Characteristics'!G:G,MATCH($C840,'Policy Characteristics'!$C:$C,0))),"",INDEX('Policy Characteristics'!G:G,MATCH($C840,'Policy Characteristics'!$C:$C,0)))</f>
        <v>1</v>
      </c>
      <c r="N840" s="261">
        <f>IF(ISBLANK(INDEX('Policy Characteristics'!H:H,MATCH($C840,'Policy Characteristics'!$C:$C,0))),"",INDEX('Policy Characteristics'!H:H,MATCH($C840,'Policy Characteristics'!$C:$C,0)))</f>
        <v>0.01</v>
      </c>
      <c r="O840" s="254" t="str">
        <f>IF(ISBLANK(INDEX('Policy Characteristics'!I:I,MATCH($C840,'Policy Characteristics'!$C:$C,0))),"",INDEX('Policy Characteristics'!I:I,MATCH($C840,'Policy Characteristics'!$C:$C,0)))</f>
        <v>% of potential achieved</v>
      </c>
      <c r="P840" s="254" t="str">
        <f>IF(ISBLANK(INDEX('Policy Characteristics'!J:J,MATCH($C840,'Policy Characteristics'!$C:$C,0))),"",INDEX('Policy Characteristics'!J:J,MATCH($C840,'Policy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0" s="254" t="str">
        <f>IF(ISBLANK(INDEX('Policy Characteristics'!K:K,MATCH($C840,'Policy Characteristics'!$C:$C,0))),"",INDEX('Policy Characteristics'!K:K,MATCH($C840,'Policy Characteristics'!$C:$C,0)))</f>
        <v/>
      </c>
      <c r="R840" s="254" t="str">
        <f>IF(ISBLANK(INDEX('Policy Characteristics'!L:L,MATCH($C840,'Policy Characteristics'!$C:$C,0))),"",INDEX('Policy Characteristics'!L:L,MATCH($C840,'Policy Characteristics'!$C:$C,0)))</f>
        <v/>
      </c>
    </row>
    <row r="841" spans="1:18" s="2" customFormat="1" x14ac:dyDescent="0.3">
      <c r="A841" s="254" t="str">
        <f>IF(ISBLANK(INDEX('Policy Characteristics'!A:A,MATCH($C841,'Policy Characteristics'!$C:$C,0))),"",INDEX('Policy Characteristics'!A:A,MATCH($C841,'Policy Characteristics'!$C:$C,0)))</f>
        <v>Industry</v>
      </c>
      <c r="B841" s="262" t="str">
        <f>IF(ISBLANK(INDEX('Policy Characteristics'!B:B,MATCH($C841,'Policy Characteristics'!$C:$C,0))),"",INDEX('Policy Characteristics'!B:B,MATCH($C841,'Policy Characteristics'!$C:$C,0)))</f>
        <v>Feedstock Shifting</v>
      </c>
      <c r="C841" s="254" t="str">
        <f t="shared" si="40"/>
        <v>Fraction of Feedstock Shifted</v>
      </c>
      <c r="D841" s="45" t="s">
        <v>3061</v>
      </c>
      <c r="E841" s="45" t="s">
        <v>2706</v>
      </c>
      <c r="F841" t="s">
        <v>3086</v>
      </c>
      <c r="G841" s="45" t="s">
        <v>2709</v>
      </c>
      <c r="H841" s="47">
        <v>2466</v>
      </c>
      <c r="I841" s="324" t="s">
        <v>44</v>
      </c>
      <c r="J841" s="255" t="str">
        <f>IF(ISBLANK(INDEX('Policy Characteristics'!D:D,MATCH($C841,'Policy Characteristics'!$C:$C,0))),"",INDEX('Policy Characteristics'!D:D,MATCH($C841,'Policy Characteristics'!$C:$C,0)))</f>
        <v>Feedstock Shifting</v>
      </c>
      <c r="K841" s="254" t="str">
        <f>IF(ISBLANK(INDEX('Policy Characteristics'!E:E,MATCH($C841,'Policy Characteristics'!$C:$C,0))),"",INDEX('Policy Characteristics'!E:E,MATCH($C841,'Policy Characteristics'!$C:$C,0)))</f>
        <v>indst feedstock shifting</v>
      </c>
      <c r="L841" s="261">
        <f>IF(ISBLANK(INDEX('Policy Characteristics'!F:F,MATCH($C841,'Policy Characteristics'!$C:$C,0))),"",INDEX('Policy Characteristics'!F:F,MATCH($C841,'Policy Characteristics'!$C:$C,0)))</f>
        <v>0</v>
      </c>
      <c r="M841" s="261">
        <f>IF(ISBLANK(INDEX('Policy Characteristics'!G:G,MATCH($C841,'Policy Characteristics'!$C:$C,0))),"",INDEX('Policy Characteristics'!G:G,MATCH($C841,'Policy Characteristics'!$C:$C,0)))</f>
        <v>1</v>
      </c>
      <c r="N841" s="261">
        <f>IF(ISBLANK(INDEX('Policy Characteristics'!H:H,MATCH($C841,'Policy Characteristics'!$C:$C,0))),"",INDEX('Policy Characteristics'!H:H,MATCH($C841,'Policy Characteristics'!$C:$C,0)))</f>
        <v>0.01</v>
      </c>
      <c r="O841" s="254" t="str">
        <f>IF(ISBLANK(INDEX('Policy Characteristics'!I:I,MATCH($C841,'Policy Characteristics'!$C:$C,0))),"",INDEX('Policy Characteristics'!I:I,MATCH($C841,'Policy Characteristics'!$C:$C,0)))</f>
        <v>% of potential achieved</v>
      </c>
      <c r="P841" s="254" t="str">
        <f>IF(ISBLANK(INDEX('Policy Characteristics'!J:J,MATCH($C841,'Policy Characteristics'!$C:$C,0))),"",INDEX('Policy Characteristics'!J:J,MATCH($C841,'Policy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1" s="254" t="str">
        <f>IF(ISBLANK(INDEX('Policy Characteristics'!K:K,MATCH($C841,'Policy Characteristics'!$C:$C,0))),"",INDEX('Policy Characteristics'!K:K,MATCH($C841,'Policy Characteristics'!$C:$C,0)))</f>
        <v/>
      </c>
      <c r="R841" s="254" t="str">
        <f>IF(ISBLANK(INDEX('Policy Characteristics'!L:L,MATCH($C841,'Policy Characteristics'!$C:$C,0))),"",INDEX('Policy Characteristics'!L:L,MATCH($C841,'Policy Characteristics'!$C:$C,0)))</f>
        <v/>
      </c>
    </row>
    <row r="842" spans="1:18" s="2" customFormat="1" x14ac:dyDescent="0.3">
      <c r="A842" s="254" t="str">
        <f>IF(ISBLANK(INDEX('Policy Characteristics'!A:A,MATCH($C842,'Policy Characteristics'!$C:$C,0))),"",INDEX('Policy Characteristics'!A:A,MATCH($C842,'Policy Characteristics'!$C:$C,0)))</f>
        <v>Industry</v>
      </c>
      <c r="B842" s="262" t="str">
        <f>IF(ISBLANK(INDEX('Policy Characteristics'!B:B,MATCH($C842,'Policy Characteristics'!$C:$C,0))),"",INDEX('Policy Characteristics'!B:B,MATCH($C842,'Policy Characteristics'!$C:$C,0)))</f>
        <v>Feedstock Shifting</v>
      </c>
      <c r="C842" s="254" t="str">
        <f t="shared" si="40"/>
        <v>Fraction of Feedstock Shifted</v>
      </c>
      <c r="D842" s="45" t="s">
        <v>3061</v>
      </c>
      <c r="E842" s="45" t="s">
        <v>2707</v>
      </c>
      <c r="F842" t="s">
        <v>3086</v>
      </c>
      <c r="G842" s="45" t="s">
        <v>2711</v>
      </c>
      <c r="H842" s="47">
        <v>2467</v>
      </c>
      <c r="I842" s="324" t="s">
        <v>44</v>
      </c>
      <c r="J842" s="255" t="str">
        <f>IF(ISBLANK(INDEX('Policy Characteristics'!D:D,MATCH($C842,'Policy Characteristics'!$C:$C,0))),"",INDEX('Policy Characteristics'!D:D,MATCH($C842,'Policy Characteristics'!$C:$C,0)))</f>
        <v>Feedstock Shifting</v>
      </c>
      <c r="K842" s="254" t="str">
        <f>IF(ISBLANK(INDEX('Policy Characteristics'!E:E,MATCH($C842,'Policy Characteristics'!$C:$C,0))),"",INDEX('Policy Characteristics'!E:E,MATCH($C842,'Policy Characteristics'!$C:$C,0)))</f>
        <v>indst feedstock shifting</v>
      </c>
      <c r="L842" s="261">
        <f>IF(ISBLANK(INDEX('Policy Characteristics'!F:F,MATCH($C842,'Policy Characteristics'!$C:$C,0))),"",INDEX('Policy Characteristics'!F:F,MATCH($C842,'Policy Characteristics'!$C:$C,0)))</f>
        <v>0</v>
      </c>
      <c r="M842" s="261">
        <f>IF(ISBLANK(INDEX('Policy Characteristics'!G:G,MATCH($C842,'Policy Characteristics'!$C:$C,0))),"",INDEX('Policy Characteristics'!G:G,MATCH($C842,'Policy Characteristics'!$C:$C,0)))</f>
        <v>1</v>
      </c>
      <c r="N842" s="261">
        <f>IF(ISBLANK(INDEX('Policy Characteristics'!H:H,MATCH($C842,'Policy Characteristics'!$C:$C,0))),"",INDEX('Policy Characteristics'!H:H,MATCH($C842,'Policy Characteristics'!$C:$C,0)))</f>
        <v>0.01</v>
      </c>
      <c r="O842" s="254" t="str">
        <f>IF(ISBLANK(INDEX('Policy Characteristics'!I:I,MATCH($C842,'Policy Characteristics'!$C:$C,0))),"",INDEX('Policy Characteristics'!I:I,MATCH($C842,'Policy Characteristics'!$C:$C,0)))</f>
        <v>% of potential achieved</v>
      </c>
      <c r="P842" s="254" t="str">
        <f>IF(ISBLANK(INDEX('Policy Characteristics'!J:J,MATCH($C842,'Policy Characteristics'!$C:$C,0))),"",INDEX('Policy Characteristics'!J:J,MATCH($C842,'Policy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2" s="254" t="str">
        <f>IF(ISBLANK(INDEX('Policy Characteristics'!K:K,MATCH($C842,'Policy Characteristics'!$C:$C,0))),"",INDEX('Policy Characteristics'!K:K,MATCH($C842,'Policy Characteristics'!$C:$C,0)))</f>
        <v/>
      </c>
      <c r="R842" s="254" t="str">
        <f>IF(ISBLANK(INDEX('Policy Characteristics'!L:L,MATCH($C842,'Policy Characteristics'!$C:$C,0))),"",INDEX('Policy Characteristics'!L:L,MATCH($C842,'Policy Characteristics'!$C:$C,0)))</f>
        <v/>
      </c>
    </row>
    <row r="843" spans="1:18" s="2" customFormat="1" x14ac:dyDescent="0.3">
      <c r="A843" s="254" t="str">
        <f>IF(ISBLANK(INDEX('Policy Characteristics'!A:A,MATCH($C843,'Policy Characteristics'!$C:$C,0))),"",INDEX('Policy Characteristics'!A:A,MATCH($C843,'Policy Characteristics'!$C:$C,0)))</f>
        <v>Industry</v>
      </c>
      <c r="B843" s="262" t="str">
        <f>IF(ISBLANK(INDEX('Policy Characteristics'!B:B,MATCH($C843,'Policy Characteristics'!$C:$C,0))),"",INDEX('Policy Characteristics'!B:B,MATCH($C843,'Policy Characteristics'!$C:$C,0)))</f>
        <v>Feedstock Shifting</v>
      </c>
      <c r="C843" s="254" t="str">
        <f t="shared" si="40"/>
        <v>Fraction of Feedstock Shifted</v>
      </c>
      <c r="D843" s="45" t="s">
        <v>3061</v>
      </c>
      <c r="E843" s="45" t="s">
        <v>2708</v>
      </c>
      <c r="F843" t="s">
        <v>3086</v>
      </c>
      <c r="G843" s="45" t="s">
        <v>2712</v>
      </c>
      <c r="H843" s="47">
        <v>2468</v>
      </c>
      <c r="I843" s="324" t="s">
        <v>44</v>
      </c>
      <c r="J843" s="255" t="str">
        <f>IF(ISBLANK(INDEX('Policy Characteristics'!D:D,MATCH($C843,'Policy Characteristics'!$C:$C,0))),"",INDEX('Policy Characteristics'!D:D,MATCH($C843,'Policy Characteristics'!$C:$C,0)))</f>
        <v>Feedstock Shifting</v>
      </c>
      <c r="K843" s="254" t="str">
        <f>IF(ISBLANK(INDEX('Policy Characteristics'!E:E,MATCH($C843,'Policy Characteristics'!$C:$C,0))),"",INDEX('Policy Characteristics'!E:E,MATCH($C843,'Policy Characteristics'!$C:$C,0)))</f>
        <v>indst feedstock shifting</v>
      </c>
      <c r="L843" s="261">
        <f>IF(ISBLANK(INDEX('Policy Characteristics'!F:F,MATCH($C843,'Policy Characteristics'!$C:$C,0))),"",INDEX('Policy Characteristics'!F:F,MATCH($C843,'Policy Characteristics'!$C:$C,0)))</f>
        <v>0</v>
      </c>
      <c r="M843" s="261">
        <f>IF(ISBLANK(INDEX('Policy Characteristics'!G:G,MATCH($C843,'Policy Characteristics'!$C:$C,0))),"",INDEX('Policy Characteristics'!G:G,MATCH($C843,'Policy Characteristics'!$C:$C,0)))</f>
        <v>1</v>
      </c>
      <c r="N843" s="261">
        <f>IF(ISBLANK(INDEX('Policy Characteristics'!H:H,MATCH($C843,'Policy Characteristics'!$C:$C,0))),"",INDEX('Policy Characteristics'!H:H,MATCH($C843,'Policy Characteristics'!$C:$C,0)))</f>
        <v>0.01</v>
      </c>
      <c r="O843" s="254" t="str">
        <f>IF(ISBLANK(INDEX('Policy Characteristics'!I:I,MATCH($C843,'Policy Characteristics'!$C:$C,0))),"",INDEX('Policy Characteristics'!I:I,MATCH($C843,'Policy Characteristics'!$C:$C,0)))</f>
        <v>% of potential achieved</v>
      </c>
      <c r="P843" s="254" t="str">
        <f>IF(ISBLANK(INDEX('Policy Characteristics'!J:J,MATCH($C843,'Policy Characteristics'!$C:$C,0))),"",INDEX('Policy Characteristics'!J:J,MATCH($C843,'Policy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3" s="254" t="str">
        <f>IF(ISBLANK(INDEX('Policy Characteristics'!K:K,MATCH($C843,'Policy Characteristics'!$C:$C,0))),"",INDEX('Policy Characteristics'!K:K,MATCH($C843,'Policy Characteristics'!$C:$C,0)))</f>
        <v/>
      </c>
      <c r="R843" s="254" t="str">
        <f>IF(ISBLANK(INDEX('Policy Characteristics'!L:L,MATCH($C843,'Policy Characteristics'!$C:$C,0))),"",INDEX('Policy Characteristics'!L:L,MATCH($C843,'Policy Characteristics'!$C:$C,0)))</f>
        <v/>
      </c>
    </row>
    <row r="844" spans="1:18" s="2" customFormat="1" x14ac:dyDescent="0.3">
      <c r="A844" s="254" t="str">
        <f>IF(ISBLANK(INDEX('Policy Characteristics'!A:A,MATCH($C844,'Policy Characteristics'!$C:$C,0))),"",INDEX('Policy Characteristics'!A:A,MATCH($C844,'Policy Characteristics'!$C:$C,0)))</f>
        <v>Industry</v>
      </c>
      <c r="B844" s="262" t="str">
        <f>IF(ISBLANK(INDEX('Policy Characteristics'!B:B,MATCH($C844,'Policy Characteristics'!$C:$C,0))),"",INDEX('Policy Characteristics'!B:B,MATCH($C844,'Policy Characteristics'!$C:$C,0)))</f>
        <v>Feedstock Shifting</v>
      </c>
      <c r="C844" s="254" t="str">
        <f t="shared" si="40"/>
        <v>Fraction of Feedstock Shifted</v>
      </c>
      <c r="D844" s="45" t="s">
        <v>3061</v>
      </c>
      <c r="E844" s="45" t="s">
        <v>2705</v>
      </c>
      <c r="F844" t="s">
        <v>3086</v>
      </c>
      <c r="G844" s="45" t="s">
        <v>2710</v>
      </c>
      <c r="H844" s="47">
        <v>2469</v>
      </c>
      <c r="I844" s="324" t="s">
        <v>44</v>
      </c>
      <c r="J844" s="255" t="str">
        <f>IF(ISBLANK(INDEX('Policy Characteristics'!D:D,MATCH($C844,'Policy Characteristics'!$C:$C,0))),"",INDEX('Policy Characteristics'!D:D,MATCH($C844,'Policy Characteristics'!$C:$C,0)))</f>
        <v>Feedstock Shifting</v>
      </c>
      <c r="K844" s="254" t="str">
        <f>IF(ISBLANK(INDEX('Policy Characteristics'!E:E,MATCH($C844,'Policy Characteristics'!$C:$C,0))),"",INDEX('Policy Characteristics'!E:E,MATCH($C844,'Policy Characteristics'!$C:$C,0)))</f>
        <v>indst feedstock shifting</v>
      </c>
      <c r="L844" s="261">
        <f>IF(ISBLANK(INDEX('Policy Characteristics'!F:F,MATCH($C844,'Policy Characteristics'!$C:$C,0))),"",INDEX('Policy Characteristics'!F:F,MATCH($C844,'Policy Characteristics'!$C:$C,0)))</f>
        <v>0</v>
      </c>
      <c r="M844" s="261">
        <f>IF(ISBLANK(INDEX('Policy Characteristics'!G:G,MATCH($C844,'Policy Characteristics'!$C:$C,0))),"",INDEX('Policy Characteristics'!G:G,MATCH($C844,'Policy Characteristics'!$C:$C,0)))</f>
        <v>1</v>
      </c>
      <c r="N844" s="261">
        <f>IF(ISBLANK(INDEX('Policy Characteristics'!H:H,MATCH($C844,'Policy Characteristics'!$C:$C,0))),"",INDEX('Policy Characteristics'!H:H,MATCH($C844,'Policy Characteristics'!$C:$C,0)))</f>
        <v>0.01</v>
      </c>
      <c r="O844" s="254" t="str">
        <f>IF(ISBLANK(INDEX('Policy Characteristics'!I:I,MATCH($C844,'Policy Characteristics'!$C:$C,0))),"",INDEX('Policy Characteristics'!I:I,MATCH($C844,'Policy Characteristics'!$C:$C,0)))</f>
        <v>% of potential achieved</v>
      </c>
      <c r="P844" s="254" t="str">
        <f>IF(ISBLANK(INDEX('Policy Characteristics'!J:J,MATCH($C844,'Policy Characteristics'!$C:$C,0))),"",INDEX('Policy Characteristics'!J:J,MATCH($C844,'Policy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4" s="254" t="str">
        <f>IF(ISBLANK(INDEX('Policy Characteristics'!K:K,MATCH($C844,'Policy Characteristics'!$C:$C,0))),"",INDEX('Policy Characteristics'!K:K,MATCH($C844,'Policy Characteristics'!$C:$C,0)))</f>
        <v/>
      </c>
      <c r="R844" s="254" t="str">
        <f>IF(ISBLANK(INDEX('Policy Characteristics'!L:L,MATCH($C844,'Policy Characteristics'!$C:$C,0))),"",INDEX('Policy Characteristics'!L:L,MATCH($C844,'Policy Characteristics'!$C:$C,0)))</f>
        <v/>
      </c>
    </row>
    <row r="845" spans="1:18" s="2" customFormat="1" x14ac:dyDescent="0.3">
      <c r="A845" s="254" t="str">
        <f>IF(ISBLANK(INDEX('Policy Characteristics'!A:A,MATCH($C845,'Policy Characteristics'!$C:$C,0))),"",INDEX('Policy Characteristics'!A:A,MATCH($C845,'Policy Characteristics'!$C:$C,0)))</f>
        <v>Industry</v>
      </c>
      <c r="B845" s="262" t="str">
        <f>IF(ISBLANK(INDEX('Policy Characteristics'!B:B,MATCH($C845,'Policy Characteristics'!$C:$C,0))),"",INDEX('Policy Characteristics'!B:B,MATCH($C845,'Policy Characteristics'!$C:$C,0)))</f>
        <v>Feedstock Shifting</v>
      </c>
      <c r="C845" s="254" t="str">
        <f t="shared" si="40"/>
        <v>Fraction of Feedstock Shifted</v>
      </c>
      <c r="D845" s="6" t="s">
        <v>3062</v>
      </c>
      <c r="E845" s="45" t="s">
        <v>2399</v>
      </c>
      <c r="F845" t="s">
        <v>2759</v>
      </c>
      <c r="G845" s="45" t="s">
        <v>2405</v>
      </c>
      <c r="H845" s="47">
        <v>2470</v>
      </c>
      <c r="I845" s="324" t="s">
        <v>44</v>
      </c>
      <c r="J845" s="255" t="str">
        <f>IF(ISBLANK(INDEX('Policy Characteristics'!D:D,MATCH($C845,'Policy Characteristics'!$C:$C,0))),"",INDEX('Policy Characteristics'!D:D,MATCH($C845,'Policy Characteristics'!$C:$C,0)))</f>
        <v>Feedstock Shifting</v>
      </c>
      <c r="K845" s="254" t="str">
        <f>IF(ISBLANK(INDEX('Policy Characteristics'!E:E,MATCH($C845,'Policy Characteristics'!$C:$C,0))),"",INDEX('Policy Characteristics'!E:E,MATCH($C845,'Policy Characteristics'!$C:$C,0)))</f>
        <v>indst feedstock shifting</v>
      </c>
      <c r="L845" s="261">
        <f>IF(ISBLANK(INDEX('Policy Characteristics'!F:F,MATCH($C845,'Policy Characteristics'!$C:$C,0))),"",INDEX('Policy Characteristics'!F:F,MATCH($C845,'Policy Characteristics'!$C:$C,0)))</f>
        <v>0</v>
      </c>
      <c r="M845" s="261">
        <f>IF(ISBLANK(INDEX('Policy Characteristics'!G:G,MATCH($C845,'Policy Characteristics'!$C:$C,0))),"",INDEX('Policy Characteristics'!G:G,MATCH($C845,'Policy Characteristics'!$C:$C,0)))</f>
        <v>1</v>
      </c>
      <c r="N845" s="261">
        <f>IF(ISBLANK(INDEX('Policy Characteristics'!H:H,MATCH($C845,'Policy Characteristics'!$C:$C,0))),"",INDEX('Policy Characteristics'!H:H,MATCH($C845,'Policy Characteristics'!$C:$C,0)))</f>
        <v>0.01</v>
      </c>
      <c r="O845" s="254" t="str">
        <f>IF(ISBLANK(INDEX('Policy Characteristics'!I:I,MATCH($C845,'Policy Characteristics'!$C:$C,0))),"",INDEX('Policy Characteristics'!I:I,MATCH($C845,'Policy Characteristics'!$C:$C,0)))</f>
        <v>% of potential achieved</v>
      </c>
      <c r="P845" s="254" t="str">
        <f>IF(ISBLANK(INDEX('Policy Characteristics'!J:J,MATCH($C845,'Policy Characteristics'!$C:$C,0))),"",INDEX('Policy Characteristics'!J:J,MATCH($C845,'Policy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5" s="254" t="str">
        <f>IF(ISBLANK(INDEX('Policy Characteristics'!K:K,MATCH($C845,'Policy Characteristics'!$C:$C,0))),"",INDEX('Policy Characteristics'!K:K,MATCH($C845,'Policy Characteristics'!$C:$C,0)))</f>
        <v/>
      </c>
      <c r="R845" s="254" t="str">
        <f>IF(ISBLANK(INDEX('Policy Characteristics'!L:L,MATCH($C845,'Policy Characteristics'!$C:$C,0))),"",INDEX('Policy Characteristics'!L:L,MATCH($C845,'Policy Characteristics'!$C:$C,0)))</f>
        <v/>
      </c>
    </row>
    <row r="846" spans="1:18" s="2" customFormat="1" x14ac:dyDescent="0.3">
      <c r="A846" s="254" t="str">
        <f>IF(ISBLANK(INDEX('Policy Characteristics'!A:A,MATCH($C846,'Policy Characteristics'!$C:$C,0))),"",INDEX('Policy Characteristics'!A:A,MATCH($C846,'Policy Characteristics'!$C:$C,0)))</f>
        <v>Industry</v>
      </c>
      <c r="B846" s="262" t="str">
        <f>IF(ISBLANK(INDEX('Policy Characteristics'!B:B,MATCH($C846,'Policy Characteristics'!$C:$C,0))),"",INDEX('Policy Characteristics'!B:B,MATCH($C846,'Policy Characteristics'!$C:$C,0)))</f>
        <v>Feedstock Shifting</v>
      </c>
      <c r="C846" s="254" t="str">
        <f t="shared" si="40"/>
        <v>Fraction of Feedstock Shifted</v>
      </c>
      <c r="D846" s="6" t="s">
        <v>3062</v>
      </c>
      <c r="E846" s="45" t="s">
        <v>2400</v>
      </c>
      <c r="F846" t="s">
        <v>2759</v>
      </c>
      <c r="G846" s="45" t="s">
        <v>2408</v>
      </c>
      <c r="H846" s="47">
        <v>2471</v>
      </c>
      <c r="I846" s="324" t="s">
        <v>44</v>
      </c>
      <c r="J846" s="255" t="str">
        <f>IF(ISBLANK(INDEX('Policy Characteristics'!D:D,MATCH($C846,'Policy Characteristics'!$C:$C,0))),"",INDEX('Policy Characteristics'!D:D,MATCH($C846,'Policy Characteristics'!$C:$C,0)))</f>
        <v>Feedstock Shifting</v>
      </c>
      <c r="K846" s="254" t="str">
        <f>IF(ISBLANK(INDEX('Policy Characteristics'!E:E,MATCH($C846,'Policy Characteristics'!$C:$C,0))),"",INDEX('Policy Characteristics'!E:E,MATCH($C846,'Policy Characteristics'!$C:$C,0)))</f>
        <v>indst feedstock shifting</v>
      </c>
      <c r="L846" s="261">
        <f>IF(ISBLANK(INDEX('Policy Characteristics'!F:F,MATCH($C846,'Policy Characteristics'!$C:$C,0))),"",INDEX('Policy Characteristics'!F:F,MATCH($C846,'Policy Characteristics'!$C:$C,0)))</f>
        <v>0</v>
      </c>
      <c r="M846" s="261">
        <f>IF(ISBLANK(INDEX('Policy Characteristics'!G:G,MATCH($C846,'Policy Characteristics'!$C:$C,0))),"",INDEX('Policy Characteristics'!G:G,MATCH($C846,'Policy Characteristics'!$C:$C,0)))</f>
        <v>1</v>
      </c>
      <c r="N846" s="261">
        <f>IF(ISBLANK(INDEX('Policy Characteristics'!H:H,MATCH($C846,'Policy Characteristics'!$C:$C,0))),"",INDEX('Policy Characteristics'!H:H,MATCH($C846,'Policy Characteristics'!$C:$C,0)))</f>
        <v>0.01</v>
      </c>
      <c r="O846" s="254" t="str">
        <f>IF(ISBLANK(INDEX('Policy Characteristics'!I:I,MATCH($C846,'Policy Characteristics'!$C:$C,0))),"",INDEX('Policy Characteristics'!I:I,MATCH($C846,'Policy Characteristics'!$C:$C,0)))</f>
        <v>% of potential achieved</v>
      </c>
      <c r="P846" s="254" t="str">
        <f>IF(ISBLANK(INDEX('Policy Characteristics'!J:J,MATCH($C846,'Policy Characteristics'!$C:$C,0))),"",INDEX('Policy Characteristics'!J:J,MATCH($C846,'Policy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6" s="254" t="str">
        <f>IF(ISBLANK(INDEX('Policy Characteristics'!K:K,MATCH($C846,'Policy Characteristics'!$C:$C,0))),"",INDEX('Policy Characteristics'!K:K,MATCH($C846,'Policy Characteristics'!$C:$C,0)))</f>
        <v/>
      </c>
      <c r="R846" s="254" t="str">
        <f>IF(ISBLANK(INDEX('Policy Characteristics'!L:L,MATCH($C846,'Policy Characteristics'!$C:$C,0))),"",INDEX('Policy Characteristics'!L:L,MATCH($C846,'Policy Characteristics'!$C:$C,0)))</f>
        <v/>
      </c>
    </row>
    <row r="847" spans="1:18" s="2" customFormat="1" x14ac:dyDescent="0.3">
      <c r="A847" s="254" t="str">
        <f>IF(ISBLANK(INDEX('Policy Characteristics'!A:A,MATCH($C847,'Policy Characteristics'!$C:$C,0))),"",INDEX('Policy Characteristics'!A:A,MATCH($C847,'Policy Characteristics'!$C:$C,0)))</f>
        <v>Industry</v>
      </c>
      <c r="B847" s="262" t="str">
        <f>IF(ISBLANK(INDEX('Policy Characteristics'!B:B,MATCH($C847,'Policy Characteristics'!$C:$C,0))),"",INDEX('Policy Characteristics'!B:B,MATCH($C847,'Policy Characteristics'!$C:$C,0)))</f>
        <v>Feedstock Shifting</v>
      </c>
      <c r="C847" s="254" t="str">
        <f t="shared" si="40"/>
        <v>Fraction of Feedstock Shifted</v>
      </c>
      <c r="D847" s="6" t="s">
        <v>3062</v>
      </c>
      <c r="E847" s="45" t="s">
        <v>2401</v>
      </c>
      <c r="F847" t="s">
        <v>2759</v>
      </c>
      <c r="G847" s="45" t="s">
        <v>2409</v>
      </c>
      <c r="H847" s="47">
        <v>2472</v>
      </c>
      <c r="I847" s="324" t="s">
        <v>44</v>
      </c>
      <c r="J847" s="255" t="str">
        <f>IF(ISBLANK(INDEX('Policy Characteristics'!D:D,MATCH($C847,'Policy Characteristics'!$C:$C,0))),"",INDEX('Policy Characteristics'!D:D,MATCH($C847,'Policy Characteristics'!$C:$C,0)))</f>
        <v>Feedstock Shifting</v>
      </c>
      <c r="K847" s="254" t="str">
        <f>IF(ISBLANK(INDEX('Policy Characteristics'!E:E,MATCH($C847,'Policy Characteristics'!$C:$C,0))),"",INDEX('Policy Characteristics'!E:E,MATCH($C847,'Policy Characteristics'!$C:$C,0)))</f>
        <v>indst feedstock shifting</v>
      </c>
      <c r="L847" s="261">
        <f>IF(ISBLANK(INDEX('Policy Characteristics'!F:F,MATCH($C847,'Policy Characteristics'!$C:$C,0))),"",INDEX('Policy Characteristics'!F:F,MATCH($C847,'Policy Characteristics'!$C:$C,0)))</f>
        <v>0</v>
      </c>
      <c r="M847" s="261">
        <f>IF(ISBLANK(INDEX('Policy Characteristics'!G:G,MATCH($C847,'Policy Characteristics'!$C:$C,0))),"",INDEX('Policy Characteristics'!G:G,MATCH($C847,'Policy Characteristics'!$C:$C,0)))</f>
        <v>1</v>
      </c>
      <c r="N847" s="261">
        <f>IF(ISBLANK(INDEX('Policy Characteristics'!H:H,MATCH($C847,'Policy Characteristics'!$C:$C,0))),"",INDEX('Policy Characteristics'!H:H,MATCH($C847,'Policy Characteristics'!$C:$C,0)))</f>
        <v>0.01</v>
      </c>
      <c r="O847" s="254" t="str">
        <f>IF(ISBLANK(INDEX('Policy Characteristics'!I:I,MATCH($C847,'Policy Characteristics'!$C:$C,0))),"",INDEX('Policy Characteristics'!I:I,MATCH($C847,'Policy Characteristics'!$C:$C,0)))</f>
        <v>% of potential achieved</v>
      </c>
      <c r="P847" s="254" t="str">
        <f>IF(ISBLANK(INDEX('Policy Characteristics'!J:J,MATCH($C847,'Policy Characteristics'!$C:$C,0))),"",INDEX('Policy Characteristics'!J:J,MATCH($C847,'Policy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7" s="254" t="str">
        <f>IF(ISBLANK(INDEX('Policy Characteristics'!K:K,MATCH($C847,'Policy Characteristics'!$C:$C,0))),"",INDEX('Policy Characteristics'!K:K,MATCH($C847,'Policy Characteristics'!$C:$C,0)))</f>
        <v/>
      </c>
      <c r="R847" s="254" t="str">
        <f>IF(ISBLANK(INDEX('Policy Characteristics'!L:L,MATCH($C847,'Policy Characteristics'!$C:$C,0))),"",INDEX('Policy Characteristics'!L:L,MATCH($C847,'Policy Characteristics'!$C:$C,0)))</f>
        <v/>
      </c>
    </row>
    <row r="848" spans="1:18" s="2" customFormat="1" x14ac:dyDescent="0.3">
      <c r="A848" s="254" t="str">
        <f>IF(ISBLANK(INDEX('Policy Characteristics'!A:A,MATCH($C848,'Policy Characteristics'!$C:$C,0))),"",INDEX('Policy Characteristics'!A:A,MATCH($C848,'Policy Characteristics'!$C:$C,0)))</f>
        <v>Industry</v>
      </c>
      <c r="B848" s="262" t="str">
        <f>IF(ISBLANK(INDEX('Policy Characteristics'!B:B,MATCH($C848,'Policy Characteristics'!$C:$C,0))),"",INDEX('Policy Characteristics'!B:B,MATCH($C848,'Policy Characteristics'!$C:$C,0)))</f>
        <v>Feedstock Shifting</v>
      </c>
      <c r="C848" s="254" t="str">
        <f t="shared" si="40"/>
        <v>Fraction of Feedstock Shifted</v>
      </c>
      <c r="D848" s="6" t="s">
        <v>3062</v>
      </c>
      <c r="E848" s="45" t="s">
        <v>2402</v>
      </c>
      <c r="F848" t="s">
        <v>2759</v>
      </c>
      <c r="G848" s="45" t="s">
        <v>2406</v>
      </c>
      <c r="H848" s="47">
        <v>2473</v>
      </c>
      <c r="I848" s="324" t="s">
        <v>44</v>
      </c>
      <c r="J848" s="255" t="str">
        <f>IF(ISBLANK(INDEX('Policy Characteristics'!D:D,MATCH($C848,'Policy Characteristics'!$C:$C,0))),"",INDEX('Policy Characteristics'!D:D,MATCH($C848,'Policy Characteristics'!$C:$C,0)))</f>
        <v>Feedstock Shifting</v>
      </c>
      <c r="K848" s="254" t="str">
        <f>IF(ISBLANK(INDEX('Policy Characteristics'!E:E,MATCH($C848,'Policy Characteristics'!$C:$C,0))),"",INDEX('Policy Characteristics'!E:E,MATCH($C848,'Policy Characteristics'!$C:$C,0)))</f>
        <v>indst feedstock shifting</v>
      </c>
      <c r="L848" s="261">
        <f>IF(ISBLANK(INDEX('Policy Characteristics'!F:F,MATCH($C848,'Policy Characteristics'!$C:$C,0))),"",INDEX('Policy Characteristics'!F:F,MATCH($C848,'Policy Characteristics'!$C:$C,0)))</f>
        <v>0</v>
      </c>
      <c r="M848" s="261">
        <f>IF(ISBLANK(INDEX('Policy Characteristics'!G:G,MATCH($C848,'Policy Characteristics'!$C:$C,0))),"",INDEX('Policy Characteristics'!G:G,MATCH($C848,'Policy Characteristics'!$C:$C,0)))</f>
        <v>1</v>
      </c>
      <c r="N848" s="261">
        <f>IF(ISBLANK(INDEX('Policy Characteristics'!H:H,MATCH($C848,'Policy Characteristics'!$C:$C,0))),"",INDEX('Policy Characteristics'!H:H,MATCH($C848,'Policy Characteristics'!$C:$C,0)))</f>
        <v>0.01</v>
      </c>
      <c r="O848" s="254" t="str">
        <f>IF(ISBLANK(INDEX('Policy Characteristics'!I:I,MATCH($C848,'Policy Characteristics'!$C:$C,0))),"",INDEX('Policy Characteristics'!I:I,MATCH($C848,'Policy Characteristics'!$C:$C,0)))</f>
        <v>% of potential achieved</v>
      </c>
      <c r="P848" s="254" t="str">
        <f>IF(ISBLANK(INDEX('Policy Characteristics'!J:J,MATCH($C848,'Policy Characteristics'!$C:$C,0))),"",INDEX('Policy Characteristics'!J:J,MATCH($C848,'Policy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8" s="254" t="str">
        <f>IF(ISBLANK(INDEX('Policy Characteristics'!K:K,MATCH($C848,'Policy Characteristics'!$C:$C,0))),"",INDEX('Policy Characteristics'!K:K,MATCH($C848,'Policy Characteristics'!$C:$C,0)))</f>
        <v/>
      </c>
      <c r="R848" s="254" t="str">
        <f>IF(ISBLANK(INDEX('Policy Characteristics'!L:L,MATCH($C848,'Policy Characteristics'!$C:$C,0))),"",INDEX('Policy Characteristics'!L:L,MATCH($C848,'Policy Characteristics'!$C:$C,0)))</f>
        <v/>
      </c>
    </row>
    <row r="849" spans="1:18" s="2" customFormat="1" x14ac:dyDescent="0.3">
      <c r="A849" s="254" t="str">
        <f>IF(ISBLANK(INDEX('Policy Characteristics'!A:A,MATCH($C849,'Policy Characteristics'!$C:$C,0))),"",INDEX('Policy Characteristics'!A:A,MATCH($C849,'Policy Characteristics'!$C:$C,0)))</f>
        <v>Industry</v>
      </c>
      <c r="B849" s="262" t="str">
        <f>IF(ISBLANK(INDEX('Policy Characteristics'!B:B,MATCH($C849,'Policy Characteristics'!$C:$C,0))),"",INDEX('Policy Characteristics'!B:B,MATCH($C849,'Policy Characteristics'!$C:$C,0)))</f>
        <v>Feedstock Shifting</v>
      </c>
      <c r="C849" s="254" t="str">
        <f t="shared" si="40"/>
        <v>Fraction of Feedstock Shifted</v>
      </c>
      <c r="D849" s="6" t="s">
        <v>3062</v>
      </c>
      <c r="E849" s="45" t="s">
        <v>2403</v>
      </c>
      <c r="F849" t="s">
        <v>2759</v>
      </c>
      <c r="G849" s="45" t="s">
        <v>2407</v>
      </c>
      <c r="H849" s="47">
        <v>2474</v>
      </c>
      <c r="I849" s="324" t="s">
        <v>44</v>
      </c>
      <c r="J849" s="255" t="str">
        <f>IF(ISBLANK(INDEX('Policy Characteristics'!D:D,MATCH($C849,'Policy Characteristics'!$C:$C,0))),"",INDEX('Policy Characteristics'!D:D,MATCH($C849,'Policy Characteristics'!$C:$C,0)))</f>
        <v>Feedstock Shifting</v>
      </c>
      <c r="K849" s="254" t="str">
        <f>IF(ISBLANK(INDEX('Policy Characteristics'!E:E,MATCH($C849,'Policy Characteristics'!$C:$C,0))),"",INDEX('Policy Characteristics'!E:E,MATCH($C849,'Policy Characteristics'!$C:$C,0)))</f>
        <v>indst feedstock shifting</v>
      </c>
      <c r="L849" s="261">
        <f>IF(ISBLANK(INDEX('Policy Characteristics'!F:F,MATCH($C849,'Policy Characteristics'!$C:$C,0))),"",INDEX('Policy Characteristics'!F:F,MATCH($C849,'Policy Characteristics'!$C:$C,0)))</f>
        <v>0</v>
      </c>
      <c r="M849" s="261">
        <f>IF(ISBLANK(INDEX('Policy Characteristics'!G:G,MATCH($C849,'Policy Characteristics'!$C:$C,0))),"",INDEX('Policy Characteristics'!G:G,MATCH($C849,'Policy Characteristics'!$C:$C,0)))</f>
        <v>1</v>
      </c>
      <c r="N849" s="261">
        <f>IF(ISBLANK(INDEX('Policy Characteristics'!H:H,MATCH($C849,'Policy Characteristics'!$C:$C,0))),"",INDEX('Policy Characteristics'!H:H,MATCH($C849,'Policy Characteristics'!$C:$C,0)))</f>
        <v>0.01</v>
      </c>
      <c r="O849" s="254" t="str">
        <f>IF(ISBLANK(INDEX('Policy Characteristics'!I:I,MATCH($C849,'Policy Characteristics'!$C:$C,0))),"",INDEX('Policy Characteristics'!I:I,MATCH($C849,'Policy Characteristics'!$C:$C,0)))</f>
        <v>% of potential achieved</v>
      </c>
      <c r="P849" s="254" t="str">
        <f>IF(ISBLANK(INDEX('Policy Characteristics'!J:J,MATCH($C849,'Policy Characteristics'!$C:$C,0))),"",INDEX('Policy Characteristics'!J:J,MATCH($C849,'Policy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49" s="254" t="str">
        <f>IF(ISBLANK(INDEX('Policy Characteristics'!K:K,MATCH($C849,'Policy Characteristics'!$C:$C,0))),"",INDEX('Policy Characteristics'!K:K,MATCH($C849,'Policy Characteristics'!$C:$C,0)))</f>
        <v/>
      </c>
      <c r="R849" s="254" t="str">
        <f>IF(ISBLANK(INDEX('Policy Characteristics'!L:L,MATCH($C849,'Policy Characteristics'!$C:$C,0))),"",INDEX('Policy Characteristics'!L:L,MATCH($C849,'Policy Characteristics'!$C:$C,0)))</f>
        <v/>
      </c>
    </row>
    <row r="850" spans="1:18" s="2" customFormat="1" x14ac:dyDescent="0.3">
      <c r="A850" s="254" t="str">
        <f>IF(ISBLANK(INDEX('Policy Characteristics'!A:A,MATCH($C850,'Policy Characteristics'!$C:$C,0))),"",INDEX('Policy Characteristics'!A:A,MATCH($C850,'Policy Characteristics'!$C:$C,0)))</f>
        <v>Industry</v>
      </c>
      <c r="B850" s="262" t="str">
        <f>IF(ISBLANK(INDEX('Policy Characteristics'!B:B,MATCH($C850,'Policy Characteristics'!$C:$C,0))),"",INDEX('Policy Characteristics'!B:B,MATCH($C850,'Policy Characteristics'!$C:$C,0)))</f>
        <v>Feedstock Shifting</v>
      </c>
      <c r="C850" s="254" t="str">
        <f t="shared" si="40"/>
        <v>Fraction of Feedstock Shifted</v>
      </c>
      <c r="D850" s="6" t="s">
        <v>3062</v>
      </c>
      <c r="E850" s="45" t="s">
        <v>2404</v>
      </c>
      <c r="F850" t="s">
        <v>2759</v>
      </c>
      <c r="G850" s="45" t="s">
        <v>2410</v>
      </c>
      <c r="H850" s="47">
        <v>2475</v>
      </c>
      <c r="I850" s="324" t="s">
        <v>44</v>
      </c>
      <c r="J850" s="255" t="str">
        <f>IF(ISBLANK(INDEX('Policy Characteristics'!D:D,MATCH($C850,'Policy Characteristics'!$C:$C,0))),"",INDEX('Policy Characteristics'!D:D,MATCH($C850,'Policy Characteristics'!$C:$C,0)))</f>
        <v>Feedstock Shifting</v>
      </c>
      <c r="K850" s="254" t="str">
        <f>IF(ISBLANK(INDEX('Policy Characteristics'!E:E,MATCH($C850,'Policy Characteristics'!$C:$C,0))),"",INDEX('Policy Characteristics'!E:E,MATCH($C850,'Policy Characteristics'!$C:$C,0)))</f>
        <v>indst feedstock shifting</v>
      </c>
      <c r="L850" s="261">
        <f>IF(ISBLANK(INDEX('Policy Characteristics'!F:F,MATCH($C850,'Policy Characteristics'!$C:$C,0))),"",INDEX('Policy Characteristics'!F:F,MATCH($C850,'Policy Characteristics'!$C:$C,0)))</f>
        <v>0</v>
      </c>
      <c r="M850" s="261">
        <f>IF(ISBLANK(INDEX('Policy Characteristics'!G:G,MATCH($C850,'Policy Characteristics'!$C:$C,0))),"",INDEX('Policy Characteristics'!G:G,MATCH($C850,'Policy Characteristics'!$C:$C,0)))</f>
        <v>1</v>
      </c>
      <c r="N850" s="261">
        <f>IF(ISBLANK(INDEX('Policy Characteristics'!H:H,MATCH($C850,'Policy Characteristics'!$C:$C,0))),"",INDEX('Policy Characteristics'!H:H,MATCH($C850,'Policy Characteristics'!$C:$C,0)))</f>
        <v>0.01</v>
      </c>
      <c r="O850" s="254" t="str">
        <f>IF(ISBLANK(INDEX('Policy Characteristics'!I:I,MATCH($C850,'Policy Characteristics'!$C:$C,0))),"",INDEX('Policy Characteristics'!I:I,MATCH($C850,'Policy Characteristics'!$C:$C,0)))</f>
        <v>% of potential achieved</v>
      </c>
      <c r="P850" s="254" t="str">
        <f>IF(ISBLANK(INDEX('Policy Characteristics'!J:J,MATCH($C850,'Policy Characteristics'!$C:$C,0))),"",INDEX('Policy Characteristics'!J:J,MATCH($C850,'Policy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0" s="254" t="str">
        <f>IF(ISBLANK(INDEX('Policy Characteristics'!K:K,MATCH($C850,'Policy Characteristics'!$C:$C,0))),"",INDEX('Policy Characteristics'!K:K,MATCH($C850,'Policy Characteristics'!$C:$C,0)))</f>
        <v/>
      </c>
      <c r="R850" s="254" t="str">
        <f>IF(ISBLANK(INDEX('Policy Characteristics'!L:L,MATCH($C850,'Policy Characteristics'!$C:$C,0))),"",INDEX('Policy Characteristics'!L:L,MATCH($C850,'Policy Characteristics'!$C:$C,0)))</f>
        <v/>
      </c>
    </row>
    <row r="851" spans="1:18" s="2" customFormat="1" x14ac:dyDescent="0.3">
      <c r="A851" s="254" t="str">
        <f>IF(ISBLANK(INDEX('Policy Characteristics'!A:A,MATCH($C851,'Policy Characteristics'!$C:$C,0))),"",INDEX('Policy Characteristics'!A:A,MATCH($C851,'Policy Characteristics'!$C:$C,0)))</f>
        <v>Industry</v>
      </c>
      <c r="B851" s="262" t="str">
        <f>IF(ISBLANK(INDEX('Policy Characteristics'!B:B,MATCH($C851,'Policy Characteristics'!$C:$C,0))),"",INDEX('Policy Characteristics'!B:B,MATCH($C851,'Policy Characteristics'!$C:$C,0)))</f>
        <v>Feedstock Shifting</v>
      </c>
      <c r="C851" s="254" t="str">
        <f t="shared" si="40"/>
        <v>Fraction of Feedstock Shifted</v>
      </c>
      <c r="D851" s="6" t="s">
        <v>3062</v>
      </c>
      <c r="E851" s="45" t="s">
        <v>2706</v>
      </c>
      <c r="F851" t="s">
        <v>2759</v>
      </c>
      <c r="G851" s="45" t="s">
        <v>2709</v>
      </c>
      <c r="H851" s="47">
        <v>2476</v>
      </c>
      <c r="I851" s="324" t="s">
        <v>44</v>
      </c>
      <c r="J851" s="255" t="str">
        <f>IF(ISBLANK(INDEX('Policy Characteristics'!D:D,MATCH($C851,'Policy Characteristics'!$C:$C,0))),"",INDEX('Policy Characteristics'!D:D,MATCH($C851,'Policy Characteristics'!$C:$C,0)))</f>
        <v>Feedstock Shifting</v>
      </c>
      <c r="K851" s="254" t="str">
        <f>IF(ISBLANK(INDEX('Policy Characteristics'!E:E,MATCH($C851,'Policy Characteristics'!$C:$C,0))),"",INDEX('Policy Characteristics'!E:E,MATCH($C851,'Policy Characteristics'!$C:$C,0)))</f>
        <v>indst feedstock shifting</v>
      </c>
      <c r="L851" s="261">
        <f>IF(ISBLANK(INDEX('Policy Characteristics'!F:F,MATCH($C851,'Policy Characteristics'!$C:$C,0))),"",INDEX('Policy Characteristics'!F:F,MATCH($C851,'Policy Characteristics'!$C:$C,0)))</f>
        <v>0</v>
      </c>
      <c r="M851" s="261">
        <f>IF(ISBLANK(INDEX('Policy Characteristics'!G:G,MATCH($C851,'Policy Characteristics'!$C:$C,0))),"",INDEX('Policy Characteristics'!G:G,MATCH($C851,'Policy Characteristics'!$C:$C,0)))</f>
        <v>1</v>
      </c>
      <c r="N851" s="261">
        <f>IF(ISBLANK(INDEX('Policy Characteristics'!H:H,MATCH($C851,'Policy Characteristics'!$C:$C,0))),"",INDEX('Policy Characteristics'!H:H,MATCH($C851,'Policy Characteristics'!$C:$C,0)))</f>
        <v>0.01</v>
      </c>
      <c r="O851" s="254" t="str">
        <f>IF(ISBLANK(INDEX('Policy Characteristics'!I:I,MATCH($C851,'Policy Characteristics'!$C:$C,0))),"",INDEX('Policy Characteristics'!I:I,MATCH($C851,'Policy Characteristics'!$C:$C,0)))</f>
        <v>% of potential achieved</v>
      </c>
      <c r="P851" s="254" t="str">
        <f>IF(ISBLANK(INDEX('Policy Characteristics'!J:J,MATCH($C851,'Policy Characteristics'!$C:$C,0))),"",INDEX('Policy Characteristics'!J:J,MATCH($C851,'Policy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1" s="254" t="str">
        <f>IF(ISBLANK(INDEX('Policy Characteristics'!K:K,MATCH($C851,'Policy Characteristics'!$C:$C,0))),"",INDEX('Policy Characteristics'!K:K,MATCH($C851,'Policy Characteristics'!$C:$C,0)))</f>
        <v/>
      </c>
      <c r="R851" s="254" t="str">
        <f>IF(ISBLANK(INDEX('Policy Characteristics'!L:L,MATCH($C851,'Policy Characteristics'!$C:$C,0))),"",INDEX('Policy Characteristics'!L:L,MATCH($C851,'Policy Characteristics'!$C:$C,0)))</f>
        <v/>
      </c>
    </row>
    <row r="852" spans="1:18" s="2" customFormat="1" x14ac:dyDescent="0.3">
      <c r="A852" s="254" t="str">
        <f>IF(ISBLANK(INDEX('Policy Characteristics'!A:A,MATCH($C852,'Policy Characteristics'!$C:$C,0))),"",INDEX('Policy Characteristics'!A:A,MATCH($C852,'Policy Characteristics'!$C:$C,0)))</f>
        <v>Industry</v>
      </c>
      <c r="B852" s="262" t="str">
        <f>IF(ISBLANK(INDEX('Policy Characteristics'!B:B,MATCH($C852,'Policy Characteristics'!$C:$C,0))),"",INDEX('Policy Characteristics'!B:B,MATCH($C852,'Policy Characteristics'!$C:$C,0)))</f>
        <v>Feedstock Shifting</v>
      </c>
      <c r="C852" s="254" t="str">
        <f t="shared" si="40"/>
        <v>Fraction of Feedstock Shifted</v>
      </c>
      <c r="D852" s="6" t="s">
        <v>3062</v>
      </c>
      <c r="E852" s="45" t="s">
        <v>2707</v>
      </c>
      <c r="F852" t="s">
        <v>2759</v>
      </c>
      <c r="G852" s="45" t="s">
        <v>2711</v>
      </c>
      <c r="H852" s="47">
        <v>2477</v>
      </c>
      <c r="I852" s="324" t="s">
        <v>44</v>
      </c>
      <c r="J852" s="255" t="str">
        <f>IF(ISBLANK(INDEX('Policy Characteristics'!D:D,MATCH($C852,'Policy Characteristics'!$C:$C,0))),"",INDEX('Policy Characteristics'!D:D,MATCH($C852,'Policy Characteristics'!$C:$C,0)))</f>
        <v>Feedstock Shifting</v>
      </c>
      <c r="K852" s="254" t="str">
        <f>IF(ISBLANK(INDEX('Policy Characteristics'!E:E,MATCH($C852,'Policy Characteristics'!$C:$C,0))),"",INDEX('Policy Characteristics'!E:E,MATCH($C852,'Policy Characteristics'!$C:$C,0)))</f>
        <v>indst feedstock shifting</v>
      </c>
      <c r="L852" s="261">
        <f>IF(ISBLANK(INDEX('Policy Characteristics'!F:F,MATCH($C852,'Policy Characteristics'!$C:$C,0))),"",INDEX('Policy Characteristics'!F:F,MATCH($C852,'Policy Characteristics'!$C:$C,0)))</f>
        <v>0</v>
      </c>
      <c r="M852" s="261">
        <f>IF(ISBLANK(INDEX('Policy Characteristics'!G:G,MATCH($C852,'Policy Characteristics'!$C:$C,0))),"",INDEX('Policy Characteristics'!G:G,MATCH($C852,'Policy Characteristics'!$C:$C,0)))</f>
        <v>1</v>
      </c>
      <c r="N852" s="261">
        <f>IF(ISBLANK(INDEX('Policy Characteristics'!H:H,MATCH($C852,'Policy Characteristics'!$C:$C,0))),"",INDEX('Policy Characteristics'!H:H,MATCH($C852,'Policy Characteristics'!$C:$C,0)))</f>
        <v>0.01</v>
      </c>
      <c r="O852" s="254" t="str">
        <f>IF(ISBLANK(INDEX('Policy Characteristics'!I:I,MATCH($C852,'Policy Characteristics'!$C:$C,0))),"",INDEX('Policy Characteristics'!I:I,MATCH($C852,'Policy Characteristics'!$C:$C,0)))</f>
        <v>% of potential achieved</v>
      </c>
      <c r="P852" s="254" t="str">
        <f>IF(ISBLANK(INDEX('Policy Characteristics'!J:J,MATCH($C852,'Policy Characteristics'!$C:$C,0))),"",INDEX('Policy Characteristics'!J:J,MATCH($C852,'Policy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2" s="254" t="str">
        <f>IF(ISBLANK(INDEX('Policy Characteristics'!K:K,MATCH($C852,'Policy Characteristics'!$C:$C,0))),"",INDEX('Policy Characteristics'!K:K,MATCH($C852,'Policy Characteristics'!$C:$C,0)))</f>
        <v/>
      </c>
      <c r="R852" s="254" t="str">
        <f>IF(ISBLANK(INDEX('Policy Characteristics'!L:L,MATCH($C852,'Policy Characteristics'!$C:$C,0))),"",INDEX('Policy Characteristics'!L:L,MATCH($C852,'Policy Characteristics'!$C:$C,0)))</f>
        <v/>
      </c>
    </row>
    <row r="853" spans="1:18" s="2" customFormat="1" x14ac:dyDescent="0.3">
      <c r="A853" s="254" t="str">
        <f>IF(ISBLANK(INDEX('Policy Characteristics'!A:A,MATCH($C853,'Policy Characteristics'!$C:$C,0))),"",INDEX('Policy Characteristics'!A:A,MATCH($C853,'Policy Characteristics'!$C:$C,0)))</f>
        <v>Industry</v>
      </c>
      <c r="B853" s="262" t="str">
        <f>IF(ISBLANK(INDEX('Policy Characteristics'!B:B,MATCH($C853,'Policy Characteristics'!$C:$C,0))),"",INDEX('Policy Characteristics'!B:B,MATCH($C853,'Policy Characteristics'!$C:$C,0)))</f>
        <v>Feedstock Shifting</v>
      </c>
      <c r="C853" s="254" t="str">
        <f t="shared" si="40"/>
        <v>Fraction of Feedstock Shifted</v>
      </c>
      <c r="D853" s="6" t="s">
        <v>3062</v>
      </c>
      <c r="E853" s="45" t="s">
        <v>2708</v>
      </c>
      <c r="F853" t="s">
        <v>2759</v>
      </c>
      <c r="G853" s="45" t="s">
        <v>2712</v>
      </c>
      <c r="H853" s="47">
        <v>2478</v>
      </c>
      <c r="I853" s="324" t="s">
        <v>44</v>
      </c>
      <c r="J853" s="255" t="str">
        <f>IF(ISBLANK(INDEX('Policy Characteristics'!D:D,MATCH($C853,'Policy Characteristics'!$C:$C,0))),"",INDEX('Policy Characteristics'!D:D,MATCH($C853,'Policy Characteristics'!$C:$C,0)))</f>
        <v>Feedstock Shifting</v>
      </c>
      <c r="K853" s="254" t="str">
        <f>IF(ISBLANK(INDEX('Policy Characteristics'!E:E,MATCH($C853,'Policy Characteristics'!$C:$C,0))),"",INDEX('Policy Characteristics'!E:E,MATCH($C853,'Policy Characteristics'!$C:$C,0)))</f>
        <v>indst feedstock shifting</v>
      </c>
      <c r="L853" s="261">
        <f>IF(ISBLANK(INDEX('Policy Characteristics'!F:F,MATCH($C853,'Policy Characteristics'!$C:$C,0))),"",INDEX('Policy Characteristics'!F:F,MATCH($C853,'Policy Characteristics'!$C:$C,0)))</f>
        <v>0</v>
      </c>
      <c r="M853" s="261">
        <f>IF(ISBLANK(INDEX('Policy Characteristics'!G:G,MATCH($C853,'Policy Characteristics'!$C:$C,0))),"",INDEX('Policy Characteristics'!G:G,MATCH($C853,'Policy Characteristics'!$C:$C,0)))</f>
        <v>1</v>
      </c>
      <c r="N853" s="261">
        <f>IF(ISBLANK(INDEX('Policy Characteristics'!H:H,MATCH($C853,'Policy Characteristics'!$C:$C,0))),"",INDEX('Policy Characteristics'!H:H,MATCH($C853,'Policy Characteristics'!$C:$C,0)))</f>
        <v>0.01</v>
      </c>
      <c r="O853" s="254" t="str">
        <f>IF(ISBLANK(INDEX('Policy Characteristics'!I:I,MATCH($C853,'Policy Characteristics'!$C:$C,0))),"",INDEX('Policy Characteristics'!I:I,MATCH($C853,'Policy Characteristics'!$C:$C,0)))</f>
        <v>% of potential achieved</v>
      </c>
      <c r="P853" s="254" t="str">
        <f>IF(ISBLANK(INDEX('Policy Characteristics'!J:J,MATCH($C853,'Policy Characteristics'!$C:$C,0))),"",INDEX('Policy Characteristics'!J:J,MATCH($C853,'Policy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3" s="254" t="str">
        <f>IF(ISBLANK(INDEX('Policy Characteristics'!K:K,MATCH($C853,'Policy Characteristics'!$C:$C,0))),"",INDEX('Policy Characteristics'!K:K,MATCH($C853,'Policy Characteristics'!$C:$C,0)))</f>
        <v/>
      </c>
      <c r="R853" s="254" t="str">
        <f>IF(ISBLANK(INDEX('Policy Characteristics'!L:L,MATCH($C853,'Policy Characteristics'!$C:$C,0))),"",INDEX('Policy Characteristics'!L:L,MATCH($C853,'Policy Characteristics'!$C:$C,0)))</f>
        <v/>
      </c>
    </row>
    <row r="854" spans="1:18" s="2" customFormat="1" x14ac:dyDescent="0.3">
      <c r="A854" s="254" t="str">
        <f>IF(ISBLANK(INDEX('Policy Characteristics'!A:A,MATCH($C854,'Policy Characteristics'!$C:$C,0))),"",INDEX('Policy Characteristics'!A:A,MATCH($C854,'Policy Characteristics'!$C:$C,0)))</f>
        <v>Industry</v>
      </c>
      <c r="B854" s="262" t="str">
        <f>IF(ISBLANK(INDEX('Policy Characteristics'!B:B,MATCH($C854,'Policy Characteristics'!$C:$C,0))),"",INDEX('Policy Characteristics'!B:B,MATCH($C854,'Policy Characteristics'!$C:$C,0)))</f>
        <v>Feedstock Shifting</v>
      </c>
      <c r="C854" s="254" t="str">
        <f t="shared" si="40"/>
        <v>Fraction of Feedstock Shifted</v>
      </c>
      <c r="D854" s="6" t="s">
        <v>3062</v>
      </c>
      <c r="E854" s="45" t="s">
        <v>2705</v>
      </c>
      <c r="F854" t="s">
        <v>2759</v>
      </c>
      <c r="G854" s="45" t="s">
        <v>2710</v>
      </c>
      <c r="H854" s="47">
        <v>2479</v>
      </c>
      <c r="I854" s="324" t="s">
        <v>44</v>
      </c>
      <c r="J854" s="255" t="str">
        <f>IF(ISBLANK(INDEX('Policy Characteristics'!D:D,MATCH($C854,'Policy Characteristics'!$C:$C,0))),"",INDEX('Policy Characteristics'!D:D,MATCH($C854,'Policy Characteristics'!$C:$C,0)))</f>
        <v>Feedstock Shifting</v>
      </c>
      <c r="K854" s="254" t="str">
        <f>IF(ISBLANK(INDEX('Policy Characteristics'!E:E,MATCH($C854,'Policy Characteristics'!$C:$C,0))),"",INDEX('Policy Characteristics'!E:E,MATCH($C854,'Policy Characteristics'!$C:$C,0)))</f>
        <v>indst feedstock shifting</v>
      </c>
      <c r="L854" s="261">
        <f>IF(ISBLANK(INDEX('Policy Characteristics'!F:F,MATCH($C854,'Policy Characteristics'!$C:$C,0))),"",INDEX('Policy Characteristics'!F:F,MATCH($C854,'Policy Characteristics'!$C:$C,0)))</f>
        <v>0</v>
      </c>
      <c r="M854" s="261">
        <f>IF(ISBLANK(INDEX('Policy Characteristics'!G:G,MATCH($C854,'Policy Characteristics'!$C:$C,0))),"",INDEX('Policy Characteristics'!G:G,MATCH($C854,'Policy Characteristics'!$C:$C,0)))</f>
        <v>1</v>
      </c>
      <c r="N854" s="261">
        <f>IF(ISBLANK(INDEX('Policy Characteristics'!H:H,MATCH($C854,'Policy Characteristics'!$C:$C,0))),"",INDEX('Policy Characteristics'!H:H,MATCH($C854,'Policy Characteristics'!$C:$C,0)))</f>
        <v>0.01</v>
      </c>
      <c r="O854" s="254" t="str">
        <f>IF(ISBLANK(INDEX('Policy Characteristics'!I:I,MATCH($C854,'Policy Characteristics'!$C:$C,0))),"",INDEX('Policy Characteristics'!I:I,MATCH($C854,'Policy Characteristics'!$C:$C,0)))</f>
        <v>% of potential achieved</v>
      </c>
      <c r="P854" s="254" t="str">
        <f>IF(ISBLANK(INDEX('Policy Characteristics'!J:J,MATCH($C854,'Policy Characteristics'!$C:$C,0))),"",INDEX('Policy Characteristics'!J:J,MATCH($C854,'Policy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4" s="254" t="str">
        <f>IF(ISBLANK(INDEX('Policy Characteristics'!K:K,MATCH($C854,'Policy Characteristics'!$C:$C,0))),"",INDEX('Policy Characteristics'!K:K,MATCH($C854,'Policy Characteristics'!$C:$C,0)))</f>
        <v/>
      </c>
      <c r="R854" s="254" t="str">
        <f>IF(ISBLANK(INDEX('Policy Characteristics'!L:L,MATCH($C854,'Policy Characteristics'!$C:$C,0))),"",INDEX('Policy Characteristics'!L:L,MATCH($C854,'Policy Characteristics'!$C:$C,0)))</f>
        <v/>
      </c>
    </row>
    <row r="855" spans="1:18" s="2" customFormat="1" x14ac:dyDescent="0.3">
      <c r="A855" s="254" t="str">
        <f>IF(ISBLANK(INDEX('Policy Characteristics'!A:A,MATCH($C855,'Policy Characteristics'!$C:$C,0))),"",INDEX('Policy Characteristics'!A:A,MATCH($C855,'Policy Characteristics'!$C:$C,0)))</f>
        <v>Industry</v>
      </c>
      <c r="B855" s="262" t="str">
        <f>IF(ISBLANK(INDEX('Policy Characteristics'!B:B,MATCH($C855,'Policy Characteristics'!$C:$C,0))),"",INDEX('Policy Characteristics'!B:B,MATCH($C855,'Policy Characteristics'!$C:$C,0)))</f>
        <v>Feedstock Shifting</v>
      </c>
      <c r="C855" s="254" t="str">
        <f t="shared" si="40"/>
        <v>Fraction of Feedstock Shifted</v>
      </c>
      <c r="D855" s="6" t="s">
        <v>3063</v>
      </c>
      <c r="E855" s="45" t="s">
        <v>2399</v>
      </c>
      <c r="F855" t="s">
        <v>3027</v>
      </c>
      <c r="G855" s="45" t="s">
        <v>2405</v>
      </c>
      <c r="H855" s="47">
        <v>2480</v>
      </c>
      <c r="I855" s="324" t="s">
        <v>44</v>
      </c>
      <c r="J855" s="255" t="str">
        <f>IF(ISBLANK(INDEX('Policy Characteristics'!D:D,MATCH($C855,'Policy Characteristics'!$C:$C,0))),"",INDEX('Policy Characteristics'!D:D,MATCH($C855,'Policy Characteristics'!$C:$C,0)))</f>
        <v>Feedstock Shifting</v>
      </c>
      <c r="K855" s="254" t="str">
        <f>IF(ISBLANK(INDEX('Policy Characteristics'!E:E,MATCH($C855,'Policy Characteristics'!$C:$C,0))),"",INDEX('Policy Characteristics'!E:E,MATCH($C855,'Policy Characteristics'!$C:$C,0)))</f>
        <v>indst feedstock shifting</v>
      </c>
      <c r="L855" s="261">
        <f>IF(ISBLANK(INDEX('Policy Characteristics'!F:F,MATCH($C855,'Policy Characteristics'!$C:$C,0))),"",INDEX('Policy Characteristics'!F:F,MATCH($C855,'Policy Characteristics'!$C:$C,0)))</f>
        <v>0</v>
      </c>
      <c r="M855" s="261">
        <f>IF(ISBLANK(INDEX('Policy Characteristics'!G:G,MATCH($C855,'Policy Characteristics'!$C:$C,0))),"",INDEX('Policy Characteristics'!G:G,MATCH($C855,'Policy Characteristics'!$C:$C,0)))</f>
        <v>1</v>
      </c>
      <c r="N855" s="261">
        <f>IF(ISBLANK(INDEX('Policy Characteristics'!H:H,MATCH($C855,'Policy Characteristics'!$C:$C,0))),"",INDEX('Policy Characteristics'!H:H,MATCH($C855,'Policy Characteristics'!$C:$C,0)))</f>
        <v>0.01</v>
      </c>
      <c r="O855" s="254" t="str">
        <f>IF(ISBLANK(INDEX('Policy Characteristics'!I:I,MATCH($C855,'Policy Characteristics'!$C:$C,0))),"",INDEX('Policy Characteristics'!I:I,MATCH($C855,'Policy Characteristics'!$C:$C,0)))</f>
        <v>% of potential achieved</v>
      </c>
      <c r="P855" s="254" t="str">
        <f>IF(ISBLANK(INDEX('Policy Characteristics'!J:J,MATCH($C855,'Policy Characteristics'!$C:$C,0))),"",INDEX('Policy Characteristics'!J:J,MATCH($C855,'Policy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5" s="254" t="str">
        <f>IF(ISBLANK(INDEX('Policy Characteristics'!K:K,MATCH($C855,'Policy Characteristics'!$C:$C,0))),"",INDEX('Policy Characteristics'!K:K,MATCH($C855,'Policy Characteristics'!$C:$C,0)))</f>
        <v/>
      </c>
      <c r="R855" s="254" t="str">
        <f>IF(ISBLANK(INDEX('Policy Characteristics'!L:L,MATCH($C855,'Policy Characteristics'!$C:$C,0))),"",INDEX('Policy Characteristics'!L:L,MATCH($C855,'Policy Characteristics'!$C:$C,0)))</f>
        <v/>
      </c>
    </row>
    <row r="856" spans="1:18" s="2" customFormat="1" x14ac:dyDescent="0.3">
      <c r="A856" s="254" t="str">
        <f>IF(ISBLANK(INDEX('Policy Characteristics'!A:A,MATCH($C856,'Policy Characteristics'!$C:$C,0))),"",INDEX('Policy Characteristics'!A:A,MATCH($C856,'Policy Characteristics'!$C:$C,0)))</f>
        <v>Industry</v>
      </c>
      <c r="B856" s="262" t="str">
        <f>IF(ISBLANK(INDEX('Policy Characteristics'!B:B,MATCH($C856,'Policy Characteristics'!$C:$C,0))),"",INDEX('Policy Characteristics'!B:B,MATCH($C856,'Policy Characteristics'!$C:$C,0)))</f>
        <v>Feedstock Shifting</v>
      </c>
      <c r="C856" s="254" t="str">
        <f t="shared" si="40"/>
        <v>Fraction of Feedstock Shifted</v>
      </c>
      <c r="D856" s="6" t="s">
        <v>3063</v>
      </c>
      <c r="E856" s="45" t="s">
        <v>2400</v>
      </c>
      <c r="F856" t="s">
        <v>3027</v>
      </c>
      <c r="G856" s="45" t="s">
        <v>2408</v>
      </c>
      <c r="H856" s="47">
        <v>2481</v>
      </c>
      <c r="I856" s="324" t="s">
        <v>44</v>
      </c>
      <c r="J856" s="255" t="str">
        <f>IF(ISBLANK(INDEX('Policy Characteristics'!D:D,MATCH($C856,'Policy Characteristics'!$C:$C,0))),"",INDEX('Policy Characteristics'!D:D,MATCH($C856,'Policy Characteristics'!$C:$C,0)))</f>
        <v>Feedstock Shifting</v>
      </c>
      <c r="K856" s="254" t="str">
        <f>IF(ISBLANK(INDEX('Policy Characteristics'!E:E,MATCH($C856,'Policy Characteristics'!$C:$C,0))),"",INDEX('Policy Characteristics'!E:E,MATCH($C856,'Policy Characteristics'!$C:$C,0)))</f>
        <v>indst feedstock shifting</v>
      </c>
      <c r="L856" s="261">
        <f>IF(ISBLANK(INDEX('Policy Characteristics'!F:F,MATCH($C856,'Policy Characteristics'!$C:$C,0))),"",INDEX('Policy Characteristics'!F:F,MATCH($C856,'Policy Characteristics'!$C:$C,0)))</f>
        <v>0</v>
      </c>
      <c r="M856" s="261">
        <f>IF(ISBLANK(INDEX('Policy Characteristics'!G:G,MATCH($C856,'Policy Characteristics'!$C:$C,0))),"",INDEX('Policy Characteristics'!G:G,MATCH($C856,'Policy Characteristics'!$C:$C,0)))</f>
        <v>1</v>
      </c>
      <c r="N856" s="261">
        <f>IF(ISBLANK(INDEX('Policy Characteristics'!H:H,MATCH($C856,'Policy Characteristics'!$C:$C,0))),"",INDEX('Policy Characteristics'!H:H,MATCH($C856,'Policy Characteristics'!$C:$C,0)))</f>
        <v>0.01</v>
      </c>
      <c r="O856" s="254" t="str">
        <f>IF(ISBLANK(INDEX('Policy Characteristics'!I:I,MATCH($C856,'Policy Characteristics'!$C:$C,0))),"",INDEX('Policy Characteristics'!I:I,MATCH($C856,'Policy Characteristics'!$C:$C,0)))</f>
        <v>% of potential achieved</v>
      </c>
      <c r="P856" s="254" t="str">
        <f>IF(ISBLANK(INDEX('Policy Characteristics'!J:J,MATCH($C856,'Policy Characteristics'!$C:$C,0))),"",INDEX('Policy Characteristics'!J:J,MATCH($C856,'Policy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6" s="254" t="str">
        <f>IF(ISBLANK(INDEX('Policy Characteristics'!K:K,MATCH($C856,'Policy Characteristics'!$C:$C,0))),"",INDEX('Policy Characteristics'!K:K,MATCH($C856,'Policy Characteristics'!$C:$C,0)))</f>
        <v/>
      </c>
      <c r="R856" s="254" t="str">
        <f>IF(ISBLANK(INDEX('Policy Characteristics'!L:L,MATCH($C856,'Policy Characteristics'!$C:$C,0))),"",INDEX('Policy Characteristics'!L:L,MATCH($C856,'Policy Characteristics'!$C:$C,0)))</f>
        <v/>
      </c>
    </row>
    <row r="857" spans="1:18" s="2" customFormat="1" x14ac:dyDescent="0.3">
      <c r="A857" s="254" t="str">
        <f>IF(ISBLANK(INDEX('Policy Characteristics'!A:A,MATCH($C857,'Policy Characteristics'!$C:$C,0))),"",INDEX('Policy Characteristics'!A:A,MATCH($C857,'Policy Characteristics'!$C:$C,0)))</f>
        <v>Industry</v>
      </c>
      <c r="B857" s="262" t="str">
        <f>IF(ISBLANK(INDEX('Policy Characteristics'!B:B,MATCH($C857,'Policy Characteristics'!$C:$C,0))),"",INDEX('Policy Characteristics'!B:B,MATCH($C857,'Policy Characteristics'!$C:$C,0)))</f>
        <v>Feedstock Shifting</v>
      </c>
      <c r="C857" s="254" t="str">
        <f t="shared" si="40"/>
        <v>Fraction of Feedstock Shifted</v>
      </c>
      <c r="D857" s="6" t="s">
        <v>3063</v>
      </c>
      <c r="E857" s="45" t="s">
        <v>2401</v>
      </c>
      <c r="F857" t="s">
        <v>3027</v>
      </c>
      <c r="G857" s="45" t="s">
        <v>2409</v>
      </c>
      <c r="H857" s="47">
        <v>2482</v>
      </c>
      <c r="I857" s="324" t="s">
        <v>44</v>
      </c>
      <c r="J857" s="255" t="str">
        <f>IF(ISBLANK(INDEX('Policy Characteristics'!D:D,MATCH($C857,'Policy Characteristics'!$C:$C,0))),"",INDEX('Policy Characteristics'!D:D,MATCH($C857,'Policy Characteristics'!$C:$C,0)))</f>
        <v>Feedstock Shifting</v>
      </c>
      <c r="K857" s="254" t="str">
        <f>IF(ISBLANK(INDEX('Policy Characteristics'!E:E,MATCH($C857,'Policy Characteristics'!$C:$C,0))),"",INDEX('Policy Characteristics'!E:E,MATCH($C857,'Policy Characteristics'!$C:$C,0)))</f>
        <v>indst feedstock shifting</v>
      </c>
      <c r="L857" s="261">
        <f>IF(ISBLANK(INDEX('Policy Characteristics'!F:F,MATCH($C857,'Policy Characteristics'!$C:$C,0))),"",INDEX('Policy Characteristics'!F:F,MATCH($C857,'Policy Characteristics'!$C:$C,0)))</f>
        <v>0</v>
      </c>
      <c r="M857" s="261">
        <f>IF(ISBLANK(INDEX('Policy Characteristics'!G:G,MATCH($C857,'Policy Characteristics'!$C:$C,0))),"",INDEX('Policy Characteristics'!G:G,MATCH($C857,'Policy Characteristics'!$C:$C,0)))</f>
        <v>1</v>
      </c>
      <c r="N857" s="261">
        <f>IF(ISBLANK(INDEX('Policy Characteristics'!H:H,MATCH($C857,'Policy Characteristics'!$C:$C,0))),"",INDEX('Policy Characteristics'!H:H,MATCH($C857,'Policy Characteristics'!$C:$C,0)))</f>
        <v>0.01</v>
      </c>
      <c r="O857" s="254" t="str">
        <f>IF(ISBLANK(INDEX('Policy Characteristics'!I:I,MATCH($C857,'Policy Characteristics'!$C:$C,0))),"",INDEX('Policy Characteristics'!I:I,MATCH($C857,'Policy Characteristics'!$C:$C,0)))</f>
        <v>% of potential achieved</v>
      </c>
      <c r="P857" s="254" t="str">
        <f>IF(ISBLANK(INDEX('Policy Characteristics'!J:J,MATCH($C857,'Policy Characteristics'!$C:$C,0))),"",INDEX('Policy Characteristics'!J:J,MATCH($C857,'Policy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7" s="254" t="str">
        <f>IF(ISBLANK(INDEX('Policy Characteristics'!K:K,MATCH($C857,'Policy Characteristics'!$C:$C,0))),"",INDEX('Policy Characteristics'!K:K,MATCH($C857,'Policy Characteristics'!$C:$C,0)))</f>
        <v/>
      </c>
      <c r="R857" s="254" t="str">
        <f>IF(ISBLANK(INDEX('Policy Characteristics'!L:L,MATCH($C857,'Policy Characteristics'!$C:$C,0))),"",INDEX('Policy Characteristics'!L:L,MATCH($C857,'Policy Characteristics'!$C:$C,0)))</f>
        <v/>
      </c>
    </row>
    <row r="858" spans="1:18" s="2" customFormat="1" x14ac:dyDescent="0.3">
      <c r="A858" s="254" t="str">
        <f>IF(ISBLANK(INDEX('Policy Characteristics'!A:A,MATCH($C858,'Policy Characteristics'!$C:$C,0))),"",INDEX('Policy Characteristics'!A:A,MATCH($C858,'Policy Characteristics'!$C:$C,0)))</f>
        <v>Industry</v>
      </c>
      <c r="B858" s="262" t="str">
        <f>IF(ISBLANK(INDEX('Policy Characteristics'!B:B,MATCH($C858,'Policy Characteristics'!$C:$C,0))),"",INDEX('Policy Characteristics'!B:B,MATCH($C858,'Policy Characteristics'!$C:$C,0)))</f>
        <v>Feedstock Shifting</v>
      </c>
      <c r="C858" s="254" t="str">
        <f t="shared" si="40"/>
        <v>Fraction of Feedstock Shifted</v>
      </c>
      <c r="D858" s="6" t="s">
        <v>3063</v>
      </c>
      <c r="E858" s="45" t="s">
        <v>2402</v>
      </c>
      <c r="F858" t="s">
        <v>3027</v>
      </c>
      <c r="G858" s="45" t="s">
        <v>2406</v>
      </c>
      <c r="H858" s="47">
        <v>2483</v>
      </c>
      <c r="I858" s="324" t="s">
        <v>44</v>
      </c>
      <c r="J858" s="255" t="str">
        <f>IF(ISBLANK(INDEX('Policy Characteristics'!D:D,MATCH($C858,'Policy Characteristics'!$C:$C,0))),"",INDEX('Policy Characteristics'!D:D,MATCH($C858,'Policy Characteristics'!$C:$C,0)))</f>
        <v>Feedstock Shifting</v>
      </c>
      <c r="K858" s="254" t="str">
        <f>IF(ISBLANK(INDEX('Policy Characteristics'!E:E,MATCH($C858,'Policy Characteristics'!$C:$C,0))),"",INDEX('Policy Characteristics'!E:E,MATCH($C858,'Policy Characteristics'!$C:$C,0)))</f>
        <v>indst feedstock shifting</v>
      </c>
      <c r="L858" s="261">
        <f>IF(ISBLANK(INDEX('Policy Characteristics'!F:F,MATCH($C858,'Policy Characteristics'!$C:$C,0))),"",INDEX('Policy Characteristics'!F:F,MATCH($C858,'Policy Characteristics'!$C:$C,0)))</f>
        <v>0</v>
      </c>
      <c r="M858" s="261">
        <f>IF(ISBLANK(INDEX('Policy Characteristics'!G:G,MATCH($C858,'Policy Characteristics'!$C:$C,0))),"",INDEX('Policy Characteristics'!G:G,MATCH($C858,'Policy Characteristics'!$C:$C,0)))</f>
        <v>1</v>
      </c>
      <c r="N858" s="261">
        <f>IF(ISBLANK(INDEX('Policy Characteristics'!H:H,MATCH($C858,'Policy Characteristics'!$C:$C,0))),"",INDEX('Policy Characteristics'!H:H,MATCH($C858,'Policy Characteristics'!$C:$C,0)))</f>
        <v>0.01</v>
      </c>
      <c r="O858" s="254" t="str">
        <f>IF(ISBLANK(INDEX('Policy Characteristics'!I:I,MATCH($C858,'Policy Characteristics'!$C:$C,0))),"",INDEX('Policy Characteristics'!I:I,MATCH($C858,'Policy Characteristics'!$C:$C,0)))</f>
        <v>% of potential achieved</v>
      </c>
      <c r="P858" s="254" t="str">
        <f>IF(ISBLANK(INDEX('Policy Characteristics'!J:J,MATCH($C858,'Policy Characteristics'!$C:$C,0))),"",INDEX('Policy Characteristics'!J:J,MATCH($C858,'Policy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8" s="254" t="str">
        <f>IF(ISBLANK(INDEX('Policy Characteristics'!K:K,MATCH($C858,'Policy Characteristics'!$C:$C,0))),"",INDEX('Policy Characteristics'!K:K,MATCH($C858,'Policy Characteristics'!$C:$C,0)))</f>
        <v/>
      </c>
      <c r="R858" s="254" t="str">
        <f>IF(ISBLANK(INDEX('Policy Characteristics'!L:L,MATCH($C858,'Policy Characteristics'!$C:$C,0))),"",INDEX('Policy Characteristics'!L:L,MATCH($C858,'Policy Characteristics'!$C:$C,0)))</f>
        <v/>
      </c>
    </row>
    <row r="859" spans="1:18" s="2" customFormat="1" x14ac:dyDescent="0.3">
      <c r="A859" s="254" t="str">
        <f>IF(ISBLANK(INDEX('Policy Characteristics'!A:A,MATCH($C859,'Policy Characteristics'!$C:$C,0))),"",INDEX('Policy Characteristics'!A:A,MATCH($C859,'Policy Characteristics'!$C:$C,0)))</f>
        <v>Industry</v>
      </c>
      <c r="B859" s="262" t="str">
        <f>IF(ISBLANK(INDEX('Policy Characteristics'!B:B,MATCH($C859,'Policy Characteristics'!$C:$C,0))),"",INDEX('Policy Characteristics'!B:B,MATCH($C859,'Policy Characteristics'!$C:$C,0)))</f>
        <v>Feedstock Shifting</v>
      </c>
      <c r="C859" s="254" t="str">
        <f t="shared" si="40"/>
        <v>Fraction of Feedstock Shifted</v>
      </c>
      <c r="D859" s="6" t="s">
        <v>3063</v>
      </c>
      <c r="E859" s="45" t="s">
        <v>2403</v>
      </c>
      <c r="F859" t="s">
        <v>3027</v>
      </c>
      <c r="G859" s="45" t="s">
        <v>2407</v>
      </c>
      <c r="H859" s="47">
        <v>2484</v>
      </c>
      <c r="I859" s="324" t="s">
        <v>44</v>
      </c>
      <c r="J859" s="255" t="str">
        <f>IF(ISBLANK(INDEX('Policy Characteristics'!D:D,MATCH($C859,'Policy Characteristics'!$C:$C,0))),"",INDEX('Policy Characteristics'!D:D,MATCH($C859,'Policy Characteristics'!$C:$C,0)))</f>
        <v>Feedstock Shifting</v>
      </c>
      <c r="K859" s="254" t="str">
        <f>IF(ISBLANK(INDEX('Policy Characteristics'!E:E,MATCH($C859,'Policy Characteristics'!$C:$C,0))),"",INDEX('Policy Characteristics'!E:E,MATCH($C859,'Policy Characteristics'!$C:$C,0)))</f>
        <v>indst feedstock shifting</v>
      </c>
      <c r="L859" s="261">
        <f>IF(ISBLANK(INDEX('Policy Characteristics'!F:F,MATCH($C859,'Policy Characteristics'!$C:$C,0))),"",INDEX('Policy Characteristics'!F:F,MATCH($C859,'Policy Characteristics'!$C:$C,0)))</f>
        <v>0</v>
      </c>
      <c r="M859" s="261">
        <f>IF(ISBLANK(INDEX('Policy Characteristics'!G:G,MATCH($C859,'Policy Characteristics'!$C:$C,0))),"",INDEX('Policy Characteristics'!G:G,MATCH($C859,'Policy Characteristics'!$C:$C,0)))</f>
        <v>1</v>
      </c>
      <c r="N859" s="261">
        <f>IF(ISBLANK(INDEX('Policy Characteristics'!H:H,MATCH($C859,'Policy Characteristics'!$C:$C,0))),"",INDEX('Policy Characteristics'!H:H,MATCH($C859,'Policy Characteristics'!$C:$C,0)))</f>
        <v>0.01</v>
      </c>
      <c r="O859" s="254" t="str">
        <f>IF(ISBLANK(INDEX('Policy Characteristics'!I:I,MATCH($C859,'Policy Characteristics'!$C:$C,0))),"",INDEX('Policy Characteristics'!I:I,MATCH($C859,'Policy Characteristics'!$C:$C,0)))</f>
        <v>% of potential achieved</v>
      </c>
      <c r="P859" s="254" t="str">
        <f>IF(ISBLANK(INDEX('Policy Characteristics'!J:J,MATCH($C859,'Policy Characteristics'!$C:$C,0))),"",INDEX('Policy Characteristics'!J:J,MATCH($C859,'Policy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59" s="254" t="str">
        <f>IF(ISBLANK(INDEX('Policy Characteristics'!K:K,MATCH($C859,'Policy Characteristics'!$C:$C,0))),"",INDEX('Policy Characteristics'!K:K,MATCH($C859,'Policy Characteristics'!$C:$C,0)))</f>
        <v/>
      </c>
      <c r="R859" s="254" t="str">
        <f>IF(ISBLANK(INDEX('Policy Characteristics'!L:L,MATCH($C859,'Policy Characteristics'!$C:$C,0))),"",INDEX('Policy Characteristics'!L:L,MATCH($C859,'Policy Characteristics'!$C:$C,0)))</f>
        <v/>
      </c>
    </row>
    <row r="860" spans="1:18" s="2" customFormat="1" x14ac:dyDescent="0.3">
      <c r="A860" s="254" t="str">
        <f>IF(ISBLANK(INDEX('Policy Characteristics'!A:A,MATCH($C860,'Policy Characteristics'!$C:$C,0))),"",INDEX('Policy Characteristics'!A:A,MATCH($C860,'Policy Characteristics'!$C:$C,0)))</f>
        <v>Industry</v>
      </c>
      <c r="B860" s="262" t="str">
        <f>IF(ISBLANK(INDEX('Policy Characteristics'!B:B,MATCH($C860,'Policy Characteristics'!$C:$C,0))),"",INDEX('Policy Characteristics'!B:B,MATCH($C860,'Policy Characteristics'!$C:$C,0)))</f>
        <v>Feedstock Shifting</v>
      </c>
      <c r="C860" s="254" t="str">
        <f t="shared" si="40"/>
        <v>Fraction of Feedstock Shifted</v>
      </c>
      <c r="D860" s="6" t="s">
        <v>3063</v>
      </c>
      <c r="E860" s="45" t="s">
        <v>2404</v>
      </c>
      <c r="F860" t="s">
        <v>3027</v>
      </c>
      <c r="G860" s="45" t="s">
        <v>2410</v>
      </c>
      <c r="H860" s="47">
        <v>2485</v>
      </c>
      <c r="I860" s="324" t="s">
        <v>44</v>
      </c>
      <c r="J860" s="255" t="str">
        <f>IF(ISBLANK(INDEX('Policy Characteristics'!D:D,MATCH($C860,'Policy Characteristics'!$C:$C,0))),"",INDEX('Policy Characteristics'!D:D,MATCH($C860,'Policy Characteristics'!$C:$C,0)))</f>
        <v>Feedstock Shifting</v>
      </c>
      <c r="K860" s="254" t="str">
        <f>IF(ISBLANK(INDEX('Policy Characteristics'!E:E,MATCH($C860,'Policy Characteristics'!$C:$C,0))),"",INDEX('Policy Characteristics'!E:E,MATCH($C860,'Policy Characteristics'!$C:$C,0)))</f>
        <v>indst feedstock shifting</v>
      </c>
      <c r="L860" s="261">
        <f>IF(ISBLANK(INDEX('Policy Characteristics'!F:F,MATCH($C860,'Policy Characteristics'!$C:$C,0))),"",INDEX('Policy Characteristics'!F:F,MATCH($C860,'Policy Characteristics'!$C:$C,0)))</f>
        <v>0</v>
      </c>
      <c r="M860" s="261">
        <f>IF(ISBLANK(INDEX('Policy Characteristics'!G:G,MATCH($C860,'Policy Characteristics'!$C:$C,0))),"",INDEX('Policy Characteristics'!G:G,MATCH($C860,'Policy Characteristics'!$C:$C,0)))</f>
        <v>1</v>
      </c>
      <c r="N860" s="261">
        <f>IF(ISBLANK(INDEX('Policy Characteristics'!H:H,MATCH($C860,'Policy Characteristics'!$C:$C,0))),"",INDEX('Policy Characteristics'!H:H,MATCH($C860,'Policy Characteristics'!$C:$C,0)))</f>
        <v>0.01</v>
      </c>
      <c r="O860" s="254" t="str">
        <f>IF(ISBLANK(INDEX('Policy Characteristics'!I:I,MATCH($C860,'Policy Characteristics'!$C:$C,0))),"",INDEX('Policy Characteristics'!I:I,MATCH($C860,'Policy Characteristics'!$C:$C,0)))</f>
        <v>% of potential achieved</v>
      </c>
      <c r="P860" s="254"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54" t="str">
        <f>IF(ISBLANK(INDEX('Policy Characteristics'!K:K,MATCH($C860,'Policy Characteristics'!$C:$C,0))),"",INDEX('Policy Characteristics'!K:K,MATCH($C860,'Policy Characteristics'!$C:$C,0)))</f>
        <v/>
      </c>
      <c r="R860" s="254" t="str">
        <f>IF(ISBLANK(INDEX('Policy Characteristics'!L:L,MATCH($C860,'Policy Characteristics'!$C:$C,0))),"",INDEX('Policy Characteristics'!L:L,MATCH($C860,'Policy Characteristics'!$C:$C,0)))</f>
        <v/>
      </c>
    </row>
    <row r="861" spans="1:18" s="2" customFormat="1" x14ac:dyDescent="0.3">
      <c r="A861" s="254" t="str">
        <f>IF(ISBLANK(INDEX('Policy Characteristics'!A:A,MATCH($C861,'Policy Characteristics'!$C:$C,0))),"",INDEX('Policy Characteristics'!A:A,MATCH($C861,'Policy Characteristics'!$C:$C,0)))</f>
        <v>Industry</v>
      </c>
      <c r="B861" s="262" t="str">
        <f>IF(ISBLANK(INDEX('Policy Characteristics'!B:B,MATCH($C861,'Policy Characteristics'!$C:$C,0))),"",INDEX('Policy Characteristics'!B:B,MATCH($C861,'Policy Characteristics'!$C:$C,0)))</f>
        <v>Feedstock Shifting</v>
      </c>
      <c r="C861" s="254" t="str">
        <f t="shared" si="40"/>
        <v>Fraction of Feedstock Shifted</v>
      </c>
      <c r="D861" s="6" t="s">
        <v>3063</v>
      </c>
      <c r="E861" s="45" t="s">
        <v>2706</v>
      </c>
      <c r="F861" t="s">
        <v>3027</v>
      </c>
      <c r="G861" s="45" t="s">
        <v>2709</v>
      </c>
      <c r="H861" s="47">
        <v>2486</v>
      </c>
      <c r="I861" s="324" t="s">
        <v>44</v>
      </c>
      <c r="J861" s="255" t="str">
        <f>IF(ISBLANK(INDEX('Policy Characteristics'!D:D,MATCH($C861,'Policy Characteristics'!$C:$C,0))),"",INDEX('Policy Characteristics'!D:D,MATCH($C861,'Policy Characteristics'!$C:$C,0)))</f>
        <v>Feedstock Shifting</v>
      </c>
      <c r="K861" s="254" t="str">
        <f>IF(ISBLANK(INDEX('Policy Characteristics'!E:E,MATCH($C861,'Policy Characteristics'!$C:$C,0))),"",INDEX('Policy Characteristics'!E:E,MATCH($C861,'Policy Characteristics'!$C:$C,0)))</f>
        <v>indst feedstock shifting</v>
      </c>
      <c r="L861" s="261">
        <f>IF(ISBLANK(INDEX('Policy Characteristics'!F:F,MATCH($C861,'Policy Characteristics'!$C:$C,0))),"",INDEX('Policy Characteristics'!F:F,MATCH($C861,'Policy Characteristics'!$C:$C,0)))</f>
        <v>0</v>
      </c>
      <c r="M861" s="261">
        <f>IF(ISBLANK(INDEX('Policy Characteristics'!G:G,MATCH($C861,'Policy Characteristics'!$C:$C,0))),"",INDEX('Policy Characteristics'!G:G,MATCH($C861,'Policy Characteristics'!$C:$C,0)))</f>
        <v>1</v>
      </c>
      <c r="N861" s="261">
        <f>IF(ISBLANK(INDEX('Policy Characteristics'!H:H,MATCH($C861,'Policy Characteristics'!$C:$C,0))),"",INDEX('Policy Characteristics'!H:H,MATCH($C861,'Policy Characteristics'!$C:$C,0)))</f>
        <v>0.01</v>
      </c>
      <c r="O861" s="254" t="str">
        <f>IF(ISBLANK(INDEX('Policy Characteristics'!I:I,MATCH($C861,'Policy Characteristics'!$C:$C,0))),"",INDEX('Policy Characteristics'!I:I,MATCH($C861,'Policy Characteristics'!$C:$C,0)))</f>
        <v>% of potential achieved</v>
      </c>
      <c r="P861" s="254"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54" t="str">
        <f>IF(ISBLANK(INDEX('Policy Characteristics'!K:K,MATCH($C861,'Policy Characteristics'!$C:$C,0))),"",INDEX('Policy Characteristics'!K:K,MATCH($C861,'Policy Characteristics'!$C:$C,0)))</f>
        <v/>
      </c>
      <c r="R861" s="254" t="str">
        <f>IF(ISBLANK(INDEX('Policy Characteristics'!L:L,MATCH($C861,'Policy Characteristics'!$C:$C,0))),"",INDEX('Policy Characteristics'!L:L,MATCH($C861,'Policy Characteristics'!$C:$C,0)))</f>
        <v/>
      </c>
    </row>
    <row r="862" spans="1:18" s="2" customFormat="1" x14ac:dyDescent="0.3">
      <c r="A862" s="254" t="str">
        <f>IF(ISBLANK(INDEX('Policy Characteristics'!A:A,MATCH($C862,'Policy Characteristics'!$C:$C,0))),"",INDEX('Policy Characteristics'!A:A,MATCH($C862,'Policy Characteristics'!$C:$C,0)))</f>
        <v>Industry</v>
      </c>
      <c r="B862" s="262" t="str">
        <f>IF(ISBLANK(INDEX('Policy Characteristics'!B:B,MATCH($C862,'Policy Characteristics'!$C:$C,0))),"",INDEX('Policy Characteristics'!B:B,MATCH($C862,'Policy Characteristics'!$C:$C,0)))</f>
        <v>Feedstock Shifting</v>
      </c>
      <c r="C862" s="254" t="str">
        <f t="shared" si="40"/>
        <v>Fraction of Feedstock Shifted</v>
      </c>
      <c r="D862" s="6" t="s">
        <v>3063</v>
      </c>
      <c r="E862" s="45" t="s">
        <v>2707</v>
      </c>
      <c r="F862" t="s">
        <v>3027</v>
      </c>
      <c r="G862" s="45" t="s">
        <v>2711</v>
      </c>
      <c r="H862" s="47">
        <v>2487</v>
      </c>
      <c r="I862" s="324" t="s">
        <v>44</v>
      </c>
      <c r="J862" s="255" t="str">
        <f>IF(ISBLANK(INDEX('Policy Characteristics'!D:D,MATCH($C862,'Policy Characteristics'!$C:$C,0))),"",INDEX('Policy Characteristics'!D:D,MATCH($C862,'Policy Characteristics'!$C:$C,0)))</f>
        <v>Feedstock Shifting</v>
      </c>
      <c r="K862" s="254" t="str">
        <f>IF(ISBLANK(INDEX('Policy Characteristics'!E:E,MATCH($C862,'Policy Characteristics'!$C:$C,0))),"",INDEX('Policy Characteristics'!E:E,MATCH($C862,'Policy Characteristics'!$C:$C,0)))</f>
        <v>indst feedstock shifting</v>
      </c>
      <c r="L862" s="261">
        <f>IF(ISBLANK(INDEX('Policy Characteristics'!F:F,MATCH($C862,'Policy Characteristics'!$C:$C,0))),"",INDEX('Policy Characteristics'!F:F,MATCH($C862,'Policy Characteristics'!$C:$C,0)))</f>
        <v>0</v>
      </c>
      <c r="M862" s="261">
        <f>IF(ISBLANK(INDEX('Policy Characteristics'!G:G,MATCH($C862,'Policy Characteristics'!$C:$C,0))),"",INDEX('Policy Characteristics'!G:G,MATCH($C862,'Policy Characteristics'!$C:$C,0)))</f>
        <v>1</v>
      </c>
      <c r="N862" s="261">
        <f>IF(ISBLANK(INDEX('Policy Characteristics'!H:H,MATCH($C862,'Policy Characteristics'!$C:$C,0))),"",INDEX('Policy Characteristics'!H:H,MATCH($C862,'Policy Characteristics'!$C:$C,0)))</f>
        <v>0.01</v>
      </c>
      <c r="O862" s="254" t="str">
        <f>IF(ISBLANK(INDEX('Policy Characteristics'!I:I,MATCH($C862,'Policy Characteristics'!$C:$C,0))),"",INDEX('Policy Characteristics'!I:I,MATCH($C862,'Policy Characteristics'!$C:$C,0)))</f>
        <v>% of potential achieved</v>
      </c>
      <c r="P862" s="254"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54" t="str">
        <f>IF(ISBLANK(INDEX('Policy Characteristics'!K:K,MATCH($C862,'Policy Characteristics'!$C:$C,0))),"",INDEX('Policy Characteristics'!K:K,MATCH($C862,'Policy Characteristics'!$C:$C,0)))</f>
        <v/>
      </c>
      <c r="R862" s="254" t="str">
        <f>IF(ISBLANK(INDEX('Policy Characteristics'!L:L,MATCH($C862,'Policy Characteristics'!$C:$C,0))),"",INDEX('Policy Characteristics'!L:L,MATCH($C862,'Policy Characteristics'!$C:$C,0)))</f>
        <v/>
      </c>
    </row>
    <row r="863" spans="1:18" s="2" customFormat="1" x14ac:dyDescent="0.3">
      <c r="A863" s="254" t="str">
        <f>IF(ISBLANK(INDEX('Policy Characteristics'!A:A,MATCH($C863,'Policy Characteristics'!$C:$C,0))),"",INDEX('Policy Characteristics'!A:A,MATCH($C863,'Policy Characteristics'!$C:$C,0)))</f>
        <v>Industry</v>
      </c>
      <c r="B863" s="262" t="str">
        <f>IF(ISBLANK(INDEX('Policy Characteristics'!B:B,MATCH($C863,'Policy Characteristics'!$C:$C,0))),"",INDEX('Policy Characteristics'!B:B,MATCH($C863,'Policy Characteristics'!$C:$C,0)))</f>
        <v>Feedstock Shifting</v>
      </c>
      <c r="C863" s="254" t="str">
        <f t="shared" si="40"/>
        <v>Fraction of Feedstock Shifted</v>
      </c>
      <c r="D863" s="6" t="s">
        <v>3063</v>
      </c>
      <c r="E863" s="45" t="s">
        <v>2708</v>
      </c>
      <c r="F863" t="s">
        <v>3027</v>
      </c>
      <c r="G863" s="45" t="s">
        <v>2712</v>
      </c>
      <c r="H863" s="47">
        <v>2488</v>
      </c>
      <c r="I863" s="324" t="s">
        <v>44</v>
      </c>
      <c r="J863" s="255" t="str">
        <f>IF(ISBLANK(INDEX('Policy Characteristics'!D:D,MATCH($C863,'Policy Characteristics'!$C:$C,0))),"",INDEX('Policy Characteristics'!D:D,MATCH($C863,'Policy Characteristics'!$C:$C,0)))</f>
        <v>Feedstock Shifting</v>
      </c>
      <c r="K863" s="254" t="str">
        <f>IF(ISBLANK(INDEX('Policy Characteristics'!E:E,MATCH($C863,'Policy Characteristics'!$C:$C,0))),"",INDEX('Policy Characteristics'!E:E,MATCH($C863,'Policy Characteristics'!$C:$C,0)))</f>
        <v>indst feedstock shifting</v>
      </c>
      <c r="L863" s="261">
        <f>IF(ISBLANK(INDEX('Policy Characteristics'!F:F,MATCH($C863,'Policy Characteristics'!$C:$C,0))),"",INDEX('Policy Characteristics'!F:F,MATCH($C863,'Policy Characteristics'!$C:$C,0)))</f>
        <v>0</v>
      </c>
      <c r="M863" s="261">
        <f>IF(ISBLANK(INDEX('Policy Characteristics'!G:G,MATCH($C863,'Policy Characteristics'!$C:$C,0))),"",INDEX('Policy Characteristics'!G:G,MATCH($C863,'Policy Characteristics'!$C:$C,0)))</f>
        <v>1</v>
      </c>
      <c r="N863" s="261">
        <f>IF(ISBLANK(INDEX('Policy Characteristics'!H:H,MATCH($C863,'Policy Characteristics'!$C:$C,0))),"",INDEX('Policy Characteristics'!H:H,MATCH($C863,'Policy Characteristics'!$C:$C,0)))</f>
        <v>0.01</v>
      </c>
      <c r="O863" s="254" t="str">
        <f>IF(ISBLANK(INDEX('Policy Characteristics'!I:I,MATCH($C863,'Policy Characteristics'!$C:$C,0))),"",INDEX('Policy Characteristics'!I:I,MATCH($C863,'Policy Characteristics'!$C:$C,0)))</f>
        <v>% of potential achieved</v>
      </c>
      <c r="P863" s="254"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54" t="str">
        <f>IF(ISBLANK(INDEX('Policy Characteristics'!K:K,MATCH($C863,'Policy Characteristics'!$C:$C,0))),"",INDEX('Policy Characteristics'!K:K,MATCH($C863,'Policy Characteristics'!$C:$C,0)))</f>
        <v/>
      </c>
      <c r="R863" s="254" t="str">
        <f>IF(ISBLANK(INDEX('Policy Characteristics'!L:L,MATCH($C863,'Policy Characteristics'!$C:$C,0))),"",INDEX('Policy Characteristics'!L:L,MATCH($C863,'Policy Characteristics'!$C:$C,0)))</f>
        <v/>
      </c>
    </row>
    <row r="864" spans="1:18" s="2" customFormat="1" x14ac:dyDescent="0.3">
      <c r="A864" s="254" t="str">
        <f>IF(ISBLANK(INDEX('Policy Characteristics'!A:A,MATCH($C864,'Policy Characteristics'!$C:$C,0))),"",INDEX('Policy Characteristics'!A:A,MATCH($C864,'Policy Characteristics'!$C:$C,0)))</f>
        <v>Industry</v>
      </c>
      <c r="B864" s="262" t="str">
        <f>IF(ISBLANK(INDEX('Policy Characteristics'!B:B,MATCH($C864,'Policy Characteristics'!$C:$C,0))),"",INDEX('Policy Characteristics'!B:B,MATCH($C864,'Policy Characteristics'!$C:$C,0)))</f>
        <v>Feedstock Shifting</v>
      </c>
      <c r="C864" s="254" t="str">
        <f t="shared" si="40"/>
        <v>Fraction of Feedstock Shifted</v>
      </c>
      <c r="D864" s="6" t="s">
        <v>3063</v>
      </c>
      <c r="E864" s="45" t="s">
        <v>2705</v>
      </c>
      <c r="F864" t="s">
        <v>3027</v>
      </c>
      <c r="G864" s="45" t="s">
        <v>2710</v>
      </c>
      <c r="H864" s="47">
        <v>2489</v>
      </c>
      <c r="I864" s="324" t="s">
        <v>44</v>
      </c>
      <c r="J864" s="255" t="str">
        <f>IF(ISBLANK(INDEX('Policy Characteristics'!D:D,MATCH($C864,'Policy Characteristics'!$C:$C,0))),"",INDEX('Policy Characteristics'!D:D,MATCH($C864,'Policy Characteristics'!$C:$C,0)))</f>
        <v>Feedstock Shifting</v>
      </c>
      <c r="K864" s="254" t="str">
        <f>IF(ISBLANK(INDEX('Policy Characteristics'!E:E,MATCH($C864,'Policy Characteristics'!$C:$C,0))),"",INDEX('Policy Characteristics'!E:E,MATCH($C864,'Policy Characteristics'!$C:$C,0)))</f>
        <v>indst feedstock shifting</v>
      </c>
      <c r="L864" s="261">
        <f>IF(ISBLANK(INDEX('Policy Characteristics'!F:F,MATCH($C864,'Policy Characteristics'!$C:$C,0))),"",INDEX('Policy Characteristics'!F:F,MATCH($C864,'Policy Characteristics'!$C:$C,0)))</f>
        <v>0</v>
      </c>
      <c r="M864" s="261">
        <f>IF(ISBLANK(INDEX('Policy Characteristics'!G:G,MATCH($C864,'Policy Characteristics'!$C:$C,0))),"",INDEX('Policy Characteristics'!G:G,MATCH($C864,'Policy Characteristics'!$C:$C,0)))</f>
        <v>1</v>
      </c>
      <c r="N864" s="261">
        <f>IF(ISBLANK(INDEX('Policy Characteristics'!H:H,MATCH($C864,'Policy Characteristics'!$C:$C,0))),"",INDEX('Policy Characteristics'!H:H,MATCH($C864,'Policy Characteristics'!$C:$C,0)))</f>
        <v>0.01</v>
      </c>
      <c r="O864" s="254" t="str">
        <f>IF(ISBLANK(INDEX('Policy Characteristics'!I:I,MATCH($C864,'Policy Characteristics'!$C:$C,0))),"",INDEX('Policy Characteristics'!I:I,MATCH($C864,'Policy Characteristics'!$C:$C,0)))</f>
        <v>% of potential achieved</v>
      </c>
      <c r="P864" s="254"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54" t="str">
        <f>IF(ISBLANK(INDEX('Policy Characteristics'!K:K,MATCH($C864,'Policy Characteristics'!$C:$C,0))),"",INDEX('Policy Characteristics'!K:K,MATCH($C864,'Policy Characteristics'!$C:$C,0)))</f>
        <v/>
      </c>
      <c r="R864" s="254" t="str">
        <f>IF(ISBLANK(INDEX('Policy Characteristics'!L:L,MATCH($C864,'Policy Characteristics'!$C:$C,0))),"",INDEX('Policy Characteristics'!L:L,MATCH($C864,'Policy Characteristics'!$C:$C,0)))</f>
        <v/>
      </c>
    </row>
    <row r="865" spans="1:18" s="2" customFormat="1" x14ac:dyDescent="0.3">
      <c r="A865" s="254" t="str">
        <f>IF(ISBLANK(INDEX('Policy Characteristics'!A:A,MATCH($C865,'Policy Characteristics'!$C:$C,0))),"",INDEX('Policy Characteristics'!A:A,MATCH($C865,'Policy Characteristics'!$C:$C,0)))</f>
        <v>Industry</v>
      </c>
      <c r="B865" s="262" t="str">
        <f>IF(ISBLANK(INDEX('Policy Characteristics'!B:B,MATCH($C865,'Policy Characteristics'!$C:$C,0))),"",INDEX('Policy Characteristics'!B:B,MATCH($C865,'Policy Characteristics'!$C:$C,0)))</f>
        <v>Feedstock Shifting</v>
      </c>
      <c r="C865" s="254" t="str">
        <f t="shared" si="40"/>
        <v>Fraction of Feedstock Shifted</v>
      </c>
      <c r="D865" s="6" t="s">
        <v>3064</v>
      </c>
      <c r="E865" s="45" t="s">
        <v>2399</v>
      </c>
      <c r="F865" t="s">
        <v>3028</v>
      </c>
      <c r="G865" s="45" t="s">
        <v>2405</v>
      </c>
      <c r="H865" s="47">
        <v>2490</v>
      </c>
      <c r="I865" s="324" t="s">
        <v>44</v>
      </c>
      <c r="J865" s="255" t="str">
        <f>IF(ISBLANK(INDEX('Policy Characteristics'!D:D,MATCH($C865,'Policy Characteristics'!$C:$C,0))),"",INDEX('Policy Characteristics'!D:D,MATCH($C865,'Policy Characteristics'!$C:$C,0)))</f>
        <v>Feedstock Shifting</v>
      </c>
      <c r="K865" s="254" t="str">
        <f>IF(ISBLANK(INDEX('Policy Characteristics'!E:E,MATCH($C865,'Policy Characteristics'!$C:$C,0))),"",INDEX('Policy Characteristics'!E:E,MATCH($C865,'Policy Characteristics'!$C:$C,0)))</f>
        <v>indst feedstock shifting</v>
      </c>
      <c r="L865" s="261">
        <f>IF(ISBLANK(INDEX('Policy Characteristics'!F:F,MATCH($C865,'Policy Characteristics'!$C:$C,0))),"",INDEX('Policy Characteristics'!F:F,MATCH($C865,'Policy Characteristics'!$C:$C,0)))</f>
        <v>0</v>
      </c>
      <c r="M865" s="261">
        <f>IF(ISBLANK(INDEX('Policy Characteristics'!G:G,MATCH($C865,'Policy Characteristics'!$C:$C,0))),"",INDEX('Policy Characteristics'!G:G,MATCH($C865,'Policy Characteristics'!$C:$C,0)))</f>
        <v>1</v>
      </c>
      <c r="N865" s="261">
        <f>IF(ISBLANK(INDEX('Policy Characteristics'!H:H,MATCH($C865,'Policy Characteristics'!$C:$C,0))),"",INDEX('Policy Characteristics'!H:H,MATCH($C865,'Policy Characteristics'!$C:$C,0)))</f>
        <v>0.01</v>
      </c>
      <c r="O865" s="254" t="str">
        <f>IF(ISBLANK(INDEX('Policy Characteristics'!I:I,MATCH($C865,'Policy Characteristics'!$C:$C,0))),"",INDEX('Policy Characteristics'!I:I,MATCH($C865,'Policy Characteristics'!$C:$C,0)))</f>
        <v>% of potential achieved</v>
      </c>
      <c r="P865" s="254"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4" t="str">
        <f>IF(ISBLANK(INDEX('Policy Characteristics'!K:K,MATCH($C865,'Policy Characteristics'!$C:$C,0))),"",INDEX('Policy Characteristics'!K:K,MATCH($C865,'Policy Characteristics'!$C:$C,0)))</f>
        <v/>
      </c>
      <c r="R865" s="254" t="str">
        <f>IF(ISBLANK(INDEX('Policy Characteristics'!L:L,MATCH($C865,'Policy Characteristics'!$C:$C,0))),"",INDEX('Policy Characteristics'!L:L,MATCH($C865,'Policy Characteristics'!$C:$C,0)))</f>
        <v/>
      </c>
    </row>
    <row r="866" spans="1:18" s="2" customFormat="1" x14ac:dyDescent="0.3">
      <c r="A866" s="254" t="str">
        <f>IF(ISBLANK(INDEX('Policy Characteristics'!A:A,MATCH($C866,'Policy Characteristics'!$C:$C,0))),"",INDEX('Policy Characteristics'!A:A,MATCH($C866,'Policy Characteristics'!$C:$C,0)))</f>
        <v>Industry</v>
      </c>
      <c r="B866" s="262" t="str">
        <f>IF(ISBLANK(INDEX('Policy Characteristics'!B:B,MATCH($C866,'Policy Characteristics'!$C:$C,0))),"",INDEX('Policy Characteristics'!B:B,MATCH($C866,'Policy Characteristics'!$C:$C,0)))</f>
        <v>Feedstock Shifting</v>
      </c>
      <c r="C866" s="254" t="str">
        <f t="shared" si="40"/>
        <v>Fraction of Feedstock Shifted</v>
      </c>
      <c r="D866" s="6" t="s">
        <v>3064</v>
      </c>
      <c r="E866" s="45" t="s">
        <v>2400</v>
      </c>
      <c r="F866" t="s">
        <v>3028</v>
      </c>
      <c r="G866" s="45" t="s">
        <v>2408</v>
      </c>
      <c r="H866" s="47">
        <v>2491</v>
      </c>
      <c r="I866" s="324" t="s">
        <v>44</v>
      </c>
      <c r="J866" s="255" t="str">
        <f>IF(ISBLANK(INDEX('Policy Characteristics'!D:D,MATCH($C866,'Policy Characteristics'!$C:$C,0))),"",INDEX('Policy Characteristics'!D:D,MATCH($C866,'Policy Characteristics'!$C:$C,0)))</f>
        <v>Feedstock Shifting</v>
      </c>
      <c r="K866" s="254" t="str">
        <f>IF(ISBLANK(INDEX('Policy Characteristics'!E:E,MATCH($C866,'Policy Characteristics'!$C:$C,0))),"",INDEX('Policy Characteristics'!E:E,MATCH($C866,'Policy Characteristics'!$C:$C,0)))</f>
        <v>indst feedstock shifting</v>
      </c>
      <c r="L866" s="261">
        <f>IF(ISBLANK(INDEX('Policy Characteristics'!F:F,MATCH($C866,'Policy Characteristics'!$C:$C,0))),"",INDEX('Policy Characteristics'!F:F,MATCH($C866,'Policy Characteristics'!$C:$C,0)))</f>
        <v>0</v>
      </c>
      <c r="M866" s="261">
        <f>IF(ISBLANK(INDEX('Policy Characteristics'!G:G,MATCH($C866,'Policy Characteristics'!$C:$C,0))),"",INDEX('Policy Characteristics'!G:G,MATCH($C866,'Policy Characteristics'!$C:$C,0)))</f>
        <v>1</v>
      </c>
      <c r="N866" s="261">
        <f>IF(ISBLANK(INDEX('Policy Characteristics'!H:H,MATCH($C866,'Policy Characteristics'!$C:$C,0))),"",INDEX('Policy Characteristics'!H:H,MATCH($C866,'Policy Characteristics'!$C:$C,0)))</f>
        <v>0.01</v>
      </c>
      <c r="O866" s="254" t="str">
        <f>IF(ISBLANK(INDEX('Policy Characteristics'!I:I,MATCH($C866,'Policy Characteristics'!$C:$C,0))),"",INDEX('Policy Characteristics'!I:I,MATCH($C866,'Policy Characteristics'!$C:$C,0)))</f>
        <v>% of potential achieved</v>
      </c>
      <c r="P866" s="254"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4" t="str">
        <f>IF(ISBLANK(INDEX('Policy Characteristics'!K:K,MATCH($C866,'Policy Characteristics'!$C:$C,0))),"",INDEX('Policy Characteristics'!K:K,MATCH($C866,'Policy Characteristics'!$C:$C,0)))</f>
        <v/>
      </c>
      <c r="R866" s="254" t="str">
        <f>IF(ISBLANK(INDEX('Policy Characteristics'!L:L,MATCH($C866,'Policy Characteristics'!$C:$C,0))),"",INDEX('Policy Characteristics'!L:L,MATCH($C866,'Policy Characteristics'!$C:$C,0)))</f>
        <v/>
      </c>
    </row>
    <row r="867" spans="1:18" s="2" customFormat="1" x14ac:dyDescent="0.3">
      <c r="A867" s="254" t="str">
        <f>IF(ISBLANK(INDEX('Policy Characteristics'!A:A,MATCH($C867,'Policy Characteristics'!$C:$C,0))),"",INDEX('Policy Characteristics'!A:A,MATCH($C867,'Policy Characteristics'!$C:$C,0)))</f>
        <v>Industry</v>
      </c>
      <c r="B867" s="262" t="str">
        <f>IF(ISBLANK(INDEX('Policy Characteristics'!B:B,MATCH($C867,'Policy Characteristics'!$C:$C,0))),"",INDEX('Policy Characteristics'!B:B,MATCH($C867,'Policy Characteristics'!$C:$C,0)))</f>
        <v>Feedstock Shifting</v>
      </c>
      <c r="C867" s="254" t="str">
        <f t="shared" si="40"/>
        <v>Fraction of Feedstock Shifted</v>
      </c>
      <c r="D867" s="6" t="s">
        <v>3064</v>
      </c>
      <c r="E867" s="45" t="s">
        <v>2401</v>
      </c>
      <c r="F867" t="s">
        <v>3028</v>
      </c>
      <c r="G867" s="45" t="s">
        <v>2409</v>
      </c>
      <c r="H867" s="47">
        <v>2492</v>
      </c>
      <c r="I867" s="324" t="s">
        <v>44</v>
      </c>
      <c r="J867" s="255" t="str">
        <f>IF(ISBLANK(INDEX('Policy Characteristics'!D:D,MATCH($C867,'Policy Characteristics'!$C:$C,0))),"",INDEX('Policy Characteristics'!D:D,MATCH($C867,'Policy Characteristics'!$C:$C,0)))</f>
        <v>Feedstock Shifting</v>
      </c>
      <c r="K867" s="254" t="str">
        <f>IF(ISBLANK(INDEX('Policy Characteristics'!E:E,MATCH($C867,'Policy Characteristics'!$C:$C,0))),"",INDEX('Policy Characteristics'!E:E,MATCH($C867,'Policy Characteristics'!$C:$C,0)))</f>
        <v>indst feedstock shifting</v>
      </c>
      <c r="L867" s="261">
        <f>IF(ISBLANK(INDEX('Policy Characteristics'!F:F,MATCH($C867,'Policy Characteristics'!$C:$C,0))),"",INDEX('Policy Characteristics'!F:F,MATCH($C867,'Policy Characteristics'!$C:$C,0)))</f>
        <v>0</v>
      </c>
      <c r="M867" s="261">
        <f>IF(ISBLANK(INDEX('Policy Characteristics'!G:G,MATCH($C867,'Policy Characteristics'!$C:$C,0))),"",INDEX('Policy Characteristics'!G:G,MATCH($C867,'Policy Characteristics'!$C:$C,0)))</f>
        <v>1</v>
      </c>
      <c r="N867" s="261">
        <f>IF(ISBLANK(INDEX('Policy Characteristics'!H:H,MATCH($C867,'Policy Characteristics'!$C:$C,0))),"",INDEX('Policy Characteristics'!H:H,MATCH($C867,'Policy Characteristics'!$C:$C,0)))</f>
        <v>0.01</v>
      </c>
      <c r="O867" s="254" t="str">
        <f>IF(ISBLANK(INDEX('Policy Characteristics'!I:I,MATCH($C867,'Policy Characteristics'!$C:$C,0))),"",INDEX('Policy Characteristics'!I:I,MATCH($C867,'Policy Characteristics'!$C:$C,0)))</f>
        <v>% of potential achieved</v>
      </c>
      <c r="P867" s="254"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4" t="str">
        <f>IF(ISBLANK(INDEX('Policy Characteristics'!K:K,MATCH($C867,'Policy Characteristics'!$C:$C,0))),"",INDEX('Policy Characteristics'!K:K,MATCH($C867,'Policy Characteristics'!$C:$C,0)))</f>
        <v/>
      </c>
      <c r="R867" s="254" t="str">
        <f>IF(ISBLANK(INDEX('Policy Characteristics'!L:L,MATCH($C867,'Policy Characteristics'!$C:$C,0))),"",INDEX('Policy Characteristics'!L:L,MATCH($C867,'Policy Characteristics'!$C:$C,0)))</f>
        <v/>
      </c>
    </row>
    <row r="868" spans="1:18" s="2" customFormat="1" x14ac:dyDescent="0.3">
      <c r="A868" s="254" t="str">
        <f>IF(ISBLANK(INDEX('Policy Characteristics'!A:A,MATCH($C868,'Policy Characteristics'!$C:$C,0))),"",INDEX('Policy Characteristics'!A:A,MATCH($C868,'Policy Characteristics'!$C:$C,0)))</f>
        <v>Industry</v>
      </c>
      <c r="B868" s="262" t="str">
        <f>IF(ISBLANK(INDEX('Policy Characteristics'!B:B,MATCH($C868,'Policy Characteristics'!$C:$C,0))),"",INDEX('Policy Characteristics'!B:B,MATCH($C868,'Policy Characteristics'!$C:$C,0)))</f>
        <v>Feedstock Shifting</v>
      </c>
      <c r="C868" s="254" t="str">
        <f t="shared" si="40"/>
        <v>Fraction of Feedstock Shifted</v>
      </c>
      <c r="D868" s="6" t="s">
        <v>3064</v>
      </c>
      <c r="E868" s="45" t="s">
        <v>2402</v>
      </c>
      <c r="F868" t="s">
        <v>3028</v>
      </c>
      <c r="G868" s="45" t="s">
        <v>2406</v>
      </c>
      <c r="H868" s="47">
        <v>2493</v>
      </c>
      <c r="I868" s="324" t="s">
        <v>44</v>
      </c>
      <c r="J868" s="255" t="str">
        <f>IF(ISBLANK(INDEX('Policy Characteristics'!D:D,MATCH($C868,'Policy Characteristics'!$C:$C,0))),"",INDEX('Policy Characteristics'!D:D,MATCH($C868,'Policy Characteristics'!$C:$C,0)))</f>
        <v>Feedstock Shifting</v>
      </c>
      <c r="K868" s="254" t="str">
        <f>IF(ISBLANK(INDEX('Policy Characteristics'!E:E,MATCH($C868,'Policy Characteristics'!$C:$C,0))),"",INDEX('Policy Characteristics'!E:E,MATCH($C868,'Policy Characteristics'!$C:$C,0)))</f>
        <v>indst feedstock shifting</v>
      </c>
      <c r="L868" s="261">
        <f>IF(ISBLANK(INDEX('Policy Characteristics'!F:F,MATCH($C868,'Policy Characteristics'!$C:$C,0))),"",INDEX('Policy Characteristics'!F:F,MATCH($C868,'Policy Characteristics'!$C:$C,0)))</f>
        <v>0</v>
      </c>
      <c r="M868" s="261">
        <f>IF(ISBLANK(INDEX('Policy Characteristics'!G:G,MATCH($C868,'Policy Characteristics'!$C:$C,0))),"",INDEX('Policy Characteristics'!G:G,MATCH($C868,'Policy Characteristics'!$C:$C,0)))</f>
        <v>1</v>
      </c>
      <c r="N868" s="261">
        <f>IF(ISBLANK(INDEX('Policy Characteristics'!H:H,MATCH($C868,'Policy Characteristics'!$C:$C,0))),"",INDEX('Policy Characteristics'!H:H,MATCH($C868,'Policy Characteristics'!$C:$C,0)))</f>
        <v>0.01</v>
      </c>
      <c r="O868" s="254" t="str">
        <f>IF(ISBLANK(INDEX('Policy Characteristics'!I:I,MATCH($C868,'Policy Characteristics'!$C:$C,0))),"",INDEX('Policy Characteristics'!I:I,MATCH($C868,'Policy Characteristics'!$C:$C,0)))</f>
        <v>% of potential achieved</v>
      </c>
      <c r="P868" s="254"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4" t="str">
        <f>IF(ISBLANK(INDEX('Policy Characteristics'!K:K,MATCH($C868,'Policy Characteristics'!$C:$C,0))),"",INDEX('Policy Characteristics'!K:K,MATCH($C868,'Policy Characteristics'!$C:$C,0)))</f>
        <v/>
      </c>
      <c r="R868" s="254" t="str">
        <f>IF(ISBLANK(INDEX('Policy Characteristics'!L:L,MATCH($C868,'Policy Characteristics'!$C:$C,0))),"",INDEX('Policy Characteristics'!L:L,MATCH($C868,'Policy Characteristics'!$C:$C,0)))</f>
        <v/>
      </c>
    </row>
    <row r="869" spans="1:18" s="2" customFormat="1" x14ac:dyDescent="0.3">
      <c r="A869" s="254" t="str">
        <f>IF(ISBLANK(INDEX('Policy Characteristics'!A:A,MATCH($C869,'Policy Characteristics'!$C:$C,0))),"",INDEX('Policy Characteristics'!A:A,MATCH($C869,'Policy Characteristics'!$C:$C,0)))</f>
        <v>Industry</v>
      </c>
      <c r="B869" s="262" t="str">
        <f>IF(ISBLANK(INDEX('Policy Characteristics'!B:B,MATCH($C869,'Policy Characteristics'!$C:$C,0))),"",INDEX('Policy Characteristics'!B:B,MATCH($C869,'Policy Characteristics'!$C:$C,0)))</f>
        <v>Feedstock Shifting</v>
      </c>
      <c r="C869" s="254" t="str">
        <f t="shared" si="40"/>
        <v>Fraction of Feedstock Shifted</v>
      </c>
      <c r="D869" s="6" t="s">
        <v>3064</v>
      </c>
      <c r="E869" s="45" t="s">
        <v>2403</v>
      </c>
      <c r="F869" t="s">
        <v>3028</v>
      </c>
      <c r="G869" s="45" t="s">
        <v>2407</v>
      </c>
      <c r="H869" s="47">
        <v>2494</v>
      </c>
      <c r="I869" s="324" t="s">
        <v>44</v>
      </c>
      <c r="J869" s="255" t="str">
        <f>IF(ISBLANK(INDEX('Policy Characteristics'!D:D,MATCH($C869,'Policy Characteristics'!$C:$C,0))),"",INDEX('Policy Characteristics'!D:D,MATCH($C869,'Policy Characteristics'!$C:$C,0)))</f>
        <v>Feedstock Shifting</v>
      </c>
      <c r="K869" s="254" t="str">
        <f>IF(ISBLANK(INDEX('Policy Characteristics'!E:E,MATCH($C869,'Policy Characteristics'!$C:$C,0))),"",INDEX('Policy Characteristics'!E:E,MATCH($C869,'Policy Characteristics'!$C:$C,0)))</f>
        <v>indst feedstock shifting</v>
      </c>
      <c r="L869" s="261">
        <f>IF(ISBLANK(INDEX('Policy Characteristics'!F:F,MATCH($C869,'Policy Characteristics'!$C:$C,0))),"",INDEX('Policy Characteristics'!F:F,MATCH($C869,'Policy Characteristics'!$C:$C,0)))</f>
        <v>0</v>
      </c>
      <c r="M869" s="261">
        <f>IF(ISBLANK(INDEX('Policy Characteristics'!G:G,MATCH($C869,'Policy Characteristics'!$C:$C,0))),"",INDEX('Policy Characteristics'!G:G,MATCH($C869,'Policy Characteristics'!$C:$C,0)))</f>
        <v>1</v>
      </c>
      <c r="N869" s="261">
        <f>IF(ISBLANK(INDEX('Policy Characteristics'!H:H,MATCH($C869,'Policy Characteristics'!$C:$C,0))),"",INDEX('Policy Characteristics'!H:H,MATCH($C869,'Policy Characteristics'!$C:$C,0)))</f>
        <v>0.01</v>
      </c>
      <c r="O869" s="254" t="str">
        <f>IF(ISBLANK(INDEX('Policy Characteristics'!I:I,MATCH($C869,'Policy Characteristics'!$C:$C,0))),"",INDEX('Policy Characteristics'!I:I,MATCH($C869,'Policy Characteristics'!$C:$C,0)))</f>
        <v>% of potential achieved</v>
      </c>
      <c r="P869" s="254"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4" t="str">
        <f>IF(ISBLANK(INDEX('Policy Characteristics'!K:K,MATCH($C869,'Policy Characteristics'!$C:$C,0))),"",INDEX('Policy Characteristics'!K:K,MATCH($C869,'Policy Characteristics'!$C:$C,0)))</f>
        <v/>
      </c>
      <c r="R869" s="254" t="str">
        <f>IF(ISBLANK(INDEX('Policy Characteristics'!L:L,MATCH($C869,'Policy Characteristics'!$C:$C,0))),"",INDEX('Policy Characteristics'!L:L,MATCH($C869,'Policy Characteristics'!$C:$C,0)))</f>
        <v/>
      </c>
    </row>
    <row r="870" spans="1:18" s="2" customFormat="1" x14ac:dyDescent="0.3">
      <c r="A870" s="254" t="str">
        <f>IF(ISBLANK(INDEX('Policy Characteristics'!A:A,MATCH($C870,'Policy Characteristics'!$C:$C,0))),"",INDEX('Policy Characteristics'!A:A,MATCH($C870,'Policy Characteristics'!$C:$C,0)))</f>
        <v>Industry</v>
      </c>
      <c r="B870" s="262" t="str">
        <f>IF(ISBLANK(INDEX('Policy Characteristics'!B:B,MATCH($C870,'Policy Characteristics'!$C:$C,0))),"",INDEX('Policy Characteristics'!B:B,MATCH($C870,'Policy Characteristics'!$C:$C,0)))</f>
        <v>Feedstock Shifting</v>
      </c>
      <c r="C870" s="254" t="str">
        <f t="shared" si="40"/>
        <v>Fraction of Feedstock Shifted</v>
      </c>
      <c r="D870" s="6" t="s">
        <v>3064</v>
      </c>
      <c r="E870" s="45" t="s">
        <v>2404</v>
      </c>
      <c r="F870" t="s">
        <v>3028</v>
      </c>
      <c r="G870" s="45" t="s">
        <v>2410</v>
      </c>
      <c r="H870" s="47">
        <v>2495</v>
      </c>
      <c r="I870" s="324" t="s">
        <v>44</v>
      </c>
      <c r="J870" s="255" t="str">
        <f>IF(ISBLANK(INDEX('Policy Characteristics'!D:D,MATCH($C870,'Policy Characteristics'!$C:$C,0))),"",INDEX('Policy Characteristics'!D:D,MATCH($C870,'Policy Characteristics'!$C:$C,0)))</f>
        <v>Feedstock Shifting</v>
      </c>
      <c r="K870" s="254" t="str">
        <f>IF(ISBLANK(INDEX('Policy Characteristics'!E:E,MATCH($C870,'Policy Characteristics'!$C:$C,0))),"",INDEX('Policy Characteristics'!E:E,MATCH($C870,'Policy Characteristics'!$C:$C,0)))</f>
        <v>indst feedstock shifting</v>
      </c>
      <c r="L870" s="261">
        <f>IF(ISBLANK(INDEX('Policy Characteristics'!F:F,MATCH($C870,'Policy Characteristics'!$C:$C,0))),"",INDEX('Policy Characteristics'!F:F,MATCH($C870,'Policy Characteristics'!$C:$C,0)))</f>
        <v>0</v>
      </c>
      <c r="M870" s="261">
        <f>IF(ISBLANK(INDEX('Policy Characteristics'!G:G,MATCH($C870,'Policy Characteristics'!$C:$C,0))),"",INDEX('Policy Characteristics'!G:G,MATCH($C870,'Policy Characteristics'!$C:$C,0)))</f>
        <v>1</v>
      </c>
      <c r="N870" s="261">
        <f>IF(ISBLANK(INDEX('Policy Characteristics'!H:H,MATCH($C870,'Policy Characteristics'!$C:$C,0))),"",INDEX('Policy Characteristics'!H:H,MATCH($C870,'Policy Characteristics'!$C:$C,0)))</f>
        <v>0.01</v>
      </c>
      <c r="O870" s="254" t="str">
        <f>IF(ISBLANK(INDEX('Policy Characteristics'!I:I,MATCH($C870,'Policy Characteristics'!$C:$C,0))),"",INDEX('Policy Characteristics'!I:I,MATCH($C870,'Policy Characteristics'!$C:$C,0)))</f>
        <v>% of potential achieved</v>
      </c>
      <c r="P870" s="254"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4" t="str">
        <f>IF(ISBLANK(INDEX('Policy Characteristics'!K:K,MATCH($C870,'Policy Characteristics'!$C:$C,0))),"",INDEX('Policy Characteristics'!K:K,MATCH($C870,'Policy Characteristics'!$C:$C,0)))</f>
        <v/>
      </c>
      <c r="R870" s="254" t="str">
        <f>IF(ISBLANK(INDEX('Policy Characteristics'!L:L,MATCH($C870,'Policy Characteristics'!$C:$C,0))),"",INDEX('Policy Characteristics'!L:L,MATCH($C870,'Policy Characteristics'!$C:$C,0)))</f>
        <v/>
      </c>
    </row>
    <row r="871" spans="1:18" s="2" customFormat="1" x14ac:dyDescent="0.3">
      <c r="A871" s="254" t="str">
        <f>IF(ISBLANK(INDEX('Policy Characteristics'!A:A,MATCH($C871,'Policy Characteristics'!$C:$C,0))),"",INDEX('Policy Characteristics'!A:A,MATCH($C871,'Policy Characteristics'!$C:$C,0)))</f>
        <v>Industry</v>
      </c>
      <c r="B871" s="262" t="str">
        <f>IF(ISBLANK(INDEX('Policy Characteristics'!B:B,MATCH($C871,'Policy Characteristics'!$C:$C,0))),"",INDEX('Policy Characteristics'!B:B,MATCH($C871,'Policy Characteristics'!$C:$C,0)))</f>
        <v>Feedstock Shifting</v>
      </c>
      <c r="C871" s="254" t="str">
        <f t="shared" si="40"/>
        <v>Fraction of Feedstock Shifted</v>
      </c>
      <c r="D871" s="6" t="s">
        <v>3064</v>
      </c>
      <c r="E871" s="45" t="s">
        <v>2706</v>
      </c>
      <c r="F871" t="s">
        <v>3028</v>
      </c>
      <c r="G871" s="45" t="s">
        <v>2709</v>
      </c>
      <c r="H871" s="47">
        <v>2496</v>
      </c>
      <c r="I871" s="324" t="s">
        <v>44</v>
      </c>
      <c r="J871" s="255" t="str">
        <f>IF(ISBLANK(INDEX('Policy Characteristics'!D:D,MATCH($C871,'Policy Characteristics'!$C:$C,0))),"",INDEX('Policy Characteristics'!D:D,MATCH($C871,'Policy Characteristics'!$C:$C,0)))</f>
        <v>Feedstock Shifting</v>
      </c>
      <c r="K871" s="254" t="str">
        <f>IF(ISBLANK(INDEX('Policy Characteristics'!E:E,MATCH($C871,'Policy Characteristics'!$C:$C,0))),"",INDEX('Policy Characteristics'!E:E,MATCH($C871,'Policy Characteristics'!$C:$C,0)))</f>
        <v>indst feedstock shifting</v>
      </c>
      <c r="L871" s="261">
        <f>IF(ISBLANK(INDEX('Policy Characteristics'!F:F,MATCH($C871,'Policy Characteristics'!$C:$C,0))),"",INDEX('Policy Characteristics'!F:F,MATCH($C871,'Policy Characteristics'!$C:$C,0)))</f>
        <v>0</v>
      </c>
      <c r="M871" s="261">
        <f>IF(ISBLANK(INDEX('Policy Characteristics'!G:G,MATCH($C871,'Policy Characteristics'!$C:$C,0))),"",INDEX('Policy Characteristics'!G:G,MATCH($C871,'Policy Characteristics'!$C:$C,0)))</f>
        <v>1</v>
      </c>
      <c r="N871" s="261">
        <f>IF(ISBLANK(INDEX('Policy Characteristics'!H:H,MATCH($C871,'Policy Characteristics'!$C:$C,0))),"",INDEX('Policy Characteristics'!H:H,MATCH($C871,'Policy Characteristics'!$C:$C,0)))</f>
        <v>0.01</v>
      </c>
      <c r="O871" s="254" t="str">
        <f>IF(ISBLANK(INDEX('Policy Characteristics'!I:I,MATCH($C871,'Policy Characteristics'!$C:$C,0))),"",INDEX('Policy Characteristics'!I:I,MATCH($C871,'Policy Characteristics'!$C:$C,0)))</f>
        <v>% of potential achieved</v>
      </c>
      <c r="P871" s="254"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4" t="str">
        <f>IF(ISBLANK(INDEX('Policy Characteristics'!K:K,MATCH($C871,'Policy Characteristics'!$C:$C,0))),"",INDEX('Policy Characteristics'!K:K,MATCH($C871,'Policy Characteristics'!$C:$C,0)))</f>
        <v/>
      </c>
      <c r="R871" s="254" t="str">
        <f>IF(ISBLANK(INDEX('Policy Characteristics'!L:L,MATCH($C871,'Policy Characteristics'!$C:$C,0))),"",INDEX('Policy Characteristics'!L:L,MATCH($C871,'Policy Characteristics'!$C:$C,0)))</f>
        <v/>
      </c>
    </row>
    <row r="872" spans="1:18" s="2" customFormat="1" x14ac:dyDescent="0.3">
      <c r="A872" s="254" t="str">
        <f>IF(ISBLANK(INDEX('Policy Characteristics'!A:A,MATCH($C872,'Policy Characteristics'!$C:$C,0))),"",INDEX('Policy Characteristics'!A:A,MATCH($C872,'Policy Characteristics'!$C:$C,0)))</f>
        <v>Industry</v>
      </c>
      <c r="B872" s="262" t="str">
        <f>IF(ISBLANK(INDEX('Policy Characteristics'!B:B,MATCH($C872,'Policy Characteristics'!$C:$C,0))),"",INDEX('Policy Characteristics'!B:B,MATCH($C872,'Policy Characteristics'!$C:$C,0)))</f>
        <v>Feedstock Shifting</v>
      </c>
      <c r="C872" s="254" t="str">
        <f t="shared" si="40"/>
        <v>Fraction of Feedstock Shifted</v>
      </c>
      <c r="D872" s="6" t="s">
        <v>3064</v>
      </c>
      <c r="E872" s="45" t="s">
        <v>2707</v>
      </c>
      <c r="F872" t="s">
        <v>3028</v>
      </c>
      <c r="G872" s="45" t="s">
        <v>2711</v>
      </c>
      <c r="H872" s="47">
        <v>2497</v>
      </c>
      <c r="I872" s="324" t="s">
        <v>44</v>
      </c>
      <c r="J872" s="255" t="str">
        <f>IF(ISBLANK(INDEX('Policy Characteristics'!D:D,MATCH($C872,'Policy Characteristics'!$C:$C,0))),"",INDEX('Policy Characteristics'!D:D,MATCH($C872,'Policy Characteristics'!$C:$C,0)))</f>
        <v>Feedstock Shifting</v>
      </c>
      <c r="K872" s="254" t="str">
        <f>IF(ISBLANK(INDEX('Policy Characteristics'!E:E,MATCH($C872,'Policy Characteristics'!$C:$C,0))),"",INDEX('Policy Characteristics'!E:E,MATCH($C872,'Policy Characteristics'!$C:$C,0)))</f>
        <v>indst feedstock shifting</v>
      </c>
      <c r="L872" s="261">
        <f>IF(ISBLANK(INDEX('Policy Characteristics'!F:F,MATCH($C872,'Policy Characteristics'!$C:$C,0))),"",INDEX('Policy Characteristics'!F:F,MATCH($C872,'Policy Characteristics'!$C:$C,0)))</f>
        <v>0</v>
      </c>
      <c r="M872" s="261">
        <f>IF(ISBLANK(INDEX('Policy Characteristics'!G:G,MATCH($C872,'Policy Characteristics'!$C:$C,0))),"",INDEX('Policy Characteristics'!G:G,MATCH($C872,'Policy Characteristics'!$C:$C,0)))</f>
        <v>1</v>
      </c>
      <c r="N872" s="261">
        <f>IF(ISBLANK(INDEX('Policy Characteristics'!H:H,MATCH($C872,'Policy Characteristics'!$C:$C,0))),"",INDEX('Policy Characteristics'!H:H,MATCH($C872,'Policy Characteristics'!$C:$C,0)))</f>
        <v>0.01</v>
      </c>
      <c r="O872" s="254" t="str">
        <f>IF(ISBLANK(INDEX('Policy Characteristics'!I:I,MATCH($C872,'Policy Characteristics'!$C:$C,0))),"",INDEX('Policy Characteristics'!I:I,MATCH($C872,'Policy Characteristics'!$C:$C,0)))</f>
        <v>% of potential achieved</v>
      </c>
      <c r="P872" s="254"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4" t="str">
        <f>IF(ISBLANK(INDEX('Policy Characteristics'!K:K,MATCH($C872,'Policy Characteristics'!$C:$C,0))),"",INDEX('Policy Characteristics'!K:K,MATCH($C872,'Policy Characteristics'!$C:$C,0)))</f>
        <v/>
      </c>
      <c r="R872" s="254" t="str">
        <f>IF(ISBLANK(INDEX('Policy Characteristics'!L:L,MATCH($C872,'Policy Characteristics'!$C:$C,0))),"",INDEX('Policy Characteristics'!L:L,MATCH($C872,'Policy Characteristics'!$C:$C,0)))</f>
        <v/>
      </c>
    </row>
    <row r="873" spans="1:18" s="2" customFormat="1" x14ac:dyDescent="0.3">
      <c r="A873" s="254" t="str">
        <f>IF(ISBLANK(INDEX('Policy Characteristics'!A:A,MATCH($C873,'Policy Characteristics'!$C:$C,0))),"",INDEX('Policy Characteristics'!A:A,MATCH($C873,'Policy Characteristics'!$C:$C,0)))</f>
        <v>Industry</v>
      </c>
      <c r="B873" s="262" t="str">
        <f>IF(ISBLANK(INDEX('Policy Characteristics'!B:B,MATCH($C873,'Policy Characteristics'!$C:$C,0))),"",INDEX('Policy Characteristics'!B:B,MATCH($C873,'Policy Characteristics'!$C:$C,0)))</f>
        <v>Feedstock Shifting</v>
      </c>
      <c r="C873" s="254" t="str">
        <f t="shared" si="40"/>
        <v>Fraction of Feedstock Shifted</v>
      </c>
      <c r="D873" s="6" t="s">
        <v>3064</v>
      </c>
      <c r="E873" s="45" t="s">
        <v>2708</v>
      </c>
      <c r="F873" t="s">
        <v>3028</v>
      </c>
      <c r="G873" s="45" t="s">
        <v>2712</v>
      </c>
      <c r="H873" s="47">
        <v>2498</v>
      </c>
      <c r="I873" s="324" t="s">
        <v>44</v>
      </c>
      <c r="J873" s="255" t="str">
        <f>IF(ISBLANK(INDEX('Policy Characteristics'!D:D,MATCH($C873,'Policy Characteristics'!$C:$C,0))),"",INDEX('Policy Characteristics'!D:D,MATCH($C873,'Policy Characteristics'!$C:$C,0)))</f>
        <v>Feedstock Shifting</v>
      </c>
      <c r="K873" s="254" t="str">
        <f>IF(ISBLANK(INDEX('Policy Characteristics'!E:E,MATCH($C873,'Policy Characteristics'!$C:$C,0))),"",INDEX('Policy Characteristics'!E:E,MATCH($C873,'Policy Characteristics'!$C:$C,0)))</f>
        <v>indst feedstock shifting</v>
      </c>
      <c r="L873" s="261">
        <f>IF(ISBLANK(INDEX('Policy Characteristics'!F:F,MATCH($C873,'Policy Characteristics'!$C:$C,0))),"",INDEX('Policy Characteristics'!F:F,MATCH($C873,'Policy Characteristics'!$C:$C,0)))</f>
        <v>0</v>
      </c>
      <c r="M873" s="261">
        <f>IF(ISBLANK(INDEX('Policy Characteristics'!G:G,MATCH($C873,'Policy Characteristics'!$C:$C,0))),"",INDEX('Policy Characteristics'!G:G,MATCH($C873,'Policy Characteristics'!$C:$C,0)))</f>
        <v>1</v>
      </c>
      <c r="N873" s="261">
        <f>IF(ISBLANK(INDEX('Policy Characteristics'!H:H,MATCH($C873,'Policy Characteristics'!$C:$C,0))),"",INDEX('Policy Characteristics'!H:H,MATCH($C873,'Policy Characteristics'!$C:$C,0)))</f>
        <v>0.01</v>
      </c>
      <c r="O873" s="254" t="str">
        <f>IF(ISBLANK(INDEX('Policy Characteristics'!I:I,MATCH($C873,'Policy Characteristics'!$C:$C,0))),"",INDEX('Policy Characteristics'!I:I,MATCH($C873,'Policy Characteristics'!$C:$C,0)))</f>
        <v>% of potential achieved</v>
      </c>
      <c r="P873" s="254"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4" t="str">
        <f>IF(ISBLANK(INDEX('Policy Characteristics'!K:K,MATCH($C873,'Policy Characteristics'!$C:$C,0))),"",INDEX('Policy Characteristics'!K:K,MATCH($C873,'Policy Characteristics'!$C:$C,0)))</f>
        <v/>
      </c>
      <c r="R873" s="254" t="str">
        <f>IF(ISBLANK(INDEX('Policy Characteristics'!L:L,MATCH($C873,'Policy Characteristics'!$C:$C,0))),"",INDEX('Policy Characteristics'!L:L,MATCH($C873,'Policy Characteristics'!$C:$C,0)))</f>
        <v/>
      </c>
    </row>
    <row r="874" spans="1:18" s="2" customFormat="1" x14ac:dyDescent="0.3">
      <c r="A874" s="254" t="str">
        <f>IF(ISBLANK(INDEX('Policy Characteristics'!A:A,MATCH($C874,'Policy Characteristics'!$C:$C,0))),"",INDEX('Policy Characteristics'!A:A,MATCH($C874,'Policy Characteristics'!$C:$C,0)))</f>
        <v>Industry</v>
      </c>
      <c r="B874" s="262" t="str">
        <f>IF(ISBLANK(INDEX('Policy Characteristics'!B:B,MATCH($C874,'Policy Characteristics'!$C:$C,0))),"",INDEX('Policy Characteristics'!B:B,MATCH($C874,'Policy Characteristics'!$C:$C,0)))</f>
        <v>Feedstock Shifting</v>
      </c>
      <c r="C874" s="254" t="str">
        <f t="shared" si="40"/>
        <v>Fraction of Feedstock Shifted</v>
      </c>
      <c r="D874" s="6" t="s">
        <v>3064</v>
      </c>
      <c r="E874" s="45" t="s">
        <v>2705</v>
      </c>
      <c r="F874" t="s">
        <v>3028</v>
      </c>
      <c r="G874" s="45" t="s">
        <v>2710</v>
      </c>
      <c r="H874" s="47">
        <v>2499</v>
      </c>
      <c r="I874" s="324" t="s">
        <v>44</v>
      </c>
      <c r="J874" s="255" t="str">
        <f>IF(ISBLANK(INDEX('Policy Characteristics'!D:D,MATCH($C874,'Policy Characteristics'!$C:$C,0))),"",INDEX('Policy Characteristics'!D:D,MATCH($C874,'Policy Characteristics'!$C:$C,0)))</f>
        <v>Feedstock Shifting</v>
      </c>
      <c r="K874" s="254" t="str">
        <f>IF(ISBLANK(INDEX('Policy Characteristics'!E:E,MATCH($C874,'Policy Characteristics'!$C:$C,0))),"",INDEX('Policy Characteristics'!E:E,MATCH($C874,'Policy Characteristics'!$C:$C,0)))</f>
        <v>indst feedstock shifting</v>
      </c>
      <c r="L874" s="261">
        <f>IF(ISBLANK(INDEX('Policy Characteristics'!F:F,MATCH($C874,'Policy Characteristics'!$C:$C,0))),"",INDEX('Policy Characteristics'!F:F,MATCH($C874,'Policy Characteristics'!$C:$C,0)))</f>
        <v>0</v>
      </c>
      <c r="M874" s="261">
        <f>IF(ISBLANK(INDEX('Policy Characteristics'!G:G,MATCH($C874,'Policy Characteristics'!$C:$C,0))),"",INDEX('Policy Characteristics'!G:G,MATCH($C874,'Policy Characteristics'!$C:$C,0)))</f>
        <v>1</v>
      </c>
      <c r="N874" s="261">
        <f>IF(ISBLANK(INDEX('Policy Characteristics'!H:H,MATCH($C874,'Policy Characteristics'!$C:$C,0))),"",INDEX('Policy Characteristics'!H:H,MATCH($C874,'Policy Characteristics'!$C:$C,0)))</f>
        <v>0.01</v>
      </c>
      <c r="O874" s="254" t="str">
        <f>IF(ISBLANK(INDEX('Policy Characteristics'!I:I,MATCH($C874,'Policy Characteristics'!$C:$C,0))),"",INDEX('Policy Characteristics'!I:I,MATCH($C874,'Policy Characteristics'!$C:$C,0)))</f>
        <v>% of potential achieved</v>
      </c>
      <c r="P874" s="254"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4" t="str">
        <f>IF(ISBLANK(INDEX('Policy Characteristics'!K:K,MATCH($C874,'Policy Characteristics'!$C:$C,0))),"",INDEX('Policy Characteristics'!K:K,MATCH($C874,'Policy Characteristics'!$C:$C,0)))</f>
        <v/>
      </c>
      <c r="R874" s="254" t="str">
        <f>IF(ISBLANK(INDEX('Policy Characteristics'!L:L,MATCH($C874,'Policy Characteristics'!$C:$C,0))),"",INDEX('Policy Characteristics'!L:L,MATCH($C874,'Policy Characteristics'!$C:$C,0)))</f>
        <v/>
      </c>
    </row>
    <row r="875" spans="1:18" s="2" customFormat="1" x14ac:dyDescent="0.3">
      <c r="A875" s="254" t="str">
        <f>IF(ISBLANK(INDEX('Policy Characteristics'!A:A,MATCH($C875,'Policy Characteristics'!$C:$C,0))),"",INDEX('Policy Characteristics'!A:A,MATCH($C875,'Policy Characteristics'!$C:$C,0)))</f>
        <v>Industry</v>
      </c>
      <c r="B875" s="262" t="str">
        <f>IF(ISBLANK(INDEX('Policy Characteristics'!B:B,MATCH($C875,'Policy Characteristics'!$C:$C,0))),"",INDEX('Policy Characteristics'!B:B,MATCH($C875,'Policy Characteristics'!$C:$C,0)))</f>
        <v>Feedstock Shifting</v>
      </c>
      <c r="C875" s="254" t="str">
        <f t="shared" si="40"/>
        <v>Fraction of Feedstock Shifted</v>
      </c>
      <c r="D875" s="6" t="s">
        <v>3065</v>
      </c>
      <c r="E875" s="45" t="s">
        <v>2399</v>
      </c>
      <c r="F875" t="s">
        <v>3029</v>
      </c>
      <c r="G875" s="45" t="s">
        <v>2405</v>
      </c>
      <c r="H875" s="47">
        <v>2500</v>
      </c>
      <c r="I875" s="324" t="s">
        <v>44</v>
      </c>
      <c r="J875" s="255" t="str">
        <f>IF(ISBLANK(INDEX('Policy Characteristics'!D:D,MATCH($C875,'Policy Characteristics'!$C:$C,0))),"",INDEX('Policy Characteristics'!D:D,MATCH($C875,'Policy Characteristics'!$C:$C,0)))</f>
        <v>Feedstock Shifting</v>
      </c>
      <c r="K875" s="254" t="str">
        <f>IF(ISBLANK(INDEX('Policy Characteristics'!E:E,MATCH($C875,'Policy Characteristics'!$C:$C,0))),"",INDEX('Policy Characteristics'!E:E,MATCH($C875,'Policy Characteristics'!$C:$C,0)))</f>
        <v>indst feedstock shifting</v>
      </c>
      <c r="L875" s="261">
        <f>IF(ISBLANK(INDEX('Policy Characteristics'!F:F,MATCH($C875,'Policy Characteristics'!$C:$C,0))),"",INDEX('Policy Characteristics'!F:F,MATCH($C875,'Policy Characteristics'!$C:$C,0)))</f>
        <v>0</v>
      </c>
      <c r="M875" s="261">
        <f>IF(ISBLANK(INDEX('Policy Characteristics'!G:G,MATCH($C875,'Policy Characteristics'!$C:$C,0))),"",INDEX('Policy Characteristics'!G:G,MATCH($C875,'Policy Characteristics'!$C:$C,0)))</f>
        <v>1</v>
      </c>
      <c r="N875" s="261">
        <f>IF(ISBLANK(INDEX('Policy Characteristics'!H:H,MATCH($C875,'Policy Characteristics'!$C:$C,0))),"",INDEX('Policy Characteristics'!H:H,MATCH($C875,'Policy Characteristics'!$C:$C,0)))</f>
        <v>0.01</v>
      </c>
      <c r="O875" s="254" t="str">
        <f>IF(ISBLANK(INDEX('Policy Characteristics'!I:I,MATCH($C875,'Policy Characteristics'!$C:$C,0))),"",INDEX('Policy Characteristics'!I:I,MATCH($C875,'Policy Characteristics'!$C:$C,0)))</f>
        <v>% of potential achieved</v>
      </c>
      <c r="P875" s="254"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4" t="str">
        <f>IF(ISBLANK(INDEX('Policy Characteristics'!K:K,MATCH($C875,'Policy Characteristics'!$C:$C,0))),"",INDEX('Policy Characteristics'!K:K,MATCH($C875,'Policy Characteristics'!$C:$C,0)))</f>
        <v/>
      </c>
      <c r="R875" s="254" t="str">
        <f>IF(ISBLANK(INDEX('Policy Characteristics'!L:L,MATCH($C875,'Policy Characteristics'!$C:$C,0))),"",INDEX('Policy Characteristics'!L:L,MATCH($C875,'Policy Characteristics'!$C:$C,0)))</f>
        <v/>
      </c>
    </row>
    <row r="876" spans="1:18" s="2" customFormat="1" x14ac:dyDescent="0.3">
      <c r="A876" s="254" t="str">
        <f>IF(ISBLANK(INDEX('Policy Characteristics'!A:A,MATCH($C876,'Policy Characteristics'!$C:$C,0))),"",INDEX('Policy Characteristics'!A:A,MATCH($C876,'Policy Characteristics'!$C:$C,0)))</f>
        <v>Industry</v>
      </c>
      <c r="B876" s="262" t="str">
        <f>IF(ISBLANK(INDEX('Policy Characteristics'!B:B,MATCH($C876,'Policy Characteristics'!$C:$C,0))),"",INDEX('Policy Characteristics'!B:B,MATCH($C876,'Policy Characteristics'!$C:$C,0)))</f>
        <v>Feedstock Shifting</v>
      </c>
      <c r="C876" s="254" t="str">
        <f t="shared" si="40"/>
        <v>Fraction of Feedstock Shifted</v>
      </c>
      <c r="D876" s="6" t="s">
        <v>3065</v>
      </c>
      <c r="E876" s="45" t="s">
        <v>2400</v>
      </c>
      <c r="F876" t="s">
        <v>3029</v>
      </c>
      <c r="G876" s="45" t="s">
        <v>2408</v>
      </c>
      <c r="H876" s="47">
        <v>2501</v>
      </c>
      <c r="I876" s="324" t="s">
        <v>44</v>
      </c>
      <c r="J876" s="255" t="str">
        <f>IF(ISBLANK(INDEX('Policy Characteristics'!D:D,MATCH($C876,'Policy Characteristics'!$C:$C,0))),"",INDEX('Policy Characteristics'!D:D,MATCH($C876,'Policy Characteristics'!$C:$C,0)))</f>
        <v>Feedstock Shifting</v>
      </c>
      <c r="K876" s="254" t="str">
        <f>IF(ISBLANK(INDEX('Policy Characteristics'!E:E,MATCH($C876,'Policy Characteristics'!$C:$C,0))),"",INDEX('Policy Characteristics'!E:E,MATCH($C876,'Policy Characteristics'!$C:$C,0)))</f>
        <v>indst feedstock shifting</v>
      </c>
      <c r="L876" s="261">
        <f>IF(ISBLANK(INDEX('Policy Characteristics'!F:F,MATCH($C876,'Policy Characteristics'!$C:$C,0))),"",INDEX('Policy Characteristics'!F:F,MATCH($C876,'Policy Characteristics'!$C:$C,0)))</f>
        <v>0</v>
      </c>
      <c r="M876" s="261">
        <f>IF(ISBLANK(INDEX('Policy Characteristics'!G:G,MATCH($C876,'Policy Characteristics'!$C:$C,0))),"",INDEX('Policy Characteristics'!G:G,MATCH($C876,'Policy Characteristics'!$C:$C,0)))</f>
        <v>1</v>
      </c>
      <c r="N876" s="261">
        <f>IF(ISBLANK(INDEX('Policy Characteristics'!H:H,MATCH($C876,'Policy Characteristics'!$C:$C,0))),"",INDEX('Policy Characteristics'!H:H,MATCH($C876,'Policy Characteristics'!$C:$C,0)))</f>
        <v>0.01</v>
      </c>
      <c r="O876" s="254" t="str">
        <f>IF(ISBLANK(INDEX('Policy Characteristics'!I:I,MATCH($C876,'Policy Characteristics'!$C:$C,0))),"",INDEX('Policy Characteristics'!I:I,MATCH($C876,'Policy Characteristics'!$C:$C,0)))</f>
        <v>% of potential achieved</v>
      </c>
      <c r="P876" s="254"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4" t="str">
        <f>IF(ISBLANK(INDEX('Policy Characteristics'!K:K,MATCH($C876,'Policy Characteristics'!$C:$C,0))),"",INDEX('Policy Characteristics'!K:K,MATCH($C876,'Policy Characteristics'!$C:$C,0)))</f>
        <v/>
      </c>
      <c r="R876" s="254" t="str">
        <f>IF(ISBLANK(INDEX('Policy Characteristics'!L:L,MATCH($C876,'Policy Characteristics'!$C:$C,0))),"",INDEX('Policy Characteristics'!L:L,MATCH($C876,'Policy Characteristics'!$C:$C,0)))</f>
        <v/>
      </c>
    </row>
    <row r="877" spans="1:18" s="2" customFormat="1" x14ac:dyDescent="0.3">
      <c r="A877" s="254" t="str">
        <f>IF(ISBLANK(INDEX('Policy Characteristics'!A:A,MATCH($C877,'Policy Characteristics'!$C:$C,0))),"",INDEX('Policy Characteristics'!A:A,MATCH($C877,'Policy Characteristics'!$C:$C,0)))</f>
        <v>Industry</v>
      </c>
      <c r="B877" s="262" t="str">
        <f>IF(ISBLANK(INDEX('Policy Characteristics'!B:B,MATCH($C877,'Policy Characteristics'!$C:$C,0))),"",INDEX('Policy Characteristics'!B:B,MATCH($C877,'Policy Characteristics'!$C:$C,0)))</f>
        <v>Feedstock Shifting</v>
      </c>
      <c r="C877" s="254" t="str">
        <f t="shared" si="40"/>
        <v>Fraction of Feedstock Shifted</v>
      </c>
      <c r="D877" s="6" t="s">
        <v>3065</v>
      </c>
      <c r="E877" s="45" t="s">
        <v>2401</v>
      </c>
      <c r="F877" t="s">
        <v>3029</v>
      </c>
      <c r="G877" s="45" t="s">
        <v>2409</v>
      </c>
      <c r="H877" s="47">
        <v>2502</v>
      </c>
      <c r="I877" s="324" t="s">
        <v>44</v>
      </c>
      <c r="J877" s="255" t="str">
        <f>IF(ISBLANK(INDEX('Policy Characteristics'!D:D,MATCH($C877,'Policy Characteristics'!$C:$C,0))),"",INDEX('Policy Characteristics'!D:D,MATCH($C877,'Policy Characteristics'!$C:$C,0)))</f>
        <v>Feedstock Shifting</v>
      </c>
      <c r="K877" s="254" t="str">
        <f>IF(ISBLANK(INDEX('Policy Characteristics'!E:E,MATCH($C877,'Policy Characteristics'!$C:$C,0))),"",INDEX('Policy Characteristics'!E:E,MATCH($C877,'Policy Characteristics'!$C:$C,0)))</f>
        <v>indst feedstock shifting</v>
      </c>
      <c r="L877" s="261">
        <f>IF(ISBLANK(INDEX('Policy Characteristics'!F:F,MATCH($C877,'Policy Characteristics'!$C:$C,0))),"",INDEX('Policy Characteristics'!F:F,MATCH($C877,'Policy Characteristics'!$C:$C,0)))</f>
        <v>0</v>
      </c>
      <c r="M877" s="261">
        <f>IF(ISBLANK(INDEX('Policy Characteristics'!G:G,MATCH($C877,'Policy Characteristics'!$C:$C,0))),"",INDEX('Policy Characteristics'!G:G,MATCH($C877,'Policy Characteristics'!$C:$C,0)))</f>
        <v>1</v>
      </c>
      <c r="N877" s="261">
        <f>IF(ISBLANK(INDEX('Policy Characteristics'!H:H,MATCH($C877,'Policy Characteristics'!$C:$C,0))),"",INDEX('Policy Characteristics'!H:H,MATCH($C877,'Policy Characteristics'!$C:$C,0)))</f>
        <v>0.01</v>
      </c>
      <c r="O877" s="254" t="str">
        <f>IF(ISBLANK(INDEX('Policy Characteristics'!I:I,MATCH($C877,'Policy Characteristics'!$C:$C,0))),"",INDEX('Policy Characteristics'!I:I,MATCH($C877,'Policy Characteristics'!$C:$C,0)))</f>
        <v>% of potential achieved</v>
      </c>
      <c r="P877" s="254"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4" t="str">
        <f>IF(ISBLANK(INDEX('Policy Characteristics'!K:K,MATCH($C877,'Policy Characteristics'!$C:$C,0))),"",INDEX('Policy Characteristics'!K:K,MATCH($C877,'Policy Characteristics'!$C:$C,0)))</f>
        <v/>
      </c>
      <c r="R877" s="254" t="str">
        <f>IF(ISBLANK(INDEX('Policy Characteristics'!L:L,MATCH($C877,'Policy Characteristics'!$C:$C,0))),"",INDEX('Policy Characteristics'!L:L,MATCH($C877,'Policy Characteristics'!$C:$C,0)))</f>
        <v/>
      </c>
    </row>
    <row r="878" spans="1:18" s="2" customFormat="1" x14ac:dyDescent="0.3">
      <c r="A878" s="254" t="str">
        <f>IF(ISBLANK(INDEX('Policy Characteristics'!A:A,MATCH($C878,'Policy Characteristics'!$C:$C,0))),"",INDEX('Policy Characteristics'!A:A,MATCH($C878,'Policy Characteristics'!$C:$C,0)))</f>
        <v>Industry</v>
      </c>
      <c r="B878" s="262" t="str">
        <f>IF(ISBLANK(INDEX('Policy Characteristics'!B:B,MATCH($C878,'Policy Characteristics'!$C:$C,0))),"",INDEX('Policy Characteristics'!B:B,MATCH($C878,'Policy Characteristics'!$C:$C,0)))</f>
        <v>Feedstock Shifting</v>
      </c>
      <c r="C878" s="254" t="str">
        <f t="shared" si="40"/>
        <v>Fraction of Feedstock Shifted</v>
      </c>
      <c r="D878" s="6" t="s">
        <v>3065</v>
      </c>
      <c r="E878" s="45" t="s">
        <v>2402</v>
      </c>
      <c r="F878" t="s">
        <v>3029</v>
      </c>
      <c r="G878" s="45" t="s">
        <v>2406</v>
      </c>
      <c r="H878" s="47">
        <v>2503</v>
      </c>
      <c r="I878" s="324" t="s">
        <v>44</v>
      </c>
      <c r="J878" s="255" t="str">
        <f>IF(ISBLANK(INDEX('Policy Characteristics'!D:D,MATCH($C878,'Policy Characteristics'!$C:$C,0))),"",INDEX('Policy Characteristics'!D:D,MATCH($C878,'Policy Characteristics'!$C:$C,0)))</f>
        <v>Feedstock Shifting</v>
      </c>
      <c r="K878" s="254" t="str">
        <f>IF(ISBLANK(INDEX('Policy Characteristics'!E:E,MATCH($C878,'Policy Characteristics'!$C:$C,0))),"",INDEX('Policy Characteristics'!E:E,MATCH($C878,'Policy Characteristics'!$C:$C,0)))</f>
        <v>indst feedstock shifting</v>
      </c>
      <c r="L878" s="261">
        <f>IF(ISBLANK(INDEX('Policy Characteristics'!F:F,MATCH($C878,'Policy Characteristics'!$C:$C,0))),"",INDEX('Policy Characteristics'!F:F,MATCH($C878,'Policy Characteristics'!$C:$C,0)))</f>
        <v>0</v>
      </c>
      <c r="M878" s="261">
        <f>IF(ISBLANK(INDEX('Policy Characteristics'!G:G,MATCH($C878,'Policy Characteristics'!$C:$C,0))),"",INDEX('Policy Characteristics'!G:G,MATCH($C878,'Policy Characteristics'!$C:$C,0)))</f>
        <v>1</v>
      </c>
      <c r="N878" s="261">
        <f>IF(ISBLANK(INDEX('Policy Characteristics'!H:H,MATCH($C878,'Policy Characteristics'!$C:$C,0))),"",INDEX('Policy Characteristics'!H:H,MATCH($C878,'Policy Characteristics'!$C:$C,0)))</f>
        <v>0.01</v>
      </c>
      <c r="O878" s="254" t="str">
        <f>IF(ISBLANK(INDEX('Policy Characteristics'!I:I,MATCH($C878,'Policy Characteristics'!$C:$C,0))),"",INDEX('Policy Characteristics'!I:I,MATCH($C878,'Policy Characteristics'!$C:$C,0)))</f>
        <v>% of potential achieved</v>
      </c>
      <c r="P878" s="254"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4" t="str">
        <f>IF(ISBLANK(INDEX('Policy Characteristics'!K:K,MATCH($C878,'Policy Characteristics'!$C:$C,0))),"",INDEX('Policy Characteristics'!K:K,MATCH($C878,'Policy Characteristics'!$C:$C,0)))</f>
        <v/>
      </c>
      <c r="R878" s="254" t="str">
        <f>IF(ISBLANK(INDEX('Policy Characteristics'!L:L,MATCH($C878,'Policy Characteristics'!$C:$C,0))),"",INDEX('Policy Characteristics'!L:L,MATCH($C878,'Policy Characteristics'!$C:$C,0)))</f>
        <v/>
      </c>
    </row>
    <row r="879" spans="1:18" s="2" customFormat="1" x14ac:dyDescent="0.3">
      <c r="A879" s="254" t="str">
        <f>IF(ISBLANK(INDEX('Policy Characteristics'!A:A,MATCH($C879,'Policy Characteristics'!$C:$C,0))),"",INDEX('Policy Characteristics'!A:A,MATCH($C879,'Policy Characteristics'!$C:$C,0)))</f>
        <v>Industry</v>
      </c>
      <c r="B879" s="262" t="str">
        <f>IF(ISBLANK(INDEX('Policy Characteristics'!B:B,MATCH($C879,'Policy Characteristics'!$C:$C,0))),"",INDEX('Policy Characteristics'!B:B,MATCH($C879,'Policy Characteristics'!$C:$C,0)))</f>
        <v>Feedstock Shifting</v>
      </c>
      <c r="C879" s="254" t="str">
        <f t="shared" si="40"/>
        <v>Fraction of Feedstock Shifted</v>
      </c>
      <c r="D879" s="6" t="s">
        <v>3065</v>
      </c>
      <c r="E879" s="45" t="s">
        <v>2403</v>
      </c>
      <c r="F879" t="s">
        <v>3029</v>
      </c>
      <c r="G879" s="45" t="s">
        <v>2407</v>
      </c>
      <c r="H879" s="47">
        <v>2504</v>
      </c>
      <c r="I879" s="324" t="s">
        <v>44</v>
      </c>
      <c r="J879" s="255" t="str">
        <f>IF(ISBLANK(INDEX('Policy Characteristics'!D:D,MATCH($C879,'Policy Characteristics'!$C:$C,0))),"",INDEX('Policy Characteristics'!D:D,MATCH($C879,'Policy Characteristics'!$C:$C,0)))</f>
        <v>Feedstock Shifting</v>
      </c>
      <c r="K879" s="254" t="str">
        <f>IF(ISBLANK(INDEX('Policy Characteristics'!E:E,MATCH($C879,'Policy Characteristics'!$C:$C,0))),"",INDEX('Policy Characteristics'!E:E,MATCH($C879,'Policy Characteristics'!$C:$C,0)))</f>
        <v>indst feedstock shifting</v>
      </c>
      <c r="L879" s="261">
        <f>IF(ISBLANK(INDEX('Policy Characteristics'!F:F,MATCH($C879,'Policy Characteristics'!$C:$C,0))),"",INDEX('Policy Characteristics'!F:F,MATCH($C879,'Policy Characteristics'!$C:$C,0)))</f>
        <v>0</v>
      </c>
      <c r="M879" s="261">
        <f>IF(ISBLANK(INDEX('Policy Characteristics'!G:G,MATCH($C879,'Policy Characteristics'!$C:$C,0))),"",INDEX('Policy Characteristics'!G:G,MATCH($C879,'Policy Characteristics'!$C:$C,0)))</f>
        <v>1</v>
      </c>
      <c r="N879" s="261">
        <f>IF(ISBLANK(INDEX('Policy Characteristics'!H:H,MATCH($C879,'Policy Characteristics'!$C:$C,0))),"",INDEX('Policy Characteristics'!H:H,MATCH($C879,'Policy Characteristics'!$C:$C,0)))</f>
        <v>0.01</v>
      </c>
      <c r="O879" s="254" t="str">
        <f>IF(ISBLANK(INDEX('Policy Characteristics'!I:I,MATCH($C879,'Policy Characteristics'!$C:$C,0))),"",INDEX('Policy Characteristics'!I:I,MATCH($C879,'Policy Characteristics'!$C:$C,0)))</f>
        <v>% of potential achieved</v>
      </c>
      <c r="P879" s="254"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4" t="str">
        <f>IF(ISBLANK(INDEX('Policy Characteristics'!K:K,MATCH($C879,'Policy Characteristics'!$C:$C,0))),"",INDEX('Policy Characteristics'!K:K,MATCH($C879,'Policy Characteristics'!$C:$C,0)))</f>
        <v/>
      </c>
      <c r="R879" s="254" t="str">
        <f>IF(ISBLANK(INDEX('Policy Characteristics'!L:L,MATCH($C879,'Policy Characteristics'!$C:$C,0))),"",INDEX('Policy Characteristics'!L:L,MATCH($C879,'Policy Characteristics'!$C:$C,0)))</f>
        <v/>
      </c>
    </row>
    <row r="880" spans="1:18" s="2" customFormat="1" x14ac:dyDescent="0.3">
      <c r="A880" s="254" t="str">
        <f>IF(ISBLANK(INDEX('Policy Characteristics'!A:A,MATCH($C880,'Policy Characteristics'!$C:$C,0))),"",INDEX('Policy Characteristics'!A:A,MATCH($C880,'Policy Characteristics'!$C:$C,0)))</f>
        <v>Industry</v>
      </c>
      <c r="B880" s="262" t="str">
        <f>IF(ISBLANK(INDEX('Policy Characteristics'!B:B,MATCH($C880,'Policy Characteristics'!$C:$C,0))),"",INDEX('Policy Characteristics'!B:B,MATCH($C880,'Policy Characteristics'!$C:$C,0)))</f>
        <v>Feedstock Shifting</v>
      </c>
      <c r="C880" s="254" t="str">
        <f t="shared" si="40"/>
        <v>Fraction of Feedstock Shifted</v>
      </c>
      <c r="D880" s="6" t="s">
        <v>3065</v>
      </c>
      <c r="E880" s="45" t="s">
        <v>2404</v>
      </c>
      <c r="F880" t="s">
        <v>3029</v>
      </c>
      <c r="G880" s="45" t="s">
        <v>2410</v>
      </c>
      <c r="H880" s="47">
        <v>2505</v>
      </c>
      <c r="I880" s="324" t="s">
        <v>44</v>
      </c>
      <c r="J880" s="255" t="str">
        <f>IF(ISBLANK(INDEX('Policy Characteristics'!D:D,MATCH($C880,'Policy Characteristics'!$C:$C,0))),"",INDEX('Policy Characteristics'!D:D,MATCH($C880,'Policy Characteristics'!$C:$C,0)))</f>
        <v>Feedstock Shifting</v>
      </c>
      <c r="K880" s="254" t="str">
        <f>IF(ISBLANK(INDEX('Policy Characteristics'!E:E,MATCH($C880,'Policy Characteristics'!$C:$C,0))),"",INDEX('Policy Characteristics'!E:E,MATCH($C880,'Policy Characteristics'!$C:$C,0)))</f>
        <v>indst feedstock shifting</v>
      </c>
      <c r="L880" s="261">
        <f>IF(ISBLANK(INDEX('Policy Characteristics'!F:F,MATCH($C880,'Policy Characteristics'!$C:$C,0))),"",INDEX('Policy Characteristics'!F:F,MATCH($C880,'Policy Characteristics'!$C:$C,0)))</f>
        <v>0</v>
      </c>
      <c r="M880" s="261">
        <f>IF(ISBLANK(INDEX('Policy Characteristics'!G:G,MATCH($C880,'Policy Characteristics'!$C:$C,0))),"",INDEX('Policy Characteristics'!G:G,MATCH($C880,'Policy Characteristics'!$C:$C,0)))</f>
        <v>1</v>
      </c>
      <c r="N880" s="261">
        <f>IF(ISBLANK(INDEX('Policy Characteristics'!H:H,MATCH($C880,'Policy Characteristics'!$C:$C,0))),"",INDEX('Policy Characteristics'!H:H,MATCH($C880,'Policy Characteristics'!$C:$C,0)))</f>
        <v>0.01</v>
      </c>
      <c r="O880" s="254" t="str">
        <f>IF(ISBLANK(INDEX('Policy Characteristics'!I:I,MATCH($C880,'Policy Characteristics'!$C:$C,0))),"",INDEX('Policy Characteristics'!I:I,MATCH($C880,'Policy Characteristics'!$C:$C,0)))</f>
        <v>% of potential achieved</v>
      </c>
      <c r="P880" s="254"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4" t="str">
        <f>IF(ISBLANK(INDEX('Policy Characteristics'!K:K,MATCH($C880,'Policy Characteristics'!$C:$C,0))),"",INDEX('Policy Characteristics'!K:K,MATCH($C880,'Policy Characteristics'!$C:$C,0)))</f>
        <v/>
      </c>
      <c r="R880" s="254" t="str">
        <f>IF(ISBLANK(INDEX('Policy Characteristics'!L:L,MATCH($C880,'Policy Characteristics'!$C:$C,0))),"",INDEX('Policy Characteristics'!L:L,MATCH($C880,'Policy Characteristics'!$C:$C,0)))</f>
        <v/>
      </c>
    </row>
    <row r="881" spans="1:18" s="2" customFormat="1" x14ac:dyDescent="0.3">
      <c r="A881" s="254" t="str">
        <f>IF(ISBLANK(INDEX('Policy Characteristics'!A:A,MATCH($C881,'Policy Characteristics'!$C:$C,0))),"",INDEX('Policy Characteristics'!A:A,MATCH($C881,'Policy Characteristics'!$C:$C,0)))</f>
        <v>Industry</v>
      </c>
      <c r="B881" s="262" t="str">
        <f>IF(ISBLANK(INDEX('Policy Characteristics'!B:B,MATCH($C881,'Policy Characteristics'!$C:$C,0))),"",INDEX('Policy Characteristics'!B:B,MATCH($C881,'Policy Characteristics'!$C:$C,0)))</f>
        <v>Feedstock Shifting</v>
      </c>
      <c r="C881" s="254" t="str">
        <f t="shared" si="40"/>
        <v>Fraction of Feedstock Shifted</v>
      </c>
      <c r="D881" s="6" t="s">
        <v>3065</v>
      </c>
      <c r="E881" s="45" t="s">
        <v>2706</v>
      </c>
      <c r="F881" t="s">
        <v>3029</v>
      </c>
      <c r="G881" s="45" t="s">
        <v>2709</v>
      </c>
      <c r="H881" s="47">
        <v>2506</v>
      </c>
      <c r="I881" s="324" t="s">
        <v>44</v>
      </c>
      <c r="J881" s="255" t="str">
        <f>IF(ISBLANK(INDEX('Policy Characteristics'!D:D,MATCH($C881,'Policy Characteristics'!$C:$C,0))),"",INDEX('Policy Characteristics'!D:D,MATCH($C881,'Policy Characteristics'!$C:$C,0)))</f>
        <v>Feedstock Shifting</v>
      </c>
      <c r="K881" s="254" t="str">
        <f>IF(ISBLANK(INDEX('Policy Characteristics'!E:E,MATCH($C881,'Policy Characteristics'!$C:$C,0))),"",INDEX('Policy Characteristics'!E:E,MATCH($C881,'Policy Characteristics'!$C:$C,0)))</f>
        <v>indst feedstock shifting</v>
      </c>
      <c r="L881" s="261">
        <f>IF(ISBLANK(INDEX('Policy Characteristics'!F:F,MATCH($C881,'Policy Characteristics'!$C:$C,0))),"",INDEX('Policy Characteristics'!F:F,MATCH($C881,'Policy Characteristics'!$C:$C,0)))</f>
        <v>0</v>
      </c>
      <c r="M881" s="261">
        <f>IF(ISBLANK(INDEX('Policy Characteristics'!G:G,MATCH($C881,'Policy Characteristics'!$C:$C,0))),"",INDEX('Policy Characteristics'!G:G,MATCH($C881,'Policy Characteristics'!$C:$C,0)))</f>
        <v>1</v>
      </c>
      <c r="N881" s="261">
        <f>IF(ISBLANK(INDEX('Policy Characteristics'!H:H,MATCH($C881,'Policy Characteristics'!$C:$C,0))),"",INDEX('Policy Characteristics'!H:H,MATCH($C881,'Policy Characteristics'!$C:$C,0)))</f>
        <v>0.01</v>
      </c>
      <c r="O881" s="254" t="str">
        <f>IF(ISBLANK(INDEX('Policy Characteristics'!I:I,MATCH($C881,'Policy Characteristics'!$C:$C,0))),"",INDEX('Policy Characteristics'!I:I,MATCH($C881,'Policy Characteristics'!$C:$C,0)))</f>
        <v>% of potential achieved</v>
      </c>
      <c r="P881" s="254"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4" t="str">
        <f>IF(ISBLANK(INDEX('Policy Characteristics'!K:K,MATCH($C881,'Policy Characteristics'!$C:$C,0))),"",INDEX('Policy Characteristics'!K:K,MATCH($C881,'Policy Characteristics'!$C:$C,0)))</f>
        <v/>
      </c>
      <c r="R881" s="254" t="str">
        <f>IF(ISBLANK(INDEX('Policy Characteristics'!L:L,MATCH($C881,'Policy Characteristics'!$C:$C,0))),"",INDEX('Policy Characteristics'!L:L,MATCH($C881,'Policy Characteristics'!$C:$C,0)))</f>
        <v/>
      </c>
    </row>
    <row r="882" spans="1:18" s="2" customFormat="1" x14ac:dyDescent="0.3">
      <c r="A882" s="254" t="str">
        <f>IF(ISBLANK(INDEX('Policy Characteristics'!A:A,MATCH($C882,'Policy Characteristics'!$C:$C,0))),"",INDEX('Policy Characteristics'!A:A,MATCH($C882,'Policy Characteristics'!$C:$C,0)))</f>
        <v>Industry</v>
      </c>
      <c r="B882" s="262" t="str">
        <f>IF(ISBLANK(INDEX('Policy Characteristics'!B:B,MATCH($C882,'Policy Characteristics'!$C:$C,0))),"",INDEX('Policy Characteristics'!B:B,MATCH($C882,'Policy Characteristics'!$C:$C,0)))</f>
        <v>Feedstock Shifting</v>
      </c>
      <c r="C882" s="254" t="str">
        <f t="shared" si="40"/>
        <v>Fraction of Feedstock Shifted</v>
      </c>
      <c r="D882" s="6" t="s">
        <v>3065</v>
      </c>
      <c r="E882" s="45" t="s">
        <v>2707</v>
      </c>
      <c r="F882" t="s">
        <v>3029</v>
      </c>
      <c r="G882" s="45" t="s">
        <v>2711</v>
      </c>
      <c r="H882" s="47">
        <v>2507</v>
      </c>
      <c r="I882" s="324" t="s">
        <v>44</v>
      </c>
      <c r="J882" s="255" t="str">
        <f>IF(ISBLANK(INDEX('Policy Characteristics'!D:D,MATCH($C882,'Policy Characteristics'!$C:$C,0))),"",INDEX('Policy Characteristics'!D:D,MATCH($C882,'Policy Characteristics'!$C:$C,0)))</f>
        <v>Feedstock Shifting</v>
      </c>
      <c r="K882" s="254" t="str">
        <f>IF(ISBLANK(INDEX('Policy Characteristics'!E:E,MATCH($C882,'Policy Characteristics'!$C:$C,0))),"",INDEX('Policy Characteristics'!E:E,MATCH($C882,'Policy Characteristics'!$C:$C,0)))</f>
        <v>indst feedstock shifting</v>
      </c>
      <c r="L882" s="261">
        <f>IF(ISBLANK(INDEX('Policy Characteristics'!F:F,MATCH($C882,'Policy Characteristics'!$C:$C,0))),"",INDEX('Policy Characteristics'!F:F,MATCH($C882,'Policy Characteristics'!$C:$C,0)))</f>
        <v>0</v>
      </c>
      <c r="M882" s="261">
        <f>IF(ISBLANK(INDEX('Policy Characteristics'!G:G,MATCH($C882,'Policy Characteristics'!$C:$C,0))),"",INDEX('Policy Characteristics'!G:G,MATCH($C882,'Policy Characteristics'!$C:$C,0)))</f>
        <v>1</v>
      </c>
      <c r="N882" s="261">
        <f>IF(ISBLANK(INDEX('Policy Characteristics'!H:H,MATCH($C882,'Policy Characteristics'!$C:$C,0))),"",INDEX('Policy Characteristics'!H:H,MATCH($C882,'Policy Characteristics'!$C:$C,0)))</f>
        <v>0.01</v>
      </c>
      <c r="O882" s="254" t="str">
        <f>IF(ISBLANK(INDEX('Policy Characteristics'!I:I,MATCH($C882,'Policy Characteristics'!$C:$C,0))),"",INDEX('Policy Characteristics'!I:I,MATCH($C882,'Policy Characteristics'!$C:$C,0)))</f>
        <v>% of potential achieved</v>
      </c>
      <c r="P882" s="254"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4" t="str">
        <f>IF(ISBLANK(INDEX('Policy Characteristics'!K:K,MATCH($C882,'Policy Characteristics'!$C:$C,0))),"",INDEX('Policy Characteristics'!K:K,MATCH($C882,'Policy Characteristics'!$C:$C,0)))</f>
        <v/>
      </c>
      <c r="R882" s="254" t="str">
        <f>IF(ISBLANK(INDEX('Policy Characteristics'!L:L,MATCH($C882,'Policy Characteristics'!$C:$C,0))),"",INDEX('Policy Characteristics'!L:L,MATCH($C882,'Policy Characteristics'!$C:$C,0)))</f>
        <v/>
      </c>
    </row>
    <row r="883" spans="1:18" s="2" customFormat="1" x14ac:dyDescent="0.3">
      <c r="A883" s="254" t="str">
        <f>IF(ISBLANK(INDEX('Policy Characteristics'!A:A,MATCH($C883,'Policy Characteristics'!$C:$C,0))),"",INDEX('Policy Characteristics'!A:A,MATCH($C883,'Policy Characteristics'!$C:$C,0)))</f>
        <v>Industry</v>
      </c>
      <c r="B883" s="262" t="str">
        <f>IF(ISBLANK(INDEX('Policy Characteristics'!B:B,MATCH($C883,'Policy Characteristics'!$C:$C,0))),"",INDEX('Policy Characteristics'!B:B,MATCH($C883,'Policy Characteristics'!$C:$C,0)))</f>
        <v>Feedstock Shifting</v>
      </c>
      <c r="C883" s="254" t="str">
        <f t="shared" si="40"/>
        <v>Fraction of Feedstock Shifted</v>
      </c>
      <c r="D883" s="6" t="s">
        <v>3065</v>
      </c>
      <c r="E883" s="45" t="s">
        <v>2708</v>
      </c>
      <c r="F883" t="s">
        <v>3029</v>
      </c>
      <c r="G883" s="45" t="s">
        <v>2712</v>
      </c>
      <c r="H883" s="47">
        <v>2508</v>
      </c>
      <c r="I883" s="324" t="s">
        <v>44</v>
      </c>
      <c r="J883" s="255" t="str">
        <f>IF(ISBLANK(INDEX('Policy Characteristics'!D:D,MATCH($C883,'Policy Characteristics'!$C:$C,0))),"",INDEX('Policy Characteristics'!D:D,MATCH($C883,'Policy Characteristics'!$C:$C,0)))</f>
        <v>Feedstock Shifting</v>
      </c>
      <c r="K883" s="254" t="str">
        <f>IF(ISBLANK(INDEX('Policy Characteristics'!E:E,MATCH($C883,'Policy Characteristics'!$C:$C,0))),"",INDEX('Policy Characteristics'!E:E,MATCH($C883,'Policy Characteristics'!$C:$C,0)))</f>
        <v>indst feedstock shifting</v>
      </c>
      <c r="L883" s="261">
        <f>IF(ISBLANK(INDEX('Policy Characteristics'!F:F,MATCH($C883,'Policy Characteristics'!$C:$C,0))),"",INDEX('Policy Characteristics'!F:F,MATCH($C883,'Policy Characteristics'!$C:$C,0)))</f>
        <v>0</v>
      </c>
      <c r="M883" s="261">
        <f>IF(ISBLANK(INDEX('Policy Characteristics'!G:G,MATCH($C883,'Policy Characteristics'!$C:$C,0))),"",INDEX('Policy Characteristics'!G:G,MATCH($C883,'Policy Characteristics'!$C:$C,0)))</f>
        <v>1</v>
      </c>
      <c r="N883" s="261">
        <f>IF(ISBLANK(INDEX('Policy Characteristics'!H:H,MATCH($C883,'Policy Characteristics'!$C:$C,0))),"",INDEX('Policy Characteristics'!H:H,MATCH($C883,'Policy Characteristics'!$C:$C,0)))</f>
        <v>0.01</v>
      </c>
      <c r="O883" s="254" t="str">
        <f>IF(ISBLANK(INDEX('Policy Characteristics'!I:I,MATCH($C883,'Policy Characteristics'!$C:$C,0))),"",INDEX('Policy Characteristics'!I:I,MATCH($C883,'Policy Characteristics'!$C:$C,0)))</f>
        <v>% of potential achieved</v>
      </c>
      <c r="P883" s="254"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4" t="str">
        <f>IF(ISBLANK(INDEX('Policy Characteristics'!K:K,MATCH($C883,'Policy Characteristics'!$C:$C,0))),"",INDEX('Policy Characteristics'!K:K,MATCH($C883,'Policy Characteristics'!$C:$C,0)))</f>
        <v/>
      </c>
      <c r="R883" s="254" t="str">
        <f>IF(ISBLANK(INDEX('Policy Characteristics'!L:L,MATCH($C883,'Policy Characteristics'!$C:$C,0))),"",INDEX('Policy Characteristics'!L:L,MATCH($C883,'Policy Characteristics'!$C:$C,0)))</f>
        <v/>
      </c>
    </row>
    <row r="884" spans="1:18" s="2" customFormat="1" x14ac:dyDescent="0.3">
      <c r="A884" s="254" t="str">
        <f>IF(ISBLANK(INDEX('Policy Characteristics'!A:A,MATCH($C884,'Policy Characteristics'!$C:$C,0))),"",INDEX('Policy Characteristics'!A:A,MATCH($C884,'Policy Characteristics'!$C:$C,0)))</f>
        <v>Industry</v>
      </c>
      <c r="B884" s="262" t="str">
        <f>IF(ISBLANK(INDEX('Policy Characteristics'!B:B,MATCH($C884,'Policy Characteristics'!$C:$C,0))),"",INDEX('Policy Characteristics'!B:B,MATCH($C884,'Policy Characteristics'!$C:$C,0)))</f>
        <v>Feedstock Shifting</v>
      </c>
      <c r="C884" s="254" t="str">
        <f t="shared" si="40"/>
        <v>Fraction of Feedstock Shifted</v>
      </c>
      <c r="D884" s="6" t="s">
        <v>3065</v>
      </c>
      <c r="E884" s="45" t="s">
        <v>2705</v>
      </c>
      <c r="F884" t="s">
        <v>3029</v>
      </c>
      <c r="G884" s="45" t="s">
        <v>2710</v>
      </c>
      <c r="H884" s="47">
        <v>2509</v>
      </c>
      <c r="I884" s="324" t="s">
        <v>44</v>
      </c>
      <c r="J884" s="255" t="str">
        <f>IF(ISBLANK(INDEX('Policy Characteristics'!D:D,MATCH($C884,'Policy Characteristics'!$C:$C,0))),"",INDEX('Policy Characteristics'!D:D,MATCH($C884,'Policy Characteristics'!$C:$C,0)))</f>
        <v>Feedstock Shifting</v>
      </c>
      <c r="K884" s="254" t="str">
        <f>IF(ISBLANK(INDEX('Policy Characteristics'!E:E,MATCH($C884,'Policy Characteristics'!$C:$C,0))),"",INDEX('Policy Characteristics'!E:E,MATCH($C884,'Policy Characteristics'!$C:$C,0)))</f>
        <v>indst feedstock shifting</v>
      </c>
      <c r="L884" s="261">
        <f>IF(ISBLANK(INDEX('Policy Characteristics'!F:F,MATCH($C884,'Policy Characteristics'!$C:$C,0))),"",INDEX('Policy Characteristics'!F:F,MATCH($C884,'Policy Characteristics'!$C:$C,0)))</f>
        <v>0</v>
      </c>
      <c r="M884" s="261">
        <f>IF(ISBLANK(INDEX('Policy Characteristics'!G:G,MATCH($C884,'Policy Characteristics'!$C:$C,0))),"",INDEX('Policy Characteristics'!G:G,MATCH($C884,'Policy Characteristics'!$C:$C,0)))</f>
        <v>1</v>
      </c>
      <c r="N884" s="261">
        <f>IF(ISBLANK(INDEX('Policy Characteristics'!H:H,MATCH($C884,'Policy Characteristics'!$C:$C,0))),"",INDEX('Policy Characteristics'!H:H,MATCH($C884,'Policy Characteristics'!$C:$C,0)))</f>
        <v>0.01</v>
      </c>
      <c r="O884" s="254" t="str">
        <f>IF(ISBLANK(INDEX('Policy Characteristics'!I:I,MATCH($C884,'Policy Characteristics'!$C:$C,0))),"",INDEX('Policy Characteristics'!I:I,MATCH($C884,'Policy Characteristics'!$C:$C,0)))</f>
        <v>% of potential achieved</v>
      </c>
      <c r="P884" s="254"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4" t="str">
        <f>IF(ISBLANK(INDEX('Policy Characteristics'!K:K,MATCH($C884,'Policy Characteristics'!$C:$C,0))),"",INDEX('Policy Characteristics'!K:K,MATCH($C884,'Policy Characteristics'!$C:$C,0)))</f>
        <v/>
      </c>
      <c r="R884" s="254" t="str">
        <f>IF(ISBLANK(INDEX('Policy Characteristics'!L:L,MATCH($C884,'Policy Characteristics'!$C:$C,0))),"",INDEX('Policy Characteristics'!L:L,MATCH($C884,'Policy Characteristics'!$C:$C,0)))</f>
        <v/>
      </c>
    </row>
    <row r="885" spans="1:18" s="2" customFormat="1" x14ac:dyDescent="0.3">
      <c r="A885" s="254" t="str">
        <f>IF(ISBLANK(INDEX('Policy Characteristics'!A:A,MATCH($C885,'Policy Characteristics'!$C:$C,0))),"",INDEX('Policy Characteristics'!A:A,MATCH($C885,'Policy Characteristics'!$C:$C,0)))</f>
        <v>Industry</v>
      </c>
      <c r="B885" s="262" t="str">
        <f>IF(ISBLANK(INDEX('Policy Characteristics'!B:B,MATCH($C885,'Policy Characteristics'!$C:$C,0))),"",INDEX('Policy Characteristics'!B:B,MATCH($C885,'Policy Characteristics'!$C:$C,0)))</f>
        <v>Feedstock Shifting</v>
      </c>
      <c r="C885" s="254" t="str">
        <f t="shared" si="40"/>
        <v>Fraction of Feedstock Shifted</v>
      </c>
      <c r="D885" s="6" t="s">
        <v>3066</v>
      </c>
      <c r="E885" s="45" t="s">
        <v>2399</v>
      </c>
      <c r="F885" t="s">
        <v>3030</v>
      </c>
      <c r="G885" s="45" t="s">
        <v>2405</v>
      </c>
      <c r="H885" s="47">
        <v>2510</v>
      </c>
      <c r="I885" s="324" t="s">
        <v>44</v>
      </c>
      <c r="J885" s="255" t="str">
        <f>IF(ISBLANK(INDEX('Policy Characteristics'!D:D,MATCH($C885,'Policy Characteristics'!$C:$C,0))),"",INDEX('Policy Characteristics'!D:D,MATCH($C885,'Policy Characteristics'!$C:$C,0)))</f>
        <v>Feedstock Shifting</v>
      </c>
      <c r="K885" s="254" t="str">
        <f>IF(ISBLANK(INDEX('Policy Characteristics'!E:E,MATCH($C885,'Policy Characteristics'!$C:$C,0))),"",INDEX('Policy Characteristics'!E:E,MATCH($C885,'Policy Characteristics'!$C:$C,0)))</f>
        <v>indst feedstock shifting</v>
      </c>
      <c r="L885" s="261">
        <f>IF(ISBLANK(INDEX('Policy Characteristics'!F:F,MATCH($C885,'Policy Characteristics'!$C:$C,0))),"",INDEX('Policy Characteristics'!F:F,MATCH($C885,'Policy Characteristics'!$C:$C,0)))</f>
        <v>0</v>
      </c>
      <c r="M885" s="261">
        <f>IF(ISBLANK(INDEX('Policy Characteristics'!G:G,MATCH($C885,'Policy Characteristics'!$C:$C,0))),"",INDEX('Policy Characteristics'!G:G,MATCH($C885,'Policy Characteristics'!$C:$C,0)))</f>
        <v>1</v>
      </c>
      <c r="N885" s="261">
        <f>IF(ISBLANK(INDEX('Policy Characteristics'!H:H,MATCH($C885,'Policy Characteristics'!$C:$C,0))),"",INDEX('Policy Characteristics'!H:H,MATCH($C885,'Policy Characteristics'!$C:$C,0)))</f>
        <v>0.01</v>
      </c>
      <c r="O885" s="254" t="str">
        <f>IF(ISBLANK(INDEX('Policy Characteristics'!I:I,MATCH($C885,'Policy Characteristics'!$C:$C,0))),"",INDEX('Policy Characteristics'!I:I,MATCH($C885,'Policy Characteristics'!$C:$C,0)))</f>
        <v>% of potential achieved</v>
      </c>
      <c r="P885" s="254"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4" t="str">
        <f>IF(ISBLANK(INDEX('Policy Characteristics'!K:K,MATCH($C885,'Policy Characteristics'!$C:$C,0))),"",INDEX('Policy Characteristics'!K:K,MATCH($C885,'Policy Characteristics'!$C:$C,0)))</f>
        <v/>
      </c>
      <c r="R885" s="254" t="str">
        <f>IF(ISBLANK(INDEX('Policy Characteristics'!L:L,MATCH($C885,'Policy Characteristics'!$C:$C,0))),"",INDEX('Policy Characteristics'!L:L,MATCH($C885,'Policy Characteristics'!$C:$C,0)))</f>
        <v/>
      </c>
    </row>
    <row r="886" spans="1:18" s="2" customFormat="1" x14ac:dyDescent="0.3">
      <c r="A886" s="254" t="str">
        <f>IF(ISBLANK(INDEX('Policy Characteristics'!A:A,MATCH($C886,'Policy Characteristics'!$C:$C,0))),"",INDEX('Policy Characteristics'!A:A,MATCH($C886,'Policy Characteristics'!$C:$C,0)))</f>
        <v>Industry</v>
      </c>
      <c r="B886" s="262" t="str">
        <f>IF(ISBLANK(INDEX('Policy Characteristics'!B:B,MATCH($C886,'Policy Characteristics'!$C:$C,0))),"",INDEX('Policy Characteristics'!B:B,MATCH($C886,'Policy Characteristics'!$C:$C,0)))</f>
        <v>Feedstock Shifting</v>
      </c>
      <c r="C886" s="254" t="str">
        <f t="shared" si="40"/>
        <v>Fraction of Feedstock Shifted</v>
      </c>
      <c r="D886" s="6" t="s">
        <v>3066</v>
      </c>
      <c r="E886" s="45" t="s">
        <v>2400</v>
      </c>
      <c r="F886" t="s">
        <v>3030</v>
      </c>
      <c r="G886" s="45" t="s">
        <v>2408</v>
      </c>
      <c r="H886" s="47">
        <v>2511</v>
      </c>
      <c r="I886" s="324" t="s">
        <v>44</v>
      </c>
      <c r="J886" s="255" t="str">
        <f>IF(ISBLANK(INDEX('Policy Characteristics'!D:D,MATCH($C886,'Policy Characteristics'!$C:$C,0))),"",INDEX('Policy Characteristics'!D:D,MATCH($C886,'Policy Characteristics'!$C:$C,0)))</f>
        <v>Feedstock Shifting</v>
      </c>
      <c r="K886" s="254" t="str">
        <f>IF(ISBLANK(INDEX('Policy Characteristics'!E:E,MATCH($C886,'Policy Characteristics'!$C:$C,0))),"",INDEX('Policy Characteristics'!E:E,MATCH($C886,'Policy Characteristics'!$C:$C,0)))</f>
        <v>indst feedstock shifting</v>
      </c>
      <c r="L886" s="261">
        <f>IF(ISBLANK(INDEX('Policy Characteristics'!F:F,MATCH($C886,'Policy Characteristics'!$C:$C,0))),"",INDEX('Policy Characteristics'!F:F,MATCH($C886,'Policy Characteristics'!$C:$C,0)))</f>
        <v>0</v>
      </c>
      <c r="M886" s="261">
        <f>IF(ISBLANK(INDEX('Policy Characteristics'!G:G,MATCH($C886,'Policy Characteristics'!$C:$C,0))),"",INDEX('Policy Characteristics'!G:G,MATCH($C886,'Policy Characteristics'!$C:$C,0)))</f>
        <v>1</v>
      </c>
      <c r="N886" s="261">
        <f>IF(ISBLANK(INDEX('Policy Characteristics'!H:H,MATCH($C886,'Policy Characteristics'!$C:$C,0))),"",INDEX('Policy Characteristics'!H:H,MATCH($C886,'Policy Characteristics'!$C:$C,0)))</f>
        <v>0.01</v>
      </c>
      <c r="O886" s="254" t="str">
        <f>IF(ISBLANK(INDEX('Policy Characteristics'!I:I,MATCH($C886,'Policy Characteristics'!$C:$C,0))),"",INDEX('Policy Characteristics'!I:I,MATCH($C886,'Policy Characteristics'!$C:$C,0)))</f>
        <v>% of potential achieved</v>
      </c>
      <c r="P886" s="254"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4" t="str">
        <f>IF(ISBLANK(INDEX('Policy Characteristics'!K:K,MATCH($C886,'Policy Characteristics'!$C:$C,0))),"",INDEX('Policy Characteristics'!K:K,MATCH($C886,'Policy Characteristics'!$C:$C,0)))</f>
        <v/>
      </c>
      <c r="R886" s="254" t="str">
        <f>IF(ISBLANK(INDEX('Policy Characteristics'!L:L,MATCH($C886,'Policy Characteristics'!$C:$C,0))),"",INDEX('Policy Characteristics'!L:L,MATCH($C886,'Policy Characteristics'!$C:$C,0)))</f>
        <v/>
      </c>
    </row>
    <row r="887" spans="1:18" s="2" customFormat="1" x14ac:dyDescent="0.3">
      <c r="A887" s="254" t="str">
        <f>IF(ISBLANK(INDEX('Policy Characteristics'!A:A,MATCH($C887,'Policy Characteristics'!$C:$C,0))),"",INDEX('Policy Characteristics'!A:A,MATCH($C887,'Policy Characteristics'!$C:$C,0)))</f>
        <v>Industry</v>
      </c>
      <c r="B887" s="262" t="str">
        <f>IF(ISBLANK(INDEX('Policy Characteristics'!B:B,MATCH($C887,'Policy Characteristics'!$C:$C,0))),"",INDEX('Policy Characteristics'!B:B,MATCH($C887,'Policy Characteristics'!$C:$C,0)))</f>
        <v>Feedstock Shifting</v>
      </c>
      <c r="C887" s="254" t="str">
        <f t="shared" si="40"/>
        <v>Fraction of Feedstock Shifted</v>
      </c>
      <c r="D887" s="6" t="s">
        <v>3066</v>
      </c>
      <c r="E887" s="45" t="s">
        <v>2401</v>
      </c>
      <c r="F887" t="s">
        <v>3030</v>
      </c>
      <c r="G887" s="45" t="s">
        <v>2409</v>
      </c>
      <c r="H887" s="47">
        <v>2512</v>
      </c>
      <c r="I887" s="324" t="s">
        <v>44</v>
      </c>
      <c r="J887" s="255" t="str">
        <f>IF(ISBLANK(INDEX('Policy Characteristics'!D:D,MATCH($C887,'Policy Characteristics'!$C:$C,0))),"",INDEX('Policy Characteristics'!D:D,MATCH($C887,'Policy Characteristics'!$C:$C,0)))</f>
        <v>Feedstock Shifting</v>
      </c>
      <c r="K887" s="254" t="str">
        <f>IF(ISBLANK(INDEX('Policy Characteristics'!E:E,MATCH($C887,'Policy Characteristics'!$C:$C,0))),"",INDEX('Policy Characteristics'!E:E,MATCH($C887,'Policy Characteristics'!$C:$C,0)))</f>
        <v>indst feedstock shifting</v>
      </c>
      <c r="L887" s="261">
        <f>IF(ISBLANK(INDEX('Policy Characteristics'!F:F,MATCH($C887,'Policy Characteristics'!$C:$C,0))),"",INDEX('Policy Characteristics'!F:F,MATCH($C887,'Policy Characteristics'!$C:$C,0)))</f>
        <v>0</v>
      </c>
      <c r="M887" s="261">
        <f>IF(ISBLANK(INDEX('Policy Characteristics'!G:G,MATCH($C887,'Policy Characteristics'!$C:$C,0))),"",INDEX('Policy Characteristics'!G:G,MATCH($C887,'Policy Characteristics'!$C:$C,0)))</f>
        <v>1</v>
      </c>
      <c r="N887" s="261">
        <f>IF(ISBLANK(INDEX('Policy Characteristics'!H:H,MATCH($C887,'Policy Characteristics'!$C:$C,0))),"",INDEX('Policy Characteristics'!H:H,MATCH($C887,'Policy Characteristics'!$C:$C,0)))</f>
        <v>0.01</v>
      </c>
      <c r="O887" s="254" t="str">
        <f>IF(ISBLANK(INDEX('Policy Characteristics'!I:I,MATCH($C887,'Policy Characteristics'!$C:$C,0))),"",INDEX('Policy Characteristics'!I:I,MATCH($C887,'Policy Characteristics'!$C:$C,0)))</f>
        <v>% of potential achieved</v>
      </c>
      <c r="P887" s="254"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4" t="str">
        <f>IF(ISBLANK(INDEX('Policy Characteristics'!K:K,MATCH($C887,'Policy Characteristics'!$C:$C,0))),"",INDEX('Policy Characteristics'!K:K,MATCH($C887,'Policy Characteristics'!$C:$C,0)))</f>
        <v/>
      </c>
      <c r="R887" s="254" t="str">
        <f>IF(ISBLANK(INDEX('Policy Characteristics'!L:L,MATCH($C887,'Policy Characteristics'!$C:$C,0))),"",INDEX('Policy Characteristics'!L:L,MATCH($C887,'Policy Characteristics'!$C:$C,0)))</f>
        <v/>
      </c>
    </row>
    <row r="888" spans="1:18" s="2" customFormat="1" x14ac:dyDescent="0.3">
      <c r="A888" s="254" t="str">
        <f>IF(ISBLANK(INDEX('Policy Characteristics'!A:A,MATCH($C888,'Policy Characteristics'!$C:$C,0))),"",INDEX('Policy Characteristics'!A:A,MATCH($C888,'Policy Characteristics'!$C:$C,0)))</f>
        <v>Industry</v>
      </c>
      <c r="B888" s="262" t="str">
        <f>IF(ISBLANK(INDEX('Policy Characteristics'!B:B,MATCH($C888,'Policy Characteristics'!$C:$C,0))),"",INDEX('Policy Characteristics'!B:B,MATCH($C888,'Policy Characteristics'!$C:$C,0)))</f>
        <v>Feedstock Shifting</v>
      </c>
      <c r="C888" s="254" t="str">
        <f t="shared" si="40"/>
        <v>Fraction of Feedstock Shifted</v>
      </c>
      <c r="D888" s="6" t="s">
        <v>3066</v>
      </c>
      <c r="E888" s="45" t="s">
        <v>2402</v>
      </c>
      <c r="F888" t="s">
        <v>3030</v>
      </c>
      <c r="G888" s="45" t="s">
        <v>2406</v>
      </c>
      <c r="H888" s="47">
        <v>2513</v>
      </c>
      <c r="I888" s="324" t="s">
        <v>44</v>
      </c>
      <c r="J888" s="255" t="str">
        <f>IF(ISBLANK(INDEX('Policy Characteristics'!D:D,MATCH($C888,'Policy Characteristics'!$C:$C,0))),"",INDEX('Policy Characteristics'!D:D,MATCH($C888,'Policy Characteristics'!$C:$C,0)))</f>
        <v>Feedstock Shifting</v>
      </c>
      <c r="K888" s="254" t="str">
        <f>IF(ISBLANK(INDEX('Policy Characteristics'!E:E,MATCH($C888,'Policy Characteristics'!$C:$C,0))),"",INDEX('Policy Characteristics'!E:E,MATCH($C888,'Policy Characteristics'!$C:$C,0)))</f>
        <v>indst feedstock shifting</v>
      </c>
      <c r="L888" s="261">
        <f>IF(ISBLANK(INDEX('Policy Characteristics'!F:F,MATCH($C888,'Policy Characteristics'!$C:$C,0))),"",INDEX('Policy Characteristics'!F:F,MATCH($C888,'Policy Characteristics'!$C:$C,0)))</f>
        <v>0</v>
      </c>
      <c r="M888" s="261">
        <f>IF(ISBLANK(INDEX('Policy Characteristics'!G:G,MATCH($C888,'Policy Characteristics'!$C:$C,0))),"",INDEX('Policy Characteristics'!G:G,MATCH($C888,'Policy Characteristics'!$C:$C,0)))</f>
        <v>1</v>
      </c>
      <c r="N888" s="261">
        <f>IF(ISBLANK(INDEX('Policy Characteristics'!H:H,MATCH($C888,'Policy Characteristics'!$C:$C,0))),"",INDEX('Policy Characteristics'!H:H,MATCH($C888,'Policy Characteristics'!$C:$C,0)))</f>
        <v>0.01</v>
      </c>
      <c r="O888" s="254" t="str">
        <f>IF(ISBLANK(INDEX('Policy Characteristics'!I:I,MATCH($C888,'Policy Characteristics'!$C:$C,0))),"",INDEX('Policy Characteristics'!I:I,MATCH($C888,'Policy Characteristics'!$C:$C,0)))</f>
        <v>% of potential achieved</v>
      </c>
      <c r="P888" s="254"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4" t="str">
        <f>IF(ISBLANK(INDEX('Policy Characteristics'!K:K,MATCH($C888,'Policy Characteristics'!$C:$C,0))),"",INDEX('Policy Characteristics'!K:K,MATCH($C888,'Policy Characteristics'!$C:$C,0)))</f>
        <v/>
      </c>
      <c r="R888" s="254" t="str">
        <f>IF(ISBLANK(INDEX('Policy Characteristics'!L:L,MATCH($C888,'Policy Characteristics'!$C:$C,0))),"",INDEX('Policy Characteristics'!L:L,MATCH($C888,'Policy Characteristics'!$C:$C,0)))</f>
        <v/>
      </c>
    </row>
    <row r="889" spans="1:18" s="2" customFormat="1" x14ac:dyDescent="0.3">
      <c r="A889" s="254" t="str">
        <f>IF(ISBLANK(INDEX('Policy Characteristics'!A:A,MATCH($C889,'Policy Characteristics'!$C:$C,0))),"",INDEX('Policy Characteristics'!A:A,MATCH($C889,'Policy Characteristics'!$C:$C,0)))</f>
        <v>Industry</v>
      </c>
      <c r="B889" s="262" t="str">
        <f>IF(ISBLANK(INDEX('Policy Characteristics'!B:B,MATCH($C889,'Policy Characteristics'!$C:$C,0))),"",INDEX('Policy Characteristics'!B:B,MATCH($C889,'Policy Characteristics'!$C:$C,0)))</f>
        <v>Feedstock Shifting</v>
      </c>
      <c r="C889" s="254" t="str">
        <f t="shared" si="40"/>
        <v>Fraction of Feedstock Shifted</v>
      </c>
      <c r="D889" s="6" t="s">
        <v>3066</v>
      </c>
      <c r="E889" s="45" t="s">
        <v>2403</v>
      </c>
      <c r="F889" t="s">
        <v>3030</v>
      </c>
      <c r="G889" s="45" t="s">
        <v>2407</v>
      </c>
      <c r="H889" s="47">
        <v>2514</v>
      </c>
      <c r="I889" s="324" t="s">
        <v>44</v>
      </c>
      <c r="J889" s="255" t="str">
        <f>IF(ISBLANK(INDEX('Policy Characteristics'!D:D,MATCH($C889,'Policy Characteristics'!$C:$C,0))),"",INDEX('Policy Characteristics'!D:D,MATCH($C889,'Policy Characteristics'!$C:$C,0)))</f>
        <v>Feedstock Shifting</v>
      </c>
      <c r="K889" s="254" t="str">
        <f>IF(ISBLANK(INDEX('Policy Characteristics'!E:E,MATCH($C889,'Policy Characteristics'!$C:$C,0))),"",INDEX('Policy Characteristics'!E:E,MATCH($C889,'Policy Characteristics'!$C:$C,0)))</f>
        <v>indst feedstock shifting</v>
      </c>
      <c r="L889" s="261">
        <f>IF(ISBLANK(INDEX('Policy Characteristics'!F:F,MATCH($C889,'Policy Characteristics'!$C:$C,0))),"",INDEX('Policy Characteristics'!F:F,MATCH($C889,'Policy Characteristics'!$C:$C,0)))</f>
        <v>0</v>
      </c>
      <c r="M889" s="261">
        <f>IF(ISBLANK(INDEX('Policy Characteristics'!G:G,MATCH($C889,'Policy Characteristics'!$C:$C,0))),"",INDEX('Policy Characteristics'!G:G,MATCH($C889,'Policy Characteristics'!$C:$C,0)))</f>
        <v>1</v>
      </c>
      <c r="N889" s="261">
        <f>IF(ISBLANK(INDEX('Policy Characteristics'!H:H,MATCH($C889,'Policy Characteristics'!$C:$C,0))),"",INDEX('Policy Characteristics'!H:H,MATCH($C889,'Policy Characteristics'!$C:$C,0)))</f>
        <v>0.01</v>
      </c>
      <c r="O889" s="254" t="str">
        <f>IF(ISBLANK(INDEX('Policy Characteristics'!I:I,MATCH($C889,'Policy Characteristics'!$C:$C,0))),"",INDEX('Policy Characteristics'!I:I,MATCH($C889,'Policy Characteristics'!$C:$C,0)))</f>
        <v>% of potential achieved</v>
      </c>
      <c r="P889" s="254"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4" t="str">
        <f>IF(ISBLANK(INDEX('Policy Characteristics'!K:K,MATCH($C889,'Policy Characteristics'!$C:$C,0))),"",INDEX('Policy Characteristics'!K:K,MATCH($C889,'Policy Characteristics'!$C:$C,0)))</f>
        <v/>
      </c>
      <c r="R889" s="254" t="str">
        <f>IF(ISBLANK(INDEX('Policy Characteristics'!L:L,MATCH($C889,'Policy Characteristics'!$C:$C,0))),"",INDEX('Policy Characteristics'!L:L,MATCH($C889,'Policy Characteristics'!$C:$C,0)))</f>
        <v/>
      </c>
    </row>
    <row r="890" spans="1:18" s="2" customFormat="1" x14ac:dyDescent="0.3">
      <c r="A890" s="254" t="str">
        <f>IF(ISBLANK(INDEX('Policy Characteristics'!A:A,MATCH($C890,'Policy Characteristics'!$C:$C,0))),"",INDEX('Policy Characteristics'!A:A,MATCH($C890,'Policy Characteristics'!$C:$C,0)))</f>
        <v>Industry</v>
      </c>
      <c r="B890" s="262" t="str">
        <f>IF(ISBLANK(INDEX('Policy Characteristics'!B:B,MATCH($C890,'Policy Characteristics'!$C:$C,0))),"",INDEX('Policy Characteristics'!B:B,MATCH($C890,'Policy Characteristics'!$C:$C,0)))</f>
        <v>Feedstock Shifting</v>
      </c>
      <c r="C890" s="254" t="str">
        <f t="shared" si="40"/>
        <v>Fraction of Feedstock Shifted</v>
      </c>
      <c r="D890" s="6" t="s">
        <v>3066</v>
      </c>
      <c r="E890" s="45" t="s">
        <v>2404</v>
      </c>
      <c r="F890" t="s">
        <v>3030</v>
      </c>
      <c r="G890" s="45" t="s">
        <v>2410</v>
      </c>
      <c r="H890" s="47">
        <v>2515</v>
      </c>
      <c r="I890" s="324" t="s">
        <v>44</v>
      </c>
      <c r="J890" s="255" t="str">
        <f>IF(ISBLANK(INDEX('Policy Characteristics'!D:D,MATCH($C890,'Policy Characteristics'!$C:$C,0))),"",INDEX('Policy Characteristics'!D:D,MATCH($C890,'Policy Characteristics'!$C:$C,0)))</f>
        <v>Feedstock Shifting</v>
      </c>
      <c r="K890" s="254" t="str">
        <f>IF(ISBLANK(INDEX('Policy Characteristics'!E:E,MATCH($C890,'Policy Characteristics'!$C:$C,0))),"",INDEX('Policy Characteristics'!E:E,MATCH($C890,'Policy Characteristics'!$C:$C,0)))</f>
        <v>indst feedstock shifting</v>
      </c>
      <c r="L890" s="261">
        <f>IF(ISBLANK(INDEX('Policy Characteristics'!F:F,MATCH($C890,'Policy Characteristics'!$C:$C,0))),"",INDEX('Policy Characteristics'!F:F,MATCH($C890,'Policy Characteristics'!$C:$C,0)))</f>
        <v>0</v>
      </c>
      <c r="M890" s="261">
        <f>IF(ISBLANK(INDEX('Policy Characteristics'!G:G,MATCH($C890,'Policy Characteristics'!$C:$C,0))),"",INDEX('Policy Characteristics'!G:G,MATCH($C890,'Policy Characteristics'!$C:$C,0)))</f>
        <v>1</v>
      </c>
      <c r="N890" s="261">
        <f>IF(ISBLANK(INDEX('Policy Characteristics'!H:H,MATCH($C890,'Policy Characteristics'!$C:$C,0))),"",INDEX('Policy Characteristics'!H:H,MATCH($C890,'Policy Characteristics'!$C:$C,0)))</f>
        <v>0.01</v>
      </c>
      <c r="O890" s="254" t="str">
        <f>IF(ISBLANK(INDEX('Policy Characteristics'!I:I,MATCH($C890,'Policy Characteristics'!$C:$C,0))),"",INDEX('Policy Characteristics'!I:I,MATCH($C890,'Policy Characteristics'!$C:$C,0)))</f>
        <v>% of potential achieved</v>
      </c>
      <c r="P890" s="254"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4" t="str">
        <f>IF(ISBLANK(INDEX('Policy Characteristics'!K:K,MATCH($C890,'Policy Characteristics'!$C:$C,0))),"",INDEX('Policy Characteristics'!K:K,MATCH($C890,'Policy Characteristics'!$C:$C,0)))</f>
        <v/>
      </c>
      <c r="R890" s="254" t="str">
        <f>IF(ISBLANK(INDEX('Policy Characteristics'!L:L,MATCH($C890,'Policy Characteristics'!$C:$C,0))),"",INDEX('Policy Characteristics'!L:L,MATCH($C890,'Policy Characteristics'!$C:$C,0)))</f>
        <v/>
      </c>
    </row>
    <row r="891" spans="1:18" s="2" customFormat="1" x14ac:dyDescent="0.3">
      <c r="A891" s="254" t="str">
        <f>IF(ISBLANK(INDEX('Policy Characteristics'!A:A,MATCH($C891,'Policy Characteristics'!$C:$C,0))),"",INDEX('Policy Characteristics'!A:A,MATCH($C891,'Policy Characteristics'!$C:$C,0)))</f>
        <v>Industry</v>
      </c>
      <c r="B891" s="262" t="str">
        <f>IF(ISBLANK(INDEX('Policy Characteristics'!B:B,MATCH($C891,'Policy Characteristics'!$C:$C,0))),"",INDEX('Policy Characteristics'!B:B,MATCH($C891,'Policy Characteristics'!$C:$C,0)))</f>
        <v>Feedstock Shifting</v>
      </c>
      <c r="C891" s="254" t="str">
        <f t="shared" si="40"/>
        <v>Fraction of Feedstock Shifted</v>
      </c>
      <c r="D891" s="6" t="s">
        <v>3066</v>
      </c>
      <c r="E891" s="45" t="s">
        <v>2706</v>
      </c>
      <c r="F891" t="s">
        <v>3030</v>
      </c>
      <c r="G891" s="45" t="s">
        <v>2709</v>
      </c>
      <c r="H891" s="47">
        <v>2516</v>
      </c>
      <c r="I891" s="324" t="s">
        <v>44</v>
      </c>
      <c r="J891" s="255" t="str">
        <f>IF(ISBLANK(INDEX('Policy Characteristics'!D:D,MATCH($C891,'Policy Characteristics'!$C:$C,0))),"",INDEX('Policy Characteristics'!D:D,MATCH($C891,'Policy Characteristics'!$C:$C,0)))</f>
        <v>Feedstock Shifting</v>
      </c>
      <c r="K891" s="254" t="str">
        <f>IF(ISBLANK(INDEX('Policy Characteristics'!E:E,MATCH($C891,'Policy Characteristics'!$C:$C,0))),"",INDEX('Policy Characteristics'!E:E,MATCH($C891,'Policy Characteristics'!$C:$C,0)))</f>
        <v>indst feedstock shifting</v>
      </c>
      <c r="L891" s="261">
        <f>IF(ISBLANK(INDEX('Policy Characteristics'!F:F,MATCH($C891,'Policy Characteristics'!$C:$C,0))),"",INDEX('Policy Characteristics'!F:F,MATCH($C891,'Policy Characteristics'!$C:$C,0)))</f>
        <v>0</v>
      </c>
      <c r="M891" s="261">
        <f>IF(ISBLANK(INDEX('Policy Characteristics'!G:G,MATCH($C891,'Policy Characteristics'!$C:$C,0))),"",INDEX('Policy Characteristics'!G:G,MATCH($C891,'Policy Characteristics'!$C:$C,0)))</f>
        <v>1</v>
      </c>
      <c r="N891" s="261">
        <f>IF(ISBLANK(INDEX('Policy Characteristics'!H:H,MATCH($C891,'Policy Characteristics'!$C:$C,0))),"",INDEX('Policy Characteristics'!H:H,MATCH($C891,'Policy Characteristics'!$C:$C,0)))</f>
        <v>0.01</v>
      </c>
      <c r="O891" s="254" t="str">
        <f>IF(ISBLANK(INDEX('Policy Characteristics'!I:I,MATCH($C891,'Policy Characteristics'!$C:$C,0))),"",INDEX('Policy Characteristics'!I:I,MATCH($C891,'Policy Characteristics'!$C:$C,0)))</f>
        <v>% of potential achieved</v>
      </c>
      <c r="P891" s="254"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4" t="str">
        <f>IF(ISBLANK(INDEX('Policy Characteristics'!K:K,MATCH($C891,'Policy Characteristics'!$C:$C,0))),"",INDEX('Policy Characteristics'!K:K,MATCH($C891,'Policy Characteristics'!$C:$C,0)))</f>
        <v/>
      </c>
      <c r="R891" s="254" t="str">
        <f>IF(ISBLANK(INDEX('Policy Characteristics'!L:L,MATCH($C891,'Policy Characteristics'!$C:$C,0))),"",INDEX('Policy Characteristics'!L:L,MATCH($C891,'Policy Characteristics'!$C:$C,0)))</f>
        <v/>
      </c>
    </row>
    <row r="892" spans="1:18" s="2" customFormat="1" x14ac:dyDescent="0.3">
      <c r="A892" s="254" t="str">
        <f>IF(ISBLANK(INDEX('Policy Characteristics'!A:A,MATCH($C892,'Policy Characteristics'!$C:$C,0))),"",INDEX('Policy Characteristics'!A:A,MATCH($C892,'Policy Characteristics'!$C:$C,0)))</f>
        <v>Industry</v>
      </c>
      <c r="B892" s="262" t="str">
        <f>IF(ISBLANK(INDEX('Policy Characteristics'!B:B,MATCH($C892,'Policy Characteristics'!$C:$C,0))),"",INDEX('Policy Characteristics'!B:B,MATCH($C892,'Policy Characteristics'!$C:$C,0)))</f>
        <v>Feedstock Shifting</v>
      </c>
      <c r="C892" s="254" t="str">
        <f t="shared" si="40"/>
        <v>Fraction of Feedstock Shifted</v>
      </c>
      <c r="D892" s="6" t="s">
        <v>3066</v>
      </c>
      <c r="E892" s="45" t="s">
        <v>2707</v>
      </c>
      <c r="F892" t="s">
        <v>3030</v>
      </c>
      <c r="G892" s="45" t="s">
        <v>2711</v>
      </c>
      <c r="H892" s="47">
        <v>2517</v>
      </c>
      <c r="I892" s="324" t="s">
        <v>44</v>
      </c>
      <c r="J892" s="255" t="str">
        <f>IF(ISBLANK(INDEX('Policy Characteristics'!D:D,MATCH($C892,'Policy Characteristics'!$C:$C,0))),"",INDEX('Policy Characteristics'!D:D,MATCH($C892,'Policy Characteristics'!$C:$C,0)))</f>
        <v>Feedstock Shifting</v>
      </c>
      <c r="K892" s="254" t="str">
        <f>IF(ISBLANK(INDEX('Policy Characteristics'!E:E,MATCH($C892,'Policy Characteristics'!$C:$C,0))),"",INDEX('Policy Characteristics'!E:E,MATCH($C892,'Policy Characteristics'!$C:$C,0)))</f>
        <v>indst feedstock shifting</v>
      </c>
      <c r="L892" s="261">
        <f>IF(ISBLANK(INDEX('Policy Characteristics'!F:F,MATCH($C892,'Policy Characteristics'!$C:$C,0))),"",INDEX('Policy Characteristics'!F:F,MATCH($C892,'Policy Characteristics'!$C:$C,0)))</f>
        <v>0</v>
      </c>
      <c r="M892" s="261">
        <f>IF(ISBLANK(INDEX('Policy Characteristics'!G:G,MATCH($C892,'Policy Characteristics'!$C:$C,0))),"",INDEX('Policy Characteristics'!G:G,MATCH($C892,'Policy Characteristics'!$C:$C,0)))</f>
        <v>1</v>
      </c>
      <c r="N892" s="261">
        <f>IF(ISBLANK(INDEX('Policy Characteristics'!H:H,MATCH($C892,'Policy Characteristics'!$C:$C,0))),"",INDEX('Policy Characteristics'!H:H,MATCH($C892,'Policy Characteristics'!$C:$C,0)))</f>
        <v>0.01</v>
      </c>
      <c r="O892" s="254" t="str">
        <f>IF(ISBLANK(INDEX('Policy Characteristics'!I:I,MATCH($C892,'Policy Characteristics'!$C:$C,0))),"",INDEX('Policy Characteristics'!I:I,MATCH($C892,'Policy Characteristics'!$C:$C,0)))</f>
        <v>% of potential achieved</v>
      </c>
      <c r="P892" s="254"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4" t="str">
        <f>IF(ISBLANK(INDEX('Policy Characteristics'!K:K,MATCH($C892,'Policy Characteristics'!$C:$C,0))),"",INDEX('Policy Characteristics'!K:K,MATCH($C892,'Policy Characteristics'!$C:$C,0)))</f>
        <v/>
      </c>
      <c r="R892" s="254" t="str">
        <f>IF(ISBLANK(INDEX('Policy Characteristics'!L:L,MATCH($C892,'Policy Characteristics'!$C:$C,0))),"",INDEX('Policy Characteristics'!L:L,MATCH($C892,'Policy Characteristics'!$C:$C,0)))</f>
        <v/>
      </c>
    </row>
    <row r="893" spans="1:18" s="2" customFormat="1" x14ac:dyDescent="0.3">
      <c r="A893" s="254" t="str">
        <f>IF(ISBLANK(INDEX('Policy Characteristics'!A:A,MATCH($C893,'Policy Characteristics'!$C:$C,0))),"",INDEX('Policy Characteristics'!A:A,MATCH($C893,'Policy Characteristics'!$C:$C,0)))</f>
        <v>Industry</v>
      </c>
      <c r="B893" s="262" t="str">
        <f>IF(ISBLANK(INDEX('Policy Characteristics'!B:B,MATCH($C893,'Policy Characteristics'!$C:$C,0))),"",INDEX('Policy Characteristics'!B:B,MATCH($C893,'Policy Characteristics'!$C:$C,0)))</f>
        <v>Feedstock Shifting</v>
      </c>
      <c r="C893" s="254" t="str">
        <f t="shared" si="40"/>
        <v>Fraction of Feedstock Shifted</v>
      </c>
      <c r="D893" s="6" t="s">
        <v>3066</v>
      </c>
      <c r="E893" s="45" t="s">
        <v>2708</v>
      </c>
      <c r="F893" t="s">
        <v>3030</v>
      </c>
      <c r="G893" s="45" t="s">
        <v>2712</v>
      </c>
      <c r="H893" s="47">
        <v>2518</v>
      </c>
      <c r="I893" s="324" t="s">
        <v>44</v>
      </c>
      <c r="J893" s="255" t="str">
        <f>IF(ISBLANK(INDEX('Policy Characteristics'!D:D,MATCH($C893,'Policy Characteristics'!$C:$C,0))),"",INDEX('Policy Characteristics'!D:D,MATCH($C893,'Policy Characteristics'!$C:$C,0)))</f>
        <v>Feedstock Shifting</v>
      </c>
      <c r="K893" s="254" t="str">
        <f>IF(ISBLANK(INDEX('Policy Characteristics'!E:E,MATCH($C893,'Policy Characteristics'!$C:$C,0))),"",INDEX('Policy Characteristics'!E:E,MATCH($C893,'Policy Characteristics'!$C:$C,0)))</f>
        <v>indst feedstock shifting</v>
      </c>
      <c r="L893" s="261">
        <f>IF(ISBLANK(INDEX('Policy Characteristics'!F:F,MATCH($C893,'Policy Characteristics'!$C:$C,0))),"",INDEX('Policy Characteristics'!F:F,MATCH($C893,'Policy Characteristics'!$C:$C,0)))</f>
        <v>0</v>
      </c>
      <c r="M893" s="261">
        <f>IF(ISBLANK(INDEX('Policy Characteristics'!G:G,MATCH($C893,'Policy Characteristics'!$C:$C,0))),"",INDEX('Policy Characteristics'!G:G,MATCH($C893,'Policy Characteristics'!$C:$C,0)))</f>
        <v>1</v>
      </c>
      <c r="N893" s="261">
        <f>IF(ISBLANK(INDEX('Policy Characteristics'!H:H,MATCH($C893,'Policy Characteristics'!$C:$C,0))),"",INDEX('Policy Characteristics'!H:H,MATCH($C893,'Policy Characteristics'!$C:$C,0)))</f>
        <v>0.01</v>
      </c>
      <c r="O893" s="254" t="str">
        <f>IF(ISBLANK(INDEX('Policy Characteristics'!I:I,MATCH($C893,'Policy Characteristics'!$C:$C,0))),"",INDEX('Policy Characteristics'!I:I,MATCH($C893,'Policy Characteristics'!$C:$C,0)))</f>
        <v>% of potential achieved</v>
      </c>
      <c r="P893" s="254"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4" t="str">
        <f>IF(ISBLANK(INDEX('Policy Characteristics'!K:K,MATCH($C893,'Policy Characteristics'!$C:$C,0))),"",INDEX('Policy Characteristics'!K:K,MATCH($C893,'Policy Characteristics'!$C:$C,0)))</f>
        <v/>
      </c>
      <c r="R893" s="254" t="str">
        <f>IF(ISBLANK(INDEX('Policy Characteristics'!L:L,MATCH($C893,'Policy Characteristics'!$C:$C,0))),"",INDEX('Policy Characteristics'!L:L,MATCH($C893,'Policy Characteristics'!$C:$C,0)))</f>
        <v/>
      </c>
    </row>
    <row r="894" spans="1:18" s="2" customFormat="1" x14ac:dyDescent="0.3">
      <c r="A894" s="254" t="str">
        <f>IF(ISBLANK(INDEX('Policy Characteristics'!A:A,MATCH($C894,'Policy Characteristics'!$C:$C,0))),"",INDEX('Policy Characteristics'!A:A,MATCH($C894,'Policy Characteristics'!$C:$C,0)))</f>
        <v>Industry</v>
      </c>
      <c r="B894" s="262" t="str">
        <f>IF(ISBLANK(INDEX('Policy Characteristics'!B:B,MATCH($C894,'Policy Characteristics'!$C:$C,0))),"",INDEX('Policy Characteristics'!B:B,MATCH($C894,'Policy Characteristics'!$C:$C,0)))</f>
        <v>Feedstock Shifting</v>
      </c>
      <c r="C894" s="254" t="str">
        <f t="shared" si="40"/>
        <v>Fraction of Feedstock Shifted</v>
      </c>
      <c r="D894" s="6" t="s">
        <v>3066</v>
      </c>
      <c r="E894" s="45" t="s">
        <v>2705</v>
      </c>
      <c r="F894" t="s">
        <v>3030</v>
      </c>
      <c r="G894" s="45" t="s">
        <v>2710</v>
      </c>
      <c r="H894" s="47">
        <v>2519</v>
      </c>
      <c r="I894" s="324" t="s">
        <v>44</v>
      </c>
      <c r="J894" s="255" t="str">
        <f>IF(ISBLANK(INDEX('Policy Characteristics'!D:D,MATCH($C894,'Policy Characteristics'!$C:$C,0))),"",INDEX('Policy Characteristics'!D:D,MATCH($C894,'Policy Characteristics'!$C:$C,0)))</f>
        <v>Feedstock Shifting</v>
      </c>
      <c r="K894" s="254" t="str">
        <f>IF(ISBLANK(INDEX('Policy Characteristics'!E:E,MATCH($C894,'Policy Characteristics'!$C:$C,0))),"",INDEX('Policy Characteristics'!E:E,MATCH($C894,'Policy Characteristics'!$C:$C,0)))</f>
        <v>indst feedstock shifting</v>
      </c>
      <c r="L894" s="261">
        <f>IF(ISBLANK(INDEX('Policy Characteristics'!F:F,MATCH($C894,'Policy Characteristics'!$C:$C,0))),"",INDEX('Policy Characteristics'!F:F,MATCH($C894,'Policy Characteristics'!$C:$C,0)))</f>
        <v>0</v>
      </c>
      <c r="M894" s="261">
        <f>IF(ISBLANK(INDEX('Policy Characteristics'!G:G,MATCH($C894,'Policy Characteristics'!$C:$C,0))),"",INDEX('Policy Characteristics'!G:G,MATCH($C894,'Policy Characteristics'!$C:$C,0)))</f>
        <v>1</v>
      </c>
      <c r="N894" s="261">
        <f>IF(ISBLANK(INDEX('Policy Characteristics'!H:H,MATCH($C894,'Policy Characteristics'!$C:$C,0))),"",INDEX('Policy Characteristics'!H:H,MATCH($C894,'Policy Characteristics'!$C:$C,0)))</f>
        <v>0.01</v>
      </c>
      <c r="O894" s="254" t="str">
        <f>IF(ISBLANK(INDEX('Policy Characteristics'!I:I,MATCH($C894,'Policy Characteristics'!$C:$C,0))),"",INDEX('Policy Characteristics'!I:I,MATCH($C894,'Policy Characteristics'!$C:$C,0)))</f>
        <v>% of potential achieved</v>
      </c>
      <c r="P894" s="254"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4" t="str">
        <f>IF(ISBLANK(INDEX('Policy Characteristics'!K:K,MATCH($C894,'Policy Characteristics'!$C:$C,0))),"",INDEX('Policy Characteristics'!K:K,MATCH($C894,'Policy Characteristics'!$C:$C,0)))</f>
        <v/>
      </c>
      <c r="R894" s="254" t="str">
        <f>IF(ISBLANK(INDEX('Policy Characteristics'!L:L,MATCH($C894,'Policy Characteristics'!$C:$C,0))),"",INDEX('Policy Characteristics'!L:L,MATCH($C894,'Policy Characteristics'!$C:$C,0)))</f>
        <v/>
      </c>
    </row>
    <row r="895" spans="1:18" s="2" customFormat="1" x14ac:dyDescent="0.3">
      <c r="A895" s="254" t="str">
        <f>IF(ISBLANK(INDEX('Policy Characteristics'!A:A,MATCH($C895,'Policy Characteristics'!$C:$C,0))),"",INDEX('Policy Characteristics'!A:A,MATCH($C895,'Policy Characteristics'!$C:$C,0)))</f>
        <v>Industry</v>
      </c>
      <c r="B895" s="262" t="str">
        <f>IF(ISBLANK(INDEX('Policy Characteristics'!B:B,MATCH($C895,'Policy Characteristics'!$C:$C,0))),"",INDEX('Policy Characteristics'!B:B,MATCH($C895,'Policy Characteristics'!$C:$C,0)))</f>
        <v>Feedstock Shifting</v>
      </c>
      <c r="C895" s="254" t="str">
        <f t="shared" si="40"/>
        <v>Fraction of Feedstock Shifted</v>
      </c>
      <c r="D895" s="6" t="s">
        <v>3067</v>
      </c>
      <c r="E895" s="45" t="s">
        <v>2399</v>
      </c>
      <c r="F895" t="s">
        <v>3031</v>
      </c>
      <c r="G895" s="45" t="s">
        <v>2405</v>
      </c>
      <c r="H895" s="47">
        <v>2520</v>
      </c>
      <c r="I895" s="324" t="s">
        <v>44</v>
      </c>
      <c r="J895" s="255" t="str">
        <f>IF(ISBLANK(INDEX('Policy Characteristics'!D:D,MATCH($C895,'Policy Characteristics'!$C:$C,0))),"",INDEX('Policy Characteristics'!D:D,MATCH($C895,'Policy Characteristics'!$C:$C,0)))</f>
        <v>Feedstock Shifting</v>
      </c>
      <c r="K895" s="254" t="str">
        <f>IF(ISBLANK(INDEX('Policy Characteristics'!E:E,MATCH($C895,'Policy Characteristics'!$C:$C,0))),"",INDEX('Policy Characteristics'!E:E,MATCH($C895,'Policy Characteristics'!$C:$C,0)))</f>
        <v>indst feedstock shifting</v>
      </c>
      <c r="L895" s="261">
        <f>IF(ISBLANK(INDEX('Policy Characteristics'!F:F,MATCH($C895,'Policy Characteristics'!$C:$C,0))),"",INDEX('Policy Characteristics'!F:F,MATCH($C895,'Policy Characteristics'!$C:$C,0)))</f>
        <v>0</v>
      </c>
      <c r="M895" s="261">
        <f>IF(ISBLANK(INDEX('Policy Characteristics'!G:G,MATCH($C895,'Policy Characteristics'!$C:$C,0))),"",INDEX('Policy Characteristics'!G:G,MATCH($C895,'Policy Characteristics'!$C:$C,0)))</f>
        <v>1</v>
      </c>
      <c r="N895" s="261">
        <f>IF(ISBLANK(INDEX('Policy Characteristics'!H:H,MATCH($C895,'Policy Characteristics'!$C:$C,0))),"",INDEX('Policy Characteristics'!H:H,MATCH($C895,'Policy Characteristics'!$C:$C,0)))</f>
        <v>0.01</v>
      </c>
      <c r="O895" s="254" t="str">
        <f>IF(ISBLANK(INDEX('Policy Characteristics'!I:I,MATCH($C895,'Policy Characteristics'!$C:$C,0))),"",INDEX('Policy Characteristics'!I:I,MATCH($C895,'Policy Characteristics'!$C:$C,0)))</f>
        <v>% of potential achieved</v>
      </c>
      <c r="P895" s="254"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4" t="str">
        <f>IF(ISBLANK(INDEX('Policy Characteristics'!K:K,MATCH($C895,'Policy Characteristics'!$C:$C,0))),"",INDEX('Policy Characteristics'!K:K,MATCH($C895,'Policy Characteristics'!$C:$C,0)))</f>
        <v/>
      </c>
      <c r="R895" s="254" t="str">
        <f>IF(ISBLANK(INDEX('Policy Characteristics'!L:L,MATCH($C895,'Policy Characteristics'!$C:$C,0))),"",INDEX('Policy Characteristics'!L:L,MATCH($C895,'Policy Characteristics'!$C:$C,0)))</f>
        <v/>
      </c>
    </row>
    <row r="896" spans="1:18" s="2" customFormat="1" x14ac:dyDescent="0.3">
      <c r="A896" s="254" t="str">
        <f>IF(ISBLANK(INDEX('Policy Characteristics'!A:A,MATCH($C896,'Policy Characteristics'!$C:$C,0))),"",INDEX('Policy Characteristics'!A:A,MATCH($C896,'Policy Characteristics'!$C:$C,0)))</f>
        <v>Industry</v>
      </c>
      <c r="B896" s="262" t="str">
        <f>IF(ISBLANK(INDEX('Policy Characteristics'!B:B,MATCH($C896,'Policy Characteristics'!$C:$C,0))),"",INDEX('Policy Characteristics'!B:B,MATCH($C896,'Policy Characteristics'!$C:$C,0)))</f>
        <v>Feedstock Shifting</v>
      </c>
      <c r="C896" s="254" t="str">
        <f t="shared" si="40"/>
        <v>Fraction of Feedstock Shifted</v>
      </c>
      <c r="D896" s="6" t="s">
        <v>3067</v>
      </c>
      <c r="E896" s="45" t="s">
        <v>2400</v>
      </c>
      <c r="F896" t="s">
        <v>3031</v>
      </c>
      <c r="G896" s="45" t="s">
        <v>2408</v>
      </c>
      <c r="H896" s="47">
        <v>2521</v>
      </c>
      <c r="I896" s="324" t="s">
        <v>44</v>
      </c>
      <c r="J896" s="255" t="str">
        <f>IF(ISBLANK(INDEX('Policy Characteristics'!D:D,MATCH($C896,'Policy Characteristics'!$C:$C,0))),"",INDEX('Policy Characteristics'!D:D,MATCH($C896,'Policy Characteristics'!$C:$C,0)))</f>
        <v>Feedstock Shifting</v>
      </c>
      <c r="K896" s="254" t="str">
        <f>IF(ISBLANK(INDEX('Policy Characteristics'!E:E,MATCH($C896,'Policy Characteristics'!$C:$C,0))),"",INDEX('Policy Characteristics'!E:E,MATCH($C896,'Policy Characteristics'!$C:$C,0)))</f>
        <v>indst feedstock shifting</v>
      </c>
      <c r="L896" s="261">
        <f>IF(ISBLANK(INDEX('Policy Characteristics'!F:F,MATCH($C896,'Policy Characteristics'!$C:$C,0))),"",INDEX('Policy Characteristics'!F:F,MATCH($C896,'Policy Characteristics'!$C:$C,0)))</f>
        <v>0</v>
      </c>
      <c r="M896" s="261">
        <f>IF(ISBLANK(INDEX('Policy Characteristics'!G:G,MATCH($C896,'Policy Characteristics'!$C:$C,0))),"",INDEX('Policy Characteristics'!G:G,MATCH($C896,'Policy Characteristics'!$C:$C,0)))</f>
        <v>1</v>
      </c>
      <c r="N896" s="261">
        <f>IF(ISBLANK(INDEX('Policy Characteristics'!H:H,MATCH($C896,'Policy Characteristics'!$C:$C,0))),"",INDEX('Policy Characteristics'!H:H,MATCH($C896,'Policy Characteristics'!$C:$C,0)))</f>
        <v>0.01</v>
      </c>
      <c r="O896" s="254" t="str">
        <f>IF(ISBLANK(INDEX('Policy Characteristics'!I:I,MATCH($C896,'Policy Characteristics'!$C:$C,0))),"",INDEX('Policy Characteristics'!I:I,MATCH($C896,'Policy Characteristics'!$C:$C,0)))</f>
        <v>% of potential achieved</v>
      </c>
      <c r="P896" s="254"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4" t="str">
        <f>IF(ISBLANK(INDEX('Policy Characteristics'!K:K,MATCH($C896,'Policy Characteristics'!$C:$C,0))),"",INDEX('Policy Characteristics'!K:K,MATCH($C896,'Policy Characteristics'!$C:$C,0)))</f>
        <v/>
      </c>
      <c r="R896" s="254" t="str">
        <f>IF(ISBLANK(INDEX('Policy Characteristics'!L:L,MATCH($C896,'Policy Characteristics'!$C:$C,0))),"",INDEX('Policy Characteristics'!L:L,MATCH($C896,'Policy Characteristics'!$C:$C,0)))</f>
        <v/>
      </c>
    </row>
    <row r="897" spans="1:18" s="2" customFormat="1" x14ac:dyDescent="0.3">
      <c r="A897" s="254" t="str">
        <f>IF(ISBLANK(INDEX('Policy Characteristics'!A:A,MATCH($C897,'Policy Characteristics'!$C:$C,0))),"",INDEX('Policy Characteristics'!A:A,MATCH($C897,'Policy Characteristics'!$C:$C,0)))</f>
        <v>Industry</v>
      </c>
      <c r="B897" s="262" t="str">
        <f>IF(ISBLANK(INDEX('Policy Characteristics'!B:B,MATCH($C897,'Policy Characteristics'!$C:$C,0))),"",INDEX('Policy Characteristics'!B:B,MATCH($C897,'Policy Characteristics'!$C:$C,0)))</f>
        <v>Feedstock Shifting</v>
      </c>
      <c r="C897" s="254" t="str">
        <f t="shared" si="40"/>
        <v>Fraction of Feedstock Shifted</v>
      </c>
      <c r="D897" s="6" t="s">
        <v>3067</v>
      </c>
      <c r="E897" s="45" t="s">
        <v>2401</v>
      </c>
      <c r="F897" t="s">
        <v>3031</v>
      </c>
      <c r="G897" s="45" t="s">
        <v>2409</v>
      </c>
      <c r="H897" s="47">
        <v>2522</v>
      </c>
      <c r="I897" s="324" t="s">
        <v>44</v>
      </c>
      <c r="J897" s="255" t="str">
        <f>IF(ISBLANK(INDEX('Policy Characteristics'!D:D,MATCH($C897,'Policy Characteristics'!$C:$C,0))),"",INDEX('Policy Characteristics'!D:D,MATCH($C897,'Policy Characteristics'!$C:$C,0)))</f>
        <v>Feedstock Shifting</v>
      </c>
      <c r="K897" s="254" t="str">
        <f>IF(ISBLANK(INDEX('Policy Characteristics'!E:E,MATCH($C897,'Policy Characteristics'!$C:$C,0))),"",INDEX('Policy Characteristics'!E:E,MATCH($C897,'Policy Characteristics'!$C:$C,0)))</f>
        <v>indst feedstock shifting</v>
      </c>
      <c r="L897" s="261">
        <f>IF(ISBLANK(INDEX('Policy Characteristics'!F:F,MATCH($C897,'Policy Characteristics'!$C:$C,0))),"",INDEX('Policy Characteristics'!F:F,MATCH($C897,'Policy Characteristics'!$C:$C,0)))</f>
        <v>0</v>
      </c>
      <c r="M897" s="261">
        <f>IF(ISBLANK(INDEX('Policy Characteristics'!G:G,MATCH($C897,'Policy Characteristics'!$C:$C,0))),"",INDEX('Policy Characteristics'!G:G,MATCH($C897,'Policy Characteristics'!$C:$C,0)))</f>
        <v>1</v>
      </c>
      <c r="N897" s="261">
        <f>IF(ISBLANK(INDEX('Policy Characteristics'!H:H,MATCH($C897,'Policy Characteristics'!$C:$C,0))),"",INDEX('Policy Characteristics'!H:H,MATCH($C897,'Policy Characteristics'!$C:$C,0)))</f>
        <v>0.01</v>
      </c>
      <c r="O897" s="254" t="str">
        <f>IF(ISBLANK(INDEX('Policy Characteristics'!I:I,MATCH($C897,'Policy Characteristics'!$C:$C,0))),"",INDEX('Policy Characteristics'!I:I,MATCH($C897,'Policy Characteristics'!$C:$C,0)))</f>
        <v>% of potential achieved</v>
      </c>
      <c r="P897" s="254"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4" t="str">
        <f>IF(ISBLANK(INDEX('Policy Characteristics'!K:K,MATCH($C897,'Policy Characteristics'!$C:$C,0))),"",INDEX('Policy Characteristics'!K:K,MATCH($C897,'Policy Characteristics'!$C:$C,0)))</f>
        <v/>
      </c>
      <c r="R897" s="254" t="str">
        <f>IF(ISBLANK(INDEX('Policy Characteristics'!L:L,MATCH($C897,'Policy Characteristics'!$C:$C,0))),"",INDEX('Policy Characteristics'!L:L,MATCH($C897,'Policy Characteristics'!$C:$C,0)))</f>
        <v/>
      </c>
    </row>
    <row r="898" spans="1:18" s="2" customFormat="1" x14ac:dyDescent="0.3">
      <c r="A898" s="254" t="str">
        <f>IF(ISBLANK(INDEX('Policy Characteristics'!A:A,MATCH($C898,'Policy Characteristics'!$C:$C,0))),"",INDEX('Policy Characteristics'!A:A,MATCH($C898,'Policy Characteristics'!$C:$C,0)))</f>
        <v>Industry</v>
      </c>
      <c r="B898" s="262" t="str">
        <f>IF(ISBLANK(INDEX('Policy Characteristics'!B:B,MATCH($C898,'Policy Characteristics'!$C:$C,0))),"",INDEX('Policy Characteristics'!B:B,MATCH($C898,'Policy Characteristics'!$C:$C,0)))</f>
        <v>Feedstock Shifting</v>
      </c>
      <c r="C898" s="254" t="str">
        <f t="shared" si="40"/>
        <v>Fraction of Feedstock Shifted</v>
      </c>
      <c r="D898" s="6" t="s">
        <v>3067</v>
      </c>
      <c r="E898" s="45" t="s">
        <v>2402</v>
      </c>
      <c r="F898" t="s">
        <v>3031</v>
      </c>
      <c r="G898" s="45" t="s">
        <v>2406</v>
      </c>
      <c r="H898" s="47">
        <v>2523</v>
      </c>
      <c r="I898" s="324" t="s">
        <v>44</v>
      </c>
      <c r="J898" s="255" t="str">
        <f>IF(ISBLANK(INDEX('Policy Characteristics'!D:D,MATCH($C898,'Policy Characteristics'!$C:$C,0))),"",INDEX('Policy Characteristics'!D:D,MATCH($C898,'Policy Characteristics'!$C:$C,0)))</f>
        <v>Feedstock Shifting</v>
      </c>
      <c r="K898" s="254" t="str">
        <f>IF(ISBLANK(INDEX('Policy Characteristics'!E:E,MATCH($C898,'Policy Characteristics'!$C:$C,0))),"",INDEX('Policy Characteristics'!E:E,MATCH($C898,'Policy Characteristics'!$C:$C,0)))</f>
        <v>indst feedstock shifting</v>
      </c>
      <c r="L898" s="261">
        <f>IF(ISBLANK(INDEX('Policy Characteristics'!F:F,MATCH($C898,'Policy Characteristics'!$C:$C,0))),"",INDEX('Policy Characteristics'!F:F,MATCH($C898,'Policy Characteristics'!$C:$C,0)))</f>
        <v>0</v>
      </c>
      <c r="M898" s="261">
        <f>IF(ISBLANK(INDEX('Policy Characteristics'!G:G,MATCH($C898,'Policy Characteristics'!$C:$C,0))),"",INDEX('Policy Characteristics'!G:G,MATCH($C898,'Policy Characteristics'!$C:$C,0)))</f>
        <v>1</v>
      </c>
      <c r="N898" s="261">
        <f>IF(ISBLANK(INDEX('Policy Characteristics'!H:H,MATCH($C898,'Policy Characteristics'!$C:$C,0))),"",INDEX('Policy Characteristics'!H:H,MATCH($C898,'Policy Characteristics'!$C:$C,0)))</f>
        <v>0.01</v>
      </c>
      <c r="O898" s="254" t="str">
        <f>IF(ISBLANK(INDEX('Policy Characteristics'!I:I,MATCH($C898,'Policy Characteristics'!$C:$C,0))),"",INDEX('Policy Characteristics'!I:I,MATCH($C898,'Policy Characteristics'!$C:$C,0)))</f>
        <v>% of potential achieved</v>
      </c>
      <c r="P898" s="254"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4" t="str">
        <f>IF(ISBLANK(INDEX('Policy Characteristics'!K:K,MATCH($C898,'Policy Characteristics'!$C:$C,0))),"",INDEX('Policy Characteristics'!K:K,MATCH($C898,'Policy Characteristics'!$C:$C,0)))</f>
        <v/>
      </c>
      <c r="R898" s="254" t="str">
        <f>IF(ISBLANK(INDEX('Policy Characteristics'!L:L,MATCH($C898,'Policy Characteristics'!$C:$C,0))),"",INDEX('Policy Characteristics'!L:L,MATCH($C898,'Policy Characteristics'!$C:$C,0)))</f>
        <v/>
      </c>
    </row>
    <row r="899" spans="1:18" s="2" customFormat="1" x14ac:dyDescent="0.3">
      <c r="A899" s="254" t="str">
        <f>IF(ISBLANK(INDEX('Policy Characteristics'!A:A,MATCH($C899,'Policy Characteristics'!$C:$C,0))),"",INDEX('Policy Characteristics'!A:A,MATCH($C899,'Policy Characteristics'!$C:$C,0)))</f>
        <v>Industry</v>
      </c>
      <c r="B899" s="262" t="str">
        <f>IF(ISBLANK(INDEX('Policy Characteristics'!B:B,MATCH($C899,'Policy Characteristics'!$C:$C,0))),"",INDEX('Policy Characteristics'!B:B,MATCH($C899,'Policy Characteristics'!$C:$C,0)))</f>
        <v>Feedstock Shifting</v>
      </c>
      <c r="C899" s="254" t="str">
        <f t="shared" si="40"/>
        <v>Fraction of Feedstock Shifted</v>
      </c>
      <c r="D899" s="6" t="s">
        <v>3067</v>
      </c>
      <c r="E899" s="45" t="s">
        <v>2403</v>
      </c>
      <c r="F899" t="s">
        <v>3031</v>
      </c>
      <c r="G899" s="45" t="s">
        <v>2407</v>
      </c>
      <c r="H899" s="47">
        <v>2524</v>
      </c>
      <c r="I899" s="324" t="s">
        <v>44</v>
      </c>
      <c r="J899" s="255" t="str">
        <f>IF(ISBLANK(INDEX('Policy Characteristics'!D:D,MATCH($C899,'Policy Characteristics'!$C:$C,0))),"",INDEX('Policy Characteristics'!D:D,MATCH($C899,'Policy Characteristics'!$C:$C,0)))</f>
        <v>Feedstock Shifting</v>
      </c>
      <c r="K899" s="254" t="str">
        <f>IF(ISBLANK(INDEX('Policy Characteristics'!E:E,MATCH($C899,'Policy Characteristics'!$C:$C,0))),"",INDEX('Policy Characteristics'!E:E,MATCH($C899,'Policy Characteristics'!$C:$C,0)))</f>
        <v>indst feedstock shifting</v>
      </c>
      <c r="L899" s="261">
        <f>IF(ISBLANK(INDEX('Policy Characteristics'!F:F,MATCH($C899,'Policy Characteristics'!$C:$C,0))),"",INDEX('Policy Characteristics'!F:F,MATCH($C899,'Policy Characteristics'!$C:$C,0)))</f>
        <v>0</v>
      </c>
      <c r="M899" s="261">
        <f>IF(ISBLANK(INDEX('Policy Characteristics'!G:G,MATCH($C899,'Policy Characteristics'!$C:$C,0))),"",INDEX('Policy Characteristics'!G:G,MATCH($C899,'Policy Characteristics'!$C:$C,0)))</f>
        <v>1</v>
      </c>
      <c r="N899" s="261">
        <f>IF(ISBLANK(INDEX('Policy Characteristics'!H:H,MATCH($C899,'Policy Characteristics'!$C:$C,0))),"",INDEX('Policy Characteristics'!H:H,MATCH($C899,'Policy Characteristics'!$C:$C,0)))</f>
        <v>0.01</v>
      </c>
      <c r="O899" s="254" t="str">
        <f>IF(ISBLANK(INDEX('Policy Characteristics'!I:I,MATCH($C899,'Policy Characteristics'!$C:$C,0))),"",INDEX('Policy Characteristics'!I:I,MATCH($C899,'Policy Characteristics'!$C:$C,0)))</f>
        <v>% of potential achieved</v>
      </c>
      <c r="P899" s="254"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4" t="str">
        <f>IF(ISBLANK(INDEX('Policy Characteristics'!K:K,MATCH($C899,'Policy Characteristics'!$C:$C,0))),"",INDEX('Policy Characteristics'!K:K,MATCH($C899,'Policy Characteristics'!$C:$C,0)))</f>
        <v/>
      </c>
      <c r="R899" s="254" t="str">
        <f>IF(ISBLANK(INDEX('Policy Characteristics'!L:L,MATCH($C899,'Policy Characteristics'!$C:$C,0))),"",INDEX('Policy Characteristics'!L:L,MATCH($C899,'Policy Characteristics'!$C:$C,0)))</f>
        <v/>
      </c>
    </row>
    <row r="900" spans="1:18" s="2" customFormat="1" x14ac:dyDescent="0.3">
      <c r="A900" s="254" t="str">
        <f>IF(ISBLANK(INDEX('Policy Characteristics'!A:A,MATCH($C900,'Policy Characteristics'!$C:$C,0))),"",INDEX('Policy Characteristics'!A:A,MATCH($C900,'Policy Characteristics'!$C:$C,0)))</f>
        <v>Industry</v>
      </c>
      <c r="B900" s="262" t="str">
        <f>IF(ISBLANK(INDEX('Policy Characteristics'!B:B,MATCH($C900,'Policy Characteristics'!$C:$C,0))),"",INDEX('Policy Characteristics'!B:B,MATCH($C900,'Policy Characteristics'!$C:$C,0)))</f>
        <v>Feedstock Shifting</v>
      </c>
      <c r="C900" s="254" t="str">
        <f t="shared" si="40"/>
        <v>Fraction of Feedstock Shifted</v>
      </c>
      <c r="D900" s="6" t="s">
        <v>3067</v>
      </c>
      <c r="E900" s="45" t="s">
        <v>2404</v>
      </c>
      <c r="F900" t="s">
        <v>3031</v>
      </c>
      <c r="G900" s="45" t="s">
        <v>2410</v>
      </c>
      <c r="H900" s="47">
        <v>2525</v>
      </c>
      <c r="I900" s="324" t="s">
        <v>44</v>
      </c>
      <c r="J900" s="255" t="str">
        <f>IF(ISBLANK(INDEX('Policy Characteristics'!D:D,MATCH($C900,'Policy Characteristics'!$C:$C,0))),"",INDEX('Policy Characteristics'!D:D,MATCH($C900,'Policy Characteristics'!$C:$C,0)))</f>
        <v>Feedstock Shifting</v>
      </c>
      <c r="K900" s="254" t="str">
        <f>IF(ISBLANK(INDEX('Policy Characteristics'!E:E,MATCH($C900,'Policy Characteristics'!$C:$C,0))),"",INDEX('Policy Characteristics'!E:E,MATCH($C900,'Policy Characteristics'!$C:$C,0)))</f>
        <v>indst feedstock shifting</v>
      </c>
      <c r="L900" s="261">
        <f>IF(ISBLANK(INDEX('Policy Characteristics'!F:F,MATCH($C900,'Policy Characteristics'!$C:$C,0))),"",INDEX('Policy Characteristics'!F:F,MATCH($C900,'Policy Characteristics'!$C:$C,0)))</f>
        <v>0</v>
      </c>
      <c r="M900" s="261">
        <f>IF(ISBLANK(INDEX('Policy Characteristics'!G:G,MATCH($C900,'Policy Characteristics'!$C:$C,0))),"",INDEX('Policy Characteristics'!G:G,MATCH($C900,'Policy Characteristics'!$C:$C,0)))</f>
        <v>1</v>
      </c>
      <c r="N900" s="261">
        <f>IF(ISBLANK(INDEX('Policy Characteristics'!H:H,MATCH($C900,'Policy Characteristics'!$C:$C,0))),"",INDEX('Policy Characteristics'!H:H,MATCH($C900,'Policy Characteristics'!$C:$C,0)))</f>
        <v>0.01</v>
      </c>
      <c r="O900" s="254" t="str">
        <f>IF(ISBLANK(INDEX('Policy Characteristics'!I:I,MATCH($C900,'Policy Characteristics'!$C:$C,0))),"",INDEX('Policy Characteristics'!I:I,MATCH($C900,'Policy Characteristics'!$C:$C,0)))</f>
        <v>% of potential achieved</v>
      </c>
      <c r="P900" s="254"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4" t="str">
        <f>IF(ISBLANK(INDEX('Policy Characteristics'!K:K,MATCH($C900,'Policy Characteristics'!$C:$C,0))),"",INDEX('Policy Characteristics'!K:K,MATCH($C900,'Policy Characteristics'!$C:$C,0)))</f>
        <v/>
      </c>
      <c r="R900" s="254" t="str">
        <f>IF(ISBLANK(INDEX('Policy Characteristics'!L:L,MATCH($C900,'Policy Characteristics'!$C:$C,0))),"",INDEX('Policy Characteristics'!L:L,MATCH($C900,'Policy Characteristics'!$C:$C,0)))</f>
        <v/>
      </c>
    </row>
    <row r="901" spans="1:18" s="2" customFormat="1" x14ac:dyDescent="0.3">
      <c r="A901" s="254" t="str">
        <f>IF(ISBLANK(INDEX('Policy Characteristics'!A:A,MATCH($C901,'Policy Characteristics'!$C:$C,0))),"",INDEX('Policy Characteristics'!A:A,MATCH($C901,'Policy Characteristics'!$C:$C,0)))</f>
        <v>Industry</v>
      </c>
      <c r="B901" s="262" t="str">
        <f>IF(ISBLANK(INDEX('Policy Characteristics'!B:B,MATCH($C901,'Policy Characteristics'!$C:$C,0))),"",INDEX('Policy Characteristics'!B:B,MATCH($C901,'Policy Characteristics'!$C:$C,0)))</f>
        <v>Feedstock Shifting</v>
      </c>
      <c r="C901" s="254" t="str">
        <f t="shared" ref="C901:C964" si="41">C$835</f>
        <v>Fraction of Feedstock Shifted</v>
      </c>
      <c r="D901" s="6" t="s">
        <v>3067</v>
      </c>
      <c r="E901" s="45" t="s">
        <v>2706</v>
      </c>
      <c r="F901" t="s">
        <v>3031</v>
      </c>
      <c r="G901" s="45" t="s">
        <v>2709</v>
      </c>
      <c r="H901" s="47">
        <v>2526</v>
      </c>
      <c r="I901" s="324" t="s">
        <v>44</v>
      </c>
      <c r="J901" s="255" t="str">
        <f>IF(ISBLANK(INDEX('Policy Characteristics'!D:D,MATCH($C901,'Policy Characteristics'!$C:$C,0))),"",INDEX('Policy Characteristics'!D:D,MATCH($C901,'Policy Characteristics'!$C:$C,0)))</f>
        <v>Feedstock Shifting</v>
      </c>
      <c r="K901" s="254" t="str">
        <f>IF(ISBLANK(INDEX('Policy Characteristics'!E:E,MATCH($C901,'Policy Characteristics'!$C:$C,0))),"",INDEX('Policy Characteristics'!E:E,MATCH($C901,'Policy Characteristics'!$C:$C,0)))</f>
        <v>indst feedstock shifting</v>
      </c>
      <c r="L901" s="261">
        <f>IF(ISBLANK(INDEX('Policy Characteristics'!F:F,MATCH($C901,'Policy Characteristics'!$C:$C,0))),"",INDEX('Policy Characteristics'!F:F,MATCH($C901,'Policy Characteristics'!$C:$C,0)))</f>
        <v>0</v>
      </c>
      <c r="M901" s="261">
        <f>IF(ISBLANK(INDEX('Policy Characteristics'!G:G,MATCH($C901,'Policy Characteristics'!$C:$C,0))),"",INDEX('Policy Characteristics'!G:G,MATCH($C901,'Policy Characteristics'!$C:$C,0)))</f>
        <v>1</v>
      </c>
      <c r="N901" s="261">
        <f>IF(ISBLANK(INDEX('Policy Characteristics'!H:H,MATCH($C901,'Policy Characteristics'!$C:$C,0))),"",INDEX('Policy Characteristics'!H:H,MATCH($C901,'Policy Characteristics'!$C:$C,0)))</f>
        <v>0.01</v>
      </c>
      <c r="O901" s="254" t="str">
        <f>IF(ISBLANK(INDEX('Policy Characteristics'!I:I,MATCH($C901,'Policy Characteristics'!$C:$C,0))),"",INDEX('Policy Characteristics'!I:I,MATCH($C901,'Policy Characteristics'!$C:$C,0)))</f>
        <v>% of potential achieved</v>
      </c>
      <c r="P901" s="254"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4" t="str">
        <f>IF(ISBLANK(INDEX('Policy Characteristics'!K:K,MATCH($C901,'Policy Characteristics'!$C:$C,0))),"",INDEX('Policy Characteristics'!K:K,MATCH($C901,'Policy Characteristics'!$C:$C,0)))</f>
        <v/>
      </c>
      <c r="R901" s="254" t="str">
        <f>IF(ISBLANK(INDEX('Policy Characteristics'!L:L,MATCH($C901,'Policy Characteristics'!$C:$C,0))),"",INDEX('Policy Characteristics'!L:L,MATCH($C901,'Policy Characteristics'!$C:$C,0)))</f>
        <v/>
      </c>
    </row>
    <row r="902" spans="1:18" s="2" customFormat="1" x14ac:dyDescent="0.3">
      <c r="A902" s="254" t="str">
        <f>IF(ISBLANK(INDEX('Policy Characteristics'!A:A,MATCH($C902,'Policy Characteristics'!$C:$C,0))),"",INDEX('Policy Characteristics'!A:A,MATCH($C902,'Policy Characteristics'!$C:$C,0)))</f>
        <v>Industry</v>
      </c>
      <c r="B902" s="262" t="str">
        <f>IF(ISBLANK(INDEX('Policy Characteristics'!B:B,MATCH($C902,'Policy Characteristics'!$C:$C,0))),"",INDEX('Policy Characteristics'!B:B,MATCH($C902,'Policy Characteristics'!$C:$C,0)))</f>
        <v>Feedstock Shifting</v>
      </c>
      <c r="C902" s="254" t="str">
        <f t="shared" si="41"/>
        <v>Fraction of Feedstock Shifted</v>
      </c>
      <c r="D902" s="6" t="s">
        <v>3067</v>
      </c>
      <c r="E902" s="45" t="s">
        <v>2707</v>
      </c>
      <c r="F902" t="s">
        <v>3031</v>
      </c>
      <c r="G902" s="45" t="s">
        <v>2711</v>
      </c>
      <c r="H902" s="47">
        <v>2527</v>
      </c>
      <c r="I902" s="324" t="s">
        <v>44</v>
      </c>
      <c r="J902" s="255" t="str">
        <f>IF(ISBLANK(INDEX('Policy Characteristics'!D:D,MATCH($C902,'Policy Characteristics'!$C:$C,0))),"",INDEX('Policy Characteristics'!D:D,MATCH($C902,'Policy Characteristics'!$C:$C,0)))</f>
        <v>Feedstock Shifting</v>
      </c>
      <c r="K902" s="254" t="str">
        <f>IF(ISBLANK(INDEX('Policy Characteristics'!E:E,MATCH($C902,'Policy Characteristics'!$C:$C,0))),"",INDEX('Policy Characteristics'!E:E,MATCH($C902,'Policy Characteristics'!$C:$C,0)))</f>
        <v>indst feedstock shifting</v>
      </c>
      <c r="L902" s="261">
        <f>IF(ISBLANK(INDEX('Policy Characteristics'!F:F,MATCH($C902,'Policy Characteristics'!$C:$C,0))),"",INDEX('Policy Characteristics'!F:F,MATCH($C902,'Policy Characteristics'!$C:$C,0)))</f>
        <v>0</v>
      </c>
      <c r="M902" s="261">
        <f>IF(ISBLANK(INDEX('Policy Characteristics'!G:G,MATCH($C902,'Policy Characteristics'!$C:$C,0))),"",INDEX('Policy Characteristics'!G:G,MATCH($C902,'Policy Characteristics'!$C:$C,0)))</f>
        <v>1</v>
      </c>
      <c r="N902" s="261">
        <f>IF(ISBLANK(INDEX('Policy Characteristics'!H:H,MATCH($C902,'Policy Characteristics'!$C:$C,0))),"",INDEX('Policy Characteristics'!H:H,MATCH($C902,'Policy Characteristics'!$C:$C,0)))</f>
        <v>0.01</v>
      </c>
      <c r="O902" s="254" t="str">
        <f>IF(ISBLANK(INDEX('Policy Characteristics'!I:I,MATCH($C902,'Policy Characteristics'!$C:$C,0))),"",INDEX('Policy Characteristics'!I:I,MATCH($C902,'Policy Characteristics'!$C:$C,0)))</f>
        <v>% of potential achieved</v>
      </c>
      <c r="P902" s="254"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4" t="str">
        <f>IF(ISBLANK(INDEX('Policy Characteristics'!K:K,MATCH($C902,'Policy Characteristics'!$C:$C,0))),"",INDEX('Policy Characteristics'!K:K,MATCH($C902,'Policy Characteristics'!$C:$C,0)))</f>
        <v/>
      </c>
      <c r="R902" s="254" t="str">
        <f>IF(ISBLANK(INDEX('Policy Characteristics'!L:L,MATCH($C902,'Policy Characteristics'!$C:$C,0))),"",INDEX('Policy Characteristics'!L:L,MATCH($C902,'Policy Characteristics'!$C:$C,0)))</f>
        <v/>
      </c>
    </row>
    <row r="903" spans="1:18" s="2" customFormat="1" x14ac:dyDescent="0.3">
      <c r="A903" s="254" t="str">
        <f>IF(ISBLANK(INDEX('Policy Characteristics'!A:A,MATCH($C903,'Policy Characteristics'!$C:$C,0))),"",INDEX('Policy Characteristics'!A:A,MATCH($C903,'Policy Characteristics'!$C:$C,0)))</f>
        <v>Industry</v>
      </c>
      <c r="B903" s="262" t="str">
        <f>IF(ISBLANK(INDEX('Policy Characteristics'!B:B,MATCH($C903,'Policy Characteristics'!$C:$C,0))),"",INDEX('Policy Characteristics'!B:B,MATCH($C903,'Policy Characteristics'!$C:$C,0)))</f>
        <v>Feedstock Shifting</v>
      </c>
      <c r="C903" s="254" t="str">
        <f t="shared" si="41"/>
        <v>Fraction of Feedstock Shifted</v>
      </c>
      <c r="D903" s="6" t="s">
        <v>3067</v>
      </c>
      <c r="E903" s="45" t="s">
        <v>2708</v>
      </c>
      <c r="F903" t="s">
        <v>3031</v>
      </c>
      <c r="G903" s="45" t="s">
        <v>2712</v>
      </c>
      <c r="H903" s="47">
        <v>2528</v>
      </c>
      <c r="I903" s="324" t="s">
        <v>44</v>
      </c>
      <c r="J903" s="255" t="str">
        <f>IF(ISBLANK(INDEX('Policy Characteristics'!D:D,MATCH($C903,'Policy Characteristics'!$C:$C,0))),"",INDEX('Policy Characteristics'!D:D,MATCH($C903,'Policy Characteristics'!$C:$C,0)))</f>
        <v>Feedstock Shifting</v>
      </c>
      <c r="K903" s="254" t="str">
        <f>IF(ISBLANK(INDEX('Policy Characteristics'!E:E,MATCH($C903,'Policy Characteristics'!$C:$C,0))),"",INDEX('Policy Characteristics'!E:E,MATCH($C903,'Policy Characteristics'!$C:$C,0)))</f>
        <v>indst feedstock shifting</v>
      </c>
      <c r="L903" s="261">
        <f>IF(ISBLANK(INDEX('Policy Characteristics'!F:F,MATCH($C903,'Policy Characteristics'!$C:$C,0))),"",INDEX('Policy Characteristics'!F:F,MATCH($C903,'Policy Characteristics'!$C:$C,0)))</f>
        <v>0</v>
      </c>
      <c r="M903" s="261">
        <f>IF(ISBLANK(INDEX('Policy Characteristics'!G:G,MATCH($C903,'Policy Characteristics'!$C:$C,0))),"",INDEX('Policy Characteristics'!G:G,MATCH($C903,'Policy Characteristics'!$C:$C,0)))</f>
        <v>1</v>
      </c>
      <c r="N903" s="261">
        <f>IF(ISBLANK(INDEX('Policy Characteristics'!H:H,MATCH($C903,'Policy Characteristics'!$C:$C,0))),"",INDEX('Policy Characteristics'!H:H,MATCH($C903,'Policy Characteristics'!$C:$C,0)))</f>
        <v>0.01</v>
      </c>
      <c r="O903" s="254" t="str">
        <f>IF(ISBLANK(INDEX('Policy Characteristics'!I:I,MATCH($C903,'Policy Characteristics'!$C:$C,0))),"",INDEX('Policy Characteristics'!I:I,MATCH($C903,'Policy Characteristics'!$C:$C,0)))</f>
        <v>% of potential achieved</v>
      </c>
      <c r="P903" s="254"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4" t="str">
        <f>IF(ISBLANK(INDEX('Policy Characteristics'!K:K,MATCH($C903,'Policy Characteristics'!$C:$C,0))),"",INDEX('Policy Characteristics'!K:K,MATCH($C903,'Policy Characteristics'!$C:$C,0)))</f>
        <v/>
      </c>
      <c r="R903" s="254" t="str">
        <f>IF(ISBLANK(INDEX('Policy Characteristics'!L:L,MATCH($C903,'Policy Characteristics'!$C:$C,0))),"",INDEX('Policy Characteristics'!L:L,MATCH($C903,'Policy Characteristics'!$C:$C,0)))</f>
        <v/>
      </c>
    </row>
    <row r="904" spans="1:18" s="2" customFormat="1" x14ac:dyDescent="0.3">
      <c r="A904" s="254" t="str">
        <f>IF(ISBLANK(INDEX('Policy Characteristics'!A:A,MATCH($C904,'Policy Characteristics'!$C:$C,0))),"",INDEX('Policy Characteristics'!A:A,MATCH($C904,'Policy Characteristics'!$C:$C,0)))</f>
        <v>Industry</v>
      </c>
      <c r="B904" s="262" t="str">
        <f>IF(ISBLANK(INDEX('Policy Characteristics'!B:B,MATCH($C904,'Policy Characteristics'!$C:$C,0))),"",INDEX('Policy Characteristics'!B:B,MATCH($C904,'Policy Characteristics'!$C:$C,0)))</f>
        <v>Feedstock Shifting</v>
      </c>
      <c r="C904" s="254" t="str">
        <f t="shared" si="41"/>
        <v>Fraction of Feedstock Shifted</v>
      </c>
      <c r="D904" s="6" t="s">
        <v>3067</v>
      </c>
      <c r="E904" s="45" t="s">
        <v>2705</v>
      </c>
      <c r="F904" t="s">
        <v>3031</v>
      </c>
      <c r="G904" s="45" t="s">
        <v>2710</v>
      </c>
      <c r="H904" s="47">
        <v>2529</v>
      </c>
      <c r="I904" s="324" t="s">
        <v>44</v>
      </c>
      <c r="J904" s="255" t="str">
        <f>IF(ISBLANK(INDEX('Policy Characteristics'!D:D,MATCH($C904,'Policy Characteristics'!$C:$C,0))),"",INDEX('Policy Characteristics'!D:D,MATCH($C904,'Policy Characteristics'!$C:$C,0)))</f>
        <v>Feedstock Shifting</v>
      </c>
      <c r="K904" s="254" t="str">
        <f>IF(ISBLANK(INDEX('Policy Characteristics'!E:E,MATCH($C904,'Policy Characteristics'!$C:$C,0))),"",INDEX('Policy Characteristics'!E:E,MATCH($C904,'Policy Characteristics'!$C:$C,0)))</f>
        <v>indst feedstock shifting</v>
      </c>
      <c r="L904" s="261">
        <f>IF(ISBLANK(INDEX('Policy Characteristics'!F:F,MATCH($C904,'Policy Characteristics'!$C:$C,0))),"",INDEX('Policy Characteristics'!F:F,MATCH($C904,'Policy Characteristics'!$C:$C,0)))</f>
        <v>0</v>
      </c>
      <c r="M904" s="261">
        <f>IF(ISBLANK(INDEX('Policy Characteristics'!G:G,MATCH($C904,'Policy Characteristics'!$C:$C,0))),"",INDEX('Policy Characteristics'!G:G,MATCH($C904,'Policy Characteristics'!$C:$C,0)))</f>
        <v>1</v>
      </c>
      <c r="N904" s="261">
        <f>IF(ISBLANK(INDEX('Policy Characteristics'!H:H,MATCH($C904,'Policy Characteristics'!$C:$C,0))),"",INDEX('Policy Characteristics'!H:H,MATCH($C904,'Policy Characteristics'!$C:$C,0)))</f>
        <v>0.01</v>
      </c>
      <c r="O904" s="254" t="str">
        <f>IF(ISBLANK(INDEX('Policy Characteristics'!I:I,MATCH($C904,'Policy Characteristics'!$C:$C,0))),"",INDEX('Policy Characteristics'!I:I,MATCH($C904,'Policy Characteristics'!$C:$C,0)))</f>
        <v>% of potential achieved</v>
      </c>
      <c r="P904" s="254"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4" t="str">
        <f>IF(ISBLANK(INDEX('Policy Characteristics'!K:K,MATCH($C904,'Policy Characteristics'!$C:$C,0))),"",INDEX('Policy Characteristics'!K:K,MATCH($C904,'Policy Characteristics'!$C:$C,0)))</f>
        <v/>
      </c>
      <c r="R904" s="254" t="str">
        <f>IF(ISBLANK(INDEX('Policy Characteristics'!L:L,MATCH($C904,'Policy Characteristics'!$C:$C,0))),"",INDEX('Policy Characteristics'!L:L,MATCH($C904,'Policy Characteristics'!$C:$C,0)))</f>
        <v/>
      </c>
    </row>
    <row r="905" spans="1:18" s="2" customFormat="1" x14ac:dyDescent="0.3">
      <c r="A905" s="254" t="str">
        <f>IF(ISBLANK(INDEX('Policy Characteristics'!A:A,MATCH($C905,'Policy Characteristics'!$C:$C,0))),"",INDEX('Policy Characteristics'!A:A,MATCH($C905,'Policy Characteristics'!$C:$C,0)))</f>
        <v>Industry</v>
      </c>
      <c r="B905" s="262" t="str">
        <f>IF(ISBLANK(INDEX('Policy Characteristics'!B:B,MATCH($C905,'Policy Characteristics'!$C:$C,0))),"",INDEX('Policy Characteristics'!B:B,MATCH($C905,'Policy Characteristics'!$C:$C,0)))</f>
        <v>Feedstock Shifting</v>
      </c>
      <c r="C905" s="254" t="str">
        <f t="shared" si="41"/>
        <v>Fraction of Feedstock Shifted</v>
      </c>
      <c r="D905" s="6" t="s">
        <v>3068</v>
      </c>
      <c r="E905" s="45" t="s">
        <v>2399</v>
      </c>
      <c r="F905" t="s">
        <v>3032</v>
      </c>
      <c r="G905" s="45" t="s">
        <v>2405</v>
      </c>
      <c r="H905" s="47">
        <v>2530</v>
      </c>
      <c r="I905" s="324" t="s">
        <v>44</v>
      </c>
      <c r="J905" s="255" t="str">
        <f>IF(ISBLANK(INDEX('Policy Characteristics'!D:D,MATCH($C905,'Policy Characteristics'!$C:$C,0))),"",INDEX('Policy Characteristics'!D:D,MATCH($C905,'Policy Characteristics'!$C:$C,0)))</f>
        <v>Feedstock Shifting</v>
      </c>
      <c r="K905" s="254" t="str">
        <f>IF(ISBLANK(INDEX('Policy Characteristics'!E:E,MATCH($C905,'Policy Characteristics'!$C:$C,0))),"",INDEX('Policy Characteristics'!E:E,MATCH($C905,'Policy Characteristics'!$C:$C,0)))</f>
        <v>indst feedstock shifting</v>
      </c>
      <c r="L905" s="261">
        <f>IF(ISBLANK(INDEX('Policy Characteristics'!F:F,MATCH($C905,'Policy Characteristics'!$C:$C,0))),"",INDEX('Policy Characteristics'!F:F,MATCH($C905,'Policy Characteristics'!$C:$C,0)))</f>
        <v>0</v>
      </c>
      <c r="M905" s="261">
        <f>IF(ISBLANK(INDEX('Policy Characteristics'!G:G,MATCH($C905,'Policy Characteristics'!$C:$C,0))),"",INDEX('Policy Characteristics'!G:G,MATCH($C905,'Policy Characteristics'!$C:$C,0)))</f>
        <v>1</v>
      </c>
      <c r="N905" s="261">
        <f>IF(ISBLANK(INDEX('Policy Characteristics'!H:H,MATCH($C905,'Policy Characteristics'!$C:$C,0))),"",INDEX('Policy Characteristics'!H:H,MATCH($C905,'Policy Characteristics'!$C:$C,0)))</f>
        <v>0.01</v>
      </c>
      <c r="O905" s="254" t="str">
        <f>IF(ISBLANK(INDEX('Policy Characteristics'!I:I,MATCH($C905,'Policy Characteristics'!$C:$C,0))),"",INDEX('Policy Characteristics'!I:I,MATCH($C905,'Policy Characteristics'!$C:$C,0)))</f>
        <v>% of potential achieved</v>
      </c>
      <c r="P905" s="254"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4" t="str">
        <f>IF(ISBLANK(INDEX('Policy Characteristics'!K:K,MATCH($C905,'Policy Characteristics'!$C:$C,0))),"",INDEX('Policy Characteristics'!K:K,MATCH($C905,'Policy Characteristics'!$C:$C,0)))</f>
        <v/>
      </c>
      <c r="R905" s="254" t="str">
        <f>IF(ISBLANK(INDEX('Policy Characteristics'!L:L,MATCH($C905,'Policy Characteristics'!$C:$C,0))),"",INDEX('Policy Characteristics'!L:L,MATCH($C905,'Policy Characteristics'!$C:$C,0)))</f>
        <v/>
      </c>
    </row>
    <row r="906" spans="1:18" s="2" customFormat="1" x14ac:dyDescent="0.3">
      <c r="A906" s="254" t="str">
        <f>IF(ISBLANK(INDEX('Policy Characteristics'!A:A,MATCH($C906,'Policy Characteristics'!$C:$C,0))),"",INDEX('Policy Characteristics'!A:A,MATCH($C906,'Policy Characteristics'!$C:$C,0)))</f>
        <v>Industry</v>
      </c>
      <c r="B906" s="262" t="str">
        <f>IF(ISBLANK(INDEX('Policy Characteristics'!B:B,MATCH($C906,'Policy Characteristics'!$C:$C,0))),"",INDEX('Policy Characteristics'!B:B,MATCH($C906,'Policy Characteristics'!$C:$C,0)))</f>
        <v>Feedstock Shifting</v>
      </c>
      <c r="C906" s="254" t="str">
        <f t="shared" si="41"/>
        <v>Fraction of Feedstock Shifted</v>
      </c>
      <c r="D906" s="6" t="s">
        <v>3068</v>
      </c>
      <c r="E906" s="45" t="s">
        <v>2400</v>
      </c>
      <c r="F906" t="s">
        <v>3032</v>
      </c>
      <c r="G906" s="45" t="s">
        <v>2408</v>
      </c>
      <c r="H906" s="47">
        <v>2531</v>
      </c>
      <c r="I906" s="324" t="s">
        <v>44</v>
      </c>
      <c r="J906" s="255" t="str">
        <f>IF(ISBLANK(INDEX('Policy Characteristics'!D:D,MATCH($C906,'Policy Characteristics'!$C:$C,0))),"",INDEX('Policy Characteristics'!D:D,MATCH($C906,'Policy Characteristics'!$C:$C,0)))</f>
        <v>Feedstock Shifting</v>
      </c>
      <c r="K906" s="254" t="str">
        <f>IF(ISBLANK(INDEX('Policy Characteristics'!E:E,MATCH($C906,'Policy Characteristics'!$C:$C,0))),"",INDEX('Policy Characteristics'!E:E,MATCH($C906,'Policy Characteristics'!$C:$C,0)))</f>
        <v>indst feedstock shifting</v>
      </c>
      <c r="L906" s="261">
        <f>IF(ISBLANK(INDEX('Policy Characteristics'!F:F,MATCH($C906,'Policy Characteristics'!$C:$C,0))),"",INDEX('Policy Characteristics'!F:F,MATCH($C906,'Policy Characteristics'!$C:$C,0)))</f>
        <v>0</v>
      </c>
      <c r="M906" s="261">
        <f>IF(ISBLANK(INDEX('Policy Characteristics'!G:G,MATCH($C906,'Policy Characteristics'!$C:$C,0))),"",INDEX('Policy Characteristics'!G:G,MATCH($C906,'Policy Characteristics'!$C:$C,0)))</f>
        <v>1</v>
      </c>
      <c r="N906" s="261">
        <f>IF(ISBLANK(INDEX('Policy Characteristics'!H:H,MATCH($C906,'Policy Characteristics'!$C:$C,0))),"",INDEX('Policy Characteristics'!H:H,MATCH($C906,'Policy Characteristics'!$C:$C,0)))</f>
        <v>0.01</v>
      </c>
      <c r="O906" s="254" t="str">
        <f>IF(ISBLANK(INDEX('Policy Characteristics'!I:I,MATCH($C906,'Policy Characteristics'!$C:$C,0))),"",INDEX('Policy Characteristics'!I:I,MATCH($C906,'Policy Characteristics'!$C:$C,0)))</f>
        <v>% of potential achieved</v>
      </c>
      <c r="P906" s="254"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4" t="str">
        <f>IF(ISBLANK(INDEX('Policy Characteristics'!K:K,MATCH($C906,'Policy Characteristics'!$C:$C,0))),"",INDEX('Policy Characteristics'!K:K,MATCH($C906,'Policy Characteristics'!$C:$C,0)))</f>
        <v/>
      </c>
      <c r="R906" s="254" t="str">
        <f>IF(ISBLANK(INDEX('Policy Characteristics'!L:L,MATCH($C906,'Policy Characteristics'!$C:$C,0))),"",INDEX('Policy Characteristics'!L:L,MATCH($C906,'Policy Characteristics'!$C:$C,0)))</f>
        <v/>
      </c>
    </row>
    <row r="907" spans="1:18" s="2" customFormat="1" x14ac:dyDescent="0.3">
      <c r="A907" s="254" t="str">
        <f>IF(ISBLANK(INDEX('Policy Characteristics'!A:A,MATCH($C907,'Policy Characteristics'!$C:$C,0))),"",INDEX('Policy Characteristics'!A:A,MATCH($C907,'Policy Characteristics'!$C:$C,0)))</f>
        <v>Industry</v>
      </c>
      <c r="B907" s="262" t="str">
        <f>IF(ISBLANK(INDEX('Policy Characteristics'!B:B,MATCH($C907,'Policy Characteristics'!$C:$C,0))),"",INDEX('Policy Characteristics'!B:B,MATCH($C907,'Policy Characteristics'!$C:$C,0)))</f>
        <v>Feedstock Shifting</v>
      </c>
      <c r="C907" s="254" t="str">
        <f t="shared" si="41"/>
        <v>Fraction of Feedstock Shifted</v>
      </c>
      <c r="D907" s="6" t="s">
        <v>3068</v>
      </c>
      <c r="E907" s="45" t="s">
        <v>2401</v>
      </c>
      <c r="F907" t="s">
        <v>3032</v>
      </c>
      <c r="G907" s="45" t="s">
        <v>2409</v>
      </c>
      <c r="H907" s="47">
        <v>2532</v>
      </c>
      <c r="I907" s="324" t="s">
        <v>44</v>
      </c>
      <c r="J907" s="255" t="str">
        <f>IF(ISBLANK(INDEX('Policy Characteristics'!D:D,MATCH($C907,'Policy Characteristics'!$C:$C,0))),"",INDEX('Policy Characteristics'!D:D,MATCH($C907,'Policy Characteristics'!$C:$C,0)))</f>
        <v>Feedstock Shifting</v>
      </c>
      <c r="K907" s="254" t="str">
        <f>IF(ISBLANK(INDEX('Policy Characteristics'!E:E,MATCH($C907,'Policy Characteristics'!$C:$C,0))),"",INDEX('Policy Characteristics'!E:E,MATCH($C907,'Policy Characteristics'!$C:$C,0)))</f>
        <v>indst feedstock shifting</v>
      </c>
      <c r="L907" s="261">
        <f>IF(ISBLANK(INDEX('Policy Characteristics'!F:F,MATCH($C907,'Policy Characteristics'!$C:$C,0))),"",INDEX('Policy Characteristics'!F:F,MATCH($C907,'Policy Characteristics'!$C:$C,0)))</f>
        <v>0</v>
      </c>
      <c r="M907" s="261">
        <f>IF(ISBLANK(INDEX('Policy Characteristics'!G:G,MATCH($C907,'Policy Characteristics'!$C:$C,0))),"",INDEX('Policy Characteristics'!G:G,MATCH($C907,'Policy Characteristics'!$C:$C,0)))</f>
        <v>1</v>
      </c>
      <c r="N907" s="261">
        <f>IF(ISBLANK(INDEX('Policy Characteristics'!H:H,MATCH($C907,'Policy Characteristics'!$C:$C,0))),"",INDEX('Policy Characteristics'!H:H,MATCH($C907,'Policy Characteristics'!$C:$C,0)))</f>
        <v>0.01</v>
      </c>
      <c r="O907" s="254" t="str">
        <f>IF(ISBLANK(INDEX('Policy Characteristics'!I:I,MATCH($C907,'Policy Characteristics'!$C:$C,0))),"",INDEX('Policy Characteristics'!I:I,MATCH($C907,'Policy Characteristics'!$C:$C,0)))</f>
        <v>% of potential achieved</v>
      </c>
      <c r="P907" s="254"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4" t="str">
        <f>IF(ISBLANK(INDEX('Policy Characteristics'!K:K,MATCH($C907,'Policy Characteristics'!$C:$C,0))),"",INDEX('Policy Characteristics'!K:K,MATCH($C907,'Policy Characteristics'!$C:$C,0)))</f>
        <v/>
      </c>
      <c r="R907" s="254" t="str">
        <f>IF(ISBLANK(INDEX('Policy Characteristics'!L:L,MATCH($C907,'Policy Characteristics'!$C:$C,0))),"",INDEX('Policy Characteristics'!L:L,MATCH($C907,'Policy Characteristics'!$C:$C,0)))</f>
        <v/>
      </c>
    </row>
    <row r="908" spans="1:18" s="2" customFormat="1" x14ac:dyDescent="0.3">
      <c r="A908" s="254" t="str">
        <f>IF(ISBLANK(INDEX('Policy Characteristics'!A:A,MATCH($C908,'Policy Characteristics'!$C:$C,0))),"",INDEX('Policy Characteristics'!A:A,MATCH($C908,'Policy Characteristics'!$C:$C,0)))</f>
        <v>Industry</v>
      </c>
      <c r="B908" s="262" t="str">
        <f>IF(ISBLANK(INDEX('Policy Characteristics'!B:B,MATCH($C908,'Policy Characteristics'!$C:$C,0))),"",INDEX('Policy Characteristics'!B:B,MATCH($C908,'Policy Characteristics'!$C:$C,0)))</f>
        <v>Feedstock Shifting</v>
      </c>
      <c r="C908" s="254" t="str">
        <f t="shared" si="41"/>
        <v>Fraction of Feedstock Shifted</v>
      </c>
      <c r="D908" s="6" t="s">
        <v>3068</v>
      </c>
      <c r="E908" s="45" t="s">
        <v>2402</v>
      </c>
      <c r="F908" t="s">
        <v>3032</v>
      </c>
      <c r="G908" s="45" t="s">
        <v>2406</v>
      </c>
      <c r="H908" s="47">
        <v>2533</v>
      </c>
      <c r="I908" s="324" t="s">
        <v>44</v>
      </c>
      <c r="J908" s="255" t="str">
        <f>IF(ISBLANK(INDEX('Policy Characteristics'!D:D,MATCH($C908,'Policy Characteristics'!$C:$C,0))),"",INDEX('Policy Characteristics'!D:D,MATCH($C908,'Policy Characteristics'!$C:$C,0)))</f>
        <v>Feedstock Shifting</v>
      </c>
      <c r="K908" s="254" t="str">
        <f>IF(ISBLANK(INDEX('Policy Characteristics'!E:E,MATCH($C908,'Policy Characteristics'!$C:$C,0))),"",INDEX('Policy Characteristics'!E:E,MATCH($C908,'Policy Characteristics'!$C:$C,0)))</f>
        <v>indst feedstock shifting</v>
      </c>
      <c r="L908" s="261">
        <f>IF(ISBLANK(INDEX('Policy Characteristics'!F:F,MATCH($C908,'Policy Characteristics'!$C:$C,0))),"",INDEX('Policy Characteristics'!F:F,MATCH($C908,'Policy Characteristics'!$C:$C,0)))</f>
        <v>0</v>
      </c>
      <c r="M908" s="261">
        <f>IF(ISBLANK(INDEX('Policy Characteristics'!G:G,MATCH($C908,'Policy Characteristics'!$C:$C,0))),"",INDEX('Policy Characteristics'!G:G,MATCH($C908,'Policy Characteristics'!$C:$C,0)))</f>
        <v>1</v>
      </c>
      <c r="N908" s="261">
        <f>IF(ISBLANK(INDEX('Policy Characteristics'!H:H,MATCH($C908,'Policy Characteristics'!$C:$C,0))),"",INDEX('Policy Characteristics'!H:H,MATCH($C908,'Policy Characteristics'!$C:$C,0)))</f>
        <v>0.01</v>
      </c>
      <c r="O908" s="254" t="str">
        <f>IF(ISBLANK(INDEX('Policy Characteristics'!I:I,MATCH($C908,'Policy Characteristics'!$C:$C,0))),"",INDEX('Policy Characteristics'!I:I,MATCH($C908,'Policy Characteristics'!$C:$C,0)))</f>
        <v>% of potential achieved</v>
      </c>
      <c r="P908" s="254"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4" t="str">
        <f>IF(ISBLANK(INDEX('Policy Characteristics'!K:K,MATCH($C908,'Policy Characteristics'!$C:$C,0))),"",INDEX('Policy Characteristics'!K:K,MATCH($C908,'Policy Characteristics'!$C:$C,0)))</f>
        <v/>
      </c>
      <c r="R908" s="254" t="str">
        <f>IF(ISBLANK(INDEX('Policy Characteristics'!L:L,MATCH($C908,'Policy Characteristics'!$C:$C,0))),"",INDEX('Policy Characteristics'!L:L,MATCH($C908,'Policy Characteristics'!$C:$C,0)))</f>
        <v/>
      </c>
    </row>
    <row r="909" spans="1:18" s="2" customFormat="1" x14ac:dyDescent="0.3">
      <c r="A909" s="254" t="str">
        <f>IF(ISBLANK(INDEX('Policy Characteristics'!A:A,MATCH($C909,'Policy Characteristics'!$C:$C,0))),"",INDEX('Policy Characteristics'!A:A,MATCH($C909,'Policy Characteristics'!$C:$C,0)))</f>
        <v>Industry</v>
      </c>
      <c r="B909" s="262" t="str">
        <f>IF(ISBLANK(INDEX('Policy Characteristics'!B:B,MATCH($C909,'Policy Characteristics'!$C:$C,0))),"",INDEX('Policy Characteristics'!B:B,MATCH($C909,'Policy Characteristics'!$C:$C,0)))</f>
        <v>Feedstock Shifting</v>
      </c>
      <c r="C909" s="254" t="str">
        <f t="shared" si="41"/>
        <v>Fraction of Feedstock Shifted</v>
      </c>
      <c r="D909" s="6" t="s">
        <v>3068</v>
      </c>
      <c r="E909" s="45" t="s">
        <v>2403</v>
      </c>
      <c r="F909" t="s">
        <v>3032</v>
      </c>
      <c r="G909" s="45" t="s">
        <v>2407</v>
      </c>
      <c r="H909" s="47">
        <v>2534</v>
      </c>
      <c r="I909" s="324" t="s">
        <v>44</v>
      </c>
      <c r="J909" s="255" t="str">
        <f>IF(ISBLANK(INDEX('Policy Characteristics'!D:D,MATCH($C909,'Policy Characteristics'!$C:$C,0))),"",INDEX('Policy Characteristics'!D:D,MATCH($C909,'Policy Characteristics'!$C:$C,0)))</f>
        <v>Feedstock Shifting</v>
      </c>
      <c r="K909" s="254" t="str">
        <f>IF(ISBLANK(INDEX('Policy Characteristics'!E:E,MATCH($C909,'Policy Characteristics'!$C:$C,0))),"",INDEX('Policy Characteristics'!E:E,MATCH($C909,'Policy Characteristics'!$C:$C,0)))</f>
        <v>indst feedstock shifting</v>
      </c>
      <c r="L909" s="261">
        <f>IF(ISBLANK(INDEX('Policy Characteristics'!F:F,MATCH($C909,'Policy Characteristics'!$C:$C,0))),"",INDEX('Policy Characteristics'!F:F,MATCH($C909,'Policy Characteristics'!$C:$C,0)))</f>
        <v>0</v>
      </c>
      <c r="M909" s="261">
        <f>IF(ISBLANK(INDEX('Policy Characteristics'!G:G,MATCH($C909,'Policy Characteristics'!$C:$C,0))),"",INDEX('Policy Characteristics'!G:G,MATCH($C909,'Policy Characteristics'!$C:$C,0)))</f>
        <v>1</v>
      </c>
      <c r="N909" s="261">
        <f>IF(ISBLANK(INDEX('Policy Characteristics'!H:H,MATCH($C909,'Policy Characteristics'!$C:$C,0))),"",INDEX('Policy Characteristics'!H:H,MATCH($C909,'Policy Characteristics'!$C:$C,0)))</f>
        <v>0.01</v>
      </c>
      <c r="O909" s="254" t="str">
        <f>IF(ISBLANK(INDEX('Policy Characteristics'!I:I,MATCH($C909,'Policy Characteristics'!$C:$C,0))),"",INDEX('Policy Characteristics'!I:I,MATCH($C909,'Policy Characteristics'!$C:$C,0)))</f>
        <v>% of potential achieved</v>
      </c>
      <c r="P909" s="254"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4" t="str">
        <f>IF(ISBLANK(INDEX('Policy Characteristics'!K:K,MATCH($C909,'Policy Characteristics'!$C:$C,0))),"",INDEX('Policy Characteristics'!K:K,MATCH($C909,'Policy Characteristics'!$C:$C,0)))</f>
        <v/>
      </c>
      <c r="R909" s="254" t="str">
        <f>IF(ISBLANK(INDEX('Policy Characteristics'!L:L,MATCH($C909,'Policy Characteristics'!$C:$C,0))),"",INDEX('Policy Characteristics'!L:L,MATCH($C909,'Policy Characteristics'!$C:$C,0)))</f>
        <v/>
      </c>
    </row>
    <row r="910" spans="1:18" s="2" customFormat="1" x14ac:dyDescent="0.3">
      <c r="A910" s="254" t="str">
        <f>IF(ISBLANK(INDEX('Policy Characteristics'!A:A,MATCH($C910,'Policy Characteristics'!$C:$C,0))),"",INDEX('Policy Characteristics'!A:A,MATCH($C910,'Policy Characteristics'!$C:$C,0)))</f>
        <v>Industry</v>
      </c>
      <c r="B910" s="262" t="str">
        <f>IF(ISBLANK(INDEX('Policy Characteristics'!B:B,MATCH($C910,'Policy Characteristics'!$C:$C,0))),"",INDEX('Policy Characteristics'!B:B,MATCH($C910,'Policy Characteristics'!$C:$C,0)))</f>
        <v>Feedstock Shifting</v>
      </c>
      <c r="C910" s="254" t="str">
        <f t="shared" si="41"/>
        <v>Fraction of Feedstock Shifted</v>
      </c>
      <c r="D910" s="6" t="s">
        <v>3068</v>
      </c>
      <c r="E910" s="45" t="s">
        <v>2404</v>
      </c>
      <c r="F910" t="s">
        <v>3032</v>
      </c>
      <c r="G910" s="45" t="s">
        <v>2410</v>
      </c>
      <c r="H910" s="47">
        <v>2535</v>
      </c>
      <c r="I910" s="324" t="s">
        <v>44</v>
      </c>
      <c r="J910" s="255" t="str">
        <f>IF(ISBLANK(INDEX('Policy Characteristics'!D:D,MATCH($C910,'Policy Characteristics'!$C:$C,0))),"",INDEX('Policy Characteristics'!D:D,MATCH($C910,'Policy Characteristics'!$C:$C,0)))</f>
        <v>Feedstock Shifting</v>
      </c>
      <c r="K910" s="254" t="str">
        <f>IF(ISBLANK(INDEX('Policy Characteristics'!E:E,MATCH($C910,'Policy Characteristics'!$C:$C,0))),"",INDEX('Policy Characteristics'!E:E,MATCH($C910,'Policy Characteristics'!$C:$C,0)))</f>
        <v>indst feedstock shifting</v>
      </c>
      <c r="L910" s="261">
        <f>IF(ISBLANK(INDEX('Policy Characteristics'!F:F,MATCH($C910,'Policy Characteristics'!$C:$C,0))),"",INDEX('Policy Characteristics'!F:F,MATCH($C910,'Policy Characteristics'!$C:$C,0)))</f>
        <v>0</v>
      </c>
      <c r="M910" s="261">
        <f>IF(ISBLANK(INDEX('Policy Characteristics'!G:G,MATCH($C910,'Policy Characteristics'!$C:$C,0))),"",INDEX('Policy Characteristics'!G:G,MATCH($C910,'Policy Characteristics'!$C:$C,0)))</f>
        <v>1</v>
      </c>
      <c r="N910" s="261">
        <f>IF(ISBLANK(INDEX('Policy Characteristics'!H:H,MATCH($C910,'Policy Characteristics'!$C:$C,0))),"",INDEX('Policy Characteristics'!H:H,MATCH($C910,'Policy Characteristics'!$C:$C,0)))</f>
        <v>0.01</v>
      </c>
      <c r="O910" s="254" t="str">
        <f>IF(ISBLANK(INDEX('Policy Characteristics'!I:I,MATCH($C910,'Policy Characteristics'!$C:$C,0))),"",INDEX('Policy Characteristics'!I:I,MATCH($C910,'Policy Characteristics'!$C:$C,0)))</f>
        <v>% of potential achieved</v>
      </c>
      <c r="P910" s="254"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4" t="str">
        <f>IF(ISBLANK(INDEX('Policy Characteristics'!K:K,MATCH($C910,'Policy Characteristics'!$C:$C,0))),"",INDEX('Policy Characteristics'!K:K,MATCH($C910,'Policy Characteristics'!$C:$C,0)))</f>
        <v/>
      </c>
      <c r="R910" s="254" t="str">
        <f>IF(ISBLANK(INDEX('Policy Characteristics'!L:L,MATCH($C910,'Policy Characteristics'!$C:$C,0))),"",INDEX('Policy Characteristics'!L:L,MATCH($C910,'Policy Characteristics'!$C:$C,0)))</f>
        <v/>
      </c>
    </row>
    <row r="911" spans="1:18" s="2" customFormat="1" x14ac:dyDescent="0.3">
      <c r="A911" s="254" t="str">
        <f>IF(ISBLANK(INDEX('Policy Characteristics'!A:A,MATCH($C911,'Policy Characteristics'!$C:$C,0))),"",INDEX('Policy Characteristics'!A:A,MATCH($C911,'Policy Characteristics'!$C:$C,0)))</f>
        <v>Industry</v>
      </c>
      <c r="B911" s="262" t="str">
        <f>IF(ISBLANK(INDEX('Policy Characteristics'!B:B,MATCH($C911,'Policy Characteristics'!$C:$C,0))),"",INDEX('Policy Characteristics'!B:B,MATCH($C911,'Policy Characteristics'!$C:$C,0)))</f>
        <v>Feedstock Shifting</v>
      </c>
      <c r="C911" s="254" t="str">
        <f t="shared" si="41"/>
        <v>Fraction of Feedstock Shifted</v>
      </c>
      <c r="D911" s="6" t="s">
        <v>3068</v>
      </c>
      <c r="E911" s="45" t="s">
        <v>2706</v>
      </c>
      <c r="F911" t="s">
        <v>3032</v>
      </c>
      <c r="G911" s="45" t="s">
        <v>2709</v>
      </c>
      <c r="H911" s="47">
        <v>2536</v>
      </c>
      <c r="I911" s="324" t="s">
        <v>44</v>
      </c>
      <c r="J911" s="255" t="str">
        <f>IF(ISBLANK(INDEX('Policy Characteristics'!D:D,MATCH($C911,'Policy Characteristics'!$C:$C,0))),"",INDEX('Policy Characteristics'!D:D,MATCH($C911,'Policy Characteristics'!$C:$C,0)))</f>
        <v>Feedstock Shifting</v>
      </c>
      <c r="K911" s="254" t="str">
        <f>IF(ISBLANK(INDEX('Policy Characteristics'!E:E,MATCH($C911,'Policy Characteristics'!$C:$C,0))),"",INDEX('Policy Characteristics'!E:E,MATCH($C911,'Policy Characteristics'!$C:$C,0)))</f>
        <v>indst feedstock shifting</v>
      </c>
      <c r="L911" s="261">
        <f>IF(ISBLANK(INDEX('Policy Characteristics'!F:F,MATCH($C911,'Policy Characteristics'!$C:$C,0))),"",INDEX('Policy Characteristics'!F:F,MATCH($C911,'Policy Characteristics'!$C:$C,0)))</f>
        <v>0</v>
      </c>
      <c r="M911" s="261">
        <f>IF(ISBLANK(INDEX('Policy Characteristics'!G:G,MATCH($C911,'Policy Characteristics'!$C:$C,0))),"",INDEX('Policy Characteristics'!G:G,MATCH($C911,'Policy Characteristics'!$C:$C,0)))</f>
        <v>1</v>
      </c>
      <c r="N911" s="261">
        <f>IF(ISBLANK(INDEX('Policy Characteristics'!H:H,MATCH($C911,'Policy Characteristics'!$C:$C,0))),"",INDEX('Policy Characteristics'!H:H,MATCH($C911,'Policy Characteristics'!$C:$C,0)))</f>
        <v>0.01</v>
      </c>
      <c r="O911" s="254" t="str">
        <f>IF(ISBLANK(INDEX('Policy Characteristics'!I:I,MATCH($C911,'Policy Characteristics'!$C:$C,0))),"",INDEX('Policy Characteristics'!I:I,MATCH($C911,'Policy Characteristics'!$C:$C,0)))</f>
        <v>% of potential achieved</v>
      </c>
      <c r="P911" s="254"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4" t="str">
        <f>IF(ISBLANK(INDEX('Policy Characteristics'!K:K,MATCH($C911,'Policy Characteristics'!$C:$C,0))),"",INDEX('Policy Characteristics'!K:K,MATCH($C911,'Policy Characteristics'!$C:$C,0)))</f>
        <v/>
      </c>
      <c r="R911" s="254" t="str">
        <f>IF(ISBLANK(INDEX('Policy Characteristics'!L:L,MATCH($C911,'Policy Characteristics'!$C:$C,0))),"",INDEX('Policy Characteristics'!L:L,MATCH($C911,'Policy Characteristics'!$C:$C,0)))</f>
        <v/>
      </c>
    </row>
    <row r="912" spans="1:18" s="2" customFormat="1" x14ac:dyDescent="0.3">
      <c r="A912" s="254" t="str">
        <f>IF(ISBLANK(INDEX('Policy Characteristics'!A:A,MATCH($C912,'Policy Characteristics'!$C:$C,0))),"",INDEX('Policy Characteristics'!A:A,MATCH($C912,'Policy Characteristics'!$C:$C,0)))</f>
        <v>Industry</v>
      </c>
      <c r="B912" s="262" t="str">
        <f>IF(ISBLANK(INDEX('Policy Characteristics'!B:B,MATCH($C912,'Policy Characteristics'!$C:$C,0))),"",INDEX('Policy Characteristics'!B:B,MATCH($C912,'Policy Characteristics'!$C:$C,0)))</f>
        <v>Feedstock Shifting</v>
      </c>
      <c r="C912" s="254" t="str">
        <f t="shared" si="41"/>
        <v>Fraction of Feedstock Shifted</v>
      </c>
      <c r="D912" s="6" t="s">
        <v>3068</v>
      </c>
      <c r="E912" s="45" t="s">
        <v>2707</v>
      </c>
      <c r="F912" t="s">
        <v>3032</v>
      </c>
      <c r="G912" s="45" t="s">
        <v>2711</v>
      </c>
      <c r="H912" s="47">
        <v>2537</v>
      </c>
      <c r="I912" s="324" t="s">
        <v>44</v>
      </c>
      <c r="J912" s="255" t="str">
        <f>IF(ISBLANK(INDEX('Policy Characteristics'!D:D,MATCH($C912,'Policy Characteristics'!$C:$C,0))),"",INDEX('Policy Characteristics'!D:D,MATCH($C912,'Policy Characteristics'!$C:$C,0)))</f>
        <v>Feedstock Shifting</v>
      </c>
      <c r="K912" s="254" t="str">
        <f>IF(ISBLANK(INDEX('Policy Characteristics'!E:E,MATCH($C912,'Policy Characteristics'!$C:$C,0))),"",INDEX('Policy Characteristics'!E:E,MATCH($C912,'Policy Characteristics'!$C:$C,0)))</f>
        <v>indst feedstock shifting</v>
      </c>
      <c r="L912" s="261">
        <f>IF(ISBLANK(INDEX('Policy Characteristics'!F:F,MATCH($C912,'Policy Characteristics'!$C:$C,0))),"",INDEX('Policy Characteristics'!F:F,MATCH($C912,'Policy Characteristics'!$C:$C,0)))</f>
        <v>0</v>
      </c>
      <c r="M912" s="261">
        <f>IF(ISBLANK(INDEX('Policy Characteristics'!G:G,MATCH($C912,'Policy Characteristics'!$C:$C,0))),"",INDEX('Policy Characteristics'!G:G,MATCH($C912,'Policy Characteristics'!$C:$C,0)))</f>
        <v>1</v>
      </c>
      <c r="N912" s="261">
        <f>IF(ISBLANK(INDEX('Policy Characteristics'!H:H,MATCH($C912,'Policy Characteristics'!$C:$C,0))),"",INDEX('Policy Characteristics'!H:H,MATCH($C912,'Policy Characteristics'!$C:$C,0)))</f>
        <v>0.01</v>
      </c>
      <c r="O912" s="254" t="str">
        <f>IF(ISBLANK(INDEX('Policy Characteristics'!I:I,MATCH($C912,'Policy Characteristics'!$C:$C,0))),"",INDEX('Policy Characteristics'!I:I,MATCH($C912,'Policy Characteristics'!$C:$C,0)))</f>
        <v>% of potential achieved</v>
      </c>
      <c r="P912" s="254"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4" t="str">
        <f>IF(ISBLANK(INDEX('Policy Characteristics'!K:K,MATCH($C912,'Policy Characteristics'!$C:$C,0))),"",INDEX('Policy Characteristics'!K:K,MATCH($C912,'Policy Characteristics'!$C:$C,0)))</f>
        <v/>
      </c>
      <c r="R912" s="254" t="str">
        <f>IF(ISBLANK(INDEX('Policy Characteristics'!L:L,MATCH($C912,'Policy Characteristics'!$C:$C,0))),"",INDEX('Policy Characteristics'!L:L,MATCH($C912,'Policy Characteristics'!$C:$C,0)))</f>
        <v/>
      </c>
    </row>
    <row r="913" spans="1:18" s="2" customFormat="1" x14ac:dyDescent="0.3">
      <c r="A913" s="254" t="str">
        <f>IF(ISBLANK(INDEX('Policy Characteristics'!A:A,MATCH($C913,'Policy Characteristics'!$C:$C,0))),"",INDEX('Policy Characteristics'!A:A,MATCH($C913,'Policy Characteristics'!$C:$C,0)))</f>
        <v>Industry</v>
      </c>
      <c r="B913" s="262" t="str">
        <f>IF(ISBLANK(INDEX('Policy Characteristics'!B:B,MATCH($C913,'Policy Characteristics'!$C:$C,0))),"",INDEX('Policy Characteristics'!B:B,MATCH($C913,'Policy Characteristics'!$C:$C,0)))</f>
        <v>Feedstock Shifting</v>
      </c>
      <c r="C913" s="254" t="str">
        <f t="shared" si="41"/>
        <v>Fraction of Feedstock Shifted</v>
      </c>
      <c r="D913" s="6" t="s">
        <v>3068</v>
      </c>
      <c r="E913" s="45" t="s">
        <v>2708</v>
      </c>
      <c r="F913" t="s">
        <v>3032</v>
      </c>
      <c r="G913" s="45" t="s">
        <v>2712</v>
      </c>
      <c r="H913" s="47">
        <v>2538</v>
      </c>
      <c r="I913" s="324" t="s">
        <v>44</v>
      </c>
      <c r="J913" s="255" t="str">
        <f>IF(ISBLANK(INDEX('Policy Characteristics'!D:D,MATCH($C913,'Policy Characteristics'!$C:$C,0))),"",INDEX('Policy Characteristics'!D:D,MATCH($C913,'Policy Characteristics'!$C:$C,0)))</f>
        <v>Feedstock Shifting</v>
      </c>
      <c r="K913" s="254" t="str">
        <f>IF(ISBLANK(INDEX('Policy Characteristics'!E:E,MATCH($C913,'Policy Characteristics'!$C:$C,0))),"",INDEX('Policy Characteristics'!E:E,MATCH($C913,'Policy Characteristics'!$C:$C,0)))</f>
        <v>indst feedstock shifting</v>
      </c>
      <c r="L913" s="261">
        <f>IF(ISBLANK(INDEX('Policy Characteristics'!F:F,MATCH($C913,'Policy Characteristics'!$C:$C,0))),"",INDEX('Policy Characteristics'!F:F,MATCH($C913,'Policy Characteristics'!$C:$C,0)))</f>
        <v>0</v>
      </c>
      <c r="M913" s="261">
        <f>IF(ISBLANK(INDEX('Policy Characteristics'!G:G,MATCH($C913,'Policy Characteristics'!$C:$C,0))),"",INDEX('Policy Characteristics'!G:G,MATCH($C913,'Policy Characteristics'!$C:$C,0)))</f>
        <v>1</v>
      </c>
      <c r="N913" s="261">
        <f>IF(ISBLANK(INDEX('Policy Characteristics'!H:H,MATCH($C913,'Policy Characteristics'!$C:$C,0))),"",INDEX('Policy Characteristics'!H:H,MATCH($C913,'Policy Characteristics'!$C:$C,0)))</f>
        <v>0.01</v>
      </c>
      <c r="O913" s="254" t="str">
        <f>IF(ISBLANK(INDEX('Policy Characteristics'!I:I,MATCH($C913,'Policy Characteristics'!$C:$C,0))),"",INDEX('Policy Characteristics'!I:I,MATCH($C913,'Policy Characteristics'!$C:$C,0)))</f>
        <v>% of potential achieved</v>
      </c>
      <c r="P913" s="254"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4" t="str">
        <f>IF(ISBLANK(INDEX('Policy Characteristics'!K:K,MATCH($C913,'Policy Characteristics'!$C:$C,0))),"",INDEX('Policy Characteristics'!K:K,MATCH($C913,'Policy Characteristics'!$C:$C,0)))</f>
        <v/>
      </c>
      <c r="R913" s="254" t="str">
        <f>IF(ISBLANK(INDEX('Policy Characteristics'!L:L,MATCH($C913,'Policy Characteristics'!$C:$C,0))),"",INDEX('Policy Characteristics'!L:L,MATCH($C913,'Policy Characteristics'!$C:$C,0)))</f>
        <v/>
      </c>
    </row>
    <row r="914" spans="1:18" s="2" customFormat="1" x14ac:dyDescent="0.3">
      <c r="A914" s="254" t="str">
        <f>IF(ISBLANK(INDEX('Policy Characteristics'!A:A,MATCH($C914,'Policy Characteristics'!$C:$C,0))),"",INDEX('Policy Characteristics'!A:A,MATCH($C914,'Policy Characteristics'!$C:$C,0)))</f>
        <v>Industry</v>
      </c>
      <c r="B914" s="262" t="str">
        <f>IF(ISBLANK(INDEX('Policy Characteristics'!B:B,MATCH($C914,'Policy Characteristics'!$C:$C,0))),"",INDEX('Policy Characteristics'!B:B,MATCH($C914,'Policy Characteristics'!$C:$C,0)))</f>
        <v>Feedstock Shifting</v>
      </c>
      <c r="C914" s="254" t="str">
        <f t="shared" si="41"/>
        <v>Fraction of Feedstock Shifted</v>
      </c>
      <c r="D914" s="6" t="s">
        <v>3068</v>
      </c>
      <c r="E914" s="45" t="s">
        <v>2705</v>
      </c>
      <c r="F914" t="s">
        <v>3032</v>
      </c>
      <c r="G914" s="45" t="s">
        <v>2710</v>
      </c>
      <c r="H914" s="47">
        <v>2539</v>
      </c>
      <c r="I914" s="324" t="s">
        <v>44</v>
      </c>
      <c r="J914" s="255" t="str">
        <f>IF(ISBLANK(INDEX('Policy Characteristics'!D:D,MATCH($C914,'Policy Characteristics'!$C:$C,0))),"",INDEX('Policy Characteristics'!D:D,MATCH($C914,'Policy Characteristics'!$C:$C,0)))</f>
        <v>Feedstock Shifting</v>
      </c>
      <c r="K914" s="254" t="str">
        <f>IF(ISBLANK(INDEX('Policy Characteristics'!E:E,MATCH($C914,'Policy Characteristics'!$C:$C,0))),"",INDEX('Policy Characteristics'!E:E,MATCH($C914,'Policy Characteristics'!$C:$C,0)))</f>
        <v>indst feedstock shifting</v>
      </c>
      <c r="L914" s="261">
        <f>IF(ISBLANK(INDEX('Policy Characteristics'!F:F,MATCH($C914,'Policy Characteristics'!$C:$C,0))),"",INDEX('Policy Characteristics'!F:F,MATCH($C914,'Policy Characteristics'!$C:$C,0)))</f>
        <v>0</v>
      </c>
      <c r="M914" s="261">
        <f>IF(ISBLANK(INDEX('Policy Characteristics'!G:G,MATCH($C914,'Policy Characteristics'!$C:$C,0))),"",INDEX('Policy Characteristics'!G:G,MATCH($C914,'Policy Characteristics'!$C:$C,0)))</f>
        <v>1</v>
      </c>
      <c r="N914" s="261">
        <f>IF(ISBLANK(INDEX('Policy Characteristics'!H:H,MATCH($C914,'Policy Characteristics'!$C:$C,0))),"",INDEX('Policy Characteristics'!H:H,MATCH($C914,'Policy Characteristics'!$C:$C,0)))</f>
        <v>0.01</v>
      </c>
      <c r="O914" s="254" t="str">
        <f>IF(ISBLANK(INDEX('Policy Characteristics'!I:I,MATCH($C914,'Policy Characteristics'!$C:$C,0))),"",INDEX('Policy Characteristics'!I:I,MATCH($C914,'Policy Characteristics'!$C:$C,0)))</f>
        <v>% of potential achieved</v>
      </c>
      <c r="P914" s="254"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4" t="str">
        <f>IF(ISBLANK(INDEX('Policy Characteristics'!K:K,MATCH($C914,'Policy Characteristics'!$C:$C,0))),"",INDEX('Policy Characteristics'!K:K,MATCH($C914,'Policy Characteristics'!$C:$C,0)))</f>
        <v/>
      </c>
      <c r="R914" s="254" t="str">
        <f>IF(ISBLANK(INDEX('Policy Characteristics'!L:L,MATCH($C914,'Policy Characteristics'!$C:$C,0))),"",INDEX('Policy Characteristics'!L:L,MATCH($C914,'Policy Characteristics'!$C:$C,0)))</f>
        <v/>
      </c>
    </row>
    <row r="915" spans="1:18" s="2" customFormat="1" x14ac:dyDescent="0.3">
      <c r="A915" s="254" t="str">
        <f>IF(ISBLANK(INDEX('Policy Characteristics'!A:A,MATCH($C915,'Policy Characteristics'!$C:$C,0))),"",INDEX('Policy Characteristics'!A:A,MATCH($C915,'Policy Characteristics'!$C:$C,0)))</f>
        <v>Industry</v>
      </c>
      <c r="B915" s="262" t="str">
        <f>IF(ISBLANK(INDEX('Policy Characteristics'!B:B,MATCH($C915,'Policy Characteristics'!$C:$C,0))),"",INDEX('Policy Characteristics'!B:B,MATCH($C915,'Policy Characteristics'!$C:$C,0)))</f>
        <v>Feedstock Shifting</v>
      </c>
      <c r="C915" s="254" t="str">
        <f t="shared" si="41"/>
        <v>Fraction of Feedstock Shifted</v>
      </c>
      <c r="D915" s="6" t="s">
        <v>3069</v>
      </c>
      <c r="E915" s="45" t="s">
        <v>2399</v>
      </c>
      <c r="F915" t="s">
        <v>3033</v>
      </c>
      <c r="G915" s="45" t="s">
        <v>2405</v>
      </c>
      <c r="H915" s="47">
        <v>2540</v>
      </c>
      <c r="I915" s="324" t="s">
        <v>44</v>
      </c>
      <c r="J915" s="255" t="str">
        <f>IF(ISBLANK(INDEX('Policy Characteristics'!D:D,MATCH($C915,'Policy Characteristics'!$C:$C,0))),"",INDEX('Policy Characteristics'!D:D,MATCH($C915,'Policy Characteristics'!$C:$C,0)))</f>
        <v>Feedstock Shifting</v>
      </c>
      <c r="K915" s="254" t="str">
        <f>IF(ISBLANK(INDEX('Policy Characteristics'!E:E,MATCH($C915,'Policy Characteristics'!$C:$C,0))),"",INDEX('Policy Characteristics'!E:E,MATCH($C915,'Policy Characteristics'!$C:$C,0)))</f>
        <v>indst feedstock shifting</v>
      </c>
      <c r="L915" s="261">
        <f>IF(ISBLANK(INDEX('Policy Characteristics'!F:F,MATCH($C915,'Policy Characteristics'!$C:$C,0))),"",INDEX('Policy Characteristics'!F:F,MATCH($C915,'Policy Characteristics'!$C:$C,0)))</f>
        <v>0</v>
      </c>
      <c r="M915" s="261">
        <f>IF(ISBLANK(INDEX('Policy Characteristics'!G:G,MATCH($C915,'Policy Characteristics'!$C:$C,0))),"",INDEX('Policy Characteristics'!G:G,MATCH($C915,'Policy Characteristics'!$C:$C,0)))</f>
        <v>1</v>
      </c>
      <c r="N915" s="261">
        <f>IF(ISBLANK(INDEX('Policy Characteristics'!H:H,MATCH($C915,'Policy Characteristics'!$C:$C,0))),"",INDEX('Policy Characteristics'!H:H,MATCH($C915,'Policy Characteristics'!$C:$C,0)))</f>
        <v>0.01</v>
      </c>
      <c r="O915" s="254" t="str">
        <f>IF(ISBLANK(INDEX('Policy Characteristics'!I:I,MATCH($C915,'Policy Characteristics'!$C:$C,0))),"",INDEX('Policy Characteristics'!I:I,MATCH($C915,'Policy Characteristics'!$C:$C,0)))</f>
        <v>% of potential achieved</v>
      </c>
      <c r="P915" s="254"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4" t="str">
        <f>IF(ISBLANK(INDEX('Policy Characteristics'!K:K,MATCH($C915,'Policy Characteristics'!$C:$C,0))),"",INDEX('Policy Characteristics'!K:K,MATCH($C915,'Policy Characteristics'!$C:$C,0)))</f>
        <v/>
      </c>
      <c r="R915" s="254" t="str">
        <f>IF(ISBLANK(INDEX('Policy Characteristics'!L:L,MATCH($C915,'Policy Characteristics'!$C:$C,0))),"",INDEX('Policy Characteristics'!L:L,MATCH($C915,'Policy Characteristics'!$C:$C,0)))</f>
        <v/>
      </c>
    </row>
    <row r="916" spans="1:18" s="2" customFormat="1" x14ac:dyDescent="0.3">
      <c r="A916" s="254" t="str">
        <f>IF(ISBLANK(INDEX('Policy Characteristics'!A:A,MATCH($C916,'Policy Characteristics'!$C:$C,0))),"",INDEX('Policy Characteristics'!A:A,MATCH($C916,'Policy Characteristics'!$C:$C,0)))</f>
        <v>Industry</v>
      </c>
      <c r="B916" s="262" t="str">
        <f>IF(ISBLANK(INDEX('Policy Characteristics'!B:B,MATCH($C916,'Policy Characteristics'!$C:$C,0))),"",INDEX('Policy Characteristics'!B:B,MATCH($C916,'Policy Characteristics'!$C:$C,0)))</f>
        <v>Feedstock Shifting</v>
      </c>
      <c r="C916" s="254" t="str">
        <f t="shared" si="41"/>
        <v>Fraction of Feedstock Shifted</v>
      </c>
      <c r="D916" s="6" t="s">
        <v>3069</v>
      </c>
      <c r="E916" s="45" t="s">
        <v>2400</v>
      </c>
      <c r="F916" t="s">
        <v>3033</v>
      </c>
      <c r="G916" s="45" t="s">
        <v>2408</v>
      </c>
      <c r="H916" s="47">
        <v>2541</v>
      </c>
      <c r="I916" s="324" t="s">
        <v>44</v>
      </c>
      <c r="J916" s="255" t="str">
        <f>IF(ISBLANK(INDEX('Policy Characteristics'!D:D,MATCH($C916,'Policy Characteristics'!$C:$C,0))),"",INDEX('Policy Characteristics'!D:D,MATCH($C916,'Policy Characteristics'!$C:$C,0)))</f>
        <v>Feedstock Shifting</v>
      </c>
      <c r="K916" s="254" t="str">
        <f>IF(ISBLANK(INDEX('Policy Characteristics'!E:E,MATCH($C916,'Policy Characteristics'!$C:$C,0))),"",INDEX('Policy Characteristics'!E:E,MATCH($C916,'Policy Characteristics'!$C:$C,0)))</f>
        <v>indst feedstock shifting</v>
      </c>
      <c r="L916" s="261">
        <f>IF(ISBLANK(INDEX('Policy Characteristics'!F:F,MATCH($C916,'Policy Characteristics'!$C:$C,0))),"",INDEX('Policy Characteristics'!F:F,MATCH($C916,'Policy Characteristics'!$C:$C,0)))</f>
        <v>0</v>
      </c>
      <c r="M916" s="261">
        <f>IF(ISBLANK(INDEX('Policy Characteristics'!G:G,MATCH($C916,'Policy Characteristics'!$C:$C,0))),"",INDEX('Policy Characteristics'!G:G,MATCH($C916,'Policy Characteristics'!$C:$C,0)))</f>
        <v>1</v>
      </c>
      <c r="N916" s="261">
        <f>IF(ISBLANK(INDEX('Policy Characteristics'!H:H,MATCH($C916,'Policy Characteristics'!$C:$C,0))),"",INDEX('Policy Characteristics'!H:H,MATCH($C916,'Policy Characteristics'!$C:$C,0)))</f>
        <v>0.01</v>
      </c>
      <c r="O916" s="254" t="str">
        <f>IF(ISBLANK(INDEX('Policy Characteristics'!I:I,MATCH($C916,'Policy Characteristics'!$C:$C,0))),"",INDEX('Policy Characteristics'!I:I,MATCH($C916,'Policy Characteristics'!$C:$C,0)))</f>
        <v>% of potential achieved</v>
      </c>
      <c r="P916" s="254"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4" t="str">
        <f>IF(ISBLANK(INDEX('Policy Characteristics'!K:K,MATCH($C916,'Policy Characteristics'!$C:$C,0))),"",INDEX('Policy Characteristics'!K:K,MATCH($C916,'Policy Characteristics'!$C:$C,0)))</f>
        <v/>
      </c>
      <c r="R916" s="254" t="str">
        <f>IF(ISBLANK(INDEX('Policy Characteristics'!L:L,MATCH($C916,'Policy Characteristics'!$C:$C,0))),"",INDEX('Policy Characteristics'!L:L,MATCH($C916,'Policy Characteristics'!$C:$C,0)))</f>
        <v/>
      </c>
    </row>
    <row r="917" spans="1:18" s="2" customFormat="1" x14ac:dyDescent="0.3">
      <c r="A917" s="254" t="str">
        <f>IF(ISBLANK(INDEX('Policy Characteristics'!A:A,MATCH($C917,'Policy Characteristics'!$C:$C,0))),"",INDEX('Policy Characteristics'!A:A,MATCH($C917,'Policy Characteristics'!$C:$C,0)))</f>
        <v>Industry</v>
      </c>
      <c r="B917" s="262" t="str">
        <f>IF(ISBLANK(INDEX('Policy Characteristics'!B:B,MATCH($C917,'Policy Characteristics'!$C:$C,0))),"",INDEX('Policy Characteristics'!B:B,MATCH($C917,'Policy Characteristics'!$C:$C,0)))</f>
        <v>Feedstock Shifting</v>
      </c>
      <c r="C917" s="254" t="str">
        <f t="shared" si="41"/>
        <v>Fraction of Feedstock Shifted</v>
      </c>
      <c r="D917" s="6" t="s">
        <v>3069</v>
      </c>
      <c r="E917" s="45" t="s">
        <v>2401</v>
      </c>
      <c r="F917" t="s">
        <v>3033</v>
      </c>
      <c r="G917" s="45" t="s">
        <v>2409</v>
      </c>
      <c r="H917" s="47">
        <v>2542</v>
      </c>
      <c r="I917" s="324" t="s">
        <v>43</v>
      </c>
      <c r="J917" s="255" t="str">
        <f>IF(ISBLANK(INDEX('Policy Characteristics'!D:D,MATCH($C917,'Policy Characteristics'!$C:$C,0))),"",INDEX('Policy Characteristics'!D:D,MATCH($C917,'Policy Characteristics'!$C:$C,0)))</f>
        <v>Feedstock Shifting</v>
      </c>
      <c r="K917" s="254" t="str">
        <f>IF(ISBLANK(INDEX('Policy Characteristics'!E:E,MATCH($C917,'Policy Characteristics'!$C:$C,0))),"",INDEX('Policy Characteristics'!E:E,MATCH($C917,'Policy Characteristics'!$C:$C,0)))</f>
        <v>indst feedstock shifting</v>
      </c>
      <c r="L917" s="261">
        <f>IF(ISBLANK(INDEX('Policy Characteristics'!F:F,MATCH($C917,'Policy Characteristics'!$C:$C,0))),"",INDEX('Policy Characteristics'!F:F,MATCH($C917,'Policy Characteristics'!$C:$C,0)))</f>
        <v>0</v>
      </c>
      <c r="M917" s="261">
        <f>IF(ISBLANK(INDEX('Policy Characteristics'!G:G,MATCH($C917,'Policy Characteristics'!$C:$C,0))),"",INDEX('Policy Characteristics'!G:G,MATCH($C917,'Policy Characteristics'!$C:$C,0)))</f>
        <v>1</v>
      </c>
      <c r="N917" s="261">
        <f>IF(ISBLANK(INDEX('Policy Characteristics'!H:H,MATCH($C917,'Policy Characteristics'!$C:$C,0))),"",INDEX('Policy Characteristics'!H:H,MATCH($C917,'Policy Characteristics'!$C:$C,0)))</f>
        <v>0.01</v>
      </c>
      <c r="O917" s="254" t="str">
        <f>IF(ISBLANK(INDEX('Policy Characteristics'!I:I,MATCH($C917,'Policy Characteristics'!$C:$C,0))),"",INDEX('Policy Characteristics'!I:I,MATCH($C917,'Policy Characteristics'!$C:$C,0)))</f>
        <v>% of potential achieved</v>
      </c>
      <c r="P917" s="254"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4" t="str">
        <f>IF(ISBLANK(INDEX('Policy Characteristics'!K:K,MATCH($C917,'Policy Characteristics'!$C:$C,0))),"",INDEX('Policy Characteristics'!K:K,MATCH($C917,'Policy Characteristics'!$C:$C,0)))</f>
        <v/>
      </c>
      <c r="R917" s="254" t="str">
        <f>IF(ISBLANK(INDEX('Policy Characteristics'!L:L,MATCH($C917,'Policy Characteristics'!$C:$C,0))),"",INDEX('Policy Characteristics'!L:L,MATCH($C917,'Policy Characteristics'!$C:$C,0)))</f>
        <v/>
      </c>
    </row>
    <row r="918" spans="1:18" s="2" customFormat="1" x14ac:dyDescent="0.3">
      <c r="A918" s="254" t="str">
        <f>IF(ISBLANK(INDEX('Policy Characteristics'!A:A,MATCH($C918,'Policy Characteristics'!$C:$C,0))),"",INDEX('Policy Characteristics'!A:A,MATCH($C918,'Policy Characteristics'!$C:$C,0)))</f>
        <v>Industry</v>
      </c>
      <c r="B918" s="262" t="str">
        <f>IF(ISBLANK(INDEX('Policy Characteristics'!B:B,MATCH($C918,'Policy Characteristics'!$C:$C,0))),"",INDEX('Policy Characteristics'!B:B,MATCH($C918,'Policy Characteristics'!$C:$C,0)))</f>
        <v>Feedstock Shifting</v>
      </c>
      <c r="C918" s="254" t="str">
        <f t="shared" si="41"/>
        <v>Fraction of Feedstock Shifted</v>
      </c>
      <c r="D918" s="6" t="s">
        <v>3069</v>
      </c>
      <c r="E918" s="45" t="s">
        <v>2402</v>
      </c>
      <c r="F918" t="s">
        <v>3033</v>
      </c>
      <c r="G918" s="45" t="s">
        <v>2406</v>
      </c>
      <c r="H918" s="47">
        <v>2543</v>
      </c>
      <c r="I918" s="324" t="s">
        <v>44</v>
      </c>
      <c r="J918" s="255" t="str">
        <f>IF(ISBLANK(INDEX('Policy Characteristics'!D:D,MATCH($C918,'Policy Characteristics'!$C:$C,0))),"",INDEX('Policy Characteristics'!D:D,MATCH($C918,'Policy Characteristics'!$C:$C,0)))</f>
        <v>Feedstock Shifting</v>
      </c>
      <c r="K918" s="254" t="str">
        <f>IF(ISBLANK(INDEX('Policy Characteristics'!E:E,MATCH($C918,'Policy Characteristics'!$C:$C,0))),"",INDEX('Policy Characteristics'!E:E,MATCH($C918,'Policy Characteristics'!$C:$C,0)))</f>
        <v>indst feedstock shifting</v>
      </c>
      <c r="L918" s="261">
        <f>IF(ISBLANK(INDEX('Policy Characteristics'!F:F,MATCH($C918,'Policy Characteristics'!$C:$C,0))),"",INDEX('Policy Characteristics'!F:F,MATCH($C918,'Policy Characteristics'!$C:$C,0)))</f>
        <v>0</v>
      </c>
      <c r="M918" s="261">
        <f>IF(ISBLANK(INDEX('Policy Characteristics'!G:G,MATCH($C918,'Policy Characteristics'!$C:$C,0))),"",INDEX('Policy Characteristics'!G:G,MATCH($C918,'Policy Characteristics'!$C:$C,0)))</f>
        <v>1</v>
      </c>
      <c r="N918" s="261">
        <f>IF(ISBLANK(INDEX('Policy Characteristics'!H:H,MATCH($C918,'Policy Characteristics'!$C:$C,0))),"",INDEX('Policy Characteristics'!H:H,MATCH($C918,'Policy Characteristics'!$C:$C,0)))</f>
        <v>0.01</v>
      </c>
      <c r="O918" s="254" t="str">
        <f>IF(ISBLANK(INDEX('Policy Characteristics'!I:I,MATCH($C918,'Policy Characteristics'!$C:$C,0))),"",INDEX('Policy Characteristics'!I:I,MATCH($C918,'Policy Characteristics'!$C:$C,0)))</f>
        <v>% of potential achieved</v>
      </c>
      <c r="P918" s="254"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4" t="str">
        <f>IF(ISBLANK(INDEX('Policy Characteristics'!K:K,MATCH($C918,'Policy Characteristics'!$C:$C,0))),"",INDEX('Policy Characteristics'!K:K,MATCH($C918,'Policy Characteristics'!$C:$C,0)))</f>
        <v/>
      </c>
      <c r="R918" s="254" t="str">
        <f>IF(ISBLANK(INDEX('Policy Characteristics'!L:L,MATCH($C918,'Policy Characteristics'!$C:$C,0))),"",INDEX('Policy Characteristics'!L:L,MATCH($C918,'Policy Characteristics'!$C:$C,0)))</f>
        <v/>
      </c>
    </row>
    <row r="919" spans="1:18" s="2" customFormat="1" x14ac:dyDescent="0.3">
      <c r="A919" s="254" t="str">
        <f>IF(ISBLANK(INDEX('Policy Characteristics'!A:A,MATCH($C919,'Policy Characteristics'!$C:$C,0))),"",INDEX('Policy Characteristics'!A:A,MATCH($C919,'Policy Characteristics'!$C:$C,0)))</f>
        <v>Industry</v>
      </c>
      <c r="B919" s="262" t="str">
        <f>IF(ISBLANK(INDEX('Policy Characteristics'!B:B,MATCH($C919,'Policy Characteristics'!$C:$C,0))),"",INDEX('Policy Characteristics'!B:B,MATCH($C919,'Policy Characteristics'!$C:$C,0)))</f>
        <v>Feedstock Shifting</v>
      </c>
      <c r="C919" s="254" t="str">
        <f t="shared" si="41"/>
        <v>Fraction of Feedstock Shifted</v>
      </c>
      <c r="D919" s="6" t="s">
        <v>3069</v>
      </c>
      <c r="E919" s="45" t="s">
        <v>2403</v>
      </c>
      <c r="F919" t="s">
        <v>3033</v>
      </c>
      <c r="G919" s="45" t="s">
        <v>2407</v>
      </c>
      <c r="H919" s="47">
        <v>2544</v>
      </c>
      <c r="I919" s="324" t="s">
        <v>44</v>
      </c>
      <c r="J919" s="255" t="str">
        <f>IF(ISBLANK(INDEX('Policy Characteristics'!D:D,MATCH($C919,'Policy Characteristics'!$C:$C,0))),"",INDEX('Policy Characteristics'!D:D,MATCH($C919,'Policy Characteristics'!$C:$C,0)))</f>
        <v>Feedstock Shifting</v>
      </c>
      <c r="K919" s="254" t="str">
        <f>IF(ISBLANK(INDEX('Policy Characteristics'!E:E,MATCH($C919,'Policy Characteristics'!$C:$C,0))),"",INDEX('Policy Characteristics'!E:E,MATCH($C919,'Policy Characteristics'!$C:$C,0)))</f>
        <v>indst feedstock shifting</v>
      </c>
      <c r="L919" s="261">
        <f>IF(ISBLANK(INDEX('Policy Characteristics'!F:F,MATCH($C919,'Policy Characteristics'!$C:$C,0))),"",INDEX('Policy Characteristics'!F:F,MATCH($C919,'Policy Characteristics'!$C:$C,0)))</f>
        <v>0</v>
      </c>
      <c r="M919" s="261">
        <f>IF(ISBLANK(INDEX('Policy Characteristics'!G:G,MATCH($C919,'Policy Characteristics'!$C:$C,0))),"",INDEX('Policy Characteristics'!G:G,MATCH($C919,'Policy Characteristics'!$C:$C,0)))</f>
        <v>1</v>
      </c>
      <c r="N919" s="261">
        <f>IF(ISBLANK(INDEX('Policy Characteristics'!H:H,MATCH($C919,'Policy Characteristics'!$C:$C,0))),"",INDEX('Policy Characteristics'!H:H,MATCH($C919,'Policy Characteristics'!$C:$C,0)))</f>
        <v>0.01</v>
      </c>
      <c r="O919" s="254" t="str">
        <f>IF(ISBLANK(INDEX('Policy Characteristics'!I:I,MATCH($C919,'Policy Characteristics'!$C:$C,0))),"",INDEX('Policy Characteristics'!I:I,MATCH($C919,'Policy Characteristics'!$C:$C,0)))</f>
        <v>% of potential achieved</v>
      </c>
      <c r="P919" s="254"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4" t="str">
        <f>IF(ISBLANK(INDEX('Policy Characteristics'!K:K,MATCH($C919,'Policy Characteristics'!$C:$C,0))),"",INDEX('Policy Characteristics'!K:K,MATCH($C919,'Policy Characteristics'!$C:$C,0)))</f>
        <v/>
      </c>
      <c r="R919" s="254" t="str">
        <f>IF(ISBLANK(INDEX('Policy Characteristics'!L:L,MATCH($C919,'Policy Characteristics'!$C:$C,0))),"",INDEX('Policy Characteristics'!L:L,MATCH($C919,'Policy Characteristics'!$C:$C,0)))</f>
        <v/>
      </c>
    </row>
    <row r="920" spans="1:18" s="2" customFormat="1" x14ac:dyDescent="0.3">
      <c r="A920" s="254" t="str">
        <f>IF(ISBLANK(INDEX('Policy Characteristics'!A:A,MATCH($C920,'Policy Characteristics'!$C:$C,0))),"",INDEX('Policy Characteristics'!A:A,MATCH($C920,'Policy Characteristics'!$C:$C,0)))</f>
        <v>Industry</v>
      </c>
      <c r="B920" s="262" t="str">
        <f>IF(ISBLANK(INDEX('Policy Characteristics'!B:B,MATCH($C920,'Policy Characteristics'!$C:$C,0))),"",INDEX('Policy Characteristics'!B:B,MATCH($C920,'Policy Characteristics'!$C:$C,0)))</f>
        <v>Feedstock Shifting</v>
      </c>
      <c r="C920" s="254" t="str">
        <f t="shared" si="41"/>
        <v>Fraction of Feedstock Shifted</v>
      </c>
      <c r="D920" s="6" t="s">
        <v>3069</v>
      </c>
      <c r="E920" s="45" t="s">
        <v>2404</v>
      </c>
      <c r="F920" t="s">
        <v>3033</v>
      </c>
      <c r="G920" s="45" t="s">
        <v>2410</v>
      </c>
      <c r="H920" s="47">
        <v>2545</v>
      </c>
      <c r="I920" s="324" t="s">
        <v>44</v>
      </c>
      <c r="J920" s="255" t="str">
        <f>IF(ISBLANK(INDEX('Policy Characteristics'!D:D,MATCH($C920,'Policy Characteristics'!$C:$C,0))),"",INDEX('Policy Characteristics'!D:D,MATCH($C920,'Policy Characteristics'!$C:$C,0)))</f>
        <v>Feedstock Shifting</v>
      </c>
      <c r="K920" s="254" t="str">
        <f>IF(ISBLANK(INDEX('Policy Characteristics'!E:E,MATCH($C920,'Policy Characteristics'!$C:$C,0))),"",INDEX('Policy Characteristics'!E:E,MATCH($C920,'Policy Characteristics'!$C:$C,0)))</f>
        <v>indst feedstock shifting</v>
      </c>
      <c r="L920" s="261">
        <f>IF(ISBLANK(INDEX('Policy Characteristics'!F:F,MATCH($C920,'Policy Characteristics'!$C:$C,0))),"",INDEX('Policy Characteristics'!F:F,MATCH($C920,'Policy Characteristics'!$C:$C,0)))</f>
        <v>0</v>
      </c>
      <c r="M920" s="261">
        <f>IF(ISBLANK(INDEX('Policy Characteristics'!G:G,MATCH($C920,'Policy Characteristics'!$C:$C,0))),"",INDEX('Policy Characteristics'!G:G,MATCH($C920,'Policy Characteristics'!$C:$C,0)))</f>
        <v>1</v>
      </c>
      <c r="N920" s="261">
        <f>IF(ISBLANK(INDEX('Policy Characteristics'!H:H,MATCH($C920,'Policy Characteristics'!$C:$C,0))),"",INDEX('Policy Characteristics'!H:H,MATCH($C920,'Policy Characteristics'!$C:$C,0)))</f>
        <v>0.01</v>
      </c>
      <c r="O920" s="254" t="str">
        <f>IF(ISBLANK(INDEX('Policy Characteristics'!I:I,MATCH($C920,'Policy Characteristics'!$C:$C,0))),"",INDEX('Policy Characteristics'!I:I,MATCH($C920,'Policy Characteristics'!$C:$C,0)))</f>
        <v>% of potential achieved</v>
      </c>
      <c r="P920" s="254"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4" t="str">
        <f>IF(ISBLANK(INDEX('Policy Characteristics'!K:K,MATCH($C920,'Policy Characteristics'!$C:$C,0))),"",INDEX('Policy Characteristics'!K:K,MATCH($C920,'Policy Characteristics'!$C:$C,0)))</f>
        <v/>
      </c>
      <c r="R920" s="254" t="str">
        <f>IF(ISBLANK(INDEX('Policy Characteristics'!L:L,MATCH($C920,'Policy Characteristics'!$C:$C,0))),"",INDEX('Policy Characteristics'!L:L,MATCH($C920,'Policy Characteristics'!$C:$C,0)))</f>
        <v/>
      </c>
    </row>
    <row r="921" spans="1:18" s="2" customFormat="1" x14ac:dyDescent="0.3">
      <c r="A921" s="254" t="str">
        <f>IF(ISBLANK(INDEX('Policy Characteristics'!A:A,MATCH($C921,'Policy Characteristics'!$C:$C,0))),"",INDEX('Policy Characteristics'!A:A,MATCH($C921,'Policy Characteristics'!$C:$C,0)))</f>
        <v>Industry</v>
      </c>
      <c r="B921" s="262" t="str">
        <f>IF(ISBLANK(INDEX('Policy Characteristics'!B:B,MATCH($C921,'Policy Characteristics'!$C:$C,0))),"",INDEX('Policy Characteristics'!B:B,MATCH($C921,'Policy Characteristics'!$C:$C,0)))</f>
        <v>Feedstock Shifting</v>
      </c>
      <c r="C921" s="254" t="str">
        <f t="shared" si="41"/>
        <v>Fraction of Feedstock Shifted</v>
      </c>
      <c r="D921" s="6" t="s">
        <v>3069</v>
      </c>
      <c r="E921" s="45" t="s">
        <v>2706</v>
      </c>
      <c r="F921" t="s">
        <v>3033</v>
      </c>
      <c r="G921" s="45" t="s">
        <v>2709</v>
      </c>
      <c r="H921" s="47">
        <v>2546</v>
      </c>
      <c r="I921" s="324" t="s">
        <v>44</v>
      </c>
      <c r="J921" s="255" t="str">
        <f>IF(ISBLANK(INDEX('Policy Characteristics'!D:D,MATCH($C921,'Policy Characteristics'!$C:$C,0))),"",INDEX('Policy Characteristics'!D:D,MATCH($C921,'Policy Characteristics'!$C:$C,0)))</f>
        <v>Feedstock Shifting</v>
      </c>
      <c r="K921" s="254" t="str">
        <f>IF(ISBLANK(INDEX('Policy Characteristics'!E:E,MATCH($C921,'Policy Characteristics'!$C:$C,0))),"",INDEX('Policy Characteristics'!E:E,MATCH($C921,'Policy Characteristics'!$C:$C,0)))</f>
        <v>indst feedstock shifting</v>
      </c>
      <c r="L921" s="261">
        <f>IF(ISBLANK(INDEX('Policy Characteristics'!F:F,MATCH($C921,'Policy Characteristics'!$C:$C,0))),"",INDEX('Policy Characteristics'!F:F,MATCH($C921,'Policy Characteristics'!$C:$C,0)))</f>
        <v>0</v>
      </c>
      <c r="M921" s="261">
        <f>IF(ISBLANK(INDEX('Policy Characteristics'!G:G,MATCH($C921,'Policy Characteristics'!$C:$C,0))),"",INDEX('Policy Characteristics'!G:G,MATCH($C921,'Policy Characteristics'!$C:$C,0)))</f>
        <v>1</v>
      </c>
      <c r="N921" s="261">
        <f>IF(ISBLANK(INDEX('Policy Characteristics'!H:H,MATCH($C921,'Policy Characteristics'!$C:$C,0))),"",INDEX('Policy Characteristics'!H:H,MATCH($C921,'Policy Characteristics'!$C:$C,0)))</f>
        <v>0.01</v>
      </c>
      <c r="O921" s="254" t="str">
        <f>IF(ISBLANK(INDEX('Policy Characteristics'!I:I,MATCH($C921,'Policy Characteristics'!$C:$C,0))),"",INDEX('Policy Characteristics'!I:I,MATCH($C921,'Policy Characteristics'!$C:$C,0)))</f>
        <v>% of potential achieved</v>
      </c>
      <c r="P921" s="254"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4" t="str">
        <f>IF(ISBLANK(INDEX('Policy Characteristics'!K:K,MATCH($C921,'Policy Characteristics'!$C:$C,0))),"",INDEX('Policy Characteristics'!K:K,MATCH($C921,'Policy Characteristics'!$C:$C,0)))</f>
        <v/>
      </c>
      <c r="R921" s="254" t="str">
        <f>IF(ISBLANK(INDEX('Policy Characteristics'!L:L,MATCH($C921,'Policy Characteristics'!$C:$C,0))),"",INDEX('Policy Characteristics'!L:L,MATCH($C921,'Policy Characteristics'!$C:$C,0)))</f>
        <v/>
      </c>
    </row>
    <row r="922" spans="1:18" s="2" customFormat="1" x14ac:dyDescent="0.3">
      <c r="A922" s="254" t="str">
        <f>IF(ISBLANK(INDEX('Policy Characteristics'!A:A,MATCH($C922,'Policy Characteristics'!$C:$C,0))),"",INDEX('Policy Characteristics'!A:A,MATCH($C922,'Policy Characteristics'!$C:$C,0)))</f>
        <v>Industry</v>
      </c>
      <c r="B922" s="262" t="str">
        <f>IF(ISBLANK(INDEX('Policy Characteristics'!B:B,MATCH($C922,'Policy Characteristics'!$C:$C,0))),"",INDEX('Policy Characteristics'!B:B,MATCH($C922,'Policy Characteristics'!$C:$C,0)))</f>
        <v>Feedstock Shifting</v>
      </c>
      <c r="C922" s="254" t="str">
        <f t="shared" si="41"/>
        <v>Fraction of Feedstock Shifted</v>
      </c>
      <c r="D922" s="6" t="s">
        <v>3069</v>
      </c>
      <c r="E922" s="45" t="s">
        <v>2707</v>
      </c>
      <c r="F922" t="s">
        <v>3033</v>
      </c>
      <c r="G922" s="45" t="s">
        <v>2711</v>
      </c>
      <c r="H922" s="47">
        <v>2547</v>
      </c>
      <c r="I922" s="324" t="s">
        <v>44</v>
      </c>
      <c r="J922" s="255" t="str">
        <f>IF(ISBLANK(INDEX('Policy Characteristics'!D:D,MATCH($C922,'Policy Characteristics'!$C:$C,0))),"",INDEX('Policy Characteristics'!D:D,MATCH($C922,'Policy Characteristics'!$C:$C,0)))</f>
        <v>Feedstock Shifting</v>
      </c>
      <c r="K922" s="254" t="str">
        <f>IF(ISBLANK(INDEX('Policy Characteristics'!E:E,MATCH($C922,'Policy Characteristics'!$C:$C,0))),"",INDEX('Policy Characteristics'!E:E,MATCH($C922,'Policy Characteristics'!$C:$C,0)))</f>
        <v>indst feedstock shifting</v>
      </c>
      <c r="L922" s="261">
        <f>IF(ISBLANK(INDEX('Policy Characteristics'!F:F,MATCH($C922,'Policy Characteristics'!$C:$C,0))),"",INDEX('Policy Characteristics'!F:F,MATCH($C922,'Policy Characteristics'!$C:$C,0)))</f>
        <v>0</v>
      </c>
      <c r="M922" s="261">
        <f>IF(ISBLANK(INDEX('Policy Characteristics'!G:G,MATCH($C922,'Policy Characteristics'!$C:$C,0))),"",INDEX('Policy Characteristics'!G:G,MATCH($C922,'Policy Characteristics'!$C:$C,0)))</f>
        <v>1</v>
      </c>
      <c r="N922" s="261">
        <f>IF(ISBLANK(INDEX('Policy Characteristics'!H:H,MATCH($C922,'Policy Characteristics'!$C:$C,0))),"",INDEX('Policy Characteristics'!H:H,MATCH($C922,'Policy Characteristics'!$C:$C,0)))</f>
        <v>0.01</v>
      </c>
      <c r="O922" s="254" t="str">
        <f>IF(ISBLANK(INDEX('Policy Characteristics'!I:I,MATCH($C922,'Policy Characteristics'!$C:$C,0))),"",INDEX('Policy Characteristics'!I:I,MATCH($C922,'Policy Characteristics'!$C:$C,0)))</f>
        <v>% of potential achieved</v>
      </c>
      <c r="P922" s="254"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4" t="str">
        <f>IF(ISBLANK(INDEX('Policy Characteristics'!K:K,MATCH($C922,'Policy Characteristics'!$C:$C,0))),"",INDEX('Policy Characteristics'!K:K,MATCH($C922,'Policy Characteristics'!$C:$C,0)))</f>
        <v/>
      </c>
      <c r="R922" s="254" t="str">
        <f>IF(ISBLANK(INDEX('Policy Characteristics'!L:L,MATCH($C922,'Policy Characteristics'!$C:$C,0))),"",INDEX('Policy Characteristics'!L:L,MATCH($C922,'Policy Characteristics'!$C:$C,0)))</f>
        <v/>
      </c>
    </row>
    <row r="923" spans="1:18" s="2" customFormat="1" x14ac:dyDescent="0.3">
      <c r="A923" s="254" t="str">
        <f>IF(ISBLANK(INDEX('Policy Characteristics'!A:A,MATCH($C923,'Policy Characteristics'!$C:$C,0))),"",INDEX('Policy Characteristics'!A:A,MATCH($C923,'Policy Characteristics'!$C:$C,0)))</f>
        <v>Industry</v>
      </c>
      <c r="B923" s="262" t="str">
        <f>IF(ISBLANK(INDEX('Policy Characteristics'!B:B,MATCH($C923,'Policy Characteristics'!$C:$C,0))),"",INDEX('Policy Characteristics'!B:B,MATCH($C923,'Policy Characteristics'!$C:$C,0)))</f>
        <v>Feedstock Shifting</v>
      </c>
      <c r="C923" s="254" t="str">
        <f t="shared" si="41"/>
        <v>Fraction of Feedstock Shifted</v>
      </c>
      <c r="D923" s="6" t="s">
        <v>3069</v>
      </c>
      <c r="E923" s="45" t="s">
        <v>2708</v>
      </c>
      <c r="F923" t="s">
        <v>3033</v>
      </c>
      <c r="G923" s="45" t="s">
        <v>2712</v>
      </c>
      <c r="H923" s="47">
        <v>2548</v>
      </c>
      <c r="I923" s="324" t="s">
        <v>44</v>
      </c>
      <c r="J923" s="255" t="str">
        <f>IF(ISBLANK(INDEX('Policy Characteristics'!D:D,MATCH($C923,'Policy Characteristics'!$C:$C,0))),"",INDEX('Policy Characteristics'!D:D,MATCH($C923,'Policy Characteristics'!$C:$C,0)))</f>
        <v>Feedstock Shifting</v>
      </c>
      <c r="K923" s="254" t="str">
        <f>IF(ISBLANK(INDEX('Policy Characteristics'!E:E,MATCH($C923,'Policy Characteristics'!$C:$C,0))),"",INDEX('Policy Characteristics'!E:E,MATCH($C923,'Policy Characteristics'!$C:$C,0)))</f>
        <v>indst feedstock shifting</v>
      </c>
      <c r="L923" s="261">
        <f>IF(ISBLANK(INDEX('Policy Characteristics'!F:F,MATCH($C923,'Policy Characteristics'!$C:$C,0))),"",INDEX('Policy Characteristics'!F:F,MATCH($C923,'Policy Characteristics'!$C:$C,0)))</f>
        <v>0</v>
      </c>
      <c r="M923" s="261">
        <f>IF(ISBLANK(INDEX('Policy Characteristics'!G:G,MATCH($C923,'Policy Characteristics'!$C:$C,0))),"",INDEX('Policy Characteristics'!G:G,MATCH($C923,'Policy Characteristics'!$C:$C,0)))</f>
        <v>1</v>
      </c>
      <c r="N923" s="261">
        <f>IF(ISBLANK(INDEX('Policy Characteristics'!H:H,MATCH($C923,'Policy Characteristics'!$C:$C,0))),"",INDEX('Policy Characteristics'!H:H,MATCH($C923,'Policy Characteristics'!$C:$C,0)))</f>
        <v>0.01</v>
      </c>
      <c r="O923" s="254" t="str">
        <f>IF(ISBLANK(INDEX('Policy Characteristics'!I:I,MATCH($C923,'Policy Characteristics'!$C:$C,0))),"",INDEX('Policy Characteristics'!I:I,MATCH($C923,'Policy Characteristics'!$C:$C,0)))</f>
        <v>% of potential achieved</v>
      </c>
      <c r="P923" s="254"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4" t="str">
        <f>IF(ISBLANK(INDEX('Policy Characteristics'!K:K,MATCH($C923,'Policy Characteristics'!$C:$C,0))),"",INDEX('Policy Characteristics'!K:K,MATCH($C923,'Policy Characteristics'!$C:$C,0)))</f>
        <v/>
      </c>
      <c r="R923" s="254" t="str">
        <f>IF(ISBLANK(INDEX('Policy Characteristics'!L:L,MATCH($C923,'Policy Characteristics'!$C:$C,0))),"",INDEX('Policy Characteristics'!L:L,MATCH($C923,'Policy Characteristics'!$C:$C,0)))</f>
        <v/>
      </c>
    </row>
    <row r="924" spans="1:18" s="2" customFormat="1" x14ac:dyDescent="0.3">
      <c r="A924" s="254" t="str">
        <f>IF(ISBLANK(INDEX('Policy Characteristics'!A:A,MATCH($C924,'Policy Characteristics'!$C:$C,0))),"",INDEX('Policy Characteristics'!A:A,MATCH($C924,'Policy Characteristics'!$C:$C,0)))</f>
        <v>Industry</v>
      </c>
      <c r="B924" s="262" t="str">
        <f>IF(ISBLANK(INDEX('Policy Characteristics'!B:B,MATCH($C924,'Policy Characteristics'!$C:$C,0))),"",INDEX('Policy Characteristics'!B:B,MATCH($C924,'Policy Characteristics'!$C:$C,0)))</f>
        <v>Feedstock Shifting</v>
      </c>
      <c r="C924" s="254" t="str">
        <f t="shared" si="41"/>
        <v>Fraction of Feedstock Shifted</v>
      </c>
      <c r="D924" s="6" t="s">
        <v>3069</v>
      </c>
      <c r="E924" s="45" t="s">
        <v>2705</v>
      </c>
      <c r="F924" t="s">
        <v>3033</v>
      </c>
      <c r="G924" s="45" t="s">
        <v>2710</v>
      </c>
      <c r="H924" s="47">
        <v>2549</v>
      </c>
      <c r="I924" s="324" t="s">
        <v>44</v>
      </c>
      <c r="J924" s="255" t="str">
        <f>IF(ISBLANK(INDEX('Policy Characteristics'!D:D,MATCH($C924,'Policy Characteristics'!$C:$C,0))),"",INDEX('Policy Characteristics'!D:D,MATCH($C924,'Policy Characteristics'!$C:$C,0)))</f>
        <v>Feedstock Shifting</v>
      </c>
      <c r="K924" s="254" t="str">
        <f>IF(ISBLANK(INDEX('Policy Characteristics'!E:E,MATCH($C924,'Policy Characteristics'!$C:$C,0))),"",INDEX('Policy Characteristics'!E:E,MATCH($C924,'Policy Characteristics'!$C:$C,0)))</f>
        <v>indst feedstock shifting</v>
      </c>
      <c r="L924" s="261">
        <f>IF(ISBLANK(INDEX('Policy Characteristics'!F:F,MATCH($C924,'Policy Characteristics'!$C:$C,0))),"",INDEX('Policy Characteristics'!F:F,MATCH($C924,'Policy Characteristics'!$C:$C,0)))</f>
        <v>0</v>
      </c>
      <c r="M924" s="261">
        <f>IF(ISBLANK(INDEX('Policy Characteristics'!G:G,MATCH($C924,'Policy Characteristics'!$C:$C,0))),"",INDEX('Policy Characteristics'!G:G,MATCH($C924,'Policy Characteristics'!$C:$C,0)))</f>
        <v>1</v>
      </c>
      <c r="N924" s="261">
        <f>IF(ISBLANK(INDEX('Policy Characteristics'!H:H,MATCH($C924,'Policy Characteristics'!$C:$C,0))),"",INDEX('Policy Characteristics'!H:H,MATCH($C924,'Policy Characteristics'!$C:$C,0)))</f>
        <v>0.01</v>
      </c>
      <c r="O924" s="254" t="str">
        <f>IF(ISBLANK(INDEX('Policy Characteristics'!I:I,MATCH($C924,'Policy Characteristics'!$C:$C,0))),"",INDEX('Policy Characteristics'!I:I,MATCH($C924,'Policy Characteristics'!$C:$C,0)))</f>
        <v>% of potential achieved</v>
      </c>
      <c r="P924" s="254"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4" t="str">
        <f>IF(ISBLANK(INDEX('Policy Characteristics'!K:K,MATCH($C924,'Policy Characteristics'!$C:$C,0))),"",INDEX('Policy Characteristics'!K:K,MATCH($C924,'Policy Characteristics'!$C:$C,0)))</f>
        <v/>
      </c>
      <c r="R924" s="254" t="str">
        <f>IF(ISBLANK(INDEX('Policy Characteristics'!L:L,MATCH($C924,'Policy Characteristics'!$C:$C,0))),"",INDEX('Policy Characteristics'!L:L,MATCH($C924,'Policy Characteristics'!$C:$C,0)))</f>
        <v/>
      </c>
    </row>
    <row r="925" spans="1:18" s="2" customFormat="1" x14ac:dyDescent="0.3">
      <c r="A925" s="254" t="str">
        <f>IF(ISBLANK(INDEX('Policy Characteristics'!A:A,MATCH($C925,'Policy Characteristics'!$C:$C,0))),"",INDEX('Policy Characteristics'!A:A,MATCH($C925,'Policy Characteristics'!$C:$C,0)))</f>
        <v>Industry</v>
      </c>
      <c r="B925" s="262" t="str">
        <f>IF(ISBLANK(INDEX('Policy Characteristics'!B:B,MATCH($C925,'Policy Characteristics'!$C:$C,0))),"",INDEX('Policy Characteristics'!B:B,MATCH($C925,'Policy Characteristics'!$C:$C,0)))</f>
        <v>Feedstock Shifting</v>
      </c>
      <c r="C925" s="254" t="str">
        <f t="shared" si="41"/>
        <v>Fraction of Feedstock Shifted</v>
      </c>
      <c r="D925" s="6" t="s">
        <v>3070</v>
      </c>
      <c r="E925" s="45" t="s">
        <v>2399</v>
      </c>
      <c r="F925" t="s">
        <v>2579</v>
      </c>
      <c r="G925" s="45" t="s">
        <v>2405</v>
      </c>
      <c r="H925" s="47">
        <v>2550</v>
      </c>
      <c r="I925" s="324" t="s">
        <v>44</v>
      </c>
      <c r="J925" s="255" t="str">
        <f>IF(ISBLANK(INDEX('Policy Characteristics'!D:D,MATCH($C925,'Policy Characteristics'!$C:$C,0))),"",INDEX('Policy Characteristics'!D:D,MATCH($C925,'Policy Characteristics'!$C:$C,0)))</f>
        <v>Feedstock Shifting</v>
      </c>
      <c r="K925" s="254" t="str">
        <f>IF(ISBLANK(INDEX('Policy Characteristics'!E:E,MATCH($C925,'Policy Characteristics'!$C:$C,0))),"",INDEX('Policy Characteristics'!E:E,MATCH($C925,'Policy Characteristics'!$C:$C,0)))</f>
        <v>indst feedstock shifting</v>
      </c>
      <c r="L925" s="261">
        <f>IF(ISBLANK(INDEX('Policy Characteristics'!F:F,MATCH($C925,'Policy Characteristics'!$C:$C,0))),"",INDEX('Policy Characteristics'!F:F,MATCH($C925,'Policy Characteristics'!$C:$C,0)))</f>
        <v>0</v>
      </c>
      <c r="M925" s="261">
        <f>IF(ISBLANK(INDEX('Policy Characteristics'!G:G,MATCH($C925,'Policy Characteristics'!$C:$C,0))),"",INDEX('Policy Characteristics'!G:G,MATCH($C925,'Policy Characteristics'!$C:$C,0)))</f>
        <v>1</v>
      </c>
      <c r="N925" s="261">
        <f>IF(ISBLANK(INDEX('Policy Characteristics'!H:H,MATCH($C925,'Policy Characteristics'!$C:$C,0))),"",INDEX('Policy Characteristics'!H:H,MATCH($C925,'Policy Characteristics'!$C:$C,0)))</f>
        <v>0.01</v>
      </c>
      <c r="O925" s="254" t="str">
        <f>IF(ISBLANK(INDEX('Policy Characteristics'!I:I,MATCH($C925,'Policy Characteristics'!$C:$C,0))),"",INDEX('Policy Characteristics'!I:I,MATCH($C925,'Policy Characteristics'!$C:$C,0)))</f>
        <v>% of potential achieved</v>
      </c>
      <c r="P925" s="254"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4" t="str">
        <f>IF(ISBLANK(INDEX('Policy Characteristics'!K:K,MATCH($C925,'Policy Characteristics'!$C:$C,0))),"",INDEX('Policy Characteristics'!K:K,MATCH($C925,'Policy Characteristics'!$C:$C,0)))</f>
        <v/>
      </c>
      <c r="R925" s="254" t="str">
        <f>IF(ISBLANK(INDEX('Policy Characteristics'!L:L,MATCH($C925,'Policy Characteristics'!$C:$C,0))),"",INDEX('Policy Characteristics'!L:L,MATCH($C925,'Policy Characteristics'!$C:$C,0)))</f>
        <v/>
      </c>
    </row>
    <row r="926" spans="1:18" s="2" customFormat="1" x14ac:dyDescent="0.3">
      <c r="A926" s="254" t="str">
        <f>IF(ISBLANK(INDEX('Policy Characteristics'!A:A,MATCH($C926,'Policy Characteristics'!$C:$C,0))),"",INDEX('Policy Characteristics'!A:A,MATCH($C926,'Policy Characteristics'!$C:$C,0)))</f>
        <v>Industry</v>
      </c>
      <c r="B926" s="262" t="str">
        <f>IF(ISBLANK(INDEX('Policy Characteristics'!B:B,MATCH($C926,'Policy Characteristics'!$C:$C,0))),"",INDEX('Policy Characteristics'!B:B,MATCH($C926,'Policy Characteristics'!$C:$C,0)))</f>
        <v>Feedstock Shifting</v>
      </c>
      <c r="C926" s="254" t="str">
        <f t="shared" si="41"/>
        <v>Fraction of Feedstock Shifted</v>
      </c>
      <c r="D926" s="6" t="s">
        <v>3070</v>
      </c>
      <c r="E926" s="45" t="s">
        <v>2400</v>
      </c>
      <c r="F926" t="s">
        <v>2579</v>
      </c>
      <c r="G926" s="45" t="s">
        <v>2408</v>
      </c>
      <c r="H926" s="47">
        <v>2551</v>
      </c>
      <c r="I926" s="324" t="s">
        <v>44</v>
      </c>
      <c r="J926" s="255" t="str">
        <f>IF(ISBLANK(INDEX('Policy Characteristics'!D:D,MATCH($C926,'Policy Characteristics'!$C:$C,0))),"",INDEX('Policy Characteristics'!D:D,MATCH($C926,'Policy Characteristics'!$C:$C,0)))</f>
        <v>Feedstock Shifting</v>
      </c>
      <c r="K926" s="254" t="str">
        <f>IF(ISBLANK(INDEX('Policy Characteristics'!E:E,MATCH($C926,'Policy Characteristics'!$C:$C,0))),"",INDEX('Policy Characteristics'!E:E,MATCH($C926,'Policy Characteristics'!$C:$C,0)))</f>
        <v>indst feedstock shifting</v>
      </c>
      <c r="L926" s="261">
        <f>IF(ISBLANK(INDEX('Policy Characteristics'!F:F,MATCH($C926,'Policy Characteristics'!$C:$C,0))),"",INDEX('Policy Characteristics'!F:F,MATCH($C926,'Policy Characteristics'!$C:$C,0)))</f>
        <v>0</v>
      </c>
      <c r="M926" s="261">
        <f>IF(ISBLANK(INDEX('Policy Characteristics'!G:G,MATCH($C926,'Policy Characteristics'!$C:$C,0))),"",INDEX('Policy Characteristics'!G:G,MATCH($C926,'Policy Characteristics'!$C:$C,0)))</f>
        <v>1</v>
      </c>
      <c r="N926" s="261">
        <f>IF(ISBLANK(INDEX('Policy Characteristics'!H:H,MATCH($C926,'Policy Characteristics'!$C:$C,0))),"",INDEX('Policy Characteristics'!H:H,MATCH($C926,'Policy Characteristics'!$C:$C,0)))</f>
        <v>0.01</v>
      </c>
      <c r="O926" s="254" t="str">
        <f>IF(ISBLANK(INDEX('Policy Characteristics'!I:I,MATCH($C926,'Policy Characteristics'!$C:$C,0))),"",INDEX('Policy Characteristics'!I:I,MATCH($C926,'Policy Characteristics'!$C:$C,0)))</f>
        <v>% of potential achieved</v>
      </c>
      <c r="P926" s="254"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4" t="str">
        <f>IF(ISBLANK(INDEX('Policy Characteristics'!K:K,MATCH($C926,'Policy Characteristics'!$C:$C,0))),"",INDEX('Policy Characteristics'!K:K,MATCH($C926,'Policy Characteristics'!$C:$C,0)))</f>
        <v/>
      </c>
      <c r="R926" s="254" t="str">
        <f>IF(ISBLANK(INDEX('Policy Characteristics'!L:L,MATCH($C926,'Policy Characteristics'!$C:$C,0))),"",INDEX('Policy Characteristics'!L:L,MATCH($C926,'Policy Characteristics'!$C:$C,0)))</f>
        <v/>
      </c>
    </row>
    <row r="927" spans="1:18" s="2" customFormat="1" x14ac:dyDescent="0.3">
      <c r="A927" s="254" t="str">
        <f>IF(ISBLANK(INDEX('Policy Characteristics'!A:A,MATCH($C927,'Policy Characteristics'!$C:$C,0))),"",INDEX('Policy Characteristics'!A:A,MATCH($C927,'Policy Characteristics'!$C:$C,0)))</f>
        <v>Industry</v>
      </c>
      <c r="B927" s="262" t="str">
        <f>IF(ISBLANK(INDEX('Policy Characteristics'!B:B,MATCH($C927,'Policy Characteristics'!$C:$C,0))),"",INDEX('Policy Characteristics'!B:B,MATCH($C927,'Policy Characteristics'!$C:$C,0)))</f>
        <v>Feedstock Shifting</v>
      </c>
      <c r="C927" s="254" t="str">
        <f t="shared" si="41"/>
        <v>Fraction of Feedstock Shifted</v>
      </c>
      <c r="D927" s="6" t="s">
        <v>3070</v>
      </c>
      <c r="E927" s="45" t="s">
        <v>2401</v>
      </c>
      <c r="F927" t="s">
        <v>2579</v>
      </c>
      <c r="G927" s="45" t="s">
        <v>2409</v>
      </c>
      <c r="H927" s="47">
        <v>2552</v>
      </c>
      <c r="I927" s="324" t="s">
        <v>43</v>
      </c>
      <c r="J927" s="255" t="str">
        <f>IF(ISBLANK(INDEX('Policy Characteristics'!D:D,MATCH($C927,'Policy Characteristics'!$C:$C,0))),"",INDEX('Policy Characteristics'!D:D,MATCH($C927,'Policy Characteristics'!$C:$C,0)))</f>
        <v>Feedstock Shifting</v>
      </c>
      <c r="K927" s="254" t="str">
        <f>IF(ISBLANK(INDEX('Policy Characteristics'!E:E,MATCH($C927,'Policy Characteristics'!$C:$C,0))),"",INDEX('Policy Characteristics'!E:E,MATCH($C927,'Policy Characteristics'!$C:$C,0)))</f>
        <v>indst feedstock shifting</v>
      </c>
      <c r="L927" s="261">
        <f>IF(ISBLANK(INDEX('Policy Characteristics'!F:F,MATCH($C927,'Policy Characteristics'!$C:$C,0))),"",INDEX('Policy Characteristics'!F:F,MATCH($C927,'Policy Characteristics'!$C:$C,0)))</f>
        <v>0</v>
      </c>
      <c r="M927" s="261">
        <f>IF(ISBLANK(INDEX('Policy Characteristics'!G:G,MATCH($C927,'Policy Characteristics'!$C:$C,0))),"",INDEX('Policy Characteristics'!G:G,MATCH($C927,'Policy Characteristics'!$C:$C,0)))</f>
        <v>1</v>
      </c>
      <c r="N927" s="261">
        <f>IF(ISBLANK(INDEX('Policy Characteristics'!H:H,MATCH($C927,'Policy Characteristics'!$C:$C,0))),"",INDEX('Policy Characteristics'!H:H,MATCH($C927,'Policy Characteristics'!$C:$C,0)))</f>
        <v>0.01</v>
      </c>
      <c r="O927" s="254" t="str">
        <f>IF(ISBLANK(INDEX('Policy Characteristics'!I:I,MATCH($C927,'Policy Characteristics'!$C:$C,0))),"",INDEX('Policy Characteristics'!I:I,MATCH($C927,'Policy Characteristics'!$C:$C,0)))</f>
        <v>% of potential achieved</v>
      </c>
      <c r="P927" s="254"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4" t="str">
        <f>IF(ISBLANK(INDEX('Policy Characteristics'!K:K,MATCH($C927,'Policy Characteristics'!$C:$C,0))),"",INDEX('Policy Characteristics'!K:K,MATCH($C927,'Policy Characteristics'!$C:$C,0)))</f>
        <v/>
      </c>
      <c r="R927" s="254" t="str">
        <f>IF(ISBLANK(INDEX('Policy Characteristics'!L:L,MATCH($C927,'Policy Characteristics'!$C:$C,0))),"",INDEX('Policy Characteristics'!L:L,MATCH($C927,'Policy Characteristics'!$C:$C,0)))</f>
        <v/>
      </c>
    </row>
    <row r="928" spans="1:18" s="2" customFormat="1" x14ac:dyDescent="0.3">
      <c r="A928" s="254" t="str">
        <f>IF(ISBLANK(INDEX('Policy Characteristics'!A:A,MATCH($C928,'Policy Characteristics'!$C:$C,0))),"",INDEX('Policy Characteristics'!A:A,MATCH($C928,'Policy Characteristics'!$C:$C,0)))</f>
        <v>Industry</v>
      </c>
      <c r="B928" s="262" t="str">
        <f>IF(ISBLANK(INDEX('Policy Characteristics'!B:B,MATCH($C928,'Policy Characteristics'!$C:$C,0))),"",INDEX('Policy Characteristics'!B:B,MATCH($C928,'Policy Characteristics'!$C:$C,0)))</f>
        <v>Feedstock Shifting</v>
      </c>
      <c r="C928" s="254" t="str">
        <f t="shared" si="41"/>
        <v>Fraction of Feedstock Shifted</v>
      </c>
      <c r="D928" s="6" t="s">
        <v>3070</v>
      </c>
      <c r="E928" s="45" t="s">
        <v>2402</v>
      </c>
      <c r="F928" t="s">
        <v>2579</v>
      </c>
      <c r="G928" s="45" t="s">
        <v>2406</v>
      </c>
      <c r="H928" s="47">
        <v>2553</v>
      </c>
      <c r="I928" s="324" t="s">
        <v>44</v>
      </c>
      <c r="J928" s="255" t="str">
        <f>IF(ISBLANK(INDEX('Policy Characteristics'!D:D,MATCH($C928,'Policy Characteristics'!$C:$C,0))),"",INDEX('Policy Characteristics'!D:D,MATCH($C928,'Policy Characteristics'!$C:$C,0)))</f>
        <v>Feedstock Shifting</v>
      </c>
      <c r="K928" s="254" t="str">
        <f>IF(ISBLANK(INDEX('Policy Characteristics'!E:E,MATCH($C928,'Policy Characteristics'!$C:$C,0))),"",INDEX('Policy Characteristics'!E:E,MATCH($C928,'Policy Characteristics'!$C:$C,0)))</f>
        <v>indst feedstock shifting</v>
      </c>
      <c r="L928" s="261">
        <f>IF(ISBLANK(INDEX('Policy Characteristics'!F:F,MATCH($C928,'Policy Characteristics'!$C:$C,0))),"",INDEX('Policy Characteristics'!F:F,MATCH($C928,'Policy Characteristics'!$C:$C,0)))</f>
        <v>0</v>
      </c>
      <c r="M928" s="261">
        <f>IF(ISBLANK(INDEX('Policy Characteristics'!G:G,MATCH($C928,'Policy Characteristics'!$C:$C,0))),"",INDEX('Policy Characteristics'!G:G,MATCH($C928,'Policy Characteristics'!$C:$C,0)))</f>
        <v>1</v>
      </c>
      <c r="N928" s="261">
        <f>IF(ISBLANK(INDEX('Policy Characteristics'!H:H,MATCH($C928,'Policy Characteristics'!$C:$C,0))),"",INDEX('Policy Characteristics'!H:H,MATCH($C928,'Policy Characteristics'!$C:$C,0)))</f>
        <v>0.01</v>
      </c>
      <c r="O928" s="254" t="str">
        <f>IF(ISBLANK(INDEX('Policy Characteristics'!I:I,MATCH($C928,'Policy Characteristics'!$C:$C,0))),"",INDEX('Policy Characteristics'!I:I,MATCH($C928,'Policy Characteristics'!$C:$C,0)))</f>
        <v>% of potential achieved</v>
      </c>
      <c r="P928" s="254"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4" t="str">
        <f>IF(ISBLANK(INDEX('Policy Characteristics'!K:K,MATCH($C928,'Policy Characteristics'!$C:$C,0))),"",INDEX('Policy Characteristics'!K:K,MATCH($C928,'Policy Characteristics'!$C:$C,0)))</f>
        <v/>
      </c>
      <c r="R928" s="254" t="str">
        <f>IF(ISBLANK(INDEX('Policy Characteristics'!L:L,MATCH($C928,'Policy Characteristics'!$C:$C,0))),"",INDEX('Policy Characteristics'!L:L,MATCH($C928,'Policy Characteristics'!$C:$C,0)))</f>
        <v/>
      </c>
    </row>
    <row r="929" spans="1:18" s="2" customFormat="1" x14ac:dyDescent="0.3">
      <c r="A929" s="254" t="str">
        <f>IF(ISBLANK(INDEX('Policy Characteristics'!A:A,MATCH($C929,'Policy Characteristics'!$C:$C,0))),"",INDEX('Policy Characteristics'!A:A,MATCH($C929,'Policy Characteristics'!$C:$C,0)))</f>
        <v>Industry</v>
      </c>
      <c r="B929" s="262" t="str">
        <f>IF(ISBLANK(INDEX('Policy Characteristics'!B:B,MATCH($C929,'Policy Characteristics'!$C:$C,0))),"",INDEX('Policy Characteristics'!B:B,MATCH($C929,'Policy Characteristics'!$C:$C,0)))</f>
        <v>Feedstock Shifting</v>
      </c>
      <c r="C929" s="254" t="str">
        <f t="shared" si="41"/>
        <v>Fraction of Feedstock Shifted</v>
      </c>
      <c r="D929" s="6" t="s">
        <v>3070</v>
      </c>
      <c r="E929" s="45" t="s">
        <v>2403</v>
      </c>
      <c r="F929" t="s">
        <v>2579</v>
      </c>
      <c r="G929" s="45" t="s">
        <v>2407</v>
      </c>
      <c r="H929" s="47">
        <v>2554</v>
      </c>
      <c r="I929" s="324" t="s">
        <v>44</v>
      </c>
      <c r="J929" s="255" t="str">
        <f>IF(ISBLANK(INDEX('Policy Characteristics'!D:D,MATCH($C929,'Policy Characteristics'!$C:$C,0))),"",INDEX('Policy Characteristics'!D:D,MATCH($C929,'Policy Characteristics'!$C:$C,0)))</f>
        <v>Feedstock Shifting</v>
      </c>
      <c r="K929" s="254" t="str">
        <f>IF(ISBLANK(INDEX('Policy Characteristics'!E:E,MATCH($C929,'Policy Characteristics'!$C:$C,0))),"",INDEX('Policy Characteristics'!E:E,MATCH($C929,'Policy Characteristics'!$C:$C,0)))</f>
        <v>indst feedstock shifting</v>
      </c>
      <c r="L929" s="261">
        <f>IF(ISBLANK(INDEX('Policy Characteristics'!F:F,MATCH($C929,'Policy Characteristics'!$C:$C,0))),"",INDEX('Policy Characteristics'!F:F,MATCH($C929,'Policy Characteristics'!$C:$C,0)))</f>
        <v>0</v>
      </c>
      <c r="M929" s="261">
        <f>IF(ISBLANK(INDEX('Policy Characteristics'!G:G,MATCH($C929,'Policy Characteristics'!$C:$C,0))),"",INDEX('Policy Characteristics'!G:G,MATCH($C929,'Policy Characteristics'!$C:$C,0)))</f>
        <v>1</v>
      </c>
      <c r="N929" s="261">
        <f>IF(ISBLANK(INDEX('Policy Characteristics'!H:H,MATCH($C929,'Policy Characteristics'!$C:$C,0))),"",INDEX('Policy Characteristics'!H:H,MATCH($C929,'Policy Characteristics'!$C:$C,0)))</f>
        <v>0.01</v>
      </c>
      <c r="O929" s="254" t="str">
        <f>IF(ISBLANK(INDEX('Policy Characteristics'!I:I,MATCH($C929,'Policy Characteristics'!$C:$C,0))),"",INDEX('Policy Characteristics'!I:I,MATCH($C929,'Policy Characteristics'!$C:$C,0)))</f>
        <v>% of potential achieved</v>
      </c>
      <c r="P929" s="254"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4" t="str">
        <f>IF(ISBLANK(INDEX('Policy Characteristics'!K:K,MATCH($C929,'Policy Characteristics'!$C:$C,0))),"",INDEX('Policy Characteristics'!K:K,MATCH($C929,'Policy Characteristics'!$C:$C,0)))</f>
        <v/>
      </c>
      <c r="R929" s="254" t="str">
        <f>IF(ISBLANK(INDEX('Policy Characteristics'!L:L,MATCH($C929,'Policy Characteristics'!$C:$C,0))),"",INDEX('Policy Characteristics'!L:L,MATCH($C929,'Policy Characteristics'!$C:$C,0)))</f>
        <v/>
      </c>
    </row>
    <row r="930" spans="1:18" s="2" customFormat="1" x14ac:dyDescent="0.3">
      <c r="A930" s="254" t="str">
        <f>IF(ISBLANK(INDEX('Policy Characteristics'!A:A,MATCH($C930,'Policy Characteristics'!$C:$C,0))),"",INDEX('Policy Characteristics'!A:A,MATCH($C930,'Policy Characteristics'!$C:$C,0)))</f>
        <v>Industry</v>
      </c>
      <c r="B930" s="262" t="str">
        <f>IF(ISBLANK(INDEX('Policy Characteristics'!B:B,MATCH($C930,'Policy Characteristics'!$C:$C,0))),"",INDEX('Policy Characteristics'!B:B,MATCH($C930,'Policy Characteristics'!$C:$C,0)))</f>
        <v>Feedstock Shifting</v>
      </c>
      <c r="C930" s="254" t="str">
        <f t="shared" si="41"/>
        <v>Fraction of Feedstock Shifted</v>
      </c>
      <c r="D930" s="6" t="s">
        <v>3070</v>
      </c>
      <c r="E930" s="45" t="s">
        <v>2404</v>
      </c>
      <c r="F930" t="s">
        <v>2579</v>
      </c>
      <c r="G930" s="45" t="s">
        <v>2410</v>
      </c>
      <c r="H930" s="47">
        <v>2555</v>
      </c>
      <c r="I930" s="324" t="s">
        <v>44</v>
      </c>
      <c r="J930" s="255" t="str">
        <f>IF(ISBLANK(INDEX('Policy Characteristics'!D:D,MATCH($C930,'Policy Characteristics'!$C:$C,0))),"",INDEX('Policy Characteristics'!D:D,MATCH($C930,'Policy Characteristics'!$C:$C,0)))</f>
        <v>Feedstock Shifting</v>
      </c>
      <c r="K930" s="254" t="str">
        <f>IF(ISBLANK(INDEX('Policy Characteristics'!E:E,MATCH($C930,'Policy Characteristics'!$C:$C,0))),"",INDEX('Policy Characteristics'!E:E,MATCH($C930,'Policy Characteristics'!$C:$C,0)))</f>
        <v>indst feedstock shifting</v>
      </c>
      <c r="L930" s="261">
        <f>IF(ISBLANK(INDEX('Policy Characteristics'!F:F,MATCH($C930,'Policy Characteristics'!$C:$C,0))),"",INDEX('Policy Characteristics'!F:F,MATCH($C930,'Policy Characteristics'!$C:$C,0)))</f>
        <v>0</v>
      </c>
      <c r="M930" s="261">
        <f>IF(ISBLANK(INDEX('Policy Characteristics'!G:G,MATCH($C930,'Policy Characteristics'!$C:$C,0))),"",INDEX('Policy Characteristics'!G:G,MATCH($C930,'Policy Characteristics'!$C:$C,0)))</f>
        <v>1</v>
      </c>
      <c r="N930" s="261">
        <f>IF(ISBLANK(INDEX('Policy Characteristics'!H:H,MATCH($C930,'Policy Characteristics'!$C:$C,0))),"",INDEX('Policy Characteristics'!H:H,MATCH($C930,'Policy Characteristics'!$C:$C,0)))</f>
        <v>0.01</v>
      </c>
      <c r="O930" s="254" t="str">
        <f>IF(ISBLANK(INDEX('Policy Characteristics'!I:I,MATCH($C930,'Policy Characteristics'!$C:$C,0))),"",INDEX('Policy Characteristics'!I:I,MATCH($C930,'Policy Characteristics'!$C:$C,0)))</f>
        <v>% of potential achieved</v>
      </c>
      <c r="P930" s="254"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4" t="str">
        <f>IF(ISBLANK(INDEX('Policy Characteristics'!K:K,MATCH($C930,'Policy Characteristics'!$C:$C,0))),"",INDEX('Policy Characteristics'!K:K,MATCH($C930,'Policy Characteristics'!$C:$C,0)))</f>
        <v/>
      </c>
      <c r="R930" s="254" t="str">
        <f>IF(ISBLANK(INDEX('Policy Characteristics'!L:L,MATCH($C930,'Policy Characteristics'!$C:$C,0))),"",INDEX('Policy Characteristics'!L:L,MATCH($C930,'Policy Characteristics'!$C:$C,0)))</f>
        <v/>
      </c>
    </row>
    <row r="931" spans="1:18" s="2" customFormat="1" x14ac:dyDescent="0.3">
      <c r="A931" s="254" t="str">
        <f>IF(ISBLANK(INDEX('Policy Characteristics'!A:A,MATCH($C931,'Policy Characteristics'!$C:$C,0))),"",INDEX('Policy Characteristics'!A:A,MATCH($C931,'Policy Characteristics'!$C:$C,0)))</f>
        <v>Industry</v>
      </c>
      <c r="B931" s="262" t="str">
        <f>IF(ISBLANK(INDEX('Policy Characteristics'!B:B,MATCH($C931,'Policy Characteristics'!$C:$C,0))),"",INDEX('Policy Characteristics'!B:B,MATCH($C931,'Policy Characteristics'!$C:$C,0)))</f>
        <v>Feedstock Shifting</v>
      </c>
      <c r="C931" s="254" t="str">
        <f t="shared" si="41"/>
        <v>Fraction of Feedstock Shifted</v>
      </c>
      <c r="D931" s="6" t="s">
        <v>3070</v>
      </c>
      <c r="E931" s="45" t="s">
        <v>2706</v>
      </c>
      <c r="F931" t="s">
        <v>2579</v>
      </c>
      <c r="G931" s="45" t="s">
        <v>2709</v>
      </c>
      <c r="H931" s="47">
        <v>2556</v>
      </c>
      <c r="I931" s="324" t="s">
        <v>44</v>
      </c>
      <c r="J931" s="255" t="str">
        <f>IF(ISBLANK(INDEX('Policy Characteristics'!D:D,MATCH($C931,'Policy Characteristics'!$C:$C,0))),"",INDEX('Policy Characteristics'!D:D,MATCH($C931,'Policy Characteristics'!$C:$C,0)))</f>
        <v>Feedstock Shifting</v>
      </c>
      <c r="K931" s="254" t="str">
        <f>IF(ISBLANK(INDEX('Policy Characteristics'!E:E,MATCH($C931,'Policy Characteristics'!$C:$C,0))),"",INDEX('Policy Characteristics'!E:E,MATCH($C931,'Policy Characteristics'!$C:$C,0)))</f>
        <v>indst feedstock shifting</v>
      </c>
      <c r="L931" s="261">
        <f>IF(ISBLANK(INDEX('Policy Characteristics'!F:F,MATCH($C931,'Policy Characteristics'!$C:$C,0))),"",INDEX('Policy Characteristics'!F:F,MATCH($C931,'Policy Characteristics'!$C:$C,0)))</f>
        <v>0</v>
      </c>
      <c r="M931" s="261">
        <f>IF(ISBLANK(INDEX('Policy Characteristics'!G:G,MATCH($C931,'Policy Characteristics'!$C:$C,0))),"",INDEX('Policy Characteristics'!G:G,MATCH($C931,'Policy Characteristics'!$C:$C,0)))</f>
        <v>1</v>
      </c>
      <c r="N931" s="261">
        <f>IF(ISBLANK(INDEX('Policy Characteristics'!H:H,MATCH($C931,'Policy Characteristics'!$C:$C,0))),"",INDEX('Policy Characteristics'!H:H,MATCH($C931,'Policy Characteristics'!$C:$C,0)))</f>
        <v>0.01</v>
      </c>
      <c r="O931" s="254" t="str">
        <f>IF(ISBLANK(INDEX('Policy Characteristics'!I:I,MATCH($C931,'Policy Characteristics'!$C:$C,0))),"",INDEX('Policy Characteristics'!I:I,MATCH($C931,'Policy Characteristics'!$C:$C,0)))</f>
        <v>% of potential achieved</v>
      </c>
      <c r="P931" s="254"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4" t="str">
        <f>IF(ISBLANK(INDEX('Policy Characteristics'!K:K,MATCH($C931,'Policy Characteristics'!$C:$C,0))),"",INDEX('Policy Characteristics'!K:K,MATCH($C931,'Policy Characteristics'!$C:$C,0)))</f>
        <v/>
      </c>
      <c r="R931" s="254" t="str">
        <f>IF(ISBLANK(INDEX('Policy Characteristics'!L:L,MATCH($C931,'Policy Characteristics'!$C:$C,0))),"",INDEX('Policy Characteristics'!L:L,MATCH($C931,'Policy Characteristics'!$C:$C,0)))</f>
        <v/>
      </c>
    </row>
    <row r="932" spans="1:18" s="2" customFormat="1" x14ac:dyDescent="0.3">
      <c r="A932" s="254" t="str">
        <f>IF(ISBLANK(INDEX('Policy Characteristics'!A:A,MATCH($C932,'Policy Characteristics'!$C:$C,0))),"",INDEX('Policy Characteristics'!A:A,MATCH($C932,'Policy Characteristics'!$C:$C,0)))</f>
        <v>Industry</v>
      </c>
      <c r="B932" s="262" t="str">
        <f>IF(ISBLANK(INDEX('Policy Characteristics'!B:B,MATCH($C932,'Policy Characteristics'!$C:$C,0))),"",INDEX('Policy Characteristics'!B:B,MATCH($C932,'Policy Characteristics'!$C:$C,0)))</f>
        <v>Feedstock Shifting</v>
      </c>
      <c r="C932" s="254" t="str">
        <f t="shared" si="41"/>
        <v>Fraction of Feedstock Shifted</v>
      </c>
      <c r="D932" s="6" t="s">
        <v>3070</v>
      </c>
      <c r="E932" s="45" t="s">
        <v>2707</v>
      </c>
      <c r="F932" t="s">
        <v>2579</v>
      </c>
      <c r="G932" s="45" t="s">
        <v>2711</v>
      </c>
      <c r="H932" s="47">
        <v>2557</v>
      </c>
      <c r="I932" s="324" t="s">
        <v>44</v>
      </c>
      <c r="J932" s="255" t="str">
        <f>IF(ISBLANK(INDEX('Policy Characteristics'!D:D,MATCH($C932,'Policy Characteristics'!$C:$C,0))),"",INDEX('Policy Characteristics'!D:D,MATCH($C932,'Policy Characteristics'!$C:$C,0)))</f>
        <v>Feedstock Shifting</v>
      </c>
      <c r="K932" s="254" t="str">
        <f>IF(ISBLANK(INDEX('Policy Characteristics'!E:E,MATCH($C932,'Policy Characteristics'!$C:$C,0))),"",INDEX('Policy Characteristics'!E:E,MATCH($C932,'Policy Characteristics'!$C:$C,0)))</f>
        <v>indst feedstock shifting</v>
      </c>
      <c r="L932" s="261">
        <f>IF(ISBLANK(INDEX('Policy Characteristics'!F:F,MATCH($C932,'Policy Characteristics'!$C:$C,0))),"",INDEX('Policy Characteristics'!F:F,MATCH($C932,'Policy Characteristics'!$C:$C,0)))</f>
        <v>0</v>
      </c>
      <c r="M932" s="261">
        <f>IF(ISBLANK(INDEX('Policy Characteristics'!G:G,MATCH($C932,'Policy Characteristics'!$C:$C,0))),"",INDEX('Policy Characteristics'!G:G,MATCH($C932,'Policy Characteristics'!$C:$C,0)))</f>
        <v>1</v>
      </c>
      <c r="N932" s="261">
        <f>IF(ISBLANK(INDEX('Policy Characteristics'!H:H,MATCH($C932,'Policy Characteristics'!$C:$C,0))),"",INDEX('Policy Characteristics'!H:H,MATCH($C932,'Policy Characteristics'!$C:$C,0)))</f>
        <v>0.01</v>
      </c>
      <c r="O932" s="254" t="str">
        <f>IF(ISBLANK(INDEX('Policy Characteristics'!I:I,MATCH($C932,'Policy Characteristics'!$C:$C,0))),"",INDEX('Policy Characteristics'!I:I,MATCH($C932,'Policy Characteristics'!$C:$C,0)))</f>
        <v>% of potential achieved</v>
      </c>
      <c r="P932" s="254"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4" t="str">
        <f>IF(ISBLANK(INDEX('Policy Characteristics'!K:K,MATCH($C932,'Policy Characteristics'!$C:$C,0))),"",INDEX('Policy Characteristics'!K:K,MATCH($C932,'Policy Characteristics'!$C:$C,0)))</f>
        <v/>
      </c>
      <c r="R932" s="254" t="str">
        <f>IF(ISBLANK(INDEX('Policy Characteristics'!L:L,MATCH($C932,'Policy Characteristics'!$C:$C,0))),"",INDEX('Policy Characteristics'!L:L,MATCH($C932,'Policy Characteristics'!$C:$C,0)))</f>
        <v/>
      </c>
    </row>
    <row r="933" spans="1:18" s="2" customFormat="1" x14ac:dyDescent="0.3">
      <c r="A933" s="254" t="str">
        <f>IF(ISBLANK(INDEX('Policy Characteristics'!A:A,MATCH($C933,'Policy Characteristics'!$C:$C,0))),"",INDEX('Policy Characteristics'!A:A,MATCH($C933,'Policy Characteristics'!$C:$C,0)))</f>
        <v>Industry</v>
      </c>
      <c r="B933" s="262" t="str">
        <f>IF(ISBLANK(INDEX('Policy Characteristics'!B:B,MATCH($C933,'Policy Characteristics'!$C:$C,0))),"",INDEX('Policy Characteristics'!B:B,MATCH($C933,'Policy Characteristics'!$C:$C,0)))</f>
        <v>Feedstock Shifting</v>
      </c>
      <c r="C933" s="254" t="str">
        <f t="shared" si="41"/>
        <v>Fraction of Feedstock Shifted</v>
      </c>
      <c r="D933" s="6" t="s">
        <v>3070</v>
      </c>
      <c r="E933" s="45" t="s">
        <v>2708</v>
      </c>
      <c r="F933" t="s">
        <v>2579</v>
      </c>
      <c r="G933" s="45" t="s">
        <v>2712</v>
      </c>
      <c r="H933" s="47">
        <v>2558</v>
      </c>
      <c r="I933" s="324" t="s">
        <v>44</v>
      </c>
      <c r="J933" s="255" t="str">
        <f>IF(ISBLANK(INDEX('Policy Characteristics'!D:D,MATCH($C933,'Policy Characteristics'!$C:$C,0))),"",INDEX('Policy Characteristics'!D:D,MATCH($C933,'Policy Characteristics'!$C:$C,0)))</f>
        <v>Feedstock Shifting</v>
      </c>
      <c r="K933" s="254" t="str">
        <f>IF(ISBLANK(INDEX('Policy Characteristics'!E:E,MATCH($C933,'Policy Characteristics'!$C:$C,0))),"",INDEX('Policy Characteristics'!E:E,MATCH($C933,'Policy Characteristics'!$C:$C,0)))</f>
        <v>indst feedstock shifting</v>
      </c>
      <c r="L933" s="261">
        <f>IF(ISBLANK(INDEX('Policy Characteristics'!F:F,MATCH($C933,'Policy Characteristics'!$C:$C,0))),"",INDEX('Policy Characteristics'!F:F,MATCH($C933,'Policy Characteristics'!$C:$C,0)))</f>
        <v>0</v>
      </c>
      <c r="M933" s="261">
        <f>IF(ISBLANK(INDEX('Policy Characteristics'!G:G,MATCH($C933,'Policy Characteristics'!$C:$C,0))),"",INDEX('Policy Characteristics'!G:G,MATCH($C933,'Policy Characteristics'!$C:$C,0)))</f>
        <v>1</v>
      </c>
      <c r="N933" s="261">
        <f>IF(ISBLANK(INDEX('Policy Characteristics'!H:H,MATCH($C933,'Policy Characteristics'!$C:$C,0))),"",INDEX('Policy Characteristics'!H:H,MATCH($C933,'Policy Characteristics'!$C:$C,0)))</f>
        <v>0.01</v>
      </c>
      <c r="O933" s="254" t="str">
        <f>IF(ISBLANK(INDEX('Policy Characteristics'!I:I,MATCH($C933,'Policy Characteristics'!$C:$C,0))),"",INDEX('Policy Characteristics'!I:I,MATCH($C933,'Policy Characteristics'!$C:$C,0)))</f>
        <v>% of potential achieved</v>
      </c>
      <c r="P933" s="254"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4" t="str">
        <f>IF(ISBLANK(INDEX('Policy Characteristics'!K:K,MATCH($C933,'Policy Characteristics'!$C:$C,0))),"",INDEX('Policy Characteristics'!K:K,MATCH($C933,'Policy Characteristics'!$C:$C,0)))</f>
        <v/>
      </c>
      <c r="R933" s="254" t="str">
        <f>IF(ISBLANK(INDEX('Policy Characteristics'!L:L,MATCH($C933,'Policy Characteristics'!$C:$C,0))),"",INDEX('Policy Characteristics'!L:L,MATCH($C933,'Policy Characteristics'!$C:$C,0)))</f>
        <v/>
      </c>
    </row>
    <row r="934" spans="1:18" s="2" customFormat="1" x14ac:dyDescent="0.3">
      <c r="A934" s="254" t="str">
        <f>IF(ISBLANK(INDEX('Policy Characteristics'!A:A,MATCH($C934,'Policy Characteristics'!$C:$C,0))),"",INDEX('Policy Characteristics'!A:A,MATCH($C934,'Policy Characteristics'!$C:$C,0)))</f>
        <v>Industry</v>
      </c>
      <c r="B934" s="262" t="str">
        <f>IF(ISBLANK(INDEX('Policy Characteristics'!B:B,MATCH($C934,'Policy Characteristics'!$C:$C,0))),"",INDEX('Policy Characteristics'!B:B,MATCH($C934,'Policy Characteristics'!$C:$C,0)))</f>
        <v>Feedstock Shifting</v>
      </c>
      <c r="C934" s="254" t="str">
        <f t="shared" si="41"/>
        <v>Fraction of Feedstock Shifted</v>
      </c>
      <c r="D934" s="6" t="s">
        <v>3070</v>
      </c>
      <c r="E934" s="45" t="s">
        <v>2705</v>
      </c>
      <c r="F934" t="s">
        <v>2579</v>
      </c>
      <c r="G934" s="45" t="s">
        <v>2710</v>
      </c>
      <c r="H934" s="47">
        <v>2559</v>
      </c>
      <c r="I934" s="324" t="s">
        <v>44</v>
      </c>
      <c r="J934" s="255" t="str">
        <f>IF(ISBLANK(INDEX('Policy Characteristics'!D:D,MATCH($C934,'Policy Characteristics'!$C:$C,0))),"",INDEX('Policy Characteristics'!D:D,MATCH($C934,'Policy Characteristics'!$C:$C,0)))</f>
        <v>Feedstock Shifting</v>
      </c>
      <c r="K934" s="254" t="str">
        <f>IF(ISBLANK(INDEX('Policy Characteristics'!E:E,MATCH($C934,'Policy Characteristics'!$C:$C,0))),"",INDEX('Policy Characteristics'!E:E,MATCH($C934,'Policy Characteristics'!$C:$C,0)))</f>
        <v>indst feedstock shifting</v>
      </c>
      <c r="L934" s="261">
        <f>IF(ISBLANK(INDEX('Policy Characteristics'!F:F,MATCH($C934,'Policy Characteristics'!$C:$C,0))),"",INDEX('Policy Characteristics'!F:F,MATCH($C934,'Policy Characteristics'!$C:$C,0)))</f>
        <v>0</v>
      </c>
      <c r="M934" s="261">
        <f>IF(ISBLANK(INDEX('Policy Characteristics'!G:G,MATCH($C934,'Policy Characteristics'!$C:$C,0))),"",INDEX('Policy Characteristics'!G:G,MATCH($C934,'Policy Characteristics'!$C:$C,0)))</f>
        <v>1</v>
      </c>
      <c r="N934" s="261">
        <f>IF(ISBLANK(INDEX('Policy Characteristics'!H:H,MATCH($C934,'Policy Characteristics'!$C:$C,0))),"",INDEX('Policy Characteristics'!H:H,MATCH($C934,'Policy Characteristics'!$C:$C,0)))</f>
        <v>0.01</v>
      </c>
      <c r="O934" s="254" t="str">
        <f>IF(ISBLANK(INDEX('Policy Characteristics'!I:I,MATCH($C934,'Policy Characteristics'!$C:$C,0))),"",INDEX('Policy Characteristics'!I:I,MATCH($C934,'Policy Characteristics'!$C:$C,0)))</f>
        <v>% of potential achieved</v>
      </c>
      <c r="P934" s="254"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4" t="str">
        <f>IF(ISBLANK(INDEX('Policy Characteristics'!K:K,MATCH($C934,'Policy Characteristics'!$C:$C,0))),"",INDEX('Policy Characteristics'!K:K,MATCH($C934,'Policy Characteristics'!$C:$C,0)))</f>
        <v/>
      </c>
      <c r="R934" s="254" t="str">
        <f>IF(ISBLANK(INDEX('Policy Characteristics'!L:L,MATCH($C934,'Policy Characteristics'!$C:$C,0))),"",INDEX('Policy Characteristics'!L:L,MATCH($C934,'Policy Characteristics'!$C:$C,0)))</f>
        <v/>
      </c>
    </row>
    <row r="935" spans="1:18" s="2" customFormat="1" x14ac:dyDescent="0.3">
      <c r="A935" s="254" t="str">
        <f>IF(ISBLANK(INDEX('Policy Characteristics'!A:A,MATCH($C935,'Policy Characteristics'!$C:$C,0))),"",INDEX('Policy Characteristics'!A:A,MATCH($C935,'Policy Characteristics'!$C:$C,0)))</f>
        <v>Industry</v>
      </c>
      <c r="B935" s="262" t="str">
        <f>IF(ISBLANK(INDEX('Policy Characteristics'!B:B,MATCH($C935,'Policy Characteristics'!$C:$C,0))),"",INDEX('Policy Characteristics'!B:B,MATCH($C935,'Policy Characteristics'!$C:$C,0)))</f>
        <v>Feedstock Shifting</v>
      </c>
      <c r="C935" s="254" t="str">
        <f t="shared" si="41"/>
        <v>Fraction of Feedstock Shifted</v>
      </c>
      <c r="D935" s="6" t="s">
        <v>3071</v>
      </c>
      <c r="E935" s="45" t="s">
        <v>2399</v>
      </c>
      <c r="F935" t="s">
        <v>3034</v>
      </c>
      <c r="G935" s="45" t="s">
        <v>2405</v>
      </c>
      <c r="H935" s="47">
        <v>2560</v>
      </c>
      <c r="I935" s="324" t="s">
        <v>44</v>
      </c>
      <c r="J935" s="255" t="str">
        <f>IF(ISBLANK(INDEX('Policy Characteristics'!D:D,MATCH($C935,'Policy Characteristics'!$C:$C,0))),"",INDEX('Policy Characteristics'!D:D,MATCH($C935,'Policy Characteristics'!$C:$C,0)))</f>
        <v>Feedstock Shifting</v>
      </c>
      <c r="K935" s="254" t="str">
        <f>IF(ISBLANK(INDEX('Policy Characteristics'!E:E,MATCH($C935,'Policy Characteristics'!$C:$C,0))),"",INDEX('Policy Characteristics'!E:E,MATCH($C935,'Policy Characteristics'!$C:$C,0)))</f>
        <v>indst feedstock shifting</v>
      </c>
      <c r="L935" s="261">
        <f>IF(ISBLANK(INDEX('Policy Characteristics'!F:F,MATCH($C935,'Policy Characteristics'!$C:$C,0))),"",INDEX('Policy Characteristics'!F:F,MATCH($C935,'Policy Characteristics'!$C:$C,0)))</f>
        <v>0</v>
      </c>
      <c r="M935" s="261">
        <f>IF(ISBLANK(INDEX('Policy Characteristics'!G:G,MATCH($C935,'Policy Characteristics'!$C:$C,0))),"",INDEX('Policy Characteristics'!G:G,MATCH($C935,'Policy Characteristics'!$C:$C,0)))</f>
        <v>1</v>
      </c>
      <c r="N935" s="261">
        <f>IF(ISBLANK(INDEX('Policy Characteristics'!H:H,MATCH($C935,'Policy Characteristics'!$C:$C,0))),"",INDEX('Policy Characteristics'!H:H,MATCH($C935,'Policy Characteristics'!$C:$C,0)))</f>
        <v>0.01</v>
      </c>
      <c r="O935" s="254" t="str">
        <f>IF(ISBLANK(INDEX('Policy Characteristics'!I:I,MATCH($C935,'Policy Characteristics'!$C:$C,0))),"",INDEX('Policy Characteristics'!I:I,MATCH($C935,'Policy Characteristics'!$C:$C,0)))</f>
        <v>% of potential achieved</v>
      </c>
      <c r="P935" s="254"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4" t="str">
        <f>IF(ISBLANK(INDEX('Policy Characteristics'!K:K,MATCH($C935,'Policy Characteristics'!$C:$C,0))),"",INDEX('Policy Characteristics'!K:K,MATCH($C935,'Policy Characteristics'!$C:$C,0)))</f>
        <v/>
      </c>
      <c r="R935" s="254" t="str">
        <f>IF(ISBLANK(INDEX('Policy Characteristics'!L:L,MATCH($C935,'Policy Characteristics'!$C:$C,0))),"",INDEX('Policy Characteristics'!L:L,MATCH($C935,'Policy Characteristics'!$C:$C,0)))</f>
        <v/>
      </c>
    </row>
    <row r="936" spans="1:18" s="2" customFormat="1" x14ac:dyDescent="0.3">
      <c r="A936" s="254" t="str">
        <f>IF(ISBLANK(INDEX('Policy Characteristics'!A:A,MATCH($C936,'Policy Characteristics'!$C:$C,0))),"",INDEX('Policy Characteristics'!A:A,MATCH($C936,'Policy Characteristics'!$C:$C,0)))</f>
        <v>Industry</v>
      </c>
      <c r="B936" s="262" t="str">
        <f>IF(ISBLANK(INDEX('Policy Characteristics'!B:B,MATCH($C936,'Policy Characteristics'!$C:$C,0))),"",INDEX('Policy Characteristics'!B:B,MATCH($C936,'Policy Characteristics'!$C:$C,0)))</f>
        <v>Feedstock Shifting</v>
      </c>
      <c r="C936" s="254" t="str">
        <f t="shared" si="41"/>
        <v>Fraction of Feedstock Shifted</v>
      </c>
      <c r="D936" s="6" t="s">
        <v>3071</v>
      </c>
      <c r="E936" s="45" t="s">
        <v>2400</v>
      </c>
      <c r="F936" t="s">
        <v>3034</v>
      </c>
      <c r="G936" s="45" t="s">
        <v>2408</v>
      </c>
      <c r="H936" s="47">
        <v>2561</v>
      </c>
      <c r="I936" s="324" t="s">
        <v>44</v>
      </c>
      <c r="J936" s="255" t="str">
        <f>IF(ISBLANK(INDEX('Policy Characteristics'!D:D,MATCH($C936,'Policy Characteristics'!$C:$C,0))),"",INDEX('Policy Characteristics'!D:D,MATCH($C936,'Policy Characteristics'!$C:$C,0)))</f>
        <v>Feedstock Shifting</v>
      </c>
      <c r="K936" s="254" t="str">
        <f>IF(ISBLANK(INDEX('Policy Characteristics'!E:E,MATCH($C936,'Policy Characteristics'!$C:$C,0))),"",INDEX('Policy Characteristics'!E:E,MATCH($C936,'Policy Characteristics'!$C:$C,0)))</f>
        <v>indst feedstock shifting</v>
      </c>
      <c r="L936" s="261">
        <f>IF(ISBLANK(INDEX('Policy Characteristics'!F:F,MATCH($C936,'Policy Characteristics'!$C:$C,0))),"",INDEX('Policy Characteristics'!F:F,MATCH($C936,'Policy Characteristics'!$C:$C,0)))</f>
        <v>0</v>
      </c>
      <c r="M936" s="261">
        <f>IF(ISBLANK(INDEX('Policy Characteristics'!G:G,MATCH($C936,'Policy Characteristics'!$C:$C,0))),"",INDEX('Policy Characteristics'!G:G,MATCH($C936,'Policy Characteristics'!$C:$C,0)))</f>
        <v>1</v>
      </c>
      <c r="N936" s="261">
        <f>IF(ISBLANK(INDEX('Policy Characteristics'!H:H,MATCH($C936,'Policy Characteristics'!$C:$C,0))),"",INDEX('Policy Characteristics'!H:H,MATCH($C936,'Policy Characteristics'!$C:$C,0)))</f>
        <v>0.01</v>
      </c>
      <c r="O936" s="254" t="str">
        <f>IF(ISBLANK(INDEX('Policy Characteristics'!I:I,MATCH($C936,'Policy Characteristics'!$C:$C,0))),"",INDEX('Policy Characteristics'!I:I,MATCH($C936,'Policy Characteristics'!$C:$C,0)))</f>
        <v>% of potential achieved</v>
      </c>
      <c r="P936" s="254"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4" t="str">
        <f>IF(ISBLANK(INDEX('Policy Characteristics'!K:K,MATCH($C936,'Policy Characteristics'!$C:$C,0))),"",INDEX('Policy Characteristics'!K:K,MATCH($C936,'Policy Characteristics'!$C:$C,0)))</f>
        <v/>
      </c>
      <c r="R936" s="254" t="str">
        <f>IF(ISBLANK(INDEX('Policy Characteristics'!L:L,MATCH($C936,'Policy Characteristics'!$C:$C,0))),"",INDEX('Policy Characteristics'!L:L,MATCH($C936,'Policy Characteristics'!$C:$C,0)))</f>
        <v/>
      </c>
    </row>
    <row r="937" spans="1:18" s="2" customFormat="1" x14ac:dyDescent="0.3">
      <c r="A937" s="254" t="str">
        <f>IF(ISBLANK(INDEX('Policy Characteristics'!A:A,MATCH($C937,'Policy Characteristics'!$C:$C,0))),"",INDEX('Policy Characteristics'!A:A,MATCH($C937,'Policy Characteristics'!$C:$C,0)))</f>
        <v>Industry</v>
      </c>
      <c r="B937" s="262" t="str">
        <f>IF(ISBLANK(INDEX('Policy Characteristics'!B:B,MATCH($C937,'Policy Characteristics'!$C:$C,0))),"",INDEX('Policy Characteristics'!B:B,MATCH($C937,'Policy Characteristics'!$C:$C,0)))</f>
        <v>Feedstock Shifting</v>
      </c>
      <c r="C937" s="254" t="str">
        <f t="shared" si="41"/>
        <v>Fraction of Feedstock Shifted</v>
      </c>
      <c r="D937" s="6" t="s">
        <v>3071</v>
      </c>
      <c r="E937" s="45" t="s">
        <v>2401</v>
      </c>
      <c r="F937" t="s">
        <v>3034</v>
      </c>
      <c r="G937" s="45" t="s">
        <v>2409</v>
      </c>
      <c r="H937" s="47">
        <v>2562</v>
      </c>
      <c r="I937" s="324" t="s">
        <v>44</v>
      </c>
      <c r="J937" s="255" t="str">
        <f>IF(ISBLANK(INDEX('Policy Characteristics'!D:D,MATCH($C937,'Policy Characteristics'!$C:$C,0))),"",INDEX('Policy Characteristics'!D:D,MATCH($C937,'Policy Characteristics'!$C:$C,0)))</f>
        <v>Feedstock Shifting</v>
      </c>
      <c r="K937" s="254" t="str">
        <f>IF(ISBLANK(INDEX('Policy Characteristics'!E:E,MATCH($C937,'Policy Characteristics'!$C:$C,0))),"",INDEX('Policy Characteristics'!E:E,MATCH($C937,'Policy Characteristics'!$C:$C,0)))</f>
        <v>indst feedstock shifting</v>
      </c>
      <c r="L937" s="261">
        <f>IF(ISBLANK(INDEX('Policy Characteristics'!F:F,MATCH($C937,'Policy Characteristics'!$C:$C,0))),"",INDEX('Policy Characteristics'!F:F,MATCH($C937,'Policy Characteristics'!$C:$C,0)))</f>
        <v>0</v>
      </c>
      <c r="M937" s="261">
        <f>IF(ISBLANK(INDEX('Policy Characteristics'!G:G,MATCH($C937,'Policy Characteristics'!$C:$C,0))),"",INDEX('Policy Characteristics'!G:G,MATCH($C937,'Policy Characteristics'!$C:$C,0)))</f>
        <v>1</v>
      </c>
      <c r="N937" s="261">
        <f>IF(ISBLANK(INDEX('Policy Characteristics'!H:H,MATCH($C937,'Policy Characteristics'!$C:$C,0))),"",INDEX('Policy Characteristics'!H:H,MATCH($C937,'Policy Characteristics'!$C:$C,0)))</f>
        <v>0.01</v>
      </c>
      <c r="O937" s="254" t="str">
        <f>IF(ISBLANK(INDEX('Policy Characteristics'!I:I,MATCH($C937,'Policy Characteristics'!$C:$C,0))),"",INDEX('Policy Characteristics'!I:I,MATCH($C937,'Policy Characteristics'!$C:$C,0)))</f>
        <v>% of potential achieved</v>
      </c>
      <c r="P937" s="254"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4" t="str">
        <f>IF(ISBLANK(INDEX('Policy Characteristics'!K:K,MATCH($C937,'Policy Characteristics'!$C:$C,0))),"",INDEX('Policy Characteristics'!K:K,MATCH($C937,'Policy Characteristics'!$C:$C,0)))</f>
        <v/>
      </c>
      <c r="R937" s="254" t="str">
        <f>IF(ISBLANK(INDEX('Policy Characteristics'!L:L,MATCH($C937,'Policy Characteristics'!$C:$C,0))),"",INDEX('Policy Characteristics'!L:L,MATCH($C937,'Policy Characteristics'!$C:$C,0)))</f>
        <v/>
      </c>
    </row>
    <row r="938" spans="1:18" s="2" customFormat="1" x14ac:dyDescent="0.3">
      <c r="A938" s="254" t="str">
        <f>IF(ISBLANK(INDEX('Policy Characteristics'!A:A,MATCH($C938,'Policy Characteristics'!$C:$C,0))),"",INDEX('Policy Characteristics'!A:A,MATCH($C938,'Policy Characteristics'!$C:$C,0)))</f>
        <v>Industry</v>
      </c>
      <c r="B938" s="262" t="str">
        <f>IF(ISBLANK(INDEX('Policy Characteristics'!B:B,MATCH($C938,'Policy Characteristics'!$C:$C,0))),"",INDEX('Policy Characteristics'!B:B,MATCH($C938,'Policy Characteristics'!$C:$C,0)))</f>
        <v>Feedstock Shifting</v>
      </c>
      <c r="C938" s="254" t="str">
        <f t="shared" si="41"/>
        <v>Fraction of Feedstock Shifted</v>
      </c>
      <c r="D938" s="6" t="s">
        <v>3071</v>
      </c>
      <c r="E938" s="45" t="s">
        <v>2402</v>
      </c>
      <c r="F938" t="s">
        <v>3034</v>
      </c>
      <c r="G938" s="45" t="s">
        <v>2406</v>
      </c>
      <c r="H938" s="47">
        <v>2563</v>
      </c>
      <c r="I938" s="324" t="s">
        <v>44</v>
      </c>
      <c r="J938" s="255" t="str">
        <f>IF(ISBLANK(INDEX('Policy Characteristics'!D:D,MATCH($C938,'Policy Characteristics'!$C:$C,0))),"",INDEX('Policy Characteristics'!D:D,MATCH($C938,'Policy Characteristics'!$C:$C,0)))</f>
        <v>Feedstock Shifting</v>
      </c>
      <c r="K938" s="254" t="str">
        <f>IF(ISBLANK(INDEX('Policy Characteristics'!E:E,MATCH($C938,'Policy Characteristics'!$C:$C,0))),"",INDEX('Policy Characteristics'!E:E,MATCH($C938,'Policy Characteristics'!$C:$C,0)))</f>
        <v>indst feedstock shifting</v>
      </c>
      <c r="L938" s="261">
        <f>IF(ISBLANK(INDEX('Policy Characteristics'!F:F,MATCH($C938,'Policy Characteristics'!$C:$C,0))),"",INDEX('Policy Characteristics'!F:F,MATCH($C938,'Policy Characteristics'!$C:$C,0)))</f>
        <v>0</v>
      </c>
      <c r="M938" s="261">
        <f>IF(ISBLANK(INDEX('Policy Characteristics'!G:G,MATCH($C938,'Policy Characteristics'!$C:$C,0))),"",INDEX('Policy Characteristics'!G:G,MATCH($C938,'Policy Characteristics'!$C:$C,0)))</f>
        <v>1</v>
      </c>
      <c r="N938" s="261">
        <f>IF(ISBLANK(INDEX('Policy Characteristics'!H:H,MATCH($C938,'Policy Characteristics'!$C:$C,0))),"",INDEX('Policy Characteristics'!H:H,MATCH($C938,'Policy Characteristics'!$C:$C,0)))</f>
        <v>0.01</v>
      </c>
      <c r="O938" s="254" t="str">
        <f>IF(ISBLANK(INDEX('Policy Characteristics'!I:I,MATCH($C938,'Policy Characteristics'!$C:$C,0))),"",INDEX('Policy Characteristics'!I:I,MATCH($C938,'Policy Characteristics'!$C:$C,0)))</f>
        <v>% of potential achieved</v>
      </c>
      <c r="P938" s="254"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4" t="str">
        <f>IF(ISBLANK(INDEX('Policy Characteristics'!K:K,MATCH($C938,'Policy Characteristics'!$C:$C,0))),"",INDEX('Policy Characteristics'!K:K,MATCH($C938,'Policy Characteristics'!$C:$C,0)))</f>
        <v/>
      </c>
      <c r="R938" s="254" t="str">
        <f>IF(ISBLANK(INDEX('Policy Characteristics'!L:L,MATCH($C938,'Policy Characteristics'!$C:$C,0))),"",INDEX('Policy Characteristics'!L:L,MATCH($C938,'Policy Characteristics'!$C:$C,0)))</f>
        <v/>
      </c>
    </row>
    <row r="939" spans="1:18" s="2" customFormat="1" x14ac:dyDescent="0.3">
      <c r="A939" s="254" t="str">
        <f>IF(ISBLANK(INDEX('Policy Characteristics'!A:A,MATCH($C939,'Policy Characteristics'!$C:$C,0))),"",INDEX('Policy Characteristics'!A:A,MATCH($C939,'Policy Characteristics'!$C:$C,0)))</f>
        <v>Industry</v>
      </c>
      <c r="B939" s="262" t="str">
        <f>IF(ISBLANK(INDEX('Policy Characteristics'!B:B,MATCH($C939,'Policy Characteristics'!$C:$C,0))),"",INDEX('Policy Characteristics'!B:B,MATCH($C939,'Policy Characteristics'!$C:$C,0)))</f>
        <v>Feedstock Shifting</v>
      </c>
      <c r="C939" s="254" t="str">
        <f t="shared" si="41"/>
        <v>Fraction of Feedstock Shifted</v>
      </c>
      <c r="D939" s="6" t="s">
        <v>3071</v>
      </c>
      <c r="E939" s="45" t="s">
        <v>2403</v>
      </c>
      <c r="F939" t="s">
        <v>3034</v>
      </c>
      <c r="G939" s="45" t="s">
        <v>2407</v>
      </c>
      <c r="H939" s="47">
        <v>2564</v>
      </c>
      <c r="I939" s="324" t="s">
        <v>44</v>
      </c>
      <c r="J939" s="255" t="str">
        <f>IF(ISBLANK(INDEX('Policy Characteristics'!D:D,MATCH($C939,'Policy Characteristics'!$C:$C,0))),"",INDEX('Policy Characteristics'!D:D,MATCH($C939,'Policy Characteristics'!$C:$C,0)))</f>
        <v>Feedstock Shifting</v>
      </c>
      <c r="K939" s="254" t="str">
        <f>IF(ISBLANK(INDEX('Policy Characteristics'!E:E,MATCH($C939,'Policy Characteristics'!$C:$C,0))),"",INDEX('Policy Characteristics'!E:E,MATCH($C939,'Policy Characteristics'!$C:$C,0)))</f>
        <v>indst feedstock shifting</v>
      </c>
      <c r="L939" s="261">
        <f>IF(ISBLANK(INDEX('Policy Characteristics'!F:F,MATCH($C939,'Policy Characteristics'!$C:$C,0))),"",INDEX('Policy Characteristics'!F:F,MATCH($C939,'Policy Characteristics'!$C:$C,0)))</f>
        <v>0</v>
      </c>
      <c r="M939" s="261">
        <f>IF(ISBLANK(INDEX('Policy Characteristics'!G:G,MATCH($C939,'Policy Characteristics'!$C:$C,0))),"",INDEX('Policy Characteristics'!G:G,MATCH($C939,'Policy Characteristics'!$C:$C,0)))</f>
        <v>1</v>
      </c>
      <c r="N939" s="261">
        <f>IF(ISBLANK(INDEX('Policy Characteristics'!H:H,MATCH($C939,'Policy Characteristics'!$C:$C,0))),"",INDEX('Policy Characteristics'!H:H,MATCH($C939,'Policy Characteristics'!$C:$C,0)))</f>
        <v>0.01</v>
      </c>
      <c r="O939" s="254" t="str">
        <f>IF(ISBLANK(INDEX('Policy Characteristics'!I:I,MATCH($C939,'Policy Characteristics'!$C:$C,0))),"",INDEX('Policy Characteristics'!I:I,MATCH($C939,'Policy Characteristics'!$C:$C,0)))</f>
        <v>% of potential achieved</v>
      </c>
      <c r="P939" s="254"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4" t="str">
        <f>IF(ISBLANK(INDEX('Policy Characteristics'!K:K,MATCH($C939,'Policy Characteristics'!$C:$C,0))),"",INDEX('Policy Characteristics'!K:K,MATCH($C939,'Policy Characteristics'!$C:$C,0)))</f>
        <v/>
      </c>
      <c r="R939" s="254" t="str">
        <f>IF(ISBLANK(INDEX('Policy Characteristics'!L:L,MATCH($C939,'Policy Characteristics'!$C:$C,0))),"",INDEX('Policy Characteristics'!L:L,MATCH($C939,'Policy Characteristics'!$C:$C,0)))</f>
        <v/>
      </c>
    </row>
    <row r="940" spans="1:18" s="2" customFormat="1" x14ac:dyDescent="0.3">
      <c r="A940" s="254" t="str">
        <f>IF(ISBLANK(INDEX('Policy Characteristics'!A:A,MATCH($C940,'Policy Characteristics'!$C:$C,0))),"",INDEX('Policy Characteristics'!A:A,MATCH($C940,'Policy Characteristics'!$C:$C,0)))</f>
        <v>Industry</v>
      </c>
      <c r="B940" s="262" t="str">
        <f>IF(ISBLANK(INDEX('Policy Characteristics'!B:B,MATCH($C940,'Policy Characteristics'!$C:$C,0))),"",INDEX('Policy Characteristics'!B:B,MATCH($C940,'Policy Characteristics'!$C:$C,0)))</f>
        <v>Feedstock Shifting</v>
      </c>
      <c r="C940" s="254" t="str">
        <f t="shared" si="41"/>
        <v>Fraction of Feedstock Shifted</v>
      </c>
      <c r="D940" s="6" t="s">
        <v>3071</v>
      </c>
      <c r="E940" s="45" t="s">
        <v>2404</v>
      </c>
      <c r="F940" t="s">
        <v>3034</v>
      </c>
      <c r="G940" s="45" t="s">
        <v>2410</v>
      </c>
      <c r="H940" s="47">
        <v>2565</v>
      </c>
      <c r="I940" s="324" t="s">
        <v>44</v>
      </c>
      <c r="J940" s="255" t="str">
        <f>IF(ISBLANK(INDEX('Policy Characteristics'!D:D,MATCH($C940,'Policy Characteristics'!$C:$C,0))),"",INDEX('Policy Characteristics'!D:D,MATCH($C940,'Policy Characteristics'!$C:$C,0)))</f>
        <v>Feedstock Shifting</v>
      </c>
      <c r="K940" s="254" t="str">
        <f>IF(ISBLANK(INDEX('Policy Characteristics'!E:E,MATCH($C940,'Policy Characteristics'!$C:$C,0))),"",INDEX('Policy Characteristics'!E:E,MATCH($C940,'Policy Characteristics'!$C:$C,0)))</f>
        <v>indst feedstock shifting</v>
      </c>
      <c r="L940" s="261">
        <f>IF(ISBLANK(INDEX('Policy Characteristics'!F:F,MATCH($C940,'Policy Characteristics'!$C:$C,0))),"",INDEX('Policy Characteristics'!F:F,MATCH($C940,'Policy Characteristics'!$C:$C,0)))</f>
        <v>0</v>
      </c>
      <c r="M940" s="261">
        <f>IF(ISBLANK(INDEX('Policy Characteristics'!G:G,MATCH($C940,'Policy Characteristics'!$C:$C,0))),"",INDEX('Policy Characteristics'!G:G,MATCH($C940,'Policy Characteristics'!$C:$C,0)))</f>
        <v>1</v>
      </c>
      <c r="N940" s="261">
        <f>IF(ISBLANK(INDEX('Policy Characteristics'!H:H,MATCH($C940,'Policy Characteristics'!$C:$C,0))),"",INDEX('Policy Characteristics'!H:H,MATCH($C940,'Policy Characteristics'!$C:$C,0)))</f>
        <v>0.01</v>
      </c>
      <c r="O940" s="254" t="str">
        <f>IF(ISBLANK(INDEX('Policy Characteristics'!I:I,MATCH($C940,'Policy Characteristics'!$C:$C,0))),"",INDEX('Policy Characteristics'!I:I,MATCH($C940,'Policy Characteristics'!$C:$C,0)))</f>
        <v>% of potential achieved</v>
      </c>
      <c r="P940" s="254"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4" t="str">
        <f>IF(ISBLANK(INDEX('Policy Characteristics'!K:K,MATCH($C940,'Policy Characteristics'!$C:$C,0))),"",INDEX('Policy Characteristics'!K:K,MATCH($C940,'Policy Characteristics'!$C:$C,0)))</f>
        <v/>
      </c>
      <c r="R940" s="254" t="str">
        <f>IF(ISBLANK(INDEX('Policy Characteristics'!L:L,MATCH($C940,'Policy Characteristics'!$C:$C,0))),"",INDEX('Policy Characteristics'!L:L,MATCH($C940,'Policy Characteristics'!$C:$C,0)))</f>
        <v/>
      </c>
    </row>
    <row r="941" spans="1:18" s="2" customFormat="1" x14ac:dyDescent="0.3">
      <c r="A941" s="254" t="str">
        <f>IF(ISBLANK(INDEX('Policy Characteristics'!A:A,MATCH($C941,'Policy Characteristics'!$C:$C,0))),"",INDEX('Policy Characteristics'!A:A,MATCH($C941,'Policy Characteristics'!$C:$C,0)))</f>
        <v>Industry</v>
      </c>
      <c r="B941" s="262" t="str">
        <f>IF(ISBLANK(INDEX('Policy Characteristics'!B:B,MATCH($C941,'Policy Characteristics'!$C:$C,0))),"",INDEX('Policy Characteristics'!B:B,MATCH($C941,'Policy Characteristics'!$C:$C,0)))</f>
        <v>Feedstock Shifting</v>
      </c>
      <c r="C941" s="254" t="str">
        <f t="shared" si="41"/>
        <v>Fraction of Feedstock Shifted</v>
      </c>
      <c r="D941" s="6" t="s">
        <v>3071</v>
      </c>
      <c r="E941" s="45" t="s">
        <v>2706</v>
      </c>
      <c r="F941" t="s">
        <v>3034</v>
      </c>
      <c r="G941" s="45" t="s">
        <v>2709</v>
      </c>
      <c r="H941" s="47">
        <v>2566</v>
      </c>
      <c r="I941" s="324" t="s">
        <v>44</v>
      </c>
      <c r="J941" s="255" t="str">
        <f>IF(ISBLANK(INDEX('Policy Characteristics'!D:D,MATCH($C941,'Policy Characteristics'!$C:$C,0))),"",INDEX('Policy Characteristics'!D:D,MATCH($C941,'Policy Characteristics'!$C:$C,0)))</f>
        <v>Feedstock Shifting</v>
      </c>
      <c r="K941" s="254" t="str">
        <f>IF(ISBLANK(INDEX('Policy Characteristics'!E:E,MATCH($C941,'Policy Characteristics'!$C:$C,0))),"",INDEX('Policy Characteristics'!E:E,MATCH($C941,'Policy Characteristics'!$C:$C,0)))</f>
        <v>indst feedstock shifting</v>
      </c>
      <c r="L941" s="261">
        <f>IF(ISBLANK(INDEX('Policy Characteristics'!F:F,MATCH($C941,'Policy Characteristics'!$C:$C,0))),"",INDEX('Policy Characteristics'!F:F,MATCH($C941,'Policy Characteristics'!$C:$C,0)))</f>
        <v>0</v>
      </c>
      <c r="M941" s="261">
        <f>IF(ISBLANK(INDEX('Policy Characteristics'!G:G,MATCH($C941,'Policy Characteristics'!$C:$C,0))),"",INDEX('Policy Characteristics'!G:G,MATCH($C941,'Policy Characteristics'!$C:$C,0)))</f>
        <v>1</v>
      </c>
      <c r="N941" s="261">
        <f>IF(ISBLANK(INDEX('Policy Characteristics'!H:H,MATCH($C941,'Policy Characteristics'!$C:$C,0))),"",INDEX('Policy Characteristics'!H:H,MATCH($C941,'Policy Characteristics'!$C:$C,0)))</f>
        <v>0.01</v>
      </c>
      <c r="O941" s="254" t="str">
        <f>IF(ISBLANK(INDEX('Policy Characteristics'!I:I,MATCH($C941,'Policy Characteristics'!$C:$C,0))),"",INDEX('Policy Characteristics'!I:I,MATCH($C941,'Policy Characteristics'!$C:$C,0)))</f>
        <v>% of potential achieved</v>
      </c>
      <c r="P941" s="254"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4" t="str">
        <f>IF(ISBLANK(INDEX('Policy Characteristics'!K:K,MATCH($C941,'Policy Characteristics'!$C:$C,0))),"",INDEX('Policy Characteristics'!K:K,MATCH($C941,'Policy Characteristics'!$C:$C,0)))</f>
        <v/>
      </c>
      <c r="R941" s="254" t="str">
        <f>IF(ISBLANK(INDEX('Policy Characteristics'!L:L,MATCH($C941,'Policy Characteristics'!$C:$C,0))),"",INDEX('Policy Characteristics'!L:L,MATCH($C941,'Policy Characteristics'!$C:$C,0)))</f>
        <v/>
      </c>
    </row>
    <row r="942" spans="1:18" s="2" customFormat="1" x14ac:dyDescent="0.3">
      <c r="A942" s="254" t="str">
        <f>IF(ISBLANK(INDEX('Policy Characteristics'!A:A,MATCH($C942,'Policy Characteristics'!$C:$C,0))),"",INDEX('Policy Characteristics'!A:A,MATCH($C942,'Policy Characteristics'!$C:$C,0)))</f>
        <v>Industry</v>
      </c>
      <c r="B942" s="262" t="str">
        <f>IF(ISBLANK(INDEX('Policy Characteristics'!B:B,MATCH($C942,'Policy Characteristics'!$C:$C,0))),"",INDEX('Policy Characteristics'!B:B,MATCH($C942,'Policy Characteristics'!$C:$C,0)))</f>
        <v>Feedstock Shifting</v>
      </c>
      <c r="C942" s="254" t="str">
        <f t="shared" si="41"/>
        <v>Fraction of Feedstock Shifted</v>
      </c>
      <c r="D942" s="6" t="s">
        <v>3071</v>
      </c>
      <c r="E942" s="45" t="s">
        <v>2707</v>
      </c>
      <c r="F942" t="s">
        <v>3034</v>
      </c>
      <c r="G942" s="45" t="s">
        <v>2711</v>
      </c>
      <c r="H942" s="47">
        <v>2567</v>
      </c>
      <c r="I942" s="324" t="s">
        <v>44</v>
      </c>
      <c r="J942" s="255" t="str">
        <f>IF(ISBLANK(INDEX('Policy Characteristics'!D:D,MATCH($C942,'Policy Characteristics'!$C:$C,0))),"",INDEX('Policy Characteristics'!D:D,MATCH($C942,'Policy Characteristics'!$C:$C,0)))</f>
        <v>Feedstock Shifting</v>
      </c>
      <c r="K942" s="254" t="str">
        <f>IF(ISBLANK(INDEX('Policy Characteristics'!E:E,MATCH($C942,'Policy Characteristics'!$C:$C,0))),"",INDEX('Policy Characteristics'!E:E,MATCH($C942,'Policy Characteristics'!$C:$C,0)))</f>
        <v>indst feedstock shifting</v>
      </c>
      <c r="L942" s="261">
        <f>IF(ISBLANK(INDEX('Policy Characteristics'!F:F,MATCH($C942,'Policy Characteristics'!$C:$C,0))),"",INDEX('Policy Characteristics'!F:F,MATCH($C942,'Policy Characteristics'!$C:$C,0)))</f>
        <v>0</v>
      </c>
      <c r="M942" s="261">
        <f>IF(ISBLANK(INDEX('Policy Characteristics'!G:G,MATCH($C942,'Policy Characteristics'!$C:$C,0))),"",INDEX('Policy Characteristics'!G:G,MATCH($C942,'Policy Characteristics'!$C:$C,0)))</f>
        <v>1</v>
      </c>
      <c r="N942" s="261">
        <f>IF(ISBLANK(INDEX('Policy Characteristics'!H:H,MATCH($C942,'Policy Characteristics'!$C:$C,0))),"",INDEX('Policy Characteristics'!H:H,MATCH($C942,'Policy Characteristics'!$C:$C,0)))</f>
        <v>0.01</v>
      </c>
      <c r="O942" s="254" t="str">
        <f>IF(ISBLANK(INDEX('Policy Characteristics'!I:I,MATCH($C942,'Policy Characteristics'!$C:$C,0))),"",INDEX('Policy Characteristics'!I:I,MATCH($C942,'Policy Characteristics'!$C:$C,0)))</f>
        <v>% of potential achieved</v>
      </c>
      <c r="P942" s="254"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4" t="str">
        <f>IF(ISBLANK(INDEX('Policy Characteristics'!K:K,MATCH($C942,'Policy Characteristics'!$C:$C,0))),"",INDEX('Policy Characteristics'!K:K,MATCH($C942,'Policy Characteristics'!$C:$C,0)))</f>
        <v/>
      </c>
      <c r="R942" s="254" t="str">
        <f>IF(ISBLANK(INDEX('Policy Characteristics'!L:L,MATCH($C942,'Policy Characteristics'!$C:$C,0))),"",INDEX('Policy Characteristics'!L:L,MATCH($C942,'Policy Characteristics'!$C:$C,0)))</f>
        <v/>
      </c>
    </row>
    <row r="943" spans="1:18" s="2" customFormat="1" x14ac:dyDescent="0.3">
      <c r="A943" s="254" t="str">
        <f>IF(ISBLANK(INDEX('Policy Characteristics'!A:A,MATCH($C943,'Policy Characteristics'!$C:$C,0))),"",INDEX('Policy Characteristics'!A:A,MATCH($C943,'Policy Characteristics'!$C:$C,0)))</f>
        <v>Industry</v>
      </c>
      <c r="B943" s="262" t="str">
        <f>IF(ISBLANK(INDEX('Policy Characteristics'!B:B,MATCH($C943,'Policy Characteristics'!$C:$C,0))),"",INDEX('Policy Characteristics'!B:B,MATCH($C943,'Policy Characteristics'!$C:$C,0)))</f>
        <v>Feedstock Shifting</v>
      </c>
      <c r="C943" s="254" t="str">
        <f t="shared" si="41"/>
        <v>Fraction of Feedstock Shifted</v>
      </c>
      <c r="D943" s="6" t="s">
        <v>3071</v>
      </c>
      <c r="E943" s="45" t="s">
        <v>2708</v>
      </c>
      <c r="F943" t="s">
        <v>3034</v>
      </c>
      <c r="G943" s="45" t="s">
        <v>2712</v>
      </c>
      <c r="H943" s="47">
        <v>2568</v>
      </c>
      <c r="I943" s="324" t="s">
        <v>44</v>
      </c>
      <c r="J943" s="255" t="str">
        <f>IF(ISBLANK(INDEX('Policy Characteristics'!D:D,MATCH($C943,'Policy Characteristics'!$C:$C,0))),"",INDEX('Policy Characteristics'!D:D,MATCH($C943,'Policy Characteristics'!$C:$C,0)))</f>
        <v>Feedstock Shifting</v>
      </c>
      <c r="K943" s="254" t="str">
        <f>IF(ISBLANK(INDEX('Policy Characteristics'!E:E,MATCH($C943,'Policy Characteristics'!$C:$C,0))),"",INDEX('Policy Characteristics'!E:E,MATCH($C943,'Policy Characteristics'!$C:$C,0)))</f>
        <v>indst feedstock shifting</v>
      </c>
      <c r="L943" s="261">
        <f>IF(ISBLANK(INDEX('Policy Characteristics'!F:F,MATCH($C943,'Policy Characteristics'!$C:$C,0))),"",INDEX('Policy Characteristics'!F:F,MATCH($C943,'Policy Characteristics'!$C:$C,0)))</f>
        <v>0</v>
      </c>
      <c r="M943" s="261">
        <f>IF(ISBLANK(INDEX('Policy Characteristics'!G:G,MATCH($C943,'Policy Characteristics'!$C:$C,0))),"",INDEX('Policy Characteristics'!G:G,MATCH($C943,'Policy Characteristics'!$C:$C,0)))</f>
        <v>1</v>
      </c>
      <c r="N943" s="261">
        <f>IF(ISBLANK(INDEX('Policy Characteristics'!H:H,MATCH($C943,'Policy Characteristics'!$C:$C,0))),"",INDEX('Policy Characteristics'!H:H,MATCH($C943,'Policy Characteristics'!$C:$C,0)))</f>
        <v>0.01</v>
      </c>
      <c r="O943" s="254" t="str">
        <f>IF(ISBLANK(INDEX('Policy Characteristics'!I:I,MATCH($C943,'Policy Characteristics'!$C:$C,0))),"",INDEX('Policy Characteristics'!I:I,MATCH($C943,'Policy Characteristics'!$C:$C,0)))</f>
        <v>% of potential achieved</v>
      </c>
      <c r="P943" s="254"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4" t="str">
        <f>IF(ISBLANK(INDEX('Policy Characteristics'!K:K,MATCH($C943,'Policy Characteristics'!$C:$C,0))),"",INDEX('Policy Characteristics'!K:K,MATCH($C943,'Policy Characteristics'!$C:$C,0)))</f>
        <v/>
      </c>
      <c r="R943" s="254" t="str">
        <f>IF(ISBLANK(INDEX('Policy Characteristics'!L:L,MATCH($C943,'Policy Characteristics'!$C:$C,0))),"",INDEX('Policy Characteristics'!L:L,MATCH($C943,'Policy Characteristics'!$C:$C,0)))</f>
        <v/>
      </c>
    </row>
    <row r="944" spans="1:18" s="2" customFormat="1" x14ac:dyDescent="0.3">
      <c r="A944" s="254" t="str">
        <f>IF(ISBLANK(INDEX('Policy Characteristics'!A:A,MATCH($C944,'Policy Characteristics'!$C:$C,0))),"",INDEX('Policy Characteristics'!A:A,MATCH($C944,'Policy Characteristics'!$C:$C,0)))</f>
        <v>Industry</v>
      </c>
      <c r="B944" s="262" t="str">
        <f>IF(ISBLANK(INDEX('Policy Characteristics'!B:B,MATCH($C944,'Policy Characteristics'!$C:$C,0))),"",INDEX('Policy Characteristics'!B:B,MATCH($C944,'Policy Characteristics'!$C:$C,0)))</f>
        <v>Feedstock Shifting</v>
      </c>
      <c r="C944" s="254" t="str">
        <f t="shared" si="41"/>
        <v>Fraction of Feedstock Shifted</v>
      </c>
      <c r="D944" s="6" t="s">
        <v>3071</v>
      </c>
      <c r="E944" s="45" t="s">
        <v>2705</v>
      </c>
      <c r="F944" t="s">
        <v>3034</v>
      </c>
      <c r="G944" s="45" t="s">
        <v>2710</v>
      </c>
      <c r="H944" s="47">
        <v>2569</v>
      </c>
      <c r="I944" s="324" t="s">
        <v>44</v>
      </c>
      <c r="J944" s="255" t="str">
        <f>IF(ISBLANK(INDEX('Policy Characteristics'!D:D,MATCH($C944,'Policy Characteristics'!$C:$C,0))),"",INDEX('Policy Characteristics'!D:D,MATCH($C944,'Policy Characteristics'!$C:$C,0)))</f>
        <v>Feedstock Shifting</v>
      </c>
      <c r="K944" s="254" t="str">
        <f>IF(ISBLANK(INDEX('Policy Characteristics'!E:E,MATCH($C944,'Policy Characteristics'!$C:$C,0))),"",INDEX('Policy Characteristics'!E:E,MATCH($C944,'Policy Characteristics'!$C:$C,0)))</f>
        <v>indst feedstock shifting</v>
      </c>
      <c r="L944" s="261">
        <f>IF(ISBLANK(INDEX('Policy Characteristics'!F:F,MATCH($C944,'Policy Characteristics'!$C:$C,0))),"",INDEX('Policy Characteristics'!F:F,MATCH($C944,'Policy Characteristics'!$C:$C,0)))</f>
        <v>0</v>
      </c>
      <c r="M944" s="261">
        <f>IF(ISBLANK(INDEX('Policy Characteristics'!G:G,MATCH($C944,'Policy Characteristics'!$C:$C,0))),"",INDEX('Policy Characteristics'!G:G,MATCH($C944,'Policy Characteristics'!$C:$C,0)))</f>
        <v>1</v>
      </c>
      <c r="N944" s="261">
        <f>IF(ISBLANK(INDEX('Policy Characteristics'!H:H,MATCH($C944,'Policy Characteristics'!$C:$C,0))),"",INDEX('Policy Characteristics'!H:H,MATCH($C944,'Policy Characteristics'!$C:$C,0)))</f>
        <v>0.01</v>
      </c>
      <c r="O944" s="254" t="str">
        <f>IF(ISBLANK(INDEX('Policy Characteristics'!I:I,MATCH($C944,'Policy Characteristics'!$C:$C,0))),"",INDEX('Policy Characteristics'!I:I,MATCH($C944,'Policy Characteristics'!$C:$C,0)))</f>
        <v>% of potential achieved</v>
      </c>
      <c r="P944" s="254"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4" t="str">
        <f>IF(ISBLANK(INDEX('Policy Characteristics'!K:K,MATCH($C944,'Policy Characteristics'!$C:$C,0))),"",INDEX('Policy Characteristics'!K:K,MATCH($C944,'Policy Characteristics'!$C:$C,0)))</f>
        <v/>
      </c>
      <c r="R944" s="254" t="str">
        <f>IF(ISBLANK(INDEX('Policy Characteristics'!L:L,MATCH($C944,'Policy Characteristics'!$C:$C,0))),"",INDEX('Policy Characteristics'!L:L,MATCH($C944,'Policy Characteristics'!$C:$C,0)))</f>
        <v/>
      </c>
    </row>
    <row r="945" spans="1:18" s="2" customFormat="1" x14ac:dyDescent="0.3">
      <c r="A945" s="254" t="str">
        <f>IF(ISBLANK(INDEX('Policy Characteristics'!A:A,MATCH($C945,'Policy Characteristics'!$C:$C,0))),"",INDEX('Policy Characteristics'!A:A,MATCH($C945,'Policy Characteristics'!$C:$C,0)))</f>
        <v>Industry</v>
      </c>
      <c r="B945" s="262" t="str">
        <f>IF(ISBLANK(INDEX('Policy Characteristics'!B:B,MATCH($C945,'Policy Characteristics'!$C:$C,0))),"",INDEX('Policy Characteristics'!B:B,MATCH($C945,'Policy Characteristics'!$C:$C,0)))</f>
        <v>Feedstock Shifting</v>
      </c>
      <c r="C945" s="254" t="str">
        <f t="shared" si="41"/>
        <v>Fraction of Feedstock Shifted</v>
      </c>
      <c r="D945" s="6" t="s">
        <v>3072</v>
      </c>
      <c r="E945" s="45" t="s">
        <v>2399</v>
      </c>
      <c r="F945" t="s">
        <v>3035</v>
      </c>
      <c r="G945" s="45" t="s">
        <v>2405</v>
      </c>
      <c r="H945" s="47">
        <v>2570</v>
      </c>
      <c r="I945" s="324" t="s">
        <v>44</v>
      </c>
      <c r="J945" s="255" t="str">
        <f>IF(ISBLANK(INDEX('Policy Characteristics'!D:D,MATCH($C945,'Policy Characteristics'!$C:$C,0))),"",INDEX('Policy Characteristics'!D:D,MATCH($C945,'Policy Characteristics'!$C:$C,0)))</f>
        <v>Feedstock Shifting</v>
      </c>
      <c r="K945" s="254" t="str">
        <f>IF(ISBLANK(INDEX('Policy Characteristics'!E:E,MATCH($C945,'Policy Characteristics'!$C:$C,0))),"",INDEX('Policy Characteristics'!E:E,MATCH($C945,'Policy Characteristics'!$C:$C,0)))</f>
        <v>indst feedstock shifting</v>
      </c>
      <c r="L945" s="261">
        <f>IF(ISBLANK(INDEX('Policy Characteristics'!F:F,MATCH($C945,'Policy Characteristics'!$C:$C,0))),"",INDEX('Policy Characteristics'!F:F,MATCH($C945,'Policy Characteristics'!$C:$C,0)))</f>
        <v>0</v>
      </c>
      <c r="M945" s="261">
        <f>IF(ISBLANK(INDEX('Policy Characteristics'!G:G,MATCH($C945,'Policy Characteristics'!$C:$C,0))),"",INDEX('Policy Characteristics'!G:G,MATCH($C945,'Policy Characteristics'!$C:$C,0)))</f>
        <v>1</v>
      </c>
      <c r="N945" s="261">
        <f>IF(ISBLANK(INDEX('Policy Characteristics'!H:H,MATCH($C945,'Policy Characteristics'!$C:$C,0))),"",INDEX('Policy Characteristics'!H:H,MATCH($C945,'Policy Characteristics'!$C:$C,0)))</f>
        <v>0.01</v>
      </c>
      <c r="O945" s="254" t="str">
        <f>IF(ISBLANK(INDEX('Policy Characteristics'!I:I,MATCH($C945,'Policy Characteristics'!$C:$C,0))),"",INDEX('Policy Characteristics'!I:I,MATCH($C945,'Policy Characteristics'!$C:$C,0)))</f>
        <v>% of potential achieved</v>
      </c>
      <c r="P945" s="254"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4" t="str">
        <f>IF(ISBLANK(INDEX('Policy Characteristics'!K:K,MATCH($C945,'Policy Characteristics'!$C:$C,0))),"",INDEX('Policy Characteristics'!K:K,MATCH($C945,'Policy Characteristics'!$C:$C,0)))</f>
        <v/>
      </c>
      <c r="R945" s="254" t="str">
        <f>IF(ISBLANK(INDEX('Policy Characteristics'!L:L,MATCH($C945,'Policy Characteristics'!$C:$C,0))),"",INDEX('Policy Characteristics'!L:L,MATCH($C945,'Policy Characteristics'!$C:$C,0)))</f>
        <v/>
      </c>
    </row>
    <row r="946" spans="1:18" s="2" customFormat="1" x14ac:dyDescent="0.3">
      <c r="A946" s="254" t="str">
        <f>IF(ISBLANK(INDEX('Policy Characteristics'!A:A,MATCH($C946,'Policy Characteristics'!$C:$C,0))),"",INDEX('Policy Characteristics'!A:A,MATCH($C946,'Policy Characteristics'!$C:$C,0)))</f>
        <v>Industry</v>
      </c>
      <c r="B946" s="262" t="str">
        <f>IF(ISBLANK(INDEX('Policy Characteristics'!B:B,MATCH($C946,'Policy Characteristics'!$C:$C,0))),"",INDEX('Policy Characteristics'!B:B,MATCH($C946,'Policy Characteristics'!$C:$C,0)))</f>
        <v>Feedstock Shifting</v>
      </c>
      <c r="C946" s="254" t="str">
        <f t="shared" si="41"/>
        <v>Fraction of Feedstock Shifted</v>
      </c>
      <c r="D946" s="6" t="s">
        <v>3072</v>
      </c>
      <c r="E946" s="45" t="s">
        <v>2400</v>
      </c>
      <c r="F946" t="s">
        <v>3035</v>
      </c>
      <c r="G946" s="45" t="s">
        <v>2408</v>
      </c>
      <c r="H946" s="47">
        <v>2571</v>
      </c>
      <c r="I946" s="324" t="s">
        <v>44</v>
      </c>
      <c r="J946" s="255" t="str">
        <f>IF(ISBLANK(INDEX('Policy Characteristics'!D:D,MATCH($C946,'Policy Characteristics'!$C:$C,0))),"",INDEX('Policy Characteristics'!D:D,MATCH($C946,'Policy Characteristics'!$C:$C,0)))</f>
        <v>Feedstock Shifting</v>
      </c>
      <c r="K946" s="254" t="str">
        <f>IF(ISBLANK(INDEX('Policy Characteristics'!E:E,MATCH($C946,'Policy Characteristics'!$C:$C,0))),"",INDEX('Policy Characteristics'!E:E,MATCH($C946,'Policy Characteristics'!$C:$C,0)))</f>
        <v>indst feedstock shifting</v>
      </c>
      <c r="L946" s="261">
        <f>IF(ISBLANK(INDEX('Policy Characteristics'!F:F,MATCH($C946,'Policy Characteristics'!$C:$C,0))),"",INDEX('Policy Characteristics'!F:F,MATCH($C946,'Policy Characteristics'!$C:$C,0)))</f>
        <v>0</v>
      </c>
      <c r="M946" s="261">
        <f>IF(ISBLANK(INDEX('Policy Characteristics'!G:G,MATCH($C946,'Policy Characteristics'!$C:$C,0))),"",INDEX('Policy Characteristics'!G:G,MATCH($C946,'Policy Characteristics'!$C:$C,0)))</f>
        <v>1</v>
      </c>
      <c r="N946" s="261">
        <f>IF(ISBLANK(INDEX('Policy Characteristics'!H:H,MATCH($C946,'Policy Characteristics'!$C:$C,0))),"",INDEX('Policy Characteristics'!H:H,MATCH($C946,'Policy Characteristics'!$C:$C,0)))</f>
        <v>0.01</v>
      </c>
      <c r="O946" s="254" t="str">
        <f>IF(ISBLANK(INDEX('Policy Characteristics'!I:I,MATCH($C946,'Policy Characteristics'!$C:$C,0))),"",INDEX('Policy Characteristics'!I:I,MATCH($C946,'Policy Characteristics'!$C:$C,0)))</f>
        <v>% of potential achieved</v>
      </c>
      <c r="P946" s="254"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4" t="str">
        <f>IF(ISBLANK(INDEX('Policy Characteristics'!K:K,MATCH($C946,'Policy Characteristics'!$C:$C,0))),"",INDEX('Policy Characteristics'!K:K,MATCH($C946,'Policy Characteristics'!$C:$C,0)))</f>
        <v/>
      </c>
      <c r="R946" s="254" t="str">
        <f>IF(ISBLANK(INDEX('Policy Characteristics'!L:L,MATCH($C946,'Policy Characteristics'!$C:$C,0))),"",INDEX('Policy Characteristics'!L:L,MATCH($C946,'Policy Characteristics'!$C:$C,0)))</f>
        <v/>
      </c>
    </row>
    <row r="947" spans="1:18" s="2" customFormat="1" x14ac:dyDescent="0.3">
      <c r="A947" s="254" t="str">
        <f>IF(ISBLANK(INDEX('Policy Characteristics'!A:A,MATCH($C947,'Policy Characteristics'!$C:$C,0))),"",INDEX('Policy Characteristics'!A:A,MATCH($C947,'Policy Characteristics'!$C:$C,0)))</f>
        <v>Industry</v>
      </c>
      <c r="B947" s="262" t="str">
        <f>IF(ISBLANK(INDEX('Policy Characteristics'!B:B,MATCH($C947,'Policy Characteristics'!$C:$C,0))),"",INDEX('Policy Characteristics'!B:B,MATCH($C947,'Policy Characteristics'!$C:$C,0)))</f>
        <v>Feedstock Shifting</v>
      </c>
      <c r="C947" s="254" t="str">
        <f t="shared" si="41"/>
        <v>Fraction of Feedstock Shifted</v>
      </c>
      <c r="D947" s="6" t="s">
        <v>3072</v>
      </c>
      <c r="E947" s="45" t="s">
        <v>2401</v>
      </c>
      <c r="F947" t="s">
        <v>3035</v>
      </c>
      <c r="G947" s="45" t="s">
        <v>2409</v>
      </c>
      <c r="H947" s="47">
        <v>2572</v>
      </c>
      <c r="I947" s="324" t="s">
        <v>44</v>
      </c>
      <c r="J947" s="255" t="str">
        <f>IF(ISBLANK(INDEX('Policy Characteristics'!D:D,MATCH($C947,'Policy Characteristics'!$C:$C,0))),"",INDEX('Policy Characteristics'!D:D,MATCH($C947,'Policy Characteristics'!$C:$C,0)))</f>
        <v>Feedstock Shifting</v>
      </c>
      <c r="K947" s="254" t="str">
        <f>IF(ISBLANK(INDEX('Policy Characteristics'!E:E,MATCH($C947,'Policy Characteristics'!$C:$C,0))),"",INDEX('Policy Characteristics'!E:E,MATCH($C947,'Policy Characteristics'!$C:$C,0)))</f>
        <v>indst feedstock shifting</v>
      </c>
      <c r="L947" s="261">
        <f>IF(ISBLANK(INDEX('Policy Characteristics'!F:F,MATCH($C947,'Policy Characteristics'!$C:$C,0))),"",INDEX('Policy Characteristics'!F:F,MATCH($C947,'Policy Characteristics'!$C:$C,0)))</f>
        <v>0</v>
      </c>
      <c r="M947" s="261">
        <f>IF(ISBLANK(INDEX('Policy Characteristics'!G:G,MATCH($C947,'Policy Characteristics'!$C:$C,0))),"",INDEX('Policy Characteristics'!G:G,MATCH($C947,'Policy Characteristics'!$C:$C,0)))</f>
        <v>1</v>
      </c>
      <c r="N947" s="261">
        <f>IF(ISBLANK(INDEX('Policy Characteristics'!H:H,MATCH($C947,'Policy Characteristics'!$C:$C,0))),"",INDEX('Policy Characteristics'!H:H,MATCH($C947,'Policy Characteristics'!$C:$C,0)))</f>
        <v>0.01</v>
      </c>
      <c r="O947" s="254" t="str">
        <f>IF(ISBLANK(INDEX('Policy Characteristics'!I:I,MATCH($C947,'Policy Characteristics'!$C:$C,0))),"",INDEX('Policy Characteristics'!I:I,MATCH($C947,'Policy Characteristics'!$C:$C,0)))</f>
        <v>% of potential achieved</v>
      </c>
      <c r="P947" s="254"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4" t="str">
        <f>IF(ISBLANK(INDEX('Policy Characteristics'!K:K,MATCH($C947,'Policy Characteristics'!$C:$C,0))),"",INDEX('Policy Characteristics'!K:K,MATCH($C947,'Policy Characteristics'!$C:$C,0)))</f>
        <v/>
      </c>
      <c r="R947" s="254" t="str">
        <f>IF(ISBLANK(INDEX('Policy Characteristics'!L:L,MATCH($C947,'Policy Characteristics'!$C:$C,0))),"",INDEX('Policy Characteristics'!L:L,MATCH($C947,'Policy Characteristics'!$C:$C,0)))</f>
        <v/>
      </c>
    </row>
    <row r="948" spans="1:18" s="2" customFormat="1" x14ac:dyDescent="0.3">
      <c r="A948" s="254" t="str">
        <f>IF(ISBLANK(INDEX('Policy Characteristics'!A:A,MATCH($C948,'Policy Characteristics'!$C:$C,0))),"",INDEX('Policy Characteristics'!A:A,MATCH($C948,'Policy Characteristics'!$C:$C,0)))</f>
        <v>Industry</v>
      </c>
      <c r="B948" s="262" t="str">
        <f>IF(ISBLANK(INDEX('Policy Characteristics'!B:B,MATCH($C948,'Policy Characteristics'!$C:$C,0))),"",INDEX('Policy Characteristics'!B:B,MATCH($C948,'Policy Characteristics'!$C:$C,0)))</f>
        <v>Feedstock Shifting</v>
      </c>
      <c r="C948" s="254" t="str">
        <f t="shared" si="41"/>
        <v>Fraction of Feedstock Shifted</v>
      </c>
      <c r="D948" s="6" t="s">
        <v>3072</v>
      </c>
      <c r="E948" s="45" t="s">
        <v>2402</v>
      </c>
      <c r="F948" t="s">
        <v>3035</v>
      </c>
      <c r="G948" s="45" t="s">
        <v>2406</v>
      </c>
      <c r="H948" s="47">
        <v>2573</v>
      </c>
      <c r="I948" s="324" t="s">
        <v>44</v>
      </c>
      <c r="J948" s="255" t="str">
        <f>IF(ISBLANK(INDEX('Policy Characteristics'!D:D,MATCH($C948,'Policy Characteristics'!$C:$C,0))),"",INDEX('Policy Characteristics'!D:D,MATCH($C948,'Policy Characteristics'!$C:$C,0)))</f>
        <v>Feedstock Shifting</v>
      </c>
      <c r="K948" s="254" t="str">
        <f>IF(ISBLANK(INDEX('Policy Characteristics'!E:E,MATCH($C948,'Policy Characteristics'!$C:$C,0))),"",INDEX('Policy Characteristics'!E:E,MATCH($C948,'Policy Characteristics'!$C:$C,0)))</f>
        <v>indst feedstock shifting</v>
      </c>
      <c r="L948" s="261">
        <f>IF(ISBLANK(INDEX('Policy Characteristics'!F:F,MATCH($C948,'Policy Characteristics'!$C:$C,0))),"",INDEX('Policy Characteristics'!F:F,MATCH($C948,'Policy Characteristics'!$C:$C,0)))</f>
        <v>0</v>
      </c>
      <c r="M948" s="261">
        <f>IF(ISBLANK(INDEX('Policy Characteristics'!G:G,MATCH($C948,'Policy Characteristics'!$C:$C,0))),"",INDEX('Policy Characteristics'!G:G,MATCH($C948,'Policy Characteristics'!$C:$C,0)))</f>
        <v>1</v>
      </c>
      <c r="N948" s="261">
        <f>IF(ISBLANK(INDEX('Policy Characteristics'!H:H,MATCH($C948,'Policy Characteristics'!$C:$C,0))),"",INDEX('Policy Characteristics'!H:H,MATCH($C948,'Policy Characteristics'!$C:$C,0)))</f>
        <v>0.01</v>
      </c>
      <c r="O948" s="254" t="str">
        <f>IF(ISBLANK(INDEX('Policy Characteristics'!I:I,MATCH($C948,'Policy Characteristics'!$C:$C,0))),"",INDEX('Policy Characteristics'!I:I,MATCH($C948,'Policy Characteristics'!$C:$C,0)))</f>
        <v>% of potential achieved</v>
      </c>
      <c r="P948" s="254"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4" t="str">
        <f>IF(ISBLANK(INDEX('Policy Characteristics'!K:K,MATCH($C948,'Policy Characteristics'!$C:$C,0))),"",INDEX('Policy Characteristics'!K:K,MATCH($C948,'Policy Characteristics'!$C:$C,0)))</f>
        <v/>
      </c>
      <c r="R948" s="254" t="str">
        <f>IF(ISBLANK(INDEX('Policy Characteristics'!L:L,MATCH($C948,'Policy Characteristics'!$C:$C,0))),"",INDEX('Policy Characteristics'!L:L,MATCH($C948,'Policy Characteristics'!$C:$C,0)))</f>
        <v/>
      </c>
    </row>
    <row r="949" spans="1:18" s="2" customFormat="1" x14ac:dyDescent="0.3">
      <c r="A949" s="254" t="str">
        <f>IF(ISBLANK(INDEX('Policy Characteristics'!A:A,MATCH($C949,'Policy Characteristics'!$C:$C,0))),"",INDEX('Policy Characteristics'!A:A,MATCH($C949,'Policy Characteristics'!$C:$C,0)))</f>
        <v>Industry</v>
      </c>
      <c r="B949" s="262" t="str">
        <f>IF(ISBLANK(INDEX('Policy Characteristics'!B:B,MATCH($C949,'Policy Characteristics'!$C:$C,0))),"",INDEX('Policy Characteristics'!B:B,MATCH($C949,'Policy Characteristics'!$C:$C,0)))</f>
        <v>Feedstock Shifting</v>
      </c>
      <c r="C949" s="254" t="str">
        <f t="shared" si="41"/>
        <v>Fraction of Feedstock Shifted</v>
      </c>
      <c r="D949" s="6" t="s">
        <v>3072</v>
      </c>
      <c r="E949" s="45" t="s">
        <v>2403</v>
      </c>
      <c r="F949" t="s">
        <v>3035</v>
      </c>
      <c r="G949" s="45" t="s">
        <v>2407</v>
      </c>
      <c r="H949" s="47">
        <v>2574</v>
      </c>
      <c r="I949" s="324" t="s">
        <v>44</v>
      </c>
      <c r="J949" s="255" t="str">
        <f>IF(ISBLANK(INDEX('Policy Characteristics'!D:D,MATCH($C949,'Policy Characteristics'!$C:$C,0))),"",INDEX('Policy Characteristics'!D:D,MATCH($C949,'Policy Characteristics'!$C:$C,0)))</f>
        <v>Feedstock Shifting</v>
      </c>
      <c r="K949" s="254" t="str">
        <f>IF(ISBLANK(INDEX('Policy Characteristics'!E:E,MATCH($C949,'Policy Characteristics'!$C:$C,0))),"",INDEX('Policy Characteristics'!E:E,MATCH($C949,'Policy Characteristics'!$C:$C,0)))</f>
        <v>indst feedstock shifting</v>
      </c>
      <c r="L949" s="261">
        <f>IF(ISBLANK(INDEX('Policy Characteristics'!F:F,MATCH($C949,'Policy Characteristics'!$C:$C,0))),"",INDEX('Policy Characteristics'!F:F,MATCH($C949,'Policy Characteristics'!$C:$C,0)))</f>
        <v>0</v>
      </c>
      <c r="M949" s="261">
        <f>IF(ISBLANK(INDEX('Policy Characteristics'!G:G,MATCH($C949,'Policy Characteristics'!$C:$C,0))),"",INDEX('Policy Characteristics'!G:G,MATCH($C949,'Policy Characteristics'!$C:$C,0)))</f>
        <v>1</v>
      </c>
      <c r="N949" s="261">
        <f>IF(ISBLANK(INDEX('Policy Characteristics'!H:H,MATCH($C949,'Policy Characteristics'!$C:$C,0))),"",INDEX('Policy Characteristics'!H:H,MATCH($C949,'Policy Characteristics'!$C:$C,0)))</f>
        <v>0.01</v>
      </c>
      <c r="O949" s="254" t="str">
        <f>IF(ISBLANK(INDEX('Policy Characteristics'!I:I,MATCH($C949,'Policy Characteristics'!$C:$C,0))),"",INDEX('Policy Characteristics'!I:I,MATCH($C949,'Policy Characteristics'!$C:$C,0)))</f>
        <v>% of potential achieved</v>
      </c>
      <c r="P949" s="254"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4" t="str">
        <f>IF(ISBLANK(INDEX('Policy Characteristics'!K:K,MATCH($C949,'Policy Characteristics'!$C:$C,0))),"",INDEX('Policy Characteristics'!K:K,MATCH($C949,'Policy Characteristics'!$C:$C,0)))</f>
        <v/>
      </c>
      <c r="R949" s="254" t="str">
        <f>IF(ISBLANK(INDEX('Policy Characteristics'!L:L,MATCH($C949,'Policy Characteristics'!$C:$C,0))),"",INDEX('Policy Characteristics'!L:L,MATCH($C949,'Policy Characteristics'!$C:$C,0)))</f>
        <v/>
      </c>
    </row>
    <row r="950" spans="1:18" s="2" customFormat="1" x14ac:dyDescent="0.3">
      <c r="A950" s="254" t="str">
        <f>IF(ISBLANK(INDEX('Policy Characteristics'!A:A,MATCH($C950,'Policy Characteristics'!$C:$C,0))),"",INDEX('Policy Characteristics'!A:A,MATCH($C950,'Policy Characteristics'!$C:$C,0)))</f>
        <v>Industry</v>
      </c>
      <c r="B950" s="262" t="str">
        <f>IF(ISBLANK(INDEX('Policy Characteristics'!B:B,MATCH($C950,'Policy Characteristics'!$C:$C,0))),"",INDEX('Policy Characteristics'!B:B,MATCH($C950,'Policy Characteristics'!$C:$C,0)))</f>
        <v>Feedstock Shifting</v>
      </c>
      <c r="C950" s="254" t="str">
        <f t="shared" si="41"/>
        <v>Fraction of Feedstock Shifted</v>
      </c>
      <c r="D950" s="6" t="s">
        <v>3072</v>
      </c>
      <c r="E950" s="45" t="s">
        <v>2404</v>
      </c>
      <c r="F950" t="s">
        <v>3035</v>
      </c>
      <c r="G950" s="45" t="s">
        <v>2410</v>
      </c>
      <c r="H950" s="47">
        <v>2575</v>
      </c>
      <c r="I950" s="324" t="s">
        <v>44</v>
      </c>
      <c r="J950" s="255" t="str">
        <f>IF(ISBLANK(INDEX('Policy Characteristics'!D:D,MATCH($C950,'Policy Characteristics'!$C:$C,0))),"",INDEX('Policy Characteristics'!D:D,MATCH($C950,'Policy Characteristics'!$C:$C,0)))</f>
        <v>Feedstock Shifting</v>
      </c>
      <c r="K950" s="254" t="str">
        <f>IF(ISBLANK(INDEX('Policy Characteristics'!E:E,MATCH($C950,'Policy Characteristics'!$C:$C,0))),"",INDEX('Policy Characteristics'!E:E,MATCH($C950,'Policy Characteristics'!$C:$C,0)))</f>
        <v>indst feedstock shifting</v>
      </c>
      <c r="L950" s="261">
        <f>IF(ISBLANK(INDEX('Policy Characteristics'!F:F,MATCH($C950,'Policy Characteristics'!$C:$C,0))),"",INDEX('Policy Characteristics'!F:F,MATCH($C950,'Policy Characteristics'!$C:$C,0)))</f>
        <v>0</v>
      </c>
      <c r="M950" s="261">
        <f>IF(ISBLANK(INDEX('Policy Characteristics'!G:G,MATCH($C950,'Policy Characteristics'!$C:$C,0))),"",INDEX('Policy Characteristics'!G:G,MATCH($C950,'Policy Characteristics'!$C:$C,0)))</f>
        <v>1</v>
      </c>
      <c r="N950" s="261">
        <f>IF(ISBLANK(INDEX('Policy Characteristics'!H:H,MATCH($C950,'Policy Characteristics'!$C:$C,0))),"",INDEX('Policy Characteristics'!H:H,MATCH($C950,'Policy Characteristics'!$C:$C,0)))</f>
        <v>0.01</v>
      </c>
      <c r="O950" s="254" t="str">
        <f>IF(ISBLANK(INDEX('Policy Characteristics'!I:I,MATCH($C950,'Policy Characteristics'!$C:$C,0))),"",INDEX('Policy Characteristics'!I:I,MATCH($C950,'Policy Characteristics'!$C:$C,0)))</f>
        <v>% of potential achieved</v>
      </c>
      <c r="P950" s="254"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4" t="str">
        <f>IF(ISBLANK(INDEX('Policy Characteristics'!K:K,MATCH($C950,'Policy Characteristics'!$C:$C,0))),"",INDEX('Policy Characteristics'!K:K,MATCH($C950,'Policy Characteristics'!$C:$C,0)))</f>
        <v/>
      </c>
      <c r="R950" s="254" t="str">
        <f>IF(ISBLANK(INDEX('Policy Characteristics'!L:L,MATCH($C950,'Policy Characteristics'!$C:$C,0))),"",INDEX('Policy Characteristics'!L:L,MATCH($C950,'Policy Characteristics'!$C:$C,0)))</f>
        <v/>
      </c>
    </row>
    <row r="951" spans="1:18" s="2" customFormat="1" x14ac:dyDescent="0.3">
      <c r="A951" s="254" t="str">
        <f>IF(ISBLANK(INDEX('Policy Characteristics'!A:A,MATCH($C951,'Policy Characteristics'!$C:$C,0))),"",INDEX('Policy Characteristics'!A:A,MATCH($C951,'Policy Characteristics'!$C:$C,0)))</f>
        <v>Industry</v>
      </c>
      <c r="B951" s="262" t="str">
        <f>IF(ISBLANK(INDEX('Policy Characteristics'!B:B,MATCH($C951,'Policy Characteristics'!$C:$C,0))),"",INDEX('Policy Characteristics'!B:B,MATCH($C951,'Policy Characteristics'!$C:$C,0)))</f>
        <v>Feedstock Shifting</v>
      </c>
      <c r="C951" s="254" t="str">
        <f t="shared" si="41"/>
        <v>Fraction of Feedstock Shifted</v>
      </c>
      <c r="D951" s="6" t="s">
        <v>3072</v>
      </c>
      <c r="E951" s="45" t="s">
        <v>2706</v>
      </c>
      <c r="F951" t="s">
        <v>3035</v>
      </c>
      <c r="G951" s="45" t="s">
        <v>2709</v>
      </c>
      <c r="H951" s="47">
        <v>2576</v>
      </c>
      <c r="I951" s="324" t="s">
        <v>44</v>
      </c>
      <c r="J951" s="255" t="str">
        <f>IF(ISBLANK(INDEX('Policy Characteristics'!D:D,MATCH($C951,'Policy Characteristics'!$C:$C,0))),"",INDEX('Policy Characteristics'!D:D,MATCH($C951,'Policy Characteristics'!$C:$C,0)))</f>
        <v>Feedstock Shifting</v>
      </c>
      <c r="K951" s="254" t="str">
        <f>IF(ISBLANK(INDEX('Policy Characteristics'!E:E,MATCH($C951,'Policy Characteristics'!$C:$C,0))),"",INDEX('Policy Characteristics'!E:E,MATCH($C951,'Policy Characteristics'!$C:$C,0)))</f>
        <v>indst feedstock shifting</v>
      </c>
      <c r="L951" s="261">
        <f>IF(ISBLANK(INDEX('Policy Characteristics'!F:F,MATCH($C951,'Policy Characteristics'!$C:$C,0))),"",INDEX('Policy Characteristics'!F:F,MATCH($C951,'Policy Characteristics'!$C:$C,0)))</f>
        <v>0</v>
      </c>
      <c r="M951" s="261">
        <f>IF(ISBLANK(INDEX('Policy Characteristics'!G:G,MATCH($C951,'Policy Characteristics'!$C:$C,0))),"",INDEX('Policy Characteristics'!G:G,MATCH($C951,'Policy Characteristics'!$C:$C,0)))</f>
        <v>1</v>
      </c>
      <c r="N951" s="261">
        <f>IF(ISBLANK(INDEX('Policy Characteristics'!H:H,MATCH($C951,'Policy Characteristics'!$C:$C,0))),"",INDEX('Policy Characteristics'!H:H,MATCH($C951,'Policy Characteristics'!$C:$C,0)))</f>
        <v>0.01</v>
      </c>
      <c r="O951" s="254" t="str">
        <f>IF(ISBLANK(INDEX('Policy Characteristics'!I:I,MATCH($C951,'Policy Characteristics'!$C:$C,0))),"",INDEX('Policy Characteristics'!I:I,MATCH($C951,'Policy Characteristics'!$C:$C,0)))</f>
        <v>% of potential achieved</v>
      </c>
      <c r="P951" s="254"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4" t="str">
        <f>IF(ISBLANK(INDEX('Policy Characteristics'!K:K,MATCH($C951,'Policy Characteristics'!$C:$C,0))),"",INDEX('Policy Characteristics'!K:K,MATCH($C951,'Policy Characteristics'!$C:$C,0)))</f>
        <v/>
      </c>
      <c r="R951" s="254" t="str">
        <f>IF(ISBLANK(INDEX('Policy Characteristics'!L:L,MATCH($C951,'Policy Characteristics'!$C:$C,0))),"",INDEX('Policy Characteristics'!L:L,MATCH($C951,'Policy Characteristics'!$C:$C,0)))</f>
        <v/>
      </c>
    </row>
    <row r="952" spans="1:18" s="2" customFormat="1" x14ac:dyDescent="0.3">
      <c r="A952" s="254" t="str">
        <f>IF(ISBLANK(INDEX('Policy Characteristics'!A:A,MATCH($C952,'Policy Characteristics'!$C:$C,0))),"",INDEX('Policy Characteristics'!A:A,MATCH($C952,'Policy Characteristics'!$C:$C,0)))</f>
        <v>Industry</v>
      </c>
      <c r="B952" s="262" t="str">
        <f>IF(ISBLANK(INDEX('Policy Characteristics'!B:B,MATCH($C952,'Policy Characteristics'!$C:$C,0))),"",INDEX('Policy Characteristics'!B:B,MATCH($C952,'Policy Characteristics'!$C:$C,0)))</f>
        <v>Feedstock Shifting</v>
      </c>
      <c r="C952" s="254" t="str">
        <f t="shared" si="41"/>
        <v>Fraction of Feedstock Shifted</v>
      </c>
      <c r="D952" s="6" t="s">
        <v>3072</v>
      </c>
      <c r="E952" s="45" t="s">
        <v>2707</v>
      </c>
      <c r="F952" t="s">
        <v>3035</v>
      </c>
      <c r="G952" s="45" t="s">
        <v>2711</v>
      </c>
      <c r="H952" s="47">
        <v>2577</v>
      </c>
      <c r="I952" s="324" t="s">
        <v>44</v>
      </c>
      <c r="J952" s="255" t="str">
        <f>IF(ISBLANK(INDEX('Policy Characteristics'!D:D,MATCH($C952,'Policy Characteristics'!$C:$C,0))),"",INDEX('Policy Characteristics'!D:D,MATCH($C952,'Policy Characteristics'!$C:$C,0)))</f>
        <v>Feedstock Shifting</v>
      </c>
      <c r="K952" s="254" t="str">
        <f>IF(ISBLANK(INDEX('Policy Characteristics'!E:E,MATCH($C952,'Policy Characteristics'!$C:$C,0))),"",INDEX('Policy Characteristics'!E:E,MATCH($C952,'Policy Characteristics'!$C:$C,0)))</f>
        <v>indst feedstock shifting</v>
      </c>
      <c r="L952" s="261">
        <f>IF(ISBLANK(INDEX('Policy Characteristics'!F:F,MATCH($C952,'Policy Characteristics'!$C:$C,0))),"",INDEX('Policy Characteristics'!F:F,MATCH($C952,'Policy Characteristics'!$C:$C,0)))</f>
        <v>0</v>
      </c>
      <c r="M952" s="261">
        <f>IF(ISBLANK(INDEX('Policy Characteristics'!G:G,MATCH($C952,'Policy Characteristics'!$C:$C,0))),"",INDEX('Policy Characteristics'!G:G,MATCH($C952,'Policy Characteristics'!$C:$C,0)))</f>
        <v>1</v>
      </c>
      <c r="N952" s="261">
        <f>IF(ISBLANK(INDEX('Policy Characteristics'!H:H,MATCH($C952,'Policy Characteristics'!$C:$C,0))),"",INDEX('Policy Characteristics'!H:H,MATCH($C952,'Policy Characteristics'!$C:$C,0)))</f>
        <v>0.01</v>
      </c>
      <c r="O952" s="254" t="str">
        <f>IF(ISBLANK(INDEX('Policy Characteristics'!I:I,MATCH($C952,'Policy Characteristics'!$C:$C,0))),"",INDEX('Policy Characteristics'!I:I,MATCH($C952,'Policy Characteristics'!$C:$C,0)))</f>
        <v>% of potential achieved</v>
      </c>
      <c r="P952" s="254"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4" t="str">
        <f>IF(ISBLANK(INDEX('Policy Characteristics'!K:K,MATCH($C952,'Policy Characteristics'!$C:$C,0))),"",INDEX('Policy Characteristics'!K:K,MATCH($C952,'Policy Characteristics'!$C:$C,0)))</f>
        <v/>
      </c>
      <c r="R952" s="254" t="str">
        <f>IF(ISBLANK(INDEX('Policy Characteristics'!L:L,MATCH($C952,'Policy Characteristics'!$C:$C,0))),"",INDEX('Policy Characteristics'!L:L,MATCH($C952,'Policy Characteristics'!$C:$C,0)))</f>
        <v/>
      </c>
    </row>
    <row r="953" spans="1:18" s="2" customFormat="1" x14ac:dyDescent="0.3">
      <c r="A953" s="254" t="str">
        <f>IF(ISBLANK(INDEX('Policy Characteristics'!A:A,MATCH($C953,'Policy Characteristics'!$C:$C,0))),"",INDEX('Policy Characteristics'!A:A,MATCH($C953,'Policy Characteristics'!$C:$C,0)))</f>
        <v>Industry</v>
      </c>
      <c r="B953" s="262" t="str">
        <f>IF(ISBLANK(INDEX('Policy Characteristics'!B:B,MATCH($C953,'Policy Characteristics'!$C:$C,0))),"",INDEX('Policy Characteristics'!B:B,MATCH($C953,'Policy Characteristics'!$C:$C,0)))</f>
        <v>Feedstock Shifting</v>
      </c>
      <c r="C953" s="254" t="str">
        <f t="shared" si="41"/>
        <v>Fraction of Feedstock Shifted</v>
      </c>
      <c r="D953" s="6" t="s">
        <v>3072</v>
      </c>
      <c r="E953" s="45" t="s">
        <v>2708</v>
      </c>
      <c r="F953" t="s">
        <v>3035</v>
      </c>
      <c r="G953" s="45" t="s">
        <v>2712</v>
      </c>
      <c r="H953" s="47">
        <v>2578</v>
      </c>
      <c r="I953" s="324" t="s">
        <v>44</v>
      </c>
      <c r="J953" s="255" t="str">
        <f>IF(ISBLANK(INDEX('Policy Characteristics'!D:D,MATCH($C953,'Policy Characteristics'!$C:$C,0))),"",INDEX('Policy Characteristics'!D:D,MATCH($C953,'Policy Characteristics'!$C:$C,0)))</f>
        <v>Feedstock Shifting</v>
      </c>
      <c r="K953" s="254" t="str">
        <f>IF(ISBLANK(INDEX('Policy Characteristics'!E:E,MATCH($C953,'Policy Characteristics'!$C:$C,0))),"",INDEX('Policy Characteristics'!E:E,MATCH($C953,'Policy Characteristics'!$C:$C,0)))</f>
        <v>indst feedstock shifting</v>
      </c>
      <c r="L953" s="261">
        <f>IF(ISBLANK(INDEX('Policy Characteristics'!F:F,MATCH($C953,'Policy Characteristics'!$C:$C,0))),"",INDEX('Policy Characteristics'!F:F,MATCH($C953,'Policy Characteristics'!$C:$C,0)))</f>
        <v>0</v>
      </c>
      <c r="M953" s="261">
        <f>IF(ISBLANK(INDEX('Policy Characteristics'!G:G,MATCH($C953,'Policy Characteristics'!$C:$C,0))),"",INDEX('Policy Characteristics'!G:G,MATCH($C953,'Policy Characteristics'!$C:$C,0)))</f>
        <v>1</v>
      </c>
      <c r="N953" s="261">
        <f>IF(ISBLANK(INDEX('Policy Characteristics'!H:H,MATCH($C953,'Policy Characteristics'!$C:$C,0))),"",INDEX('Policy Characteristics'!H:H,MATCH($C953,'Policy Characteristics'!$C:$C,0)))</f>
        <v>0.01</v>
      </c>
      <c r="O953" s="254" t="str">
        <f>IF(ISBLANK(INDEX('Policy Characteristics'!I:I,MATCH($C953,'Policy Characteristics'!$C:$C,0))),"",INDEX('Policy Characteristics'!I:I,MATCH($C953,'Policy Characteristics'!$C:$C,0)))</f>
        <v>% of potential achieved</v>
      </c>
      <c r="P953" s="254"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4" t="str">
        <f>IF(ISBLANK(INDEX('Policy Characteristics'!K:K,MATCH($C953,'Policy Characteristics'!$C:$C,0))),"",INDEX('Policy Characteristics'!K:K,MATCH($C953,'Policy Characteristics'!$C:$C,0)))</f>
        <v/>
      </c>
      <c r="R953" s="254" t="str">
        <f>IF(ISBLANK(INDEX('Policy Characteristics'!L:L,MATCH($C953,'Policy Characteristics'!$C:$C,0))),"",INDEX('Policy Characteristics'!L:L,MATCH($C953,'Policy Characteristics'!$C:$C,0)))</f>
        <v/>
      </c>
    </row>
    <row r="954" spans="1:18" s="2" customFormat="1" x14ac:dyDescent="0.3">
      <c r="A954" s="254" t="str">
        <f>IF(ISBLANK(INDEX('Policy Characteristics'!A:A,MATCH($C954,'Policy Characteristics'!$C:$C,0))),"",INDEX('Policy Characteristics'!A:A,MATCH($C954,'Policy Characteristics'!$C:$C,0)))</f>
        <v>Industry</v>
      </c>
      <c r="B954" s="262" t="str">
        <f>IF(ISBLANK(INDEX('Policy Characteristics'!B:B,MATCH($C954,'Policy Characteristics'!$C:$C,0))),"",INDEX('Policy Characteristics'!B:B,MATCH($C954,'Policy Characteristics'!$C:$C,0)))</f>
        <v>Feedstock Shifting</v>
      </c>
      <c r="C954" s="254" t="str">
        <f t="shared" si="41"/>
        <v>Fraction of Feedstock Shifted</v>
      </c>
      <c r="D954" s="6" t="s">
        <v>3072</v>
      </c>
      <c r="E954" s="45" t="s">
        <v>2705</v>
      </c>
      <c r="F954" t="s">
        <v>3035</v>
      </c>
      <c r="G954" s="45" t="s">
        <v>2710</v>
      </c>
      <c r="H954" s="47">
        <v>2579</v>
      </c>
      <c r="I954" s="324" t="s">
        <v>44</v>
      </c>
      <c r="J954" s="255" t="str">
        <f>IF(ISBLANK(INDEX('Policy Characteristics'!D:D,MATCH($C954,'Policy Characteristics'!$C:$C,0))),"",INDEX('Policy Characteristics'!D:D,MATCH($C954,'Policy Characteristics'!$C:$C,0)))</f>
        <v>Feedstock Shifting</v>
      </c>
      <c r="K954" s="254" t="str">
        <f>IF(ISBLANK(INDEX('Policy Characteristics'!E:E,MATCH($C954,'Policy Characteristics'!$C:$C,0))),"",INDEX('Policy Characteristics'!E:E,MATCH($C954,'Policy Characteristics'!$C:$C,0)))</f>
        <v>indst feedstock shifting</v>
      </c>
      <c r="L954" s="261">
        <f>IF(ISBLANK(INDEX('Policy Characteristics'!F:F,MATCH($C954,'Policy Characteristics'!$C:$C,0))),"",INDEX('Policy Characteristics'!F:F,MATCH($C954,'Policy Characteristics'!$C:$C,0)))</f>
        <v>0</v>
      </c>
      <c r="M954" s="261">
        <f>IF(ISBLANK(INDEX('Policy Characteristics'!G:G,MATCH($C954,'Policy Characteristics'!$C:$C,0))),"",INDEX('Policy Characteristics'!G:G,MATCH($C954,'Policy Characteristics'!$C:$C,0)))</f>
        <v>1</v>
      </c>
      <c r="N954" s="261">
        <f>IF(ISBLANK(INDEX('Policy Characteristics'!H:H,MATCH($C954,'Policy Characteristics'!$C:$C,0))),"",INDEX('Policy Characteristics'!H:H,MATCH($C954,'Policy Characteristics'!$C:$C,0)))</f>
        <v>0.01</v>
      </c>
      <c r="O954" s="254" t="str">
        <f>IF(ISBLANK(INDEX('Policy Characteristics'!I:I,MATCH($C954,'Policy Characteristics'!$C:$C,0))),"",INDEX('Policy Characteristics'!I:I,MATCH($C954,'Policy Characteristics'!$C:$C,0)))</f>
        <v>% of potential achieved</v>
      </c>
      <c r="P954" s="254"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4" t="str">
        <f>IF(ISBLANK(INDEX('Policy Characteristics'!K:K,MATCH($C954,'Policy Characteristics'!$C:$C,0))),"",INDEX('Policy Characteristics'!K:K,MATCH($C954,'Policy Characteristics'!$C:$C,0)))</f>
        <v/>
      </c>
      <c r="R954" s="254" t="str">
        <f>IF(ISBLANK(INDEX('Policy Characteristics'!L:L,MATCH($C954,'Policy Characteristics'!$C:$C,0))),"",INDEX('Policy Characteristics'!L:L,MATCH($C954,'Policy Characteristics'!$C:$C,0)))</f>
        <v/>
      </c>
    </row>
    <row r="955" spans="1:18" s="2" customFormat="1" x14ac:dyDescent="0.3">
      <c r="A955" s="254" t="str">
        <f>IF(ISBLANK(INDEX('Policy Characteristics'!A:A,MATCH($C955,'Policy Characteristics'!$C:$C,0))),"",INDEX('Policy Characteristics'!A:A,MATCH($C955,'Policy Characteristics'!$C:$C,0)))</f>
        <v>Industry</v>
      </c>
      <c r="B955" s="262" t="str">
        <f>IF(ISBLANK(INDEX('Policy Characteristics'!B:B,MATCH($C955,'Policy Characteristics'!$C:$C,0))),"",INDEX('Policy Characteristics'!B:B,MATCH($C955,'Policy Characteristics'!$C:$C,0)))</f>
        <v>Feedstock Shifting</v>
      </c>
      <c r="C955" s="254" t="str">
        <f t="shared" si="41"/>
        <v>Fraction of Feedstock Shifted</v>
      </c>
      <c r="D955" s="6" t="s">
        <v>3073</v>
      </c>
      <c r="E955" s="45" t="s">
        <v>2399</v>
      </c>
      <c r="F955" t="s">
        <v>3036</v>
      </c>
      <c r="G955" s="45" t="s">
        <v>2405</v>
      </c>
      <c r="H955" s="47">
        <v>2580</v>
      </c>
      <c r="I955" s="324" t="s">
        <v>44</v>
      </c>
      <c r="J955" s="255" t="str">
        <f>IF(ISBLANK(INDEX('Policy Characteristics'!D:D,MATCH($C955,'Policy Characteristics'!$C:$C,0))),"",INDEX('Policy Characteristics'!D:D,MATCH($C955,'Policy Characteristics'!$C:$C,0)))</f>
        <v>Feedstock Shifting</v>
      </c>
      <c r="K955" s="254" t="str">
        <f>IF(ISBLANK(INDEX('Policy Characteristics'!E:E,MATCH($C955,'Policy Characteristics'!$C:$C,0))),"",INDEX('Policy Characteristics'!E:E,MATCH($C955,'Policy Characteristics'!$C:$C,0)))</f>
        <v>indst feedstock shifting</v>
      </c>
      <c r="L955" s="261">
        <f>IF(ISBLANK(INDEX('Policy Characteristics'!F:F,MATCH($C955,'Policy Characteristics'!$C:$C,0))),"",INDEX('Policy Characteristics'!F:F,MATCH($C955,'Policy Characteristics'!$C:$C,0)))</f>
        <v>0</v>
      </c>
      <c r="M955" s="261">
        <f>IF(ISBLANK(INDEX('Policy Characteristics'!G:G,MATCH($C955,'Policy Characteristics'!$C:$C,0))),"",INDEX('Policy Characteristics'!G:G,MATCH($C955,'Policy Characteristics'!$C:$C,0)))</f>
        <v>1</v>
      </c>
      <c r="N955" s="261">
        <f>IF(ISBLANK(INDEX('Policy Characteristics'!H:H,MATCH($C955,'Policy Characteristics'!$C:$C,0))),"",INDEX('Policy Characteristics'!H:H,MATCH($C955,'Policy Characteristics'!$C:$C,0)))</f>
        <v>0.01</v>
      </c>
      <c r="O955" s="254" t="str">
        <f>IF(ISBLANK(INDEX('Policy Characteristics'!I:I,MATCH($C955,'Policy Characteristics'!$C:$C,0))),"",INDEX('Policy Characteristics'!I:I,MATCH($C955,'Policy Characteristics'!$C:$C,0)))</f>
        <v>% of potential achieved</v>
      </c>
      <c r="P955" s="254"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4" t="str">
        <f>IF(ISBLANK(INDEX('Policy Characteristics'!K:K,MATCH($C955,'Policy Characteristics'!$C:$C,0))),"",INDEX('Policy Characteristics'!K:K,MATCH($C955,'Policy Characteristics'!$C:$C,0)))</f>
        <v/>
      </c>
      <c r="R955" s="254" t="str">
        <f>IF(ISBLANK(INDEX('Policy Characteristics'!L:L,MATCH($C955,'Policy Characteristics'!$C:$C,0))),"",INDEX('Policy Characteristics'!L:L,MATCH($C955,'Policy Characteristics'!$C:$C,0)))</f>
        <v/>
      </c>
    </row>
    <row r="956" spans="1:18" s="2" customFormat="1" x14ac:dyDescent="0.3">
      <c r="A956" s="254" t="str">
        <f>IF(ISBLANK(INDEX('Policy Characteristics'!A:A,MATCH($C956,'Policy Characteristics'!$C:$C,0))),"",INDEX('Policy Characteristics'!A:A,MATCH($C956,'Policy Characteristics'!$C:$C,0)))</f>
        <v>Industry</v>
      </c>
      <c r="B956" s="262" t="str">
        <f>IF(ISBLANK(INDEX('Policy Characteristics'!B:B,MATCH($C956,'Policy Characteristics'!$C:$C,0))),"",INDEX('Policy Characteristics'!B:B,MATCH($C956,'Policy Characteristics'!$C:$C,0)))</f>
        <v>Feedstock Shifting</v>
      </c>
      <c r="C956" s="254" t="str">
        <f t="shared" si="41"/>
        <v>Fraction of Feedstock Shifted</v>
      </c>
      <c r="D956" s="6" t="s">
        <v>3073</v>
      </c>
      <c r="E956" s="45" t="s">
        <v>2400</v>
      </c>
      <c r="F956" t="s">
        <v>3036</v>
      </c>
      <c r="G956" s="45" t="s">
        <v>2408</v>
      </c>
      <c r="H956" s="47">
        <v>2581</v>
      </c>
      <c r="I956" s="324" t="s">
        <v>44</v>
      </c>
      <c r="J956" s="255" t="str">
        <f>IF(ISBLANK(INDEX('Policy Characteristics'!D:D,MATCH($C956,'Policy Characteristics'!$C:$C,0))),"",INDEX('Policy Characteristics'!D:D,MATCH($C956,'Policy Characteristics'!$C:$C,0)))</f>
        <v>Feedstock Shifting</v>
      </c>
      <c r="K956" s="254" t="str">
        <f>IF(ISBLANK(INDEX('Policy Characteristics'!E:E,MATCH($C956,'Policy Characteristics'!$C:$C,0))),"",INDEX('Policy Characteristics'!E:E,MATCH($C956,'Policy Characteristics'!$C:$C,0)))</f>
        <v>indst feedstock shifting</v>
      </c>
      <c r="L956" s="261">
        <f>IF(ISBLANK(INDEX('Policy Characteristics'!F:F,MATCH($C956,'Policy Characteristics'!$C:$C,0))),"",INDEX('Policy Characteristics'!F:F,MATCH($C956,'Policy Characteristics'!$C:$C,0)))</f>
        <v>0</v>
      </c>
      <c r="M956" s="261">
        <f>IF(ISBLANK(INDEX('Policy Characteristics'!G:G,MATCH($C956,'Policy Characteristics'!$C:$C,0))),"",INDEX('Policy Characteristics'!G:G,MATCH($C956,'Policy Characteristics'!$C:$C,0)))</f>
        <v>1</v>
      </c>
      <c r="N956" s="261">
        <f>IF(ISBLANK(INDEX('Policy Characteristics'!H:H,MATCH($C956,'Policy Characteristics'!$C:$C,0))),"",INDEX('Policy Characteristics'!H:H,MATCH($C956,'Policy Characteristics'!$C:$C,0)))</f>
        <v>0.01</v>
      </c>
      <c r="O956" s="254" t="str">
        <f>IF(ISBLANK(INDEX('Policy Characteristics'!I:I,MATCH($C956,'Policy Characteristics'!$C:$C,0))),"",INDEX('Policy Characteristics'!I:I,MATCH($C956,'Policy Characteristics'!$C:$C,0)))</f>
        <v>% of potential achieved</v>
      </c>
      <c r="P956" s="254"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4" t="str">
        <f>IF(ISBLANK(INDEX('Policy Characteristics'!K:K,MATCH($C956,'Policy Characteristics'!$C:$C,0))),"",INDEX('Policy Characteristics'!K:K,MATCH($C956,'Policy Characteristics'!$C:$C,0)))</f>
        <v/>
      </c>
      <c r="R956" s="254" t="str">
        <f>IF(ISBLANK(INDEX('Policy Characteristics'!L:L,MATCH($C956,'Policy Characteristics'!$C:$C,0))),"",INDEX('Policy Characteristics'!L:L,MATCH($C956,'Policy Characteristics'!$C:$C,0)))</f>
        <v/>
      </c>
    </row>
    <row r="957" spans="1:18" s="2" customFormat="1" x14ac:dyDescent="0.3">
      <c r="A957" s="254" t="str">
        <f>IF(ISBLANK(INDEX('Policy Characteristics'!A:A,MATCH($C957,'Policy Characteristics'!$C:$C,0))),"",INDEX('Policy Characteristics'!A:A,MATCH($C957,'Policy Characteristics'!$C:$C,0)))</f>
        <v>Industry</v>
      </c>
      <c r="B957" s="262" t="str">
        <f>IF(ISBLANK(INDEX('Policy Characteristics'!B:B,MATCH($C957,'Policy Characteristics'!$C:$C,0))),"",INDEX('Policy Characteristics'!B:B,MATCH($C957,'Policy Characteristics'!$C:$C,0)))</f>
        <v>Feedstock Shifting</v>
      </c>
      <c r="C957" s="254" t="str">
        <f t="shared" si="41"/>
        <v>Fraction of Feedstock Shifted</v>
      </c>
      <c r="D957" s="6" t="s">
        <v>3073</v>
      </c>
      <c r="E957" s="45" t="s">
        <v>2401</v>
      </c>
      <c r="F957" t="s">
        <v>3036</v>
      </c>
      <c r="G957" s="45" t="s">
        <v>2409</v>
      </c>
      <c r="H957" s="47">
        <v>2582</v>
      </c>
      <c r="I957" s="324" t="s">
        <v>44</v>
      </c>
      <c r="J957" s="255" t="str">
        <f>IF(ISBLANK(INDEX('Policy Characteristics'!D:D,MATCH($C957,'Policy Characteristics'!$C:$C,0))),"",INDEX('Policy Characteristics'!D:D,MATCH($C957,'Policy Characteristics'!$C:$C,0)))</f>
        <v>Feedstock Shifting</v>
      </c>
      <c r="K957" s="254" t="str">
        <f>IF(ISBLANK(INDEX('Policy Characteristics'!E:E,MATCH($C957,'Policy Characteristics'!$C:$C,0))),"",INDEX('Policy Characteristics'!E:E,MATCH($C957,'Policy Characteristics'!$C:$C,0)))</f>
        <v>indst feedstock shifting</v>
      </c>
      <c r="L957" s="261">
        <f>IF(ISBLANK(INDEX('Policy Characteristics'!F:F,MATCH($C957,'Policy Characteristics'!$C:$C,0))),"",INDEX('Policy Characteristics'!F:F,MATCH($C957,'Policy Characteristics'!$C:$C,0)))</f>
        <v>0</v>
      </c>
      <c r="M957" s="261">
        <f>IF(ISBLANK(INDEX('Policy Characteristics'!G:G,MATCH($C957,'Policy Characteristics'!$C:$C,0))),"",INDEX('Policy Characteristics'!G:G,MATCH($C957,'Policy Characteristics'!$C:$C,0)))</f>
        <v>1</v>
      </c>
      <c r="N957" s="261">
        <f>IF(ISBLANK(INDEX('Policy Characteristics'!H:H,MATCH($C957,'Policy Characteristics'!$C:$C,0))),"",INDEX('Policy Characteristics'!H:H,MATCH($C957,'Policy Characteristics'!$C:$C,0)))</f>
        <v>0.01</v>
      </c>
      <c r="O957" s="254" t="str">
        <f>IF(ISBLANK(INDEX('Policy Characteristics'!I:I,MATCH($C957,'Policy Characteristics'!$C:$C,0))),"",INDEX('Policy Characteristics'!I:I,MATCH($C957,'Policy Characteristics'!$C:$C,0)))</f>
        <v>% of potential achieved</v>
      </c>
      <c r="P957" s="254"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4" t="str">
        <f>IF(ISBLANK(INDEX('Policy Characteristics'!K:K,MATCH($C957,'Policy Characteristics'!$C:$C,0))),"",INDEX('Policy Characteristics'!K:K,MATCH($C957,'Policy Characteristics'!$C:$C,0)))</f>
        <v/>
      </c>
      <c r="R957" s="254" t="str">
        <f>IF(ISBLANK(INDEX('Policy Characteristics'!L:L,MATCH($C957,'Policy Characteristics'!$C:$C,0))),"",INDEX('Policy Characteristics'!L:L,MATCH($C957,'Policy Characteristics'!$C:$C,0)))</f>
        <v/>
      </c>
    </row>
    <row r="958" spans="1:18" s="2" customFormat="1" x14ac:dyDescent="0.3">
      <c r="A958" s="254" t="str">
        <f>IF(ISBLANK(INDEX('Policy Characteristics'!A:A,MATCH($C958,'Policy Characteristics'!$C:$C,0))),"",INDEX('Policy Characteristics'!A:A,MATCH($C958,'Policy Characteristics'!$C:$C,0)))</f>
        <v>Industry</v>
      </c>
      <c r="B958" s="262" t="str">
        <f>IF(ISBLANK(INDEX('Policy Characteristics'!B:B,MATCH($C958,'Policy Characteristics'!$C:$C,0))),"",INDEX('Policy Characteristics'!B:B,MATCH($C958,'Policy Characteristics'!$C:$C,0)))</f>
        <v>Feedstock Shifting</v>
      </c>
      <c r="C958" s="254" t="str">
        <f t="shared" si="41"/>
        <v>Fraction of Feedstock Shifted</v>
      </c>
      <c r="D958" s="6" t="s">
        <v>3073</v>
      </c>
      <c r="E958" s="45" t="s">
        <v>2402</v>
      </c>
      <c r="F958" t="s">
        <v>3036</v>
      </c>
      <c r="G958" s="45" t="s">
        <v>2406</v>
      </c>
      <c r="H958" s="47">
        <v>2583</v>
      </c>
      <c r="I958" s="324" t="s">
        <v>44</v>
      </c>
      <c r="J958" s="255" t="str">
        <f>IF(ISBLANK(INDEX('Policy Characteristics'!D:D,MATCH($C958,'Policy Characteristics'!$C:$C,0))),"",INDEX('Policy Characteristics'!D:D,MATCH($C958,'Policy Characteristics'!$C:$C,0)))</f>
        <v>Feedstock Shifting</v>
      </c>
      <c r="K958" s="254" t="str">
        <f>IF(ISBLANK(INDEX('Policy Characteristics'!E:E,MATCH($C958,'Policy Characteristics'!$C:$C,0))),"",INDEX('Policy Characteristics'!E:E,MATCH($C958,'Policy Characteristics'!$C:$C,0)))</f>
        <v>indst feedstock shifting</v>
      </c>
      <c r="L958" s="261">
        <f>IF(ISBLANK(INDEX('Policy Characteristics'!F:F,MATCH($C958,'Policy Characteristics'!$C:$C,0))),"",INDEX('Policy Characteristics'!F:F,MATCH($C958,'Policy Characteristics'!$C:$C,0)))</f>
        <v>0</v>
      </c>
      <c r="M958" s="261">
        <f>IF(ISBLANK(INDEX('Policy Characteristics'!G:G,MATCH($C958,'Policy Characteristics'!$C:$C,0))),"",INDEX('Policy Characteristics'!G:G,MATCH($C958,'Policy Characteristics'!$C:$C,0)))</f>
        <v>1</v>
      </c>
      <c r="N958" s="261">
        <f>IF(ISBLANK(INDEX('Policy Characteristics'!H:H,MATCH($C958,'Policy Characteristics'!$C:$C,0))),"",INDEX('Policy Characteristics'!H:H,MATCH($C958,'Policy Characteristics'!$C:$C,0)))</f>
        <v>0.01</v>
      </c>
      <c r="O958" s="254" t="str">
        <f>IF(ISBLANK(INDEX('Policy Characteristics'!I:I,MATCH($C958,'Policy Characteristics'!$C:$C,0))),"",INDEX('Policy Characteristics'!I:I,MATCH($C958,'Policy Characteristics'!$C:$C,0)))</f>
        <v>% of potential achieved</v>
      </c>
      <c r="P958" s="254"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4" t="str">
        <f>IF(ISBLANK(INDEX('Policy Characteristics'!K:K,MATCH($C958,'Policy Characteristics'!$C:$C,0))),"",INDEX('Policy Characteristics'!K:K,MATCH($C958,'Policy Characteristics'!$C:$C,0)))</f>
        <v/>
      </c>
      <c r="R958" s="254" t="str">
        <f>IF(ISBLANK(INDEX('Policy Characteristics'!L:L,MATCH($C958,'Policy Characteristics'!$C:$C,0))),"",INDEX('Policy Characteristics'!L:L,MATCH($C958,'Policy Characteristics'!$C:$C,0)))</f>
        <v/>
      </c>
    </row>
    <row r="959" spans="1:18" s="2" customFormat="1" x14ac:dyDescent="0.3">
      <c r="A959" s="254" t="str">
        <f>IF(ISBLANK(INDEX('Policy Characteristics'!A:A,MATCH($C959,'Policy Characteristics'!$C:$C,0))),"",INDEX('Policy Characteristics'!A:A,MATCH($C959,'Policy Characteristics'!$C:$C,0)))</f>
        <v>Industry</v>
      </c>
      <c r="B959" s="262" t="str">
        <f>IF(ISBLANK(INDEX('Policy Characteristics'!B:B,MATCH($C959,'Policy Characteristics'!$C:$C,0))),"",INDEX('Policy Characteristics'!B:B,MATCH($C959,'Policy Characteristics'!$C:$C,0)))</f>
        <v>Feedstock Shifting</v>
      </c>
      <c r="C959" s="254" t="str">
        <f t="shared" si="41"/>
        <v>Fraction of Feedstock Shifted</v>
      </c>
      <c r="D959" s="6" t="s">
        <v>3073</v>
      </c>
      <c r="E959" s="45" t="s">
        <v>2403</v>
      </c>
      <c r="F959" t="s">
        <v>3036</v>
      </c>
      <c r="G959" s="45" t="s">
        <v>2407</v>
      </c>
      <c r="H959" s="47">
        <v>2584</v>
      </c>
      <c r="I959" s="324" t="s">
        <v>44</v>
      </c>
      <c r="J959" s="255" t="str">
        <f>IF(ISBLANK(INDEX('Policy Characteristics'!D:D,MATCH($C959,'Policy Characteristics'!$C:$C,0))),"",INDEX('Policy Characteristics'!D:D,MATCH($C959,'Policy Characteristics'!$C:$C,0)))</f>
        <v>Feedstock Shifting</v>
      </c>
      <c r="K959" s="254" t="str">
        <f>IF(ISBLANK(INDEX('Policy Characteristics'!E:E,MATCH($C959,'Policy Characteristics'!$C:$C,0))),"",INDEX('Policy Characteristics'!E:E,MATCH($C959,'Policy Characteristics'!$C:$C,0)))</f>
        <v>indst feedstock shifting</v>
      </c>
      <c r="L959" s="261">
        <f>IF(ISBLANK(INDEX('Policy Characteristics'!F:F,MATCH($C959,'Policy Characteristics'!$C:$C,0))),"",INDEX('Policy Characteristics'!F:F,MATCH($C959,'Policy Characteristics'!$C:$C,0)))</f>
        <v>0</v>
      </c>
      <c r="M959" s="261">
        <f>IF(ISBLANK(INDEX('Policy Characteristics'!G:G,MATCH($C959,'Policy Characteristics'!$C:$C,0))),"",INDEX('Policy Characteristics'!G:G,MATCH($C959,'Policy Characteristics'!$C:$C,0)))</f>
        <v>1</v>
      </c>
      <c r="N959" s="261">
        <f>IF(ISBLANK(INDEX('Policy Characteristics'!H:H,MATCH($C959,'Policy Characteristics'!$C:$C,0))),"",INDEX('Policy Characteristics'!H:H,MATCH($C959,'Policy Characteristics'!$C:$C,0)))</f>
        <v>0.01</v>
      </c>
      <c r="O959" s="254" t="str">
        <f>IF(ISBLANK(INDEX('Policy Characteristics'!I:I,MATCH($C959,'Policy Characteristics'!$C:$C,0))),"",INDEX('Policy Characteristics'!I:I,MATCH($C959,'Policy Characteristics'!$C:$C,0)))</f>
        <v>% of potential achieved</v>
      </c>
      <c r="P959" s="254"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4" t="str">
        <f>IF(ISBLANK(INDEX('Policy Characteristics'!K:K,MATCH($C959,'Policy Characteristics'!$C:$C,0))),"",INDEX('Policy Characteristics'!K:K,MATCH($C959,'Policy Characteristics'!$C:$C,0)))</f>
        <v/>
      </c>
      <c r="R959" s="254" t="str">
        <f>IF(ISBLANK(INDEX('Policy Characteristics'!L:L,MATCH($C959,'Policy Characteristics'!$C:$C,0))),"",INDEX('Policy Characteristics'!L:L,MATCH($C959,'Policy Characteristics'!$C:$C,0)))</f>
        <v/>
      </c>
    </row>
    <row r="960" spans="1:18" s="2" customFormat="1" x14ac:dyDescent="0.3">
      <c r="A960" s="254" t="str">
        <f>IF(ISBLANK(INDEX('Policy Characteristics'!A:A,MATCH($C960,'Policy Characteristics'!$C:$C,0))),"",INDEX('Policy Characteristics'!A:A,MATCH($C960,'Policy Characteristics'!$C:$C,0)))</f>
        <v>Industry</v>
      </c>
      <c r="B960" s="262" t="str">
        <f>IF(ISBLANK(INDEX('Policy Characteristics'!B:B,MATCH($C960,'Policy Characteristics'!$C:$C,0))),"",INDEX('Policy Characteristics'!B:B,MATCH($C960,'Policy Characteristics'!$C:$C,0)))</f>
        <v>Feedstock Shifting</v>
      </c>
      <c r="C960" s="254" t="str">
        <f t="shared" si="41"/>
        <v>Fraction of Feedstock Shifted</v>
      </c>
      <c r="D960" s="6" t="s">
        <v>3073</v>
      </c>
      <c r="E960" s="45" t="s">
        <v>2404</v>
      </c>
      <c r="F960" t="s">
        <v>3036</v>
      </c>
      <c r="G960" s="45" t="s">
        <v>2410</v>
      </c>
      <c r="H960" s="47">
        <v>2585</v>
      </c>
      <c r="I960" s="324" t="s">
        <v>44</v>
      </c>
      <c r="J960" s="255" t="str">
        <f>IF(ISBLANK(INDEX('Policy Characteristics'!D:D,MATCH($C960,'Policy Characteristics'!$C:$C,0))),"",INDEX('Policy Characteristics'!D:D,MATCH($C960,'Policy Characteristics'!$C:$C,0)))</f>
        <v>Feedstock Shifting</v>
      </c>
      <c r="K960" s="254" t="str">
        <f>IF(ISBLANK(INDEX('Policy Characteristics'!E:E,MATCH($C960,'Policy Characteristics'!$C:$C,0))),"",INDEX('Policy Characteristics'!E:E,MATCH($C960,'Policy Characteristics'!$C:$C,0)))</f>
        <v>indst feedstock shifting</v>
      </c>
      <c r="L960" s="261">
        <f>IF(ISBLANK(INDEX('Policy Characteristics'!F:F,MATCH($C960,'Policy Characteristics'!$C:$C,0))),"",INDEX('Policy Characteristics'!F:F,MATCH($C960,'Policy Characteristics'!$C:$C,0)))</f>
        <v>0</v>
      </c>
      <c r="M960" s="261">
        <f>IF(ISBLANK(INDEX('Policy Characteristics'!G:G,MATCH($C960,'Policy Characteristics'!$C:$C,0))),"",INDEX('Policy Characteristics'!G:G,MATCH($C960,'Policy Characteristics'!$C:$C,0)))</f>
        <v>1</v>
      </c>
      <c r="N960" s="261">
        <f>IF(ISBLANK(INDEX('Policy Characteristics'!H:H,MATCH($C960,'Policy Characteristics'!$C:$C,0))),"",INDEX('Policy Characteristics'!H:H,MATCH($C960,'Policy Characteristics'!$C:$C,0)))</f>
        <v>0.01</v>
      </c>
      <c r="O960" s="254" t="str">
        <f>IF(ISBLANK(INDEX('Policy Characteristics'!I:I,MATCH($C960,'Policy Characteristics'!$C:$C,0))),"",INDEX('Policy Characteristics'!I:I,MATCH($C960,'Policy Characteristics'!$C:$C,0)))</f>
        <v>% of potential achieved</v>
      </c>
      <c r="P960" s="254"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4" t="str">
        <f>IF(ISBLANK(INDEX('Policy Characteristics'!K:K,MATCH($C960,'Policy Characteristics'!$C:$C,0))),"",INDEX('Policy Characteristics'!K:K,MATCH($C960,'Policy Characteristics'!$C:$C,0)))</f>
        <v/>
      </c>
      <c r="R960" s="254" t="str">
        <f>IF(ISBLANK(INDEX('Policy Characteristics'!L:L,MATCH($C960,'Policy Characteristics'!$C:$C,0))),"",INDEX('Policy Characteristics'!L:L,MATCH($C960,'Policy Characteristics'!$C:$C,0)))</f>
        <v/>
      </c>
    </row>
    <row r="961" spans="1:18" s="2" customFormat="1" x14ac:dyDescent="0.3">
      <c r="A961" s="254" t="str">
        <f>IF(ISBLANK(INDEX('Policy Characteristics'!A:A,MATCH($C961,'Policy Characteristics'!$C:$C,0))),"",INDEX('Policy Characteristics'!A:A,MATCH($C961,'Policy Characteristics'!$C:$C,0)))</f>
        <v>Industry</v>
      </c>
      <c r="B961" s="262" t="str">
        <f>IF(ISBLANK(INDEX('Policy Characteristics'!B:B,MATCH($C961,'Policy Characteristics'!$C:$C,0))),"",INDEX('Policy Characteristics'!B:B,MATCH($C961,'Policy Characteristics'!$C:$C,0)))</f>
        <v>Feedstock Shifting</v>
      </c>
      <c r="C961" s="254" t="str">
        <f t="shared" si="41"/>
        <v>Fraction of Feedstock Shifted</v>
      </c>
      <c r="D961" s="6" t="s">
        <v>3073</v>
      </c>
      <c r="E961" s="45" t="s">
        <v>2706</v>
      </c>
      <c r="F961" t="s">
        <v>3036</v>
      </c>
      <c r="G961" s="45" t="s">
        <v>2709</v>
      </c>
      <c r="H961" s="47">
        <v>2586</v>
      </c>
      <c r="I961" s="324" t="s">
        <v>44</v>
      </c>
      <c r="J961" s="255" t="str">
        <f>IF(ISBLANK(INDEX('Policy Characteristics'!D:D,MATCH($C961,'Policy Characteristics'!$C:$C,0))),"",INDEX('Policy Characteristics'!D:D,MATCH($C961,'Policy Characteristics'!$C:$C,0)))</f>
        <v>Feedstock Shifting</v>
      </c>
      <c r="K961" s="254" t="str">
        <f>IF(ISBLANK(INDEX('Policy Characteristics'!E:E,MATCH($C961,'Policy Characteristics'!$C:$C,0))),"",INDEX('Policy Characteristics'!E:E,MATCH($C961,'Policy Characteristics'!$C:$C,0)))</f>
        <v>indst feedstock shifting</v>
      </c>
      <c r="L961" s="261">
        <f>IF(ISBLANK(INDEX('Policy Characteristics'!F:F,MATCH($C961,'Policy Characteristics'!$C:$C,0))),"",INDEX('Policy Characteristics'!F:F,MATCH($C961,'Policy Characteristics'!$C:$C,0)))</f>
        <v>0</v>
      </c>
      <c r="M961" s="261">
        <f>IF(ISBLANK(INDEX('Policy Characteristics'!G:G,MATCH($C961,'Policy Characteristics'!$C:$C,0))),"",INDEX('Policy Characteristics'!G:G,MATCH($C961,'Policy Characteristics'!$C:$C,0)))</f>
        <v>1</v>
      </c>
      <c r="N961" s="261">
        <f>IF(ISBLANK(INDEX('Policy Characteristics'!H:H,MATCH($C961,'Policy Characteristics'!$C:$C,0))),"",INDEX('Policy Characteristics'!H:H,MATCH($C961,'Policy Characteristics'!$C:$C,0)))</f>
        <v>0.01</v>
      </c>
      <c r="O961" s="254" t="str">
        <f>IF(ISBLANK(INDEX('Policy Characteristics'!I:I,MATCH($C961,'Policy Characteristics'!$C:$C,0))),"",INDEX('Policy Characteristics'!I:I,MATCH($C961,'Policy Characteristics'!$C:$C,0)))</f>
        <v>% of potential achieved</v>
      </c>
      <c r="P961" s="254"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4" t="str">
        <f>IF(ISBLANK(INDEX('Policy Characteristics'!K:K,MATCH($C961,'Policy Characteristics'!$C:$C,0))),"",INDEX('Policy Characteristics'!K:K,MATCH($C961,'Policy Characteristics'!$C:$C,0)))</f>
        <v/>
      </c>
      <c r="R961" s="254" t="str">
        <f>IF(ISBLANK(INDEX('Policy Characteristics'!L:L,MATCH($C961,'Policy Characteristics'!$C:$C,0))),"",INDEX('Policy Characteristics'!L:L,MATCH($C961,'Policy Characteristics'!$C:$C,0)))</f>
        <v/>
      </c>
    </row>
    <row r="962" spans="1:18" s="2" customFormat="1" x14ac:dyDescent="0.3">
      <c r="A962" s="254" t="str">
        <f>IF(ISBLANK(INDEX('Policy Characteristics'!A:A,MATCH($C962,'Policy Characteristics'!$C:$C,0))),"",INDEX('Policy Characteristics'!A:A,MATCH($C962,'Policy Characteristics'!$C:$C,0)))</f>
        <v>Industry</v>
      </c>
      <c r="B962" s="262" t="str">
        <f>IF(ISBLANK(INDEX('Policy Characteristics'!B:B,MATCH($C962,'Policy Characteristics'!$C:$C,0))),"",INDEX('Policy Characteristics'!B:B,MATCH($C962,'Policy Characteristics'!$C:$C,0)))</f>
        <v>Feedstock Shifting</v>
      </c>
      <c r="C962" s="254" t="str">
        <f t="shared" si="41"/>
        <v>Fraction of Feedstock Shifted</v>
      </c>
      <c r="D962" s="6" t="s">
        <v>3073</v>
      </c>
      <c r="E962" s="45" t="s">
        <v>2707</v>
      </c>
      <c r="F962" t="s">
        <v>3036</v>
      </c>
      <c r="G962" s="45" t="s">
        <v>2711</v>
      </c>
      <c r="H962" s="47">
        <v>2587</v>
      </c>
      <c r="I962" s="324" t="s">
        <v>44</v>
      </c>
      <c r="J962" s="255" t="str">
        <f>IF(ISBLANK(INDEX('Policy Characteristics'!D:D,MATCH($C962,'Policy Characteristics'!$C:$C,0))),"",INDEX('Policy Characteristics'!D:D,MATCH($C962,'Policy Characteristics'!$C:$C,0)))</f>
        <v>Feedstock Shifting</v>
      </c>
      <c r="K962" s="254" t="str">
        <f>IF(ISBLANK(INDEX('Policy Characteristics'!E:E,MATCH($C962,'Policy Characteristics'!$C:$C,0))),"",INDEX('Policy Characteristics'!E:E,MATCH($C962,'Policy Characteristics'!$C:$C,0)))</f>
        <v>indst feedstock shifting</v>
      </c>
      <c r="L962" s="261">
        <f>IF(ISBLANK(INDEX('Policy Characteristics'!F:F,MATCH($C962,'Policy Characteristics'!$C:$C,0))),"",INDEX('Policy Characteristics'!F:F,MATCH($C962,'Policy Characteristics'!$C:$C,0)))</f>
        <v>0</v>
      </c>
      <c r="M962" s="261">
        <f>IF(ISBLANK(INDEX('Policy Characteristics'!G:G,MATCH($C962,'Policy Characteristics'!$C:$C,0))),"",INDEX('Policy Characteristics'!G:G,MATCH($C962,'Policy Characteristics'!$C:$C,0)))</f>
        <v>1</v>
      </c>
      <c r="N962" s="261">
        <f>IF(ISBLANK(INDEX('Policy Characteristics'!H:H,MATCH($C962,'Policy Characteristics'!$C:$C,0))),"",INDEX('Policy Characteristics'!H:H,MATCH($C962,'Policy Characteristics'!$C:$C,0)))</f>
        <v>0.01</v>
      </c>
      <c r="O962" s="254" t="str">
        <f>IF(ISBLANK(INDEX('Policy Characteristics'!I:I,MATCH($C962,'Policy Characteristics'!$C:$C,0))),"",INDEX('Policy Characteristics'!I:I,MATCH($C962,'Policy Characteristics'!$C:$C,0)))</f>
        <v>% of potential achieved</v>
      </c>
      <c r="P962" s="254"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4" t="str">
        <f>IF(ISBLANK(INDEX('Policy Characteristics'!K:K,MATCH($C962,'Policy Characteristics'!$C:$C,0))),"",INDEX('Policy Characteristics'!K:K,MATCH($C962,'Policy Characteristics'!$C:$C,0)))</f>
        <v/>
      </c>
      <c r="R962" s="254" t="str">
        <f>IF(ISBLANK(INDEX('Policy Characteristics'!L:L,MATCH($C962,'Policy Characteristics'!$C:$C,0))),"",INDEX('Policy Characteristics'!L:L,MATCH($C962,'Policy Characteristics'!$C:$C,0)))</f>
        <v/>
      </c>
    </row>
    <row r="963" spans="1:18" s="2" customFormat="1" x14ac:dyDescent="0.3">
      <c r="A963" s="254" t="str">
        <f>IF(ISBLANK(INDEX('Policy Characteristics'!A:A,MATCH($C963,'Policy Characteristics'!$C:$C,0))),"",INDEX('Policy Characteristics'!A:A,MATCH($C963,'Policy Characteristics'!$C:$C,0)))</f>
        <v>Industry</v>
      </c>
      <c r="B963" s="262" t="str">
        <f>IF(ISBLANK(INDEX('Policy Characteristics'!B:B,MATCH($C963,'Policy Characteristics'!$C:$C,0))),"",INDEX('Policy Characteristics'!B:B,MATCH($C963,'Policy Characteristics'!$C:$C,0)))</f>
        <v>Feedstock Shifting</v>
      </c>
      <c r="C963" s="254" t="str">
        <f t="shared" si="41"/>
        <v>Fraction of Feedstock Shifted</v>
      </c>
      <c r="D963" s="6" t="s">
        <v>3073</v>
      </c>
      <c r="E963" s="45" t="s">
        <v>2708</v>
      </c>
      <c r="F963" t="s">
        <v>3036</v>
      </c>
      <c r="G963" s="45" t="s">
        <v>2712</v>
      </c>
      <c r="H963" s="47">
        <v>2588</v>
      </c>
      <c r="I963" s="324" t="s">
        <v>44</v>
      </c>
      <c r="J963" s="255" t="str">
        <f>IF(ISBLANK(INDEX('Policy Characteristics'!D:D,MATCH($C963,'Policy Characteristics'!$C:$C,0))),"",INDEX('Policy Characteristics'!D:D,MATCH($C963,'Policy Characteristics'!$C:$C,0)))</f>
        <v>Feedstock Shifting</v>
      </c>
      <c r="K963" s="254" t="str">
        <f>IF(ISBLANK(INDEX('Policy Characteristics'!E:E,MATCH($C963,'Policy Characteristics'!$C:$C,0))),"",INDEX('Policy Characteristics'!E:E,MATCH($C963,'Policy Characteristics'!$C:$C,0)))</f>
        <v>indst feedstock shifting</v>
      </c>
      <c r="L963" s="261">
        <f>IF(ISBLANK(INDEX('Policy Characteristics'!F:F,MATCH($C963,'Policy Characteristics'!$C:$C,0))),"",INDEX('Policy Characteristics'!F:F,MATCH($C963,'Policy Characteristics'!$C:$C,0)))</f>
        <v>0</v>
      </c>
      <c r="M963" s="261">
        <f>IF(ISBLANK(INDEX('Policy Characteristics'!G:G,MATCH($C963,'Policy Characteristics'!$C:$C,0))),"",INDEX('Policy Characteristics'!G:G,MATCH($C963,'Policy Characteristics'!$C:$C,0)))</f>
        <v>1</v>
      </c>
      <c r="N963" s="261">
        <f>IF(ISBLANK(INDEX('Policy Characteristics'!H:H,MATCH($C963,'Policy Characteristics'!$C:$C,0))),"",INDEX('Policy Characteristics'!H:H,MATCH($C963,'Policy Characteristics'!$C:$C,0)))</f>
        <v>0.01</v>
      </c>
      <c r="O963" s="254" t="str">
        <f>IF(ISBLANK(INDEX('Policy Characteristics'!I:I,MATCH($C963,'Policy Characteristics'!$C:$C,0))),"",INDEX('Policy Characteristics'!I:I,MATCH($C963,'Policy Characteristics'!$C:$C,0)))</f>
        <v>% of potential achieved</v>
      </c>
      <c r="P963" s="254"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4" t="str">
        <f>IF(ISBLANK(INDEX('Policy Characteristics'!K:K,MATCH($C963,'Policy Characteristics'!$C:$C,0))),"",INDEX('Policy Characteristics'!K:K,MATCH($C963,'Policy Characteristics'!$C:$C,0)))</f>
        <v/>
      </c>
      <c r="R963" s="254" t="str">
        <f>IF(ISBLANK(INDEX('Policy Characteristics'!L:L,MATCH($C963,'Policy Characteristics'!$C:$C,0))),"",INDEX('Policy Characteristics'!L:L,MATCH($C963,'Policy Characteristics'!$C:$C,0)))</f>
        <v/>
      </c>
    </row>
    <row r="964" spans="1:18" s="2" customFormat="1" x14ac:dyDescent="0.3">
      <c r="A964" s="254" t="str">
        <f>IF(ISBLANK(INDEX('Policy Characteristics'!A:A,MATCH($C964,'Policy Characteristics'!$C:$C,0))),"",INDEX('Policy Characteristics'!A:A,MATCH($C964,'Policy Characteristics'!$C:$C,0)))</f>
        <v>Industry</v>
      </c>
      <c r="B964" s="262" t="str">
        <f>IF(ISBLANK(INDEX('Policy Characteristics'!B:B,MATCH($C964,'Policy Characteristics'!$C:$C,0))),"",INDEX('Policy Characteristics'!B:B,MATCH($C964,'Policy Characteristics'!$C:$C,0)))</f>
        <v>Feedstock Shifting</v>
      </c>
      <c r="C964" s="254" t="str">
        <f t="shared" si="41"/>
        <v>Fraction of Feedstock Shifted</v>
      </c>
      <c r="D964" s="6" t="s">
        <v>3073</v>
      </c>
      <c r="E964" s="45" t="s">
        <v>2705</v>
      </c>
      <c r="F964" t="s">
        <v>3036</v>
      </c>
      <c r="G964" s="45" t="s">
        <v>2710</v>
      </c>
      <c r="H964" s="47">
        <v>2589</v>
      </c>
      <c r="I964" s="324" t="s">
        <v>44</v>
      </c>
      <c r="J964" s="255" t="str">
        <f>IF(ISBLANK(INDEX('Policy Characteristics'!D:D,MATCH($C964,'Policy Characteristics'!$C:$C,0))),"",INDEX('Policy Characteristics'!D:D,MATCH($C964,'Policy Characteristics'!$C:$C,0)))</f>
        <v>Feedstock Shifting</v>
      </c>
      <c r="K964" s="254" t="str">
        <f>IF(ISBLANK(INDEX('Policy Characteristics'!E:E,MATCH($C964,'Policy Characteristics'!$C:$C,0))),"",INDEX('Policy Characteristics'!E:E,MATCH($C964,'Policy Characteristics'!$C:$C,0)))</f>
        <v>indst feedstock shifting</v>
      </c>
      <c r="L964" s="261">
        <f>IF(ISBLANK(INDEX('Policy Characteristics'!F:F,MATCH($C964,'Policy Characteristics'!$C:$C,0))),"",INDEX('Policy Characteristics'!F:F,MATCH($C964,'Policy Characteristics'!$C:$C,0)))</f>
        <v>0</v>
      </c>
      <c r="M964" s="261">
        <f>IF(ISBLANK(INDEX('Policy Characteristics'!G:G,MATCH($C964,'Policy Characteristics'!$C:$C,0))),"",INDEX('Policy Characteristics'!G:G,MATCH($C964,'Policy Characteristics'!$C:$C,0)))</f>
        <v>1</v>
      </c>
      <c r="N964" s="261">
        <f>IF(ISBLANK(INDEX('Policy Characteristics'!H:H,MATCH($C964,'Policy Characteristics'!$C:$C,0))),"",INDEX('Policy Characteristics'!H:H,MATCH($C964,'Policy Characteristics'!$C:$C,0)))</f>
        <v>0.01</v>
      </c>
      <c r="O964" s="254" t="str">
        <f>IF(ISBLANK(INDEX('Policy Characteristics'!I:I,MATCH($C964,'Policy Characteristics'!$C:$C,0))),"",INDEX('Policy Characteristics'!I:I,MATCH($C964,'Policy Characteristics'!$C:$C,0)))</f>
        <v>% of potential achieved</v>
      </c>
      <c r="P964" s="254"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4" t="str">
        <f>IF(ISBLANK(INDEX('Policy Characteristics'!K:K,MATCH($C964,'Policy Characteristics'!$C:$C,0))),"",INDEX('Policy Characteristics'!K:K,MATCH($C964,'Policy Characteristics'!$C:$C,0)))</f>
        <v/>
      </c>
      <c r="R964" s="254" t="str">
        <f>IF(ISBLANK(INDEX('Policy Characteristics'!L:L,MATCH($C964,'Policy Characteristics'!$C:$C,0))),"",INDEX('Policy Characteristics'!L:L,MATCH($C964,'Policy Characteristics'!$C:$C,0)))</f>
        <v/>
      </c>
    </row>
    <row r="965" spans="1:18" s="2" customFormat="1" x14ac:dyDescent="0.3">
      <c r="A965" s="254" t="str">
        <f>IF(ISBLANK(INDEX('Policy Characteristics'!A:A,MATCH($C965,'Policy Characteristics'!$C:$C,0))),"",INDEX('Policy Characteristics'!A:A,MATCH($C965,'Policy Characteristics'!$C:$C,0)))</f>
        <v>Industry</v>
      </c>
      <c r="B965" s="262" t="str">
        <f>IF(ISBLANK(INDEX('Policy Characteristics'!B:B,MATCH($C965,'Policy Characteristics'!$C:$C,0))),"",INDEX('Policy Characteristics'!B:B,MATCH($C965,'Policy Characteristics'!$C:$C,0)))</f>
        <v>Feedstock Shifting</v>
      </c>
      <c r="C965" s="254" t="str">
        <f t="shared" ref="C965:C1028" si="42">C$835</f>
        <v>Fraction of Feedstock Shifted</v>
      </c>
      <c r="D965" s="6" t="s">
        <v>3074</v>
      </c>
      <c r="E965" s="45" t="s">
        <v>2399</v>
      </c>
      <c r="F965" t="s">
        <v>2580</v>
      </c>
      <c r="G965" s="45" t="s">
        <v>2405</v>
      </c>
      <c r="H965" s="47">
        <v>2590</v>
      </c>
      <c r="I965" s="324" t="s">
        <v>44</v>
      </c>
      <c r="J965" s="255" t="str">
        <f>IF(ISBLANK(INDEX('Policy Characteristics'!D:D,MATCH($C965,'Policy Characteristics'!$C:$C,0))),"",INDEX('Policy Characteristics'!D:D,MATCH($C965,'Policy Characteristics'!$C:$C,0)))</f>
        <v>Feedstock Shifting</v>
      </c>
      <c r="K965" s="254" t="str">
        <f>IF(ISBLANK(INDEX('Policy Characteristics'!E:E,MATCH($C965,'Policy Characteristics'!$C:$C,0))),"",INDEX('Policy Characteristics'!E:E,MATCH($C965,'Policy Characteristics'!$C:$C,0)))</f>
        <v>indst feedstock shifting</v>
      </c>
      <c r="L965" s="261">
        <f>IF(ISBLANK(INDEX('Policy Characteristics'!F:F,MATCH($C965,'Policy Characteristics'!$C:$C,0))),"",INDEX('Policy Characteristics'!F:F,MATCH($C965,'Policy Characteristics'!$C:$C,0)))</f>
        <v>0</v>
      </c>
      <c r="M965" s="261">
        <f>IF(ISBLANK(INDEX('Policy Characteristics'!G:G,MATCH($C965,'Policy Characteristics'!$C:$C,0))),"",INDEX('Policy Characteristics'!G:G,MATCH($C965,'Policy Characteristics'!$C:$C,0)))</f>
        <v>1</v>
      </c>
      <c r="N965" s="261">
        <f>IF(ISBLANK(INDEX('Policy Characteristics'!H:H,MATCH($C965,'Policy Characteristics'!$C:$C,0))),"",INDEX('Policy Characteristics'!H:H,MATCH($C965,'Policy Characteristics'!$C:$C,0)))</f>
        <v>0.01</v>
      </c>
      <c r="O965" s="254" t="str">
        <f>IF(ISBLANK(INDEX('Policy Characteristics'!I:I,MATCH($C965,'Policy Characteristics'!$C:$C,0))),"",INDEX('Policy Characteristics'!I:I,MATCH($C965,'Policy Characteristics'!$C:$C,0)))</f>
        <v>% of potential achieved</v>
      </c>
      <c r="P965" s="254"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4" t="str">
        <f>IF(ISBLANK(INDEX('Policy Characteristics'!K:K,MATCH($C965,'Policy Characteristics'!$C:$C,0))),"",INDEX('Policy Characteristics'!K:K,MATCH($C965,'Policy Characteristics'!$C:$C,0)))</f>
        <v/>
      </c>
      <c r="R965" s="254" t="str">
        <f>IF(ISBLANK(INDEX('Policy Characteristics'!L:L,MATCH($C965,'Policy Characteristics'!$C:$C,0))),"",INDEX('Policy Characteristics'!L:L,MATCH($C965,'Policy Characteristics'!$C:$C,0)))</f>
        <v/>
      </c>
    </row>
    <row r="966" spans="1:18" s="2" customFormat="1" x14ac:dyDescent="0.3">
      <c r="A966" s="254" t="str">
        <f>IF(ISBLANK(INDEX('Policy Characteristics'!A:A,MATCH($C966,'Policy Characteristics'!$C:$C,0))),"",INDEX('Policy Characteristics'!A:A,MATCH($C966,'Policy Characteristics'!$C:$C,0)))</f>
        <v>Industry</v>
      </c>
      <c r="B966" s="262" t="str">
        <f>IF(ISBLANK(INDEX('Policy Characteristics'!B:B,MATCH($C966,'Policy Characteristics'!$C:$C,0))),"",INDEX('Policy Characteristics'!B:B,MATCH($C966,'Policy Characteristics'!$C:$C,0)))</f>
        <v>Feedstock Shifting</v>
      </c>
      <c r="C966" s="254" t="str">
        <f t="shared" si="42"/>
        <v>Fraction of Feedstock Shifted</v>
      </c>
      <c r="D966" s="6" t="s">
        <v>3074</v>
      </c>
      <c r="E966" s="45" t="s">
        <v>2400</v>
      </c>
      <c r="F966" t="s">
        <v>2580</v>
      </c>
      <c r="G966" s="45" t="s">
        <v>2408</v>
      </c>
      <c r="H966" s="47">
        <v>2591</v>
      </c>
      <c r="I966" s="324" t="s">
        <v>43</v>
      </c>
      <c r="J966" s="255" t="str">
        <f>IF(ISBLANK(INDEX('Policy Characteristics'!D:D,MATCH($C966,'Policy Characteristics'!$C:$C,0))),"",INDEX('Policy Characteristics'!D:D,MATCH($C966,'Policy Characteristics'!$C:$C,0)))</f>
        <v>Feedstock Shifting</v>
      </c>
      <c r="K966" s="254" t="str">
        <f>IF(ISBLANK(INDEX('Policy Characteristics'!E:E,MATCH($C966,'Policy Characteristics'!$C:$C,0))),"",INDEX('Policy Characteristics'!E:E,MATCH($C966,'Policy Characteristics'!$C:$C,0)))</f>
        <v>indst feedstock shifting</v>
      </c>
      <c r="L966" s="261">
        <f>IF(ISBLANK(INDEX('Policy Characteristics'!F:F,MATCH($C966,'Policy Characteristics'!$C:$C,0))),"",INDEX('Policy Characteristics'!F:F,MATCH($C966,'Policy Characteristics'!$C:$C,0)))</f>
        <v>0</v>
      </c>
      <c r="M966" s="261">
        <f>IF(ISBLANK(INDEX('Policy Characteristics'!G:G,MATCH($C966,'Policy Characteristics'!$C:$C,0))),"",INDEX('Policy Characteristics'!G:G,MATCH($C966,'Policy Characteristics'!$C:$C,0)))</f>
        <v>1</v>
      </c>
      <c r="N966" s="261">
        <f>IF(ISBLANK(INDEX('Policy Characteristics'!H:H,MATCH($C966,'Policy Characteristics'!$C:$C,0))),"",INDEX('Policy Characteristics'!H:H,MATCH($C966,'Policy Characteristics'!$C:$C,0)))</f>
        <v>0.01</v>
      </c>
      <c r="O966" s="254" t="str">
        <f>IF(ISBLANK(INDEX('Policy Characteristics'!I:I,MATCH($C966,'Policy Characteristics'!$C:$C,0))),"",INDEX('Policy Characteristics'!I:I,MATCH($C966,'Policy Characteristics'!$C:$C,0)))</f>
        <v>% of potential achieved</v>
      </c>
      <c r="P966" s="254"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4" t="str">
        <f>IF(ISBLANK(INDEX('Policy Characteristics'!K:K,MATCH($C966,'Policy Characteristics'!$C:$C,0))),"",INDEX('Policy Characteristics'!K:K,MATCH($C966,'Policy Characteristics'!$C:$C,0)))</f>
        <v/>
      </c>
      <c r="R966" s="254" t="str">
        <f>IF(ISBLANK(INDEX('Policy Characteristics'!L:L,MATCH($C966,'Policy Characteristics'!$C:$C,0))),"",INDEX('Policy Characteristics'!L:L,MATCH($C966,'Policy Characteristics'!$C:$C,0)))</f>
        <v/>
      </c>
    </row>
    <row r="967" spans="1:18" s="2" customFormat="1" x14ac:dyDescent="0.3">
      <c r="A967" s="254" t="str">
        <f>IF(ISBLANK(INDEX('Policy Characteristics'!A:A,MATCH($C967,'Policy Characteristics'!$C:$C,0))),"",INDEX('Policy Characteristics'!A:A,MATCH($C967,'Policy Characteristics'!$C:$C,0)))</f>
        <v>Industry</v>
      </c>
      <c r="B967" s="262" t="str">
        <f>IF(ISBLANK(INDEX('Policy Characteristics'!B:B,MATCH($C967,'Policy Characteristics'!$C:$C,0))),"",INDEX('Policy Characteristics'!B:B,MATCH($C967,'Policy Characteristics'!$C:$C,0)))</f>
        <v>Feedstock Shifting</v>
      </c>
      <c r="C967" s="254" t="str">
        <f t="shared" si="42"/>
        <v>Fraction of Feedstock Shifted</v>
      </c>
      <c r="D967" s="6" t="s">
        <v>3074</v>
      </c>
      <c r="E967" s="45" t="s">
        <v>2401</v>
      </c>
      <c r="F967" t="s">
        <v>2580</v>
      </c>
      <c r="G967" s="45" t="s">
        <v>2409</v>
      </c>
      <c r="H967" s="47">
        <v>2592</v>
      </c>
      <c r="I967" s="324" t="s">
        <v>43</v>
      </c>
      <c r="J967" s="255" t="str">
        <f>IF(ISBLANK(INDEX('Policy Characteristics'!D:D,MATCH($C967,'Policy Characteristics'!$C:$C,0))),"",INDEX('Policy Characteristics'!D:D,MATCH($C967,'Policy Characteristics'!$C:$C,0)))</f>
        <v>Feedstock Shifting</v>
      </c>
      <c r="K967" s="254" t="str">
        <f>IF(ISBLANK(INDEX('Policy Characteristics'!E:E,MATCH($C967,'Policy Characteristics'!$C:$C,0))),"",INDEX('Policy Characteristics'!E:E,MATCH($C967,'Policy Characteristics'!$C:$C,0)))</f>
        <v>indst feedstock shifting</v>
      </c>
      <c r="L967" s="261">
        <f>IF(ISBLANK(INDEX('Policy Characteristics'!F:F,MATCH($C967,'Policy Characteristics'!$C:$C,0))),"",INDEX('Policy Characteristics'!F:F,MATCH($C967,'Policy Characteristics'!$C:$C,0)))</f>
        <v>0</v>
      </c>
      <c r="M967" s="261">
        <f>IF(ISBLANK(INDEX('Policy Characteristics'!G:G,MATCH($C967,'Policy Characteristics'!$C:$C,0))),"",INDEX('Policy Characteristics'!G:G,MATCH($C967,'Policy Characteristics'!$C:$C,0)))</f>
        <v>1</v>
      </c>
      <c r="N967" s="261">
        <f>IF(ISBLANK(INDEX('Policy Characteristics'!H:H,MATCH($C967,'Policy Characteristics'!$C:$C,0))),"",INDEX('Policy Characteristics'!H:H,MATCH($C967,'Policy Characteristics'!$C:$C,0)))</f>
        <v>0.01</v>
      </c>
      <c r="O967" s="254" t="str">
        <f>IF(ISBLANK(INDEX('Policy Characteristics'!I:I,MATCH($C967,'Policy Characteristics'!$C:$C,0))),"",INDEX('Policy Characteristics'!I:I,MATCH($C967,'Policy Characteristics'!$C:$C,0)))</f>
        <v>% of potential achieved</v>
      </c>
      <c r="P967" s="254"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4" t="str">
        <f>IF(ISBLANK(INDEX('Policy Characteristics'!K:K,MATCH($C967,'Policy Characteristics'!$C:$C,0))),"",INDEX('Policy Characteristics'!K:K,MATCH($C967,'Policy Characteristics'!$C:$C,0)))</f>
        <v/>
      </c>
      <c r="R967" s="254" t="str">
        <f>IF(ISBLANK(INDEX('Policy Characteristics'!L:L,MATCH($C967,'Policy Characteristics'!$C:$C,0))),"",INDEX('Policy Characteristics'!L:L,MATCH($C967,'Policy Characteristics'!$C:$C,0)))</f>
        <v/>
      </c>
    </row>
    <row r="968" spans="1:18" s="2" customFormat="1" x14ac:dyDescent="0.3">
      <c r="A968" s="254" t="str">
        <f>IF(ISBLANK(INDEX('Policy Characteristics'!A:A,MATCH($C968,'Policy Characteristics'!$C:$C,0))),"",INDEX('Policy Characteristics'!A:A,MATCH($C968,'Policy Characteristics'!$C:$C,0)))</f>
        <v>Industry</v>
      </c>
      <c r="B968" s="262" t="str">
        <f>IF(ISBLANK(INDEX('Policy Characteristics'!B:B,MATCH($C968,'Policy Characteristics'!$C:$C,0))),"",INDEX('Policy Characteristics'!B:B,MATCH($C968,'Policy Characteristics'!$C:$C,0)))</f>
        <v>Feedstock Shifting</v>
      </c>
      <c r="C968" s="254" t="str">
        <f t="shared" si="42"/>
        <v>Fraction of Feedstock Shifted</v>
      </c>
      <c r="D968" s="6" t="s">
        <v>3074</v>
      </c>
      <c r="E968" s="45" t="s">
        <v>2402</v>
      </c>
      <c r="F968" t="s">
        <v>2580</v>
      </c>
      <c r="G968" s="45" t="s">
        <v>2406</v>
      </c>
      <c r="H968" s="47">
        <v>2593</v>
      </c>
      <c r="I968" s="324" t="s">
        <v>44</v>
      </c>
      <c r="J968" s="255" t="str">
        <f>IF(ISBLANK(INDEX('Policy Characteristics'!D:D,MATCH($C968,'Policy Characteristics'!$C:$C,0))),"",INDEX('Policy Characteristics'!D:D,MATCH($C968,'Policy Characteristics'!$C:$C,0)))</f>
        <v>Feedstock Shifting</v>
      </c>
      <c r="K968" s="254" t="str">
        <f>IF(ISBLANK(INDEX('Policy Characteristics'!E:E,MATCH($C968,'Policy Characteristics'!$C:$C,0))),"",INDEX('Policy Characteristics'!E:E,MATCH($C968,'Policy Characteristics'!$C:$C,0)))</f>
        <v>indst feedstock shifting</v>
      </c>
      <c r="L968" s="261">
        <f>IF(ISBLANK(INDEX('Policy Characteristics'!F:F,MATCH($C968,'Policy Characteristics'!$C:$C,0))),"",INDEX('Policy Characteristics'!F:F,MATCH($C968,'Policy Characteristics'!$C:$C,0)))</f>
        <v>0</v>
      </c>
      <c r="M968" s="261">
        <f>IF(ISBLANK(INDEX('Policy Characteristics'!G:G,MATCH($C968,'Policy Characteristics'!$C:$C,0))),"",INDEX('Policy Characteristics'!G:G,MATCH($C968,'Policy Characteristics'!$C:$C,0)))</f>
        <v>1</v>
      </c>
      <c r="N968" s="261">
        <f>IF(ISBLANK(INDEX('Policy Characteristics'!H:H,MATCH($C968,'Policy Characteristics'!$C:$C,0))),"",INDEX('Policy Characteristics'!H:H,MATCH($C968,'Policy Characteristics'!$C:$C,0)))</f>
        <v>0.01</v>
      </c>
      <c r="O968" s="254" t="str">
        <f>IF(ISBLANK(INDEX('Policy Characteristics'!I:I,MATCH($C968,'Policy Characteristics'!$C:$C,0))),"",INDEX('Policy Characteristics'!I:I,MATCH($C968,'Policy Characteristics'!$C:$C,0)))</f>
        <v>% of potential achieved</v>
      </c>
      <c r="P968" s="254"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4" t="str">
        <f>IF(ISBLANK(INDEX('Policy Characteristics'!K:K,MATCH($C968,'Policy Characteristics'!$C:$C,0))),"",INDEX('Policy Characteristics'!K:K,MATCH($C968,'Policy Characteristics'!$C:$C,0)))</f>
        <v/>
      </c>
      <c r="R968" s="254" t="str">
        <f>IF(ISBLANK(INDEX('Policy Characteristics'!L:L,MATCH($C968,'Policy Characteristics'!$C:$C,0))),"",INDEX('Policy Characteristics'!L:L,MATCH($C968,'Policy Characteristics'!$C:$C,0)))</f>
        <v/>
      </c>
    </row>
    <row r="969" spans="1:18" s="2" customFormat="1" x14ac:dyDescent="0.3">
      <c r="A969" s="254" t="str">
        <f>IF(ISBLANK(INDEX('Policy Characteristics'!A:A,MATCH($C969,'Policy Characteristics'!$C:$C,0))),"",INDEX('Policy Characteristics'!A:A,MATCH($C969,'Policy Characteristics'!$C:$C,0)))</f>
        <v>Industry</v>
      </c>
      <c r="B969" s="262" t="str">
        <f>IF(ISBLANK(INDEX('Policy Characteristics'!B:B,MATCH($C969,'Policy Characteristics'!$C:$C,0))),"",INDEX('Policy Characteristics'!B:B,MATCH($C969,'Policy Characteristics'!$C:$C,0)))</f>
        <v>Feedstock Shifting</v>
      </c>
      <c r="C969" s="254" t="str">
        <f t="shared" si="42"/>
        <v>Fraction of Feedstock Shifted</v>
      </c>
      <c r="D969" s="6" t="s">
        <v>3074</v>
      </c>
      <c r="E969" s="45" t="s">
        <v>2403</v>
      </c>
      <c r="F969" t="s">
        <v>2580</v>
      </c>
      <c r="G969" s="45" t="s">
        <v>2407</v>
      </c>
      <c r="H969" s="47">
        <v>2594</v>
      </c>
      <c r="I969" s="324" t="s">
        <v>44</v>
      </c>
      <c r="J969" s="255" t="str">
        <f>IF(ISBLANK(INDEX('Policy Characteristics'!D:D,MATCH($C969,'Policy Characteristics'!$C:$C,0))),"",INDEX('Policy Characteristics'!D:D,MATCH($C969,'Policy Characteristics'!$C:$C,0)))</f>
        <v>Feedstock Shifting</v>
      </c>
      <c r="K969" s="254" t="str">
        <f>IF(ISBLANK(INDEX('Policy Characteristics'!E:E,MATCH($C969,'Policy Characteristics'!$C:$C,0))),"",INDEX('Policy Characteristics'!E:E,MATCH($C969,'Policy Characteristics'!$C:$C,0)))</f>
        <v>indst feedstock shifting</v>
      </c>
      <c r="L969" s="261">
        <f>IF(ISBLANK(INDEX('Policy Characteristics'!F:F,MATCH($C969,'Policy Characteristics'!$C:$C,0))),"",INDEX('Policy Characteristics'!F:F,MATCH($C969,'Policy Characteristics'!$C:$C,0)))</f>
        <v>0</v>
      </c>
      <c r="M969" s="261">
        <f>IF(ISBLANK(INDEX('Policy Characteristics'!G:G,MATCH($C969,'Policy Characteristics'!$C:$C,0))),"",INDEX('Policy Characteristics'!G:G,MATCH($C969,'Policy Characteristics'!$C:$C,0)))</f>
        <v>1</v>
      </c>
      <c r="N969" s="261">
        <f>IF(ISBLANK(INDEX('Policy Characteristics'!H:H,MATCH($C969,'Policy Characteristics'!$C:$C,0))),"",INDEX('Policy Characteristics'!H:H,MATCH($C969,'Policy Characteristics'!$C:$C,0)))</f>
        <v>0.01</v>
      </c>
      <c r="O969" s="254" t="str">
        <f>IF(ISBLANK(INDEX('Policy Characteristics'!I:I,MATCH($C969,'Policy Characteristics'!$C:$C,0))),"",INDEX('Policy Characteristics'!I:I,MATCH($C969,'Policy Characteristics'!$C:$C,0)))</f>
        <v>% of potential achieved</v>
      </c>
      <c r="P969" s="254"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4" t="str">
        <f>IF(ISBLANK(INDEX('Policy Characteristics'!K:K,MATCH($C969,'Policy Characteristics'!$C:$C,0))),"",INDEX('Policy Characteristics'!K:K,MATCH($C969,'Policy Characteristics'!$C:$C,0)))</f>
        <v/>
      </c>
      <c r="R969" s="254" t="str">
        <f>IF(ISBLANK(INDEX('Policy Characteristics'!L:L,MATCH($C969,'Policy Characteristics'!$C:$C,0))),"",INDEX('Policy Characteristics'!L:L,MATCH($C969,'Policy Characteristics'!$C:$C,0)))</f>
        <v/>
      </c>
    </row>
    <row r="970" spans="1:18" s="2" customFormat="1" x14ac:dyDescent="0.3">
      <c r="A970" s="254" t="str">
        <f>IF(ISBLANK(INDEX('Policy Characteristics'!A:A,MATCH($C970,'Policy Characteristics'!$C:$C,0))),"",INDEX('Policy Characteristics'!A:A,MATCH($C970,'Policy Characteristics'!$C:$C,0)))</f>
        <v>Industry</v>
      </c>
      <c r="B970" s="262" t="str">
        <f>IF(ISBLANK(INDEX('Policy Characteristics'!B:B,MATCH($C970,'Policy Characteristics'!$C:$C,0))),"",INDEX('Policy Characteristics'!B:B,MATCH($C970,'Policy Characteristics'!$C:$C,0)))</f>
        <v>Feedstock Shifting</v>
      </c>
      <c r="C970" s="254" t="str">
        <f t="shared" si="42"/>
        <v>Fraction of Feedstock Shifted</v>
      </c>
      <c r="D970" s="6" t="s">
        <v>3074</v>
      </c>
      <c r="E970" s="45" t="s">
        <v>2404</v>
      </c>
      <c r="F970" t="s">
        <v>2580</v>
      </c>
      <c r="G970" s="45" t="s">
        <v>2410</v>
      </c>
      <c r="H970" s="47">
        <v>2595</v>
      </c>
      <c r="I970" s="324" t="s">
        <v>44</v>
      </c>
      <c r="J970" s="255" t="str">
        <f>IF(ISBLANK(INDEX('Policy Characteristics'!D:D,MATCH($C970,'Policy Characteristics'!$C:$C,0))),"",INDEX('Policy Characteristics'!D:D,MATCH($C970,'Policy Characteristics'!$C:$C,0)))</f>
        <v>Feedstock Shifting</v>
      </c>
      <c r="K970" s="254" t="str">
        <f>IF(ISBLANK(INDEX('Policy Characteristics'!E:E,MATCH($C970,'Policy Characteristics'!$C:$C,0))),"",INDEX('Policy Characteristics'!E:E,MATCH($C970,'Policy Characteristics'!$C:$C,0)))</f>
        <v>indst feedstock shifting</v>
      </c>
      <c r="L970" s="261">
        <f>IF(ISBLANK(INDEX('Policy Characteristics'!F:F,MATCH($C970,'Policy Characteristics'!$C:$C,0))),"",INDEX('Policy Characteristics'!F:F,MATCH($C970,'Policy Characteristics'!$C:$C,0)))</f>
        <v>0</v>
      </c>
      <c r="M970" s="261">
        <f>IF(ISBLANK(INDEX('Policy Characteristics'!G:G,MATCH($C970,'Policy Characteristics'!$C:$C,0))),"",INDEX('Policy Characteristics'!G:G,MATCH($C970,'Policy Characteristics'!$C:$C,0)))</f>
        <v>1</v>
      </c>
      <c r="N970" s="261">
        <f>IF(ISBLANK(INDEX('Policy Characteristics'!H:H,MATCH($C970,'Policy Characteristics'!$C:$C,0))),"",INDEX('Policy Characteristics'!H:H,MATCH($C970,'Policy Characteristics'!$C:$C,0)))</f>
        <v>0.01</v>
      </c>
      <c r="O970" s="254" t="str">
        <f>IF(ISBLANK(INDEX('Policy Characteristics'!I:I,MATCH($C970,'Policy Characteristics'!$C:$C,0))),"",INDEX('Policy Characteristics'!I:I,MATCH($C970,'Policy Characteristics'!$C:$C,0)))</f>
        <v>% of potential achieved</v>
      </c>
      <c r="P970" s="254"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4" t="str">
        <f>IF(ISBLANK(INDEX('Policy Characteristics'!K:K,MATCH($C970,'Policy Characteristics'!$C:$C,0))),"",INDEX('Policy Characteristics'!K:K,MATCH($C970,'Policy Characteristics'!$C:$C,0)))</f>
        <v/>
      </c>
      <c r="R970" s="254" t="str">
        <f>IF(ISBLANK(INDEX('Policy Characteristics'!L:L,MATCH($C970,'Policy Characteristics'!$C:$C,0))),"",INDEX('Policy Characteristics'!L:L,MATCH($C970,'Policy Characteristics'!$C:$C,0)))</f>
        <v/>
      </c>
    </row>
    <row r="971" spans="1:18" s="2" customFormat="1" x14ac:dyDescent="0.3">
      <c r="A971" s="254" t="str">
        <f>IF(ISBLANK(INDEX('Policy Characteristics'!A:A,MATCH($C971,'Policy Characteristics'!$C:$C,0))),"",INDEX('Policy Characteristics'!A:A,MATCH($C971,'Policy Characteristics'!$C:$C,0)))</f>
        <v>Industry</v>
      </c>
      <c r="B971" s="262" t="str">
        <f>IF(ISBLANK(INDEX('Policy Characteristics'!B:B,MATCH($C971,'Policy Characteristics'!$C:$C,0))),"",INDEX('Policy Characteristics'!B:B,MATCH($C971,'Policy Characteristics'!$C:$C,0)))</f>
        <v>Feedstock Shifting</v>
      </c>
      <c r="C971" s="254" t="str">
        <f t="shared" si="42"/>
        <v>Fraction of Feedstock Shifted</v>
      </c>
      <c r="D971" s="6" t="s">
        <v>3074</v>
      </c>
      <c r="E971" s="45" t="s">
        <v>2706</v>
      </c>
      <c r="F971" t="s">
        <v>2580</v>
      </c>
      <c r="G971" s="45" t="s">
        <v>2709</v>
      </c>
      <c r="H971" s="47">
        <v>2596</v>
      </c>
      <c r="I971" s="324" t="s">
        <v>44</v>
      </c>
      <c r="J971" s="255" t="str">
        <f>IF(ISBLANK(INDEX('Policy Characteristics'!D:D,MATCH($C971,'Policy Characteristics'!$C:$C,0))),"",INDEX('Policy Characteristics'!D:D,MATCH($C971,'Policy Characteristics'!$C:$C,0)))</f>
        <v>Feedstock Shifting</v>
      </c>
      <c r="K971" s="254" t="str">
        <f>IF(ISBLANK(INDEX('Policy Characteristics'!E:E,MATCH($C971,'Policy Characteristics'!$C:$C,0))),"",INDEX('Policy Characteristics'!E:E,MATCH($C971,'Policy Characteristics'!$C:$C,0)))</f>
        <v>indst feedstock shifting</v>
      </c>
      <c r="L971" s="261">
        <f>IF(ISBLANK(INDEX('Policy Characteristics'!F:F,MATCH($C971,'Policy Characteristics'!$C:$C,0))),"",INDEX('Policy Characteristics'!F:F,MATCH($C971,'Policy Characteristics'!$C:$C,0)))</f>
        <v>0</v>
      </c>
      <c r="M971" s="261">
        <f>IF(ISBLANK(INDEX('Policy Characteristics'!G:G,MATCH($C971,'Policy Characteristics'!$C:$C,0))),"",INDEX('Policy Characteristics'!G:G,MATCH($C971,'Policy Characteristics'!$C:$C,0)))</f>
        <v>1</v>
      </c>
      <c r="N971" s="261">
        <f>IF(ISBLANK(INDEX('Policy Characteristics'!H:H,MATCH($C971,'Policy Characteristics'!$C:$C,0))),"",INDEX('Policy Characteristics'!H:H,MATCH($C971,'Policy Characteristics'!$C:$C,0)))</f>
        <v>0.01</v>
      </c>
      <c r="O971" s="254" t="str">
        <f>IF(ISBLANK(INDEX('Policy Characteristics'!I:I,MATCH($C971,'Policy Characteristics'!$C:$C,0))),"",INDEX('Policy Characteristics'!I:I,MATCH($C971,'Policy Characteristics'!$C:$C,0)))</f>
        <v>% of potential achieved</v>
      </c>
      <c r="P971" s="254"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4" t="str">
        <f>IF(ISBLANK(INDEX('Policy Characteristics'!K:K,MATCH($C971,'Policy Characteristics'!$C:$C,0))),"",INDEX('Policy Characteristics'!K:K,MATCH($C971,'Policy Characteristics'!$C:$C,0)))</f>
        <v/>
      </c>
      <c r="R971" s="254" t="str">
        <f>IF(ISBLANK(INDEX('Policy Characteristics'!L:L,MATCH($C971,'Policy Characteristics'!$C:$C,0))),"",INDEX('Policy Characteristics'!L:L,MATCH($C971,'Policy Characteristics'!$C:$C,0)))</f>
        <v/>
      </c>
    </row>
    <row r="972" spans="1:18" s="2" customFormat="1" x14ac:dyDescent="0.3">
      <c r="A972" s="254" t="str">
        <f>IF(ISBLANK(INDEX('Policy Characteristics'!A:A,MATCH($C972,'Policy Characteristics'!$C:$C,0))),"",INDEX('Policy Characteristics'!A:A,MATCH($C972,'Policy Characteristics'!$C:$C,0)))</f>
        <v>Industry</v>
      </c>
      <c r="B972" s="262" t="str">
        <f>IF(ISBLANK(INDEX('Policy Characteristics'!B:B,MATCH($C972,'Policy Characteristics'!$C:$C,0))),"",INDEX('Policy Characteristics'!B:B,MATCH($C972,'Policy Characteristics'!$C:$C,0)))</f>
        <v>Feedstock Shifting</v>
      </c>
      <c r="C972" s="254" t="str">
        <f t="shared" si="42"/>
        <v>Fraction of Feedstock Shifted</v>
      </c>
      <c r="D972" s="6" t="s">
        <v>3074</v>
      </c>
      <c r="E972" s="45" t="s">
        <v>2707</v>
      </c>
      <c r="F972" t="s">
        <v>2580</v>
      </c>
      <c r="G972" s="45" t="s">
        <v>2711</v>
      </c>
      <c r="H972" s="47">
        <v>2597</v>
      </c>
      <c r="I972" s="324" t="s">
        <v>44</v>
      </c>
      <c r="J972" s="255" t="str">
        <f>IF(ISBLANK(INDEX('Policy Characteristics'!D:D,MATCH($C972,'Policy Characteristics'!$C:$C,0))),"",INDEX('Policy Characteristics'!D:D,MATCH($C972,'Policy Characteristics'!$C:$C,0)))</f>
        <v>Feedstock Shifting</v>
      </c>
      <c r="K972" s="254" t="str">
        <f>IF(ISBLANK(INDEX('Policy Characteristics'!E:E,MATCH($C972,'Policy Characteristics'!$C:$C,0))),"",INDEX('Policy Characteristics'!E:E,MATCH($C972,'Policy Characteristics'!$C:$C,0)))</f>
        <v>indst feedstock shifting</v>
      </c>
      <c r="L972" s="261">
        <f>IF(ISBLANK(INDEX('Policy Characteristics'!F:F,MATCH($C972,'Policy Characteristics'!$C:$C,0))),"",INDEX('Policy Characteristics'!F:F,MATCH($C972,'Policy Characteristics'!$C:$C,0)))</f>
        <v>0</v>
      </c>
      <c r="M972" s="261">
        <f>IF(ISBLANK(INDEX('Policy Characteristics'!G:G,MATCH($C972,'Policy Characteristics'!$C:$C,0))),"",INDEX('Policy Characteristics'!G:G,MATCH($C972,'Policy Characteristics'!$C:$C,0)))</f>
        <v>1</v>
      </c>
      <c r="N972" s="261">
        <f>IF(ISBLANK(INDEX('Policy Characteristics'!H:H,MATCH($C972,'Policy Characteristics'!$C:$C,0))),"",INDEX('Policy Characteristics'!H:H,MATCH($C972,'Policy Characteristics'!$C:$C,0)))</f>
        <v>0.01</v>
      </c>
      <c r="O972" s="254" t="str">
        <f>IF(ISBLANK(INDEX('Policy Characteristics'!I:I,MATCH($C972,'Policy Characteristics'!$C:$C,0))),"",INDEX('Policy Characteristics'!I:I,MATCH($C972,'Policy Characteristics'!$C:$C,0)))</f>
        <v>% of potential achieved</v>
      </c>
      <c r="P972" s="254"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4" t="str">
        <f>IF(ISBLANK(INDEX('Policy Characteristics'!K:K,MATCH($C972,'Policy Characteristics'!$C:$C,0))),"",INDEX('Policy Characteristics'!K:K,MATCH($C972,'Policy Characteristics'!$C:$C,0)))</f>
        <v/>
      </c>
      <c r="R972" s="254" t="str">
        <f>IF(ISBLANK(INDEX('Policy Characteristics'!L:L,MATCH($C972,'Policy Characteristics'!$C:$C,0))),"",INDEX('Policy Characteristics'!L:L,MATCH($C972,'Policy Characteristics'!$C:$C,0)))</f>
        <v/>
      </c>
    </row>
    <row r="973" spans="1:18" s="2" customFormat="1" x14ac:dyDescent="0.3">
      <c r="A973" s="254" t="str">
        <f>IF(ISBLANK(INDEX('Policy Characteristics'!A:A,MATCH($C973,'Policy Characteristics'!$C:$C,0))),"",INDEX('Policy Characteristics'!A:A,MATCH($C973,'Policy Characteristics'!$C:$C,0)))</f>
        <v>Industry</v>
      </c>
      <c r="B973" s="262" t="str">
        <f>IF(ISBLANK(INDEX('Policy Characteristics'!B:B,MATCH($C973,'Policy Characteristics'!$C:$C,0))),"",INDEX('Policy Characteristics'!B:B,MATCH($C973,'Policy Characteristics'!$C:$C,0)))</f>
        <v>Feedstock Shifting</v>
      </c>
      <c r="C973" s="254" t="str">
        <f t="shared" si="42"/>
        <v>Fraction of Feedstock Shifted</v>
      </c>
      <c r="D973" s="6" t="s">
        <v>3074</v>
      </c>
      <c r="E973" s="45" t="s">
        <v>2708</v>
      </c>
      <c r="F973" t="s">
        <v>2580</v>
      </c>
      <c r="G973" s="45" t="s">
        <v>2712</v>
      </c>
      <c r="H973" s="47">
        <v>2598</v>
      </c>
      <c r="I973" s="324" t="s">
        <v>44</v>
      </c>
      <c r="J973" s="255" t="str">
        <f>IF(ISBLANK(INDEX('Policy Characteristics'!D:D,MATCH($C973,'Policy Characteristics'!$C:$C,0))),"",INDEX('Policy Characteristics'!D:D,MATCH($C973,'Policy Characteristics'!$C:$C,0)))</f>
        <v>Feedstock Shifting</v>
      </c>
      <c r="K973" s="254" t="str">
        <f>IF(ISBLANK(INDEX('Policy Characteristics'!E:E,MATCH($C973,'Policy Characteristics'!$C:$C,0))),"",INDEX('Policy Characteristics'!E:E,MATCH($C973,'Policy Characteristics'!$C:$C,0)))</f>
        <v>indst feedstock shifting</v>
      </c>
      <c r="L973" s="261">
        <f>IF(ISBLANK(INDEX('Policy Characteristics'!F:F,MATCH($C973,'Policy Characteristics'!$C:$C,0))),"",INDEX('Policy Characteristics'!F:F,MATCH($C973,'Policy Characteristics'!$C:$C,0)))</f>
        <v>0</v>
      </c>
      <c r="M973" s="261">
        <f>IF(ISBLANK(INDEX('Policy Characteristics'!G:G,MATCH($C973,'Policy Characteristics'!$C:$C,0))),"",INDEX('Policy Characteristics'!G:G,MATCH($C973,'Policy Characteristics'!$C:$C,0)))</f>
        <v>1</v>
      </c>
      <c r="N973" s="261">
        <f>IF(ISBLANK(INDEX('Policy Characteristics'!H:H,MATCH($C973,'Policy Characteristics'!$C:$C,0))),"",INDEX('Policy Characteristics'!H:H,MATCH($C973,'Policy Characteristics'!$C:$C,0)))</f>
        <v>0.01</v>
      </c>
      <c r="O973" s="254" t="str">
        <f>IF(ISBLANK(INDEX('Policy Characteristics'!I:I,MATCH($C973,'Policy Characteristics'!$C:$C,0))),"",INDEX('Policy Characteristics'!I:I,MATCH($C973,'Policy Characteristics'!$C:$C,0)))</f>
        <v>% of potential achieved</v>
      </c>
      <c r="P973" s="254"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4" t="str">
        <f>IF(ISBLANK(INDEX('Policy Characteristics'!K:K,MATCH($C973,'Policy Characteristics'!$C:$C,0))),"",INDEX('Policy Characteristics'!K:K,MATCH($C973,'Policy Characteristics'!$C:$C,0)))</f>
        <v/>
      </c>
      <c r="R973" s="254" t="str">
        <f>IF(ISBLANK(INDEX('Policy Characteristics'!L:L,MATCH($C973,'Policy Characteristics'!$C:$C,0))),"",INDEX('Policy Characteristics'!L:L,MATCH($C973,'Policy Characteristics'!$C:$C,0)))</f>
        <v/>
      </c>
    </row>
    <row r="974" spans="1:18" s="2" customFormat="1" x14ac:dyDescent="0.3">
      <c r="A974" s="254" t="str">
        <f>IF(ISBLANK(INDEX('Policy Characteristics'!A:A,MATCH($C974,'Policy Characteristics'!$C:$C,0))),"",INDEX('Policy Characteristics'!A:A,MATCH($C974,'Policy Characteristics'!$C:$C,0)))</f>
        <v>Industry</v>
      </c>
      <c r="B974" s="262" t="str">
        <f>IF(ISBLANK(INDEX('Policy Characteristics'!B:B,MATCH($C974,'Policy Characteristics'!$C:$C,0))),"",INDEX('Policy Characteristics'!B:B,MATCH($C974,'Policy Characteristics'!$C:$C,0)))</f>
        <v>Feedstock Shifting</v>
      </c>
      <c r="C974" s="254" t="str">
        <f t="shared" si="42"/>
        <v>Fraction of Feedstock Shifted</v>
      </c>
      <c r="D974" s="6" t="s">
        <v>3074</v>
      </c>
      <c r="E974" s="45" t="s">
        <v>2705</v>
      </c>
      <c r="F974" t="s">
        <v>2580</v>
      </c>
      <c r="G974" s="45" t="s">
        <v>2710</v>
      </c>
      <c r="H974" s="47">
        <v>2599</v>
      </c>
      <c r="I974" s="324" t="s">
        <v>44</v>
      </c>
      <c r="J974" s="255" t="str">
        <f>IF(ISBLANK(INDEX('Policy Characteristics'!D:D,MATCH($C974,'Policy Characteristics'!$C:$C,0))),"",INDEX('Policy Characteristics'!D:D,MATCH($C974,'Policy Characteristics'!$C:$C,0)))</f>
        <v>Feedstock Shifting</v>
      </c>
      <c r="K974" s="254" t="str">
        <f>IF(ISBLANK(INDEX('Policy Characteristics'!E:E,MATCH($C974,'Policy Characteristics'!$C:$C,0))),"",INDEX('Policy Characteristics'!E:E,MATCH($C974,'Policy Characteristics'!$C:$C,0)))</f>
        <v>indst feedstock shifting</v>
      </c>
      <c r="L974" s="261">
        <f>IF(ISBLANK(INDEX('Policy Characteristics'!F:F,MATCH($C974,'Policy Characteristics'!$C:$C,0))),"",INDEX('Policy Characteristics'!F:F,MATCH($C974,'Policy Characteristics'!$C:$C,0)))</f>
        <v>0</v>
      </c>
      <c r="M974" s="261">
        <f>IF(ISBLANK(INDEX('Policy Characteristics'!G:G,MATCH($C974,'Policy Characteristics'!$C:$C,0))),"",INDEX('Policy Characteristics'!G:G,MATCH($C974,'Policy Characteristics'!$C:$C,0)))</f>
        <v>1</v>
      </c>
      <c r="N974" s="261">
        <f>IF(ISBLANK(INDEX('Policy Characteristics'!H:H,MATCH($C974,'Policy Characteristics'!$C:$C,0))),"",INDEX('Policy Characteristics'!H:H,MATCH($C974,'Policy Characteristics'!$C:$C,0)))</f>
        <v>0.01</v>
      </c>
      <c r="O974" s="254" t="str">
        <f>IF(ISBLANK(INDEX('Policy Characteristics'!I:I,MATCH($C974,'Policy Characteristics'!$C:$C,0))),"",INDEX('Policy Characteristics'!I:I,MATCH($C974,'Policy Characteristics'!$C:$C,0)))</f>
        <v>% of potential achieved</v>
      </c>
      <c r="P974" s="254"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4" t="str">
        <f>IF(ISBLANK(INDEX('Policy Characteristics'!K:K,MATCH($C974,'Policy Characteristics'!$C:$C,0))),"",INDEX('Policy Characteristics'!K:K,MATCH($C974,'Policy Characteristics'!$C:$C,0)))</f>
        <v/>
      </c>
      <c r="R974" s="254" t="str">
        <f>IF(ISBLANK(INDEX('Policy Characteristics'!L:L,MATCH($C974,'Policy Characteristics'!$C:$C,0))),"",INDEX('Policy Characteristics'!L:L,MATCH($C974,'Policy Characteristics'!$C:$C,0)))</f>
        <v/>
      </c>
    </row>
    <row r="975" spans="1:18" s="2" customFormat="1" x14ac:dyDescent="0.3">
      <c r="A975" s="254" t="str">
        <f>IF(ISBLANK(INDEX('Policy Characteristics'!A:A,MATCH($C975,'Policy Characteristics'!$C:$C,0))),"",INDEX('Policy Characteristics'!A:A,MATCH($C975,'Policy Characteristics'!$C:$C,0)))</f>
        <v>Industry</v>
      </c>
      <c r="B975" s="262" t="str">
        <f>IF(ISBLANK(INDEX('Policy Characteristics'!B:B,MATCH($C975,'Policy Characteristics'!$C:$C,0))),"",INDEX('Policy Characteristics'!B:B,MATCH($C975,'Policy Characteristics'!$C:$C,0)))</f>
        <v>Feedstock Shifting</v>
      </c>
      <c r="C975" s="254" t="str">
        <f t="shared" si="42"/>
        <v>Fraction of Feedstock Shifted</v>
      </c>
      <c r="D975" s="6" t="s">
        <v>3075</v>
      </c>
      <c r="E975" s="45" t="s">
        <v>2399</v>
      </c>
      <c r="F975" t="s">
        <v>3037</v>
      </c>
      <c r="G975" s="45" t="s">
        <v>2405</v>
      </c>
      <c r="H975" s="47">
        <v>2600</v>
      </c>
      <c r="I975" s="324" t="s">
        <v>44</v>
      </c>
      <c r="J975" s="255" t="str">
        <f>IF(ISBLANK(INDEX('Policy Characteristics'!D:D,MATCH($C975,'Policy Characteristics'!$C:$C,0))),"",INDEX('Policy Characteristics'!D:D,MATCH($C975,'Policy Characteristics'!$C:$C,0)))</f>
        <v>Feedstock Shifting</v>
      </c>
      <c r="K975" s="254" t="str">
        <f>IF(ISBLANK(INDEX('Policy Characteristics'!E:E,MATCH($C975,'Policy Characteristics'!$C:$C,0))),"",INDEX('Policy Characteristics'!E:E,MATCH($C975,'Policy Characteristics'!$C:$C,0)))</f>
        <v>indst feedstock shifting</v>
      </c>
      <c r="L975" s="261">
        <f>IF(ISBLANK(INDEX('Policy Characteristics'!F:F,MATCH($C975,'Policy Characteristics'!$C:$C,0))),"",INDEX('Policy Characteristics'!F:F,MATCH($C975,'Policy Characteristics'!$C:$C,0)))</f>
        <v>0</v>
      </c>
      <c r="M975" s="261">
        <f>IF(ISBLANK(INDEX('Policy Characteristics'!G:G,MATCH($C975,'Policy Characteristics'!$C:$C,0))),"",INDEX('Policy Characteristics'!G:G,MATCH($C975,'Policy Characteristics'!$C:$C,0)))</f>
        <v>1</v>
      </c>
      <c r="N975" s="261">
        <f>IF(ISBLANK(INDEX('Policy Characteristics'!H:H,MATCH($C975,'Policy Characteristics'!$C:$C,0))),"",INDEX('Policy Characteristics'!H:H,MATCH($C975,'Policy Characteristics'!$C:$C,0)))</f>
        <v>0.01</v>
      </c>
      <c r="O975" s="254" t="str">
        <f>IF(ISBLANK(INDEX('Policy Characteristics'!I:I,MATCH($C975,'Policy Characteristics'!$C:$C,0))),"",INDEX('Policy Characteristics'!I:I,MATCH($C975,'Policy Characteristics'!$C:$C,0)))</f>
        <v>% of potential achieved</v>
      </c>
      <c r="P975" s="254"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4" t="str">
        <f>IF(ISBLANK(INDEX('Policy Characteristics'!K:K,MATCH($C975,'Policy Characteristics'!$C:$C,0))),"",INDEX('Policy Characteristics'!K:K,MATCH($C975,'Policy Characteristics'!$C:$C,0)))</f>
        <v/>
      </c>
      <c r="R975" s="254" t="str">
        <f>IF(ISBLANK(INDEX('Policy Characteristics'!L:L,MATCH($C975,'Policy Characteristics'!$C:$C,0))),"",INDEX('Policy Characteristics'!L:L,MATCH($C975,'Policy Characteristics'!$C:$C,0)))</f>
        <v/>
      </c>
    </row>
    <row r="976" spans="1:18" s="2" customFormat="1" x14ac:dyDescent="0.3">
      <c r="A976" s="254" t="str">
        <f>IF(ISBLANK(INDEX('Policy Characteristics'!A:A,MATCH($C976,'Policy Characteristics'!$C:$C,0))),"",INDEX('Policy Characteristics'!A:A,MATCH($C976,'Policy Characteristics'!$C:$C,0)))</f>
        <v>Industry</v>
      </c>
      <c r="B976" s="262" t="str">
        <f>IF(ISBLANK(INDEX('Policy Characteristics'!B:B,MATCH($C976,'Policy Characteristics'!$C:$C,0))),"",INDEX('Policy Characteristics'!B:B,MATCH($C976,'Policy Characteristics'!$C:$C,0)))</f>
        <v>Feedstock Shifting</v>
      </c>
      <c r="C976" s="254" t="str">
        <f t="shared" si="42"/>
        <v>Fraction of Feedstock Shifted</v>
      </c>
      <c r="D976" s="6" t="s">
        <v>3075</v>
      </c>
      <c r="E976" s="45" t="s">
        <v>2400</v>
      </c>
      <c r="F976" t="s">
        <v>3037</v>
      </c>
      <c r="G976" s="45" t="s">
        <v>2408</v>
      </c>
      <c r="H976" s="47">
        <v>2601</v>
      </c>
      <c r="I976" s="324" t="s">
        <v>44</v>
      </c>
      <c r="J976" s="255" t="str">
        <f>IF(ISBLANK(INDEX('Policy Characteristics'!D:D,MATCH($C976,'Policy Characteristics'!$C:$C,0))),"",INDEX('Policy Characteristics'!D:D,MATCH($C976,'Policy Characteristics'!$C:$C,0)))</f>
        <v>Feedstock Shifting</v>
      </c>
      <c r="K976" s="254" t="str">
        <f>IF(ISBLANK(INDEX('Policy Characteristics'!E:E,MATCH($C976,'Policy Characteristics'!$C:$C,0))),"",INDEX('Policy Characteristics'!E:E,MATCH($C976,'Policy Characteristics'!$C:$C,0)))</f>
        <v>indst feedstock shifting</v>
      </c>
      <c r="L976" s="261">
        <f>IF(ISBLANK(INDEX('Policy Characteristics'!F:F,MATCH($C976,'Policy Characteristics'!$C:$C,0))),"",INDEX('Policy Characteristics'!F:F,MATCH($C976,'Policy Characteristics'!$C:$C,0)))</f>
        <v>0</v>
      </c>
      <c r="M976" s="261">
        <f>IF(ISBLANK(INDEX('Policy Characteristics'!G:G,MATCH($C976,'Policy Characteristics'!$C:$C,0))),"",INDEX('Policy Characteristics'!G:G,MATCH($C976,'Policy Characteristics'!$C:$C,0)))</f>
        <v>1</v>
      </c>
      <c r="N976" s="261">
        <f>IF(ISBLANK(INDEX('Policy Characteristics'!H:H,MATCH($C976,'Policy Characteristics'!$C:$C,0))),"",INDEX('Policy Characteristics'!H:H,MATCH($C976,'Policy Characteristics'!$C:$C,0)))</f>
        <v>0.01</v>
      </c>
      <c r="O976" s="254" t="str">
        <f>IF(ISBLANK(INDEX('Policy Characteristics'!I:I,MATCH($C976,'Policy Characteristics'!$C:$C,0))),"",INDEX('Policy Characteristics'!I:I,MATCH($C976,'Policy Characteristics'!$C:$C,0)))</f>
        <v>% of potential achieved</v>
      </c>
      <c r="P976" s="254"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4" t="str">
        <f>IF(ISBLANK(INDEX('Policy Characteristics'!K:K,MATCH($C976,'Policy Characteristics'!$C:$C,0))),"",INDEX('Policy Characteristics'!K:K,MATCH($C976,'Policy Characteristics'!$C:$C,0)))</f>
        <v/>
      </c>
      <c r="R976" s="254" t="str">
        <f>IF(ISBLANK(INDEX('Policy Characteristics'!L:L,MATCH($C976,'Policy Characteristics'!$C:$C,0))),"",INDEX('Policy Characteristics'!L:L,MATCH($C976,'Policy Characteristics'!$C:$C,0)))</f>
        <v/>
      </c>
    </row>
    <row r="977" spans="1:18" s="2" customFormat="1" x14ac:dyDescent="0.3">
      <c r="A977" s="254" t="str">
        <f>IF(ISBLANK(INDEX('Policy Characteristics'!A:A,MATCH($C977,'Policy Characteristics'!$C:$C,0))),"",INDEX('Policy Characteristics'!A:A,MATCH($C977,'Policy Characteristics'!$C:$C,0)))</f>
        <v>Industry</v>
      </c>
      <c r="B977" s="262" t="str">
        <f>IF(ISBLANK(INDEX('Policy Characteristics'!B:B,MATCH($C977,'Policy Characteristics'!$C:$C,0))),"",INDEX('Policy Characteristics'!B:B,MATCH($C977,'Policy Characteristics'!$C:$C,0)))</f>
        <v>Feedstock Shifting</v>
      </c>
      <c r="C977" s="254" t="str">
        <f t="shared" si="42"/>
        <v>Fraction of Feedstock Shifted</v>
      </c>
      <c r="D977" s="6" t="s">
        <v>3075</v>
      </c>
      <c r="E977" s="45" t="s">
        <v>2401</v>
      </c>
      <c r="F977" t="s">
        <v>3037</v>
      </c>
      <c r="G977" s="45" t="s">
        <v>2409</v>
      </c>
      <c r="H977" s="47">
        <v>2602</v>
      </c>
      <c r="I977" s="324" t="s">
        <v>44</v>
      </c>
      <c r="J977" s="255" t="str">
        <f>IF(ISBLANK(INDEX('Policy Characteristics'!D:D,MATCH($C977,'Policy Characteristics'!$C:$C,0))),"",INDEX('Policy Characteristics'!D:D,MATCH($C977,'Policy Characteristics'!$C:$C,0)))</f>
        <v>Feedstock Shifting</v>
      </c>
      <c r="K977" s="254" t="str">
        <f>IF(ISBLANK(INDEX('Policy Characteristics'!E:E,MATCH($C977,'Policy Characteristics'!$C:$C,0))),"",INDEX('Policy Characteristics'!E:E,MATCH($C977,'Policy Characteristics'!$C:$C,0)))</f>
        <v>indst feedstock shifting</v>
      </c>
      <c r="L977" s="261">
        <f>IF(ISBLANK(INDEX('Policy Characteristics'!F:F,MATCH($C977,'Policy Characteristics'!$C:$C,0))),"",INDEX('Policy Characteristics'!F:F,MATCH($C977,'Policy Characteristics'!$C:$C,0)))</f>
        <v>0</v>
      </c>
      <c r="M977" s="261">
        <f>IF(ISBLANK(INDEX('Policy Characteristics'!G:G,MATCH($C977,'Policy Characteristics'!$C:$C,0))),"",INDEX('Policy Characteristics'!G:G,MATCH($C977,'Policy Characteristics'!$C:$C,0)))</f>
        <v>1</v>
      </c>
      <c r="N977" s="261">
        <f>IF(ISBLANK(INDEX('Policy Characteristics'!H:H,MATCH($C977,'Policy Characteristics'!$C:$C,0))),"",INDEX('Policy Characteristics'!H:H,MATCH($C977,'Policy Characteristics'!$C:$C,0)))</f>
        <v>0.01</v>
      </c>
      <c r="O977" s="254" t="str">
        <f>IF(ISBLANK(INDEX('Policy Characteristics'!I:I,MATCH($C977,'Policy Characteristics'!$C:$C,0))),"",INDEX('Policy Characteristics'!I:I,MATCH($C977,'Policy Characteristics'!$C:$C,0)))</f>
        <v>% of potential achieved</v>
      </c>
      <c r="P977" s="254"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4" t="str">
        <f>IF(ISBLANK(INDEX('Policy Characteristics'!K:K,MATCH($C977,'Policy Characteristics'!$C:$C,0))),"",INDEX('Policy Characteristics'!K:K,MATCH($C977,'Policy Characteristics'!$C:$C,0)))</f>
        <v/>
      </c>
      <c r="R977" s="254" t="str">
        <f>IF(ISBLANK(INDEX('Policy Characteristics'!L:L,MATCH($C977,'Policy Characteristics'!$C:$C,0))),"",INDEX('Policy Characteristics'!L:L,MATCH($C977,'Policy Characteristics'!$C:$C,0)))</f>
        <v/>
      </c>
    </row>
    <row r="978" spans="1:18" s="2" customFormat="1" x14ac:dyDescent="0.3">
      <c r="A978" s="254" t="str">
        <f>IF(ISBLANK(INDEX('Policy Characteristics'!A:A,MATCH($C978,'Policy Characteristics'!$C:$C,0))),"",INDEX('Policy Characteristics'!A:A,MATCH($C978,'Policy Characteristics'!$C:$C,0)))</f>
        <v>Industry</v>
      </c>
      <c r="B978" s="262" t="str">
        <f>IF(ISBLANK(INDEX('Policy Characteristics'!B:B,MATCH($C978,'Policy Characteristics'!$C:$C,0))),"",INDEX('Policy Characteristics'!B:B,MATCH($C978,'Policy Characteristics'!$C:$C,0)))</f>
        <v>Feedstock Shifting</v>
      </c>
      <c r="C978" s="254" t="str">
        <f t="shared" si="42"/>
        <v>Fraction of Feedstock Shifted</v>
      </c>
      <c r="D978" s="6" t="s">
        <v>3075</v>
      </c>
      <c r="E978" s="45" t="s">
        <v>2402</v>
      </c>
      <c r="F978" t="s">
        <v>3037</v>
      </c>
      <c r="G978" s="45" t="s">
        <v>2406</v>
      </c>
      <c r="H978" s="47">
        <v>2603</v>
      </c>
      <c r="I978" s="324" t="s">
        <v>44</v>
      </c>
      <c r="J978" s="255" t="str">
        <f>IF(ISBLANK(INDEX('Policy Characteristics'!D:D,MATCH($C978,'Policy Characteristics'!$C:$C,0))),"",INDEX('Policy Characteristics'!D:D,MATCH($C978,'Policy Characteristics'!$C:$C,0)))</f>
        <v>Feedstock Shifting</v>
      </c>
      <c r="K978" s="254" t="str">
        <f>IF(ISBLANK(INDEX('Policy Characteristics'!E:E,MATCH($C978,'Policy Characteristics'!$C:$C,0))),"",INDEX('Policy Characteristics'!E:E,MATCH($C978,'Policy Characteristics'!$C:$C,0)))</f>
        <v>indst feedstock shifting</v>
      </c>
      <c r="L978" s="261">
        <f>IF(ISBLANK(INDEX('Policy Characteristics'!F:F,MATCH($C978,'Policy Characteristics'!$C:$C,0))),"",INDEX('Policy Characteristics'!F:F,MATCH($C978,'Policy Characteristics'!$C:$C,0)))</f>
        <v>0</v>
      </c>
      <c r="M978" s="261">
        <f>IF(ISBLANK(INDEX('Policy Characteristics'!G:G,MATCH($C978,'Policy Characteristics'!$C:$C,0))),"",INDEX('Policy Characteristics'!G:G,MATCH($C978,'Policy Characteristics'!$C:$C,0)))</f>
        <v>1</v>
      </c>
      <c r="N978" s="261">
        <f>IF(ISBLANK(INDEX('Policy Characteristics'!H:H,MATCH($C978,'Policy Characteristics'!$C:$C,0))),"",INDEX('Policy Characteristics'!H:H,MATCH($C978,'Policy Characteristics'!$C:$C,0)))</f>
        <v>0.01</v>
      </c>
      <c r="O978" s="254" t="str">
        <f>IF(ISBLANK(INDEX('Policy Characteristics'!I:I,MATCH($C978,'Policy Characteristics'!$C:$C,0))),"",INDEX('Policy Characteristics'!I:I,MATCH($C978,'Policy Characteristics'!$C:$C,0)))</f>
        <v>% of potential achieved</v>
      </c>
      <c r="P978" s="254"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4" t="str">
        <f>IF(ISBLANK(INDEX('Policy Characteristics'!K:K,MATCH($C978,'Policy Characteristics'!$C:$C,0))),"",INDEX('Policy Characteristics'!K:K,MATCH($C978,'Policy Characteristics'!$C:$C,0)))</f>
        <v/>
      </c>
      <c r="R978" s="254" t="str">
        <f>IF(ISBLANK(INDEX('Policy Characteristics'!L:L,MATCH($C978,'Policy Characteristics'!$C:$C,0))),"",INDEX('Policy Characteristics'!L:L,MATCH($C978,'Policy Characteristics'!$C:$C,0)))</f>
        <v/>
      </c>
    </row>
    <row r="979" spans="1:18" s="2" customFormat="1" x14ac:dyDescent="0.3">
      <c r="A979" s="254" t="str">
        <f>IF(ISBLANK(INDEX('Policy Characteristics'!A:A,MATCH($C979,'Policy Characteristics'!$C:$C,0))),"",INDEX('Policy Characteristics'!A:A,MATCH($C979,'Policy Characteristics'!$C:$C,0)))</f>
        <v>Industry</v>
      </c>
      <c r="B979" s="262" t="str">
        <f>IF(ISBLANK(INDEX('Policy Characteristics'!B:B,MATCH($C979,'Policy Characteristics'!$C:$C,0))),"",INDEX('Policy Characteristics'!B:B,MATCH($C979,'Policy Characteristics'!$C:$C,0)))</f>
        <v>Feedstock Shifting</v>
      </c>
      <c r="C979" s="254" t="str">
        <f t="shared" si="42"/>
        <v>Fraction of Feedstock Shifted</v>
      </c>
      <c r="D979" s="6" t="s">
        <v>3075</v>
      </c>
      <c r="E979" s="45" t="s">
        <v>2403</v>
      </c>
      <c r="F979" t="s">
        <v>3037</v>
      </c>
      <c r="G979" s="45" t="s">
        <v>2407</v>
      </c>
      <c r="H979" s="47">
        <v>2604</v>
      </c>
      <c r="I979" s="324" t="s">
        <v>44</v>
      </c>
      <c r="J979" s="255" t="str">
        <f>IF(ISBLANK(INDEX('Policy Characteristics'!D:D,MATCH($C979,'Policy Characteristics'!$C:$C,0))),"",INDEX('Policy Characteristics'!D:D,MATCH($C979,'Policy Characteristics'!$C:$C,0)))</f>
        <v>Feedstock Shifting</v>
      </c>
      <c r="K979" s="254" t="str">
        <f>IF(ISBLANK(INDEX('Policy Characteristics'!E:E,MATCH($C979,'Policy Characteristics'!$C:$C,0))),"",INDEX('Policy Characteristics'!E:E,MATCH($C979,'Policy Characteristics'!$C:$C,0)))</f>
        <v>indst feedstock shifting</v>
      </c>
      <c r="L979" s="261">
        <f>IF(ISBLANK(INDEX('Policy Characteristics'!F:F,MATCH($C979,'Policy Characteristics'!$C:$C,0))),"",INDEX('Policy Characteristics'!F:F,MATCH($C979,'Policy Characteristics'!$C:$C,0)))</f>
        <v>0</v>
      </c>
      <c r="M979" s="261">
        <f>IF(ISBLANK(INDEX('Policy Characteristics'!G:G,MATCH($C979,'Policy Characteristics'!$C:$C,0))),"",INDEX('Policy Characteristics'!G:G,MATCH($C979,'Policy Characteristics'!$C:$C,0)))</f>
        <v>1</v>
      </c>
      <c r="N979" s="261">
        <f>IF(ISBLANK(INDEX('Policy Characteristics'!H:H,MATCH($C979,'Policy Characteristics'!$C:$C,0))),"",INDEX('Policy Characteristics'!H:H,MATCH($C979,'Policy Characteristics'!$C:$C,0)))</f>
        <v>0.01</v>
      </c>
      <c r="O979" s="254" t="str">
        <f>IF(ISBLANK(INDEX('Policy Characteristics'!I:I,MATCH($C979,'Policy Characteristics'!$C:$C,0))),"",INDEX('Policy Characteristics'!I:I,MATCH($C979,'Policy Characteristics'!$C:$C,0)))</f>
        <v>% of potential achieved</v>
      </c>
      <c r="P979" s="254"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4" t="str">
        <f>IF(ISBLANK(INDEX('Policy Characteristics'!K:K,MATCH($C979,'Policy Characteristics'!$C:$C,0))),"",INDEX('Policy Characteristics'!K:K,MATCH($C979,'Policy Characteristics'!$C:$C,0)))</f>
        <v/>
      </c>
      <c r="R979" s="254" t="str">
        <f>IF(ISBLANK(INDEX('Policy Characteristics'!L:L,MATCH($C979,'Policy Characteristics'!$C:$C,0))),"",INDEX('Policy Characteristics'!L:L,MATCH($C979,'Policy Characteristics'!$C:$C,0)))</f>
        <v/>
      </c>
    </row>
    <row r="980" spans="1:18" s="2" customFormat="1" x14ac:dyDescent="0.3">
      <c r="A980" s="254" t="str">
        <f>IF(ISBLANK(INDEX('Policy Characteristics'!A:A,MATCH($C980,'Policy Characteristics'!$C:$C,0))),"",INDEX('Policy Characteristics'!A:A,MATCH($C980,'Policy Characteristics'!$C:$C,0)))</f>
        <v>Industry</v>
      </c>
      <c r="B980" s="262" t="str">
        <f>IF(ISBLANK(INDEX('Policy Characteristics'!B:B,MATCH($C980,'Policy Characteristics'!$C:$C,0))),"",INDEX('Policy Characteristics'!B:B,MATCH($C980,'Policy Characteristics'!$C:$C,0)))</f>
        <v>Feedstock Shifting</v>
      </c>
      <c r="C980" s="254" t="str">
        <f t="shared" si="42"/>
        <v>Fraction of Feedstock Shifted</v>
      </c>
      <c r="D980" s="6" t="s">
        <v>3075</v>
      </c>
      <c r="E980" s="45" t="s">
        <v>2404</v>
      </c>
      <c r="F980" t="s">
        <v>3037</v>
      </c>
      <c r="G980" s="45" t="s">
        <v>2410</v>
      </c>
      <c r="H980" s="47">
        <v>2605</v>
      </c>
      <c r="I980" s="324" t="s">
        <v>44</v>
      </c>
      <c r="J980" s="255" t="str">
        <f>IF(ISBLANK(INDEX('Policy Characteristics'!D:D,MATCH($C980,'Policy Characteristics'!$C:$C,0))),"",INDEX('Policy Characteristics'!D:D,MATCH($C980,'Policy Characteristics'!$C:$C,0)))</f>
        <v>Feedstock Shifting</v>
      </c>
      <c r="K980" s="254" t="str">
        <f>IF(ISBLANK(INDEX('Policy Characteristics'!E:E,MATCH($C980,'Policy Characteristics'!$C:$C,0))),"",INDEX('Policy Characteristics'!E:E,MATCH($C980,'Policy Characteristics'!$C:$C,0)))</f>
        <v>indst feedstock shifting</v>
      </c>
      <c r="L980" s="261">
        <f>IF(ISBLANK(INDEX('Policy Characteristics'!F:F,MATCH($C980,'Policy Characteristics'!$C:$C,0))),"",INDEX('Policy Characteristics'!F:F,MATCH($C980,'Policy Characteristics'!$C:$C,0)))</f>
        <v>0</v>
      </c>
      <c r="M980" s="261">
        <f>IF(ISBLANK(INDEX('Policy Characteristics'!G:G,MATCH($C980,'Policy Characteristics'!$C:$C,0))),"",INDEX('Policy Characteristics'!G:G,MATCH($C980,'Policy Characteristics'!$C:$C,0)))</f>
        <v>1</v>
      </c>
      <c r="N980" s="261">
        <f>IF(ISBLANK(INDEX('Policy Characteristics'!H:H,MATCH($C980,'Policy Characteristics'!$C:$C,0))),"",INDEX('Policy Characteristics'!H:H,MATCH($C980,'Policy Characteristics'!$C:$C,0)))</f>
        <v>0.01</v>
      </c>
      <c r="O980" s="254" t="str">
        <f>IF(ISBLANK(INDEX('Policy Characteristics'!I:I,MATCH($C980,'Policy Characteristics'!$C:$C,0))),"",INDEX('Policy Characteristics'!I:I,MATCH($C980,'Policy Characteristics'!$C:$C,0)))</f>
        <v>% of potential achieved</v>
      </c>
      <c r="P980" s="254"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4" t="str">
        <f>IF(ISBLANK(INDEX('Policy Characteristics'!K:K,MATCH($C980,'Policy Characteristics'!$C:$C,0))),"",INDEX('Policy Characteristics'!K:K,MATCH($C980,'Policy Characteristics'!$C:$C,0)))</f>
        <v/>
      </c>
      <c r="R980" s="254" t="str">
        <f>IF(ISBLANK(INDEX('Policy Characteristics'!L:L,MATCH($C980,'Policy Characteristics'!$C:$C,0))),"",INDEX('Policy Characteristics'!L:L,MATCH($C980,'Policy Characteristics'!$C:$C,0)))</f>
        <v/>
      </c>
    </row>
    <row r="981" spans="1:18" s="2" customFormat="1" x14ac:dyDescent="0.3">
      <c r="A981" s="254" t="str">
        <f>IF(ISBLANK(INDEX('Policy Characteristics'!A:A,MATCH($C981,'Policy Characteristics'!$C:$C,0))),"",INDEX('Policy Characteristics'!A:A,MATCH($C981,'Policy Characteristics'!$C:$C,0)))</f>
        <v>Industry</v>
      </c>
      <c r="B981" s="262" t="str">
        <f>IF(ISBLANK(INDEX('Policy Characteristics'!B:B,MATCH($C981,'Policy Characteristics'!$C:$C,0))),"",INDEX('Policy Characteristics'!B:B,MATCH($C981,'Policy Characteristics'!$C:$C,0)))</f>
        <v>Feedstock Shifting</v>
      </c>
      <c r="C981" s="254" t="str">
        <f t="shared" si="42"/>
        <v>Fraction of Feedstock Shifted</v>
      </c>
      <c r="D981" s="6" t="s">
        <v>3075</v>
      </c>
      <c r="E981" s="45" t="s">
        <v>2706</v>
      </c>
      <c r="F981" t="s">
        <v>3037</v>
      </c>
      <c r="G981" s="45" t="s">
        <v>2709</v>
      </c>
      <c r="H981" s="47">
        <v>2606</v>
      </c>
      <c r="I981" s="324" t="s">
        <v>44</v>
      </c>
      <c r="J981" s="255" t="str">
        <f>IF(ISBLANK(INDEX('Policy Characteristics'!D:D,MATCH($C981,'Policy Characteristics'!$C:$C,0))),"",INDEX('Policy Characteristics'!D:D,MATCH($C981,'Policy Characteristics'!$C:$C,0)))</f>
        <v>Feedstock Shifting</v>
      </c>
      <c r="K981" s="254" t="str">
        <f>IF(ISBLANK(INDEX('Policy Characteristics'!E:E,MATCH($C981,'Policy Characteristics'!$C:$C,0))),"",INDEX('Policy Characteristics'!E:E,MATCH($C981,'Policy Characteristics'!$C:$C,0)))</f>
        <v>indst feedstock shifting</v>
      </c>
      <c r="L981" s="261">
        <f>IF(ISBLANK(INDEX('Policy Characteristics'!F:F,MATCH($C981,'Policy Characteristics'!$C:$C,0))),"",INDEX('Policy Characteristics'!F:F,MATCH($C981,'Policy Characteristics'!$C:$C,0)))</f>
        <v>0</v>
      </c>
      <c r="M981" s="261">
        <f>IF(ISBLANK(INDEX('Policy Characteristics'!G:G,MATCH($C981,'Policy Characteristics'!$C:$C,0))),"",INDEX('Policy Characteristics'!G:G,MATCH($C981,'Policy Characteristics'!$C:$C,0)))</f>
        <v>1</v>
      </c>
      <c r="N981" s="261">
        <f>IF(ISBLANK(INDEX('Policy Characteristics'!H:H,MATCH($C981,'Policy Characteristics'!$C:$C,0))),"",INDEX('Policy Characteristics'!H:H,MATCH($C981,'Policy Characteristics'!$C:$C,0)))</f>
        <v>0.01</v>
      </c>
      <c r="O981" s="254" t="str">
        <f>IF(ISBLANK(INDEX('Policy Characteristics'!I:I,MATCH($C981,'Policy Characteristics'!$C:$C,0))),"",INDEX('Policy Characteristics'!I:I,MATCH($C981,'Policy Characteristics'!$C:$C,0)))</f>
        <v>% of potential achieved</v>
      </c>
      <c r="P981" s="254"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4" t="str">
        <f>IF(ISBLANK(INDEX('Policy Characteristics'!K:K,MATCH($C981,'Policy Characteristics'!$C:$C,0))),"",INDEX('Policy Characteristics'!K:K,MATCH($C981,'Policy Characteristics'!$C:$C,0)))</f>
        <v/>
      </c>
      <c r="R981" s="254" t="str">
        <f>IF(ISBLANK(INDEX('Policy Characteristics'!L:L,MATCH($C981,'Policy Characteristics'!$C:$C,0))),"",INDEX('Policy Characteristics'!L:L,MATCH($C981,'Policy Characteristics'!$C:$C,0)))</f>
        <v/>
      </c>
    </row>
    <row r="982" spans="1:18" s="2" customFormat="1" x14ac:dyDescent="0.3">
      <c r="A982" s="254" t="str">
        <f>IF(ISBLANK(INDEX('Policy Characteristics'!A:A,MATCH($C982,'Policy Characteristics'!$C:$C,0))),"",INDEX('Policy Characteristics'!A:A,MATCH($C982,'Policy Characteristics'!$C:$C,0)))</f>
        <v>Industry</v>
      </c>
      <c r="B982" s="262" t="str">
        <f>IF(ISBLANK(INDEX('Policy Characteristics'!B:B,MATCH($C982,'Policy Characteristics'!$C:$C,0))),"",INDEX('Policy Characteristics'!B:B,MATCH($C982,'Policy Characteristics'!$C:$C,0)))</f>
        <v>Feedstock Shifting</v>
      </c>
      <c r="C982" s="254" t="str">
        <f t="shared" si="42"/>
        <v>Fraction of Feedstock Shifted</v>
      </c>
      <c r="D982" s="6" t="s">
        <v>3075</v>
      </c>
      <c r="E982" s="45" t="s">
        <v>2707</v>
      </c>
      <c r="F982" t="s">
        <v>3037</v>
      </c>
      <c r="G982" s="45" t="s">
        <v>2711</v>
      </c>
      <c r="H982" s="47">
        <v>2607</v>
      </c>
      <c r="I982" s="324" t="s">
        <v>44</v>
      </c>
      <c r="J982" s="255" t="str">
        <f>IF(ISBLANK(INDEX('Policy Characteristics'!D:D,MATCH($C982,'Policy Characteristics'!$C:$C,0))),"",INDEX('Policy Characteristics'!D:D,MATCH($C982,'Policy Characteristics'!$C:$C,0)))</f>
        <v>Feedstock Shifting</v>
      </c>
      <c r="K982" s="254" t="str">
        <f>IF(ISBLANK(INDEX('Policy Characteristics'!E:E,MATCH($C982,'Policy Characteristics'!$C:$C,0))),"",INDEX('Policy Characteristics'!E:E,MATCH($C982,'Policy Characteristics'!$C:$C,0)))</f>
        <v>indst feedstock shifting</v>
      </c>
      <c r="L982" s="261">
        <f>IF(ISBLANK(INDEX('Policy Characteristics'!F:F,MATCH($C982,'Policy Characteristics'!$C:$C,0))),"",INDEX('Policy Characteristics'!F:F,MATCH($C982,'Policy Characteristics'!$C:$C,0)))</f>
        <v>0</v>
      </c>
      <c r="M982" s="261">
        <f>IF(ISBLANK(INDEX('Policy Characteristics'!G:G,MATCH($C982,'Policy Characteristics'!$C:$C,0))),"",INDEX('Policy Characteristics'!G:G,MATCH($C982,'Policy Characteristics'!$C:$C,0)))</f>
        <v>1</v>
      </c>
      <c r="N982" s="261">
        <f>IF(ISBLANK(INDEX('Policy Characteristics'!H:H,MATCH($C982,'Policy Characteristics'!$C:$C,0))),"",INDEX('Policy Characteristics'!H:H,MATCH($C982,'Policy Characteristics'!$C:$C,0)))</f>
        <v>0.01</v>
      </c>
      <c r="O982" s="254" t="str">
        <f>IF(ISBLANK(INDEX('Policy Characteristics'!I:I,MATCH($C982,'Policy Characteristics'!$C:$C,0))),"",INDEX('Policy Characteristics'!I:I,MATCH($C982,'Policy Characteristics'!$C:$C,0)))</f>
        <v>% of potential achieved</v>
      </c>
      <c r="P982" s="254"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4" t="str">
        <f>IF(ISBLANK(INDEX('Policy Characteristics'!K:K,MATCH($C982,'Policy Characteristics'!$C:$C,0))),"",INDEX('Policy Characteristics'!K:K,MATCH($C982,'Policy Characteristics'!$C:$C,0)))</f>
        <v/>
      </c>
      <c r="R982" s="254" t="str">
        <f>IF(ISBLANK(INDEX('Policy Characteristics'!L:L,MATCH($C982,'Policy Characteristics'!$C:$C,0))),"",INDEX('Policy Characteristics'!L:L,MATCH($C982,'Policy Characteristics'!$C:$C,0)))</f>
        <v/>
      </c>
    </row>
    <row r="983" spans="1:18" s="2" customFormat="1" x14ac:dyDescent="0.3">
      <c r="A983" s="254" t="str">
        <f>IF(ISBLANK(INDEX('Policy Characteristics'!A:A,MATCH($C983,'Policy Characteristics'!$C:$C,0))),"",INDEX('Policy Characteristics'!A:A,MATCH($C983,'Policy Characteristics'!$C:$C,0)))</f>
        <v>Industry</v>
      </c>
      <c r="B983" s="262" t="str">
        <f>IF(ISBLANK(INDEX('Policy Characteristics'!B:B,MATCH($C983,'Policy Characteristics'!$C:$C,0))),"",INDEX('Policy Characteristics'!B:B,MATCH($C983,'Policy Characteristics'!$C:$C,0)))</f>
        <v>Feedstock Shifting</v>
      </c>
      <c r="C983" s="254" t="str">
        <f t="shared" si="42"/>
        <v>Fraction of Feedstock Shifted</v>
      </c>
      <c r="D983" s="6" t="s">
        <v>3075</v>
      </c>
      <c r="E983" s="45" t="s">
        <v>2708</v>
      </c>
      <c r="F983" t="s">
        <v>3037</v>
      </c>
      <c r="G983" s="45" t="s">
        <v>2712</v>
      </c>
      <c r="H983" s="47">
        <v>2608</v>
      </c>
      <c r="I983" s="324" t="s">
        <v>44</v>
      </c>
      <c r="J983" s="255" t="str">
        <f>IF(ISBLANK(INDEX('Policy Characteristics'!D:D,MATCH($C983,'Policy Characteristics'!$C:$C,0))),"",INDEX('Policy Characteristics'!D:D,MATCH($C983,'Policy Characteristics'!$C:$C,0)))</f>
        <v>Feedstock Shifting</v>
      </c>
      <c r="K983" s="254" t="str">
        <f>IF(ISBLANK(INDEX('Policy Characteristics'!E:E,MATCH($C983,'Policy Characteristics'!$C:$C,0))),"",INDEX('Policy Characteristics'!E:E,MATCH($C983,'Policy Characteristics'!$C:$C,0)))</f>
        <v>indst feedstock shifting</v>
      </c>
      <c r="L983" s="261">
        <f>IF(ISBLANK(INDEX('Policy Characteristics'!F:F,MATCH($C983,'Policy Characteristics'!$C:$C,0))),"",INDEX('Policy Characteristics'!F:F,MATCH($C983,'Policy Characteristics'!$C:$C,0)))</f>
        <v>0</v>
      </c>
      <c r="M983" s="261">
        <f>IF(ISBLANK(INDEX('Policy Characteristics'!G:G,MATCH($C983,'Policy Characteristics'!$C:$C,0))),"",INDEX('Policy Characteristics'!G:G,MATCH($C983,'Policy Characteristics'!$C:$C,0)))</f>
        <v>1</v>
      </c>
      <c r="N983" s="261">
        <f>IF(ISBLANK(INDEX('Policy Characteristics'!H:H,MATCH($C983,'Policy Characteristics'!$C:$C,0))),"",INDEX('Policy Characteristics'!H:H,MATCH($C983,'Policy Characteristics'!$C:$C,0)))</f>
        <v>0.01</v>
      </c>
      <c r="O983" s="254" t="str">
        <f>IF(ISBLANK(INDEX('Policy Characteristics'!I:I,MATCH($C983,'Policy Characteristics'!$C:$C,0))),"",INDEX('Policy Characteristics'!I:I,MATCH($C983,'Policy Characteristics'!$C:$C,0)))</f>
        <v>% of potential achieved</v>
      </c>
      <c r="P983" s="254"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4" t="str">
        <f>IF(ISBLANK(INDEX('Policy Characteristics'!K:K,MATCH($C983,'Policy Characteristics'!$C:$C,0))),"",INDEX('Policy Characteristics'!K:K,MATCH($C983,'Policy Characteristics'!$C:$C,0)))</f>
        <v/>
      </c>
      <c r="R983" s="254" t="str">
        <f>IF(ISBLANK(INDEX('Policy Characteristics'!L:L,MATCH($C983,'Policy Characteristics'!$C:$C,0))),"",INDEX('Policy Characteristics'!L:L,MATCH($C983,'Policy Characteristics'!$C:$C,0)))</f>
        <v/>
      </c>
    </row>
    <row r="984" spans="1:18" s="2" customFormat="1" x14ac:dyDescent="0.3">
      <c r="A984" s="254" t="str">
        <f>IF(ISBLANK(INDEX('Policy Characteristics'!A:A,MATCH($C984,'Policy Characteristics'!$C:$C,0))),"",INDEX('Policy Characteristics'!A:A,MATCH($C984,'Policy Characteristics'!$C:$C,0)))</f>
        <v>Industry</v>
      </c>
      <c r="B984" s="262" t="str">
        <f>IF(ISBLANK(INDEX('Policy Characteristics'!B:B,MATCH($C984,'Policy Characteristics'!$C:$C,0))),"",INDEX('Policy Characteristics'!B:B,MATCH($C984,'Policy Characteristics'!$C:$C,0)))</f>
        <v>Feedstock Shifting</v>
      </c>
      <c r="C984" s="254" t="str">
        <f t="shared" si="42"/>
        <v>Fraction of Feedstock Shifted</v>
      </c>
      <c r="D984" s="6" t="s">
        <v>3075</v>
      </c>
      <c r="E984" s="45" t="s">
        <v>2705</v>
      </c>
      <c r="F984" t="s">
        <v>3037</v>
      </c>
      <c r="G984" s="45" t="s">
        <v>2710</v>
      </c>
      <c r="H984" s="47">
        <v>2609</v>
      </c>
      <c r="I984" s="324" t="s">
        <v>44</v>
      </c>
      <c r="J984" s="255" t="str">
        <f>IF(ISBLANK(INDEX('Policy Characteristics'!D:D,MATCH($C984,'Policy Characteristics'!$C:$C,0))),"",INDEX('Policy Characteristics'!D:D,MATCH($C984,'Policy Characteristics'!$C:$C,0)))</f>
        <v>Feedstock Shifting</v>
      </c>
      <c r="K984" s="254" t="str">
        <f>IF(ISBLANK(INDEX('Policy Characteristics'!E:E,MATCH($C984,'Policy Characteristics'!$C:$C,0))),"",INDEX('Policy Characteristics'!E:E,MATCH($C984,'Policy Characteristics'!$C:$C,0)))</f>
        <v>indst feedstock shifting</v>
      </c>
      <c r="L984" s="261">
        <f>IF(ISBLANK(INDEX('Policy Characteristics'!F:F,MATCH($C984,'Policy Characteristics'!$C:$C,0))),"",INDEX('Policy Characteristics'!F:F,MATCH($C984,'Policy Characteristics'!$C:$C,0)))</f>
        <v>0</v>
      </c>
      <c r="M984" s="261">
        <f>IF(ISBLANK(INDEX('Policy Characteristics'!G:G,MATCH($C984,'Policy Characteristics'!$C:$C,0))),"",INDEX('Policy Characteristics'!G:G,MATCH($C984,'Policy Characteristics'!$C:$C,0)))</f>
        <v>1</v>
      </c>
      <c r="N984" s="261">
        <f>IF(ISBLANK(INDEX('Policy Characteristics'!H:H,MATCH($C984,'Policy Characteristics'!$C:$C,0))),"",INDEX('Policy Characteristics'!H:H,MATCH($C984,'Policy Characteristics'!$C:$C,0)))</f>
        <v>0.01</v>
      </c>
      <c r="O984" s="254" t="str">
        <f>IF(ISBLANK(INDEX('Policy Characteristics'!I:I,MATCH($C984,'Policy Characteristics'!$C:$C,0))),"",INDEX('Policy Characteristics'!I:I,MATCH($C984,'Policy Characteristics'!$C:$C,0)))</f>
        <v>% of potential achieved</v>
      </c>
      <c r="P984" s="254"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4" t="str">
        <f>IF(ISBLANK(INDEX('Policy Characteristics'!K:K,MATCH($C984,'Policy Characteristics'!$C:$C,0))),"",INDEX('Policy Characteristics'!K:K,MATCH($C984,'Policy Characteristics'!$C:$C,0)))</f>
        <v/>
      </c>
      <c r="R984" s="254" t="str">
        <f>IF(ISBLANK(INDEX('Policy Characteristics'!L:L,MATCH($C984,'Policy Characteristics'!$C:$C,0))),"",INDEX('Policy Characteristics'!L:L,MATCH($C984,'Policy Characteristics'!$C:$C,0)))</f>
        <v/>
      </c>
    </row>
    <row r="985" spans="1:18" s="2" customFormat="1" x14ac:dyDescent="0.3">
      <c r="A985" s="254" t="str">
        <f>IF(ISBLANK(INDEX('Policy Characteristics'!A:A,MATCH($C985,'Policy Characteristics'!$C:$C,0))),"",INDEX('Policy Characteristics'!A:A,MATCH($C985,'Policy Characteristics'!$C:$C,0)))</f>
        <v>Industry</v>
      </c>
      <c r="B985" s="262" t="str">
        <f>IF(ISBLANK(INDEX('Policy Characteristics'!B:B,MATCH($C985,'Policy Characteristics'!$C:$C,0))),"",INDEX('Policy Characteristics'!B:B,MATCH($C985,'Policy Characteristics'!$C:$C,0)))</f>
        <v>Feedstock Shifting</v>
      </c>
      <c r="C985" s="254" t="str">
        <f t="shared" si="42"/>
        <v>Fraction of Feedstock Shifted</v>
      </c>
      <c r="D985" s="6" t="s">
        <v>3076</v>
      </c>
      <c r="E985" s="45" t="s">
        <v>2399</v>
      </c>
      <c r="F985" t="s">
        <v>3038</v>
      </c>
      <c r="G985" s="45" t="s">
        <v>2405</v>
      </c>
      <c r="H985" s="47">
        <v>2610</v>
      </c>
      <c r="I985" s="324" t="s">
        <v>44</v>
      </c>
      <c r="J985" s="255" t="str">
        <f>IF(ISBLANK(INDEX('Policy Characteristics'!D:D,MATCH($C985,'Policy Characteristics'!$C:$C,0))),"",INDEX('Policy Characteristics'!D:D,MATCH($C985,'Policy Characteristics'!$C:$C,0)))</f>
        <v>Feedstock Shifting</v>
      </c>
      <c r="K985" s="254" t="str">
        <f>IF(ISBLANK(INDEX('Policy Characteristics'!E:E,MATCH($C985,'Policy Characteristics'!$C:$C,0))),"",INDEX('Policy Characteristics'!E:E,MATCH($C985,'Policy Characteristics'!$C:$C,0)))</f>
        <v>indst feedstock shifting</v>
      </c>
      <c r="L985" s="261">
        <f>IF(ISBLANK(INDEX('Policy Characteristics'!F:F,MATCH($C985,'Policy Characteristics'!$C:$C,0))),"",INDEX('Policy Characteristics'!F:F,MATCH($C985,'Policy Characteristics'!$C:$C,0)))</f>
        <v>0</v>
      </c>
      <c r="M985" s="261">
        <f>IF(ISBLANK(INDEX('Policy Characteristics'!G:G,MATCH($C985,'Policy Characteristics'!$C:$C,0))),"",INDEX('Policy Characteristics'!G:G,MATCH($C985,'Policy Characteristics'!$C:$C,0)))</f>
        <v>1</v>
      </c>
      <c r="N985" s="261">
        <f>IF(ISBLANK(INDEX('Policy Characteristics'!H:H,MATCH($C985,'Policy Characteristics'!$C:$C,0))),"",INDEX('Policy Characteristics'!H:H,MATCH($C985,'Policy Characteristics'!$C:$C,0)))</f>
        <v>0.01</v>
      </c>
      <c r="O985" s="254" t="str">
        <f>IF(ISBLANK(INDEX('Policy Characteristics'!I:I,MATCH($C985,'Policy Characteristics'!$C:$C,0))),"",INDEX('Policy Characteristics'!I:I,MATCH($C985,'Policy Characteristics'!$C:$C,0)))</f>
        <v>% of potential achieved</v>
      </c>
      <c r="P985" s="254"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4" t="str">
        <f>IF(ISBLANK(INDEX('Policy Characteristics'!K:K,MATCH($C985,'Policy Characteristics'!$C:$C,0))),"",INDEX('Policy Characteristics'!K:K,MATCH($C985,'Policy Characteristics'!$C:$C,0)))</f>
        <v/>
      </c>
      <c r="R985" s="254" t="str">
        <f>IF(ISBLANK(INDEX('Policy Characteristics'!L:L,MATCH($C985,'Policy Characteristics'!$C:$C,0))),"",INDEX('Policy Characteristics'!L:L,MATCH($C985,'Policy Characteristics'!$C:$C,0)))</f>
        <v/>
      </c>
    </row>
    <row r="986" spans="1:18" s="2" customFormat="1" x14ac:dyDescent="0.3">
      <c r="A986" s="254" t="str">
        <f>IF(ISBLANK(INDEX('Policy Characteristics'!A:A,MATCH($C986,'Policy Characteristics'!$C:$C,0))),"",INDEX('Policy Characteristics'!A:A,MATCH($C986,'Policy Characteristics'!$C:$C,0)))</f>
        <v>Industry</v>
      </c>
      <c r="B986" s="262" t="str">
        <f>IF(ISBLANK(INDEX('Policy Characteristics'!B:B,MATCH($C986,'Policy Characteristics'!$C:$C,0))),"",INDEX('Policy Characteristics'!B:B,MATCH($C986,'Policy Characteristics'!$C:$C,0)))</f>
        <v>Feedstock Shifting</v>
      </c>
      <c r="C986" s="254" t="str">
        <f t="shared" si="42"/>
        <v>Fraction of Feedstock Shifted</v>
      </c>
      <c r="D986" s="6" t="s">
        <v>3076</v>
      </c>
      <c r="E986" s="45" t="s">
        <v>2400</v>
      </c>
      <c r="F986" t="s">
        <v>3038</v>
      </c>
      <c r="G986" s="45" t="s">
        <v>2408</v>
      </c>
      <c r="H986" s="47">
        <v>2611</v>
      </c>
      <c r="I986" s="324" t="s">
        <v>44</v>
      </c>
      <c r="J986" s="255" t="str">
        <f>IF(ISBLANK(INDEX('Policy Characteristics'!D:D,MATCH($C986,'Policy Characteristics'!$C:$C,0))),"",INDEX('Policy Characteristics'!D:D,MATCH($C986,'Policy Characteristics'!$C:$C,0)))</f>
        <v>Feedstock Shifting</v>
      </c>
      <c r="K986" s="254" t="str">
        <f>IF(ISBLANK(INDEX('Policy Characteristics'!E:E,MATCH($C986,'Policy Characteristics'!$C:$C,0))),"",INDEX('Policy Characteristics'!E:E,MATCH($C986,'Policy Characteristics'!$C:$C,0)))</f>
        <v>indst feedstock shifting</v>
      </c>
      <c r="L986" s="261">
        <f>IF(ISBLANK(INDEX('Policy Characteristics'!F:F,MATCH($C986,'Policy Characteristics'!$C:$C,0))),"",INDEX('Policy Characteristics'!F:F,MATCH($C986,'Policy Characteristics'!$C:$C,0)))</f>
        <v>0</v>
      </c>
      <c r="M986" s="261">
        <f>IF(ISBLANK(INDEX('Policy Characteristics'!G:G,MATCH($C986,'Policy Characteristics'!$C:$C,0))),"",INDEX('Policy Characteristics'!G:G,MATCH($C986,'Policy Characteristics'!$C:$C,0)))</f>
        <v>1</v>
      </c>
      <c r="N986" s="261">
        <f>IF(ISBLANK(INDEX('Policy Characteristics'!H:H,MATCH($C986,'Policy Characteristics'!$C:$C,0))),"",INDEX('Policy Characteristics'!H:H,MATCH($C986,'Policy Characteristics'!$C:$C,0)))</f>
        <v>0.01</v>
      </c>
      <c r="O986" s="254" t="str">
        <f>IF(ISBLANK(INDEX('Policy Characteristics'!I:I,MATCH($C986,'Policy Characteristics'!$C:$C,0))),"",INDEX('Policy Characteristics'!I:I,MATCH($C986,'Policy Characteristics'!$C:$C,0)))</f>
        <v>% of potential achieved</v>
      </c>
      <c r="P986" s="254"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4" t="str">
        <f>IF(ISBLANK(INDEX('Policy Characteristics'!K:K,MATCH($C986,'Policy Characteristics'!$C:$C,0))),"",INDEX('Policy Characteristics'!K:K,MATCH($C986,'Policy Characteristics'!$C:$C,0)))</f>
        <v/>
      </c>
      <c r="R986" s="254" t="str">
        <f>IF(ISBLANK(INDEX('Policy Characteristics'!L:L,MATCH($C986,'Policy Characteristics'!$C:$C,0))),"",INDEX('Policy Characteristics'!L:L,MATCH($C986,'Policy Characteristics'!$C:$C,0)))</f>
        <v/>
      </c>
    </row>
    <row r="987" spans="1:18" s="2" customFormat="1" x14ac:dyDescent="0.3">
      <c r="A987" s="254" t="str">
        <f>IF(ISBLANK(INDEX('Policy Characteristics'!A:A,MATCH($C987,'Policy Characteristics'!$C:$C,0))),"",INDEX('Policy Characteristics'!A:A,MATCH($C987,'Policy Characteristics'!$C:$C,0)))</f>
        <v>Industry</v>
      </c>
      <c r="B987" s="262" t="str">
        <f>IF(ISBLANK(INDEX('Policy Characteristics'!B:B,MATCH($C987,'Policy Characteristics'!$C:$C,0))),"",INDEX('Policy Characteristics'!B:B,MATCH($C987,'Policy Characteristics'!$C:$C,0)))</f>
        <v>Feedstock Shifting</v>
      </c>
      <c r="C987" s="254" t="str">
        <f t="shared" si="42"/>
        <v>Fraction of Feedstock Shifted</v>
      </c>
      <c r="D987" s="6" t="s">
        <v>3076</v>
      </c>
      <c r="E987" s="45" t="s">
        <v>2401</v>
      </c>
      <c r="F987" t="s">
        <v>3038</v>
      </c>
      <c r="G987" s="45" t="s">
        <v>2409</v>
      </c>
      <c r="H987" s="47">
        <v>2612</v>
      </c>
      <c r="I987" s="324" t="s">
        <v>44</v>
      </c>
      <c r="J987" s="255" t="str">
        <f>IF(ISBLANK(INDEX('Policy Characteristics'!D:D,MATCH($C987,'Policy Characteristics'!$C:$C,0))),"",INDEX('Policy Characteristics'!D:D,MATCH($C987,'Policy Characteristics'!$C:$C,0)))</f>
        <v>Feedstock Shifting</v>
      </c>
      <c r="K987" s="254" t="str">
        <f>IF(ISBLANK(INDEX('Policy Characteristics'!E:E,MATCH($C987,'Policy Characteristics'!$C:$C,0))),"",INDEX('Policy Characteristics'!E:E,MATCH($C987,'Policy Characteristics'!$C:$C,0)))</f>
        <v>indst feedstock shifting</v>
      </c>
      <c r="L987" s="261">
        <f>IF(ISBLANK(INDEX('Policy Characteristics'!F:F,MATCH($C987,'Policy Characteristics'!$C:$C,0))),"",INDEX('Policy Characteristics'!F:F,MATCH($C987,'Policy Characteristics'!$C:$C,0)))</f>
        <v>0</v>
      </c>
      <c r="M987" s="261">
        <f>IF(ISBLANK(INDEX('Policy Characteristics'!G:G,MATCH($C987,'Policy Characteristics'!$C:$C,0))),"",INDEX('Policy Characteristics'!G:G,MATCH($C987,'Policy Characteristics'!$C:$C,0)))</f>
        <v>1</v>
      </c>
      <c r="N987" s="261">
        <f>IF(ISBLANK(INDEX('Policy Characteristics'!H:H,MATCH($C987,'Policy Characteristics'!$C:$C,0))),"",INDEX('Policy Characteristics'!H:H,MATCH($C987,'Policy Characteristics'!$C:$C,0)))</f>
        <v>0.01</v>
      </c>
      <c r="O987" s="254" t="str">
        <f>IF(ISBLANK(INDEX('Policy Characteristics'!I:I,MATCH($C987,'Policy Characteristics'!$C:$C,0))),"",INDEX('Policy Characteristics'!I:I,MATCH($C987,'Policy Characteristics'!$C:$C,0)))</f>
        <v>% of potential achieved</v>
      </c>
      <c r="P987" s="254"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4" t="str">
        <f>IF(ISBLANK(INDEX('Policy Characteristics'!K:K,MATCH($C987,'Policy Characteristics'!$C:$C,0))),"",INDEX('Policy Characteristics'!K:K,MATCH($C987,'Policy Characteristics'!$C:$C,0)))</f>
        <v/>
      </c>
      <c r="R987" s="254" t="str">
        <f>IF(ISBLANK(INDEX('Policy Characteristics'!L:L,MATCH($C987,'Policy Characteristics'!$C:$C,0))),"",INDEX('Policy Characteristics'!L:L,MATCH($C987,'Policy Characteristics'!$C:$C,0)))</f>
        <v/>
      </c>
    </row>
    <row r="988" spans="1:18" s="2" customFormat="1" x14ac:dyDescent="0.3">
      <c r="A988" s="254" t="str">
        <f>IF(ISBLANK(INDEX('Policy Characteristics'!A:A,MATCH($C988,'Policy Characteristics'!$C:$C,0))),"",INDEX('Policy Characteristics'!A:A,MATCH($C988,'Policy Characteristics'!$C:$C,0)))</f>
        <v>Industry</v>
      </c>
      <c r="B988" s="262" t="str">
        <f>IF(ISBLANK(INDEX('Policy Characteristics'!B:B,MATCH($C988,'Policy Characteristics'!$C:$C,0))),"",INDEX('Policy Characteristics'!B:B,MATCH($C988,'Policy Characteristics'!$C:$C,0)))</f>
        <v>Feedstock Shifting</v>
      </c>
      <c r="C988" s="254" t="str">
        <f t="shared" si="42"/>
        <v>Fraction of Feedstock Shifted</v>
      </c>
      <c r="D988" s="6" t="s">
        <v>3076</v>
      </c>
      <c r="E988" s="45" t="s">
        <v>2402</v>
      </c>
      <c r="F988" t="s">
        <v>3038</v>
      </c>
      <c r="G988" s="45" t="s">
        <v>2406</v>
      </c>
      <c r="H988" s="47">
        <v>2613</v>
      </c>
      <c r="I988" s="324" t="s">
        <v>44</v>
      </c>
      <c r="J988" s="255" t="str">
        <f>IF(ISBLANK(INDEX('Policy Characteristics'!D:D,MATCH($C988,'Policy Characteristics'!$C:$C,0))),"",INDEX('Policy Characteristics'!D:D,MATCH($C988,'Policy Characteristics'!$C:$C,0)))</f>
        <v>Feedstock Shifting</v>
      </c>
      <c r="K988" s="254" t="str">
        <f>IF(ISBLANK(INDEX('Policy Characteristics'!E:E,MATCH($C988,'Policy Characteristics'!$C:$C,0))),"",INDEX('Policy Characteristics'!E:E,MATCH($C988,'Policy Characteristics'!$C:$C,0)))</f>
        <v>indst feedstock shifting</v>
      </c>
      <c r="L988" s="261">
        <f>IF(ISBLANK(INDEX('Policy Characteristics'!F:F,MATCH($C988,'Policy Characteristics'!$C:$C,0))),"",INDEX('Policy Characteristics'!F:F,MATCH($C988,'Policy Characteristics'!$C:$C,0)))</f>
        <v>0</v>
      </c>
      <c r="M988" s="261">
        <f>IF(ISBLANK(INDEX('Policy Characteristics'!G:G,MATCH($C988,'Policy Characteristics'!$C:$C,0))),"",INDEX('Policy Characteristics'!G:G,MATCH($C988,'Policy Characteristics'!$C:$C,0)))</f>
        <v>1</v>
      </c>
      <c r="N988" s="261">
        <f>IF(ISBLANK(INDEX('Policy Characteristics'!H:H,MATCH($C988,'Policy Characteristics'!$C:$C,0))),"",INDEX('Policy Characteristics'!H:H,MATCH($C988,'Policy Characteristics'!$C:$C,0)))</f>
        <v>0.01</v>
      </c>
      <c r="O988" s="254" t="str">
        <f>IF(ISBLANK(INDEX('Policy Characteristics'!I:I,MATCH($C988,'Policy Characteristics'!$C:$C,0))),"",INDEX('Policy Characteristics'!I:I,MATCH($C988,'Policy Characteristics'!$C:$C,0)))</f>
        <v>% of potential achieved</v>
      </c>
      <c r="P988" s="254"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4" t="str">
        <f>IF(ISBLANK(INDEX('Policy Characteristics'!K:K,MATCH($C988,'Policy Characteristics'!$C:$C,0))),"",INDEX('Policy Characteristics'!K:K,MATCH($C988,'Policy Characteristics'!$C:$C,0)))</f>
        <v/>
      </c>
      <c r="R988" s="254" t="str">
        <f>IF(ISBLANK(INDEX('Policy Characteristics'!L:L,MATCH($C988,'Policy Characteristics'!$C:$C,0))),"",INDEX('Policy Characteristics'!L:L,MATCH($C988,'Policy Characteristics'!$C:$C,0)))</f>
        <v/>
      </c>
    </row>
    <row r="989" spans="1:18" s="2" customFormat="1" x14ac:dyDescent="0.3">
      <c r="A989" s="254" t="str">
        <f>IF(ISBLANK(INDEX('Policy Characteristics'!A:A,MATCH($C989,'Policy Characteristics'!$C:$C,0))),"",INDEX('Policy Characteristics'!A:A,MATCH($C989,'Policy Characteristics'!$C:$C,0)))</f>
        <v>Industry</v>
      </c>
      <c r="B989" s="262" t="str">
        <f>IF(ISBLANK(INDEX('Policy Characteristics'!B:B,MATCH($C989,'Policy Characteristics'!$C:$C,0))),"",INDEX('Policy Characteristics'!B:B,MATCH($C989,'Policy Characteristics'!$C:$C,0)))</f>
        <v>Feedstock Shifting</v>
      </c>
      <c r="C989" s="254" t="str">
        <f t="shared" si="42"/>
        <v>Fraction of Feedstock Shifted</v>
      </c>
      <c r="D989" s="6" t="s">
        <v>3076</v>
      </c>
      <c r="E989" s="45" t="s">
        <v>2403</v>
      </c>
      <c r="F989" t="s">
        <v>3038</v>
      </c>
      <c r="G989" s="45" t="s">
        <v>2407</v>
      </c>
      <c r="H989" s="47">
        <v>2614</v>
      </c>
      <c r="I989" s="324" t="s">
        <v>44</v>
      </c>
      <c r="J989" s="255" t="str">
        <f>IF(ISBLANK(INDEX('Policy Characteristics'!D:D,MATCH($C989,'Policy Characteristics'!$C:$C,0))),"",INDEX('Policy Characteristics'!D:D,MATCH($C989,'Policy Characteristics'!$C:$C,0)))</f>
        <v>Feedstock Shifting</v>
      </c>
      <c r="K989" s="254" t="str">
        <f>IF(ISBLANK(INDEX('Policy Characteristics'!E:E,MATCH($C989,'Policy Characteristics'!$C:$C,0))),"",INDEX('Policy Characteristics'!E:E,MATCH($C989,'Policy Characteristics'!$C:$C,0)))</f>
        <v>indst feedstock shifting</v>
      </c>
      <c r="L989" s="261">
        <f>IF(ISBLANK(INDEX('Policy Characteristics'!F:F,MATCH($C989,'Policy Characteristics'!$C:$C,0))),"",INDEX('Policy Characteristics'!F:F,MATCH($C989,'Policy Characteristics'!$C:$C,0)))</f>
        <v>0</v>
      </c>
      <c r="M989" s="261">
        <f>IF(ISBLANK(INDEX('Policy Characteristics'!G:G,MATCH($C989,'Policy Characteristics'!$C:$C,0))),"",INDEX('Policy Characteristics'!G:G,MATCH($C989,'Policy Characteristics'!$C:$C,0)))</f>
        <v>1</v>
      </c>
      <c r="N989" s="261">
        <f>IF(ISBLANK(INDEX('Policy Characteristics'!H:H,MATCH($C989,'Policy Characteristics'!$C:$C,0))),"",INDEX('Policy Characteristics'!H:H,MATCH($C989,'Policy Characteristics'!$C:$C,0)))</f>
        <v>0.01</v>
      </c>
      <c r="O989" s="254" t="str">
        <f>IF(ISBLANK(INDEX('Policy Characteristics'!I:I,MATCH($C989,'Policy Characteristics'!$C:$C,0))),"",INDEX('Policy Characteristics'!I:I,MATCH($C989,'Policy Characteristics'!$C:$C,0)))</f>
        <v>% of potential achieved</v>
      </c>
      <c r="P989" s="254"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4" t="str">
        <f>IF(ISBLANK(INDEX('Policy Characteristics'!K:K,MATCH($C989,'Policy Characteristics'!$C:$C,0))),"",INDEX('Policy Characteristics'!K:K,MATCH($C989,'Policy Characteristics'!$C:$C,0)))</f>
        <v/>
      </c>
      <c r="R989" s="254" t="str">
        <f>IF(ISBLANK(INDEX('Policy Characteristics'!L:L,MATCH($C989,'Policy Characteristics'!$C:$C,0))),"",INDEX('Policy Characteristics'!L:L,MATCH($C989,'Policy Characteristics'!$C:$C,0)))</f>
        <v/>
      </c>
    </row>
    <row r="990" spans="1:18" s="2" customFormat="1" x14ac:dyDescent="0.3">
      <c r="A990" s="254" t="str">
        <f>IF(ISBLANK(INDEX('Policy Characteristics'!A:A,MATCH($C990,'Policy Characteristics'!$C:$C,0))),"",INDEX('Policy Characteristics'!A:A,MATCH($C990,'Policy Characteristics'!$C:$C,0)))</f>
        <v>Industry</v>
      </c>
      <c r="B990" s="262" t="str">
        <f>IF(ISBLANK(INDEX('Policy Characteristics'!B:B,MATCH($C990,'Policy Characteristics'!$C:$C,0))),"",INDEX('Policy Characteristics'!B:B,MATCH($C990,'Policy Characteristics'!$C:$C,0)))</f>
        <v>Feedstock Shifting</v>
      </c>
      <c r="C990" s="254" t="str">
        <f t="shared" si="42"/>
        <v>Fraction of Feedstock Shifted</v>
      </c>
      <c r="D990" s="6" t="s">
        <v>3076</v>
      </c>
      <c r="E990" s="45" t="s">
        <v>2404</v>
      </c>
      <c r="F990" t="s">
        <v>3038</v>
      </c>
      <c r="G990" s="45" t="s">
        <v>2410</v>
      </c>
      <c r="H990" s="47">
        <v>2615</v>
      </c>
      <c r="I990" s="324" t="s">
        <v>44</v>
      </c>
      <c r="J990" s="255" t="str">
        <f>IF(ISBLANK(INDEX('Policy Characteristics'!D:D,MATCH($C990,'Policy Characteristics'!$C:$C,0))),"",INDEX('Policy Characteristics'!D:D,MATCH($C990,'Policy Characteristics'!$C:$C,0)))</f>
        <v>Feedstock Shifting</v>
      </c>
      <c r="K990" s="254" t="str">
        <f>IF(ISBLANK(INDEX('Policy Characteristics'!E:E,MATCH($C990,'Policy Characteristics'!$C:$C,0))),"",INDEX('Policy Characteristics'!E:E,MATCH($C990,'Policy Characteristics'!$C:$C,0)))</f>
        <v>indst feedstock shifting</v>
      </c>
      <c r="L990" s="261">
        <f>IF(ISBLANK(INDEX('Policy Characteristics'!F:F,MATCH($C990,'Policy Characteristics'!$C:$C,0))),"",INDEX('Policy Characteristics'!F:F,MATCH($C990,'Policy Characteristics'!$C:$C,0)))</f>
        <v>0</v>
      </c>
      <c r="M990" s="261">
        <f>IF(ISBLANK(INDEX('Policy Characteristics'!G:G,MATCH($C990,'Policy Characteristics'!$C:$C,0))),"",INDEX('Policy Characteristics'!G:G,MATCH($C990,'Policy Characteristics'!$C:$C,0)))</f>
        <v>1</v>
      </c>
      <c r="N990" s="261">
        <f>IF(ISBLANK(INDEX('Policy Characteristics'!H:H,MATCH($C990,'Policy Characteristics'!$C:$C,0))),"",INDEX('Policy Characteristics'!H:H,MATCH($C990,'Policy Characteristics'!$C:$C,0)))</f>
        <v>0.01</v>
      </c>
      <c r="O990" s="254" t="str">
        <f>IF(ISBLANK(INDEX('Policy Characteristics'!I:I,MATCH($C990,'Policy Characteristics'!$C:$C,0))),"",INDEX('Policy Characteristics'!I:I,MATCH($C990,'Policy Characteristics'!$C:$C,0)))</f>
        <v>% of potential achieved</v>
      </c>
      <c r="P990" s="254"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4" t="str">
        <f>IF(ISBLANK(INDEX('Policy Characteristics'!K:K,MATCH($C990,'Policy Characteristics'!$C:$C,0))),"",INDEX('Policy Characteristics'!K:K,MATCH($C990,'Policy Characteristics'!$C:$C,0)))</f>
        <v/>
      </c>
      <c r="R990" s="254" t="str">
        <f>IF(ISBLANK(INDEX('Policy Characteristics'!L:L,MATCH($C990,'Policy Characteristics'!$C:$C,0))),"",INDEX('Policy Characteristics'!L:L,MATCH($C990,'Policy Characteristics'!$C:$C,0)))</f>
        <v/>
      </c>
    </row>
    <row r="991" spans="1:18" s="2" customFormat="1" x14ac:dyDescent="0.3">
      <c r="A991" s="254" t="str">
        <f>IF(ISBLANK(INDEX('Policy Characteristics'!A:A,MATCH($C991,'Policy Characteristics'!$C:$C,0))),"",INDEX('Policy Characteristics'!A:A,MATCH($C991,'Policy Characteristics'!$C:$C,0)))</f>
        <v>Industry</v>
      </c>
      <c r="B991" s="262" t="str">
        <f>IF(ISBLANK(INDEX('Policy Characteristics'!B:B,MATCH($C991,'Policy Characteristics'!$C:$C,0))),"",INDEX('Policy Characteristics'!B:B,MATCH($C991,'Policy Characteristics'!$C:$C,0)))</f>
        <v>Feedstock Shifting</v>
      </c>
      <c r="C991" s="254" t="str">
        <f t="shared" si="42"/>
        <v>Fraction of Feedstock Shifted</v>
      </c>
      <c r="D991" s="6" t="s">
        <v>3076</v>
      </c>
      <c r="E991" s="45" t="s">
        <v>2706</v>
      </c>
      <c r="F991" t="s">
        <v>3038</v>
      </c>
      <c r="G991" s="45" t="s">
        <v>2709</v>
      </c>
      <c r="H991" s="47">
        <v>2616</v>
      </c>
      <c r="I991" s="324" t="s">
        <v>44</v>
      </c>
      <c r="J991" s="255" t="str">
        <f>IF(ISBLANK(INDEX('Policy Characteristics'!D:D,MATCH($C991,'Policy Characteristics'!$C:$C,0))),"",INDEX('Policy Characteristics'!D:D,MATCH($C991,'Policy Characteristics'!$C:$C,0)))</f>
        <v>Feedstock Shifting</v>
      </c>
      <c r="K991" s="254" t="str">
        <f>IF(ISBLANK(INDEX('Policy Characteristics'!E:E,MATCH($C991,'Policy Characteristics'!$C:$C,0))),"",INDEX('Policy Characteristics'!E:E,MATCH($C991,'Policy Characteristics'!$C:$C,0)))</f>
        <v>indst feedstock shifting</v>
      </c>
      <c r="L991" s="261">
        <f>IF(ISBLANK(INDEX('Policy Characteristics'!F:F,MATCH($C991,'Policy Characteristics'!$C:$C,0))),"",INDEX('Policy Characteristics'!F:F,MATCH($C991,'Policy Characteristics'!$C:$C,0)))</f>
        <v>0</v>
      </c>
      <c r="M991" s="261">
        <f>IF(ISBLANK(INDEX('Policy Characteristics'!G:G,MATCH($C991,'Policy Characteristics'!$C:$C,0))),"",INDEX('Policy Characteristics'!G:G,MATCH($C991,'Policy Characteristics'!$C:$C,0)))</f>
        <v>1</v>
      </c>
      <c r="N991" s="261">
        <f>IF(ISBLANK(INDEX('Policy Characteristics'!H:H,MATCH($C991,'Policy Characteristics'!$C:$C,0))),"",INDEX('Policy Characteristics'!H:H,MATCH($C991,'Policy Characteristics'!$C:$C,0)))</f>
        <v>0.01</v>
      </c>
      <c r="O991" s="254" t="str">
        <f>IF(ISBLANK(INDEX('Policy Characteristics'!I:I,MATCH($C991,'Policy Characteristics'!$C:$C,0))),"",INDEX('Policy Characteristics'!I:I,MATCH($C991,'Policy Characteristics'!$C:$C,0)))</f>
        <v>% of potential achieved</v>
      </c>
      <c r="P991" s="254"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4" t="str">
        <f>IF(ISBLANK(INDEX('Policy Characteristics'!K:K,MATCH($C991,'Policy Characteristics'!$C:$C,0))),"",INDEX('Policy Characteristics'!K:K,MATCH($C991,'Policy Characteristics'!$C:$C,0)))</f>
        <v/>
      </c>
      <c r="R991" s="254" t="str">
        <f>IF(ISBLANK(INDEX('Policy Characteristics'!L:L,MATCH($C991,'Policy Characteristics'!$C:$C,0))),"",INDEX('Policy Characteristics'!L:L,MATCH($C991,'Policy Characteristics'!$C:$C,0)))</f>
        <v/>
      </c>
    </row>
    <row r="992" spans="1:18" s="2" customFormat="1" x14ac:dyDescent="0.3">
      <c r="A992" s="254" t="str">
        <f>IF(ISBLANK(INDEX('Policy Characteristics'!A:A,MATCH($C992,'Policy Characteristics'!$C:$C,0))),"",INDEX('Policy Characteristics'!A:A,MATCH($C992,'Policy Characteristics'!$C:$C,0)))</f>
        <v>Industry</v>
      </c>
      <c r="B992" s="262" t="str">
        <f>IF(ISBLANK(INDEX('Policy Characteristics'!B:B,MATCH($C992,'Policy Characteristics'!$C:$C,0))),"",INDEX('Policy Characteristics'!B:B,MATCH($C992,'Policy Characteristics'!$C:$C,0)))</f>
        <v>Feedstock Shifting</v>
      </c>
      <c r="C992" s="254" t="str">
        <f t="shared" si="42"/>
        <v>Fraction of Feedstock Shifted</v>
      </c>
      <c r="D992" s="6" t="s">
        <v>3076</v>
      </c>
      <c r="E992" s="45" t="s">
        <v>2707</v>
      </c>
      <c r="F992" t="s">
        <v>3038</v>
      </c>
      <c r="G992" s="45" t="s">
        <v>2711</v>
      </c>
      <c r="H992" s="47">
        <v>2617</v>
      </c>
      <c r="I992" s="324" t="s">
        <v>44</v>
      </c>
      <c r="J992" s="255" t="str">
        <f>IF(ISBLANK(INDEX('Policy Characteristics'!D:D,MATCH($C992,'Policy Characteristics'!$C:$C,0))),"",INDEX('Policy Characteristics'!D:D,MATCH($C992,'Policy Characteristics'!$C:$C,0)))</f>
        <v>Feedstock Shifting</v>
      </c>
      <c r="K992" s="254" t="str">
        <f>IF(ISBLANK(INDEX('Policy Characteristics'!E:E,MATCH($C992,'Policy Characteristics'!$C:$C,0))),"",INDEX('Policy Characteristics'!E:E,MATCH($C992,'Policy Characteristics'!$C:$C,0)))</f>
        <v>indst feedstock shifting</v>
      </c>
      <c r="L992" s="261">
        <f>IF(ISBLANK(INDEX('Policy Characteristics'!F:F,MATCH($C992,'Policy Characteristics'!$C:$C,0))),"",INDEX('Policy Characteristics'!F:F,MATCH($C992,'Policy Characteristics'!$C:$C,0)))</f>
        <v>0</v>
      </c>
      <c r="M992" s="261">
        <f>IF(ISBLANK(INDEX('Policy Characteristics'!G:G,MATCH($C992,'Policy Characteristics'!$C:$C,0))),"",INDEX('Policy Characteristics'!G:G,MATCH($C992,'Policy Characteristics'!$C:$C,0)))</f>
        <v>1</v>
      </c>
      <c r="N992" s="261">
        <f>IF(ISBLANK(INDEX('Policy Characteristics'!H:H,MATCH($C992,'Policy Characteristics'!$C:$C,0))),"",INDEX('Policy Characteristics'!H:H,MATCH($C992,'Policy Characteristics'!$C:$C,0)))</f>
        <v>0.01</v>
      </c>
      <c r="O992" s="254" t="str">
        <f>IF(ISBLANK(INDEX('Policy Characteristics'!I:I,MATCH($C992,'Policy Characteristics'!$C:$C,0))),"",INDEX('Policy Characteristics'!I:I,MATCH($C992,'Policy Characteristics'!$C:$C,0)))</f>
        <v>% of potential achieved</v>
      </c>
      <c r="P992" s="254"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4" t="str">
        <f>IF(ISBLANK(INDEX('Policy Characteristics'!K:K,MATCH($C992,'Policy Characteristics'!$C:$C,0))),"",INDEX('Policy Characteristics'!K:K,MATCH($C992,'Policy Characteristics'!$C:$C,0)))</f>
        <v/>
      </c>
      <c r="R992" s="254" t="str">
        <f>IF(ISBLANK(INDEX('Policy Characteristics'!L:L,MATCH($C992,'Policy Characteristics'!$C:$C,0))),"",INDEX('Policy Characteristics'!L:L,MATCH($C992,'Policy Characteristics'!$C:$C,0)))</f>
        <v/>
      </c>
    </row>
    <row r="993" spans="1:18" s="2" customFormat="1" x14ac:dyDescent="0.3">
      <c r="A993" s="254" t="str">
        <f>IF(ISBLANK(INDEX('Policy Characteristics'!A:A,MATCH($C993,'Policy Characteristics'!$C:$C,0))),"",INDEX('Policy Characteristics'!A:A,MATCH($C993,'Policy Characteristics'!$C:$C,0)))</f>
        <v>Industry</v>
      </c>
      <c r="B993" s="262" t="str">
        <f>IF(ISBLANK(INDEX('Policy Characteristics'!B:B,MATCH($C993,'Policy Characteristics'!$C:$C,0))),"",INDEX('Policy Characteristics'!B:B,MATCH($C993,'Policy Characteristics'!$C:$C,0)))</f>
        <v>Feedstock Shifting</v>
      </c>
      <c r="C993" s="254" t="str">
        <f t="shared" si="42"/>
        <v>Fraction of Feedstock Shifted</v>
      </c>
      <c r="D993" s="6" t="s">
        <v>3076</v>
      </c>
      <c r="E993" s="45" t="s">
        <v>2708</v>
      </c>
      <c r="F993" t="s">
        <v>3038</v>
      </c>
      <c r="G993" s="45" t="s">
        <v>2712</v>
      </c>
      <c r="H993" s="47">
        <v>2618</v>
      </c>
      <c r="I993" s="324" t="s">
        <v>44</v>
      </c>
      <c r="J993" s="255" t="str">
        <f>IF(ISBLANK(INDEX('Policy Characteristics'!D:D,MATCH($C993,'Policy Characteristics'!$C:$C,0))),"",INDEX('Policy Characteristics'!D:D,MATCH($C993,'Policy Characteristics'!$C:$C,0)))</f>
        <v>Feedstock Shifting</v>
      </c>
      <c r="K993" s="254" t="str">
        <f>IF(ISBLANK(INDEX('Policy Characteristics'!E:E,MATCH($C993,'Policy Characteristics'!$C:$C,0))),"",INDEX('Policy Characteristics'!E:E,MATCH($C993,'Policy Characteristics'!$C:$C,0)))</f>
        <v>indst feedstock shifting</v>
      </c>
      <c r="L993" s="261">
        <f>IF(ISBLANK(INDEX('Policy Characteristics'!F:F,MATCH($C993,'Policy Characteristics'!$C:$C,0))),"",INDEX('Policy Characteristics'!F:F,MATCH($C993,'Policy Characteristics'!$C:$C,0)))</f>
        <v>0</v>
      </c>
      <c r="M993" s="261">
        <f>IF(ISBLANK(INDEX('Policy Characteristics'!G:G,MATCH($C993,'Policy Characteristics'!$C:$C,0))),"",INDEX('Policy Characteristics'!G:G,MATCH($C993,'Policy Characteristics'!$C:$C,0)))</f>
        <v>1</v>
      </c>
      <c r="N993" s="261">
        <f>IF(ISBLANK(INDEX('Policy Characteristics'!H:H,MATCH($C993,'Policy Characteristics'!$C:$C,0))),"",INDEX('Policy Characteristics'!H:H,MATCH($C993,'Policy Characteristics'!$C:$C,0)))</f>
        <v>0.01</v>
      </c>
      <c r="O993" s="254" t="str">
        <f>IF(ISBLANK(INDEX('Policy Characteristics'!I:I,MATCH($C993,'Policy Characteristics'!$C:$C,0))),"",INDEX('Policy Characteristics'!I:I,MATCH($C993,'Policy Characteristics'!$C:$C,0)))</f>
        <v>% of potential achieved</v>
      </c>
      <c r="P993" s="254"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4" t="str">
        <f>IF(ISBLANK(INDEX('Policy Characteristics'!K:K,MATCH($C993,'Policy Characteristics'!$C:$C,0))),"",INDEX('Policy Characteristics'!K:K,MATCH($C993,'Policy Characteristics'!$C:$C,0)))</f>
        <v/>
      </c>
      <c r="R993" s="254" t="str">
        <f>IF(ISBLANK(INDEX('Policy Characteristics'!L:L,MATCH($C993,'Policy Characteristics'!$C:$C,0))),"",INDEX('Policy Characteristics'!L:L,MATCH($C993,'Policy Characteristics'!$C:$C,0)))</f>
        <v/>
      </c>
    </row>
    <row r="994" spans="1:18" s="2" customFormat="1" x14ac:dyDescent="0.3">
      <c r="A994" s="254" t="str">
        <f>IF(ISBLANK(INDEX('Policy Characteristics'!A:A,MATCH($C994,'Policy Characteristics'!$C:$C,0))),"",INDEX('Policy Characteristics'!A:A,MATCH($C994,'Policy Characteristics'!$C:$C,0)))</f>
        <v>Industry</v>
      </c>
      <c r="B994" s="262" t="str">
        <f>IF(ISBLANK(INDEX('Policy Characteristics'!B:B,MATCH($C994,'Policy Characteristics'!$C:$C,0))),"",INDEX('Policy Characteristics'!B:B,MATCH($C994,'Policy Characteristics'!$C:$C,0)))</f>
        <v>Feedstock Shifting</v>
      </c>
      <c r="C994" s="254" t="str">
        <f t="shared" si="42"/>
        <v>Fraction of Feedstock Shifted</v>
      </c>
      <c r="D994" s="6" t="s">
        <v>3076</v>
      </c>
      <c r="E994" s="45" t="s">
        <v>2705</v>
      </c>
      <c r="F994" t="s">
        <v>3038</v>
      </c>
      <c r="G994" s="45" t="s">
        <v>2710</v>
      </c>
      <c r="H994" s="47">
        <v>2619</v>
      </c>
      <c r="I994" s="324" t="s">
        <v>44</v>
      </c>
      <c r="J994" s="255" t="str">
        <f>IF(ISBLANK(INDEX('Policy Characteristics'!D:D,MATCH($C994,'Policy Characteristics'!$C:$C,0))),"",INDEX('Policy Characteristics'!D:D,MATCH($C994,'Policy Characteristics'!$C:$C,0)))</f>
        <v>Feedstock Shifting</v>
      </c>
      <c r="K994" s="254" t="str">
        <f>IF(ISBLANK(INDEX('Policy Characteristics'!E:E,MATCH($C994,'Policy Characteristics'!$C:$C,0))),"",INDEX('Policy Characteristics'!E:E,MATCH($C994,'Policy Characteristics'!$C:$C,0)))</f>
        <v>indst feedstock shifting</v>
      </c>
      <c r="L994" s="261">
        <f>IF(ISBLANK(INDEX('Policy Characteristics'!F:F,MATCH($C994,'Policy Characteristics'!$C:$C,0))),"",INDEX('Policy Characteristics'!F:F,MATCH($C994,'Policy Characteristics'!$C:$C,0)))</f>
        <v>0</v>
      </c>
      <c r="M994" s="261">
        <f>IF(ISBLANK(INDEX('Policy Characteristics'!G:G,MATCH($C994,'Policy Characteristics'!$C:$C,0))),"",INDEX('Policy Characteristics'!G:G,MATCH($C994,'Policy Characteristics'!$C:$C,0)))</f>
        <v>1</v>
      </c>
      <c r="N994" s="261">
        <f>IF(ISBLANK(INDEX('Policy Characteristics'!H:H,MATCH($C994,'Policy Characteristics'!$C:$C,0))),"",INDEX('Policy Characteristics'!H:H,MATCH($C994,'Policy Characteristics'!$C:$C,0)))</f>
        <v>0.01</v>
      </c>
      <c r="O994" s="254" t="str">
        <f>IF(ISBLANK(INDEX('Policy Characteristics'!I:I,MATCH($C994,'Policy Characteristics'!$C:$C,0))),"",INDEX('Policy Characteristics'!I:I,MATCH($C994,'Policy Characteristics'!$C:$C,0)))</f>
        <v>% of potential achieved</v>
      </c>
      <c r="P994" s="254"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4" t="str">
        <f>IF(ISBLANK(INDEX('Policy Characteristics'!K:K,MATCH($C994,'Policy Characteristics'!$C:$C,0))),"",INDEX('Policy Characteristics'!K:K,MATCH($C994,'Policy Characteristics'!$C:$C,0)))</f>
        <v/>
      </c>
      <c r="R994" s="254" t="str">
        <f>IF(ISBLANK(INDEX('Policy Characteristics'!L:L,MATCH($C994,'Policy Characteristics'!$C:$C,0))),"",INDEX('Policy Characteristics'!L:L,MATCH($C994,'Policy Characteristics'!$C:$C,0)))</f>
        <v/>
      </c>
    </row>
    <row r="995" spans="1:18" s="2" customFormat="1" x14ac:dyDescent="0.3">
      <c r="A995" s="254" t="str">
        <f>IF(ISBLANK(INDEX('Policy Characteristics'!A:A,MATCH($C995,'Policy Characteristics'!$C:$C,0))),"",INDEX('Policy Characteristics'!A:A,MATCH($C995,'Policy Characteristics'!$C:$C,0)))</f>
        <v>Industry</v>
      </c>
      <c r="B995" s="262" t="str">
        <f>IF(ISBLANK(INDEX('Policy Characteristics'!B:B,MATCH($C995,'Policy Characteristics'!$C:$C,0))),"",INDEX('Policy Characteristics'!B:B,MATCH($C995,'Policy Characteristics'!$C:$C,0)))</f>
        <v>Feedstock Shifting</v>
      </c>
      <c r="C995" s="254" t="str">
        <f t="shared" si="42"/>
        <v>Fraction of Feedstock Shifted</v>
      </c>
      <c r="D995" s="6" t="s">
        <v>3077</v>
      </c>
      <c r="E995" s="45" t="s">
        <v>2399</v>
      </c>
      <c r="F995" t="s">
        <v>3039</v>
      </c>
      <c r="G995" s="45" t="s">
        <v>2405</v>
      </c>
      <c r="H995" s="47">
        <v>2620</v>
      </c>
      <c r="I995" s="324" t="s">
        <v>44</v>
      </c>
      <c r="J995" s="255" t="str">
        <f>IF(ISBLANK(INDEX('Policy Characteristics'!D:D,MATCH($C995,'Policy Characteristics'!$C:$C,0))),"",INDEX('Policy Characteristics'!D:D,MATCH($C995,'Policy Characteristics'!$C:$C,0)))</f>
        <v>Feedstock Shifting</v>
      </c>
      <c r="K995" s="254" t="str">
        <f>IF(ISBLANK(INDEX('Policy Characteristics'!E:E,MATCH($C995,'Policy Characteristics'!$C:$C,0))),"",INDEX('Policy Characteristics'!E:E,MATCH($C995,'Policy Characteristics'!$C:$C,0)))</f>
        <v>indst feedstock shifting</v>
      </c>
      <c r="L995" s="261">
        <f>IF(ISBLANK(INDEX('Policy Characteristics'!F:F,MATCH($C995,'Policy Characteristics'!$C:$C,0))),"",INDEX('Policy Characteristics'!F:F,MATCH($C995,'Policy Characteristics'!$C:$C,0)))</f>
        <v>0</v>
      </c>
      <c r="M995" s="261">
        <f>IF(ISBLANK(INDEX('Policy Characteristics'!G:G,MATCH($C995,'Policy Characteristics'!$C:$C,0))),"",INDEX('Policy Characteristics'!G:G,MATCH($C995,'Policy Characteristics'!$C:$C,0)))</f>
        <v>1</v>
      </c>
      <c r="N995" s="261">
        <f>IF(ISBLANK(INDEX('Policy Characteristics'!H:H,MATCH($C995,'Policy Characteristics'!$C:$C,0))),"",INDEX('Policy Characteristics'!H:H,MATCH($C995,'Policy Characteristics'!$C:$C,0)))</f>
        <v>0.01</v>
      </c>
      <c r="O995" s="254" t="str">
        <f>IF(ISBLANK(INDEX('Policy Characteristics'!I:I,MATCH($C995,'Policy Characteristics'!$C:$C,0))),"",INDEX('Policy Characteristics'!I:I,MATCH($C995,'Policy Characteristics'!$C:$C,0)))</f>
        <v>% of potential achieved</v>
      </c>
      <c r="P995" s="254"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4" t="str">
        <f>IF(ISBLANK(INDEX('Policy Characteristics'!K:K,MATCH($C995,'Policy Characteristics'!$C:$C,0))),"",INDEX('Policy Characteristics'!K:K,MATCH($C995,'Policy Characteristics'!$C:$C,0)))</f>
        <v/>
      </c>
      <c r="R995" s="254" t="str">
        <f>IF(ISBLANK(INDEX('Policy Characteristics'!L:L,MATCH($C995,'Policy Characteristics'!$C:$C,0))),"",INDEX('Policy Characteristics'!L:L,MATCH($C995,'Policy Characteristics'!$C:$C,0)))</f>
        <v/>
      </c>
    </row>
    <row r="996" spans="1:18" s="2" customFormat="1" x14ac:dyDescent="0.3">
      <c r="A996" s="254" t="str">
        <f>IF(ISBLANK(INDEX('Policy Characteristics'!A:A,MATCH($C996,'Policy Characteristics'!$C:$C,0))),"",INDEX('Policy Characteristics'!A:A,MATCH($C996,'Policy Characteristics'!$C:$C,0)))</f>
        <v>Industry</v>
      </c>
      <c r="B996" s="262" t="str">
        <f>IF(ISBLANK(INDEX('Policy Characteristics'!B:B,MATCH($C996,'Policy Characteristics'!$C:$C,0))),"",INDEX('Policy Characteristics'!B:B,MATCH($C996,'Policy Characteristics'!$C:$C,0)))</f>
        <v>Feedstock Shifting</v>
      </c>
      <c r="C996" s="254" t="str">
        <f t="shared" si="42"/>
        <v>Fraction of Feedstock Shifted</v>
      </c>
      <c r="D996" s="6" t="s">
        <v>3077</v>
      </c>
      <c r="E996" s="45" t="s">
        <v>2400</v>
      </c>
      <c r="F996" t="s">
        <v>3039</v>
      </c>
      <c r="G996" s="45" t="s">
        <v>2408</v>
      </c>
      <c r="H996" s="47">
        <v>2621</v>
      </c>
      <c r="I996" s="324" t="s">
        <v>44</v>
      </c>
      <c r="J996" s="255" t="str">
        <f>IF(ISBLANK(INDEX('Policy Characteristics'!D:D,MATCH($C996,'Policy Characteristics'!$C:$C,0))),"",INDEX('Policy Characteristics'!D:D,MATCH($C996,'Policy Characteristics'!$C:$C,0)))</f>
        <v>Feedstock Shifting</v>
      </c>
      <c r="K996" s="254" t="str">
        <f>IF(ISBLANK(INDEX('Policy Characteristics'!E:E,MATCH($C996,'Policy Characteristics'!$C:$C,0))),"",INDEX('Policy Characteristics'!E:E,MATCH($C996,'Policy Characteristics'!$C:$C,0)))</f>
        <v>indst feedstock shifting</v>
      </c>
      <c r="L996" s="261">
        <f>IF(ISBLANK(INDEX('Policy Characteristics'!F:F,MATCH($C996,'Policy Characteristics'!$C:$C,0))),"",INDEX('Policy Characteristics'!F:F,MATCH($C996,'Policy Characteristics'!$C:$C,0)))</f>
        <v>0</v>
      </c>
      <c r="M996" s="261">
        <f>IF(ISBLANK(INDEX('Policy Characteristics'!G:G,MATCH($C996,'Policy Characteristics'!$C:$C,0))),"",INDEX('Policy Characteristics'!G:G,MATCH($C996,'Policy Characteristics'!$C:$C,0)))</f>
        <v>1</v>
      </c>
      <c r="N996" s="261">
        <f>IF(ISBLANK(INDEX('Policy Characteristics'!H:H,MATCH($C996,'Policy Characteristics'!$C:$C,0))),"",INDEX('Policy Characteristics'!H:H,MATCH($C996,'Policy Characteristics'!$C:$C,0)))</f>
        <v>0.01</v>
      </c>
      <c r="O996" s="254" t="str">
        <f>IF(ISBLANK(INDEX('Policy Characteristics'!I:I,MATCH($C996,'Policy Characteristics'!$C:$C,0))),"",INDEX('Policy Characteristics'!I:I,MATCH($C996,'Policy Characteristics'!$C:$C,0)))</f>
        <v>% of potential achieved</v>
      </c>
      <c r="P996" s="254"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4" t="str">
        <f>IF(ISBLANK(INDEX('Policy Characteristics'!K:K,MATCH($C996,'Policy Characteristics'!$C:$C,0))),"",INDEX('Policy Characteristics'!K:K,MATCH($C996,'Policy Characteristics'!$C:$C,0)))</f>
        <v/>
      </c>
      <c r="R996" s="254" t="str">
        <f>IF(ISBLANK(INDEX('Policy Characteristics'!L:L,MATCH($C996,'Policy Characteristics'!$C:$C,0))),"",INDEX('Policy Characteristics'!L:L,MATCH($C996,'Policy Characteristics'!$C:$C,0)))</f>
        <v/>
      </c>
    </row>
    <row r="997" spans="1:18" s="2" customFormat="1" x14ac:dyDescent="0.3">
      <c r="A997" s="254" t="str">
        <f>IF(ISBLANK(INDEX('Policy Characteristics'!A:A,MATCH($C997,'Policy Characteristics'!$C:$C,0))),"",INDEX('Policy Characteristics'!A:A,MATCH($C997,'Policy Characteristics'!$C:$C,0)))</f>
        <v>Industry</v>
      </c>
      <c r="B997" s="262" t="str">
        <f>IF(ISBLANK(INDEX('Policy Characteristics'!B:B,MATCH($C997,'Policy Characteristics'!$C:$C,0))),"",INDEX('Policy Characteristics'!B:B,MATCH($C997,'Policy Characteristics'!$C:$C,0)))</f>
        <v>Feedstock Shifting</v>
      </c>
      <c r="C997" s="254" t="str">
        <f t="shared" si="42"/>
        <v>Fraction of Feedstock Shifted</v>
      </c>
      <c r="D997" s="6" t="s">
        <v>3077</v>
      </c>
      <c r="E997" s="45" t="s">
        <v>2401</v>
      </c>
      <c r="F997" t="s">
        <v>3039</v>
      </c>
      <c r="G997" s="45" t="s">
        <v>2409</v>
      </c>
      <c r="H997" s="47">
        <v>2622</v>
      </c>
      <c r="I997" s="324" t="s">
        <v>44</v>
      </c>
      <c r="J997" s="255" t="str">
        <f>IF(ISBLANK(INDEX('Policy Characteristics'!D:D,MATCH($C997,'Policy Characteristics'!$C:$C,0))),"",INDEX('Policy Characteristics'!D:D,MATCH($C997,'Policy Characteristics'!$C:$C,0)))</f>
        <v>Feedstock Shifting</v>
      </c>
      <c r="K997" s="254" t="str">
        <f>IF(ISBLANK(INDEX('Policy Characteristics'!E:E,MATCH($C997,'Policy Characteristics'!$C:$C,0))),"",INDEX('Policy Characteristics'!E:E,MATCH($C997,'Policy Characteristics'!$C:$C,0)))</f>
        <v>indst feedstock shifting</v>
      </c>
      <c r="L997" s="261">
        <f>IF(ISBLANK(INDEX('Policy Characteristics'!F:F,MATCH($C997,'Policy Characteristics'!$C:$C,0))),"",INDEX('Policy Characteristics'!F:F,MATCH($C997,'Policy Characteristics'!$C:$C,0)))</f>
        <v>0</v>
      </c>
      <c r="M997" s="261">
        <f>IF(ISBLANK(INDEX('Policy Characteristics'!G:G,MATCH($C997,'Policy Characteristics'!$C:$C,0))),"",INDEX('Policy Characteristics'!G:G,MATCH($C997,'Policy Characteristics'!$C:$C,0)))</f>
        <v>1</v>
      </c>
      <c r="N997" s="261">
        <f>IF(ISBLANK(INDEX('Policy Characteristics'!H:H,MATCH($C997,'Policy Characteristics'!$C:$C,0))),"",INDEX('Policy Characteristics'!H:H,MATCH($C997,'Policy Characteristics'!$C:$C,0)))</f>
        <v>0.01</v>
      </c>
      <c r="O997" s="254" t="str">
        <f>IF(ISBLANK(INDEX('Policy Characteristics'!I:I,MATCH($C997,'Policy Characteristics'!$C:$C,0))),"",INDEX('Policy Characteristics'!I:I,MATCH($C997,'Policy Characteristics'!$C:$C,0)))</f>
        <v>% of potential achieved</v>
      </c>
      <c r="P997" s="254"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4" t="str">
        <f>IF(ISBLANK(INDEX('Policy Characteristics'!K:K,MATCH($C997,'Policy Characteristics'!$C:$C,0))),"",INDEX('Policy Characteristics'!K:K,MATCH($C997,'Policy Characteristics'!$C:$C,0)))</f>
        <v/>
      </c>
      <c r="R997" s="254" t="str">
        <f>IF(ISBLANK(INDEX('Policy Characteristics'!L:L,MATCH($C997,'Policy Characteristics'!$C:$C,0))),"",INDEX('Policy Characteristics'!L:L,MATCH($C997,'Policy Characteristics'!$C:$C,0)))</f>
        <v/>
      </c>
    </row>
    <row r="998" spans="1:18" s="2" customFormat="1" x14ac:dyDescent="0.3">
      <c r="A998" s="254" t="str">
        <f>IF(ISBLANK(INDEX('Policy Characteristics'!A:A,MATCH($C998,'Policy Characteristics'!$C:$C,0))),"",INDEX('Policy Characteristics'!A:A,MATCH($C998,'Policy Characteristics'!$C:$C,0)))</f>
        <v>Industry</v>
      </c>
      <c r="B998" s="262" t="str">
        <f>IF(ISBLANK(INDEX('Policy Characteristics'!B:B,MATCH($C998,'Policy Characteristics'!$C:$C,0))),"",INDEX('Policy Characteristics'!B:B,MATCH($C998,'Policy Characteristics'!$C:$C,0)))</f>
        <v>Feedstock Shifting</v>
      </c>
      <c r="C998" s="254" t="str">
        <f t="shared" si="42"/>
        <v>Fraction of Feedstock Shifted</v>
      </c>
      <c r="D998" s="6" t="s">
        <v>3077</v>
      </c>
      <c r="E998" s="45" t="s">
        <v>2402</v>
      </c>
      <c r="F998" t="s">
        <v>3039</v>
      </c>
      <c r="G998" s="45" t="s">
        <v>2406</v>
      </c>
      <c r="H998" s="47">
        <v>2623</v>
      </c>
      <c r="I998" s="324" t="s">
        <v>44</v>
      </c>
      <c r="J998" s="255" t="str">
        <f>IF(ISBLANK(INDEX('Policy Characteristics'!D:D,MATCH($C998,'Policy Characteristics'!$C:$C,0))),"",INDEX('Policy Characteristics'!D:D,MATCH($C998,'Policy Characteristics'!$C:$C,0)))</f>
        <v>Feedstock Shifting</v>
      </c>
      <c r="K998" s="254" t="str">
        <f>IF(ISBLANK(INDEX('Policy Characteristics'!E:E,MATCH($C998,'Policy Characteristics'!$C:$C,0))),"",INDEX('Policy Characteristics'!E:E,MATCH($C998,'Policy Characteristics'!$C:$C,0)))</f>
        <v>indst feedstock shifting</v>
      </c>
      <c r="L998" s="261">
        <f>IF(ISBLANK(INDEX('Policy Characteristics'!F:F,MATCH($C998,'Policy Characteristics'!$C:$C,0))),"",INDEX('Policy Characteristics'!F:F,MATCH($C998,'Policy Characteristics'!$C:$C,0)))</f>
        <v>0</v>
      </c>
      <c r="M998" s="261">
        <f>IF(ISBLANK(INDEX('Policy Characteristics'!G:G,MATCH($C998,'Policy Characteristics'!$C:$C,0))),"",INDEX('Policy Characteristics'!G:G,MATCH($C998,'Policy Characteristics'!$C:$C,0)))</f>
        <v>1</v>
      </c>
      <c r="N998" s="261">
        <f>IF(ISBLANK(INDEX('Policy Characteristics'!H:H,MATCH($C998,'Policy Characteristics'!$C:$C,0))),"",INDEX('Policy Characteristics'!H:H,MATCH($C998,'Policy Characteristics'!$C:$C,0)))</f>
        <v>0.01</v>
      </c>
      <c r="O998" s="254" t="str">
        <f>IF(ISBLANK(INDEX('Policy Characteristics'!I:I,MATCH($C998,'Policy Characteristics'!$C:$C,0))),"",INDEX('Policy Characteristics'!I:I,MATCH($C998,'Policy Characteristics'!$C:$C,0)))</f>
        <v>% of potential achieved</v>
      </c>
      <c r="P998" s="254"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4" t="str">
        <f>IF(ISBLANK(INDEX('Policy Characteristics'!K:K,MATCH($C998,'Policy Characteristics'!$C:$C,0))),"",INDEX('Policy Characteristics'!K:K,MATCH($C998,'Policy Characteristics'!$C:$C,0)))</f>
        <v/>
      </c>
      <c r="R998" s="254" t="str">
        <f>IF(ISBLANK(INDEX('Policy Characteristics'!L:L,MATCH($C998,'Policy Characteristics'!$C:$C,0))),"",INDEX('Policy Characteristics'!L:L,MATCH($C998,'Policy Characteristics'!$C:$C,0)))</f>
        <v/>
      </c>
    </row>
    <row r="999" spans="1:18" s="2" customFormat="1" x14ac:dyDescent="0.3">
      <c r="A999" s="254" t="str">
        <f>IF(ISBLANK(INDEX('Policy Characteristics'!A:A,MATCH($C999,'Policy Characteristics'!$C:$C,0))),"",INDEX('Policy Characteristics'!A:A,MATCH($C999,'Policy Characteristics'!$C:$C,0)))</f>
        <v>Industry</v>
      </c>
      <c r="B999" s="262" t="str">
        <f>IF(ISBLANK(INDEX('Policy Characteristics'!B:B,MATCH($C999,'Policy Characteristics'!$C:$C,0))),"",INDEX('Policy Characteristics'!B:B,MATCH($C999,'Policy Characteristics'!$C:$C,0)))</f>
        <v>Feedstock Shifting</v>
      </c>
      <c r="C999" s="254" t="str">
        <f t="shared" si="42"/>
        <v>Fraction of Feedstock Shifted</v>
      </c>
      <c r="D999" s="6" t="s">
        <v>3077</v>
      </c>
      <c r="E999" s="45" t="s">
        <v>2403</v>
      </c>
      <c r="F999" t="s">
        <v>3039</v>
      </c>
      <c r="G999" s="45" t="s">
        <v>2407</v>
      </c>
      <c r="H999" s="47">
        <v>2624</v>
      </c>
      <c r="I999" s="324" t="s">
        <v>44</v>
      </c>
      <c r="J999" s="255" t="str">
        <f>IF(ISBLANK(INDEX('Policy Characteristics'!D:D,MATCH($C999,'Policy Characteristics'!$C:$C,0))),"",INDEX('Policy Characteristics'!D:D,MATCH($C999,'Policy Characteristics'!$C:$C,0)))</f>
        <v>Feedstock Shifting</v>
      </c>
      <c r="K999" s="254" t="str">
        <f>IF(ISBLANK(INDEX('Policy Characteristics'!E:E,MATCH($C999,'Policy Characteristics'!$C:$C,0))),"",INDEX('Policy Characteristics'!E:E,MATCH($C999,'Policy Characteristics'!$C:$C,0)))</f>
        <v>indst feedstock shifting</v>
      </c>
      <c r="L999" s="261">
        <f>IF(ISBLANK(INDEX('Policy Characteristics'!F:F,MATCH($C999,'Policy Characteristics'!$C:$C,0))),"",INDEX('Policy Characteristics'!F:F,MATCH($C999,'Policy Characteristics'!$C:$C,0)))</f>
        <v>0</v>
      </c>
      <c r="M999" s="261">
        <f>IF(ISBLANK(INDEX('Policy Characteristics'!G:G,MATCH($C999,'Policy Characteristics'!$C:$C,0))),"",INDEX('Policy Characteristics'!G:G,MATCH($C999,'Policy Characteristics'!$C:$C,0)))</f>
        <v>1</v>
      </c>
      <c r="N999" s="261">
        <f>IF(ISBLANK(INDEX('Policy Characteristics'!H:H,MATCH($C999,'Policy Characteristics'!$C:$C,0))),"",INDEX('Policy Characteristics'!H:H,MATCH($C999,'Policy Characteristics'!$C:$C,0)))</f>
        <v>0.01</v>
      </c>
      <c r="O999" s="254" t="str">
        <f>IF(ISBLANK(INDEX('Policy Characteristics'!I:I,MATCH($C999,'Policy Characteristics'!$C:$C,0))),"",INDEX('Policy Characteristics'!I:I,MATCH($C999,'Policy Characteristics'!$C:$C,0)))</f>
        <v>% of potential achieved</v>
      </c>
      <c r="P999" s="254"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4" t="str">
        <f>IF(ISBLANK(INDEX('Policy Characteristics'!K:K,MATCH($C999,'Policy Characteristics'!$C:$C,0))),"",INDEX('Policy Characteristics'!K:K,MATCH($C999,'Policy Characteristics'!$C:$C,0)))</f>
        <v/>
      </c>
      <c r="R999" s="254" t="str">
        <f>IF(ISBLANK(INDEX('Policy Characteristics'!L:L,MATCH($C999,'Policy Characteristics'!$C:$C,0))),"",INDEX('Policy Characteristics'!L:L,MATCH($C999,'Policy Characteristics'!$C:$C,0)))</f>
        <v/>
      </c>
    </row>
    <row r="1000" spans="1:18" s="2" customFormat="1" x14ac:dyDescent="0.3">
      <c r="A1000" s="254" t="str">
        <f>IF(ISBLANK(INDEX('Policy Characteristics'!A:A,MATCH($C1000,'Policy Characteristics'!$C:$C,0))),"",INDEX('Policy Characteristics'!A:A,MATCH($C1000,'Policy Characteristics'!$C:$C,0)))</f>
        <v>Industry</v>
      </c>
      <c r="B1000" s="262" t="str">
        <f>IF(ISBLANK(INDEX('Policy Characteristics'!B:B,MATCH($C1000,'Policy Characteristics'!$C:$C,0))),"",INDEX('Policy Characteristics'!B:B,MATCH($C1000,'Policy Characteristics'!$C:$C,0)))</f>
        <v>Feedstock Shifting</v>
      </c>
      <c r="C1000" s="254" t="str">
        <f t="shared" si="42"/>
        <v>Fraction of Feedstock Shifted</v>
      </c>
      <c r="D1000" s="6" t="s">
        <v>3077</v>
      </c>
      <c r="E1000" s="45" t="s">
        <v>2404</v>
      </c>
      <c r="F1000" t="s">
        <v>3039</v>
      </c>
      <c r="G1000" s="45" t="s">
        <v>2410</v>
      </c>
      <c r="H1000" s="47">
        <v>2625</v>
      </c>
      <c r="I1000" s="324" t="s">
        <v>44</v>
      </c>
      <c r="J1000" s="255" t="str">
        <f>IF(ISBLANK(INDEX('Policy Characteristics'!D:D,MATCH($C1000,'Policy Characteristics'!$C:$C,0))),"",INDEX('Policy Characteristics'!D:D,MATCH($C1000,'Policy Characteristics'!$C:$C,0)))</f>
        <v>Feedstock Shifting</v>
      </c>
      <c r="K1000" s="254" t="str">
        <f>IF(ISBLANK(INDEX('Policy Characteristics'!E:E,MATCH($C1000,'Policy Characteristics'!$C:$C,0))),"",INDEX('Policy Characteristics'!E:E,MATCH($C1000,'Policy Characteristics'!$C:$C,0)))</f>
        <v>indst feedstock shifting</v>
      </c>
      <c r="L1000" s="261">
        <f>IF(ISBLANK(INDEX('Policy Characteristics'!F:F,MATCH($C1000,'Policy Characteristics'!$C:$C,0))),"",INDEX('Policy Characteristics'!F:F,MATCH($C1000,'Policy Characteristics'!$C:$C,0)))</f>
        <v>0</v>
      </c>
      <c r="M1000" s="261">
        <f>IF(ISBLANK(INDEX('Policy Characteristics'!G:G,MATCH($C1000,'Policy Characteristics'!$C:$C,0))),"",INDEX('Policy Characteristics'!G:G,MATCH($C1000,'Policy Characteristics'!$C:$C,0)))</f>
        <v>1</v>
      </c>
      <c r="N1000" s="261">
        <f>IF(ISBLANK(INDEX('Policy Characteristics'!H:H,MATCH($C1000,'Policy Characteristics'!$C:$C,0))),"",INDEX('Policy Characteristics'!H:H,MATCH($C1000,'Policy Characteristics'!$C:$C,0)))</f>
        <v>0.01</v>
      </c>
      <c r="O1000" s="254" t="str">
        <f>IF(ISBLANK(INDEX('Policy Characteristics'!I:I,MATCH($C1000,'Policy Characteristics'!$C:$C,0))),"",INDEX('Policy Characteristics'!I:I,MATCH($C1000,'Policy Characteristics'!$C:$C,0)))</f>
        <v>% of potential achieved</v>
      </c>
      <c r="P1000" s="254"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4" t="str">
        <f>IF(ISBLANK(INDEX('Policy Characteristics'!K:K,MATCH($C1000,'Policy Characteristics'!$C:$C,0))),"",INDEX('Policy Characteristics'!K:K,MATCH($C1000,'Policy Characteristics'!$C:$C,0)))</f>
        <v/>
      </c>
      <c r="R1000" s="254" t="str">
        <f>IF(ISBLANK(INDEX('Policy Characteristics'!L:L,MATCH($C1000,'Policy Characteristics'!$C:$C,0))),"",INDEX('Policy Characteristics'!L:L,MATCH($C1000,'Policy Characteristics'!$C:$C,0)))</f>
        <v/>
      </c>
    </row>
    <row r="1001" spans="1:18" s="2" customFormat="1" x14ac:dyDescent="0.3">
      <c r="A1001" s="254" t="str">
        <f>IF(ISBLANK(INDEX('Policy Characteristics'!A:A,MATCH($C1001,'Policy Characteristics'!$C:$C,0))),"",INDEX('Policy Characteristics'!A:A,MATCH($C1001,'Policy Characteristics'!$C:$C,0)))</f>
        <v>Industry</v>
      </c>
      <c r="B1001" s="262" t="str">
        <f>IF(ISBLANK(INDEX('Policy Characteristics'!B:B,MATCH($C1001,'Policy Characteristics'!$C:$C,0))),"",INDEX('Policy Characteristics'!B:B,MATCH($C1001,'Policy Characteristics'!$C:$C,0)))</f>
        <v>Feedstock Shifting</v>
      </c>
      <c r="C1001" s="254" t="str">
        <f t="shared" si="42"/>
        <v>Fraction of Feedstock Shifted</v>
      </c>
      <c r="D1001" s="6" t="s">
        <v>3077</v>
      </c>
      <c r="E1001" s="45" t="s">
        <v>2706</v>
      </c>
      <c r="F1001" t="s">
        <v>3039</v>
      </c>
      <c r="G1001" s="45" t="s">
        <v>2709</v>
      </c>
      <c r="H1001" s="47">
        <v>2626</v>
      </c>
      <c r="I1001" s="324" t="s">
        <v>44</v>
      </c>
      <c r="J1001" s="255" t="str">
        <f>IF(ISBLANK(INDEX('Policy Characteristics'!D:D,MATCH($C1001,'Policy Characteristics'!$C:$C,0))),"",INDEX('Policy Characteristics'!D:D,MATCH($C1001,'Policy Characteristics'!$C:$C,0)))</f>
        <v>Feedstock Shifting</v>
      </c>
      <c r="K1001" s="254" t="str">
        <f>IF(ISBLANK(INDEX('Policy Characteristics'!E:E,MATCH($C1001,'Policy Characteristics'!$C:$C,0))),"",INDEX('Policy Characteristics'!E:E,MATCH($C1001,'Policy Characteristics'!$C:$C,0)))</f>
        <v>indst feedstock shifting</v>
      </c>
      <c r="L1001" s="261">
        <f>IF(ISBLANK(INDEX('Policy Characteristics'!F:F,MATCH($C1001,'Policy Characteristics'!$C:$C,0))),"",INDEX('Policy Characteristics'!F:F,MATCH($C1001,'Policy Characteristics'!$C:$C,0)))</f>
        <v>0</v>
      </c>
      <c r="M1001" s="261">
        <f>IF(ISBLANK(INDEX('Policy Characteristics'!G:G,MATCH($C1001,'Policy Characteristics'!$C:$C,0))),"",INDEX('Policy Characteristics'!G:G,MATCH($C1001,'Policy Characteristics'!$C:$C,0)))</f>
        <v>1</v>
      </c>
      <c r="N1001" s="261">
        <f>IF(ISBLANK(INDEX('Policy Characteristics'!H:H,MATCH($C1001,'Policy Characteristics'!$C:$C,0))),"",INDEX('Policy Characteristics'!H:H,MATCH($C1001,'Policy Characteristics'!$C:$C,0)))</f>
        <v>0.01</v>
      </c>
      <c r="O1001" s="254" t="str">
        <f>IF(ISBLANK(INDEX('Policy Characteristics'!I:I,MATCH($C1001,'Policy Characteristics'!$C:$C,0))),"",INDEX('Policy Characteristics'!I:I,MATCH($C1001,'Policy Characteristics'!$C:$C,0)))</f>
        <v>% of potential achieved</v>
      </c>
      <c r="P1001" s="254"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4" t="str">
        <f>IF(ISBLANK(INDEX('Policy Characteristics'!K:K,MATCH($C1001,'Policy Characteristics'!$C:$C,0))),"",INDEX('Policy Characteristics'!K:K,MATCH($C1001,'Policy Characteristics'!$C:$C,0)))</f>
        <v/>
      </c>
      <c r="R1001" s="254" t="str">
        <f>IF(ISBLANK(INDEX('Policy Characteristics'!L:L,MATCH($C1001,'Policy Characteristics'!$C:$C,0))),"",INDEX('Policy Characteristics'!L:L,MATCH($C1001,'Policy Characteristics'!$C:$C,0)))</f>
        <v/>
      </c>
    </row>
    <row r="1002" spans="1:18" s="2" customFormat="1" x14ac:dyDescent="0.3">
      <c r="A1002" s="254" t="str">
        <f>IF(ISBLANK(INDEX('Policy Characteristics'!A:A,MATCH($C1002,'Policy Characteristics'!$C:$C,0))),"",INDEX('Policy Characteristics'!A:A,MATCH($C1002,'Policy Characteristics'!$C:$C,0)))</f>
        <v>Industry</v>
      </c>
      <c r="B1002" s="262" t="str">
        <f>IF(ISBLANK(INDEX('Policy Characteristics'!B:B,MATCH($C1002,'Policy Characteristics'!$C:$C,0))),"",INDEX('Policy Characteristics'!B:B,MATCH($C1002,'Policy Characteristics'!$C:$C,0)))</f>
        <v>Feedstock Shifting</v>
      </c>
      <c r="C1002" s="254" t="str">
        <f t="shared" si="42"/>
        <v>Fraction of Feedstock Shifted</v>
      </c>
      <c r="D1002" s="6" t="s">
        <v>3077</v>
      </c>
      <c r="E1002" s="45" t="s">
        <v>2707</v>
      </c>
      <c r="F1002" t="s">
        <v>3039</v>
      </c>
      <c r="G1002" s="45" t="s">
        <v>2711</v>
      </c>
      <c r="H1002" s="47">
        <v>2627</v>
      </c>
      <c r="I1002" s="324" t="s">
        <v>44</v>
      </c>
      <c r="J1002" s="255" t="str">
        <f>IF(ISBLANK(INDEX('Policy Characteristics'!D:D,MATCH($C1002,'Policy Characteristics'!$C:$C,0))),"",INDEX('Policy Characteristics'!D:D,MATCH($C1002,'Policy Characteristics'!$C:$C,0)))</f>
        <v>Feedstock Shifting</v>
      </c>
      <c r="K1002" s="254" t="str">
        <f>IF(ISBLANK(INDEX('Policy Characteristics'!E:E,MATCH($C1002,'Policy Characteristics'!$C:$C,0))),"",INDEX('Policy Characteristics'!E:E,MATCH($C1002,'Policy Characteristics'!$C:$C,0)))</f>
        <v>indst feedstock shifting</v>
      </c>
      <c r="L1002" s="261">
        <f>IF(ISBLANK(INDEX('Policy Characteristics'!F:F,MATCH($C1002,'Policy Characteristics'!$C:$C,0))),"",INDEX('Policy Characteristics'!F:F,MATCH($C1002,'Policy Characteristics'!$C:$C,0)))</f>
        <v>0</v>
      </c>
      <c r="M1002" s="261">
        <f>IF(ISBLANK(INDEX('Policy Characteristics'!G:G,MATCH($C1002,'Policy Characteristics'!$C:$C,0))),"",INDEX('Policy Characteristics'!G:G,MATCH($C1002,'Policy Characteristics'!$C:$C,0)))</f>
        <v>1</v>
      </c>
      <c r="N1002" s="261">
        <f>IF(ISBLANK(INDEX('Policy Characteristics'!H:H,MATCH($C1002,'Policy Characteristics'!$C:$C,0))),"",INDEX('Policy Characteristics'!H:H,MATCH($C1002,'Policy Characteristics'!$C:$C,0)))</f>
        <v>0.01</v>
      </c>
      <c r="O1002" s="254" t="str">
        <f>IF(ISBLANK(INDEX('Policy Characteristics'!I:I,MATCH($C1002,'Policy Characteristics'!$C:$C,0))),"",INDEX('Policy Characteristics'!I:I,MATCH($C1002,'Policy Characteristics'!$C:$C,0)))</f>
        <v>% of potential achieved</v>
      </c>
      <c r="P1002" s="254"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4" t="str">
        <f>IF(ISBLANK(INDEX('Policy Characteristics'!K:K,MATCH($C1002,'Policy Characteristics'!$C:$C,0))),"",INDEX('Policy Characteristics'!K:K,MATCH($C1002,'Policy Characteristics'!$C:$C,0)))</f>
        <v/>
      </c>
      <c r="R1002" s="254" t="str">
        <f>IF(ISBLANK(INDEX('Policy Characteristics'!L:L,MATCH($C1002,'Policy Characteristics'!$C:$C,0))),"",INDEX('Policy Characteristics'!L:L,MATCH($C1002,'Policy Characteristics'!$C:$C,0)))</f>
        <v/>
      </c>
    </row>
    <row r="1003" spans="1:18" s="2" customFormat="1" x14ac:dyDescent="0.3">
      <c r="A1003" s="254" t="str">
        <f>IF(ISBLANK(INDEX('Policy Characteristics'!A:A,MATCH($C1003,'Policy Characteristics'!$C:$C,0))),"",INDEX('Policy Characteristics'!A:A,MATCH($C1003,'Policy Characteristics'!$C:$C,0)))</f>
        <v>Industry</v>
      </c>
      <c r="B1003" s="262" t="str">
        <f>IF(ISBLANK(INDEX('Policy Characteristics'!B:B,MATCH($C1003,'Policy Characteristics'!$C:$C,0))),"",INDEX('Policy Characteristics'!B:B,MATCH($C1003,'Policy Characteristics'!$C:$C,0)))</f>
        <v>Feedstock Shifting</v>
      </c>
      <c r="C1003" s="254" t="str">
        <f t="shared" si="42"/>
        <v>Fraction of Feedstock Shifted</v>
      </c>
      <c r="D1003" s="6" t="s">
        <v>3077</v>
      </c>
      <c r="E1003" s="45" t="s">
        <v>2708</v>
      </c>
      <c r="F1003" t="s">
        <v>3039</v>
      </c>
      <c r="G1003" s="45" t="s">
        <v>2712</v>
      </c>
      <c r="H1003" s="47">
        <v>2628</v>
      </c>
      <c r="I1003" s="324" t="s">
        <v>44</v>
      </c>
      <c r="J1003" s="255" t="str">
        <f>IF(ISBLANK(INDEX('Policy Characteristics'!D:D,MATCH($C1003,'Policy Characteristics'!$C:$C,0))),"",INDEX('Policy Characteristics'!D:D,MATCH($C1003,'Policy Characteristics'!$C:$C,0)))</f>
        <v>Feedstock Shifting</v>
      </c>
      <c r="K1003" s="254" t="str">
        <f>IF(ISBLANK(INDEX('Policy Characteristics'!E:E,MATCH($C1003,'Policy Characteristics'!$C:$C,0))),"",INDEX('Policy Characteristics'!E:E,MATCH($C1003,'Policy Characteristics'!$C:$C,0)))</f>
        <v>indst feedstock shifting</v>
      </c>
      <c r="L1003" s="261">
        <f>IF(ISBLANK(INDEX('Policy Characteristics'!F:F,MATCH($C1003,'Policy Characteristics'!$C:$C,0))),"",INDEX('Policy Characteristics'!F:F,MATCH($C1003,'Policy Characteristics'!$C:$C,0)))</f>
        <v>0</v>
      </c>
      <c r="M1003" s="261">
        <f>IF(ISBLANK(INDEX('Policy Characteristics'!G:G,MATCH($C1003,'Policy Characteristics'!$C:$C,0))),"",INDEX('Policy Characteristics'!G:G,MATCH($C1003,'Policy Characteristics'!$C:$C,0)))</f>
        <v>1</v>
      </c>
      <c r="N1003" s="261">
        <f>IF(ISBLANK(INDEX('Policy Characteristics'!H:H,MATCH($C1003,'Policy Characteristics'!$C:$C,0))),"",INDEX('Policy Characteristics'!H:H,MATCH($C1003,'Policy Characteristics'!$C:$C,0)))</f>
        <v>0.01</v>
      </c>
      <c r="O1003" s="254" t="str">
        <f>IF(ISBLANK(INDEX('Policy Characteristics'!I:I,MATCH($C1003,'Policy Characteristics'!$C:$C,0))),"",INDEX('Policy Characteristics'!I:I,MATCH($C1003,'Policy Characteristics'!$C:$C,0)))</f>
        <v>% of potential achieved</v>
      </c>
      <c r="P1003" s="254"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4" t="str">
        <f>IF(ISBLANK(INDEX('Policy Characteristics'!K:K,MATCH($C1003,'Policy Characteristics'!$C:$C,0))),"",INDEX('Policy Characteristics'!K:K,MATCH($C1003,'Policy Characteristics'!$C:$C,0)))</f>
        <v/>
      </c>
      <c r="R1003" s="254" t="str">
        <f>IF(ISBLANK(INDEX('Policy Characteristics'!L:L,MATCH($C1003,'Policy Characteristics'!$C:$C,0))),"",INDEX('Policy Characteristics'!L:L,MATCH($C1003,'Policy Characteristics'!$C:$C,0)))</f>
        <v/>
      </c>
    </row>
    <row r="1004" spans="1:18" s="2" customFormat="1" x14ac:dyDescent="0.3">
      <c r="A1004" s="254" t="str">
        <f>IF(ISBLANK(INDEX('Policy Characteristics'!A:A,MATCH($C1004,'Policy Characteristics'!$C:$C,0))),"",INDEX('Policy Characteristics'!A:A,MATCH($C1004,'Policy Characteristics'!$C:$C,0)))</f>
        <v>Industry</v>
      </c>
      <c r="B1004" s="262" t="str">
        <f>IF(ISBLANK(INDEX('Policy Characteristics'!B:B,MATCH($C1004,'Policy Characteristics'!$C:$C,0))),"",INDEX('Policy Characteristics'!B:B,MATCH($C1004,'Policy Characteristics'!$C:$C,0)))</f>
        <v>Feedstock Shifting</v>
      </c>
      <c r="C1004" s="254" t="str">
        <f t="shared" si="42"/>
        <v>Fraction of Feedstock Shifted</v>
      </c>
      <c r="D1004" s="6" t="s">
        <v>3077</v>
      </c>
      <c r="E1004" s="45" t="s">
        <v>2705</v>
      </c>
      <c r="F1004" t="s">
        <v>3039</v>
      </c>
      <c r="G1004" s="45" t="s">
        <v>2710</v>
      </c>
      <c r="H1004" s="47">
        <v>2629</v>
      </c>
      <c r="I1004" s="324" t="s">
        <v>44</v>
      </c>
      <c r="J1004" s="255" t="str">
        <f>IF(ISBLANK(INDEX('Policy Characteristics'!D:D,MATCH($C1004,'Policy Characteristics'!$C:$C,0))),"",INDEX('Policy Characteristics'!D:D,MATCH($C1004,'Policy Characteristics'!$C:$C,0)))</f>
        <v>Feedstock Shifting</v>
      </c>
      <c r="K1004" s="254" t="str">
        <f>IF(ISBLANK(INDEX('Policy Characteristics'!E:E,MATCH($C1004,'Policy Characteristics'!$C:$C,0))),"",INDEX('Policy Characteristics'!E:E,MATCH($C1004,'Policy Characteristics'!$C:$C,0)))</f>
        <v>indst feedstock shifting</v>
      </c>
      <c r="L1004" s="261">
        <f>IF(ISBLANK(INDEX('Policy Characteristics'!F:F,MATCH($C1004,'Policy Characteristics'!$C:$C,0))),"",INDEX('Policy Characteristics'!F:F,MATCH($C1004,'Policy Characteristics'!$C:$C,0)))</f>
        <v>0</v>
      </c>
      <c r="M1004" s="261">
        <f>IF(ISBLANK(INDEX('Policy Characteristics'!G:G,MATCH($C1004,'Policy Characteristics'!$C:$C,0))),"",INDEX('Policy Characteristics'!G:G,MATCH($C1004,'Policy Characteristics'!$C:$C,0)))</f>
        <v>1</v>
      </c>
      <c r="N1004" s="261">
        <f>IF(ISBLANK(INDEX('Policy Characteristics'!H:H,MATCH($C1004,'Policy Characteristics'!$C:$C,0))),"",INDEX('Policy Characteristics'!H:H,MATCH($C1004,'Policy Characteristics'!$C:$C,0)))</f>
        <v>0.01</v>
      </c>
      <c r="O1004" s="254" t="str">
        <f>IF(ISBLANK(INDEX('Policy Characteristics'!I:I,MATCH($C1004,'Policy Characteristics'!$C:$C,0))),"",INDEX('Policy Characteristics'!I:I,MATCH($C1004,'Policy Characteristics'!$C:$C,0)))</f>
        <v>% of potential achieved</v>
      </c>
      <c r="P1004" s="254"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4" t="str">
        <f>IF(ISBLANK(INDEX('Policy Characteristics'!K:K,MATCH($C1004,'Policy Characteristics'!$C:$C,0))),"",INDEX('Policy Characteristics'!K:K,MATCH($C1004,'Policy Characteristics'!$C:$C,0)))</f>
        <v/>
      </c>
      <c r="R1004" s="254" t="str">
        <f>IF(ISBLANK(INDEX('Policy Characteristics'!L:L,MATCH($C1004,'Policy Characteristics'!$C:$C,0))),"",INDEX('Policy Characteristics'!L:L,MATCH($C1004,'Policy Characteristics'!$C:$C,0)))</f>
        <v/>
      </c>
    </row>
    <row r="1005" spans="1:18" s="2" customFormat="1" x14ac:dyDescent="0.3">
      <c r="A1005" s="254" t="str">
        <f>IF(ISBLANK(INDEX('Policy Characteristics'!A:A,MATCH($C1005,'Policy Characteristics'!$C:$C,0))),"",INDEX('Policy Characteristics'!A:A,MATCH($C1005,'Policy Characteristics'!$C:$C,0)))</f>
        <v>Industry</v>
      </c>
      <c r="B1005" s="262" t="str">
        <f>IF(ISBLANK(INDEX('Policy Characteristics'!B:B,MATCH($C1005,'Policy Characteristics'!$C:$C,0))),"",INDEX('Policy Characteristics'!B:B,MATCH($C1005,'Policy Characteristics'!$C:$C,0)))</f>
        <v>Feedstock Shifting</v>
      </c>
      <c r="C1005" s="254" t="str">
        <f t="shared" si="42"/>
        <v>Fraction of Feedstock Shifted</v>
      </c>
      <c r="D1005" s="6" t="s">
        <v>3078</v>
      </c>
      <c r="E1005" s="45" t="s">
        <v>2399</v>
      </c>
      <c r="F1005" t="s">
        <v>3040</v>
      </c>
      <c r="G1005" s="45" t="s">
        <v>2405</v>
      </c>
      <c r="H1005" s="47">
        <v>2630</v>
      </c>
      <c r="I1005" s="324" t="s">
        <v>44</v>
      </c>
      <c r="J1005" s="255" t="str">
        <f>IF(ISBLANK(INDEX('Policy Characteristics'!D:D,MATCH($C1005,'Policy Characteristics'!$C:$C,0))),"",INDEX('Policy Characteristics'!D:D,MATCH($C1005,'Policy Characteristics'!$C:$C,0)))</f>
        <v>Feedstock Shifting</v>
      </c>
      <c r="K1005" s="254" t="str">
        <f>IF(ISBLANK(INDEX('Policy Characteristics'!E:E,MATCH($C1005,'Policy Characteristics'!$C:$C,0))),"",INDEX('Policy Characteristics'!E:E,MATCH($C1005,'Policy Characteristics'!$C:$C,0)))</f>
        <v>indst feedstock shifting</v>
      </c>
      <c r="L1005" s="261">
        <f>IF(ISBLANK(INDEX('Policy Characteristics'!F:F,MATCH($C1005,'Policy Characteristics'!$C:$C,0))),"",INDEX('Policy Characteristics'!F:F,MATCH($C1005,'Policy Characteristics'!$C:$C,0)))</f>
        <v>0</v>
      </c>
      <c r="M1005" s="261">
        <f>IF(ISBLANK(INDEX('Policy Characteristics'!G:G,MATCH($C1005,'Policy Characteristics'!$C:$C,0))),"",INDEX('Policy Characteristics'!G:G,MATCH($C1005,'Policy Characteristics'!$C:$C,0)))</f>
        <v>1</v>
      </c>
      <c r="N1005" s="261">
        <f>IF(ISBLANK(INDEX('Policy Characteristics'!H:H,MATCH($C1005,'Policy Characteristics'!$C:$C,0))),"",INDEX('Policy Characteristics'!H:H,MATCH($C1005,'Policy Characteristics'!$C:$C,0)))</f>
        <v>0.01</v>
      </c>
      <c r="O1005" s="254" t="str">
        <f>IF(ISBLANK(INDEX('Policy Characteristics'!I:I,MATCH($C1005,'Policy Characteristics'!$C:$C,0))),"",INDEX('Policy Characteristics'!I:I,MATCH($C1005,'Policy Characteristics'!$C:$C,0)))</f>
        <v>% of potential achieved</v>
      </c>
      <c r="P1005" s="254"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4" t="str">
        <f>IF(ISBLANK(INDEX('Policy Characteristics'!K:K,MATCH($C1005,'Policy Characteristics'!$C:$C,0))),"",INDEX('Policy Characteristics'!K:K,MATCH($C1005,'Policy Characteristics'!$C:$C,0)))</f>
        <v/>
      </c>
      <c r="R1005" s="254" t="str">
        <f>IF(ISBLANK(INDEX('Policy Characteristics'!L:L,MATCH($C1005,'Policy Characteristics'!$C:$C,0))),"",INDEX('Policy Characteristics'!L:L,MATCH($C1005,'Policy Characteristics'!$C:$C,0)))</f>
        <v/>
      </c>
    </row>
    <row r="1006" spans="1:18" s="2" customFormat="1" x14ac:dyDescent="0.3">
      <c r="A1006" s="254" t="str">
        <f>IF(ISBLANK(INDEX('Policy Characteristics'!A:A,MATCH($C1006,'Policy Characteristics'!$C:$C,0))),"",INDEX('Policy Characteristics'!A:A,MATCH($C1006,'Policy Characteristics'!$C:$C,0)))</f>
        <v>Industry</v>
      </c>
      <c r="B1006" s="262" t="str">
        <f>IF(ISBLANK(INDEX('Policy Characteristics'!B:B,MATCH($C1006,'Policy Characteristics'!$C:$C,0))),"",INDEX('Policy Characteristics'!B:B,MATCH($C1006,'Policy Characteristics'!$C:$C,0)))</f>
        <v>Feedstock Shifting</v>
      </c>
      <c r="C1006" s="254" t="str">
        <f t="shared" si="42"/>
        <v>Fraction of Feedstock Shifted</v>
      </c>
      <c r="D1006" s="6" t="s">
        <v>3078</v>
      </c>
      <c r="E1006" s="45" t="s">
        <v>2400</v>
      </c>
      <c r="F1006" t="s">
        <v>3040</v>
      </c>
      <c r="G1006" s="45" t="s">
        <v>2408</v>
      </c>
      <c r="H1006" s="47">
        <v>2631</v>
      </c>
      <c r="I1006" s="324" t="s">
        <v>44</v>
      </c>
      <c r="J1006" s="255" t="str">
        <f>IF(ISBLANK(INDEX('Policy Characteristics'!D:D,MATCH($C1006,'Policy Characteristics'!$C:$C,0))),"",INDEX('Policy Characteristics'!D:D,MATCH($C1006,'Policy Characteristics'!$C:$C,0)))</f>
        <v>Feedstock Shifting</v>
      </c>
      <c r="K1006" s="254" t="str">
        <f>IF(ISBLANK(INDEX('Policy Characteristics'!E:E,MATCH($C1006,'Policy Characteristics'!$C:$C,0))),"",INDEX('Policy Characteristics'!E:E,MATCH($C1006,'Policy Characteristics'!$C:$C,0)))</f>
        <v>indst feedstock shifting</v>
      </c>
      <c r="L1006" s="261">
        <f>IF(ISBLANK(INDEX('Policy Characteristics'!F:F,MATCH($C1006,'Policy Characteristics'!$C:$C,0))),"",INDEX('Policy Characteristics'!F:F,MATCH($C1006,'Policy Characteristics'!$C:$C,0)))</f>
        <v>0</v>
      </c>
      <c r="M1006" s="261">
        <f>IF(ISBLANK(INDEX('Policy Characteristics'!G:G,MATCH($C1006,'Policy Characteristics'!$C:$C,0))),"",INDEX('Policy Characteristics'!G:G,MATCH($C1006,'Policy Characteristics'!$C:$C,0)))</f>
        <v>1</v>
      </c>
      <c r="N1006" s="261">
        <f>IF(ISBLANK(INDEX('Policy Characteristics'!H:H,MATCH($C1006,'Policy Characteristics'!$C:$C,0))),"",INDEX('Policy Characteristics'!H:H,MATCH($C1006,'Policy Characteristics'!$C:$C,0)))</f>
        <v>0.01</v>
      </c>
      <c r="O1006" s="254" t="str">
        <f>IF(ISBLANK(INDEX('Policy Characteristics'!I:I,MATCH($C1006,'Policy Characteristics'!$C:$C,0))),"",INDEX('Policy Characteristics'!I:I,MATCH($C1006,'Policy Characteristics'!$C:$C,0)))</f>
        <v>% of potential achieved</v>
      </c>
      <c r="P1006" s="254"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4" t="str">
        <f>IF(ISBLANK(INDEX('Policy Characteristics'!K:K,MATCH($C1006,'Policy Characteristics'!$C:$C,0))),"",INDEX('Policy Characteristics'!K:K,MATCH($C1006,'Policy Characteristics'!$C:$C,0)))</f>
        <v/>
      </c>
      <c r="R1006" s="254" t="str">
        <f>IF(ISBLANK(INDEX('Policy Characteristics'!L:L,MATCH($C1006,'Policy Characteristics'!$C:$C,0))),"",INDEX('Policy Characteristics'!L:L,MATCH($C1006,'Policy Characteristics'!$C:$C,0)))</f>
        <v/>
      </c>
    </row>
    <row r="1007" spans="1:18" s="2" customFormat="1" x14ac:dyDescent="0.3">
      <c r="A1007" s="254" t="str">
        <f>IF(ISBLANK(INDEX('Policy Characteristics'!A:A,MATCH($C1007,'Policy Characteristics'!$C:$C,0))),"",INDEX('Policy Characteristics'!A:A,MATCH($C1007,'Policy Characteristics'!$C:$C,0)))</f>
        <v>Industry</v>
      </c>
      <c r="B1007" s="262" t="str">
        <f>IF(ISBLANK(INDEX('Policy Characteristics'!B:B,MATCH($C1007,'Policy Characteristics'!$C:$C,0))),"",INDEX('Policy Characteristics'!B:B,MATCH($C1007,'Policy Characteristics'!$C:$C,0)))</f>
        <v>Feedstock Shifting</v>
      </c>
      <c r="C1007" s="254" t="str">
        <f t="shared" si="42"/>
        <v>Fraction of Feedstock Shifted</v>
      </c>
      <c r="D1007" s="6" t="s">
        <v>3078</v>
      </c>
      <c r="E1007" s="45" t="s">
        <v>2401</v>
      </c>
      <c r="F1007" t="s">
        <v>3040</v>
      </c>
      <c r="G1007" s="45" t="s">
        <v>2409</v>
      </c>
      <c r="H1007" s="47">
        <v>2632</v>
      </c>
      <c r="I1007" s="324" t="s">
        <v>44</v>
      </c>
      <c r="J1007" s="255" t="str">
        <f>IF(ISBLANK(INDEX('Policy Characteristics'!D:D,MATCH($C1007,'Policy Characteristics'!$C:$C,0))),"",INDEX('Policy Characteristics'!D:D,MATCH($C1007,'Policy Characteristics'!$C:$C,0)))</f>
        <v>Feedstock Shifting</v>
      </c>
      <c r="K1007" s="254" t="str">
        <f>IF(ISBLANK(INDEX('Policy Characteristics'!E:E,MATCH($C1007,'Policy Characteristics'!$C:$C,0))),"",INDEX('Policy Characteristics'!E:E,MATCH($C1007,'Policy Characteristics'!$C:$C,0)))</f>
        <v>indst feedstock shifting</v>
      </c>
      <c r="L1007" s="261">
        <f>IF(ISBLANK(INDEX('Policy Characteristics'!F:F,MATCH($C1007,'Policy Characteristics'!$C:$C,0))),"",INDEX('Policy Characteristics'!F:F,MATCH($C1007,'Policy Characteristics'!$C:$C,0)))</f>
        <v>0</v>
      </c>
      <c r="M1007" s="261">
        <f>IF(ISBLANK(INDEX('Policy Characteristics'!G:G,MATCH($C1007,'Policy Characteristics'!$C:$C,0))),"",INDEX('Policy Characteristics'!G:G,MATCH($C1007,'Policy Characteristics'!$C:$C,0)))</f>
        <v>1</v>
      </c>
      <c r="N1007" s="261">
        <f>IF(ISBLANK(INDEX('Policy Characteristics'!H:H,MATCH($C1007,'Policy Characteristics'!$C:$C,0))),"",INDEX('Policy Characteristics'!H:H,MATCH($C1007,'Policy Characteristics'!$C:$C,0)))</f>
        <v>0.01</v>
      </c>
      <c r="O1007" s="254" t="str">
        <f>IF(ISBLANK(INDEX('Policy Characteristics'!I:I,MATCH($C1007,'Policy Characteristics'!$C:$C,0))),"",INDEX('Policy Characteristics'!I:I,MATCH($C1007,'Policy Characteristics'!$C:$C,0)))</f>
        <v>% of potential achieved</v>
      </c>
      <c r="P1007" s="254"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4" t="str">
        <f>IF(ISBLANK(INDEX('Policy Characteristics'!K:K,MATCH($C1007,'Policy Characteristics'!$C:$C,0))),"",INDEX('Policy Characteristics'!K:K,MATCH($C1007,'Policy Characteristics'!$C:$C,0)))</f>
        <v/>
      </c>
      <c r="R1007" s="254" t="str">
        <f>IF(ISBLANK(INDEX('Policy Characteristics'!L:L,MATCH($C1007,'Policy Characteristics'!$C:$C,0))),"",INDEX('Policy Characteristics'!L:L,MATCH($C1007,'Policy Characteristics'!$C:$C,0)))</f>
        <v/>
      </c>
    </row>
    <row r="1008" spans="1:18" s="2" customFormat="1" x14ac:dyDescent="0.3">
      <c r="A1008" s="254" t="str">
        <f>IF(ISBLANK(INDEX('Policy Characteristics'!A:A,MATCH($C1008,'Policy Characteristics'!$C:$C,0))),"",INDEX('Policy Characteristics'!A:A,MATCH($C1008,'Policy Characteristics'!$C:$C,0)))</f>
        <v>Industry</v>
      </c>
      <c r="B1008" s="262" t="str">
        <f>IF(ISBLANK(INDEX('Policy Characteristics'!B:B,MATCH($C1008,'Policy Characteristics'!$C:$C,0))),"",INDEX('Policy Characteristics'!B:B,MATCH($C1008,'Policy Characteristics'!$C:$C,0)))</f>
        <v>Feedstock Shifting</v>
      </c>
      <c r="C1008" s="254" t="str">
        <f t="shared" si="42"/>
        <v>Fraction of Feedstock Shifted</v>
      </c>
      <c r="D1008" s="6" t="s">
        <v>3078</v>
      </c>
      <c r="E1008" s="45" t="s">
        <v>2402</v>
      </c>
      <c r="F1008" t="s">
        <v>3040</v>
      </c>
      <c r="G1008" s="45" t="s">
        <v>2406</v>
      </c>
      <c r="H1008" s="47">
        <v>2633</v>
      </c>
      <c r="I1008" s="324" t="s">
        <v>44</v>
      </c>
      <c r="J1008" s="255" t="str">
        <f>IF(ISBLANK(INDEX('Policy Characteristics'!D:D,MATCH($C1008,'Policy Characteristics'!$C:$C,0))),"",INDEX('Policy Characteristics'!D:D,MATCH($C1008,'Policy Characteristics'!$C:$C,0)))</f>
        <v>Feedstock Shifting</v>
      </c>
      <c r="K1008" s="254" t="str">
        <f>IF(ISBLANK(INDEX('Policy Characteristics'!E:E,MATCH($C1008,'Policy Characteristics'!$C:$C,0))),"",INDEX('Policy Characteristics'!E:E,MATCH($C1008,'Policy Characteristics'!$C:$C,0)))</f>
        <v>indst feedstock shifting</v>
      </c>
      <c r="L1008" s="261">
        <f>IF(ISBLANK(INDEX('Policy Characteristics'!F:F,MATCH($C1008,'Policy Characteristics'!$C:$C,0))),"",INDEX('Policy Characteristics'!F:F,MATCH($C1008,'Policy Characteristics'!$C:$C,0)))</f>
        <v>0</v>
      </c>
      <c r="M1008" s="261">
        <f>IF(ISBLANK(INDEX('Policy Characteristics'!G:G,MATCH($C1008,'Policy Characteristics'!$C:$C,0))),"",INDEX('Policy Characteristics'!G:G,MATCH($C1008,'Policy Characteristics'!$C:$C,0)))</f>
        <v>1</v>
      </c>
      <c r="N1008" s="261">
        <f>IF(ISBLANK(INDEX('Policy Characteristics'!H:H,MATCH($C1008,'Policy Characteristics'!$C:$C,0))),"",INDEX('Policy Characteristics'!H:H,MATCH($C1008,'Policy Characteristics'!$C:$C,0)))</f>
        <v>0.01</v>
      </c>
      <c r="O1008" s="254" t="str">
        <f>IF(ISBLANK(INDEX('Policy Characteristics'!I:I,MATCH($C1008,'Policy Characteristics'!$C:$C,0))),"",INDEX('Policy Characteristics'!I:I,MATCH($C1008,'Policy Characteristics'!$C:$C,0)))</f>
        <v>% of potential achieved</v>
      </c>
      <c r="P1008" s="254"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4" t="str">
        <f>IF(ISBLANK(INDEX('Policy Characteristics'!K:K,MATCH($C1008,'Policy Characteristics'!$C:$C,0))),"",INDEX('Policy Characteristics'!K:K,MATCH($C1008,'Policy Characteristics'!$C:$C,0)))</f>
        <v/>
      </c>
      <c r="R1008" s="254" t="str">
        <f>IF(ISBLANK(INDEX('Policy Characteristics'!L:L,MATCH($C1008,'Policy Characteristics'!$C:$C,0))),"",INDEX('Policy Characteristics'!L:L,MATCH($C1008,'Policy Characteristics'!$C:$C,0)))</f>
        <v/>
      </c>
    </row>
    <row r="1009" spans="1:18" s="2" customFormat="1" x14ac:dyDescent="0.3">
      <c r="A1009" s="254" t="str">
        <f>IF(ISBLANK(INDEX('Policy Characteristics'!A:A,MATCH($C1009,'Policy Characteristics'!$C:$C,0))),"",INDEX('Policy Characteristics'!A:A,MATCH($C1009,'Policy Characteristics'!$C:$C,0)))</f>
        <v>Industry</v>
      </c>
      <c r="B1009" s="262" t="str">
        <f>IF(ISBLANK(INDEX('Policy Characteristics'!B:B,MATCH($C1009,'Policy Characteristics'!$C:$C,0))),"",INDEX('Policy Characteristics'!B:B,MATCH($C1009,'Policy Characteristics'!$C:$C,0)))</f>
        <v>Feedstock Shifting</v>
      </c>
      <c r="C1009" s="254" t="str">
        <f t="shared" si="42"/>
        <v>Fraction of Feedstock Shifted</v>
      </c>
      <c r="D1009" s="6" t="s">
        <v>3078</v>
      </c>
      <c r="E1009" s="45" t="s">
        <v>2403</v>
      </c>
      <c r="F1009" t="s">
        <v>3040</v>
      </c>
      <c r="G1009" s="45" t="s">
        <v>2407</v>
      </c>
      <c r="H1009" s="47">
        <v>2634</v>
      </c>
      <c r="I1009" s="324" t="s">
        <v>44</v>
      </c>
      <c r="J1009" s="255" t="str">
        <f>IF(ISBLANK(INDEX('Policy Characteristics'!D:D,MATCH($C1009,'Policy Characteristics'!$C:$C,0))),"",INDEX('Policy Characteristics'!D:D,MATCH($C1009,'Policy Characteristics'!$C:$C,0)))</f>
        <v>Feedstock Shifting</v>
      </c>
      <c r="K1009" s="254" t="str">
        <f>IF(ISBLANK(INDEX('Policy Characteristics'!E:E,MATCH($C1009,'Policy Characteristics'!$C:$C,0))),"",INDEX('Policy Characteristics'!E:E,MATCH($C1009,'Policy Characteristics'!$C:$C,0)))</f>
        <v>indst feedstock shifting</v>
      </c>
      <c r="L1009" s="261">
        <f>IF(ISBLANK(INDEX('Policy Characteristics'!F:F,MATCH($C1009,'Policy Characteristics'!$C:$C,0))),"",INDEX('Policy Characteristics'!F:F,MATCH($C1009,'Policy Characteristics'!$C:$C,0)))</f>
        <v>0</v>
      </c>
      <c r="M1009" s="261">
        <f>IF(ISBLANK(INDEX('Policy Characteristics'!G:G,MATCH($C1009,'Policy Characteristics'!$C:$C,0))),"",INDEX('Policy Characteristics'!G:G,MATCH($C1009,'Policy Characteristics'!$C:$C,0)))</f>
        <v>1</v>
      </c>
      <c r="N1009" s="261">
        <f>IF(ISBLANK(INDEX('Policy Characteristics'!H:H,MATCH($C1009,'Policy Characteristics'!$C:$C,0))),"",INDEX('Policy Characteristics'!H:H,MATCH($C1009,'Policy Characteristics'!$C:$C,0)))</f>
        <v>0.01</v>
      </c>
      <c r="O1009" s="254" t="str">
        <f>IF(ISBLANK(INDEX('Policy Characteristics'!I:I,MATCH($C1009,'Policy Characteristics'!$C:$C,0))),"",INDEX('Policy Characteristics'!I:I,MATCH($C1009,'Policy Characteristics'!$C:$C,0)))</f>
        <v>% of potential achieved</v>
      </c>
      <c r="P1009" s="254"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4" t="str">
        <f>IF(ISBLANK(INDEX('Policy Characteristics'!K:K,MATCH($C1009,'Policy Characteristics'!$C:$C,0))),"",INDEX('Policy Characteristics'!K:K,MATCH($C1009,'Policy Characteristics'!$C:$C,0)))</f>
        <v/>
      </c>
      <c r="R1009" s="254" t="str">
        <f>IF(ISBLANK(INDEX('Policy Characteristics'!L:L,MATCH($C1009,'Policy Characteristics'!$C:$C,0))),"",INDEX('Policy Characteristics'!L:L,MATCH($C1009,'Policy Characteristics'!$C:$C,0)))</f>
        <v/>
      </c>
    </row>
    <row r="1010" spans="1:18" s="2" customFormat="1" x14ac:dyDescent="0.3">
      <c r="A1010" s="254" t="str">
        <f>IF(ISBLANK(INDEX('Policy Characteristics'!A:A,MATCH($C1010,'Policy Characteristics'!$C:$C,0))),"",INDEX('Policy Characteristics'!A:A,MATCH($C1010,'Policy Characteristics'!$C:$C,0)))</f>
        <v>Industry</v>
      </c>
      <c r="B1010" s="262" t="str">
        <f>IF(ISBLANK(INDEX('Policy Characteristics'!B:B,MATCH($C1010,'Policy Characteristics'!$C:$C,0))),"",INDEX('Policy Characteristics'!B:B,MATCH($C1010,'Policy Characteristics'!$C:$C,0)))</f>
        <v>Feedstock Shifting</v>
      </c>
      <c r="C1010" s="254" t="str">
        <f t="shared" si="42"/>
        <v>Fraction of Feedstock Shifted</v>
      </c>
      <c r="D1010" s="6" t="s">
        <v>3078</v>
      </c>
      <c r="E1010" s="45" t="s">
        <v>2404</v>
      </c>
      <c r="F1010" t="s">
        <v>3040</v>
      </c>
      <c r="G1010" s="45" t="s">
        <v>2410</v>
      </c>
      <c r="H1010" s="47">
        <v>2635</v>
      </c>
      <c r="I1010" s="324" t="s">
        <v>44</v>
      </c>
      <c r="J1010" s="255" t="str">
        <f>IF(ISBLANK(INDEX('Policy Characteristics'!D:D,MATCH($C1010,'Policy Characteristics'!$C:$C,0))),"",INDEX('Policy Characteristics'!D:D,MATCH($C1010,'Policy Characteristics'!$C:$C,0)))</f>
        <v>Feedstock Shifting</v>
      </c>
      <c r="K1010" s="254" t="str">
        <f>IF(ISBLANK(INDEX('Policy Characteristics'!E:E,MATCH($C1010,'Policy Characteristics'!$C:$C,0))),"",INDEX('Policy Characteristics'!E:E,MATCH($C1010,'Policy Characteristics'!$C:$C,0)))</f>
        <v>indst feedstock shifting</v>
      </c>
      <c r="L1010" s="261">
        <f>IF(ISBLANK(INDEX('Policy Characteristics'!F:F,MATCH($C1010,'Policy Characteristics'!$C:$C,0))),"",INDEX('Policy Characteristics'!F:F,MATCH($C1010,'Policy Characteristics'!$C:$C,0)))</f>
        <v>0</v>
      </c>
      <c r="M1010" s="261">
        <f>IF(ISBLANK(INDEX('Policy Characteristics'!G:G,MATCH($C1010,'Policy Characteristics'!$C:$C,0))),"",INDEX('Policy Characteristics'!G:G,MATCH($C1010,'Policy Characteristics'!$C:$C,0)))</f>
        <v>1</v>
      </c>
      <c r="N1010" s="261">
        <f>IF(ISBLANK(INDEX('Policy Characteristics'!H:H,MATCH($C1010,'Policy Characteristics'!$C:$C,0))),"",INDEX('Policy Characteristics'!H:H,MATCH($C1010,'Policy Characteristics'!$C:$C,0)))</f>
        <v>0.01</v>
      </c>
      <c r="O1010" s="254" t="str">
        <f>IF(ISBLANK(INDEX('Policy Characteristics'!I:I,MATCH($C1010,'Policy Characteristics'!$C:$C,0))),"",INDEX('Policy Characteristics'!I:I,MATCH($C1010,'Policy Characteristics'!$C:$C,0)))</f>
        <v>% of potential achieved</v>
      </c>
      <c r="P1010" s="254"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4" t="str">
        <f>IF(ISBLANK(INDEX('Policy Characteristics'!K:K,MATCH($C1010,'Policy Characteristics'!$C:$C,0))),"",INDEX('Policy Characteristics'!K:K,MATCH($C1010,'Policy Characteristics'!$C:$C,0)))</f>
        <v/>
      </c>
      <c r="R1010" s="254" t="str">
        <f>IF(ISBLANK(INDEX('Policy Characteristics'!L:L,MATCH($C1010,'Policy Characteristics'!$C:$C,0))),"",INDEX('Policy Characteristics'!L:L,MATCH($C1010,'Policy Characteristics'!$C:$C,0)))</f>
        <v/>
      </c>
    </row>
    <row r="1011" spans="1:18" s="2" customFormat="1" x14ac:dyDescent="0.3">
      <c r="A1011" s="254" t="str">
        <f>IF(ISBLANK(INDEX('Policy Characteristics'!A:A,MATCH($C1011,'Policy Characteristics'!$C:$C,0))),"",INDEX('Policy Characteristics'!A:A,MATCH($C1011,'Policy Characteristics'!$C:$C,0)))</f>
        <v>Industry</v>
      </c>
      <c r="B1011" s="262" t="str">
        <f>IF(ISBLANK(INDEX('Policy Characteristics'!B:B,MATCH($C1011,'Policy Characteristics'!$C:$C,0))),"",INDEX('Policy Characteristics'!B:B,MATCH($C1011,'Policy Characteristics'!$C:$C,0)))</f>
        <v>Feedstock Shifting</v>
      </c>
      <c r="C1011" s="254" t="str">
        <f t="shared" si="42"/>
        <v>Fraction of Feedstock Shifted</v>
      </c>
      <c r="D1011" s="6" t="s">
        <v>3078</v>
      </c>
      <c r="E1011" s="45" t="s">
        <v>2706</v>
      </c>
      <c r="F1011" t="s">
        <v>3040</v>
      </c>
      <c r="G1011" s="45" t="s">
        <v>2709</v>
      </c>
      <c r="H1011" s="47">
        <v>2636</v>
      </c>
      <c r="I1011" s="324" t="s">
        <v>44</v>
      </c>
      <c r="J1011" s="255" t="str">
        <f>IF(ISBLANK(INDEX('Policy Characteristics'!D:D,MATCH($C1011,'Policy Characteristics'!$C:$C,0))),"",INDEX('Policy Characteristics'!D:D,MATCH($C1011,'Policy Characteristics'!$C:$C,0)))</f>
        <v>Feedstock Shifting</v>
      </c>
      <c r="K1011" s="254" t="str">
        <f>IF(ISBLANK(INDEX('Policy Characteristics'!E:E,MATCH($C1011,'Policy Characteristics'!$C:$C,0))),"",INDEX('Policy Characteristics'!E:E,MATCH($C1011,'Policy Characteristics'!$C:$C,0)))</f>
        <v>indst feedstock shifting</v>
      </c>
      <c r="L1011" s="261">
        <f>IF(ISBLANK(INDEX('Policy Characteristics'!F:F,MATCH($C1011,'Policy Characteristics'!$C:$C,0))),"",INDEX('Policy Characteristics'!F:F,MATCH($C1011,'Policy Characteristics'!$C:$C,0)))</f>
        <v>0</v>
      </c>
      <c r="M1011" s="261">
        <f>IF(ISBLANK(INDEX('Policy Characteristics'!G:G,MATCH($C1011,'Policy Characteristics'!$C:$C,0))),"",INDEX('Policy Characteristics'!G:G,MATCH($C1011,'Policy Characteristics'!$C:$C,0)))</f>
        <v>1</v>
      </c>
      <c r="N1011" s="261">
        <f>IF(ISBLANK(INDEX('Policy Characteristics'!H:H,MATCH($C1011,'Policy Characteristics'!$C:$C,0))),"",INDEX('Policy Characteristics'!H:H,MATCH($C1011,'Policy Characteristics'!$C:$C,0)))</f>
        <v>0.01</v>
      </c>
      <c r="O1011" s="254" t="str">
        <f>IF(ISBLANK(INDEX('Policy Characteristics'!I:I,MATCH($C1011,'Policy Characteristics'!$C:$C,0))),"",INDEX('Policy Characteristics'!I:I,MATCH($C1011,'Policy Characteristics'!$C:$C,0)))</f>
        <v>% of potential achieved</v>
      </c>
      <c r="P1011" s="254"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4" t="str">
        <f>IF(ISBLANK(INDEX('Policy Characteristics'!K:K,MATCH($C1011,'Policy Characteristics'!$C:$C,0))),"",INDEX('Policy Characteristics'!K:K,MATCH($C1011,'Policy Characteristics'!$C:$C,0)))</f>
        <v/>
      </c>
      <c r="R1011" s="254" t="str">
        <f>IF(ISBLANK(INDEX('Policy Characteristics'!L:L,MATCH($C1011,'Policy Characteristics'!$C:$C,0))),"",INDEX('Policy Characteristics'!L:L,MATCH($C1011,'Policy Characteristics'!$C:$C,0)))</f>
        <v/>
      </c>
    </row>
    <row r="1012" spans="1:18" s="2" customFormat="1" x14ac:dyDescent="0.3">
      <c r="A1012" s="254" t="str">
        <f>IF(ISBLANK(INDEX('Policy Characteristics'!A:A,MATCH($C1012,'Policy Characteristics'!$C:$C,0))),"",INDEX('Policy Characteristics'!A:A,MATCH($C1012,'Policy Characteristics'!$C:$C,0)))</f>
        <v>Industry</v>
      </c>
      <c r="B1012" s="262" t="str">
        <f>IF(ISBLANK(INDEX('Policy Characteristics'!B:B,MATCH($C1012,'Policy Characteristics'!$C:$C,0))),"",INDEX('Policy Characteristics'!B:B,MATCH($C1012,'Policy Characteristics'!$C:$C,0)))</f>
        <v>Feedstock Shifting</v>
      </c>
      <c r="C1012" s="254" t="str">
        <f t="shared" si="42"/>
        <v>Fraction of Feedstock Shifted</v>
      </c>
      <c r="D1012" s="6" t="s">
        <v>3078</v>
      </c>
      <c r="E1012" s="45" t="s">
        <v>2707</v>
      </c>
      <c r="F1012" t="s">
        <v>3040</v>
      </c>
      <c r="G1012" s="45" t="s">
        <v>2711</v>
      </c>
      <c r="H1012" s="47">
        <v>2637</v>
      </c>
      <c r="I1012" s="324" t="s">
        <v>44</v>
      </c>
      <c r="J1012" s="255" t="str">
        <f>IF(ISBLANK(INDEX('Policy Characteristics'!D:D,MATCH($C1012,'Policy Characteristics'!$C:$C,0))),"",INDEX('Policy Characteristics'!D:D,MATCH($C1012,'Policy Characteristics'!$C:$C,0)))</f>
        <v>Feedstock Shifting</v>
      </c>
      <c r="K1012" s="254" t="str">
        <f>IF(ISBLANK(INDEX('Policy Characteristics'!E:E,MATCH($C1012,'Policy Characteristics'!$C:$C,0))),"",INDEX('Policy Characteristics'!E:E,MATCH($C1012,'Policy Characteristics'!$C:$C,0)))</f>
        <v>indst feedstock shifting</v>
      </c>
      <c r="L1012" s="261">
        <f>IF(ISBLANK(INDEX('Policy Characteristics'!F:F,MATCH($C1012,'Policy Characteristics'!$C:$C,0))),"",INDEX('Policy Characteristics'!F:F,MATCH($C1012,'Policy Characteristics'!$C:$C,0)))</f>
        <v>0</v>
      </c>
      <c r="M1012" s="261">
        <f>IF(ISBLANK(INDEX('Policy Characteristics'!G:G,MATCH($C1012,'Policy Characteristics'!$C:$C,0))),"",INDEX('Policy Characteristics'!G:G,MATCH($C1012,'Policy Characteristics'!$C:$C,0)))</f>
        <v>1</v>
      </c>
      <c r="N1012" s="261">
        <f>IF(ISBLANK(INDEX('Policy Characteristics'!H:H,MATCH($C1012,'Policy Characteristics'!$C:$C,0))),"",INDEX('Policy Characteristics'!H:H,MATCH($C1012,'Policy Characteristics'!$C:$C,0)))</f>
        <v>0.01</v>
      </c>
      <c r="O1012" s="254" t="str">
        <f>IF(ISBLANK(INDEX('Policy Characteristics'!I:I,MATCH($C1012,'Policy Characteristics'!$C:$C,0))),"",INDEX('Policy Characteristics'!I:I,MATCH($C1012,'Policy Characteristics'!$C:$C,0)))</f>
        <v>% of potential achieved</v>
      </c>
      <c r="P1012" s="254"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4" t="str">
        <f>IF(ISBLANK(INDEX('Policy Characteristics'!K:K,MATCH($C1012,'Policy Characteristics'!$C:$C,0))),"",INDEX('Policy Characteristics'!K:K,MATCH($C1012,'Policy Characteristics'!$C:$C,0)))</f>
        <v/>
      </c>
      <c r="R1012" s="254" t="str">
        <f>IF(ISBLANK(INDEX('Policy Characteristics'!L:L,MATCH($C1012,'Policy Characteristics'!$C:$C,0))),"",INDEX('Policy Characteristics'!L:L,MATCH($C1012,'Policy Characteristics'!$C:$C,0)))</f>
        <v/>
      </c>
    </row>
    <row r="1013" spans="1:18" s="2" customFormat="1" x14ac:dyDescent="0.3">
      <c r="A1013" s="254" t="str">
        <f>IF(ISBLANK(INDEX('Policy Characteristics'!A:A,MATCH($C1013,'Policy Characteristics'!$C:$C,0))),"",INDEX('Policy Characteristics'!A:A,MATCH($C1013,'Policy Characteristics'!$C:$C,0)))</f>
        <v>Industry</v>
      </c>
      <c r="B1013" s="262" t="str">
        <f>IF(ISBLANK(INDEX('Policy Characteristics'!B:B,MATCH($C1013,'Policy Characteristics'!$C:$C,0))),"",INDEX('Policy Characteristics'!B:B,MATCH($C1013,'Policy Characteristics'!$C:$C,0)))</f>
        <v>Feedstock Shifting</v>
      </c>
      <c r="C1013" s="254" t="str">
        <f t="shared" si="42"/>
        <v>Fraction of Feedstock Shifted</v>
      </c>
      <c r="D1013" s="6" t="s">
        <v>3078</v>
      </c>
      <c r="E1013" s="45" t="s">
        <v>2708</v>
      </c>
      <c r="F1013" t="s">
        <v>3040</v>
      </c>
      <c r="G1013" s="45" t="s">
        <v>2712</v>
      </c>
      <c r="H1013" s="47">
        <v>2638</v>
      </c>
      <c r="I1013" s="324" t="s">
        <v>44</v>
      </c>
      <c r="J1013" s="255" t="str">
        <f>IF(ISBLANK(INDEX('Policy Characteristics'!D:D,MATCH($C1013,'Policy Characteristics'!$C:$C,0))),"",INDEX('Policy Characteristics'!D:D,MATCH($C1013,'Policy Characteristics'!$C:$C,0)))</f>
        <v>Feedstock Shifting</v>
      </c>
      <c r="K1013" s="254" t="str">
        <f>IF(ISBLANK(INDEX('Policy Characteristics'!E:E,MATCH($C1013,'Policy Characteristics'!$C:$C,0))),"",INDEX('Policy Characteristics'!E:E,MATCH($C1013,'Policy Characteristics'!$C:$C,0)))</f>
        <v>indst feedstock shifting</v>
      </c>
      <c r="L1013" s="261">
        <f>IF(ISBLANK(INDEX('Policy Characteristics'!F:F,MATCH($C1013,'Policy Characteristics'!$C:$C,0))),"",INDEX('Policy Characteristics'!F:F,MATCH($C1013,'Policy Characteristics'!$C:$C,0)))</f>
        <v>0</v>
      </c>
      <c r="M1013" s="261">
        <f>IF(ISBLANK(INDEX('Policy Characteristics'!G:G,MATCH($C1013,'Policy Characteristics'!$C:$C,0))),"",INDEX('Policy Characteristics'!G:G,MATCH($C1013,'Policy Characteristics'!$C:$C,0)))</f>
        <v>1</v>
      </c>
      <c r="N1013" s="261">
        <f>IF(ISBLANK(INDEX('Policy Characteristics'!H:H,MATCH($C1013,'Policy Characteristics'!$C:$C,0))),"",INDEX('Policy Characteristics'!H:H,MATCH($C1013,'Policy Characteristics'!$C:$C,0)))</f>
        <v>0.01</v>
      </c>
      <c r="O1013" s="254" t="str">
        <f>IF(ISBLANK(INDEX('Policy Characteristics'!I:I,MATCH($C1013,'Policy Characteristics'!$C:$C,0))),"",INDEX('Policy Characteristics'!I:I,MATCH($C1013,'Policy Characteristics'!$C:$C,0)))</f>
        <v>% of potential achieved</v>
      </c>
      <c r="P1013" s="254"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4" t="str">
        <f>IF(ISBLANK(INDEX('Policy Characteristics'!K:K,MATCH($C1013,'Policy Characteristics'!$C:$C,0))),"",INDEX('Policy Characteristics'!K:K,MATCH($C1013,'Policy Characteristics'!$C:$C,0)))</f>
        <v/>
      </c>
      <c r="R1013" s="254" t="str">
        <f>IF(ISBLANK(INDEX('Policy Characteristics'!L:L,MATCH($C1013,'Policy Characteristics'!$C:$C,0))),"",INDEX('Policy Characteristics'!L:L,MATCH($C1013,'Policy Characteristics'!$C:$C,0)))</f>
        <v/>
      </c>
    </row>
    <row r="1014" spans="1:18" s="2" customFormat="1" x14ac:dyDescent="0.3">
      <c r="A1014" s="254" t="str">
        <f>IF(ISBLANK(INDEX('Policy Characteristics'!A:A,MATCH($C1014,'Policy Characteristics'!$C:$C,0))),"",INDEX('Policy Characteristics'!A:A,MATCH($C1014,'Policy Characteristics'!$C:$C,0)))</f>
        <v>Industry</v>
      </c>
      <c r="B1014" s="262" t="str">
        <f>IF(ISBLANK(INDEX('Policy Characteristics'!B:B,MATCH($C1014,'Policy Characteristics'!$C:$C,0))),"",INDEX('Policy Characteristics'!B:B,MATCH($C1014,'Policy Characteristics'!$C:$C,0)))</f>
        <v>Feedstock Shifting</v>
      </c>
      <c r="C1014" s="254" t="str">
        <f t="shared" si="42"/>
        <v>Fraction of Feedstock Shifted</v>
      </c>
      <c r="D1014" s="6" t="s">
        <v>3078</v>
      </c>
      <c r="E1014" s="45" t="s">
        <v>2705</v>
      </c>
      <c r="F1014" t="s">
        <v>3040</v>
      </c>
      <c r="G1014" s="45" t="s">
        <v>2710</v>
      </c>
      <c r="H1014" s="47">
        <v>2639</v>
      </c>
      <c r="I1014" s="324" t="s">
        <v>44</v>
      </c>
      <c r="J1014" s="255" t="str">
        <f>IF(ISBLANK(INDEX('Policy Characteristics'!D:D,MATCH($C1014,'Policy Characteristics'!$C:$C,0))),"",INDEX('Policy Characteristics'!D:D,MATCH($C1014,'Policy Characteristics'!$C:$C,0)))</f>
        <v>Feedstock Shifting</v>
      </c>
      <c r="K1014" s="254" t="str">
        <f>IF(ISBLANK(INDEX('Policy Characteristics'!E:E,MATCH($C1014,'Policy Characteristics'!$C:$C,0))),"",INDEX('Policy Characteristics'!E:E,MATCH($C1014,'Policy Characteristics'!$C:$C,0)))</f>
        <v>indst feedstock shifting</v>
      </c>
      <c r="L1014" s="261">
        <f>IF(ISBLANK(INDEX('Policy Characteristics'!F:F,MATCH($C1014,'Policy Characteristics'!$C:$C,0))),"",INDEX('Policy Characteristics'!F:F,MATCH($C1014,'Policy Characteristics'!$C:$C,0)))</f>
        <v>0</v>
      </c>
      <c r="M1014" s="261">
        <f>IF(ISBLANK(INDEX('Policy Characteristics'!G:G,MATCH($C1014,'Policy Characteristics'!$C:$C,0))),"",INDEX('Policy Characteristics'!G:G,MATCH($C1014,'Policy Characteristics'!$C:$C,0)))</f>
        <v>1</v>
      </c>
      <c r="N1014" s="261">
        <f>IF(ISBLANK(INDEX('Policy Characteristics'!H:H,MATCH($C1014,'Policy Characteristics'!$C:$C,0))),"",INDEX('Policy Characteristics'!H:H,MATCH($C1014,'Policy Characteristics'!$C:$C,0)))</f>
        <v>0.01</v>
      </c>
      <c r="O1014" s="254" t="str">
        <f>IF(ISBLANK(INDEX('Policy Characteristics'!I:I,MATCH($C1014,'Policy Characteristics'!$C:$C,0))),"",INDEX('Policy Characteristics'!I:I,MATCH($C1014,'Policy Characteristics'!$C:$C,0)))</f>
        <v>% of potential achieved</v>
      </c>
      <c r="P1014" s="254"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4" t="str">
        <f>IF(ISBLANK(INDEX('Policy Characteristics'!K:K,MATCH($C1014,'Policy Characteristics'!$C:$C,0))),"",INDEX('Policy Characteristics'!K:K,MATCH($C1014,'Policy Characteristics'!$C:$C,0)))</f>
        <v/>
      </c>
      <c r="R1014" s="254" t="str">
        <f>IF(ISBLANK(INDEX('Policy Characteristics'!L:L,MATCH($C1014,'Policy Characteristics'!$C:$C,0))),"",INDEX('Policy Characteristics'!L:L,MATCH($C1014,'Policy Characteristics'!$C:$C,0)))</f>
        <v/>
      </c>
    </row>
    <row r="1015" spans="1:18" s="2" customFormat="1" x14ac:dyDescent="0.3">
      <c r="A1015" s="254" t="str">
        <f>IF(ISBLANK(INDEX('Policy Characteristics'!A:A,MATCH($C1015,'Policy Characteristics'!$C:$C,0))),"",INDEX('Policy Characteristics'!A:A,MATCH($C1015,'Policy Characteristics'!$C:$C,0)))</f>
        <v>Industry</v>
      </c>
      <c r="B1015" s="262" t="str">
        <f>IF(ISBLANK(INDEX('Policy Characteristics'!B:B,MATCH($C1015,'Policy Characteristics'!$C:$C,0))),"",INDEX('Policy Characteristics'!B:B,MATCH($C1015,'Policy Characteristics'!$C:$C,0)))</f>
        <v>Feedstock Shifting</v>
      </c>
      <c r="C1015" s="254" t="str">
        <f t="shared" si="42"/>
        <v>Fraction of Feedstock Shifted</v>
      </c>
      <c r="D1015" s="6" t="s">
        <v>3079</v>
      </c>
      <c r="E1015" s="45" t="s">
        <v>2399</v>
      </c>
      <c r="F1015" t="s">
        <v>3041</v>
      </c>
      <c r="G1015" s="45" t="s">
        <v>2405</v>
      </c>
      <c r="H1015" s="47">
        <v>2640</v>
      </c>
      <c r="I1015" s="324" t="s">
        <v>44</v>
      </c>
      <c r="J1015" s="255" t="str">
        <f>IF(ISBLANK(INDEX('Policy Characteristics'!D:D,MATCH($C1015,'Policy Characteristics'!$C:$C,0))),"",INDEX('Policy Characteristics'!D:D,MATCH($C1015,'Policy Characteristics'!$C:$C,0)))</f>
        <v>Feedstock Shifting</v>
      </c>
      <c r="K1015" s="254" t="str">
        <f>IF(ISBLANK(INDEX('Policy Characteristics'!E:E,MATCH($C1015,'Policy Characteristics'!$C:$C,0))),"",INDEX('Policy Characteristics'!E:E,MATCH($C1015,'Policy Characteristics'!$C:$C,0)))</f>
        <v>indst feedstock shifting</v>
      </c>
      <c r="L1015" s="261">
        <f>IF(ISBLANK(INDEX('Policy Characteristics'!F:F,MATCH($C1015,'Policy Characteristics'!$C:$C,0))),"",INDEX('Policy Characteristics'!F:F,MATCH($C1015,'Policy Characteristics'!$C:$C,0)))</f>
        <v>0</v>
      </c>
      <c r="M1015" s="261">
        <f>IF(ISBLANK(INDEX('Policy Characteristics'!G:G,MATCH($C1015,'Policy Characteristics'!$C:$C,0))),"",INDEX('Policy Characteristics'!G:G,MATCH($C1015,'Policy Characteristics'!$C:$C,0)))</f>
        <v>1</v>
      </c>
      <c r="N1015" s="261">
        <f>IF(ISBLANK(INDEX('Policy Characteristics'!H:H,MATCH($C1015,'Policy Characteristics'!$C:$C,0))),"",INDEX('Policy Characteristics'!H:H,MATCH($C1015,'Policy Characteristics'!$C:$C,0)))</f>
        <v>0.01</v>
      </c>
      <c r="O1015" s="254" t="str">
        <f>IF(ISBLANK(INDEX('Policy Characteristics'!I:I,MATCH($C1015,'Policy Characteristics'!$C:$C,0))),"",INDEX('Policy Characteristics'!I:I,MATCH($C1015,'Policy Characteristics'!$C:$C,0)))</f>
        <v>% of potential achieved</v>
      </c>
      <c r="P1015" s="254"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4" t="str">
        <f>IF(ISBLANK(INDEX('Policy Characteristics'!K:K,MATCH($C1015,'Policy Characteristics'!$C:$C,0))),"",INDEX('Policy Characteristics'!K:K,MATCH($C1015,'Policy Characteristics'!$C:$C,0)))</f>
        <v/>
      </c>
      <c r="R1015" s="254" t="str">
        <f>IF(ISBLANK(INDEX('Policy Characteristics'!L:L,MATCH($C1015,'Policy Characteristics'!$C:$C,0))),"",INDEX('Policy Characteristics'!L:L,MATCH($C1015,'Policy Characteristics'!$C:$C,0)))</f>
        <v/>
      </c>
    </row>
    <row r="1016" spans="1:18" s="2" customFormat="1" x14ac:dyDescent="0.3">
      <c r="A1016" s="254" t="str">
        <f>IF(ISBLANK(INDEX('Policy Characteristics'!A:A,MATCH($C1016,'Policy Characteristics'!$C:$C,0))),"",INDEX('Policy Characteristics'!A:A,MATCH($C1016,'Policy Characteristics'!$C:$C,0)))</f>
        <v>Industry</v>
      </c>
      <c r="B1016" s="262" t="str">
        <f>IF(ISBLANK(INDEX('Policy Characteristics'!B:B,MATCH($C1016,'Policy Characteristics'!$C:$C,0))),"",INDEX('Policy Characteristics'!B:B,MATCH($C1016,'Policy Characteristics'!$C:$C,0)))</f>
        <v>Feedstock Shifting</v>
      </c>
      <c r="C1016" s="254" t="str">
        <f t="shared" si="42"/>
        <v>Fraction of Feedstock Shifted</v>
      </c>
      <c r="D1016" s="6" t="s">
        <v>3079</v>
      </c>
      <c r="E1016" s="45" t="s">
        <v>2400</v>
      </c>
      <c r="F1016" t="s">
        <v>3041</v>
      </c>
      <c r="G1016" s="45" t="s">
        <v>2408</v>
      </c>
      <c r="H1016" s="47">
        <v>2641</v>
      </c>
      <c r="I1016" s="324" t="s">
        <v>44</v>
      </c>
      <c r="J1016" s="255" t="str">
        <f>IF(ISBLANK(INDEX('Policy Characteristics'!D:D,MATCH($C1016,'Policy Characteristics'!$C:$C,0))),"",INDEX('Policy Characteristics'!D:D,MATCH($C1016,'Policy Characteristics'!$C:$C,0)))</f>
        <v>Feedstock Shifting</v>
      </c>
      <c r="K1016" s="254" t="str">
        <f>IF(ISBLANK(INDEX('Policy Characteristics'!E:E,MATCH($C1016,'Policy Characteristics'!$C:$C,0))),"",INDEX('Policy Characteristics'!E:E,MATCH($C1016,'Policy Characteristics'!$C:$C,0)))</f>
        <v>indst feedstock shifting</v>
      </c>
      <c r="L1016" s="261">
        <f>IF(ISBLANK(INDEX('Policy Characteristics'!F:F,MATCH($C1016,'Policy Characteristics'!$C:$C,0))),"",INDEX('Policy Characteristics'!F:F,MATCH($C1016,'Policy Characteristics'!$C:$C,0)))</f>
        <v>0</v>
      </c>
      <c r="M1016" s="261">
        <f>IF(ISBLANK(INDEX('Policy Characteristics'!G:G,MATCH($C1016,'Policy Characteristics'!$C:$C,0))),"",INDEX('Policy Characteristics'!G:G,MATCH($C1016,'Policy Characteristics'!$C:$C,0)))</f>
        <v>1</v>
      </c>
      <c r="N1016" s="261">
        <f>IF(ISBLANK(INDEX('Policy Characteristics'!H:H,MATCH($C1016,'Policy Characteristics'!$C:$C,0))),"",INDEX('Policy Characteristics'!H:H,MATCH($C1016,'Policy Characteristics'!$C:$C,0)))</f>
        <v>0.01</v>
      </c>
      <c r="O1016" s="254" t="str">
        <f>IF(ISBLANK(INDEX('Policy Characteristics'!I:I,MATCH($C1016,'Policy Characteristics'!$C:$C,0))),"",INDEX('Policy Characteristics'!I:I,MATCH($C1016,'Policy Characteristics'!$C:$C,0)))</f>
        <v>% of potential achieved</v>
      </c>
      <c r="P1016" s="254"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4" t="str">
        <f>IF(ISBLANK(INDEX('Policy Characteristics'!K:K,MATCH($C1016,'Policy Characteristics'!$C:$C,0))),"",INDEX('Policy Characteristics'!K:K,MATCH($C1016,'Policy Characteristics'!$C:$C,0)))</f>
        <v/>
      </c>
      <c r="R1016" s="254" t="str">
        <f>IF(ISBLANK(INDEX('Policy Characteristics'!L:L,MATCH($C1016,'Policy Characteristics'!$C:$C,0))),"",INDEX('Policy Characteristics'!L:L,MATCH($C1016,'Policy Characteristics'!$C:$C,0)))</f>
        <v/>
      </c>
    </row>
    <row r="1017" spans="1:18" s="2" customFormat="1" x14ac:dyDescent="0.3">
      <c r="A1017" s="254" t="str">
        <f>IF(ISBLANK(INDEX('Policy Characteristics'!A:A,MATCH($C1017,'Policy Characteristics'!$C:$C,0))),"",INDEX('Policy Characteristics'!A:A,MATCH($C1017,'Policy Characteristics'!$C:$C,0)))</f>
        <v>Industry</v>
      </c>
      <c r="B1017" s="262" t="str">
        <f>IF(ISBLANK(INDEX('Policy Characteristics'!B:B,MATCH($C1017,'Policy Characteristics'!$C:$C,0))),"",INDEX('Policy Characteristics'!B:B,MATCH($C1017,'Policy Characteristics'!$C:$C,0)))</f>
        <v>Feedstock Shifting</v>
      </c>
      <c r="C1017" s="254" t="str">
        <f t="shared" si="42"/>
        <v>Fraction of Feedstock Shifted</v>
      </c>
      <c r="D1017" s="6" t="s">
        <v>3079</v>
      </c>
      <c r="E1017" s="45" t="s">
        <v>2401</v>
      </c>
      <c r="F1017" t="s">
        <v>3041</v>
      </c>
      <c r="G1017" s="45" t="s">
        <v>2409</v>
      </c>
      <c r="H1017" s="47">
        <v>2642</v>
      </c>
      <c r="I1017" s="324" t="s">
        <v>44</v>
      </c>
      <c r="J1017" s="255" t="str">
        <f>IF(ISBLANK(INDEX('Policy Characteristics'!D:D,MATCH($C1017,'Policy Characteristics'!$C:$C,0))),"",INDEX('Policy Characteristics'!D:D,MATCH($C1017,'Policy Characteristics'!$C:$C,0)))</f>
        <v>Feedstock Shifting</v>
      </c>
      <c r="K1017" s="254" t="str">
        <f>IF(ISBLANK(INDEX('Policy Characteristics'!E:E,MATCH($C1017,'Policy Characteristics'!$C:$C,0))),"",INDEX('Policy Characteristics'!E:E,MATCH($C1017,'Policy Characteristics'!$C:$C,0)))</f>
        <v>indst feedstock shifting</v>
      </c>
      <c r="L1017" s="261">
        <f>IF(ISBLANK(INDEX('Policy Characteristics'!F:F,MATCH($C1017,'Policy Characteristics'!$C:$C,0))),"",INDEX('Policy Characteristics'!F:F,MATCH($C1017,'Policy Characteristics'!$C:$C,0)))</f>
        <v>0</v>
      </c>
      <c r="M1017" s="261">
        <f>IF(ISBLANK(INDEX('Policy Characteristics'!G:G,MATCH($C1017,'Policy Characteristics'!$C:$C,0))),"",INDEX('Policy Characteristics'!G:G,MATCH($C1017,'Policy Characteristics'!$C:$C,0)))</f>
        <v>1</v>
      </c>
      <c r="N1017" s="261">
        <f>IF(ISBLANK(INDEX('Policy Characteristics'!H:H,MATCH($C1017,'Policy Characteristics'!$C:$C,0))),"",INDEX('Policy Characteristics'!H:H,MATCH($C1017,'Policy Characteristics'!$C:$C,0)))</f>
        <v>0.01</v>
      </c>
      <c r="O1017" s="254" t="str">
        <f>IF(ISBLANK(INDEX('Policy Characteristics'!I:I,MATCH($C1017,'Policy Characteristics'!$C:$C,0))),"",INDEX('Policy Characteristics'!I:I,MATCH($C1017,'Policy Characteristics'!$C:$C,0)))</f>
        <v>% of potential achieved</v>
      </c>
      <c r="P1017" s="254"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4" t="str">
        <f>IF(ISBLANK(INDEX('Policy Characteristics'!K:K,MATCH($C1017,'Policy Characteristics'!$C:$C,0))),"",INDEX('Policy Characteristics'!K:K,MATCH($C1017,'Policy Characteristics'!$C:$C,0)))</f>
        <v/>
      </c>
      <c r="R1017" s="254" t="str">
        <f>IF(ISBLANK(INDEX('Policy Characteristics'!L:L,MATCH($C1017,'Policy Characteristics'!$C:$C,0))),"",INDEX('Policy Characteristics'!L:L,MATCH($C1017,'Policy Characteristics'!$C:$C,0)))</f>
        <v/>
      </c>
    </row>
    <row r="1018" spans="1:18" s="2" customFormat="1" x14ac:dyDescent="0.3">
      <c r="A1018" s="254" t="str">
        <f>IF(ISBLANK(INDEX('Policy Characteristics'!A:A,MATCH($C1018,'Policy Characteristics'!$C:$C,0))),"",INDEX('Policy Characteristics'!A:A,MATCH($C1018,'Policy Characteristics'!$C:$C,0)))</f>
        <v>Industry</v>
      </c>
      <c r="B1018" s="262" t="str">
        <f>IF(ISBLANK(INDEX('Policy Characteristics'!B:B,MATCH($C1018,'Policy Characteristics'!$C:$C,0))),"",INDEX('Policy Characteristics'!B:B,MATCH($C1018,'Policy Characteristics'!$C:$C,0)))</f>
        <v>Feedstock Shifting</v>
      </c>
      <c r="C1018" s="254" t="str">
        <f t="shared" si="42"/>
        <v>Fraction of Feedstock Shifted</v>
      </c>
      <c r="D1018" s="6" t="s">
        <v>3079</v>
      </c>
      <c r="E1018" s="45" t="s">
        <v>2402</v>
      </c>
      <c r="F1018" t="s">
        <v>3041</v>
      </c>
      <c r="G1018" s="45" t="s">
        <v>2406</v>
      </c>
      <c r="H1018" s="47">
        <v>2643</v>
      </c>
      <c r="I1018" s="324" t="s">
        <v>44</v>
      </c>
      <c r="J1018" s="255" t="str">
        <f>IF(ISBLANK(INDEX('Policy Characteristics'!D:D,MATCH($C1018,'Policy Characteristics'!$C:$C,0))),"",INDEX('Policy Characteristics'!D:D,MATCH($C1018,'Policy Characteristics'!$C:$C,0)))</f>
        <v>Feedstock Shifting</v>
      </c>
      <c r="K1018" s="254" t="str">
        <f>IF(ISBLANK(INDEX('Policy Characteristics'!E:E,MATCH($C1018,'Policy Characteristics'!$C:$C,0))),"",INDEX('Policy Characteristics'!E:E,MATCH($C1018,'Policy Characteristics'!$C:$C,0)))</f>
        <v>indst feedstock shifting</v>
      </c>
      <c r="L1018" s="261">
        <f>IF(ISBLANK(INDEX('Policy Characteristics'!F:F,MATCH($C1018,'Policy Characteristics'!$C:$C,0))),"",INDEX('Policy Characteristics'!F:F,MATCH($C1018,'Policy Characteristics'!$C:$C,0)))</f>
        <v>0</v>
      </c>
      <c r="M1018" s="261">
        <f>IF(ISBLANK(INDEX('Policy Characteristics'!G:G,MATCH($C1018,'Policy Characteristics'!$C:$C,0))),"",INDEX('Policy Characteristics'!G:G,MATCH($C1018,'Policy Characteristics'!$C:$C,0)))</f>
        <v>1</v>
      </c>
      <c r="N1018" s="261">
        <f>IF(ISBLANK(INDEX('Policy Characteristics'!H:H,MATCH($C1018,'Policy Characteristics'!$C:$C,0))),"",INDEX('Policy Characteristics'!H:H,MATCH($C1018,'Policy Characteristics'!$C:$C,0)))</f>
        <v>0.01</v>
      </c>
      <c r="O1018" s="254" t="str">
        <f>IF(ISBLANK(INDEX('Policy Characteristics'!I:I,MATCH($C1018,'Policy Characteristics'!$C:$C,0))),"",INDEX('Policy Characteristics'!I:I,MATCH($C1018,'Policy Characteristics'!$C:$C,0)))</f>
        <v>% of potential achieved</v>
      </c>
      <c r="P1018" s="254"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4" t="str">
        <f>IF(ISBLANK(INDEX('Policy Characteristics'!K:K,MATCH($C1018,'Policy Characteristics'!$C:$C,0))),"",INDEX('Policy Characteristics'!K:K,MATCH($C1018,'Policy Characteristics'!$C:$C,0)))</f>
        <v/>
      </c>
      <c r="R1018" s="254" t="str">
        <f>IF(ISBLANK(INDEX('Policy Characteristics'!L:L,MATCH($C1018,'Policy Characteristics'!$C:$C,0))),"",INDEX('Policy Characteristics'!L:L,MATCH($C1018,'Policy Characteristics'!$C:$C,0)))</f>
        <v/>
      </c>
    </row>
    <row r="1019" spans="1:18" s="2" customFormat="1" x14ac:dyDescent="0.3">
      <c r="A1019" s="254" t="str">
        <f>IF(ISBLANK(INDEX('Policy Characteristics'!A:A,MATCH($C1019,'Policy Characteristics'!$C:$C,0))),"",INDEX('Policy Characteristics'!A:A,MATCH($C1019,'Policy Characteristics'!$C:$C,0)))</f>
        <v>Industry</v>
      </c>
      <c r="B1019" s="262" t="str">
        <f>IF(ISBLANK(INDEX('Policy Characteristics'!B:B,MATCH($C1019,'Policy Characteristics'!$C:$C,0))),"",INDEX('Policy Characteristics'!B:B,MATCH($C1019,'Policy Characteristics'!$C:$C,0)))</f>
        <v>Feedstock Shifting</v>
      </c>
      <c r="C1019" s="254" t="str">
        <f t="shared" si="42"/>
        <v>Fraction of Feedstock Shifted</v>
      </c>
      <c r="D1019" s="6" t="s">
        <v>3079</v>
      </c>
      <c r="E1019" s="45" t="s">
        <v>2403</v>
      </c>
      <c r="F1019" t="s">
        <v>3041</v>
      </c>
      <c r="G1019" s="45" t="s">
        <v>2407</v>
      </c>
      <c r="H1019" s="47">
        <v>2644</v>
      </c>
      <c r="I1019" s="324" t="s">
        <v>44</v>
      </c>
      <c r="J1019" s="255" t="str">
        <f>IF(ISBLANK(INDEX('Policy Characteristics'!D:D,MATCH($C1019,'Policy Characteristics'!$C:$C,0))),"",INDEX('Policy Characteristics'!D:D,MATCH($C1019,'Policy Characteristics'!$C:$C,0)))</f>
        <v>Feedstock Shifting</v>
      </c>
      <c r="K1019" s="254" t="str">
        <f>IF(ISBLANK(INDEX('Policy Characteristics'!E:E,MATCH($C1019,'Policy Characteristics'!$C:$C,0))),"",INDEX('Policy Characteristics'!E:E,MATCH($C1019,'Policy Characteristics'!$C:$C,0)))</f>
        <v>indst feedstock shifting</v>
      </c>
      <c r="L1019" s="261">
        <f>IF(ISBLANK(INDEX('Policy Characteristics'!F:F,MATCH($C1019,'Policy Characteristics'!$C:$C,0))),"",INDEX('Policy Characteristics'!F:F,MATCH($C1019,'Policy Characteristics'!$C:$C,0)))</f>
        <v>0</v>
      </c>
      <c r="M1019" s="261">
        <f>IF(ISBLANK(INDEX('Policy Characteristics'!G:G,MATCH($C1019,'Policy Characteristics'!$C:$C,0))),"",INDEX('Policy Characteristics'!G:G,MATCH($C1019,'Policy Characteristics'!$C:$C,0)))</f>
        <v>1</v>
      </c>
      <c r="N1019" s="261">
        <f>IF(ISBLANK(INDEX('Policy Characteristics'!H:H,MATCH($C1019,'Policy Characteristics'!$C:$C,0))),"",INDEX('Policy Characteristics'!H:H,MATCH($C1019,'Policy Characteristics'!$C:$C,0)))</f>
        <v>0.01</v>
      </c>
      <c r="O1019" s="254" t="str">
        <f>IF(ISBLANK(INDEX('Policy Characteristics'!I:I,MATCH($C1019,'Policy Characteristics'!$C:$C,0))),"",INDEX('Policy Characteristics'!I:I,MATCH($C1019,'Policy Characteristics'!$C:$C,0)))</f>
        <v>% of potential achieved</v>
      </c>
      <c r="P1019" s="254"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4" t="str">
        <f>IF(ISBLANK(INDEX('Policy Characteristics'!K:K,MATCH($C1019,'Policy Characteristics'!$C:$C,0))),"",INDEX('Policy Characteristics'!K:K,MATCH($C1019,'Policy Characteristics'!$C:$C,0)))</f>
        <v/>
      </c>
      <c r="R1019" s="254" t="str">
        <f>IF(ISBLANK(INDEX('Policy Characteristics'!L:L,MATCH($C1019,'Policy Characteristics'!$C:$C,0))),"",INDEX('Policy Characteristics'!L:L,MATCH($C1019,'Policy Characteristics'!$C:$C,0)))</f>
        <v/>
      </c>
    </row>
    <row r="1020" spans="1:18" s="2" customFormat="1" x14ac:dyDescent="0.3">
      <c r="A1020" s="254" t="str">
        <f>IF(ISBLANK(INDEX('Policy Characteristics'!A:A,MATCH($C1020,'Policy Characteristics'!$C:$C,0))),"",INDEX('Policy Characteristics'!A:A,MATCH($C1020,'Policy Characteristics'!$C:$C,0)))</f>
        <v>Industry</v>
      </c>
      <c r="B1020" s="262" t="str">
        <f>IF(ISBLANK(INDEX('Policy Characteristics'!B:B,MATCH($C1020,'Policy Characteristics'!$C:$C,0))),"",INDEX('Policy Characteristics'!B:B,MATCH($C1020,'Policy Characteristics'!$C:$C,0)))</f>
        <v>Feedstock Shifting</v>
      </c>
      <c r="C1020" s="254" t="str">
        <f t="shared" si="42"/>
        <v>Fraction of Feedstock Shifted</v>
      </c>
      <c r="D1020" s="6" t="s">
        <v>3079</v>
      </c>
      <c r="E1020" s="45" t="s">
        <v>2404</v>
      </c>
      <c r="F1020" t="s">
        <v>3041</v>
      </c>
      <c r="G1020" s="45" t="s">
        <v>2410</v>
      </c>
      <c r="H1020" s="47">
        <v>2645</v>
      </c>
      <c r="I1020" s="324" t="s">
        <v>44</v>
      </c>
      <c r="J1020" s="255" t="str">
        <f>IF(ISBLANK(INDEX('Policy Characteristics'!D:D,MATCH($C1020,'Policy Characteristics'!$C:$C,0))),"",INDEX('Policy Characteristics'!D:D,MATCH($C1020,'Policy Characteristics'!$C:$C,0)))</f>
        <v>Feedstock Shifting</v>
      </c>
      <c r="K1020" s="254" t="str">
        <f>IF(ISBLANK(INDEX('Policy Characteristics'!E:E,MATCH($C1020,'Policy Characteristics'!$C:$C,0))),"",INDEX('Policy Characteristics'!E:E,MATCH($C1020,'Policy Characteristics'!$C:$C,0)))</f>
        <v>indst feedstock shifting</v>
      </c>
      <c r="L1020" s="261">
        <f>IF(ISBLANK(INDEX('Policy Characteristics'!F:F,MATCH($C1020,'Policy Characteristics'!$C:$C,0))),"",INDEX('Policy Characteristics'!F:F,MATCH($C1020,'Policy Characteristics'!$C:$C,0)))</f>
        <v>0</v>
      </c>
      <c r="M1020" s="261">
        <f>IF(ISBLANK(INDEX('Policy Characteristics'!G:G,MATCH($C1020,'Policy Characteristics'!$C:$C,0))),"",INDEX('Policy Characteristics'!G:G,MATCH($C1020,'Policy Characteristics'!$C:$C,0)))</f>
        <v>1</v>
      </c>
      <c r="N1020" s="261">
        <f>IF(ISBLANK(INDEX('Policy Characteristics'!H:H,MATCH($C1020,'Policy Characteristics'!$C:$C,0))),"",INDEX('Policy Characteristics'!H:H,MATCH($C1020,'Policy Characteristics'!$C:$C,0)))</f>
        <v>0.01</v>
      </c>
      <c r="O1020" s="254" t="str">
        <f>IF(ISBLANK(INDEX('Policy Characteristics'!I:I,MATCH($C1020,'Policy Characteristics'!$C:$C,0))),"",INDEX('Policy Characteristics'!I:I,MATCH($C1020,'Policy Characteristics'!$C:$C,0)))</f>
        <v>% of potential achieved</v>
      </c>
      <c r="P1020" s="254"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4" t="str">
        <f>IF(ISBLANK(INDEX('Policy Characteristics'!K:K,MATCH($C1020,'Policy Characteristics'!$C:$C,0))),"",INDEX('Policy Characteristics'!K:K,MATCH($C1020,'Policy Characteristics'!$C:$C,0)))</f>
        <v/>
      </c>
      <c r="R1020" s="254" t="str">
        <f>IF(ISBLANK(INDEX('Policy Characteristics'!L:L,MATCH($C1020,'Policy Characteristics'!$C:$C,0))),"",INDEX('Policy Characteristics'!L:L,MATCH($C1020,'Policy Characteristics'!$C:$C,0)))</f>
        <v/>
      </c>
    </row>
    <row r="1021" spans="1:18" s="2" customFormat="1" x14ac:dyDescent="0.3">
      <c r="A1021" s="254" t="str">
        <f>IF(ISBLANK(INDEX('Policy Characteristics'!A:A,MATCH($C1021,'Policy Characteristics'!$C:$C,0))),"",INDEX('Policy Characteristics'!A:A,MATCH($C1021,'Policy Characteristics'!$C:$C,0)))</f>
        <v>Industry</v>
      </c>
      <c r="B1021" s="262" t="str">
        <f>IF(ISBLANK(INDEX('Policy Characteristics'!B:B,MATCH($C1021,'Policy Characteristics'!$C:$C,0))),"",INDEX('Policy Characteristics'!B:B,MATCH($C1021,'Policy Characteristics'!$C:$C,0)))</f>
        <v>Feedstock Shifting</v>
      </c>
      <c r="C1021" s="254" t="str">
        <f t="shared" si="42"/>
        <v>Fraction of Feedstock Shifted</v>
      </c>
      <c r="D1021" s="6" t="s">
        <v>3079</v>
      </c>
      <c r="E1021" s="45" t="s">
        <v>2706</v>
      </c>
      <c r="F1021" t="s">
        <v>3041</v>
      </c>
      <c r="G1021" s="45" t="s">
        <v>2709</v>
      </c>
      <c r="H1021" s="47">
        <v>2646</v>
      </c>
      <c r="I1021" s="324" t="s">
        <v>44</v>
      </c>
      <c r="J1021" s="255" t="str">
        <f>IF(ISBLANK(INDEX('Policy Characteristics'!D:D,MATCH($C1021,'Policy Characteristics'!$C:$C,0))),"",INDEX('Policy Characteristics'!D:D,MATCH($C1021,'Policy Characteristics'!$C:$C,0)))</f>
        <v>Feedstock Shifting</v>
      </c>
      <c r="K1021" s="254" t="str">
        <f>IF(ISBLANK(INDEX('Policy Characteristics'!E:E,MATCH($C1021,'Policy Characteristics'!$C:$C,0))),"",INDEX('Policy Characteristics'!E:E,MATCH($C1021,'Policy Characteristics'!$C:$C,0)))</f>
        <v>indst feedstock shifting</v>
      </c>
      <c r="L1021" s="261">
        <f>IF(ISBLANK(INDEX('Policy Characteristics'!F:F,MATCH($C1021,'Policy Characteristics'!$C:$C,0))),"",INDEX('Policy Characteristics'!F:F,MATCH($C1021,'Policy Characteristics'!$C:$C,0)))</f>
        <v>0</v>
      </c>
      <c r="M1021" s="261">
        <f>IF(ISBLANK(INDEX('Policy Characteristics'!G:G,MATCH($C1021,'Policy Characteristics'!$C:$C,0))),"",INDEX('Policy Characteristics'!G:G,MATCH($C1021,'Policy Characteristics'!$C:$C,0)))</f>
        <v>1</v>
      </c>
      <c r="N1021" s="261">
        <f>IF(ISBLANK(INDEX('Policy Characteristics'!H:H,MATCH($C1021,'Policy Characteristics'!$C:$C,0))),"",INDEX('Policy Characteristics'!H:H,MATCH($C1021,'Policy Characteristics'!$C:$C,0)))</f>
        <v>0.01</v>
      </c>
      <c r="O1021" s="254" t="str">
        <f>IF(ISBLANK(INDEX('Policy Characteristics'!I:I,MATCH($C1021,'Policy Characteristics'!$C:$C,0))),"",INDEX('Policy Characteristics'!I:I,MATCH($C1021,'Policy Characteristics'!$C:$C,0)))</f>
        <v>% of potential achieved</v>
      </c>
      <c r="P1021" s="254"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4" t="str">
        <f>IF(ISBLANK(INDEX('Policy Characteristics'!K:K,MATCH($C1021,'Policy Characteristics'!$C:$C,0))),"",INDEX('Policy Characteristics'!K:K,MATCH($C1021,'Policy Characteristics'!$C:$C,0)))</f>
        <v/>
      </c>
      <c r="R1021" s="254" t="str">
        <f>IF(ISBLANK(INDEX('Policy Characteristics'!L:L,MATCH($C1021,'Policy Characteristics'!$C:$C,0))),"",INDEX('Policy Characteristics'!L:L,MATCH($C1021,'Policy Characteristics'!$C:$C,0)))</f>
        <v/>
      </c>
    </row>
    <row r="1022" spans="1:18" s="2" customFormat="1" x14ac:dyDescent="0.3">
      <c r="A1022" s="254" t="str">
        <f>IF(ISBLANK(INDEX('Policy Characteristics'!A:A,MATCH($C1022,'Policy Characteristics'!$C:$C,0))),"",INDEX('Policy Characteristics'!A:A,MATCH($C1022,'Policy Characteristics'!$C:$C,0)))</f>
        <v>Industry</v>
      </c>
      <c r="B1022" s="262" t="str">
        <f>IF(ISBLANK(INDEX('Policy Characteristics'!B:B,MATCH($C1022,'Policy Characteristics'!$C:$C,0))),"",INDEX('Policy Characteristics'!B:B,MATCH($C1022,'Policy Characteristics'!$C:$C,0)))</f>
        <v>Feedstock Shifting</v>
      </c>
      <c r="C1022" s="254" t="str">
        <f t="shared" si="42"/>
        <v>Fraction of Feedstock Shifted</v>
      </c>
      <c r="D1022" s="6" t="s">
        <v>3079</v>
      </c>
      <c r="E1022" s="45" t="s">
        <v>2707</v>
      </c>
      <c r="F1022" t="s">
        <v>3041</v>
      </c>
      <c r="G1022" s="45" t="s">
        <v>2711</v>
      </c>
      <c r="H1022" s="47">
        <v>2647</v>
      </c>
      <c r="I1022" s="324" t="s">
        <v>44</v>
      </c>
      <c r="J1022" s="255" t="str">
        <f>IF(ISBLANK(INDEX('Policy Characteristics'!D:D,MATCH($C1022,'Policy Characteristics'!$C:$C,0))),"",INDEX('Policy Characteristics'!D:D,MATCH($C1022,'Policy Characteristics'!$C:$C,0)))</f>
        <v>Feedstock Shifting</v>
      </c>
      <c r="K1022" s="254" t="str">
        <f>IF(ISBLANK(INDEX('Policy Characteristics'!E:E,MATCH($C1022,'Policy Characteristics'!$C:$C,0))),"",INDEX('Policy Characteristics'!E:E,MATCH($C1022,'Policy Characteristics'!$C:$C,0)))</f>
        <v>indst feedstock shifting</v>
      </c>
      <c r="L1022" s="261">
        <f>IF(ISBLANK(INDEX('Policy Characteristics'!F:F,MATCH($C1022,'Policy Characteristics'!$C:$C,0))),"",INDEX('Policy Characteristics'!F:F,MATCH($C1022,'Policy Characteristics'!$C:$C,0)))</f>
        <v>0</v>
      </c>
      <c r="M1022" s="261">
        <f>IF(ISBLANK(INDEX('Policy Characteristics'!G:G,MATCH($C1022,'Policy Characteristics'!$C:$C,0))),"",INDEX('Policy Characteristics'!G:G,MATCH($C1022,'Policy Characteristics'!$C:$C,0)))</f>
        <v>1</v>
      </c>
      <c r="N1022" s="261">
        <f>IF(ISBLANK(INDEX('Policy Characteristics'!H:H,MATCH($C1022,'Policy Characteristics'!$C:$C,0))),"",INDEX('Policy Characteristics'!H:H,MATCH($C1022,'Policy Characteristics'!$C:$C,0)))</f>
        <v>0.01</v>
      </c>
      <c r="O1022" s="254" t="str">
        <f>IF(ISBLANK(INDEX('Policy Characteristics'!I:I,MATCH($C1022,'Policy Characteristics'!$C:$C,0))),"",INDEX('Policy Characteristics'!I:I,MATCH($C1022,'Policy Characteristics'!$C:$C,0)))</f>
        <v>% of potential achieved</v>
      </c>
      <c r="P1022" s="254"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4" t="str">
        <f>IF(ISBLANK(INDEX('Policy Characteristics'!K:K,MATCH($C1022,'Policy Characteristics'!$C:$C,0))),"",INDEX('Policy Characteristics'!K:K,MATCH($C1022,'Policy Characteristics'!$C:$C,0)))</f>
        <v/>
      </c>
      <c r="R1022" s="254" t="str">
        <f>IF(ISBLANK(INDEX('Policy Characteristics'!L:L,MATCH($C1022,'Policy Characteristics'!$C:$C,0))),"",INDEX('Policy Characteristics'!L:L,MATCH($C1022,'Policy Characteristics'!$C:$C,0)))</f>
        <v/>
      </c>
    </row>
    <row r="1023" spans="1:18" s="2" customFormat="1" x14ac:dyDescent="0.3">
      <c r="A1023" s="254" t="str">
        <f>IF(ISBLANK(INDEX('Policy Characteristics'!A:A,MATCH($C1023,'Policy Characteristics'!$C:$C,0))),"",INDEX('Policy Characteristics'!A:A,MATCH($C1023,'Policy Characteristics'!$C:$C,0)))</f>
        <v>Industry</v>
      </c>
      <c r="B1023" s="262" t="str">
        <f>IF(ISBLANK(INDEX('Policy Characteristics'!B:B,MATCH($C1023,'Policy Characteristics'!$C:$C,0))),"",INDEX('Policy Characteristics'!B:B,MATCH($C1023,'Policy Characteristics'!$C:$C,0)))</f>
        <v>Feedstock Shifting</v>
      </c>
      <c r="C1023" s="254" t="str">
        <f t="shared" si="42"/>
        <v>Fraction of Feedstock Shifted</v>
      </c>
      <c r="D1023" s="6" t="s">
        <v>3079</v>
      </c>
      <c r="E1023" s="45" t="s">
        <v>2708</v>
      </c>
      <c r="F1023" t="s">
        <v>3041</v>
      </c>
      <c r="G1023" s="45" t="s">
        <v>2712</v>
      </c>
      <c r="H1023" s="47">
        <v>2648</v>
      </c>
      <c r="I1023" s="324" t="s">
        <v>44</v>
      </c>
      <c r="J1023" s="255" t="str">
        <f>IF(ISBLANK(INDEX('Policy Characteristics'!D:D,MATCH($C1023,'Policy Characteristics'!$C:$C,0))),"",INDEX('Policy Characteristics'!D:D,MATCH($C1023,'Policy Characteristics'!$C:$C,0)))</f>
        <v>Feedstock Shifting</v>
      </c>
      <c r="K1023" s="254" t="str">
        <f>IF(ISBLANK(INDEX('Policy Characteristics'!E:E,MATCH($C1023,'Policy Characteristics'!$C:$C,0))),"",INDEX('Policy Characteristics'!E:E,MATCH($C1023,'Policy Characteristics'!$C:$C,0)))</f>
        <v>indst feedstock shifting</v>
      </c>
      <c r="L1023" s="261">
        <f>IF(ISBLANK(INDEX('Policy Characteristics'!F:F,MATCH($C1023,'Policy Characteristics'!$C:$C,0))),"",INDEX('Policy Characteristics'!F:F,MATCH($C1023,'Policy Characteristics'!$C:$C,0)))</f>
        <v>0</v>
      </c>
      <c r="M1023" s="261">
        <f>IF(ISBLANK(INDEX('Policy Characteristics'!G:G,MATCH($C1023,'Policy Characteristics'!$C:$C,0))),"",INDEX('Policy Characteristics'!G:G,MATCH($C1023,'Policy Characteristics'!$C:$C,0)))</f>
        <v>1</v>
      </c>
      <c r="N1023" s="261">
        <f>IF(ISBLANK(INDEX('Policy Characteristics'!H:H,MATCH($C1023,'Policy Characteristics'!$C:$C,0))),"",INDEX('Policy Characteristics'!H:H,MATCH($C1023,'Policy Characteristics'!$C:$C,0)))</f>
        <v>0.01</v>
      </c>
      <c r="O1023" s="254" t="str">
        <f>IF(ISBLANK(INDEX('Policy Characteristics'!I:I,MATCH($C1023,'Policy Characteristics'!$C:$C,0))),"",INDEX('Policy Characteristics'!I:I,MATCH($C1023,'Policy Characteristics'!$C:$C,0)))</f>
        <v>% of potential achieved</v>
      </c>
      <c r="P1023" s="254"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4" t="str">
        <f>IF(ISBLANK(INDEX('Policy Characteristics'!K:K,MATCH($C1023,'Policy Characteristics'!$C:$C,0))),"",INDEX('Policy Characteristics'!K:K,MATCH($C1023,'Policy Characteristics'!$C:$C,0)))</f>
        <v/>
      </c>
      <c r="R1023" s="254" t="str">
        <f>IF(ISBLANK(INDEX('Policy Characteristics'!L:L,MATCH($C1023,'Policy Characteristics'!$C:$C,0))),"",INDEX('Policy Characteristics'!L:L,MATCH($C1023,'Policy Characteristics'!$C:$C,0)))</f>
        <v/>
      </c>
    </row>
    <row r="1024" spans="1:18" s="2" customFormat="1" x14ac:dyDescent="0.3">
      <c r="A1024" s="254" t="str">
        <f>IF(ISBLANK(INDEX('Policy Characteristics'!A:A,MATCH($C1024,'Policy Characteristics'!$C:$C,0))),"",INDEX('Policy Characteristics'!A:A,MATCH($C1024,'Policy Characteristics'!$C:$C,0)))</f>
        <v>Industry</v>
      </c>
      <c r="B1024" s="262" t="str">
        <f>IF(ISBLANK(INDEX('Policy Characteristics'!B:B,MATCH($C1024,'Policy Characteristics'!$C:$C,0))),"",INDEX('Policy Characteristics'!B:B,MATCH($C1024,'Policy Characteristics'!$C:$C,0)))</f>
        <v>Feedstock Shifting</v>
      </c>
      <c r="C1024" s="254" t="str">
        <f t="shared" si="42"/>
        <v>Fraction of Feedstock Shifted</v>
      </c>
      <c r="D1024" s="6" t="s">
        <v>3079</v>
      </c>
      <c r="E1024" s="45" t="s">
        <v>2705</v>
      </c>
      <c r="F1024" t="s">
        <v>3041</v>
      </c>
      <c r="G1024" s="45" t="s">
        <v>2710</v>
      </c>
      <c r="H1024" s="47">
        <v>2649</v>
      </c>
      <c r="I1024" s="324" t="s">
        <v>44</v>
      </c>
      <c r="J1024" s="255" t="str">
        <f>IF(ISBLANK(INDEX('Policy Characteristics'!D:D,MATCH($C1024,'Policy Characteristics'!$C:$C,0))),"",INDEX('Policy Characteristics'!D:D,MATCH($C1024,'Policy Characteristics'!$C:$C,0)))</f>
        <v>Feedstock Shifting</v>
      </c>
      <c r="K1024" s="254" t="str">
        <f>IF(ISBLANK(INDEX('Policy Characteristics'!E:E,MATCH($C1024,'Policy Characteristics'!$C:$C,0))),"",INDEX('Policy Characteristics'!E:E,MATCH($C1024,'Policy Characteristics'!$C:$C,0)))</f>
        <v>indst feedstock shifting</v>
      </c>
      <c r="L1024" s="261">
        <f>IF(ISBLANK(INDEX('Policy Characteristics'!F:F,MATCH($C1024,'Policy Characteristics'!$C:$C,0))),"",INDEX('Policy Characteristics'!F:F,MATCH($C1024,'Policy Characteristics'!$C:$C,0)))</f>
        <v>0</v>
      </c>
      <c r="M1024" s="261">
        <f>IF(ISBLANK(INDEX('Policy Characteristics'!G:G,MATCH($C1024,'Policy Characteristics'!$C:$C,0))),"",INDEX('Policy Characteristics'!G:G,MATCH($C1024,'Policy Characteristics'!$C:$C,0)))</f>
        <v>1</v>
      </c>
      <c r="N1024" s="261">
        <f>IF(ISBLANK(INDEX('Policy Characteristics'!H:H,MATCH($C1024,'Policy Characteristics'!$C:$C,0))),"",INDEX('Policy Characteristics'!H:H,MATCH($C1024,'Policy Characteristics'!$C:$C,0)))</f>
        <v>0.01</v>
      </c>
      <c r="O1024" s="254" t="str">
        <f>IF(ISBLANK(INDEX('Policy Characteristics'!I:I,MATCH($C1024,'Policy Characteristics'!$C:$C,0))),"",INDEX('Policy Characteristics'!I:I,MATCH($C1024,'Policy Characteristics'!$C:$C,0)))</f>
        <v>% of potential achieved</v>
      </c>
      <c r="P1024" s="254"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4" t="str">
        <f>IF(ISBLANK(INDEX('Policy Characteristics'!K:K,MATCH($C1024,'Policy Characteristics'!$C:$C,0))),"",INDEX('Policy Characteristics'!K:K,MATCH($C1024,'Policy Characteristics'!$C:$C,0)))</f>
        <v/>
      </c>
      <c r="R1024" s="254" t="str">
        <f>IF(ISBLANK(INDEX('Policy Characteristics'!L:L,MATCH($C1024,'Policy Characteristics'!$C:$C,0))),"",INDEX('Policy Characteristics'!L:L,MATCH($C1024,'Policy Characteristics'!$C:$C,0)))</f>
        <v/>
      </c>
    </row>
    <row r="1025" spans="1:18" s="2" customFormat="1" x14ac:dyDescent="0.3">
      <c r="A1025" s="254" t="str">
        <f>IF(ISBLANK(INDEX('Policy Characteristics'!A:A,MATCH($C1025,'Policy Characteristics'!$C:$C,0))),"",INDEX('Policy Characteristics'!A:A,MATCH($C1025,'Policy Characteristics'!$C:$C,0)))</f>
        <v>Industry</v>
      </c>
      <c r="B1025" s="262" t="str">
        <f>IF(ISBLANK(INDEX('Policy Characteristics'!B:B,MATCH($C1025,'Policy Characteristics'!$C:$C,0))),"",INDEX('Policy Characteristics'!B:B,MATCH($C1025,'Policy Characteristics'!$C:$C,0)))</f>
        <v>Feedstock Shifting</v>
      </c>
      <c r="C1025" s="254" t="str">
        <f t="shared" si="42"/>
        <v>Fraction of Feedstock Shifted</v>
      </c>
      <c r="D1025" s="6" t="s">
        <v>3080</v>
      </c>
      <c r="E1025" s="45" t="s">
        <v>2399</v>
      </c>
      <c r="F1025" t="s">
        <v>3042</v>
      </c>
      <c r="G1025" s="45" t="s">
        <v>2405</v>
      </c>
      <c r="H1025" s="47">
        <v>2650</v>
      </c>
      <c r="I1025" s="324" t="s">
        <v>44</v>
      </c>
      <c r="J1025" s="255" t="str">
        <f>IF(ISBLANK(INDEX('Policy Characteristics'!D:D,MATCH($C1025,'Policy Characteristics'!$C:$C,0))),"",INDEX('Policy Characteristics'!D:D,MATCH($C1025,'Policy Characteristics'!$C:$C,0)))</f>
        <v>Feedstock Shifting</v>
      </c>
      <c r="K1025" s="254" t="str">
        <f>IF(ISBLANK(INDEX('Policy Characteristics'!E:E,MATCH($C1025,'Policy Characteristics'!$C:$C,0))),"",INDEX('Policy Characteristics'!E:E,MATCH($C1025,'Policy Characteristics'!$C:$C,0)))</f>
        <v>indst feedstock shifting</v>
      </c>
      <c r="L1025" s="261">
        <f>IF(ISBLANK(INDEX('Policy Characteristics'!F:F,MATCH($C1025,'Policy Characteristics'!$C:$C,0))),"",INDEX('Policy Characteristics'!F:F,MATCH($C1025,'Policy Characteristics'!$C:$C,0)))</f>
        <v>0</v>
      </c>
      <c r="M1025" s="261">
        <f>IF(ISBLANK(INDEX('Policy Characteristics'!G:G,MATCH($C1025,'Policy Characteristics'!$C:$C,0))),"",INDEX('Policy Characteristics'!G:G,MATCH($C1025,'Policy Characteristics'!$C:$C,0)))</f>
        <v>1</v>
      </c>
      <c r="N1025" s="261">
        <f>IF(ISBLANK(INDEX('Policy Characteristics'!H:H,MATCH($C1025,'Policy Characteristics'!$C:$C,0))),"",INDEX('Policy Characteristics'!H:H,MATCH($C1025,'Policy Characteristics'!$C:$C,0)))</f>
        <v>0.01</v>
      </c>
      <c r="O1025" s="254" t="str">
        <f>IF(ISBLANK(INDEX('Policy Characteristics'!I:I,MATCH($C1025,'Policy Characteristics'!$C:$C,0))),"",INDEX('Policy Characteristics'!I:I,MATCH($C1025,'Policy Characteristics'!$C:$C,0)))</f>
        <v>% of potential achieved</v>
      </c>
      <c r="P1025" s="254"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4" t="str">
        <f>IF(ISBLANK(INDEX('Policy Characteristics'!K:K,MATCH($C1025,'Policy Characteristics'!$C:$C,0))),"",INDEX('Policy Characteristics'!K:K,MATCH($C1025,'Policy Characteristics'!$C:$C,0)))</f>
        <v/>
      </c>
      <c r="R1025" s="254" t="str">
        <f>IF(ISBLANK(INDEX('Policy Characteristics'!L:L,MATCH($C1025,'Policy Characteristics'!$C:$C,0))),"",INDEX('Policy Characteristics'!L:L,MATCH($C1025,'Policy Characteristics'!$C:$C,0)))</f>
        <v/>
      </c>
    </row>
    <row r="1026" spans="1:18" s="2" customFormat="1" x14ac:dyDescent="0.3">
      <c r="A1026" s="254" t="str">
        <f>IF(ISBLANK(INDEX('Policy Characteristics'!A:A,MATCH($C1026,'Policy Characteristics'!$C:$C,0))),"",INDEX('Policy Characteristics'!A:A,MATCH($C1026,'Policy Characteristics'!$C:$C,0)))</f>
        <v>Industry</v>
      </c>
      <c r="B1026" s="262" t="str">
        <f>IF(ISBLANK(INDEX('Policy Characteristics'!B:B,MATCH($C1026,'Policy Characteristics'!$C:$C,0))),"",INDEX('Policy Characteristics'!B:B,MATCH($C1026,'Policy Characteristics'!$C:$C,0)))</f>
        <v>Feedstock Shifting</v>
      </c>
      <c r="C1026" s="254" t="str">
        <f t="shared" si="42"/>
        <v>Fraction of Feedstock Shifted</v>
      </c>
      <c r="D1026" s="6" t="s">
        <v>3080</v>
      </c>
      <c r="E1026" s="45" t="s">
        <v>2400</v>
      </c>
      <c r="F1026" t="s">
        <v>3042</v>
      </c>
      <c r="G1026" s="45" t="s">
        <v>2408</v>
      </c>
      <c r="H1026" s="47">
        <v>2651</v>
      </c>
      <c r="I1026" s="324" t="s">
        <v>44</v>
      </c>
      <c r="J1026" s="255" t="str">
        <f>IF(ISBLANK(INDEX('Policy Characteristics'!D:D,MATCH($C1026,'Policy Characteristics'!$C:$C,0))),"",INDEX('Policy Characteristics'!D:D,MATCH($C1026,'Policy Characteristics'!$C:$C,0)))</f>
        <v>Feedstock Shifting</v>
      </c>
      <c r="K1026" s="254" t="str">
        <f>IF(ISBLANK(INDEX('Policy Characteristics'!E:E,MATCH($C1026,'Policy Characteristics'!$C:$C,0))),"",INDEX('Policy Characteristics'!E:E,MATCH($C1026,'Policy Characteristics'!$C:$C,0)))</f>
        <v>indst feedstock shifting</v>
      </c>
      <c r="L1026" s="261">
        <f>IF(ISBLANK(INDEX('Policy Characteristics'!F:F,MATCH($C1026,'Policy Characteristics'!$C:$C,0))),"",INDEX('Policy Characteristics'!F:F,MATCH($C1026,'Policy Characteristics'!$C:$C,0)))</f>
        <v>0</v>
      </c>
      <c r="M1026" s="261">
        <f>IF(ISBLANK(INDEX('Policy Characteristics'!G:G,MATCH($C1026,'Policy Characteristics'!$C:$C,0))),"",INDEX('Policy Characteristics'!G:G,MATCH($C1026,'Policy Characteristics'!$C:$C,0)))</f>
        <v>1</v>
      </c>
      <c r="N1026" s="261">
        <f>IF(ISBLANK(INDEX('Policy Characteristics'!H:H,MATCH($C1026,'Policy Characteristics'!$C:$C,0))),"",INDEX('Policy Characteristics'!H:H,MATCH($C1026,'Policy Characteristics'!$C:$C,0)))</f>
        <v>0.01</v>
      </c>
      <c r="O1026" s="254" t="str">
        <f>IF(ISBLANK(INDEX('Policy Characteristics'!I:I,MATCH($C1026,'Policy Characteristics'!$C:$C,0))),"",INDEX('Policy Characteristics'!I:I,MATCH($C1026,'Policy Characteristics'!$C:$C,0)))</f>
        <v>% of potential achieved</v>
      </c>
      <c r="P1026" s="254"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4" t="str">
        <f>IF(ISBLANK(INDEX('Policy Characteristics'!K:K,MATCH($C1026,'Policy Characteristics'!$C:$C,0))),"",INDEX('Policy Characteristics'!K:K,MATCH($C1026,'Policy Characteristics'!$C:$C,0)))</f>
        <v/>
      </c>
      <c r="R1026" s="254" t="str">
        <f>IF(ISBLANK(INDEX('Policy Characteristics'!L:L,MATCH($C1026,'Policy Characteristics'!$C:$C,0))),"",INDEX('Policy Characteristics'!L:L,MATCH($C1026,'Policy Characteristics'!$C:$C,0)))</f>
        <v/>
      </c>
    </row>
    <row r="1027" spans="1:18" s="2" customFormat="1" x14ac:dyDescent="0.3">
      <c r="A1027" s="254" t="str">
        <f>IF(ISBLANK(INDEX('Policy Characteristics'!A:A,MATCH($C1027,'Policy Characteristics'!$C:$C,0))),"",INDEX('Policy Characteristics'!A:A,MATCH($C1027,'Policy Characteristics'!$C:$C,0)))</f>
        <v>Industry</v>
      </c>
      <c r="B1027" s="262" t="str">
        <f>IF(ISBLANK(INDEX('Policy Characteristics'!B:B,MATCH($C1027,'Policy Characteristics'!$C:$C,0))),"",INDEX('Policy Characteristics'!B:B,MATCH($C1027,'Policy Characteristics'!$C:$C,0)))</f>
        <v>Feedstock Shifting</v>
      </c>
      <c r="C1027" s="254" t="str">
        <f t="shared" si="42"/>
        <v>Fraction of Feedstock Shifted</v>
      </c>
      <c r="D1027" s="6" t="s">
        <v>3080</v>
      </c>
      <c r="E1027" s="45" t="s">
        <v>2401</v>
      </c>
      <c r="F1027" t="s">
        <v>3042</v>
      </c>
      <c r="G1027" s="45" t="s">
        <v>2409</v>
      </c>
      <c r="H1027" s="47">
        <v>2652</v>
      </c>
      <c r="I1027" s="324" t="s">
        <v>44</v>
      </c>
      <c r="J1027" s="255" t="str">
        <f>IF(ISBLANK(INDEX('Policy Characteristics'!D:D,MATCH($C1027,'Policy Characteristics'!$C:$C,0))),"",INDEX('Policy Characteristics'!D:D,MATCH($C1027,'Policy Characteristics'!$C:$C,0)))</f>
        <v>Feedstock Shifting</v>
      </c>
      <c r="K1027" s="254" t="str">
        <f>IF(ISBLANK(INDEX('Policy Characteristics'!E:E,MATCH($C1027,'Policy Characteristics'!$C:$C,0))),"",INDEX('Policy Characteristics'!E:E,MATCH($C1027,'Policy Characteristics'!$C:$C,0)))</f>
        <v>indst feedstock shifting</v>
      </c>
      <c r="L1027" s="261">
        <f>IF(ISBLANK(INDEX('Policy Characteristics'!F:F,MATCH($C1027,'Policy Characteristics'!$C:$C,0))),"",INDEX('Policy Characteristics'!F:F,MATCH($C1027,'Policy Characteristics'!$C:$C,0)))</f>
        <v>0</v>
      </c>
      <c r="M1027" s="261">
        <f>IF(ISBLANK(INDEX('Policy Characteristics'!G:G,MATCH($C1027,'Policy Characteristics'!$C:$C,0))),"",INDEX('Policy Characteristics'!G:G,MATCH($C1027,'Policy Characteristics'!$C:$C,0)))</f>
        <v>1</v>
      </c>
      <c r="N1027" s="261">
        <f>IF(ISBLANK(INDEX('Policy Characteristics'!H:H,MATCH($C1027,'Policy Characteristics'!$C:$C,0))),"",INDEX('Policy Characteristics'!H:H,MATCH($C1027,'Policy Characteristics'!$C:$C,0)))</f>
        <v>0.01</v>
      </c>
      <c r="O1027" s="254" t="str">
        <f>IF(ISBLANK(INDEX('Policy Characteristics'!I:I,MATCH($C1027,'Policy Characteristics'!$C:$C,0))),"",INDEX('Policy Characteristics'!I:I,MATCH($C1027,'Policy Characteristics'!$C:$C,0)))</f>
        <v>% of potential achieved</v>
      </c>
      <c r="P1027" s="254"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4" t="str">
        <f>IF(ISBLANK(INDEX('Policy Characteristics'!K:K,MATCH($C1027,'Policy Characteristics'!$C:$C,0))),"",INDEX('Policy Characteristics'!K:K,MATCH($C1027,'Policy Characteristics'!$C:$C,0)))</f>
        <v/>
      </c>
      <c r="R1027" s="254" t="str">
        <f>IF(ISBLANK(INDEX('Policy Characteristics'!L:L,MATCH($C1027,'Policy Characteristics'!$C:$C,0))),"",INDEX('Policy Characteristics'!L:L,MATCH($C1027,'Policy Characteristics'!$C:$C,0)))</f>
        <v/>
      </c>
    </row>
    <row r="1028" spans="1:18" s="2" customFormat="1" x14ac:dyDescent="0.3">
      <c r="A1028" s="254" t="str">
        <f>IF(ISBLANK(INDEX('Policy Characteristics'!A:A,MATCH($C1028,'Policy Characteristics'!$C:$C,0))),"",INDEX('Policy Characteristics'!A:A,MATCH($C1028,'Policy Characteristics'!$C:$C,0)))</f>
        <v>Industry</v>
      </c>
      <c r="B1028" s="262" t="str">
        <f>IF(ISBLANK(INDEX('Policy Characteristics'!B:B,MATCH($C1028,'Policy Characteristics'!$C:$C,0))),"",INDEX('Policy Characteristics'!B:B,MATCH($C1028,'Policy Characteristics'!$C:$C,0)))</f>
        <v>Feedstock Shifting</v>
      </c>
      <c r="C1028" s="254" t="str">
        <f t="shared" si="42"/>
        <v>Fraction of Feedstock Shifted</v>
      </c>
      <c r="D1028" s="6" t="s">
        <v>3080</v>
      </c>
      <c r="E1028" s="45" t="s">
        <v>2402</v>
      </c>
      <c r="F1028" t="s">
        <v>3042</v>
      </c>
      <c r="G1028" s="45" t="s">
        <v>2406</v>
      </c>
      <c r="H1028" s="47">
        <v>2653</v>
      </c>
      <c r="I1028" s="324" t="s">
        <v>44</v>
      </c>
      <c r="J1028" s="255" t="str">
        <f>IF(ISBLANK(INDEX('Policy Characteristics'!D:D,MATCH($C1028,'Policy Characteristics'!$C:$C,0))),"",INDEX('Policy Characteristics'!D:D,MATCH($C1028,'Policy Characteristics'!$C:$C,0)))</f>
        <v>Feedstock Shifting</v>
      </c>
      <c r="K1028" s="254" t="str">
        <f>IF(ISBLANK(INDEX('Policy Characteristics'!E:E,MATCH($C1028,'Policy Characteristics'!$C:$C,0))),"",INDEX('Policy Characteristics'!E:E,MATCH($C1028,'Policy Characteristics'!$C:$C,0)))</f>
        <v>indst feedstock shifting</v>
      </c>
      <c r="L1028" s="261">
        <f>IF(ISBLANK(INDEX('Policy Characteristics'!F:F,MATCH($C1028,'Policy Characteristics'!$C:$C,0))),"",INDEX('Policy Characteristics'!F:F,MATCH($C1028,'Policy Characteristics'!$C:$C,0)))</f>
        <v>0</v>
      </c>
      <c r="M1028" s="261">
        <f>IF(ISBLANK(INDEX('Policy Characteristics'!G:G,MATCH($C1028,'Policy Characteristics'!$C:$C,0))),"",INDEX('Policy Characteristics'!G:G,MATCH($C1028,'Policy Characteristics'!$C:$C,0)))</f>
        <v>1</v>
      </c>
      <c r="N1028" s="261">
        <f>IF(ISBLANK(INDEX('Policy Characteristics'!H:H,MATCH($C1028,'Policy Characteristics'!$C:$C,0))),"",INDEX('Policy Characteristics'!H:H,MATCH($C1028,'Policy Characteristics'!$C:$C,0)))</f>
        <v>0.01</v>
      </c>
      <c r="O1028" s="254" t="str">
        <f>IF(ISBLANK(INDEX('Policy Characteristics'!I:I,MATCH($C1028,'Policy Characteristics'!$C:$C,0))),"",INDEX('Policy Characteristics'!I:I,MATCH($C1028,'Policy Characteristics'!$C:$C,0)))</f>
        <v>% of potential achieved</v>
      </c>
      <c r="P1028" s="254"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4" t="str">
        <f>IF(ISBLANK(INDEX('Policy Characteristics'!K:K,MATCH($C1028,'Policy Characteristics'!$C:$C,0))),"",INDEX('Policy Characteristics'!K:K,MATCH($C1028,'Policy Characteristics'!$C:$C,0)))</f>
        <v/>
      </c>
      <c r="R1028" s="254" t="str">
        <f>IF(ISBLANK(INDEX('Policy Characteristics'!L:L,MATCH($C1028,'Policy Characteristics'!$C:$C,0))),"",INDEX('Policy Characteristics'!L:L,MATCH($C1028,'Policy Characteristics'!$C:$C,0)))</f>
        <v/>
      </c>
    </row>
    <row r="1029" spans="1:18" s="2" customFormat="1" x14ac:dyDescent="0.3">
      <c r="A1029" s="254" t="str">
        <f>IF(ISBLANK(INDEX('Policy Characteristics'!A:A,MATCH($C1029,'Policy Characteristics'!$C:$C,0))),"",INDEX('Policy Characteristics'!A:A,MATCH($C1029,'Policy Characteristics'!$C:$C,0)))</f>
        <v>Industry</v>
      </c>
      <c r="B1029" s="262" t="str">
        <f>IF(ISBLANK(INDEX('Policy Characteristics'!B:B,MATCH($C1029,'Policy Characteristics'!$C:$C,0))),"",INDEX('Policy Characteristics'!B:B,MATCH($C1029,'Policy Characteristics'!$C:$C,0)))</f>
        <v>Feedstock Shifting</v>
      </c>
      <c r="C1029" s="254" t="str">
        <f t="shared" ref="C1029:C1084" si="43">C$835</f>
        <v>Fraction of Feedstock Shifted</v>
      </c>
      <c r="D1029" s="6" t="s">
        <v>3080</v>
      </c>
      <c r="E1029" s="45" t="s">
        <v>2403</v>
      </c>
      <c r="F1029" t="s">
        <v>3042</v>
      </c>
      <c r="G1029" s="45" t="s">
        <v>2407</v>
      </c>
      <c r="H1029" s="47">
        <v>2654</v>
      </c>
      <c r="I1029" s="324" t="s">
        <v>44</v>
      </c>
      <c r="J1029" s="255" t="str">
        <f>IF(ISBLANK(INDEX('Policy Characteristics'!D:D,MATCH($C1029,'Policy Characteristics'!$C:$C,0))),"",INDEX('Policy Characteristics'!D:D,MATCH($C1029,'Policy Characteristics'!$C:$C,0)))</f>
        <v>Feedstock Shifting</v>
      </c>
      <c r="K1029" s="254" t="str">
        <f>IF(ISBLANK(INDEX('Policy Characteristics'!E:E,MATCH($C1029,'Policy Characteristics'!$C:$C,0))),"",INDEX('Policy Characteristics'!E:E,MATCH($C1029,'Policy Characteristics'!$C:$C,0)))</f>
        <v>indst feedstock shifting</v>
      </c>
      <c r="L1029" s="261">
        <f>IF(ISBLANK(INDEX('Policy Characteristics'!F:F,MATCH($C1029,'Policy Characteristics'!$C:$C,0))),"",INDEX('Policy Characteristics'!F:F,MATCH($C1029,'Policy Characteristics'!$C:$C,0)))</f>
        <v>0</v>
      </c>
      <c r="M1029" s="261">
        <f>IF(ISBLANK(INDEX('Policy Characteristics'!G:G,MATCH($C1029,'Policy Characteristics'!$C:$C,0))),"",INDEX('Policy Characteristics'!G:G,MATCH($C1029,'Policy Characteristics'!$C:$C,0)))</f>
        <v>1</v>
      </c>
      <c r="N1029" s="261">
        <f>IF(ISBLANK(INDEX('Policy Characteristics'!H:H,MATCH($C1029,'Policy Characteristics'!$C:$C,0))),"",INDEX('Policy Characteristics'!H:H,MATCH($C1029,'Policy Characteristics'!$C:$C,0)))</f>
        <v>0.01</v>
      </c>
      <c r="O1029" s="254" t="str">
        <f>IF(ISBLANK(INDEX('Policy Characteristics'!I:I,MATCH($C1029,'Policy Characteristics'!$C:$C,0))),"",INDEX('Policy Characteristics'!I:I,MATCH($C1029,'Policy Characteristics'!$C:$C,0)))</f>
        <v>% of potential achieved</v>
      </c>
      <c r="P1029" s="254"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4" t="str">
        <f>IF(ISBLANK(INDEX('Policy Characteristics'!K:K,MATCH($C1029,'Policy Characteristics'!$C:$C,0))),"",INDEX('Policy Characteristics'!K:K,MATCH($C1029,'Policy Characteristics'!$C:$C,0)))</f>
        <v/>
      </c>
      <c r="R1029" s="254" t="str">
        <f>IF(ISBLANK(INDEX('Policy Characteristics'!L:L,MATCH($C1029,'Policy Characteristics'!$C:$C,0))),"",INDEX('Policy Characteristics'!L:L,MATCH($C1029,'Policy Characteristics'!$C:$C,0)))</f>
        <v/>
      </c>
    </row>
    <row r="1030" spans="1:18" s="2" customFormat="1" x14ac:dyDescent="0.3">
      <c r="A1030" s="254" t="str">
        <f>IF(ISBLANK(INDEX('Policy Characteristics'!A:A,MATCH($C1030,'Policy Characteristics'!$C:$C,0))),"",INDEX('Policy Characteristics'!A:A,MATCH($C1030,'Policy Characteristics'!$C:$C,0)))</f>
        <v>Industry</v>
      </c>
      <c r="B1030" s="262" t="str">
        <f>IF(ISBLANK(INDEX('Policy Characteristics'!B:B,MATCH($C1030,'Policy Characteristics'!$C:$C,0))),"",INDEX('Policy Characteristics'!B:B,MATCH($C1030,'Policy Characteristics'!$C:$C,0)))</f>
        <v>Feedstock Shifting</v>
      </c>
      <c r="C1030" s="254" t="str">
        <f t="shared" si="43"/>
        <v>Fraction of Feedstock Shifted</v>
      </c>
      <c r="D1030" s="6" t="s">
        <v>3080</v>
      </c>
      <c r="E1030" s="45" t="s">
        <v>2404</v>
      </c>
      <c r="F1030" t="s">
        <v>3042</v>
      </c>
      <c r="G1030" s="45" t="s">
        <v>2410</v>
      </c>
      <c r="H1030" s="47">
        <v>2655</v>
      </c>
      <c r="I1030" s="324" t="s">
        <v>44</v>
      </c>
      <c r="J1030" s="255" t="str">
        <f>IF(ISBLANK(INDEX('Policy Characteristics'!D:D,MATCH($C1030,'Policy Characteristics'!$C:$C,0))),"",INDEX('Policy Characteristics'!D:D,MATCH($C1030,'Policy Characteristics'!$C:$C,0)))</f>
        <v>Feedstock Shifting</v>
      </c>
      <c r="K1030" s="254" t="str">
        <f>IF(ISBLANK(INDEX('Policy Characteristics'!E:E,MATCH($C1030,'Policy Characteristics'!$C:$C,0))),"",INDEX('Policy Characteristics'!E:E,MATCH($C1030,'Policy Characteristics'!$C:$C,0)))</f>
        <v>indst feedstock shifting</v>
      </c>
      <c r="L1030" s="261">
        <f>IF(ISBLANK(INDEX('Policy Characteristics'!F:F,MATCH($C1030,'Policy Characteristics'!$C:$C,0))),"",INDEX('Policy Characteristics'!F:F,MATCH($C1030,'Policy Characteristics'!$C:$C,0)))</f>
        <v>0</v>
      </c>
      <c r="M1030" s="261">
        <f>IF(ISBLANK(INDEX('Policy Characteristics'!G:G,MATCH($C1030,'Policy Characteristics'!$C:$C,0))),"",INDEX('Policy Characteristics'!G:G,MATCH($C1030,'Policy Characteristics'!$C:$C,0)))</f>
        <v>1</v>
      </c>
      <c r="N1030" s="261">
        <f>IF(ISBLANK(INDEX('Policy Characteristics'!H:H,MATCH($C1030,'Policy Characteristics'!$C:$C,0))),"",INDEX('Policy Characteristics'!H:H,MATCH($C1030,'Policy Characteristics'!$C:$C,0)))</f>
        <v>0.01</v>
      </c>
      <c r="O1030" s="254" t="str">
        <f>IF(ISBLANK(INDEX('Policy Characteristics'!I:I,MATCH($C1030,'Policy Characteristics'!$C:$C,0))),"",INDEX('Policy Characteristics'!I:I,MATCH($C1030,'Policy Characteristics'!$C:$C,0)))</f>
        <v>% of potential achieved</v>
      </c>
      <c r="P1030" s="254"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4" t="str">
        <f>IF(ISBLANK(INDEX('Policy Characteristics'!K:K,MATCH($C1030,'Policy Characteristics'!$C:$C,0))),"",INDEX('Policy Characteristics'!K:K,MATCH($C1030,'Policy Characteristics'!$C:$C,0)))</f>
        <v/>
      </c>
      <c r="R1030" s="254" t="str">
        <f>IF(ISBLANK(INDEX('Policy Characteristics'!L:L,MATCH($C1030,'Policy Characteristics'!$C:$C,0))),"",INDEX('Policy Characteristics'!L:L,MATCH($C1030,'Policy Characteristics'!$C:$C,0)))</f>
        <v/>
      </c>
    </row>
    <row r="1031" spans="1:18" s="2" customFormat="1" x14ac:dyDescent="0.3">
      <c r="A1031" s="254" t="str">
        <f>IF(ISBLANK(INDEX('Policy Characteristics'!A:A,MATCH($C1031,'Policy Characteristics'!$C:$C,0))),"",INDEX('Policy Characteristics'!A:A,MATCH($C1031,'Policy Characteristics'!$C:$C,0)))</f>
        <v>Industry</v>
      </c>
      <c r="B1031" s="262" t="str">
        <f>IF(ISBLANK(INDEX('Policy Characteristics'!B:B,MATCH($C1031,'Policy Characteristics'!$C:$C,0))),"",INDEX('Policy Characteristics'!B:B,MATCH($C1031,'Policy Characteristics'!$C:$C,0)))</f>
        <v>Feedstock Shifting</v>
      </c>
      <c r="C1031" s="254" t="str">
        <f t="shared" si="43"/>
        <v>Fraction of Feedstock Shifted</v>
      </c>
      <c r="D1031" s="6" t="s">
        <v>3080</v>
      </c>
      <c r="E1031" s="45" t="s">
        <v>2706</v>
      </c>
      <c r="F1031" t="s">
        <v>3042</v>
      </c>
      <c r="G1031" s="45" t="s">
        <v>2709</v>
      </c>
      <c r="H1031" s="47">
        <v>2656</v>
      </c>
      <c r="I1031" s="324" t="s">
        <v>44</v>
      </c>
      <c r="J1031" s="255" t="str">
        <f>IF(ISBLANK(INDEX('Policy Characteristics'!D:D,MATCH($C1031,'Policy Characteristics'!$C:$C,0))),"",INDEX('Policy Characteristics'!D:D,MATCH($C1031,'Policy Characteristics'!$C:$C,0)))</f>
        <v>Feedstock Shifting</v>
      </c>
      <c r="K1031" s="254" t="str">
        <f>IF(ISBLANK(INDEX('Policy Characteristics'!E:E,MATCH($C1031,'Policy Characteristics'!$C:$C,0))),"",INDEX('Policy Characteristics'!E:E,MATCH($C1031,'Policy Characteristics'!$C:$C,0)))</f>
        <v>indst feedstock shifting</v>
      </c>
      <c r="L1031" s="261">
        <f>IF(ISBLANK(INDEX('Policy Characteristics'!F:F,MATCH($C1031,'Policy Characteristics'!$C:$C,0))),"",INDEX('Policy Characteristics'!F:F,MATCH($C1031,'Policy Characteristics'!$C:$C,0)))</f>
        <v>0</v>
      </c>
      <c r="M1031" s="261">
        <f>IF(ISBLANK(INDEX('Policy Characteristics'!G:G,MATCH($C1031,'Policy Characteristics'!$C:$C,0))),"",INDEX('Policy Characteristics'!G:G,MATCH($C1031,'Policy Characteristics'!$C:$C,0)))</f>
        <v>1</v>
      </c>
      <c r="N1031" s="261">
        <f>IF(ISBLANK(INDEX('Policy Characteristics'!H:H,MATCH($C1031,'Policy Characteristics'!$C:$C,0))),"",INDEX('Policy Characteristics'!H:H,MATCH($C1031,'Policy Characteristics'!$C:$C,0)))</f>
        <v>0.01</v>
      </c>
      <c r="O1031" s="254" t="str">
        <f>IF(ISBLANK(INDEX('Policy Characteristics'!I:I,MATCH($C1031,'Policy Characteristics'!$C:$C,0))),"",INDEX('Policy Characteristics'!I:I,MATCH($C1031,'Policy Characteristics'!$C:$C,0)))</f>
        <v>% of potential achieved</v>
      </c>
      <c r="P1031" s="254"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4" t="str">
        <f>IF(ISBLANK(INDEX('Policy Characteristics'!K:K,MATCH($C1031,'Policy Characteristics'!$C:$C,0))),"",INDEX('Policy Characteristics'!K:K,MATCH($C1031,'Policy Characteristics'!$C:$C,0)))</f>
        <v/>
      </c>
      <c r="R1031" s="254" t="str">
        <f>IF(ISBLANK(INDEX('Policy Characteristics'!L:L,MATCH($C1031,'Policy Characteristics'!$C:$C,0))),"",INDEX('Policy Characteristics'!L:L,MATCH($C1031,'Policy Characteristics'!$C:$C,0)))</f>
        <v/>
      </c>
    </row>
    <row r="1032" spans="1:18" s="2" customFormat="1" x14ac:dyDescent="0.3">
      <c r="A1032" s="254" t="str">
        <f>IF(ISBLANK(INDEX('Policy Characteristics'!A:A,MATCH($C1032,'Policy Characteristics'!$C:$C,0))),"",INDEX('Policy Characteristics'!A:A,MATCH($C1032,'Policy Characteristics'!$C:$C,0)))</f>
        <v>Industry</v>
      </c>
      <c r="B1032" s="262" t="str">
        <f>IF(ISBLANK(INDEX('Policy Characteristics'!B:B,MATCH($C1032,'Policy Characteristics'!$C:$C,0))),"",INDEX('Policy Characteristics'!B:B,MATCH($C1032,'Policy Characteristics'!$C:$C,0)))</f>
        <v>Feedstock Shifting</v>
      </c>
      <c r="C1032" s="254" t="str">
        <f t="shared" si="43"/>
        <v>Fraction of Feedstock Shifted</v>
      </c>
      <c r="D1032" s="6" t="s">
        <v>3080</v>
      </c>
      <c r="E1032" s="45" t="s">
        <v>2707</v>
      </c>
      <c r="F1032" t="s">
        <v>3042</v>
      </c>
      <c r="G1032" s="45" t="s">
        <v>2711</v>
      </c>
      <c r="H1032" s="47">
        <v>2657</v>
      </c>
      <c r="I1032" s="324" t="s">
        <v>44</v>
      </c>
      <c r="J1032" s="255" t="str">
        <f>IF(ISBLANK(INDEX('Policy Characteristics'!D:D,MATCH($C1032,'Policy Characteristics'!$C:$C,0))),"",INDEX('Policy Characteristics'!D:D,MATCH($C1032,'Policy Characteristics'!$C:$C,0)))</f>
        <v>Feedstock Shifting</v>
      </c>
      <c r="K1032" s="254" t="str">
        <f>IF(ISBLANK(INDEX('Policy Characteristics'!E:E,MATCH($C1032,'Policy Characteristics'!$C:$C,0))),"",INDEX('Policy Characteristics'!E:E,MATCH($C1032,'Policy Characteristics'!$C:$C,0)))</f>
        <v>indst feedstock shifting</v>
      </c>
      <c r="L1032" s="261">
        <f>IF(ISBLANK(INDEX('Policy Characteristics'!F:F,MATCH($C1032,'Policy Characteristics'!$C:$C,0))),"",INDEX('Policy Characteristics'!F:F,MATCH($C1032,'Policy Characteristics'!$C:$C,0)))</f>
        <v>0</v>
      </c>
      <c r="M1032" s="261">
        <f>IF(ISBLANK(INDEX('Policy Characteristics'!G:G,MATCH($C1032,'Policy Characteristics'!$C:$C,0))),"",INDEX('Policy Characteristics'!G:G,MATCH($C1032,'Policy Characteristics'!$C:$C,0)))</f>
        <v>1</v>
      </c>
      <c r="N1032" s="261">
        <f>IF(ISBLANK(INDEX('Policy Characteristics'!H:H,MATCH($C1032,'Policy Characteristics'!$C:$C,0))),"",INDEX('Policy Characteristics'!H:H,MATCH($C1032,'Policy Characteristics'!$C:$C,0)))</f>
        <v>0.01</v>
      </c>
      <c r="O1032" s="254" t="str">
        <f>IF(ISBLANK(INDEX('Policy Characteristics'!I:I,MATCH($C1032,'Policy Characteristics'!$C:$C,0))),"",INDEX('Policy Characteristics'!I:I,MATCH($C1032,'Policy Characteristics'!$C:$C,0)))</f>
        <v>% of potential achieved</v>
      </c>
      <c r="P1032" s="254"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4" t="str">
        <f>IF(ISBLANK(INDEX('Policy Characteristics'!K:K,MATCH($C1032,'Policy Characteristics'!$C:$C,0))),"",INDEX('Policy Characteristics'!K:K,MATCH($C1032,'Policy Characteristics'!$C:$C,0)))</f>
        <v/>
      </c>
      <c r="R1032" s="254" t="str">
        <f>IF(ISBLANK(INDEX('Policy Characteristics'!L:L,MATCH($C1032,'Policy Characteristics'!$C:$C,0))),"",INDEX('Policy Characteristics'!L:L,MATCH($C1032,'Policy Characteristics'!$C:$C,0)))</f>
        <v/>
      </c>
    </row>
    <row r="1033" spans="1:18" s="2" customFormat="1" x14ac:dyDescent="0.3">
      <c r="A1033" s="254" t="str">
        <f>IF(ISBLANK(INDEX('Policy Characteristics'!A:A,MATCH($C1033,'Policy Characteristics'!$C:$C,0))),"",INDEX('Policy Characteristics'!A:A,MATCH($C1033,'Policy Characteristics'!$C:$C,0)))</f>
        <v>Industry</v>
      </c>
      <c r="B1033" s="262" t="str">
        <f>IF(ISBLANK(INDEX('Policy Characteristics'!B:B,MATCH($C1033,'Policy Characteristics'!$C:$C,0))),"",INDEX('Policy Characteristics'!B:B,MATCH($C1033,'Policy Characteristics'!$C:$C,0)))</f>
        <v>Feedstock Shifting</v>
      </c>
      <c r="C1033" s="254" t="str">
        <f t="shared" si="43"/>
        <v>Fraction of Feedstock Shifted</v>
      </c>
      <c r="D1033" s="6" t="s">
        <v>3080</v>
      </c>
      <c r="E1033" s="45" t="s">
        <v>2708</v>
      </c>
      <c r="F1033" t="s">
        <v>3042</v>
      </c>
      <c r="G1033" s="45" t="s">
        <v>2712</v>
      </c>
      <c r="H1033" s="47">
        <v>2658</v>
      </c>
      <c r="I1033" s="324" t="s">
        <v>44</v>
      </c>
      <c r="J1033" s="255" t="str">
        <f>IF(ISBLANK(INDEX('Policy Characteristics'!D:D,MATCH($C1033,'Policy Characteristics'!$C:$C,0))),"",INDEX('Policy Characteristics'!D:D,MATCH($C1033,'Policy Characteristics'!$C:$C,0)))</f>
        <v>Feedstock Shifting</v>
      </c>
      <c r="K1033" s="254" t="str">
        <f>IF(ISBLANK(INDEX('Policy Characteristics'!E:E,MATCH($C1033,'Policy Characteristics'!$C:$C,0))),"",INDEX('Policy Characteristics'!E:E,MATCH($C1033,'Policy Characteristics'!$C:$C,0)))</f>
        <v>indst feedstock shifting</v>
      </c>
      <c r="L1033" s="261">
        <f>IF(ISBLANK(INDEX('Policy Characteristics'!F:F,MATCH($C1033,'Policy Characteristics'!$C:$C,0))),"",INDEX('Policy Characteristics'!F:F,MATCH($C1033,'Policy Characteristics'!$C:$C,0)))</f>
        <v>0</v>
      </c>
      <c r="M1033" s="261">
        <f>IF(ISBLANK(INDEX('Policy Characteristics'!G:G,MATCH($C1033,'Policy Characteristics'!$C:$C,0))),"",INDEX('Policy Characteristics'!G:G,MATCH($C1033,'Policy Characteristics'!$C:$C,0)))</f>
        <v>1</v>
      </c>
      <c r="N1033" s="261">
        <f>IF(ISBLANK(INDEX('Policy Characteristics'!H:H,MATCH($C1033,'Policy Characteristics'!$C:$C,0))),"",INDEX('Policy Characteristics'!H:H,MATCH($C1033,'Policy Characteristics'!$C:$C,0)))</f>
        <v>0.01</v>
      </c>
      <c r="O1033" s="254" t="str">
        <f>IF(ISBLANK(INDEX('Policy Characteristics'!I:I,MATCH($C1033,'Policy Characteristics'!$C:$C,0))),"",INDEX('Policy Characteristics'!I:I,MATCH($C1033,'Policy Characteristics'!$C:$C,0)))</f>
        <v>% of potential achieved</v>
      </c>
      <c r="P1033" s="254"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4" t="str">
        <f>IF(ISBLANK(INDEX('Policy Characteristics'!K:K,MATCH($C1033,'Policy Characteristics'!$C:$C,0))),"",INDEX('Policy Characteristics'!K:K,MATCH($C1033,'Policy Characteristics'!$C:$C,0)))</f>
        <v/>
      </c>
      <c r="R1033" s="254" t="str">
        <f>IF(ISBLANK(INDEX('Policy Characteristics'!L:L,MATCH($C1033,'Policy Characteristics'!$C:$C,0))),"",INDEX('Policy Characteristics'!L:L,MATCH($C1033,'Policy Characteristics'!$C:$C,0)))</f>
        <v/>
      </c>
    </row>
    <row r="1034" spans="1:18" s="2" customFormat="1" x14ac:dyDescent="0.3">
      <c r="A1034" s="254" t="str">
        <f>IF(ISBLANK(INDEX('Policy Characteristics'!A:A,MATCH($C1034,'Policy Characteristics'!$C:$C,0))),"",INDEX('Policy Characteristics'!A:A,MATCH($C1034,'Policy Characteristics'!$C:$C,0)))</f>
        <v>Industry</v>
      </c>
      <c r="B1034" s="262" t="str">
        <f>IF(ISBLANK(INDEX('Policy Characteristics'!B:B,MATCH($C1034,'Policy Characteristics'!$C:$C,0))),"",INDEX('Policy Characteristics'!B:B,MATCH($C1034,'Policy Characteristics'!$C:$C,0)))</f>
        <v>Feedstock Shifting</v>
      </c>
      <c r="C1034" s="254" t="str">
        <f t="shared" si="43"/>
        <v>Fraction of Feedstock Shifted</v>
      </c>
      <c r="D1034" s="6" t="s">
        <v>3080</v>
      </c>
      <c r="E1034" s="45" t="s">
        <v>2705</v>
      </c>
      <c r="F1034" t="s">
        <v>3042</v>
      </c>
      <c r="G1034" s="45" t="s">
        <v>2710</v>
      </c>
      <c r="H1034" s="47">
        <v>2659</v>
      </c>
      <c r="I1034" s="324" t="s">
        <v>44</v>
      </c>
      <c r="J1034" s="255" t="str">
        <f>IF(ISBLANK(INDEX('Policy Characteristics'!D:D,MATCH($C1034,'Policy Characteristics'!$C:$C,0))),"",INDEX('Policy Characteristics'!D:D,MATCH($C1034,'Policy Characteristics'!$C:$C,0)))</f>
        <v>Feedstock Shifting</v>
      </c>
      <c r="K1034" s="254" t="str">
        <f>IF(ISBLANK(INDEX('Policy Characteristics'!E:E,MATCH($C1034,'Policy Characteristics'!$C:$C,0))),"",INDEX('Policy Characteristics'!E:E,MATCH($C1034,'Policy Characteristics'!$C:$C,0)))</f>
        <v>indst feedstock shifting</v>
      </c>
      <c r="L1034" s="261">
        <f>IF(ISBLANK(INDEX('Policy Characteristics'!F:F,MATCH($C1034,'Policy Characteristics'!$C:$C,0))),"",INDEX('Policy Characteristics'!F:F,MATCH($C1034,'Policy Characteristics'!$C:$C,0)))</f>
        <v>0</v>
      </c>
      <c r="M1034" s="261">
        <f>IF(ISBLANK(INDEX('Policy Characteristics'!G:G,MATCH($C1034,'Policy Characteristics'!$C:$C,0))),"",INDEX('Policy Characteristics'!G:G,MATCH($C1034,'Policy Characteristics'!$C:$C,0)))</f>
        <v>1</v>
      </c>
      <c r="N1034" s="261">
        <f>IF(ISBLANK(INDEX('Policy Characteristics'!H:H,MATCH($C1034,'Policy Characteristics'!$C:$C,0))),"",INDEX('Policy Characteristics'!H:H,MATCH($C1034,'Policy Characteristics'!$C:$C,0)))</f>
        <v>0.01</v>
      </c>
      <c r="O1034" s="254" t="str">
        <f>IF(ISBLANK(INDEX('Policy Characteristics'!I:I,MATCH($C1034,'Policy Characteristics'!$C:$C,0))),"",INDEX('Policy Characteristics'!I:I,MATCH($C1034,'Policy Characteristics'!$C:$C,0)))</f>
        <v>% of potential achieved</v>
      </c>
      <c r="P1034" s="254"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4" t="str">
        <f>IF(ISBLANK(INDEX('Policy Characteristics'!K:K,MATCH($C1034,'Policy Characteristics'!$C:$C,0))),"",INDEX('Policy Characteristics'!K:K,MATCH($C1034,'Policy Characteristics'!$C:$C,0)))</f>
        <v/>
      </c>
      <c r="R1034" s="254" t="str">
        <f>IF(ISBLANK(INDEX('Policy Characteristics'!L:L,MATCH($C1034,'Policy Characteristics'!$C:$C,0))),"",INDEX('Policy Characteristics'!L:L,MATCH($C1034,'Policy Characteristics'!$C:$C,0)))</f>
        <v/>
      </c>
    </row>
    <row r="1035" spans="1:18" s="2" customFormat="1" x14ac:dyDescent="0.3">
      <c r="A1035" s="254" t="str">
        <f>IF(ISBLANK(INDEX('Policy Characteristics'!A:A,MATCH($C1035,'Policy Characteristics'!$C:$C,0))),"",INDEX('Policy Characteristics'!A:A,MATCH($C1035,'Policy Characteristics'!$C:$C,0)))</f>
        <v>Industry</v>
      </c>
      <c r="B1035" s="262" t="str">
        <f>IF(ISBLANK(INDEX('Policy Characteristics'!B:B,MATCH($C1035,'Policy Characteristics'!$C:$C,0))),"",INDEX('Policy Characteristics'!B:B,MATCH($C1035,'Policy Characteristics'!$C:$C,0)))</f>
        <v>Feedstock Shifting</v>
      </c>
      <c r="C1035" s="254" t="str">
        <f t="shared" si="43"/>
        <v>Fraction of Feedstock Shifted</v>
      </c>
      <c r="D1035" s="6" t="s">
        <v>3081</v>
      </c>
      <c r="E1035" s="45" t="s">
        <v>2399</v>
      </c>
      <c r="F1035" t="s">
        <v>3043</v>
      </c>
      <c r="G1035" s="45" t="s">
        <v>2405</v>
      </c>
      <c r="H1035" s="47">
        <v>2660</v>
      </c>
      <c r="I1035" s="324" t="s">
        <v>44</v>
      </c>
      <c r="J1035" s="255" t="str">
        <f>IF(ISBLANK(INDEX('Policy Characteristics'!D:D,MATCH($C1035,'Policy Characteristics'!$C:$C,0))),"",INDEX('Policy Characteristics'!D:D,MATCH($C1035,'Policy Characteristics'!$C:$C,0)))</f>
        <v>Feedstock Shifting</v>
      </c>
      <c r="K1035" s="254" t="str">
        <f>IF(ISBLANK(INDEX('Policy Characteristics'!E:E,MATCH($C1035,'Policy Characteristics'!$C:$C,0))),"",INDEX('Policy Characteristics'!E:E,MATCH($C1035,'Policy Characteristics'!$C:$C,0)))</f>
        <v>indst feedstock shifting</v>
      </c>
      <c r="L1035" s="261">
        <f>IF(ISBLANK(INDEX('Policy Characteristics'!F:F,MATCH($C1035,'Policy Characteristics'!$C:$C,0))),"",INDEX('Policy Characteristics'!F:F,MATCH($C1035,'Policy Characteristics'!$C:$C,0)))</f>
        <v>0</v>
      </c>
      <c r="M1035" s="261">
        <f>IF(ISBLANK(INDEX('Policy Characteristics'!G:G,MATCH($C1035,'Policy Characteristics'!$C:$C,0))),"",INDEX('Policy Characteristics'!G:G,MATCH($C1035,'Policy Characteristics'!$C:$C,0)))</f>
        <v>1</v>
      </c>
      <c r="N1035" s="261">
        <f>IF(ISBLANK(INDEX('Policy Characteristics'!H:H,MATCH($C1035,'Policy Characteristics'!$C:$C,0))),"",INDEX('Policy Characteristics'!H:H,MATCH($C1035,'Policy Characteristics'!$C:$C,0)))</f>
        <v>0.01</v>
      </c>
      <c r="O1035" s="254" t="str">
        <f>IF(ISBLANK(INDEX('Policy Characteristics'!I:I,MATCH($C1035,'Policy Characteristics'!$C:$C,0))),"",INDEX('Policy Characteristics'!I:I,MATCH($C1035,'Policy Characteristics'!$C:$C,0)))</f>
        <v>% of potential achieved</v>
      </c>
      <c r="P1035" s="254"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4" t="str">
        <f>IF(ISBLANK(INDEX('Policy Characteristics'!K:K,MATCH($C1035,'Policy Characteristics'!$C:$C,0))),"",INDEX('Policy Characteristics'!K:K,MATCH($C1035,'Policy Characteristics'!$C:$C,0)))</f>
        <v/>
      </c>
      <c r="R1035" s="254" t="str">
        <f>IF(ISBLANK(INDEX('Policy Characteristics'!L:L,MATCH($C1035,'Policy Characteristics'!$C:$C,0))),"",INDEX('Policy Characteristics'!L:L,MATCH($C1035,'Policy Characteristics'!$C:$C,0)))</f>
        <v/>
      </c>
    </row>
    <row r="1036" spans="1:18" s="2" customFormat="1" x14ac:dyDescent="0.3">
      <c r="A1036" s="254" t="str">
        <f>IF(ISBLANK(INDEX('Policy Characteristics'!A:A,MATCH($C1036,'Policy Characteristics'!$C:$C,0))),"",INDEX('Policy Characteristics'!A:A,MATCH($C1036,'Policy Characteristics'!$C:$C,0)))</f>
        <v>Industry</v>
      </c>
      <c r="B1036" s="262" t="str">
        <f>IF(ISBLANK(INDEX('Policy Characteristics'!B:B,MATCH($C1036,'Policy Characteristics'!$C:$C,0))),"",INDEX('Policy Characteristics'!B:B,MATCH($C1036,'Policy Characteristics'!$C:$C,0)))</f>
        <v>Feedstock Shifting</v>
      </c>
      <c r="C1036" s="254" t="str">
        <f t="shared" si="43"/>
        <v>Fraction of Feedstock Shifted</v>
      </c>
      <c r="D1036" s="6" t="s">
        <v>3081</v>
      </c>
      <c r="E1036" s="45" t="s">
        <v>2400</v>
      </c>
      <c r="F1036" t="s">
        <v>3043</v>
      </c>
      <c r="G1036" s="45" t="s">
        <v>2408</v>
      </c>
      <c r="H1036" s="47">
        <v>2661</v>
      </c>
      <c r="I1036" s="324" t="s">
        <v>44</v>
      </c>
      <c r="J1036" s="255" t="str">
        <f>IF(ISBLANK(INDEX('Policy Characteristics'!D:D,MATCH($C1036,'Policy Characteristics'!$C:$C,0))),"",INDEX('Policy Characteristics'!D:D,MATCH($C1036,'Policy Characteristics'!$C:$C,0)))</f>
        <v>Feedstock Shifting</v>
      </c>
      <c r="K1036" s="254" t="str">
        <f>IF(ISBLANK(INDEX('Policy Characteristics'!E:E,MATCH($C1036,'Policy Characteristics'!$C:$C,0))),"",INDEX('Policy Characteristics'!E:E,MATCH($C1036,'Policy Characteristics'!$C:$C,0)))</f>
        <v>indst feedstock shifting</v>
      </c>
      <c r="L1036" s="261">
        <f>IF(ISBLANK(INDEX('Policy Characteristics'!F:F,MATCH($C1036,'Policy Characteristics'!$C:$C,0))),"",INDEX('Policy Characteristics'!F:F,MATCH($C1036,'Policy Characteristics'!$C:$C,0)))</f>
        <v>0</v>
      </c>
      <c r="M1036" s="261">
        <f>IF(ISBLANK(INDEX('Policy Characteristics'!G:G,MATCH($C1036,'Policy Characteristics'!$C:$C,0))),"",INDEX('Policy Characteristics'!G:G,MATCH($C1036,'Policy Characteristics'!$C:$C,0)))</f>
        <v>1</v>
      </c>
      <c r="N1036" s="261">
        <f>IF(ISBLANK(INDEX('Policy Characteristics'!H:H,MATCH($C1036,'Policy Characteristics'!$C:$C,0))),"",INDEX('Policy Characteristics'!H:H,MATCH($C1036,'Policy Characteristics'!$C:$C,0)))</f>
        <v>0.01</v>
      </c>
      <c r="O1036" s="254" t="str">
        <f>IF(ISBLANK(INDEX('Policy Characteristics'!I:I,MATCH($C1036,'Policy Characteristics'!$C:$C,0))),"",INDEX('Policy Characteristics'!I:I,MATCH($C1036,'Policy Characteristics'!$C:$C,0)))</f>
        <v>% of potential achieved</v>
      </c>
      <c r="P1036" s="254"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4" t="str">
        <f>IF(ISBLANK(INDEX('Policy Characteristics'!K:K,MATCH($C1036,'Policy Characteristics'!$C:$C,0))),"",INDEX('Policy Characteristics'!K:K,MATCH($C1036,'Policy Characteristics'!$C:$C,0)))</f>
        <v/>
      </c>
      <c r="R1036" s="254" t="str">
        <f>IF(ISBLANK(INDEX('Policy Characteristics'!L:L,MATCH($C1036,'Policy Characteristics'!$C:$C,0))),"",INDEX('Policy Characteristics'!L:L,MATCH($C1036,'Policy Characteristics'!$C:$C,0)))</f>
        <v/>
      </c>
    </row>
    <row r="1037" spans="1:18" s="2" customFormat="1" x14ac:dyDescent="0.3">
      <c r="A1037" s="254" t="str">
        <f>IF(ISBLANK(INDEX('Policy Characteristics'!A:A,MATCH($C1037,'Policy Characteristics'!$C:$C,0))),"",INDEX('Policy Characteristics'!A:A,MATCH($C1037,'Policy Characteristics'!$C:$C,0)))</f>
        <v>Industry</v>
      </c>
      <c r="B1037" s="262" t="str">
        <f>IF(ISBLANK(INDEX('Policy Characteristics'!B:B,MATCH($C1037,'Policy Characteristics'!$C:$C,0))),"",INDEX('Policy Characteristics'!B:B,MATCH($C1037,'Policy Characteristics'!$C:$C,0)))</f>
        <v>Feedstock Shifting</v>
      </c>
      <c r="C1037" s="254" t="str">
        <f t="shared" si="43"/>
        <v>Fraction of Feedstock Shifted</v>
      </c>
      <c r="D1037" s="6" t="s">
        <v>3081</v>
      </c>
      <c r="E1037" s="45" t="s">
        <v>2401</v>
      </c>
      <c r="F1037" t="s">
        <v>3043</v>
      </c>
      <c r="G1037" s="45" t="s">
        <v>2409</v>
      </c>
      <c r="H1037" s="47">
        <v>2662</v>
      </c>
      <c r="I1037" s="324" t="s">
        <v>44</v>
      </c>
      <c r="J1037" s="255" t="str">
        <f>IF(ISBLANK(INDEX('Policy Characteristics'!D:D,MATCH($C1037,'Policy Characteristics'!$C:$C,0))),"",INDEX('Policy Characteristics'!D:D,MATCH($C1037,'Policy Characteristics'!$C:$C,0)))</f>
        <v>Feedstock Shifting</v>
      </c>
      <c r="K1037" s="254" t="str">
        <f>IF(ISBLANK(INDEX('Policy Characteristics'!E:E,MATCH($C1037,'Policy Characteristics'!$C:$C,0))),"",INDEX('Policy Characteristics'!E:E,MATCH($C1037,'Policy Characteristics'!$C:$C,0)))</f>
        <v>indst feedstock shifting</v>
      </c>
      <c r="L1037" s="261">
        <f>IF(ISBLANK(INDEX('Policy Characteristics'!F:F,MATCH($C1037,'Policy Characteristics'!$C:$C,0))),"",INDEX('Policy Characteristics'!F:F,MATCH($C1037,'Policy Characteristics'!$C:$C,0)))</f>
        <v>0</v>
      </c>
      <c r="M1037" s="261">
        <f>IF(ISBLANK(INDEX('Policy Characteristics'!G:G,MATCH($C1037,'Policy Characteristics'!$C:$C,0))),"",INDEX('Policy Characteristics'!G:G,MATCH($C1037,'Policy Characteristics'!$C:$C,0)))</f>
        <v>1</v>
      </c>
      <c r="N1037" s="261">
        <f>IF(ISBLANK(INDEX('Policy Characteristics'!H:H,MATCH($C1037,'Policy Characteristics'!$C:$C,0))),"",INDEX('Policy Characteristics'!H:H,MATCH($C1037,'Policy Characteristics'!$C:$C,0)))</f>
        <v>0.01</v>
      </c>
      <c r="O1037" s="254" t="str">
        <f>IF(ISBLANK(INDEX('Policy Characteristics'!I:I,MATCH($C1037,'Policy Characteristics'!$C:$C,0))),"",INDEX('Policy Characteristics'!I:I,MATCH($C1037,'Policy Characteristics'!$C:$C,0)))</f>
        <v>% of potential achieved</v>
      </c>
      <c r="P1037" s="254"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4" t="str">
        <f>IF(ISBLANK(INDEX('Policy Characteristics'!K:K,MATCH($C1037,'Policy Characteristics'!$C:$C,0))),"",INDEX('Policy Characteristics'!K:K,MATCH($C1037,'Policy Characteristics'!$C:$C,0)))</f>
        <v/>
      </c>
      <c r="R1037" s="254" t="str">
        <f>IF(ISBLANK(INDEX('Policy Characteristics'!L:L,MATCH($C1037,'Policy Characteristics'!$C:$C,0))),"",INDEX('Policy Characteristics'!L:L,MATCH($C1037,'Policy Characteristics'!$C:$C,0)))</f>
        <v/>
      </c>
    </row>
    <row r="1038" spans="1:18" s="2" customFormat="1" x14ac:dyDescent="0.3">
      <c r="A1038" s="254" t="str">
        <f>IF(ISBLANK(INDEX('Policy Characteristics'!A:A,MATCH($C1038,'Policy Characteristics'!$C:$C,0))),"",INDEX('Policy Characteristics'!A:A,MATCH($C1038,'Policy Characteristics'!$C:$C,0)))</f>
        <v>Industry</v>
      </c>
      <c r="B1038" s="262" t="str">
        <f>IF(ISBLANK(INDEX('Policy Characteristics'!B:B,MATCH($C1038,'Policy Characteristics'!$C:$C,0))),"",INDEX('Policy Characteristics'!B:B,MATCH($C1038,'Policy Characteristics'!$C:$C,0)))</f>
        <v>Feedstock Shifting</v>
      </c>
      <c r="C1038" s="254" t="str">
        <f t="shared" si="43"/>
        <v>Fraction of Feedstock Shifted</v>
      </c>
      <c r="D1038" s="6" t="s">
        <v>3081</v>
      </c>
      <c r="E1038" s="45" t="s">
        <v>2402</v>
      </c>
      <c r="F1038" t="s">
        <v>3043</v>
      </c>
      <c r="G1038" s="45" t="s">
        <v>2406</v>
      </c>
      <c r="H1038" s="47">
        <v>2663</v>
      </c>
      <c r="I1038" s="324" t="s">
        <v>44</v>
      </c>
      <c r="J1038" s="255" t="str">
        <f>IF(ISBLANK(INDEX('Policy Characteristics'!D:D,MATCH($C1038,'Policy Characteristics'!$C:$C,0))),"",INDEX('Policy Characteristics'!D:D,MATCH($C1038,'Policy Characteristics'!$C:$C,0)))</f>
        <v>Feedstock Shifting</v>
      </c>
      <c r="K1038" s="254" t="str">
        <f>IF(ISBLANK(INDEX('Policy Characteristics'!E:E,MATCH($C1038,'Policy Characteristics'!$C:$C,0))),"",INDEX('Policy Characteristics'!E:E,MATCH($C1038,'Policy Characteristics'!$C:$C,0)))</f>
        <v>indst feedstock shifting</v>
      </c>
      <c r="L1038" s="261">
        <f>IF(ISBLANK(INDEX('Policy Characteristics'!F:F,MATCH($C1038,'Policy Characteristics'!$C:$C,0))),"",INDEX('Policy Characteristics'!F:F,MATCH($C1038,'Policy Characteristics'!$C:$C,0)))</f>
        <v>0</v>
      </c>
      <c r="M1038" s="261">
        <f>IF(ISBLANK(INDEX('Policy Characteristics'!G:G,MATCH($C1038,'Policy Characteristics'!$C:$C,0))),"",INDEX('Policy Characteristics'!G:G,MATCH($C1038,'Policy Characteristics'!$C:$C,0)))</f>
        <v>1</v>
      </c>
      <c r="N1038" s="261">
        <f>IF(ISBLANK(INDEX('Policy Characteristics'!H:H,MATCH($C1038,'Policy Characteristics'!$C:$C,0))),"",INDEX('Policy Characteristics'!H:H,MATCH($C1038,'Policy Characteristics'!$C:$C,0)))</f>
        <v>0.01</v>
      </c>
      <c r="O1038" s="254" t="str">
        <f>IF(ISBLANK(INDEX('Policy Characteristics'!I:I,MATCH($C1038,'Policy Characteristics'!$C:$C,0))),"",INDEX('Policy Characteristics'!I:I,MATCH($C1038,'Policy Characteristics'!$C:$C,0)))</f>
        <v>% of potential achieved</v>
      </c>
      <c r="P1038" s="254"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4" t="str">
        <f>IF(ISBLANK(INDEX('Policy Characteristics'!K:K,MATCH($C1038,'Policy Characteristics'!$C:$C,0))),"",INDEX('Policy Characteristics'!K:K,MATCH($C1038,'Policy Characteristics'!$C:$C,0)))</f>
        <v/>
      </c>
      <c r="R1038" s="254" t="str">
        <f>IF(ISBLANK(INDEX('Policy Characteristics'!L:L,MATCH($C1038,'Policy Characteristics'!$C:$C,0))),"",INDEX('Policy Characteristics'!L:L,MATCH($C1038,'Policy Characteristics'!$C:$C,0)))</f>
        <v/>
      </c>
    </row>
    <row r="1039" spans="1:18" s="2" customFormat="1" x14ac:dyDescent="0.3">
      <c r="A1039" s="254" t="str">
        <f>IF(ISBLANK(INDEX('Policy Characteristics'!A:A,MATCH($C1039,'Policy Characteristics'!$C:$C,0))),"",INDEX('Policy Characteristics'!A:A,MATCH($C1039,'Policy Characteristics'!$C:$C,0)))</f>
        <v>Industry</v>
      </c>
      <c r="B1039" s="262" t="str">
        <f>IF(ISBLANK(INDEX('Policy Characteristics'!B:B,MATCH($C1039,'Policy Characteristics'!$C:$C,0))),"",INDEX('Policy Characteristics'!B:B,MATCH($C1039,'Policy Characteristics'!$C:$C,0)))</f>
        <v>Feedstock Shifting</v>
      </c>
      <c r="C1039" s="254" t="str">
        <f t="shared" si="43"/>
        <v>Fraction of Feedstock Shifted</v>
      </c>
      <c r="D1039" s="6" t="s">
        <v>3081</v>
      </c>
      <c r="E1039" s="45" t="s">
        <v>2403</v>
      </c>
      <c r="F1039" t="s">
        <v>3043</v>
      </c>
      <c r="G1039" s="45" t="s">
        <v>2407</v>
      </c>
      <c r="H1039" s="47">
        <v>2664</v>
      </c>
      <c r="I1039" s="324" t="s">
        <v>44</v>
      </c>
      <c r="J1039" s="255" t="str">
        <f>IF(ISBLANK(INDEX('Policy Characteristics'!D:D,MATCH($C1039,'Policy Characteristics'!$C:$C,0))),"",INDEX('Policy Characteristics'!D:D,MATCH($C1039,'Policy Characteristics'!$C:$C,0)))</f>
        <v>Feedstock Shifting</v>
      </c>
      <c r="K1039" s="254" t="str">
        <f>IF(ISBLANK(INDEX('Policy Characteristics'!E:E,MATCH($C1039,'Policy Characteristics'!$C:$C,0))),"",INDEX('Policy Characteristics'!E:E,MATCH($C1039,'Policy Characteristics'!$C:$C,0)))</f>
        <v>indst feedstock shifting</v>
      </c>
      <c r="L1039" s="261">
        <f>IF(ISBLANK(INDEX('Policy Characteristics'!F:F,MATCH($C1039,'Policy Characteristics'!$C:$C,0))),"",INDEX('Policy Characteristics'!F:F,MATCH($C1039,'Policy Characteristics'!$C:$C,0)))</f>
        <v>0</v>
      </c>
      <c r="M1039" s="261">
        <f>IF(ISBLANK(INDEX('Policy Characteristics'!G:G,MATCH($C1039,'Policy Characteristics'!$C:$C,0))),"",INDEX('Policy Characteristics'!G:G,MATCH($C1039,'Policy Characteristics'!$C:$C,0)))</f>
        <v>1</v>
      </c>
      <c r="N1039" s="261">
        <f>IF(ISBLANK(INDEX('Policy Characteristics'!H:H,MATCH($C1039,'Policy Characteristics'!$C:$C,0))),"",INDEX('Policy Characteristics'!H:H,MATCH($C1039,'Policy Characteristics'!$C:$C,0)))</f>
        <v>0.01</v>
      </c>
      <c r="O1039" s="254" t="str">
        <f>IF(ISBLANK(INDEX('Policy Characteristics'!I:I,MATCH($C1039,'Policy Characteristics'!$C:$C,0))),"",INDEX('Policy Characteristics'!I:I,MATCH($C1039,'Policy Characteristics'!$C:$C,0)))</f>
        <v>% of potential achieved</v>
      </c>
      <c r="P1039" s="254"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4" t="str">
        <f>IF(ISBLANK(INDEX('Policy Characteristics'!K:K,MATCH($C1039,'Policy Characteristics'!$C:$C,0))),"",INDEX('Policy Characteristics'!K:K,MATCH($C1039,'Policy Characteristics'!$C:$C,0)))</f>
        <v/>
      </c>
      <c r="R1039" s="254" t="str">
        <f>IF(ISBLANK(INDEX('Policy Characteristics'!L:L,MATCH($C1039,'Policy Characteristics'!$C:$C,0))),"",INDEX('Policy Characteristics'!L:L,MATCH($C1039,'Policy Characteristics'!$C:$C,0)))</f>
        <v/>
      </c>
    </row>
    <row r="1040" spans="1:18" s="2" customFormat="1" x14ac:dyDescent="0.3">
      <c r="A1040" s="254" t="str">
        <f>IF(ISBLANK(INDEX('Policy Characteristics'!A:A,MATCH($C1040,'Policy Characteristics'!$C:$C,0))),"",INDEX('Policy Characteristics'!A:A,MATCH($C1040,'Policy Characteristics'!$C:$C,0)))</f>
        <v>Industry</v>
      </c>
      <c r="B1040" s="262" t="str">
        <f>IF(ISBLANK(INDEX('Policy Characteristics'!B:B,MATCH($C1040,'Policy Characteristics'!$C:$C,0))),"",INDEX('Policy Characteristics'!B:B,MATCH($C1040,'Policy Characteristics'!$C:$C,0)))</f>
        <v>Feedstock Shifting</v>
      </c>
      <c r="C1040" s="254" t="str">
        <f t="shared" si="43"/>
        <v>Fraction of Feedstock Shifted</v>
      </c>
      <c r="D1040" s="6" t="s">
        <v>3081</v>
      </c>
      <c r="E1040" s="45" t="s">
        <v>2404</v>
      </c>
      <c r="F1040" t="s">
        <v>3043</v>
      </c>
      <c r="G1040" s="45" t="s">
        <v>2410</v>
      </c>
      <c r="H1040" s="47">
        <v>2665</v>
      </c>
      <c r="I1040" s="324" t="s">
        <v>44</v>
      </c>
      <c r="J1040" s="255" t="str">
        <f>IF(ISBLANK(INDEX('Policy Characteristics'!D:D,MATCH($C1040,'Policy Characteristics'!$C:$C,0))),"",INDEX('Policy Characteristics'!D:D,MATCH($C1040,'Policy Characteristics'!$C:$C,0)))</f>
        <v>Feedstock Shifting</v>
      </c>
      <c r="K1040" s="254" t="str">
        <f>IF(ISBLANK(INDEX('Policy Characteristics'!E:E,MATCH($C1040,'Policy Characteristics'!$C:$C,0))),"",INDEX('Policy Characteristics'!E:E,MATCH($C1040,'Policy Characteristics'!$C:$C,0)))</f>
        <v>indst feedstock shifting</v>
      </c>
      <c r="L1040" s="261">
        <f>IF(ISBLANK(INDEX('Policy Characteristics'!F:F,MATCH($C1040,'Policy Characteristics'!$C:$C,0))),"",INDEX('Policy Characteristics'!F:F,MATCH($C1040,'Policy Characteristics'!$C:$C,0)))</f>
        <v>0</v>
      </c>
      <c r="M1040" s="261">
        <f>IF(ISBLANK(INDEX('Policy Characteristics'!G:G,MATCH($C1040,'Policy Characteristics'!$C:$C,0))),"",INDEX('Policy Characteristics'!G:G,MATCH($C1040,'Policy Characteristics'!$C:$C,0)))</f>
        <v>1</v>
      </c>
      <c r="N1040" s="261">
        <f>IF(ISBLANK(INDEX('Policy Characteristics'!H:H,MATCH($C1040,'Policy Characteristics'!$C:$C,0))),"",INDEX('Policy Characteristics'!H:H,MATCH($C1040,'Policy Characteristics'!$C:$C,0)))</f>
        <v>0.01</v>
      </c>
      <c r="O1040" s="254" t="str">
        <f>IF(ISBLANK(INDEX('Policy Characteristics'!I:I,MATCH($C1040,'Policy Characteristics'!$C:$C,0))),"",INDEX('Policy Characteristics'!I:I,MATCH($C1040,'Policy Characteristics'!$C:$C,0)))</f>
        <v>% of potential achieved</v>
      </c>
      <c r="P1040" s="254"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4" t="str">
        <f>IF(ISBLANK(INDEX('Policy Characteristics'!K:K,MATCH($C1040,'Policy Characteristics'!$C:$C,0))),"",INDEX('Policy Characteristics'!K:K,MATCH($C1040,'Policy Characteristics'!$C:$C,0)))</f>
        <v/>
      </c>
      <c r="R1040" s="254" t="str">
        <f>IF(ISBLANK(INDEX('Policy Characteristics'!L:L,MATCH($C1040,'Policy Characteristics'!$C:$C,0))),"",INDEX('Policy Characteristics'!L:L,MATCH($C1040,'Policy Characteristics'!$C:$C,0)))</f>
        <v/>
      </c>
    </row>
    <row r="1041" spans="1:18" s="2" customFormat="1" x14ac:dyDescent="0.3">
      <c r="A1041" s="254" t="str">
        <f>IF(ISBLANK(INDEX('Policy Characteristics'!A:A,MATCH($C1041,'Policy Characteristics'!$C:$C,0))),"",INDEX('Policy Characteristics'!A:A,MATCH($C1041,'Policy Characteristics'!$C:$C,0)))</f>
        <v>Industry</v>
      </c>
      <c r="B1041" s="262" t="str">
        <f>IF(ISBLANK(INDEX('Policy Characteristics'!B:B,MATCH($C1041,'Policy Characteristics'!$C:$C,0))),"",INDEX('Policy Characteristics'!B:B,MATCH($C1041,'Policy Characteristics'!$C:$C,0)))</f>
        <v>Feedstock Shifting</v>
      </c>
      <c r="C1041" s="254" t="str">
        <f t="shared" si="43"/>
        <v>Fraction of Feedstock Shifted</v>
      </c>
      <c r="D1041" s="6" t="s">
        <v>3081</v>
      </c>
      <c r="E1041" s="45" t="s">
        <v>2706</v>
      </c>
      <c r="F1041" t="s">
        <v>3043</v>
      </c>
      <c r="G1041" s="45" t="s">
        <v>2709</v>
      </c>
      <c r="H1041" s="47">
        <v>2666</v>
      </c>
      <c r="I1041" s="324" t="s">
        <v>44</v>
      </c>
      <c r="J1041" s="255" t="str">
        <f>IF(ISBLANK(INDEX('Policy Characteristics'!D:D,MATCH($C1041,'Policy Characteristics'!$C:$C,0))),"",INDEX('Policy Characteristics'!D:D,MATCH($C1041,'Policy Characteristics'!$C:$C,0)))</f>
        <v>Feedstock Shifting</v>
      </c>
      <c r="K1041" s="254" t="str">
        <f>IF(ISBLANK(INDEX('Policy Characteristics'!E:E,MATCH($C1041,'Policy Characteristics'!$C:$C,0))),"",INDEX('Policy Characteristics'!E:E,MATCH($C1041,'Policy Characteristics'!$C:$C,0)))</f>
        <v>indst feedstock shifting</v>
      </c>
      <c r="L1041" s="261">
        <f>IF(ISBLANK(INDEX('Policy Characteristics'!F:F,MATCH($C1041,'Policy Characteristics'!$C:$C,0))),"",INDEX('Policy Characteristics'!F:F,MATCH($C1041,'Policy Characteristics'!$C:$C,0)))</f>
        <v>0</v>
      </c>
      <c r="M1041" s="261">
        <f>IF(ISBLANK(INDEX('Policy Characteristics'!G:G,MATCH($C1041,'Policy Characteristics'!$C:$C,0))),"",INDEX('Policy Characteristics'!G:G,MATCH($C1041,'Policy Characteristics'!$C:$C,0)))</f>
        <v>1</v>
      </c>
      <c r="N1041" s="261">
        <f>IF(ISBLANK(INDEX('Policy Characteristics'!H:H,MATCH($C1041,'Policy Characteristics'!$C:$C,0))),"",INDEX('Policy Characteristics'!H:H,MATCH($C1041,'Policy Characteristics'!$C:$C,0)))</f>
        <v>0.01</v>
      </c>
      <c r="O1041" s="254" t="str">
        <f>IF(ISBLANK(INDEX('Policy Characteristics'!I:I,MATCH($C1041,'Policy Characteristics'!$C:$C,0))),"",INDEX('Policy Characteristics'!I:I,MATCH($C1041,'Policy Characteristics'!$C:$C,0)))</f>
        <v>% of potential achieved</v>
      </c>
      <c r="P1041" s="254"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4" t="str">
        <f>IF(ISBLANK(INDEX('Policy Characteristics'!K:K,MATCH($C1041,'Policy Characteristics'!$C:$C,0))),"",INDEX('Policy Characteristics'!K:K,MATCH($C1041,'Policy Characteristics'!$C:$C,0)))</f>
        <v/>
      </c>
      <c r="R1041" s="254" t="str">
        <f>IF(ISBLANK(INDEX('Policy Characteristics'!L:L,MATCH($C1041,'Policy Characteristics'!$C:$C,0))),"",INDEX('Policy Characteristics'!L:L,MATCH($C1041,'Policy Characteristics'!$C:$C,0)))</f>
        <v/>
      </c>
    </row>
    <row r="1042" spans="1:18" s="2" customFormat="1" x14ac:dyDescent="0.3">
      <c r="A1042" s="254" t="str">
        <f>IF(ISBLANK(INDEX('Policy Characteristics'!A:A,MATCH($C1042,'Policy Characteristics'!$C:$C,0))),"",INDEX('Policy Characteristics'!A:A,MATCH($C1042,'Policy Characteristics'!$C:$C,0)))</f>
        <v>Industry</v>
      </c>
      <c r="B1042" s="262" t="str">
        <f>IF(ISBLANK(INDEX('Policy Characteristics'!B:B,MATCH($C1042,'Policy Characteristics'!$C:$C,0))),"",INDEX('Policy Characteristics'!B:B,MATCH($C1042,'Policy Characteristics'!$C:$C,0)))</f>
        <v>Feedstock Shifting</v>
      </c>
      <c r="C1042" s="254" t="str">
        <f t="shared" si="43"/>
        <v>Fraction of Feedstock Shifted</v>
      </c>
      <c r="D1042" s="6" t="s">
        <v>3081</v>
      </c>
      <c r="E1042" s="45" t="s">
        <v>2707</v>
      </c>
      <c r="F1042" t="s">
        <v>3043</v>
      </c>
      <c r="G1042" s="45" t="s">
        <v>2711</v>
      </c>
      <c r="H1042" s="47">
        <v>2667</v>
      </c>
      <c r="I1042" s="324" t="s">
        <v>44</v>
      </c>
      <c r="J1042" s="255" t="str">
        <f>IF(ISBLANK(INDEX('Policy Characteristics'!D:D,MATCH($C1042,'Policy Characteristics'!$C:$C,0))),"",INDEX('Policy Characteristics'!D:D,MATCH($C1042,'Policy Characteristics'!$C:$C,0)))</f>
        <v>Feedstock Shifting</v>
      </c>
      <c r="K1042" s="254" t="str">
        <f>IF(ISBLANK(INDEX('Policy Characteristics'!E:E,MATCH($C1042,'Policy Characteristics'!$C:$C,0))),"",INDEX('Policy Characteristics'!E:E,MATCH($C1042,'Policy Characteristics'!$C:$C,0)))</f>
        <v>indst feedstock shifting</v>
      </c>
      <c r="L1042" s="261">
        <f>IF(ISBLANK(INDEX('Policy Characteristics'!F:F,MATCH($C1042,'Policy Characteristics'!$C:$C,0))),"",INDEX('Policy Characteristics'!F:F,MATCH($C1042,'Policy Characteristics'!$C:$C,0)))</f>
        <v>0</v>
      </c>
      <c r="M1042" s="261">
        <f>IF(ISBLANK(INDEX('Policy Characteristics'!G:G,MATCH($C1042,'Policy Characteristics'!$C:$C,0))),"",INDEX('Policy Characteristics'!G:G,MATCH($C1042,'Policy Characteristics'!$C:$C,0)))</f>
        <v>1</v>
      </c>
      <c r="N1042" s="261">
        <f>IF(ISBLANK(INDEX('Policy Characteristics'!H:H,MATCH($C1042,'Policy Characteristics'!$C:$C,0))),"",INDEX('Policy Characteristics'!H:H,MATCH($C1042,'Policy Characteristics'!$C:$C,0)))</f>
        <v>0.01</v>
      </c>
      <c r="O1042" s="254" t="str">
        <f>IF(ISBLANK(INDEX('Policy Characteristics'!I:I,MATCH($C1042,'Policy Characteristics'!$C:$C,0))),"",INDEX('Policy Characteristics'!I:I,MATCH($C1042,'Policy Characteristics'!$C:$C,0)))</f>
        <v>% of potential achieved</v>
      </c>
      <c r="P1042" s="254"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4" t="str">
        <f>IF(ISBLANK(INDEX('Policy Characteristics'!K:K,MATCH($C1042,'Policy Characteristics'!$C:$C,0))),"",INDEX('Policy Characteristics'!K:K,MATCH($C1042,'Policy Characteristics'!$C:$C,0)))</f>
        <v/>
      </c>
      <c r="R1042" s="254" t="str">
        <f>IF(ISBLANK(INDEX('Policy Characteristics'!L:L,MATCH($C1042,'Policy Characteristics'!$C:$C,0))),"",INDEX('Policy Characteristics'!L:L,MATCH($C1042,'Policy Characteristics'!$C:$C,0)))</f>
        <v/>
      </c>
    </row>
    <row r="1043" spans="1:18" s="2" customFormat="1" x14ac:dyDescent="0.3">
      <c r="A1043" s="254" t="str">
        <f>IF(ISBLANK(INDEX('Policy Characteristics'!A:A,MATCH($C1043,'Policy Characteristics'!$C:$C,0))),"",INDEX('Policy Characteristics'!A:A,MATCH($C1043,'Policy Characteristics'!$C:$C,0)))</f>
        <v>Industry</v>
      </c>
      <c r="B1043" s="262" t="str">
        <f>IF(ISBLANK(INDEX('Policy Characteristics'!B:B,MATCH($C1043,'Policy Characteristics'!$C:$C,0))),"",INDEX('Policy Characteristics'!B:B,MATCH($C1043,'Policy Characteristics'!$C:$C,0)))</f>
        <v>Feedstock Shifting</v>
      </c>
      <c r="C1043" s="254" t="str">
        <f t="shared" si="43"/>
        <v>Fraction of Feedstock Shifted</v>
      </c>
      <c r="D1043" s="6" t="s">
        <v>3081</v>
      </c>
      <c r="E1043" s="45" t="s">
        <v>2708</v>
      </c>
      <c r="F1043" t="s">
        <v>3043</v>
      </c>
      <c r="G1043" s="45" t="s">
        <v>2712</v>
      </c>
      <c r="H1043" s="47">
        <v>2668</v>
      </c>
      <c r="I1043" s="324" t="s">
        <v>44</v>
      </c>
      <c r="J1043" s="255" t="str">
        <f>IF(ISBLANK(INDEX('Policy Characteristics'!D:D,MATCH($C1043,'Policy Characteristics'!$C:$C,0))),"",INDEX('Policy Characteristics'!D:D,MATCH($C1043,'Policy Characteristics'!$C:$C,0)))</f>
        <v>Feedstock Shifting</v>
      </c>
      <c r="K1043" s="254" t="str">
        <f>IF(ISBLANK(INDEX('Policy Characteristics'!E:E,MATCH($C1043,'Policy Characteristics'!$C:$C,0))),"",INDEX('Policy Characteristics'!E:E,MATCH($C1043,'Policy Characteristics'!$C:$C,0)))</f>
        <v>indst feedstock shifting</v>
      </c>
      <c r="L1043" s="261">
        <f>IF(ISBLANK(INDEX('Policy Characteristics'!F:F,MATCH($C1043,'Policy Characteristics'!$C:$C,0))),"",INDEX('Policy Characteristics'!F:F,MATCH($C1043,'Policy Characteristics'!$C:$C,0)))</f>
        <v>0</v>
      </c>
      <c r="M1043" s="261">
        <f>IF(ISBLANK(INDEX('Policy Characteristics'!G:G,MATCH($C1043,'Policy Characteristics'!$C:$C,0))),"",INDEX('Policy Characteristics'!G:G,MATCH($C1043,'Policy Characteristics'!$C:$C,0)))</f>
        <v>1</v>
      </c>
      <c r="N1043" s="261">
        <f>IF(ISBLANK(INDEX('Policy Characteristics'!H:H,MATCH($C1043,'Policy Characteristics'!$C:$C,0))),"",INDEX('Policy Characteristics'!H:H,MATCH($C1043,'Policy Characteristics'!$C:$C,0)))</f>
        <v>0.01</v>
      </c>
      <c r="O1043" s="254" t="str">
        <f>IF(ISBLANK(INDEX('Policy Characteristics'!I:I,MATCH($C1043,'Policy Characteristics'!$C:$C,0))),"",INDEX('Policy Characteristics'!I:I,MATCH($C1043,'Policy Characteristics'!$C:$C,0)))</f>
        <v>% of potential achieved</v>
      </c>
      <c r="P1043" s="254"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4" t="str">
        <f>IF(ISBLANK(INDEX('Policy Characteristics'!K:K,MATCH($C1043,'Policy Characteristics'!$C:$C,0))),"",INDEX('Policy Characteristics'!K:K,MATCH($C1043,'Policy Characteristics'!$C:$C,0)))</f>
        <v/>
      </c>
      <c r="R1043" s="254" t="str">
        <f>IF(ISBLANK(INDEX('Policy Characteristics'!L:L,MATCH($C1043,'Policy Characteristics'!$C:$C,0))),"",INDEX('Policy Characteristics'!L:L,MATCH($C1043,'Policy Characteristics'!$C:$C,0)))</f>
        <v/>
      </c>
    </row>
    <row r="1044" spans="1:18" s="2" customFormat="1" x14ac:dyDescent="0.3">
      <c r="A1044" s="254" t="str">
        <f>IF(ISBLANK(INDEX('Policy Characteristics'!A:A,MATCH($C1044,'Policy Characteristics'!$C:$C,0))),"",INDEX('Policy Characteristics'!A:A,MATCH($C1044,'Policy Characteristics'!$C:$C,0)))</f>
        <v>Industry</v>
      </c>
      <c r="B1044" s="262" t="str">
        <f>IF(ISBLANK(INDEX('Policy Characteristics'!B:B,MATCH($C1044,'Policy Characteristics'!$C:$C,0))),"",INDEX('Policy Characteristics'!B:B,MATCH($C1044,'Policy Characteristics'!$C:$C,0)))</f>
        <v>Feedstock Shifting</v>
      </c>
      <c r="C1044" s="254" t="str">
        <f t="shared" si="43"/>
        <v>Fraction of Feedstock Shifted</v>
      </c>
      <c r="D1044" s="6" t="s">
        <v>3081</v>
      </c>
      <c r="E1044" s="45" t="s">
        <v>2705</v>
      </c>
      <c r="F1044" t="s">
        <v>3043</v>
      </c>
      <c r="G1044" s="45" t="s">
        <v>2710</v>
      </c>
      <c r="H1044" s="47">
        <v>2669</v>
      </c>
      <c r="I1044" s="324" t="s">
        <v>44</v>
      </c>
      <c r="J1044" s="255" t="str">
        <f>IF(ISBLANK(INDEX('Policy Characteristics'!D:D,MATCH($C1044,'Policy Characteristics'!$C:$C,0))),"",INDEX('Policy Characteristics'!D:D,MATCH($C1044,'Policy Characteristics'!$C:$C,0)))</f>
        <v>Feedstock Shifting</v>
      </c>
      <c r="K1044" s="254" t="str">
        <f>IF(ISBLANK(INDEX('Policy Characteristics'!E:E,MATCH($C1044,'Policy Characteristics'!$C:$C,0))),"",INDEX('Policy Characteristics'!E:E,MATCH($C1044,'Policy Characteristics'!$C:$C,0)))</f>
        <v>indst feedstock shifting</v>
      </c>
      <c r="L1044" s="261">
        <f>IF(ISBLANK(INDEX('Policy Characteristics'!F:F,MATCH($C1044,'Policy Characteristics'!$C:$C,0))),"",INDEX('Policy Characteristics'!F:F,MATCH($C1044,'Policy Characteristics'!$C:$C,0)))</f>
        <v>0</v>
      </c>
      <c r="M1044" s="261">
        <f>IF(ISBLANK(INDEX('Policy Characteristics'!G:G,MATCH($C1044,'Policy Characteristics'!$C:$C,0))),"",INDEX('Policy Characteristics'!G:G,MATCH($C1044,'Policy Characteristics'!$C:$C,0)))</f>
        <v>1</v>
      </c>
      <c r="N1044" s="261">
        <f>IF(ISBLANK(INDEX('Policy Characteristics'!H:H,MATCH($C1044,'Policy Characteristics'!$C:$C,0))),"",INDEX('Policy Characteristics'!H:H,MATCH($C1044,'Policy Characteristics'!$C:$C,0)))</f>
        <v>0.01</v>
      </c>
      <c r="O1044" s="254" t="str">
        <f>IF(ISBLANK(INDEX('Policy Characteristics'!I:I,MATCH($C1044,'Policy Characteristics'!$C:$C,0))),"",INDEX('Policy Characteristics'!I:I,MATCH($C1044,'Policy Characteristics'!$C:$C,0)))</f>
        <v>% of potential achieved</v>
      </c>
      <c r="P1044" s="254"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4" t="str">
        <f>IF(ISBLANK(INDEX('Policy Characteristics'!K:K,MATCH($C1044,'Policy Characteristics'!$C:$C,0))),"",INDEX('Policy Characteristics'!K:K,MATCH($C1044,'Policy Characteristics'!$C:$C,0)))</f>
        <v/>
      </c>
      <c r="R1044" s="254" t="str">
        <f>IF(ISBLANK(INDEX('Policy Characteristics'!L:L,MATCH($C1044,'Policy Characteristics'!$C:$C,0))),"",INDEX('Policy Characteristics'!L:L,MATCH($C1044,'Policy Characteristics'!$C:$C,0)))</f>
        <v/>
      </c>
    </row>
    <row r="1045" spans="1:18" s="2" customFormat="1" x14ac:dyDescent="0.3">
      <c r="A1045" s="254" t="str">
        <f>IF(ISBLANK(INDEX('Policy Characteristics'!A:A,MATCH($C1045,'Policy Characteristics'!$C:$C,0))),"",INDEX('Policy Characteristics'!A:A,MATCH($C1045,'Policy Characteristics'!$C:$C,0)))</f>
        <v>Industry</v>
      </c>
      <c r="B1045" s="262" t="str">
        <f>IF(ISBLANK(INDEX('Policy Characteristics'!B:B,MATCH($C1045,'Policy Characteristics'!$C:$C,0))),"",INDEX('Policy Characteristics'!B:B,MATCH($C1045,'Policy Characteristics'!$C:$C,0)))</f>
        <v>Feedstock Shifting</v>
      </c>
      <c r="C1045" s="254" t="str">
        <f t="shared" si="43"/>
        <v>Fraction of Feedstock Shifted</v>
      </c>
      <c r="D1045" s="6" t="s">
        <v>3082</v>
      </c>
      <c r="E1045" s="45" t="s">
        <v>2399</v>
      </c>
      <c r="F1045" t="s">
        <v>3044</v>
      </c>
      <c r="G1045" s="45" t="s">
        <v>2405</v>
      </c>
      <c r="H1045" s="47">
        <v>2670</v>
      </c>
      <c r="I1045" s="324" t="s">
        <v>44</v>
      </c>
      <c r="J1045" s="255" t="str">
        <f>IF(ISBLANK(INDEX('Policy Characteristics'!D:D,MATCH($C1045,'Policy Characteristics'!$C:$C,0))),"",INDEX('Policy Characteristics'!D:D,MATCH($C1045,'Policy Characteristics'!$C:$C,0)))</f>
        <v>Feedstock Shifting</v>
      </c>
      <c r="K1045" s="254" t="str">
        <f>IF(ISBLANK(INDEX('Policy Characteristics'!E:E,MATCH($C1045,'Policy Characteristics'!$C:$C,0))),"",INDEX('Policy Characteristics'!E:E,MATCH($C1045,'Policy Characteristics'!$C:$C,0)))</f>
        <v>indst feedstock shifting</v>
      </c>
      <c r="L1045" s="261">
        <f>IF(ISBLANK(INDEX('Policy Characteristics'!F:F,MATCH($C1045,'Policy Characteristics'!$C:$C,0))),"",INDEX('Policy Characteristics'!F:F,MATCH($C1045,'Policy Characteristics'!$C:$C,0)))</f>
        <v>0</v>
      </c>
      <c r="M1045" s="261">
        <f>IF(ISBLANK(INDEX('Policy Characteristics'!G:G,MATCH($C1045,'Policy Characteristics'!$C:$C,0))),"",INDEX('Policy Characteristics'!G:G,MATCH($C1045,'Policy Characteristics'!$C:$C,0)))</f>
        <v>1</v>
      </c>
      <c r="N1045" s="261">
        <f>IF(ISBLANK(INDEX('Policy Characteristics'!H:H,MATCH($C1045,'Policy Characteristics'!$C:$C,0))),"",INDEX('Policy Characteristics'!H:H,MATCH($C1045,'Policy Characteristics'!$C:$C,0)))</f>
        <v>0.01</v>
      </c>
      <c r="O1045" s="254" t="str">
        <f>IF(ISBLANK(INDEX('Policy Characteristics'!I:I,MATCH($C1045,'Policy Characteristics'!$C:$C,0))),"",INDEX('Policy Characteristics'!I:I,MATCH($C1045,'Policy Characteristics'!$C:$C,0)))</f>
        <v>% of potential achieved</v>
      </c>
      <c r="P1045" s="254"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4" t="str">
        <f>IF(ISBLANK(INDEX('Policy Characteristics'!K:K,MATCH($C1045,'Policy Characteristics'!$C:$C,0))),"",INDEX('Policy Characteristics'!K:K,MATCH($C1045,'Policy Characteristics'!$C:$C,0)))</f>
        <v/>
      </c>
      <c r="R1045" s="254" t="str">
        <f>IF(ISBLANK(INDEX('Policy Characteristics'!L:L,MATCH($C1045,'Policy Characteristics'!$C:$C,0))),"",INDEX('Policy Characteristics'!L:L,MATCH($C1045,'Policy Characteristics'!$C:$C,0)))</f>
        <v/>
      </c>
    </row>
    <row r="1046" spans="1:18" s="2" customFormat="1" x14ac:dyDescent="0.3">
      <c r="A1046" s="254" t="str">
        <f>IF(ISBLANK(INDEX('Policy Characteristics'!A:A,MATCH($C1046,'Policy Characteristics'!$C:$C,0))),"",INDEX('Policy Characteristics'!A:A,MATCH($C1046,'Policy Characteristics'!$C:$C,0)))</f>
        <v>Industry</v>
      </c>
      <c r="B1046" s="262" t="str">
        <f>IF(ISBLANK(INDEX('Policy Characteristics'!B:B,MATCH($C1046,'Policy Characteristics'!$C:$C,0))),"",INDEX('Policy Characteristics'!B:B,MATCH($C1046,'Policy Characteristics'!$C:$C,0)))</f>
        <v>Feedstock Shifting</v>
      </c>
      <c r="C1046" s="254" t="str">
        <f t="shared" si="43"/>
        <v>Fraction of Feedstock Shifted</v>
      </c>
      <c r="D1046" s="6" t="s">
        <v>3082</v>
      </c>
      <c r="E1046" s="45" t="s">
        <v>2400</v>
      </c>
      <c r="F1046" t="s">
        <v>3044</v>
      </c>
      <c r="G1046" s="45" t="s">
        <v>2408</v>
      </c>
      <c r="H1046" s="47">
        <v>2671</v>
      </c>
      <c r="I1046" s="324" t="s">
        <v>44</v>
      </c>
      <c r="J1046" s="255" t="str">
        <f>IF(ISBLANK(INDEX('Policy Characteristics'!D:D,MATCH($C1046,'Policy Characteristics'!$C:$C,0))),"",INDEX('Policy Characteristics'!D:D,MATCH($C1046,'Policy Characteristics'!$C:$C,0)))</f>
        <v>Feedstock Shifting</v>
      </c>
      <c r="K1046" s="254" t="str">
        <f>IF(ISBLANK(INDEX('Policy Characteristics'!E:E,MATCH($C1046,'Policy Characteristics'!$C:$C,0))),"",INDEX('Policy Characteristics'!E:E,MATCH($C1046,'Policy Characteristics'!$C:$C,0)))</f>
        <v>indst feedstock shifting</v>
      </c>
      <c r="L1046" s="261">
        <f>IF(ISBLANK(INDEX('Policy Characteristics'!F:F,MATCH($C1046,'Policy Characteristics'!$C:$C,0))),"",INDEX('Policy Characteristics'!F:F,MATCH($C1046,'Policy Characteristics'!$C:$C,0)))</f>
        <v>0</v>
      </c>
      <c r="M1046" s="261">
        <f>IF(ISBLANK(INDEX('Policy Characteristics'!G:G,MATCH($C1046,'Policy Characteristics'!$C:$C,0))),"",INDEX('Policy Characteristics'!G:G,MATCH($C1046,'Policy Characteristics'!$C:$C,0)))</f>
        <v>1</v>
      </c>
      <c r="N1046" s="261">
        <f>IF(ISBLANK(INDEX('Policy Characteristics'!H:H,MATCH($C1046,'Policy Characteristics'!$C:$C,0))),"",INDEX('Policy Characteristics'!H:H,MATCH($C1046,'Policy Characteristics'!$C:$C,0)))</f>
        <v>0.01</v>
      </c>
      <c r="O1046" s="254" t="str">
        <f>IF(ISBLANK(INDEX('Policy Characteristics'!I:I,MATCH($C1046,'Policy Characteristics'!$C:$C,0))),"",INDEX('Policy Characteristics'!I:I,MATCH($C1046,'Policy Characteristics'!$C:$C,0)))</f>
        <v>% of potential achieved</v>
      </c>
      <c r="P1046" s="254"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4" t="str">
        <f>IF(ISBLANK(INDEX('Policy Characteristics'!K:K,MATCH($C1046,'Policy Characteristics'!$C:$C,0))),"",INDEX('Policy Characteristics'!K:K,MATCH($C1046,'Policy Characteristics'!$C:$C,0)))</f>
        <v/>
      </c>
      <c r="R1046" s="254" t="str">
        <f>IF(ISBLANK(INDEX('Policy Characteristics'!L:L,MATCH($C1046,'Policy Characteristics'!$C:$C,0))),"",INDEX('Policy Characteristics'!L:L,MATCH($C1046,'Policy Characteristics'!$C:$C,0)))</f>
        <v/>
      </c>
    </row>
    <row r="1047" spans="1:18" s="2" customFormat="1" x14ac:dyDescent="0.3">
      <c r="A1047" s="254" t="str">
        <f>IF(ISBLANK(INDEX('Policy Characteristics'!A:A,MATCH($C1047,'Policy Characteristics'!$C:$C,0))),"",INDEX('Policy Characteristics'!A:A,MATCH($C1047,'Policy Characteristics'!$C:$C,0)))</f>
        <v>Industry</v>
      </c>
      <c r="B1047" s="262" t="str">
        <f>IF(ISBLANK(INDEX('Policy Characteristics'!B:B,MATCH($C1047,'Policy Characteristics'!$C:$C,0))),"",INDEX('Policy Characteristics'!B:B,MATCH($C1047,'Policy Characteristics'!$C:$C,0)))</f>
        <v>Feedstock Shifting</v>
      </c>
      <c r="C1047" s="254" t="str">
        <f t="shared" si="43"/>
        <v>Fraction of Feedstock Shifted</v>
      </c>
      <c r="D1047" s="6" t="s">
        <v>3082</v>
      </c>
      <c r="E1047" s="45" t="s">
        <v>2401</v>
      </c>
      <c r="F1047" t="s">
        <v>3044</v>
      </c>
      <c r="G1047" s="45" t="s">
        <v>2409</v>
      </c>
      <c r="H1047" s="47">
        <v>2672</v>
      </c>
      <c r="I1047" s="324" t="s">
        <v>44</v>
      </c>
      <c r="J1047" s="255" t="str">
        <f>IF(ISBLANK(INDEX('Policy Characteristics'!D:D,MATCH($C1047,'Policy Characteristics'!$C:$C,0))),"",INDEX('Policy Characteristics'!D:D,MATCH($C1047,'Policy Characteristics'!$C:$C,0)))</f>
        <v>Feedstock Shifting</v>
      </c>
      <c r="K1047" s="254" t="str">
        <f>IF(ISBLANK(INDEX('Policy Characteristics'!E:E,MATCH($C1047,'Policy Characteristics'!$C:$C,0))),"",INDEX('Policy Characteristics'!E:E,MATCH($C1047,'Policy Characteristics'!$C:$C,0)))</f>
        <v>indst feedstock shifting</v>
      </c>
      <c r="L1047" s="261">
        <f>IF(ISBLANK(INDEX('Policy Characteristics'!F:F,MATCH($C1047,'Policy Characteristics'!$C:$C,0))),"",INDEX('Policy Characteristics'!F:F,MATCH($C1047,'Policy Characteristics'!$C:$C,0)))</f>
        <v>0</v>
      </c>
      <c r="M1047" s="261">
        <f>IF(ISBLANK(INDEX('Policy Characteristics'!G:G,MATCH($C1047,'Policy Characteristics'!$C:$C,0))),"",INDEX('Policy Characteristics'!G:G,MATCH($C1047,'Policy Characteristics'!$C:$C,0)))</f>
        <v>1</v>
      </c>
      <c r="N1047" s="261">
        <f>IF(ISBLANK(INDEX('Policy Characteristics'!H:H,MATCH($C1047,'Policy Characteristics'!$C:$C,0))),"",INDEX('Policy Characteristics'!H:H,MATCH($C1047,'Policy Characteristics'!$C:$C,0)))</f>
        <v>0.01</v>
      </c>
      <c r="O1047" s="254" t="str">
        <f>IF(ISBLANK(INDEX('Policy Characteristics'!I:I,MATCH($C1047,'Policy Characteristics'!$C:$C,0))),"",INDEX('Policy Characteristics'!I:I,MATCH($C1047,'Policy Characteristics'!$C:$C,0)))</f>
        <v>% of potential achieved</v>
      </c>
      <c r="P1047" s="254"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4" t="str">
        <f>IF(ISBLANK(INDEX('Policy Characteristics'!K:K,MATCH($C1047,'Policy Characteristics'!$C:$C,0))),"",INDEX('Policy Characteristics'!K:K,MATCH($C1047,'Policy Characteristics'!$C:$C,0)))</f>
        <v/>
      </c>
      <c r="R1047" s="254" t="str">
        <f>IF(ISBLANK(INDEX('Policy Characteristics'!L:L,MATCH($C1047,'Policy Characteristics'!$C:$C,0))),"",INDEX('Policy Characteristics'!L:L,MATCH($C1047,'Policy Characteristics'!$C:$C,0)))</f>
        <v/>
      </c>
    </row>
    <row r="1048" spans="1:18" s="2" customFormat="1" x14ac:dyDescent="0.3">
      <c r="A1048" s="254" t="str">
        <f>IF(ISBLANK(INDEX('Policy Characteristics'!A:A,MATCH($C1048,'Policy Characteristics'!$C:$C,0))),"",INDEX('Policy Characteristics'!A:A,MATCH($C1048,'Policy Characteristics'!$C:$C,0)))</f>
        <v>Industry</v>
      </c>
      <c r="B1048" s="262" t="str">
        <f>IF(ISBLANK(INDEX('Policy Characteristics'!B:B,MATCH($C1048,'Policy Characteristics'!$C:$C,0))),"",INDEX('Policy Characteristics'!B:B,MATCH($C1048,'Policy Characteristics'!$C:$C,0)))</f>
        <v>Feedstock Shifting</v>
      </c>
      <c r="C1048" s="254" t="str">
        <f t="shared" si="43"/>
        <v>Fraction of Feedstock Shifted</v>
      </c>
      <c r="D1048" s="6" t="s">
        <v>3082</v>
      </c>
      <c r="E1048" s="45" t="s">
        <v>2402</v>
      </c>
      <c r="F1048" t="s">
        <v>3044</v>
      </c>
      <c r="G1048" s="45" t="s">
        <v>2406</v>
      </c>
      <c r="H1048" s="47">
        <v>2673</v>
      </c>
      <c r="I1048" s="324" t="s">
        <v>44</v>
      </c>
      <c r="J1048" s="255" t="str">
        <f>IF(ISBLANK(INDEX('Policy Characteristics'!D:D,MATCH($C1048,'Policy Characteristics'!$C:$C,0))),"",INDEX('Policy Characteristics'!D:D,MATCH($C1048,'Policy Characteristics'!$C:$C,0)))</f>
        <v>Feedstock Shifting</v>
      </c>
      <c r="K1048" s="254" t="str">
        <f>IF(ISBLANK(INDEX('Policy Characteristics'!E:E,MATCH($C1048,'Policy Characteristics'!$C:$C,0))),"",INDEX('Policy Characteristics'!E:E,MATCH($C1048,'Policy Characteristics'!$C:$C,0)))</f>
        <v>indst feedstock shifting</v>
      </c>
      <c r="L1048" s="261">
        <f>IF(ISBLANK(INDEX('Policy Characteristics'!F:F,MATCH($C1048,'Policy Characteristics'!$C:$C,0))),"",INDEX('Policy Characteristics'!F:F,MATCH($C1048,'Policy Characteristics'!$C:$C,0)))</f>
        <v>0</v>
      </c>
      <c r="M1048" s="261">
        <f>IF(ISBLANK(INDEX('Policy Characteristics'!G:G,MATCH($C1048,'Policy Characteristics'!$C:$C,0))),"",INDEX('Policy Characteristics'!G:G,MATCH($C1048,'Policy Characteristics'!$C:$C,0)))</f>
        <v>1</v>
      </c>
      <c r="N1048" s="261">
        <f>IF(ISBLANK(INDEX('Policy Characteristics'!H:H,MATCH($C1048,'Policy Characteristics'!$C:$C,0))),"",INDEX('Policy Characteristics'!H:H,MATCH($C1048,'Policy Characteristics'!$C:$C,0)))</f>
        <v>0.01</v>
      </c>
      <c r="O1048" s="254" t="str">
        <f>IF(ISBLANK(INDEX('Policy Characteristics'!I:I,MATCH($C1048,'Policy Characteristics'!$C:$C,0))),"",INDEX('Policy Characteristics'!I:I,MATCH($C1048,'Policy Characteristics'!$C:$C,0)))</f>
        <v>% of potential achieved</v>
      </c>
      <c r="P1048" s="254"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4" t="str">
        <f>IF(ISBLANK(INDEX('Policy Characteristics'!K:K,MATCH($C1048,'Policy Characteristics'!$C:$C,0))),"",INDEX('Policy Characteristics'!K:K,MATCH($C1048,'Policy Characteristics'!$C:$C,0)))</f>
        <v/>
      </c>
      <c r="R1048" s="254" t="str">
        <f>IF(ISBLANK(INDEX('Policy Characteristics'!L:L,MATCH($C1048,'Policy Characteristics'!$C:$C,0))),"",INDEX('Policy Characteristics'!L:L,MATCH($C1048,'Policy Characteristics'!$C:$C,0)))</f>
        <v/>
      </c>
    </row>
    <row r="1049" spans="1:18" s="2" customFormat="1" x14ac:dyDescent="0.3">
      <c r="A1049" s="254" t="str">
        <f>IF(ISBLANK(INDEX('Policy Characteristics'!A:A,MATCH($C1049,'Policy Characteristics'!$C:$C,0))),"",INDEX('Policy Characteristics'!A:A,MATCH($C1049,'Policy Characteristics'!$C:$C,0)))</f>
        <v>Industry</v>
      </c>
      <c r="B1049" s="262" t="str">
        <f>IF(ISBLANK(INDEX('Policy Characteristics'!B:B,MATCH($C1049,'Policy Characteristics'!$C:$C,0))),"",INDEX('Policy Characteristics'!B:B,MATCH($C1049,'Policy Characteristics'!$C:$C,0)))</f>
        <v>Feedstock Shifting</v>
      </c>
      <c r="C1049" s="254" t="str">
        <f t="shared" si="43"/>
        <v>Fraction of Feedstock Shifted</v>
      </c>
      <c r="D1049" s="6" t="s">
        <v>3082</v>
      </c>
      <c r="E1049" s="45" t="s">
        <v>2403</v>
      </c>
      <c r="F1049" t="s">
        <v>3044</v>
      </c>
      <c r="G1049" s="45" t="s">
        <v>2407</v>
      </c>
      <c r="H1049" s="47">
        <v>2674</v>
      </c>
      <c r="I1049" s="324" t="s">
        <v>44</v>
      </c>
      <c r="J1049" s="255" t="str">
        <f>IF(ISBLANK(INDEX('Policy Characteristics'!D:D,MATCH($C1049,'Policy Characteristics'!$C:$C,0))),"",INDEX('Policy Characteristics'!D:D,MATCH($C1049,'Policy Characteristics'!$C:$C,0)))</f>
        <v>Feedstock Shifting</v>
      </c>
      <c r="K1049" s="254" t="str">
        <f>IF(ISBLANK(INDEX('Policy Characteristics'!E:E,MATCH($C1049,'Policy Characteristics'!$C:$C,0))),"",INDEX('Policy Characteristics'!E:E,MATCH($C1049,'Policy Characteristics'!$C:$C,0)))</f>
        <v>indst feedstock shifting</v>
      </c>
      <c r="L1049" s="261">
        <f>IF(ISBLANK(INDEX('Policy Characteristics'!F:F,MATCH($C1049,'Policy Characteristics'!$C:$C,0))),"",INDEX('Policy Characteristics'!F:F,MATCH($C1049,'Policy Characteristics'!$C:$C,0)))</f>
        <v>0</v>
      </c>
      <c r="M1049" s="261">
        <f>IF(ISBLANK(INDEX('Policy Characteristics'!G:G,MATCH($C1049,'Policy Characteristics'!$C:$C,0))),"",INDEX('Policy Characteristics'!G:G,MATCH($C1049,'Policy Characteristics'!$C:$C,0)))</f>
        <v>1</v>
      </c>
      <c r="N1049" s="261">
        <f>IF(ISBLANK(INDEX('Policy Characteristics'!H:H,MATCH($C1049,'Policy Characteristics'!$C:$C,0))),"",INDEX('Policy Characteristics'!H:H,MATCH($C1049,'Policy Characteristics'!$C:$C,0)))</f>
        <v>0.01</v>
      </c>
      <c r="O1049" s="254" t="str">
        <f>IF(ISBLANK(INDEX('Policy Characteristics'!I:I,MATCH($C1049,'Policy Characteristics'!$C:$C,0))),"",INDEX('Policy Characteristics'!I:I,MATCH($C1049,'Policy Characteristics'!$C:$C,0)))</f>
        <v>% of potential achieved</v>
      </c>
      <c r="P1049" s="254"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4" t="str">
        <f>IF(ISBLANK(INDEX('Policy Characteristics'!K:K,MATCH($C1049,'Policy Characteristics'!$C:$C,0))),"",INDEX('Policy Characteristics'!K:K,MATCH($C1049,'Policy Characteristics'!$C:$C,0)))</f>
        <v/>
      </c>
      <c r="R1049" s="254" t="str">
        <f>IF(ISBLANK(INDEX('Policy Characteristics'!L:L,MATCH($C1049,'Policy Characteristics'!$C:$C,0))),"",INDEX('Policy Characteristics'!L:L,MATCH($C1049,'Policy Characteristics'!$C:$C,0)))</f>
        <v/>
      </c>
    </row>
    <row r="1050" spans="1:18" s="2" customFormat="1" x14ac:dyDescent="0.3">
      <c r="A1050" s="254" t="str">
        <f>IF(ISBLANK(INDEX('Policy Characteristics'!A:A,MATCH($C1050,'Policy Characteristics'!$C:$C,0))),"",INDEX('Policy Characteristics'!A:A,MATCH($C1050,'Policy Characteristics'!$C:$C,0)))</f>
        <v>Industry</v>
      </c>
      <c r="B1050" s="262" t="str">
        <f>IF(ISBLANK(INDEX('Policy Characteristics'!B:B,MATCH($C1050,'Policy Characteristics'!$C:$C,0))),"",INDEX('Policy Characteristics'!B:B,MATCH($C1050,'Policy Characteristics'!$C:$C,0)))</f>
        <v>Feedstock Shifting</v>
      </c>
      <c r="C1050" s="254" t="str">
        <f t="shared" si="43"/>
        <v>Fraction of Feedstock Shifted</v>
      </c>
      <c r="D1050" s="6" t="s">
        <v>3082</v>
      </c>
      <c r="E1050" s="45" t="s">
        <v>2404</v>
      </c>
      <c r="F1050" t="s">
        <v>3044</v>
      </c>
      <c r="G1050" s="45" t="s">
        <v>2410</v>
      </c>
      <c r="H1050" s="47">
        <v>2675</v>
      </c>
      <c r="I1050" s="324" t="s">
        <v>44</v>
      </c>
      <c r="J1050" s="255" t="str">
        <f>IF(ISBLANK(INDEX('Policy Characteristics'!D:D,MATCH($C1050,'Policy Characteristics'!$C:$C,0))),"",INDEX('Policy Characteristics'!D:D,MATCH($C1050,'Policy Characteristics'!$C:$C,0)))</f>
        <v>Feedstock Shifting</v>
      </c>
      <c r="K1050" s="254" t="str">
        <f>IF(ISBLANK(INDEX('Policy Characteristics'!E:E,MATCH($C1050,'Policy Characteristics'!$C:$C,0))),"",INDEX('Policy Characteristics'!E:E,MATCH($C1050,'Policy Characteristics'!$C:$C,0)))</f>
        <v>indst feedstock shifting</v>
      </c>
      <c r="L1050" s="261">
        <f>IF(ISBLANK(INDEX('Policy Characteristics'!F:F,MATCH($C1050,'Policy Characteristics'!$C:$C,0))),"",INDEX('Policy Characteristics'!F:F,MATCH($C1050,'Policy Characteristics'!$C:$C,0)))</f>
        <v>0</v>
      </c>
      <c r="M1050" s="261">
        <f>IF(ISBLANK(INDEX('Policy Characteristics'!G:G,MATCH($C1050,'Policy Characteristics'!$C:$C,0))),"",INDEX('Policy Characteristics'!G:G,MATCH($C1050,'Policy Characteristics'!$C:$C,0)))</f>
        <v>1</v>
      </c>
      <c r="N1050" s="261">
        <f>IF(ISBLANK(INDEX('Policy Characteristics'!H:H,MATCH($C1050,'Policy Characteristics'!$C:$C,0))),"",INDEX('Policy Characteristics'!H:H,MATCH($C1050,'Policy Characteristics'!$C:$C,0)))</f>
        <v>0.01</v>
      </c>
      <c r="O1050" s="254" t="str">
        <f>IF(ISBLANK(INDEX('Policy Characteristics'!I:I,MATCH($C1050,'Policy Characteristics'!$C:$C,0))),"",INDEX('Policy Characteristics'!I:I,MATCH($C1050,'Policy Characteristics'!$C:$C,0)))</f>
        <v>% of potential achieved</v>
      </c>
      <c r="P1050" s="254"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4" t="str">
        <f>IF(ISBLANK(INDEX('Policy Characteristics'!K:K,MATCH($C1050,'Policy Characteristics'!$C:$C,0))),"",INDEX('Policy Characteristics'!K:K,MATCH($C1050,'Policy Characteristics'!$C:$C,0)))</f>
        <v/>
      </c>
      <c r="R1050" s="254" t="str">
        <f>IF(ISBLANK(INDEX('Policy Characteristics'!L:L,MATCH($C1050,'Policy Characteristics'!$C:$C,0))),"",INDEX('Policy Characteristics'!L:L,MATCH($C1050,'Policy Characteristics'!$C:$C,0)))</f>
        <v/>
      </c>
    </row>
    <row r="1051" spans="1:18" s="2" customFormat="1" x14ac:dyDescent="0.3">
      <c r="A1051" s="254" t="str">
        <f>IF(ISBLANK(INDEX('Policy Characteristics'!A:A,MATCH($C1051,'Policy Characteristics'!$C:$C,0))),"",INDEX('Policy Characteristics'!A:A,MATCH($C1051,'Policy Characteristics'!$C:$C,0)))</f>
        <v>Industry</v>
      </c>
      <c r="B1051" s="262" t="str">
        <f>IF(ISBLANK(INDEX('Policy Characteristics'!B:B,MATCH($C1051,'Policy Characteristics'!$C:$C,0))),"",INDEX('Policy Characteristics'!B:B,MATCH($C1051,'Policy Characteristics'!$C:$C,0)))</f>
        <v>Feedstock Shifting</v>
      </c>
      <c r="C1051" s="254" t="str">
        <f t="shared" si="43"/>
        <v>Fraction of Feedstock Shifted</v>
      </c>
      <c r="D1051" s="6" t="s">
        <v>3082</v>
      </c>
      <c r="E1051" s="45" t="s">
        <v>2706</v>
      </c>
      <c r="F1051" t="s">
        <v>3044</v>
      </c>
      <c r="G1051" s="45" t="s">
        <v>2709</v>
      </c>
      <c r="H1051" s="47">
        <v>2676</v>
      </c>
      <c r="I1051" s="324" t="s">
        <v>44</v>
      </c>
      <c r="J1051" s="255" t="str">
        <f>IF(ISBLANK(INDEX('Policy Characteristics'!D:D,MATCH($C1051,'Policy Characteristics'!$C:$C,0))),"",INDEX('Policy Characteristics'!D:D,MATCH($C1051,'Policy Characteristics'!$C:$C,0)))</f>
        <v>Feedstock Shifting</v>
      </c>
      <c r="K1051" s="254" t="str">
        <f>IF(ISBLANK(INDEX('Policy Characteristics'!E:E,MATCH($C1051,'Policy Characteristics'!$C:$C,0))),"",INDEX('Policy Characteristics'!E:E,MATCH($C1051,'Policy Characteristics'!$C:$C,0)))</f>
        <v>indst feedstock shifting</v>
      </c>
      <c r="L1051" s="261">
        <f>IF(ISBLANK(INDEX('Policy Characteristics'!F:F,MATCH($C1051,'Policy Characteristics'!$C:$C,0))),"",INDEX('Policy Characteristics'!F:F,MATCH($C1051,'Policy Characteristics'!$C:$C,0)))</f>
        <v>0</v>
      </c>
      <c r="M1051" s="261">
        <f>IF(ISBLANK(INDEX('Policy Characteristics'!G:G,MATCH($C1051,'Policy Characteristics'!$C:$C,0))),"",INDEX('Policy Characteristics'!G:G,MATCH($C1051,'Policy Characteristics'!$C:$C,0)))</f>
        <v>1</v>
      </c>
      <c r="N1051" s="261">
        <f>IF(ISBLANK(INDEX('Policy Characteristics'!H:H,MATCH($C1051,'Policy Characteristics'!$C:$C,0))),"",INDEX('Policy Characteristics'!H:H,MATCH($C1051,'Policy Characteristics'!$C:$C,0)))</f>
        <v>0.01</v>
      </c>
      <c r="O1051" s="254" t="str">
        <f>IF(ISBLANK(INDEX('Policy Characteristics'!I:I,MATCH($C1051,'Policy Characteristics'!$C:$C,0))),"",INDEX('Policy Characteristics'!I:I,MATCH($C1051,'Policy Characteristics'!$C:$C,0)))</f>
        <v>% of potential achieved</v>
      </c>
      <c r="P1051" s="254"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4" t="str">
        <f>IF(ISBLANK(INDEX('Policy Characteristics'!K:K,MATCH($C1051,'Policy Characteristics'!$C:$C,0))),"",INDEX('Policy Characteristics'!K:K,MATCH($C1051,'Policy Characteristics'!$C:$C,0)))</f>
        <v/>
      </c>
      <c r="R1051" s="254" t="str">
        <f>IF(ISBLANK(INDEX('Policy Characteristics'!L:L,MATCH($C1051,'Policy Characteristics'!$C:$C,0))),"",INDEX('Policy Characteristics'!L:L,MATCH($C1051,'Policy Characteristics'!$C:$C,0)))</f>
        <v/>
      </c>
    </row>
    <row r="1052" spans="1:18" s="2" customFormat="1" x14ac:dyDescent="0.3">
      <c r="A1052" s="254" t="str">
        <f>IF(ISBLANK(INDEX('Policy Characteristics'!A:A,MATCH($C1052,'Policy Characteristics'!$C:$C,0))),"",INDEX('Policy Characteristics'!A:A,MATCH($C1052,'Policy Characteristics'!$C:$C,0)))</f>
        <v>Industry</v>
      </c>
      <c r="B1052" s="262" t="str">
        <f>IF(ISBLANK(INDEX('Policy Characteristics'!B:B,MATCH($C1052,'Policy Characteristics'!$C:$C,0))),"",INDEX('Policy Characteristics'!B:B,MATCH($C1052,'Policy Characteristics'!$C:$C,0)))</f>
        <v>Feedstock Shifting</v>
      </c>
      <c r="C1052" s="254" t="str">
        <f t="shared" si="43"/>
        <v>Fraction of Feedstock Shifted</v>
      </c>
      <c r="D1052" s="6" t="s">
        <v>3082</v>
      </c>
      <c r="E1052" s="45" t="s">
        <v>2707</v>
      </c>
      <c r="F1052" t="s">
        <v>3044</v>
      </c>
      <c r="G1052" s="45" t="s">
        <v>2711</v>
      </c>
      <c r="H1052" s="47">
        <v>2677</v>
      </c>
      <c r="I1052" s="324" t="s">
        <v>44</v>
      </c>
      <c r="J1052" s="255" t="str">
        <f>IF(ISBLANK(INDEX('Policy Characteristics'!D:D,MATCH($C1052,'Policy Characteristics'!$C:$C,0))),"",INDEX('Policy Characteristics'!D:D,MATCH($C1052,'Policy Characteristics'!$C:$C,0)))</f>
        <v>Feedstock Shifting</v>
      </c>
      <c r="K1052" s="254" t="str">
        <f>IF(ISBLANK(INDEX('Policy Characteristics'!E:E,MATCH($C1052,'Policy Characteristics'!$C:$C,0))),"",INDEX('Policy Characteristics'!E:E,MATCH($C1052,'Policy Characteristics'!$C:$C,0)))</f>
        <v>indst feedstock shifting</v>
      </c>
      <c r="L1052" s="261">
        <f>IF(ISBLANK(INDEX('Policy Characteristics'!F:F,MATCH($C1052,'Policy Characteristics'!$C:$C,0))),"",INDEX('Policy Characteristics'!F:F,MATCH($C1052,'Policy Characteristics'!$C:$C,0)))</f>
        <v>0</v>
      </c>
      <c r="M1052" s="261">
        <f>IF(ISBLANK(INDEX('Policy Characteristics'!G:G,MATCH($C1052,'Policy Characteristics'!$C:$C,0))),"",INDEX('Policy Characteristics'!G:G,MATCH($C1052,'Policy Characteristics'!$C:$C,0)))</f>
        <v>1</v>
      </c>
      <c r="N1052" s="261">
        <f>IF(ISBLANK(INDEX('Policy Characteristics'!H:H,MATCH($C1052,'Policy Characteristics'!$C:$C,0))),"",INDEX('Policy Characteristics'!H:H,MATCH($C1052,'Policy Characteristics'!$C:$C,0)))</f>
        <v>0.01</v>
      </c>
      <c r="O1052" s="254" t="str">
        <f>IF(ISBLANK(INDEX('Policy Characteristics'!I:I,MATCH($C1052,'Policy Characteristics'!$C:$C,0))),"",INDEX('Policy Characteristics'!I:I,MATCH($C1052,'Policy Characteristics'!$C:$C,0)))</f>
        <v>% of potential achieved</v>
      </c>
      <c r="P1052" s="254"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4" t="str">
        <f>IF(ISBLANK(INDEX('Policy Characteristics'!K:K,MATCH($C1052,'Policy Characteristics'!$C:$C,0))),"",INDEX('Policy Characteristics'!K:K,MATCH($C1052,'Policy Characteristics'!$C:$C,0)))</f>
        <v/>
      </c>
      <c r="R1052" s="254" t="str">
        <f>IF(ISBLANK(INDEX('Policy Characteristics'!L:L,MATCH($C1052,'Policy Characteristics'!$C:$C,0))),"",INDEX('Policy Characteristics'!L:L,MATCH($C1052,'Policy Characteristics'!$C:$C,0)))</f>
        <v/>
      </c>
    </row>
    <row r="1053" spans="1:18" s="2" customFormat="1" x14ac:dyDescent="0.3">
      <c r="A1053" s="254" t="str">
        <f>IF(ISBLANK(INDEX('Policy Characteristics'!A:A,MATCH($C1053,'Policy Characteristics'!$C:$C,0))),"",INDEX('Policy Characteristics'!A:A,MATCH($C1053,'Policy Characteristics'!$C:$C,0)))</f>
        <v>Industry</v>
      </c>
      <c r="B1053" s="262" t="str">
        <f>IF(ISBLANK(INDEX('Policy Characteristics'!B:B,MATCH($C1053,'Policy Characteristics'!$C:$C,0))),"",INDEX('Policy Characteristics'!B:B,MATCH($C1053,'Policy Characteristics'!$C:$C,0)))</f>
        <v>Feedstock Shifting</v>
      </c>
      <c r="C1053" s="254" t="str">
        <f t="shared" si="43"/>
        <v>Fraction of Feedstock Shifted</v>
      </c>
      <c r="D1053" s="6" t="s">
        <v>3082</v>
      </c>
      <c r="E1053" s="45" t="s">
        <v>2708</v>
      </c>
      <c r="F1053" t="s">
        <v>3044</v>
      </c>
      <c r="G1053" s="45" t="s">
        <v>2712</v>
      </c>
      <c r="H1053" s="47">
        <v>2678</v>
      </c>
      <c r="I1053" s="324" t="s">
        <v>44</v>
      </c>
      <c r="J1053" s="255" t="str">
        <f>IF(ISBLANK(INDEX('Policy Characteristics'!D:D,MATCH($C1053,'Policy Characteristics'!$C:$C,0))),"",INDEX('Policy Characteristics'!D:D,MATCH($C1053,'Policy Characteristics'!$C:$C,0)))</f>
        <v>Feedstock Shifting</v>
      </c>
      <c r="K1053" s="254" t="str">
        <f>IF(ISBLANK(INDEX('Policy Characteristics'!E:E,MATCH($C1053,'Policy Characteristics'!$C:$C,0))),"",INDEX('Policy Characteristics'!E:E,MATCH($C1053,'Policy Characteristics'!$C:$C,0)))</f>
        <v>indst feedstock shifting</v>
      </c>
      <c r="L1053" s="261">
        <f>IF(ISBLANK(INDEX('Policy Characteristics'!F:F,MATCH($C1053,'Policy Characteristics'!$C:$C,0))),"",INDEX('Policy Characteristics'!F:F,MATCH($C1053,'Policy Characteristics'!$C:$C,0)))</f>
        <v>0</v>
      </c>
      <c r="M1053" s="261">
        <f>IF(ISBLANK(INDEX('Policy Characteristics'!G:G,MATCH($C1053,'Policy Characteristics'!$C:$C,0))),"",INDEX('Policy Characteristics'!G:G,MATCH($C1053,'Policy Characteristics'!$C:$C,0)))</f>
        <v>1</v>
      </c>
      <c r="N1053" s="261">
        <f>IF(ISBLANK(INDEX('Policy Characteristics'!H:H,MATCH($C1053,'Policy Characteristics'!$C:$C,0))),"",INDEX('Policy Characteristics'!H:H,MATCH($C1053,'Policy Characteristics'!$C:$C,0)))</f>
        <v>0.01</v>
      </c>
      <c r="O1053" s="254" t="str">
        <f>IF(ISBLANK(INDEX('Policy Characteristics'!I:I,MATCH($C1053,'Policy Characteristics'!$C:$C,0))),"",INDEX('Policy Characteristics'!I:I,MATCH($C1053,'Policy Characteristics'!$C:$C,0)))</f>
        <v>% of potential achieved</v>
      </c>
      <c r="P1053" s="254"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4" t="str">
        <f>IF(ISBLANK(INDEX('Policy Characteristics'!K:K,MATCH($C1053,'Policy Characteristics'!$C:$C,0))),"",INDEX('Policy Characteristics'!K:K,MATCH($C1053,'Policy Characteristics'!$C:$C,0)))</f>
        <v/>
      </c>
      <c r="R1053" s="254" t="str">
        <f>IF(ISBLANK(INDEX('Policy Characteristics'!L:L,MATCH($C1053,'Policy Characteristics'!$C:$C,0))),"",INDEX('Policy Characteristics'!L:L,MATCH($C1053,'Policy Characteristics'!$C:$C,0)))</f>
        <v/>
      </c>
    </row>
    <row r="1054" spans="1:18" s="2" customFormat="1" x14ac:dyDescent="0.3">
      <c r="A1054" s="254" t="str">
        <f>IF(ISBLANK(INDEX('Policy Characteristics'!A:A,MATCH($C1054,'Policy Characteristics'!$C:$C,0))),"",INDEX('Policy Characteristics'!A:A,MATCH($C1054,'Policy Characteristics'!$C:$C,0)))</f>
        <v>Industry</v>
      </c>
      <c r="B1054" s="262" t="str">
        <f>IF(ISBLANK(INDEX('Policy Characteristics'!B:B,MATCH($C1054,'Policy Characteristics'!$C:$C,0))),"",INDEX('Policy Characteristics'!B:B,MATCH($C1054,'Policy Characteristics'!$C:$C,0)))</f>
        <v>Feedstock Shifting</v>
      </c>
      <c r="C1054" s="254" t="str">
        <f t="shared" si="43"/>
        <v>Fraction of Feedstock Shifted</v>
      </c>
      <c r="D1054" s="6" t="s">
        <v>3082</v>
      </c>
      <c r="E1054" s="45" t="s">
        <v>2705</v>
      </c>
      <c r="F1054" t="s">
        <v>3044</v>
      </c>
      <c r="G1054" s="45" t="s">
        <v>2710</v>
      </c>
      <c r="H1054" s="47">
        <v>2679</v>
      </c>
      <c r="I1054" s="324" t="s">
        <v>44</v>
      </c>
      <c r="J1054" s="255" t="str">
        <f>IF(ISBLANK(INDEX('Policy Characteristics'!D:D,MATCH($C1054,'Policy Characteristics'!$C:$C,0))),"",INDEX('Policy Characteristics'!D:D,MATCH($C1054,'Policy Characteristics'!$C:$C,0)))</f>
        <v>Feedstock Shifting</v>
      </c>
      <c r="K1054" s="254" t="str">
        <f>IF(ISBLANK(INDEX('Policy Characteristics'!E:E,MATCH($C1054,'Policy Characteristics'!$C:$C,0))),"",INDEX('Policy Characteristics'!E:E,MATCH($C1054,'Policy Characteristics'!$C:$C,0)))</f>
        <v>indst feedstock shifting</v>
      </c>
      <c r="L1054" s="261">
        <f>IF(ISBLANK(INDEX('Policy Characteristics'!F:F,MATCH($C1054,'Policy Characteristics'!$C:$C,0))),"",INDEX('Policy Characteristics'!F:F,MATCH($C1054,'Policy Characteristics'!$C:$C,0)))</f>
        <v>0</v>
      </c>
      <c r="M1054" s="261">
        <f>IF(ISBLANK(INDEX('Policy Characteristics'!G:G,MATCH($C1054,'Policy Characteristics'!$C:$C,0))),"",INDEX('Policy Characteristics'!G:G,MATCH($C1054,'Policy Characteristics'!$C:$C,0)))</f>
        <v>1</v>
      </c>
      <c r="N1054" s="261">
        <f>IF(ISBLANK(INDEX('Policy Characteristics'!H:H,MATCH($C1054,'Policy Characteristics'!$C:$C,0))),"",INDEX('Policy Characteristics'!H:H,MATCH($C1054,'Policy Characteristics'!$C:$C,0)))</f>
        <v>0.01</v>
      </c>
      <c r="O1054" s="254" t="str">
        <f>IF(ISBLANK(INDEX('Policy Characteristics'!I:I,MATCH($C1054,'Policy Characteristics'!$C:$C,0))),"",INDEX('Policy Characteristics'!I:I,MATCH($C1054,'Policy Characteristics'!$C:$C,0)))</f>
        <v>% of potential achieved</v>
      </c>
      <c r="P1054" s="254"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4" t="str">
        <f>IF(ISBLANK(INDEX('Policy Characteristics'!K:K,MATCH($C1054,'Policy Characteristics'!$C:$C,0))),"",INDEX('Policy Characteristics'!K:K,MATCH($C1054,'Policy Characteristics'!$C:$C,0)))</f>
        <v/>
      </c>
      <c r="R1054" s="254" t="str">
        <f>IF(ISBLANK(INDEX('Policy Characteristics'!L:L,MATCH($C1054,'Policy Characteristics'!$C:$C,0))),"",INDEX('Policy Characteristics'!L:L,MATCH($C1054,'Policy Characteristics'!$C:$C,0)))</f>
        <v/>
      </c>
    </row>
    <row r="1055" spans="1:18" s="2" customFormat="1" x14ac:dyDescent="0.3">
      <c r="A1055" s="254" t="str">
        <f>IF(ISBLANK(INDEX('Policy Characteristics'!A:A,MATCH($C1055,'Policy Characteristics'!$C:$C,0))),"",INDEX('Policy Characteristics'!A:A,MATCH($C1055,'Policy Characteristics'!$C:$C,0)))</f>
        <v>Industry</v>
      </c>
      <c r="B1055" s="262" t="str">
        <f>IF(ISBLANK(INDEX('Policy Characteristics'!B:B,MATCH($C1055,'Policy Characteristics'!$C:$C,0))),"",INDEX('Policy Characteristics'!B:B,MATCH($C1055,'Policy Characteristics'!$C:$C,0)))</f>
        <v>Feedstock Shifting</v>
      </c>
      <c r="C1055" s="254" t="str">
        <f t="shared" si="43"/>
        <v>Fraction of Feedstock Shifted</v>
      </c>
      <c r="D1055" s="6" t="s">
        <v>3083</v>
      </c>
      <c r="E1055" s="45" t="s">
        <v>2399</v>
      </c>
      <c r="F1055" t="s">
        <v>3045</v>
      </c>
      <c r="G1055" s="45" t="s">
        <v>2405</v>
      </c>
      <c r="H1055" s="47">
        <v>2680</v>
      </c>
      <c r="I1055" s="324" t="s">
        <v>44</v>
      </c>
      <c r="J1055" s="255" t="str">
        <f>IF(ISBLANK(INDEX('Policy Characteristics'!D:D,MATCH($C1055,'Policy Characteristics'!$C:$C,0))),"",INDEX('Policy Characteristics'!D:D,MATCH($C1055,'Policy Characteristics'!$C:$C,0)))</f>
        <v>Feedstock Shifting</v>
      </c>
      <c r="K1055" s="254" t="str">
        <f>IF(ISBLANK(INDEX('Policy Characteristics'!E:E,MATCH($C1055,'Policy Characteristics'!$C:$C,0))),"",INDEX('Policy Characteristics'!E:E,MATCH($C1055,'Policy Characteristics'!$C:$C,0)))</f>
        <v>indst feedstock shifting</v>
      </c>
      <c r="L1055" s="261">
        <f>IF(ISBLANK(INDEX('Policy Characteristics'!F:F,MATCH($C1055,'Policy Characteristics'!$C:$C,0))),"",INDEX('Policy Characteristics'!F:F,MATCH($C1055,'Policy Characteristics'!$C:$C,0)))</f>
        <v>0</v>
      </c>
      <c r="M1055" s="261">
        <f>IF(ISBLANK(INDEX('Policy Characteristics'!G:G,MATCH($C1055,'Policy Characteristics'!$C:$C,0))),"",INDEX('Policy Characteristics'!G:G,MATCH($C1055,'Policy Characteristics'!$C:$C,0)))</f>
        <v>1</v>
      </c>
      <c r="N1055" s="261">
        <f>IF(ISBLANK(INDEX('Policy Characteristics'!H:H,MATCH($C1055,'Policy Characteristics'!$C:$C,0))),"",INDEX('Policy Characteristics'!H:H,MATCH($C1055,'Policy Characteristics'!$C:$C,0)))</f>
        <v>0.01</v>
      </c>
      <c r="O1055" s="254" t="str">
        <f>IF(ISBLANK(INDEX('Policy Characteristics'!I:I,MATCH($C1055,'Policy Characteristics'!$C:$C,0))),"",INDEX('Policy Characteristics'!I:I,MATCH($C1055,'Policy Characteristics'!$C:$C,0)))</f>
        <v>% of potential achieved</v>
      </c>
      <c r="P1055" s="254"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4" t="str">
        <f>IF(ISBLANK(INDEX('Policy Characteristics'!K:K,MATCH($C1055,'Policy Characteristics'!$C:$C,0))),"",INDEX('Policy Characteristics'!K:K,MATCH($C1055,'Policy Characteristics'!$C:$C,0)))</f>
        <v/>
      </c>
      <c r="R1055" s="254" t="str">
        <f>IF(ISBLANK(INDEX('Policy Characteristics'!L:L,MATCH($C1055,'Policy Characteristics'!$C:$C,0))),"",INDEX('Policy Characteristics'!L:L,MATCH($C1055,'Policy Characteristics'!$C:$C,0)))</f>
        <v/>
      </c>
    </row>
    <row r="1056" spans="1:18" s="2" customFormat="1" x14ac:dyDescent="0.3">
      <c r="A1056" s="254" t="str">
        <f>IF(ISBLANK(INDEX('Policy Characteristics'!A:A,MATCH($C1056,'Policy Characteristics'!$C:$C,0))),"",INDEX('Policy Characteristics'!A:A,MATCH($C1056,'Policy Characteristics'!$C:$C,0)))</f>
        <v>Industry</v>
      </c>
      <c r="B1056" s="262" t="str">
        <f>IF(ISBLANK(INDEX('Policy Characteristics'!B:B,MATCH($C1056,'Policy Characteristics'!$C:$C,0))),"",INDEX('Policy Characteristics'!B:B,MATCH($C1056,'Policy Characteristics'!$C:$C,0)))</f>
        <v>Feedstock Shifting</v>
      </c>
      <c r="C1056" s="254" t="str">
        <f t="shared" si="43"/>
        <v>Fraction of Feedstock Shifted</v>
      </c>
      <c r="D1056" s="6" t="s">
        <v>3083</v>
      </c>
      <c r="E1056" s="45" t="s">
        <v>2400</v>
      </c>
      <c r="F1056" t="s">
        <v>3045</v>
      </c>
      <c r="G1056" s="45" t="s">
        <v>2408</v>
      </c>
      <c r="H1056" s="47">
        <v>2681</v>
      </c>
      <c r="I1056" s="324" t="s">
        <v>44</v>
      </c>
      <c r="J1056" s="255" t="str">
        <f>IF(ISBLANK(INDEX('Policy Characteristics'!D:D,MATCH($C1056,'Policy Characteristics'!$C:$C,0))),"",INDEX('Policy Characteristics'!D:D,MATCH($C1056,'Policy Characteristics'!$C:$C,0)))</f>
        <v>Feedstock Shifting</v>
      </c>
      <c r="K1056" s="254" t="str">
        <f>IF(ISBLANK(INDEX('Policy Characteristics'!E:E,MATCH($C1056,'Policy Characteristics'!$C:$C,0))),"",INDEX('Policy Characteristics'!E:E,MATCH($C1056,'Policy Characteristics'!$C:$C,0)))</f>
        <v>indst feedstock shifting</v>
      </c>
      <c r="L1056" s="261">
        <f>IF(ISBLANK(INDEX('Policy Characteristics'!F:F,MATCH($C1056,'Policy Characteristics'!$C:$C,0))),"",INDEX('Policy Characteristics'!F:F,MATCH($C1056,'Policy Characteristics'!$C:$C,0)))</f>
        <v>0</v>
      </c>
      <c r="M1056" s="261">
        <f>IF(ISBLANK(INDEX('Policy Characteristics'!G:G,MATCH($C1056,'Policy Characteristics'!$C:$C,0))),"",INDEX('Policy Characteristics'!G:G,MATCH($C1056,'Policy Characteristics'!$C:$C,0)))</f>
        <v>1</v>
      </c>
      <c r="N1056" s="261">
        <f>IF(ISBLANK(INDEX('Policy Characteristics'!H:H,MATCH($C1056,'Policy Characteristics'!$C:$C,0))),"",INDEX('Policy Characteristics'!H:H,MATCH($C1056,'Policy Characteristics'!$C:$C,0)))</f>
        <v>0.01</v>
      </c>
      <c r="O1056" s="254" t="str">
        <f>IF(ISBLANK(INDEX('Policy Characteristics'!I:I,MATCH($C1056,'Policy Characteristics'!$C:$C,0))),"",INDEX('Policy Characteristics'!I:I,MATCH($C1056,'Policy Characteristics'!$C:$C,0)))</f>
        <v>% of potential achieved</v>
      </c>
      <c r="P1056" s="254"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4" t="str">
        <f>IF(ISBLANK(INDEX('Policy Characteristics'!K:K,MATCH($C1056,'Policy Characteristics'!$C:$C,0))),"",INDEX('Policy Characteristics'!K:K,MATCH($C1056,'Policy Characteristics'!$C:$C,0)))</f>
        <v/>
      </c>
      <c r="R1056" s="254" t="str">
        <f>IF(ISBLANK(INDEX('Policy Characteristics'!L:L,MATCH($C1056,'Policy Characteristics'!$C:$C,0))),"",INDEX('Policy Characteristics'!L:L,MATCH($C1056,'Policy Characteristics'!$C:$C,0)))</f>
        <v/>
      </c>
    </row>
    <row r="1057" spans="1:18" s="2" customFormat="1" x14ac:dyDescent="0.3">
      <c r="A1057" s="254" t="str">
        <f>IF(ISBLANK(INDEX('Policy Characteristics'!A:A,MATCH($C1057,'Policy Characteristics'!$C:$C,0))),"",INDEX('Policy Characteristics'!A:A,MATCH($C1057,'Policy Characteristics'!$C:$C,0)))</f>
        <v>Industry</v>
      </c>
      <c r="B1057" s="262" t="str">
        <f>IF(ISBLANK(INDEX('Policy Characteristics'!B:B,MATCH($C1057,'Policy Characteristics'!$C:$C,0))),"",INDEX('Policy Characteristics'!B:B,MATCH($C1057,'Policy Characteristics'!$C:$C,0)))</f>
        <v>Feedstock Shifting</v>
      </c>
      <c r="C1057" s="254" t="str">
        <f t="shared" si="43"/>
        <v>Fraction of Feedstock Shifted</v>
      </c>
      <c r="D1057" s="6" t="s">
        <v>3083</v>
      </c>
      <c r="E1057" s="45" t="s">
        <v>2401</v>
      </c>
      <c r="F1057" t="s">
        <v>3045</v>
      </c>
      <c r="G1057" s="45" t="s">
        <v>2409</v>
      </c>
      <c r="H1057" s="47">
        <v>2682</v>
      </c>
      <c r="I1057" s="324" t="s">
        <v>44</v>
      </c>
      <c r="J1057" s="255" t="str">
        <f>IF(ISBLANK(INDEX('Policy Characteristics'!D:D,MATCH($C1057,'Policy Characteristics'!$C:$C,0))),"",INDEX('Policy Characteristics'!D:D,MATCH($C1057,'Policy Characteristics'!$C:$C,0)))</f>
        <v>Feedstock Shifting</v>
      </c>
      <c r="K1057" s="254" t="str">
        <f>IF(ISBLANK(INDEX('Policy Characteristics'!E:E,MATCH($C1057,'Policy Characteristics'!$C:$C,0))),"",INDEX('Policy Characteristics'!E:E,MATCH($C1057,'Policy Characteristics'!$C:$C,0)))</f>
        <v>indst feedstock shifting</v>
      </c>
      <c r="L1057" s="261">
        <f>IF(ISBLANK(INDEX('Policy Characteristics'!F:F,MATCH($C1057,'Policy Characteristics'!$C:$C,0))),"",INDEX('Policy Characteristics'!F:F,MATCH($C1057,'Policy Characteristics'!$C:$C,0)))</f>
        <v>0</v>
      </c>
      <c r="M1057" s="261">
        <f>IF(ISBLANK(INDEX('Policy Characteristics'!G:G,MATCH($C1057,'Policy Characteristics'!$C:$C,0))),"",INDEX('Policy Characteristics'!G:G,MATCH($C1057,'Policy Characteristics'!$C:$C,0)))</f>
        <v>1</v>
      </c>
      <c r="N1057" s="261">
        <f>IF(ISBLANK(INDEX('Policy Characteristics'!H:H,MATCH($C1057,'Policy Characteristics'!$C:$C,0))),"",INDEX('Policy Characteristics'!H:H,MATCH($C1057,'Policy Characteristics'!$C:$C,0)))</f>
        <v>0.01</v>
      </c>
      <c r="O1057" s="254" t="str">
        <f>IF(ISBLANK(INDEX('Policy Characteristics'!I:I,MATCH($C1057,'Policy Characteristics'!$C:$C,0))),"",INDEX('Policy Characteristics'!I:I,MATCH($C1057,'Policy Characteristics'!$C:$C,0)))</f>
        <v>% of potential achieved</v>
      </c>
      <c r="P1057" s="254"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4" t="str">
        <f>IF(ISBLANK(INDEX('Policy Characteristics'!K:K,MATCH($C1057,'Policy Characteristics'!$C:$C,0))),"",INDEX('Policy Characteristics'!K:K,MATCH($C1057,'Policy Characteristics'!$C:$C,0)))</f>
        <v/>
      </c>
      <c r="R1057" s="254" t="str">
        <f>IF(ISBLANK(INDEX('Policy Characteristics'!L:L,MATCH($C1057,'Policy Characteristics'!$C:$C,0))),"",INDEX('Policy Characteristics'!L:L,MATCH($C1057,'Policy Characteristics'!$C:$C,0)))</f>
        <v/>
      </c>
    </row>
    <row r="1058" spans="1:18" s="2" customFormat="1" x14ac:dyDescent="0.3">
      <c r="A1058" s="254" t="str">
        <f>IF(ISBLANK(INDEX('Policy Characteristics'!A:A,MATCH($C1058,'Policy Characteristics'!$C:$C,0))),"",INDEX('Policy Characteristics'!A:A,MATCH($C1058,'Policy Characteristics'!$C:$C,0)))</f>
        <v>Industry</v>
      </c>
      <c r="B1058" s="262" t="str">
        <f>IF(ISBLANK(INDEX('Policy Characteristics'!B:B,MATCH($C1058,'Policy Characteristics'!$C:$C,0))),"",INDEX('Policy Characteristics'!B:B,MATCH($C1058,'Policy Characteristics'!$C:$C,0)))</f>
        <v>Feedstock Shifting</v>
      </c>
      <c r="C1058" s="254" t="str">
        <f t="shared" si="43"/>
        <v>Fraction of Feedstock Shifted</v>
      </c>
      <c r="D1058" s="6" t="s">
        <v>3083</v>
      </c>
      <c r="E1058" s="45" t="s">
        <v>2402</v>
      </c>
      <c r="F1058" t="s">
        <v>3045</v>
      </c>
      <c r="G1058" s="45" t="s">
        <v>2406</v>
      </c>
      <c r="H1058" s="47">
        <v>2683</v>
      </c>
      <c r="I1058" s="324" t="s">
        <v>44</v>
      </c>
      <c r="J1058" s="255" t="str">
        <f>IF(ISBLANK(INDEX('Policy Characteristics'!D:D,MATCH($C1058,'Policy Characteristics'!$C:$C,0))),"",INDEX('Policy Characteristics'!D:D,MATCH($C1058,'Policy Characteristics'!$C:$C,0)))</f>
        <v>Feedstock Shifting</v>
      </c>
      <c r="K1058" s="254" t="str">
        <f>IF(ISBLANK(INDEX('Policy Characteristics'!E:E,MATCH($C1058,'Policy Characteristics'!$C:$C,0))),"",INDEX('Policy Characteristics'!E:E,MATCH($C1058,'Policy Characteristics'!$C:$C,0)))</f>
        <v>indst feedstock shifting</v>
      </c>
      <c r="L1058" s="261">
        <f>IF(ISBLANK(INDEX('Policy Characteristics'!F:F,MATCH($C1058,'Policy Characteristics'!$C:$C,0))),"",INDEX('Policy Characteristics'!F:F,MATCH($C1058,'Policy Characteristics'!$C:$C,0)))</f>
        <v>0</v>
      </c>
      <c r="M1058" s="261">
        <f>IF(ISBLANK(INDEX('Policy Characteristics'!G:G,MATCH($C1058,'Policy Characteristics'!$C:$C,0))),"",INDEX('Policy Characteristics'!G:G,MATCH($C1058,'Policy Characteristics'!$C:$C,0)))</f>
        <v>1</v>
      </c>
      <c r="N1058" s="261">
        <f>IF(ISBLANK(INDEX('Policy Characteristics'!H:H,MATCH($C1058,'Policy Characteristics'!$C:$C,0))),"",INDEX('Policy Characteristics'!H:H,MATCH($C1058,'Policy Characteristics'!$C:$C,0)))</f>
        <v>0.01</v>
      </c>
      <c r="O1058" s="254" t="str">
        <f>IF(ISBLANK(INDEX('Policy Characteristics'!I:I,MATCH($C1058,'Policy Characteristics'!$C:$C,0))),"",INDEX('Policy Characteristics'!I:I,MATCH($C1058,'Policy Characteristics'!$C:$C,0)))</f>
        <v>% of potential achieved</v>
      </c>
      <c r="P1058" s="254"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4" t="str">
        <f>IF(ISBLANK(INDEX('Policy Characteristics'!K:K,MATCH($C1058,'Policy Characteristics'!$C:$C,0))),"",INDEX('Policy Characteristics'!K:K,MATCH($C1058,'Policy Characteristics'!$C:$C,0)))</f>
        <v/>
      </c>
      <c r="R1058" s="254" t="str">
        <f>IF(ISBLANK(INDEX('Policy Characteristics'!L:L,MATCH($C1058,'Policy Characteristics'!$C:$C,0))),"",INDEX('Policy Characteristics'!L:L,MATCH($C1058,'Policy Characteristics'!$C:$C,0)))</f>
        <v/>
      </c>
    </row>
    <row r="1059" spans="1:18" s="2" customFormat="1" x14ac:dyDescent="0.3">
      <c r="A1059" s="254" t="str">
        <f>IF(ISBLANK(INDEX('Policy Characteristics'!A:A,MATCH($C1059,'Policy Characteristics'!$C:$C,0))),"",INDEX('Policy Characteristics'!A:A,MATCH($C1059,'Policy Characteristics'!$C:$C,0)))</f>
        <v>Industry</v>
      </c>
      <c r="B1059" s="262" t="str">
        <f>IF(ISBLANK(INDEX('Policy Characteristics'!B:B,MATCH($C1059,'Policy Characteristics'!$C:$C,0))),"",INDEX('Policy Characteristics'!B:B,MATCH($C1059,'Policy Characteristics'!$C:$C,0)))</f>
        <v>Feedstock Shifting</v>
      </c>
      <c r="C1059" s="254" t="str">
        <f t="shared" si="43"/>
        <v>Fraction of Feedstock Shifted</v>
      </c>
      <c r="D1059" s="6" t="s">
        <v>3083</v>
      </c>
      <c r="E1059" s="45" t="s">
        <v>2403</v>
      </c>
      <c r="F1059" t="s">
        <v>3045</v>
      </c>
      <c r="G1059" s="45" t="s">
        <v>2407</v>
      </c>
      <c r="H1059" s="47">
        <v>2684</v>
      </c>
      <c r="I1059" s="324" t="s">
        <v>44</v>
      </c>
      <c r="J1059" s="255" t="str">
        <f>IF(ISBLANK(INDEX('Policy Characteristics'!D:D,MATCH($C1059,'Policy Characteristics'!$C:$C,0))),"",INDEX('Policy Characteristics'!D:D,MATCH($C1059,'Policy Characteristics'!$C:$C,0)))</f>
        <v>Feedstock Shifting</v>
      </c>
      <c r="K1059" s="254" t="str">
        <f>IF(ISBLANK(INDEX('Policy Characteristics'!E:E,MATCH($C1059,'Policy Characteristics'!$C:$C,0))),"",INDEX('Policy Characteristics'!E:E,MATCH($C1059,'Policy Characteristics'!$C:$C,0)))</f>
        <v>indst feedstock shifting</v>
      </c>
      <c r="L1059" s="261">
        <f>IF(ISBLANK(INDEX('Policy Characteristics'!F:F,MATCH($C1059,'Policy Characteristics'!$C:$C,0))),"",INDEX('Policy Characteristics'!F:F,MATCH($C1059,'Policy Characteristics'!$C:$C,0)))</f>
        <v>0</v>
      </c>
      <c r="M1059" s="261">
        <f>IF(ISBLANK(INDEX('Policy Characteristics'!G:G,MATCH($C1059,'Policy Characteristics'!$C:$C,0))),"",INDEX('Policy Characteristics'!G:G,MATCH($C1059,'Policy Characteristics'!$C:$C,0)))</f>
        <v>1</v>
      </c>
      <c r="N1059" s="261">
        <f>IF(ISBLANK(INDEX('Policy Characteristics'!H:H,MATCH($C1059,'Policy Characteristics'!$C:$C,0))),"",INDEX('Policy Characteristics'!H:H,MATCH($C1059,'Policy Characteristics'!$C:$C,0)))</f>
        <v>0.01</v>
      </c>
      <c r="O1059" s="254" t="str">
        <f>IF(ISBLANK(INDEX('Policy Characteristics'!I:I,MATCH($C1059,'Policy Characteristics'!$C:$C,0))),"",INDEX('Policy Characteristics'!I:I,MATCH($C1059,'Policy Characteristics'!$C:$C,0)))</f>
        <v>% of potential achieved</v>
      </c>
      <c r="P1059" s="254"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4" t="str">
        <f>IF(ISBLANK(INDEX('Policy Characteristics'!K:K,MATCH($C1059,'Policy Characteristics'!$C:$C,0))),"",INDEX('Policy Characteristics'!K:K,MATCH($C1059,'Policy Characteristics'!$C:$C,0)))</f>
        <v/>
      </c>
      <c r="R1059" s="254" t="str">
        <f>IF(ISBLANK(INDEX('Policy Characteristics'!L:L,MATCH($C1059,'Policy Characteristics'!$C:$C,0))),"",INDEX('Policy Characteristics'!L:L,MATCH($C1059,'Policy Characteristics'!$C:$C,0)))</f>
        <v/>
      </c>
    </row>
    <row r="1060" spans="1:18" s="2" customFormat="1" x14ac:dyDescent="0.3">
      <c r="A1060" s="254" t="str">
        <f>IF(ISBLANK(INDEX('Policy Characteristics'!A:A,MATCH($C1060,'Policy Characteristics'!$C:$C,0))),"",INDEX('Policy Characteristics'!A:A,MATCH($C1060,'Policy Characteristics'!$C:$C,0)))</f>
        <v>Industry</v>
      </c>
      <c r="B1060" s="262" t="str">
        <f>IF(ISBLANK(INDEX('Policy Characteristics'!B:B,MATCH($C1060,'Policy Characteristics'!$C:$C,0))),"",INDEX('Policy Characteristics'!B:B,MATCH($C1060,'Policy Characteristics'!$C:$C,0)))</f>
        <v>Feedstock Shifting</v>
      </c>
      <c r="C1060" s="254" t="str">
        <f t="shared" si="43"/>
        <v>Fraction of Feedstock Shifted</v>
      </c>
      <c r="D1060" s="6" t="s">
        <v>3083</v>
      </c>
      <c r="E1060" s="45" t="s">
        <v>2404</v>
      </c>
      <c r="F1060" t="s">
        <v>3045</v>
      </c>
      <c r="G1060" s="45" t="s">
        <v>2410</v>
      </c>
      <c r="H1060" s="47">
        <v>2685</v>
      </c>
      <c r="I1060" s="324" t="s">
        <v>44</v>
      </c>
      <c r="J1060" s="255" t="str">
        <f>IF(ISBLANK(INDEX('Policy Characteristics'!D:D,MATCH($C1060,'Policy Characteristics'!$C:$C,0))),"",INDEX('Policy Characteristics'!D:D,MATCH($C1060,'Policy Characteristics'!$C:$C,0)))</f>
        <v>Feedstock Shifting</v>
      </c>
      <c r="K1060" s="254" t="str">
        <f>IF(ISBLANK(INDEX('Policy Characteristics'!E:E,MATCH($C1060,'Policy Characteristics'!$C:$C,0))),"",INDEX('Policy Characteristics'!E:E,MATCH($C1060,'Policy Characteristics'!$C:$C,0)))</f>
        <v>indst feedstock shifting</v>
      </c>
      <c r="L1060" s="261">
        <f>IF(ISBLANK(INDEX('Policy Characteristics'!F:F,MATCH($C1060,'Policy Characteristics'!$C:$C,0))),"",INDEX('Policy Characteristics'!F:F,MATCH($C1060,'Policy Characteristics'!$C:$C,0)))</f>
        <v>0</v>
      </c>
      <c r="M1060" s="261">
        <f>IF(ISBLANK(INDEX('Policy Characteristics'!G:G,MATCH($C1060,'Policy Characteristics'!$C:$C,0))),"",INDEX('Policy Characteristics'!G:G,MATCH($C1060,'Policy Characteristics'!$C:$C,0)))</f>
        <v>1</v>
      </c>
      <c r="N1060" s="261">
        <f>IF(ISBLANK(INDEX('Policy Characteristics'!H:H,MATCH($C1060,'Policy Characteristics'!$C:$C,0))),"",INDEX('Policy Characteristics'!H:H,MATCH($C1060,'Policy Characteristics'!$C:$C,0)))</f>
        <v>0.01</v>
      </c>
      <c r="O1060" s="254" t="str">
        <f>IF(ISBLANK(INDEX('Policy Characteristics'!I:I,MATCH($C1060,'Policy Characteristics'!$C:$C,0))),"",INDEX('Policy Characteristics'!I:I,MATCH($C1060,'Policy Characteristics'!$C:$C,0)))</f>
        <v>% of potential achieved</v>
      </c>
      <c r="P1060" s="254"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4" t="str">
        <f>IF(ISBLANK(INDEX('Policy Characteristics'!K:K,MATCH($C1060,'Policy Characteristics'!$C:$C,0))),"",INDEX('Policy Characteristics'!K:K,MATCH($C1060,'Policy Characteristics'!$C:$C,0)))</f>
        <v/>
      </c>
      <c r="R1060" s="254" t="str">
        <f>IF(ISBLANK(INDEX('Policy Characteristics'!L:L,MATCH($C1060,'Policy Characteristics'!$C:$C,0))),"",INDEX('Policy Characteristics'!L:L,MATCH($C1060,'Policy Characteristics'!$C:$C,0)))</f>
        <v/>
      </c>
    </row>
    <row r="1061" spans="1:18" s="2" customFormat="1" x14ac:dyDescent="0.3">
      <c r="A1061" s="254" t="str">
        <f>IF(ISBLANK(INDEX('Policy Characteristics'!A:A,MATCH($C1061,'Policy Characteristics'!$C:$C,0))),"",INDEX('Policy Characteristics'!A:A,MATCH($C1061,'Policy Characteristics'!$C:$C,0)))</f>
        <v>Industry</v>
      </c>
      <c r="B1061" s="262" t="str">
        <f>IF(ISBLANK(INDEX('Policy Characteristics'!B:B,MATCH($C1061,'Policy Characteristics'!$C:$C,0))),"",INDEX('Policy Characteristics'!B:B,MATCH($C1061,'Policy Characteristics'!$C:$C,0)))</f>
        <v>Feedstock Shifting</v>
      </c>
      <c r="C1061" s="254" t="str">
        <f t="shared" si="43"/>
        <v>Fraction of Feedstock Shifted</v>
      </c>
      <c r="D1061" s="6" t="s">
        <v>3083</v>
      </c>
      <c r="E1061" s="45" t="s">
        <v>2706</v>
      </c>
      <c r="F1061" t="s">
        <v>3045</v>
      </c>
      <c r="G1061" s="45" t="s">
        <v>2709</v>
      </c>
      <c r="H1061" s="47">
        <v>2686</v>
      </c>
      <c r="I1061" s="324" t="s">
        <v>44</v>
      </c>
      <c r="J1061" s="255" t="str">
        <f>IF(ISBLANK(INDEX('Policy Characteristics'!D:D,MATCH($C1061,'Policy Characteristics'!$C:$C,0))),"",INDEX('Policy Characteristics'!D:D,MATCH($C1061,'Policy Characteristics'!$C:$C,0)))</f>
        <v>Feedstock Shifting</v>
      </c>
      <c r="K1061" s="254" t="str">
        <f>IF(ISBLANK(INDEX('Policy Characteristics'!E:E,MATCH($C1061,'Policy Characteristics'!$C:$C,0))),"",INDEX('Policy Characteristics'!E:E,MATCH($C1061,'Policy Characteristics'!$C:$C,0)))</f>
        <v>indst feedstock shifting</v>
      </c>
      <c r="L1061" s="261">
        <f>IF(ISBLANK(INDEX('Policy Characteristics'!F:F,MATCH($C1061,'Policy Characteristics'!$C:$C,0))),"",INDEX('Policy Characteristics'!F:F,MATCH($C1061,'Policy Characteristics'!$C:$C,0)))</f>
        <v>0</v>
      </c>
      <c r="M1061" s="261">
        <f>IF(ISBLANK(INDEX('Policy Characteristics'!G:G,MATCH($C1061,'Policy Characteristics'!$C:$C,0))),"",INDEX('Policy Characteristics'!G:G,MATCH($C1061,'Policy Characteristics'!$C:$C,0)))</f>
        <v>1</v>
      </c>
      <c r="N1061" s="261">
        <f>IF(ISBLANK(INDEX('Policy Characteristics'!H:H,MATCH($C1061,'Policy Characteristics'!$C:$C,0))),"",INDEX('Policy Characteristics'!H:H,MATCH($C1061,'Policy Characteristics'!$C:$C,0)))</f>
        <v>0.01</v>
      </c>
      <c r="O1061" s="254" t="str">
        <f>IF(ISBLANK(INDEX('Policy Characteristics'!I:I,MATCH($C1061,'Policy Characteristics'!$C:$C,0))),"",INDEX('Policy Characteristics'!I:I,MATCH($C1061,'Policy Characteristics'!$C:$C,0)))</f>
        <v>% of potential achieved</v>
      </c>
      <c r="P1061" s="254"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4" t="str">
        <f>IF(ISBLANK(INDEX('Policy Characteristics'!K:K,MATCH($C1061,'Policy Characteristics'!$C:$C,0))),"",INDEX('Policy Characteristics'!K:K,MATCH($C1061,'Policy Characteristics'!$C:$C,0)))</f>
        <v/>
      </c>
      <c r="R1061" s="254" t="str">
        <f>IF(ISBLANK(INDEX('Policy Characteristics'!L:L,MATCH($C1061,'Policy Characteristics'!$C:$C,0))),"",INDEX('Policy Characteristics'!L:L,MATCH($C1061,'Policy Characteristics'!$C:$C,0)))</f>
        <v/>
      </c>
    </row>
    <row r="1062" spans="1:18" s="2" customFormat="1" x14ac:dyDescent="0.3">
      <c r="A1062" s="254" t="str">
        <f>IF(ISBLANK(INDEX('Policy Characteristics'!A:A,MATCH($C1062,'Policy Characteristics'!$C:$C,0))),"",INDEX('Policy Characteristics'!A:A,MATCH($C1062,'Policy Characteristics'!$C:$C,0)))</f>
        <v>Industry</v>
      </c>
      <c r="B1062" s="262" t="str">
        <f>IF(ISBLANK(INDEX('Policy Characteristics'!B:B,MATCH($C1062,'Policy Characteristics'!$C:$C,0))),"",INDEX('Policy Characteristics'!B:B,MATCH($C1062,'Policy Characteristics'!$C:$C,0)))</f>
        <v>Feedstock Shifting</v>
      </c>
      <c r="C1062" s="254" t="str">
        <f t="shared" si="43"/>
        <v>Fraction of Feedstock Shifted</v>
      </c>
      <c r="D1062" s="6" t="s">
        <v>3083</v>
      </c>
      <c r="E1062" s="45" t="s">
        <v>2707</v>
      </c>
      <c r="F1062" t="s">
        <v>3045</v>
      </c>
      <c r="G1062" s="45" t="s">
        <v>2711</v>
      </c>
      <c r="H1062" s="47">
        <v>2687</v>
      </c>
      <c r="I1062" s="324" t="s">
        <v>44</v>
      </c>
      <c r="J1062" s="255" t="str">
        <f>IF(ISBLANK(INDEX('Policy Characteristics'!D:D,MATCH($C1062,'Policy Characteristics'!$C:$C,0))),"",INDEX('Policy Characteristics'!D:D,MATCH($C1062,'Policy Characteristics'!$C:$C,0)))</f>
        <v>Feedstock Shifting</v>
      </c>
      <c r="K1062" s="254" t="str">
        <f>IF(ISBLANK(INDEX('Policy Characteristics'!E:E,MATCH($C1062,'Policy Characteristics'!$C:$C,0))),"",INDEX('Policy Characteristics'!E:E,MATCH($C1062,'Policy Characteristics'!$C:$C,0)))</f>
        <v>indst feedstock shifting</v>
      </c>
      <c r="L1062" s="261">
        <f>IF(ISBLANK(INDEX('Policy Characteristics'!F:F,MATCH($C1062,'Policy Characteristics'!$C:$C,0))),"",INDEX('Policy Characteristics'!F:F,MATCH($C1062,'Policy Characteristics'!$C:$C,0)))</f>
        <v>0</v>
      </c>
      <c r="M1062" s="261">
        <f>IF(ISBLANK(INDEX('Policy Characteristics'!G:G,MATCH($C1062,'Policy Characteristics'!$C:$C,0))),"",INDEX('Policy Characteristics'!G:G,MATCH($C1062,'Policy Characteristics'!$C:$C,0)))</f>
        <v>1</v>
      </c>
      <c r="N1062" s="261">
        <f>IF(ISBLANK(INDEX('Policy Characteristics'!H:H,MATCH($C1062,'Policy Characteristics'!$C:$C,0))),"",INDEX('Policy Characteristics'!H:H,MATCH($C1062,'Policy Characteristics'!$C:$C,0)))</f>
        <v>0.01</v>
      </c>
      <c r="O1062" s="254" t="str">
        <f>IF(ISBLANK(INDEX('Policy Characteristics'!I:I,MATCH($C1062,'Policy Characteristics'!$C:$C,0))),"",INDEX('Policy Characteristics'!I:I,MATCH($C1062,'Policy Characteristics'!$C:$C,0)))</f>
        <v>% of potential achieved</v>
      </c>
      <c r="P1062" s="254"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4" t="str">
        <f>IF(ISBLANK(INDEX('Policy Characteristics'!K:K,MATCH($C1062,'Policy Characteristics'!$C:$C,0))),"",INDEX('Policy Characteristics'!K:K,MATCH($C1062,'Policy Characteristics'!$C:$C,0)))</f>
        <v/>
      </c>
      <c r="R1062" s="254" t="str">
        <f>IF(ISBLANK(INDEX('Policy Characteristics'!L:L,MATCH($C1062,'Policy Characteristics'!$C:$C,0))),"",INDEX('Policy Characteristics'!L:L,MATCH($C1062,'Policy Characteristics'!$C:$C,0)))</f>
        <v/>
      </c>
    </row>
    <row r="1063" spans="1:18" s="2" customFormat="1" x14ac:dyDescent="0.3">
      <c r="A1063" s="254" t="str">
        <f>IF(ISBLANK(INDEX('Policy Characteristics'!A:A,MATCH($C1063,'Policy Characteristics'!$C:$C,0))),"",INDEX('Policy Characteristics'!A:A,MATCH($C1063,'Policy Characteristics'!$C:$C,0)))</f>
        <v>Industry</v>
      </c>
      <c r="B1063" s="262" t="str">
        <f>IF(ISBLANK(INDEX('Policy Characteristics'!B:B,MATCH($C1063,'Policy Characteristics'!$C:$C,0))),"",INDEX('Policy Characteristics'!B:B,MATCH($C1063,'Policy Characteristics'!$C:$C,0)))</f>
        <v>Feedstock Shifting</v>
      </c>
      <c r="C1063" s="254" t="str">
        <f t="shared" si="43"/>
        <v>Fraction of Feedstock Shifted</v>
      </c>
      <c r="D1063" s="6" t="s">
        <v>3083</v>
      </c>
      <c r="E1063" s="45" t="s">
        <v>2708</v>
      </c>
      <c r="F1063" t="s">
        <v>3045</v>
      </c>
      <c r="G1063" s="45" t="s">
        <v>2712</v>
      </c>
      <c r="H1063" s="47">
        <v>2688</v>
      </c>
      <c r="I1063" s="324" t="s">
        <v>44</v>
      </c>
      <c r="J1063" s="255" t="str">
        <f>IF(ISBLANK(INDEX('Policy Characteristics'!D:D,MATCH($C1063,'Policy Characteristics'!$C:$C,0))),"",INDEX('Policy Characteristics'!D:D,MATCH($C1063,'Policy Characteristics'!$C:$C,0)))</f>
        <v>Feedstock Shifting</v>
      </c>
      <c r="K1063" s="254" t="str">
        <f>IF(ISBLANK(INDEX('Policy Characteristics'!E:E,MATCH($C1063,'Policy Characteristics'!$C:$C,0))),"",INDEX('Policy Characteristics'!E:E,MATCH($C1063,'Policy Characteristics'!$C:$C,0)))</f>
        <v>indst feedstock shifting</v>
      </c>
      <c r="L1063" s="261">
        <f>IF(ISBLANK(INDEX('Policy Characteristics'!F:F,MATCH($C1063,'Policy Characteristics'!$C:$C,0))),"",INDEX('Policy Characteristics'!F:F,MATCH($C1063,'Policy Characteristics'!$C:$C,0)))</f>
        <v>0</v>
      </c>
      <c r="M1063" s="261">
        <f>IF(ISBLANK(INDEX('Policy Characteristics'!G:G,MATCH($C1063,'Policy Characteristics'!$C:$C,0))),"",INDEX('Policy Characteristics'!G:G,MATCH($C1063,'Policy Characteristics'!$C:$C,0)))</f>
        <v>1</v>
      </c>
      <c r="N1063" s="261">
        <f>IF(ISBLANK(INDEX('Policy Characteristics'!H:H,MATCH($C1063,'Policy Characteristics'!$C:$C,0))),"",INDEX('Policy Characteristics'!H:H,MATCH($C1063,'Policy Characteristics'!$C:$C,0)))</f>
        <v>0.01</v>
      </c>
      <c r="O1063" s="254" t="str">
        <f>IF(ISBLANK(INDEX('Policy Characteristics'!I:I,MATCH($C1063,'Policy Characteristics'!$C:$C,0))),"",INDEX('Policy Characteristics'!I:I,MATCH($C1063,'Policy Characteristics'!$C:$C,0)))</f>
        <v>% of potential achieved</v>
      </c>
      <c r="P1063" s="254"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4" t="str">
        <f>IF(ISBLANK(INDEX('Policy Characteristics'!K:K,MATCH($C1063,'Policy Characteristics'!$C:$C,0))),"",INDEX('Policy Characteristics'!K:K,MATCH($C1063,'Policy Characteristics'!$C:$C,0)))</f>
        <v/>
      </c>
      <c r="R1063" s="254" t="str">
        <f>IF(ISBLANK(INDEX('Policy Characteristics'!L:L,MATCH($C1063,'Policy Characteristics'!$C:$C,0))),"",INDEX('Policy Characteristics'!L:L,MATCH($C1063,'Policy Characteristics'!$C:$C,0)))</f>
        <v/>
      </c>
    </row>
    <row r="1064" spans="1:18" s="2" customFormat="1" x14ac:dyDescent="0.3">
      <c r="A1064" s="254" t="str">
        <f>IF(ISBLANK(INDEX('Policy Characteristics'!A:A,MATCH($C1064,'Policy Characteristics'!$C:$C,0))),"",INDEX('Policy Characteristics'!A:A,MATCH($C1064,'Policy Characteristics'!$C:$C,0)))</f>
        <v>Industry</v>
      </c>
      <c r="B1064" s="262" t="str">
        <f>IF(ISBLANK(INDEX('Policy Characteristics'!B:B,MATCH($C1064,'Policy Characteristics'!$C:$C,0))),"",INDEX('Policy Characteristics'!B:B,MATCH($C1064,'Policy Characteristics'!$C:$C,0)))</f>
        <v>Feedstock Shifting</v>
      </c>
      <c r="C1064" s="254" t="str">
        <f t="shared" si="43"/>
        <v>Fraction of Feedstock Shifted</v>
      </c>
      <c r="D1064" s="6" t="s">
        <v>3083</v>
      </c>
      <c r="E1064" s="45" t="s">
        <v>2705</v>
      </c>
      <c r="F1064" t="s">
        <v>3045</v>
      </c>
      <c r="G1064" s="45" t="s">
        <v>2710</v>
      </c>
      <c r="H1064" s="47">
        <v>2689</v>
      </c>
      <c r="I1064" s="324" t="s">
        <v>44</v>
      </c>
      <c r="J1064" s="255" t="str">
        <f>IF(ISBLANK(INDEX('Policy Characteristics'!D:D,MATCH($C1064,'Policy Characteristics'!$C:$C,0))),"",INDEX('Policy Characteristics'!D:D,MATCH($C1064,'Policy Characteristics'!$C:$C,0)))</f>
        <v>Feedstock Shifting</v>
      </c>
      <c r="K1064" s="254" t="str">
        <f>IF(ISBLANK(INDEX('Policy Characteristics'!E:E,MATCH($C1064,'Policy Characteristics'!$C:$C,0))),"",INDEX('Policy Characteristics'!E:E,MATCH($C1064,'Policy Characteristics'!$C:$C,0)))</f>
        <v>indst feedstock shifting</v>
      </c>
      <c r="L1064" s="261">
        <f>IF(ISBLANK(INDEX('Policy Characteristics'!F:F,MATCH($C1064,'Policy Characteristics'!$C:$C,0))),"",INDEX('Policy Characteristics'!F:F,MATCH($C1064,'Policy Characteristics'!$C:$C,0)))</f>
        <v>0</v>
      </c>
      <c r="M1064" s="261">
        <f>IF(ISBLANK(INDEX('Policy Characteristics'!G:G,MATCH($C1064,'Policy Characteristics'!$C:$C,0))),"",INDEX('Policy Characteristics'!G:G,MATCH($C1064,'Policy Characteristics'!$C:$C,0)))</f>
        <v>1</v>
      </c>
      <c r="N1064" s="261">
        <f>IF(ISBLANK(INDEX('Policy Characteristics'!H:H,MATCH($C1064,'Policy Characteristics'!$C:$C,0))),"",INDEX('Policy Characteristics'!H:H,MATCH($C1064,'Policy Characteristics'!$C:$C,0)))</f>
        <v>0.01</v>
      </c>
      <c r="O1064" s="254" t="str">
        <f>IF(ISBLANK(INDEX('Policy Characteristics'!I:I,MATCH($C1064,'Policy Characteristics'!$C:$C,0))),"",INDEX('Policy Characteristics'!I:I,MATCH($C1064,'Policy Characteristics'!$C:$C,0)))</f>
        <v>% of potential achieved</v>
      </c>
      <c r="P1064" s="254"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4" t="str">
        <f>IF(ISBLANK(INDEX('Policy Characteristics'!K:K,MATCH($C1064,'Policy Characteristics'!$C:$C,0))),"",INDEX('Policy Characteristics'!K:K,MATCH($C1064,'Policy Characteristics'!$C:$C,0)))</f>
        <v/>
      </c>
      <c r="R1064" s="254" t="str">
        <f>IF(ISBLANK(INDEX('Policy Characteristics'!L:L,MATCH($C1064,'Policy Characteristics'!$C:$C,0))),"",INDEX('Policy Characteristics'!L:L,MATCH($C1064,'Policy Characteristics'!$C:$C,0)))</f>
        <v/>
      </c>
    </row>
    <row r="1065" spans="1:18" s="2" customFormat="1" x14ac:dyDescent="0.3">
      <c r="A1065" s="254" t="str">
        <f>IF(ISBLANK(INDEX('Policy Characteristics'!A:A,MATCH($C1065,'Policy Characteristics'!$C:$C,0))),"",INDEX('Policy Characteristics'!A:A,MATCH($C1065,'Policy Characteristics'!$C:$C,0)))</f>
        <v>Industry</v>
      </c>
      <c r="B1065" s="262" t="str">
        <f>IF(ISBLANK(INDEX('Policy Characteristics'!B:B,MATCH($C1065,'Policy Characteristics'!$C:$C,0))),"",INDEX('Policy Characteristics'!B:B,MATCH($C1065,'Policy Characteristics'!$C:$C,0)))</f>
        <v>Feedstock Shifting</v>
      </c>
      <c r="C1065" s="254" t="str">
        <f t="shared" si="43"/>
        <v>Fraction of Feedstock Shifted</v>
      </c>
      <c r="D1065" s="6" t="s">
        <v>3084</v>
      </c>
      <c r="E1065" s="45" t="s">
        <v>2399</v>
      </c>
      <c r="F1065" t="s">
        <v>3087</v>
      </c>
      <c r="G1065" s="45" t="s">
        <v>2405</v>
      </c>
      <c r="H1065" s="47">
        <v>2690</v>
      </c>
      <c r="I1065" s="324" t="s">
        <v>44</v>
      </c>
      <c r="J1065" s="255" t="str">
        <f>IF(ISBLANK(INDEX('Policy Characteristics'!D:D,MATCH($C1065,'Policy Characteristics'!$C:$C,0))),"",INDEX('Policy Characteristics'!D:D,MATCH($C1065,'Policy Characteristics'!$C:$C,0)))</f>
        <v>Feedstock Shifting</v>
      </c>
      <c r="K1065" s="254" t="str">
        <f>IF(ISBLANK(INDEX('Policy Characteristics'!E:E,MATCH($C1065,'Policy Characteristics'!$C:$C,0))),"",INDEX('Policy Characteristics'!E:E,MATCH($C1065,'Policy Characteristics'!$C:$C,0)))</f>
        <v>indst feedstock shifting</v>
      </c>
      <c r="L1065" s="261">
        <f>IF(ISBLANK(INDEX('Policy Characteristics'!F:F,MATCH($C1065,'Policy Characteristics'!$C:$C,0))),"",INDEX('Policy Characteristics'!F:F,MATCH($C1065,'Policy Characteristics'!$C:$C,0)))</f>
        <v>0</v>
      </c>
      <c r="M1065" s="261">
        <f>IF(ISBLANK(INDEX('Policy Characteristics'!G:G,MATCH($C1065,'Policy Characteristics'!$C:$C,0))),"",INDEX('Policy Characteristics'!G:G,MATCH($C1065,'Policy Characteristics'!$C:$C,0)))</f>
        <v>1</v>
      </c>
      <c r="N1065" s="261">
        <f>IF(ISBLANK(INDEX('Policy Characteristics'!H:H,MATCH($C1065,'Policy Characteristics'!$C:$C,0))),"",INDEX('Policy Characteristics'!H:H,MATCH($C1065,'Policy Characteristics'!$C:$C,0)))</f>
        <v>0.01</v>
      </c>
      <c r="O1065" s="254" t="str">
        <f>IF(ISBLANK(INDEX('Policy Characteristics'!I:I,MATCH($C1065,'Policy Characteristics'!$C:$C,0))),"",INDEX('Policy Characteristics'!I:I,MATCH($C1065,'Policy Characteristics'!$C:$C,0)))</f>
        <v>% of potential achieved</v>
      </c>
      <c r="P1065" s="254"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4" t="str">
        <f>IF(ISBLANK(INDEX('Policy Characteristics'!K:K,MATCH($C1065,'Policy Characteristics'!$C:$C,0))),"",INDEX('Policy Characteristics'!K:K,MATCH($C1065,'Policy Characteristics'!$C:$C,0)))</f>
        <v/>
      </c>
      <c r="R1065" s="254" t="str">
        <f>IF(ISBLANK(INDEX('Policy Characteristics'!L:L,MATCH($C1065,'Policy Characteristics'!$C:$C,0))),"",INDEX('Policy Characteristics'!L:L,MATCH($C1065,'Policy Characteristics'!$C:$C,0)))</f>
        <v/>
      </c>
    </row>
    <row r="1066" spans="1:18" s="2" customFormat="1" x14ac:dyDescent="0.3">
      <c r="A1066" s="254" t="str">
        <f>IF(ISBLANK(INDEX('Policy Characteristics'!A:A,MATCH($C1066,'Policy Characteristics'!$C:$C,0))),"",INDEX('Policy Characteristics'!A:A,MATCH($C1066,'Policy Characteristics'!$C:$C,0)))</f>
        <v>Industry</v>
      </c>
      <c r="B1066" s="262" t="str">
        <f>IF(ISBLANK(INDEX('Policy Characteristics'!B:B,MATCH($C1066,'Policy Characteristics'!$C:$C,0))),"",INDEX('Policy Characteristics'!B:B,MATCH($C1066,'Policy Characteristics'!$C:$C,0)))</f>
        <v>Feedstock Shifting</v>
      </c>
      <c r="C1066" s="254" t="str">
        <f t="shared" si="43"/>
        <v>Fraction of Feedstock Shifted</v>
      </c>
      <c r="D1066" s="6" t="s">
        <v>3084</v>
      </c>
      <c r="E1066" s="45" t="s">
        <v>2400</v>
      </c>
      <c r="F1066" t="s">
        <v>3087</v>
      </c>
      <c r="G1066" s="45" t="s">
        <v>2408</v>
      </c>
      <c r="H1066" s="47">
        <v>2691</v>
      </c>
      <c r="I1066" s="324" t="s">
        <v>44</v>
      </c>
      <c r="J1066" s="255" t="str">
        <f>IF(ISBLANK(INDEX('Policy Characteristics'!D:D,MATCH($C1066,'Policy Characteristics'!$C:$C,0))),"",INDEX('Policy Characteristics'!D:D,MATCH($C1066,'Policy Characteristics'!$C:$C,0)))</f>
        <v>Feedstock Shifting</v>
      </c>
      <c r="K1066" s="254" t="str">
        <f>IF(ISBLANK(INDEX('Policy Characteristics'!E:E,MATCH($C1066,'Policy Characteristics'!$C:$C,0))),"",INDEX('Policy Characteristics'!E:E,MATCH($C1066,'Policy Characteristics'!$C:$C,0)))</f>
        <v>indst feedstock shifting</v>
      </c>
      <c r="L1066" s="261">
        <f>IF(ISBLANK(INDEX('Policy Characteristics'!F:F,MATCH($C1066,'Policy Characteristics'!$C:$C,0))),"",INDEX('Policy Characteristics'!F:F,MATCH($C1066,'Policy Characteristics'!$C:$C,0)))</f>
        <v>0</v>
      </c>
      <c r="M1066" s="261">
        <f>IF(ISBLANK(INDEX('Policy Characteristics'!G:G,MATCH($C1066,'Policy Characteristics'!$C:$C,0))),"",INDEX('Policy Characteristics'!G:G,MATCH($C1066,'Policy Characteristics'!$C:$C,0)))</f>
        <v>1</v>
      </c>
      <c r="N1066" s="261">
        <f>IF(ISBLANK(INDEX('Policy Characteristics'!H:H,MATCH($C1066,'Policy Characteristics'!$C:$C,0))),"",INDEX('Policy Characteristics'!H:H,MATCH($C1066,'Policy Characteristics'!$C:$C,0)))</f>
        <v>0.01</v>
      </c>
      <c r="O1066" s="254" t="str">
        <f>IF(ISBLANK(INDEX('Policy Characteristics'!I:I,MATCH($C1066,'Policy Characteristics'!$C:$C,0))),"",INDEX('Policy Characteristics'!I:I,MATCH($C1066,'Policy Characteristics'!$C:$C,0)))</f>
        <v>% of potential achieved</v>
      </c>
      <c r="P1066" s="254"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4" t="str">
        <f>IF(ISBLANK(INDEX('Policy Characteristics'!K:K,MATCH($C1066,'Policy Characteristics'!$C:$C,0))),"",INDEX('Policy Characteristics'!K:K,MATCH($C1066,'Policy Characteristics'!$C:$C,0)))</f>
        <v/>
      </c>
      <c r="R1066" s="254" t="str">
        <f>IF(ISBLANK(INDEX('Policy Characteristics'!L:L,MATCH($C1066,'Policy Characteristics'!$C:$C,0))),"",INDEX('Policy Characteristics'!L:L,MATCH($C1066,'Policy Characteristics'!$C:$C,0)))</f>
        <v/>
      </c>
    </row>
    <row r="1067" spans="1:18" s="2" customFormat="1" x14ac:dyDescent="0.3">
      <c r="A1067" s="254" t="str">
        <f>IF(ISBLANK(INDEX('Policy Characteristics'!A:A,MATCH($C1067,'Policy Characteristics'!$C:$C,0))),"",INDEX('Policy Characteristics'!A:A,MATCH($C1067,'Policy Characteristics'!$C:$C,0)))</f>
        <v>Industry</v>
      </c>
      <c r="B1067" s="262" t="str">
        <f>IF(ISBLANK(INDEX('Policy Characteristics'!B:B,MATCH($C1067,'Policy Characteristics'!$C:$C,0))),"",INDEX('Policy Characteristics'!B:B,MATCH($C1067,'Policy Characteristics'!$C:$C,0)))</f>
        <v>Feedstock Shifting</v>
      </c>
      <c r="C1067" s="254" t="str">
        <f t="shared" si="43"/>
        <v>Fraction of Feedstock Shifted</v>
      </c>
      <c r="D1067" s="6" t="s">
        <v>3084</v>
      </c>
      <c r="E1067" s="45" t="s">
        <v>2401</v>
      </c>
      <c r="F1067" t="s">
        <v>3087</v>
      </c>
      <c r="G1067" s="45" t="s">
        <v>2409</v>
      </c>
      <c r="H1067" s="47">
        <v>2692</v>
      </c>
      <c r="I1067" s="324" t="s">
        <v>44</v>
      </c>
      <c r="J1067" s="255" t="str">
        <f>IF(ISBLANK(INDEX('Policy Characteristics'!D:D,MATCH($C1067,'Policy Characteristics'!$C:$C,0))),"",INDEX('Policy Characteristics'!D:D,MATCH($C1067,'Policy Characteristics'!$C:$C,0)))</f>
        <v>Feedstock Shifting</v>
      </c>
      <c r="K1067" s="254" t="str">
        <f>IF(ISBLANK(INDEX('Policy Characteristics'!E:E,MATCH($C1067,'Policy Characteristics'!$C:$C,0))),"",INDEX('Policy Characteristics'!E:E,MATCH($C1067,'Policy Characteristics'!$C:$C,0)))</f>
        <v>indst feedstock shifting</v>
      </c>
      <c r="L1067" s="261">
        <f>IF(ISBLANK(INDEX('Policy Characteristics'!F:F,MATCH($C1067,'Policy Characteristics'!$C:$C,0))),"",INDEX('Policy Characteristics'!F:F,MATCH($C1067,'Policy Characteristics'!$C:$C,0)))</f>
        <v>0</v>
      </c>
      <c r="M1067" s="261">
        <f>IF(ISBLANK(INDEX('Policy Characteristics'!G:G,MATCH($C1067,'Policy Characteristics'!$C:$C,0))),"",INDEX('Policy Characteristics'!G:G,MATCH($C1067,'Policy Characteristics'!$C:$C,0)))</f>
        <v>1</v>
      </c>
      <c r="N1067" s="261">
        <f>IF(ISBLANK(INDEX('Policy Characteristics'!H:H,MATCH($C1067,'Policy Characteristics'!$C:$C,0))),"",INDEX('Policy Characteristics'!H:H,MATCH($C1067,'Policy Characteristics'!$C:$C,0)))</f>
        <v>0.01</v>
      </c>
      <c r="O1067" s="254" t="str">
        <f>IF(ISBLANK(INDEX('Policy Characteristics'!I:I,MATCH($C1067,'Policy Characteristics'!$C:$C,0))),"",INDEX('Policy Characteristics'!I:I,MATCH($C1067,'Policy Characteristics'!$C:$C,0)))</f>
        <v>% of potential achieved</v>
      </c>
      <c r="P1067" s="254"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4" t="str">
        <f>IF(ISBLANK(INDEX('Policy Characteristics'!K:K,MATCH($C1067,'Policy Characteristics'!$C:$C,0))),"",INDEX('Policy Characteristics'!K:K,MATCH($C1067,'Policy Characteristics'!$C:$C,0)))</f>
        <v/>
      </c>
      <c r="R1067" s="254" t="str">
        <f>IF(ISBLANK(INDEX('Policy Characteristics'!L:L,MATCH($C1067,'Policy Characteristics'!$C:$C,0))),"",INDEX('Policy Characteristics'!L:L,MATCH($C1067,'Policy Characteristics'!$C:$C,0)))</f>
        <v/>
      </c>
    </row>
    <row r="1068" spans="1:18" s="2" customFormat="1" x14ac:dyDescent="0.3">
      <c r="A1068" s="254" t="str">
        <f>IF(ISBLANK(INDEX('Policy Characteristics'!A:A,MATCH($C1068,'Policy Characteristics'!$C:$C,0))),"",INDEX('Policy Characteristics'!A:A,MATCH($C1068,'Policy Characteristics'!$C:$C,0)))</f>
        <v>Industry</v>
      </c>
      <c r="B1068" s="262" t="str">
        <f>IF(ISBLANK(INDEX('Policy Characteristics'!B:B,MATCH($C1068,'Policy Characteristics'!$C:$C,0))),"",INDEX('Policy Characteristics'!B:B,MATCH($C1068,'Policy Characteristics'!$C:$C,0)))</f>
        <v>Feedstock Shifting</v>
      </c>
      <c r="C1068" s="254" t="str">
        <f t="shared" si="43"/>
        <v>Fraction of Feedstock Shifted</v>
      </c>
      <c r="D1068" s="6" t="s">
        <v>3084</v>
      </c>
      <c r="E1068" s="45" t="s">
        <v>2402</v>
      </c>
      <c r="F1068" t="s">
        <v>3087</v>
      </c>
      <c r="G1068" s="45" t="s">
        <v>2406</v>
      </c>
      <c r="H1068" s="47">
        <v>2693</v>
      </c>
      <c r="I1068" s="324" t="s">
        <v>44</v>
      </c>
      <c r="J1068" s="255" t="str">
        <f>IF(ISBLANK(INDEX('Policy Characteristics'!D:D,MATCH($C1068,'Policy Characteristics'!$C:$C,0))),"",INDEX('Policy Characteristics'!D:D,MATCH($C1068,'Policy Characteristics'!$C:$C,0)))</f>
        <v>Feedstock Shifting</v>
      </c>
      <c r="K1068" s="254" t="str">
        <f>IF(ISBLANK(INDEX('Policy Characteristics'!E:E,MATCH($C1068,'Policy Characteristics'!$C:$C,0))),"",INDEX('Policy Characteristics'!E:E,MATCH($C1068,'Policy Characteristics'!$C:$C,0)))</f>
        <v>indst feedstock shifting</v>
      </c>
      <c r="L1068" s="261">
        <f>IF(ISBLANK(INDEX('Policy Characteristics'!F:F,MATCH($C1068,'Policy Characteristics'!$C:$C,0))),"",INDEX('Policy Characteristics'!F:F,MATCH($C1068,'Policy Characteristics'!$C:$C,0)))</f>
        <v>0</v>
      </c>
      <c r="M1068" s="261">
        <f>IF(ISBLANK(INDEX('Policy Characteristics'!G:G,MATCH($C1068,'Policy Characteristics'!$C:$C,0))),"",INDEX('Policy Characteristics'!G:G,MATCH($C1068,'Policy Characteristics'!$C:$C,0)))</f>
        <v>1</v>
      </c>
      <c r="N1068" s="261">
        <f>IF(ISBLANK(INDEX('Policy Characteristics'!H:H,MATCH($C1068,'Policy Characteristics'!$C:$C,0))),"",INDEX('Policy Characteristics'!H:H,MATCH($C1068,'Policy Characteristics'!$C:$C,0)))</f>
        <v>0.01</v>
      </c>
      <c r="O1068" s="254" t="str">
        <f>IF(ISBLANK(INDEX('Policy Characteristics'!I:I,MATCH($C1068,'Policy Characteristics'!$C:$C,0))),"",INDEX('Policy Characteristics'!I:I,MATCH($C1068,'Policy Characteristics'!$C:$C,0)))</f>
        <v>% of potential achieved</v>
      </c>
      <c r="P1068" s="254"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4" t="str">
        <f>IF(ISBLANK(INDEX('Policy Characteristics'!K:K,MATCH($C1068,'Policy Characteristics'!$C:$C,0))),"",INDEX('Policy Characteristics'!K:K,MATCH($C1068,'Policy Characteristics'!$C:$C,0)))</f>
        <v/>
      </c>
      <c r="R1068" s="254" t="str">
        <f>IF(ISBLANK(INDEX('Policy Characteristics'!L:L,MATCH($C1068,'Policy Characteristics'!$C:$C,0))),"",INDEX('Policy Characteristics'!L:L,MATCH($C1068,'Policy Characteristics'!$C:$C,0)))</f>
        <v/>
      </c>
    </row>
    <row r="1069" spans="1:18" s="2" customFormat="1" x14ac:dyDescent="0.3">
      <c r="A1069" s="254" t="str">
        <f>IF(ISBLANK(INDEX('Policy Characteristics'!A:A,MATCH($C1069,'Policy Characteristics'!$C:$C,0))),"",INDEX('Policy Characteristics'!A:A,MATCH($C1069,'Policy Characteristics'!$C:$C,0)))</f>
        <v>Industry</v>
      </c>
      <c r="B1069" s="262" t="str">
        <f>IF(ISBLANK(INDEX('Policy Characteristics'!B:B,MATCH($C1069,'Policy Characteristics'!$C:$C,0))),"",INDEX('Policy Characteristics'!B:B,MATCH($C1069,'Policy Characteristics'!$C:$C,0)))</f>
        <v>Feedstock Shifting</v>
      </c>
      <c r="C1069" s="254" t="str">
        <f t="shared" si="43"/>
        <v>Fraction of Feedstock Shifted</v>
      </c>
      <c r="D1069" s="6" t="s">
        <v>3084</v>
      </c>
      <c r="E1069" s="45" t="s">
        <v>2403</v>
      </c>
      <c r="F1069" t="s">
        <v>3087</v>
      </c>
      <c r="G1069" s="45" t="s">
        <v>2407</v>
      </c>
      <c r="H1069" s="47">
        <v>2694</v>
      </c>
      <c r="I1069" s="324" t="s">
        <v>44</v>
      </c>
      <c r="J1069" s="255" t="str">
        <f>IF(ISBLANK(INDEX('Policy Characteristics'!D:D,MATCH($C1069,'Policy Characteristics'!$C:$C,0))),"",INDEX('Policy Characteristics'!D:D,MATCH($C1069,'Policy Characteristics'!$C:$C,0)))</f>
        <v>Feedstock Shifting</v>
      </c>
      <c r="K1069" s="254" t="str">
        <f>IF(ISBLANK(INDEX('Policy Characteristics'!E:E,MATCH($C1069,'Policy Characteristics'!$C:$C,0))),"",INDEX('Policy Characteristics'!E:E,MATCH($C1069,'Policy Characteristics'!$C:$C,0)))</f>
        <v>indst feedstock shifting</v>
      </c>
      <c r="L1069" s="261">
        <f>IF(ISBLANK(INDEX('Policy Characteristics'!F:F,MATCH($C1069,'Policy Characteristics'!$C:$C,0))),"",INDEX('Policy Characteristics'!F:F,MATCH($C1069,'Policy Characteristics'!$C:$C,0)))</f>
        <v>0</v>
      </c>
      <c r="M1069" s="261">
        <f>IF(ISBLANK(INDEX('Policy Characteristics'!G:G,MATCH($C1069,'Policy Characteristics'!$C:$C,0))),"",INDEX('Policy Characteristics'!G:G,MATCH($C1069,'Policy Characteristics'!$C:$C,0)))</f>
        <v>1</v>
      </c>
      <c r="N1069" s="261">
        <f>IF(ISBLANK(INDEX('Policy Characteristics'!H:H,MATCH($C1069,'Policy Characteristics'!$C:$C,0))),"",INDEX('Policy Characteristics'!H:H,MATCH($C1069,'Policy Characteristics'!$C:$C,0)))</f>
        <v>0.01</v>
      </c>
      <c r="O1069" s="254" t="str">
        <f>IF(ISBLANK(INDEX('Policy Characteristics'!I:I,MATCH($C1069,'Policy Characteristics'!$C:$C,0))),"",INDEX('Policy Characteristics'!I:I,MATCH($C1069,'Policy Characteristics'!$C:$C,0)))</f>
        <v>% of potential achieved</v>
      </c>
      <c r="P1069" s="254"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4" t="str">
        <f>IF(ISBLANK(INDEX('Policy Characteristics'!K:K,MATCH($C1069,'Policy Characteristics'!$C:$C,0))),"",INDEX('Policy Characteristics'!K:K,MATCH($C1069,'Policy Characteristics'!$C:$C,0)))</f>
        <v/>
      </c>
      <c r="R1069" s="254" t="str">
        <f>IF(ISBLANK(INDEX('Policy Characteristics'!L:L,MATCH($C1069,'Policy Characteristics'!$C:$C,0))),"",INDEX('Policy Characteristics'!L:L,MATCH($C1069,'Policy Characteristics'!$C:$C,0)))</f>
        <v/>
      </c>
    </row>
    <row r="1070" spans="1:18" s="2" customFormat="1" x14ac:dyDescent="0.3">
      <c r="A1070" s="254" t="str">
        <f>IF(ISBLANK(INDEX('Policy Characteristics'!A:A,MATCH($C1070,'Policy Characteristics'!$C:$C,0))),"",INDEX('Policy Characteristics'!A:A,MATCH($C1070,'Policy Characteristics'!$C:$C,0)))</f>
        <v>Industry</v>
      </c>
      <c r="B1070" s="262" t="str">
        <f>IF(ISBLANK(INDEX('Policy Characteristics'!B:B,MATCH($C1070,'Policy Characteristics'!$C:$C,0))),"",INDEX('Policy Characteristics'!B:B,MATCH($C1070,'Policy Characteristics'!$C:$C,0)))</f>
        <v>Feedstock Shifting</v>
      </c>
      <c r="C1070" s="254" t="str">
        <f t="shared" si="43"/>
        <v>Fraction of Feedstock Shifted</v>
      </c>
      <c r="D1070" s="6" t="s">
        <v>3084</v>
      </c>
      <c r="E1070" s="45" t="s">
        <v>2404</v>
      </c>
      <c r="F1070" t="s">
        <v>3087</v>
      </c>
      <c r="G1070" s="45" t="s">
        <v>2410</v>
      </c>
      <c r="H1070" s="47">
        <v>2695</v>
      </c>
      <c r="I1070" s="324" t="s">
        <v>44</v>
      </c>
      <c r="J1070" s="255" t="str">
        <f>IF(ISBLANK(INDEX('Policy Characteristics'!D:D,MATCH($C1070,'Policy Characteristics'!$C:$C,0))),"",INDEX('Policy Characteristics'!D:D,MATCH($C1070,'Policy Characteristics'!$C:$C,0)))</f>
        <v>Feedstock Shifting</v>
      </c>
      <c r="K1070" s="254" t="str">
        <f>IF(ISBLANK(INDEX('Policy Characteristics'!E:E,MATCH($C1070,'Policy Characteristics'!$C:$C,0))),"",INDEX('Policy Characteristics'!E:E,MATCH($C1070,'Policy Characteristics'!$C:$C,0)))</f>
        <v>indst feedstock shifting</v>
      </c>
      <c r="L1070" s="261">
        <f>IF(ISBLANK(INDEX('Policy Characteristics'!F:F,MATCH($C1070,'Policy Characteristics'!$C:$C,0))),"",INDEX('Policy Characteristics'!F:F,MATCH($C1070,'Policy Characteristics'!$C:$C,0)))</f>
        <v>0</v>
      </c>
      <c r="M1070" s="261">
        <f>IF(ISBLANK(INDEX('Policy Characteristics'!G:G,MATCH($C1070,'Policy Characteristics'!$C:$C,0))),"",INDEX('Policy Characteristics'!G:G,MATCH($C1070,'Policy Characteristics'!$C:$C,0)))</f>
        <v>1</v>
      </c>
      <c r="N1070" s="261">
        <f>IF(ISBLANK(INDEX('Policy Characteristics'!H:H,MATCH($C1070,'Policy Characteristics'!$C:$C,0))),"",INDEX('Policy Characteristics'!H:H,MATCH($C1070,'Policy Characteristics'!$C:$C,0)))</f>
        <v>0.01</v>
      </c>
      <c r="O1070" s="254" t="str">
        <f>IF(ISBLANK(INDEX('Policy Characteristics'!I:I,MATCH($C1070,'Policy Characteristics'!$C:$C,0))),"",INDEX('Policy Characteristics'!I:I,MATCH($C1070,'Policy Characteristics'!$C:$C,0)))</f>
        <v>% of potential achieved</v>
      </c>
      <c r="P1070" s="254"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4" t="str">
        <f>IF(ISBLANK(INDEX('Policy Characteristics'!K:K,MATCH($C1070,'Policy Characteristics'!$C:$C,0))),"",INDEX('Policy Characteristics'!K:K,MATCH($C1070,'Policy Characteristics'!$C:$C,0)))</f>
        <v/>
      </c>
      <c r="R1070" s="254" t="str">
        <f>IF(ISBLANK(INDEX('Policy Characteristics'!L:L,MATCH($C1070,'Policy Characteristics'!$C:$C,0))),"",INDEX('Policy Characteristics'!L:L,MATCH($C1070,'Policy Characteristics'!$C:$C,0)))</f>
        <v/>
      </c>
    </row>
    <row r="1071" spans="1:18" s="2" customFormat="1" x14ac:dyDescent="0.3">
      <c r="A1071" s="254" t="str">
        <f>IF(ISBLANK(INDEX('Policy Characteristics'!A:A,MATCH($C1071,'Policy Characteristics'!$C:$C,0))),"",INDEX('Policy Characteristics'!A:A,MATCH($C1071,'Policy Characteristics'!$C:$C,0)))</f>
        <v>Industry</v>
      </c>
      <c r="B1071" s="262" t="str">
        <f>IF(ISBLANK(INDEX('Policy Characteristics'!B:B,MATCH($C1071,'Policy Characteristics'!$C:$C,0))),"",INDEX('Policy Characteristics'!B:B,MATCH($C1071,'Policy Characteristics'!$C:$C,0)))</f>
        <v>Feedstock Shifting</v>
      </c>
      <c r="C1071" s="254" t="str">
        <f t="shared" si="43"/>
        <v>Fraction of Feedstock Shifted</v>
      </c>
      <c r="D1071" s="6" t="s">
        <v>3084</v>
      </c>
      <c r="E1071" s="45" t="s">
        <v>2706</v>
      </c>
      <c r="F1071" t="s">
        <v>3087</v>
      </c>
      <c r="G1071" s="45" t="s">
        <v>2709</v>
      </c>
      <c r="H1071" s="47">
        <v>2696</v>
      </c>
      <c r="I1071" s="324" t="s">
        <v>44</v>
      </c>
      <c r="J1071" s="255" t="str">
        <f>IF(ISBLANK(INDEX('Policy Characteristics'!D:D,MATCH($C1071,'Policy Characteristics'!$C:$C,0))),"",INDEX('Policy Characteristics'!D:D,MATCH($C1071,'Policy Characteristics'!$C:$C,0)))</f>
        <v>Feedstock Shifting</v>
      </c>
      <c r="K1071" s="254" t="str">
        <f>IF(ISBLANK(INDEX('Policy Characteristics'!E:E,MATCH($C1071,'Policy Characteristics'!$C:$C,0))),"",INDEX('Policy Characteristics'!E:E,MATCH($C1071,'Policy Characteristics'!$C:$C,0)))</f>
        <v>indst feedstock shifting</v>
      </c>
      <c r="L1071" s="261">
        <f>IF(ISBLANK(INDEX('Policy Characteristics'!F:F,MATCH($C1071,'Policy Characteristics'!$C:$C,0))),"",INDEX('Policy Characteristics'!F:F,MATCH($C1071,'Policy Characteristics'!$C:$C,0)))</f>
        <v>0</v>
      </c>
      <c r="M1071" s="261">
        <f>IF(ISBLANK(INDEX('Policy Characteristics'!G:G,MATCH($C1071,'Policy Characteristics'!$C:$C,0))),"",INDEX('Policy Characteristics'!G:G,MATCH($C1071,'Policy Characteristics'!$C:$C,0)))</f>
        <v>1</v>
      </c>
      <c r="N1071" s="261">
        <f>IF(ISBLANK(INDEX('Policy Characteristics'!H:H,MATCH($C1071,'Policy Characteristics'!$C:$C,0))),"",INDEX('Policy Characteristics'!H:H,MATCH($C1071,'Policy Characteristics'!$C:$C,0)))</f>
        <v>0.01</v>
      </c>
      <c r="O1071" s="254" t="str">
        <f>IF(ISBLANK(INDEX('Policy Characteristics'!I:I,MATCH($C1071,'Policy Characteristics'!$C:$C,0))),"",INDEX('Policy Characteristics'!I:I,MATCH($C1071,'Policy Characteristics'!$C:$C,0)))</f>
        <v>% of potential achieved</v>
      </c>
      <c r="P1071" s="254"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4" t="str">
        <f>IF(ISBLANK(INDEX('Policy Characteristics'!K:K,MATCH($C1071,'Policy Characteristics'!$C:$C,0))),"",INDEX('Policy Characteristics'!K:K,MATCH($C1071,'Policy Characteristics'!$C:$C,0)))</f>
        <v/>
      </c>
      <c r="R1071" s="254" t="str">
        <f>IF(ISBLANK(INDEX('Policy Characteristics'!L:L,MATCH($C1071,'Policy Characteristics'!$C:$C,0))),"",INDEX('Policy Characteristics'!L:L,MATCH($C1071,'Policy Characteristics'!$C:$C,0)))</f>
        <v/>
      </c>
    </row>
    <row r="1072" spans="1:18" s="2" customFormat="1" x14ac:dyDescent="0.3">
      <c r="A1072" s="254" t="str">
        <f>IF(ISBLANK(INDEX('Policy Characteristics'!A:A,MATCH($C1072,'Policy Characteristics'!$C:$C,0))),"",INDEX('Policy Characteristics'!A:A,MATCH($C1072,'Policy Characteristics'!$C:$C,0)))</f>
        <v>Industry</v>
      </c>
      <c r="B1072" s="262" t="str">
        <f>IF(ISBLANK(INDEX('Policy Characteristics'!B:B,MATCH($C1072,'Policy Characteristics'!$C:$C,0))),"",INDEX('Policy Characteristics'!B:B,MATCH($C1072,'Policy Characteristics'!$C:$C,0)))</f>
        <v>Feedstock Shifting</v>
      </c>
      <c r="C1072" s="254" t="str">
        <f t="shared" si="43"/>
        <v>Fraction of Feedstock Shifted</v>
      </c>
      <c r="D1072" s="6" t="s">
        <v>3084</v>
      </c>
      <c r="E1072" s="45" t="s">
        <v>2707</v>
      </c>
      <c r="F1072" t="s">
        <v>3087</v>
      </c>
      <c r="G1072" s="45" t="s">
        <v>2711</v>
      </c>
      <c r="H1072" s="47">
        <v>2697</v>
      </c>
      <c r="I1072" s="324" t="s">
        <v>44</v>
      </c>
      <c r="J1072" s="255" t="str">
        <f>IF(ISBLANK(INDEX('Policy Characteristics'!D:D,MATCH($C1072,'Policy Characteristics'!$C:$C,0))),"",INDEX('Policy Characteristics'!D:D,MATCH($C1072,'Policy Characteristics'!$C:$C,0)))</f>
        <v>Feedstock Shifting</v>
      </c>
      <c r="K1072" s="254" t="str">
        <f>IF(ISBLANK(INDEX('Policy Characteristics'!E:E,MATCH($C1072,'Policy Characteristics'!$C:$C,0))),"",INDEX('Policy Characteristics'!E:E,MATCH($C1072,'Policy Characteristics'!$C:$C,0)))</f>
        <v>indst feedstock shifting</v>
      </c>
      <c r="L1072" s="261">
        <f>IF(ISBLANK(INDEX('Policy Characteristics'!F:F,MATCH($C1072,'Policy Characteristics'!$C:$C,0))),"",INDEX('Policy Characteristics'!F:F,MATCH($C1072,'Policy Characteristics'!$C:$C,0)))</f>
        <v>0</v>
      </c>
      <c r="M1072" s="261">
        <f>IF(ISBLANK(INDEX('Policy Characteristics'!G:G,MATCH($C1072,'Policy Characteristics'!$C:$C,0))),"",INDEX('Policy Characteristics'!G:G,MATCH($C1072,'Policy Characteristics'!$C:$C,0)))</f>
        <v>1</v>
      </c>
      <c r="N1072" s="261">
        <f>IF(ISBLANK(INDEX('Policy Characteristics'!H:H,MATCH($C1072,'Policy Characteristics'!$C:$C,0))),"",INDEX('Policy Characteristics'!H:H,MATCH($C1072,'Policy Characteristics'!$C:$C,0)))</f>
        <v>0.01</v>
      </c>
      <c r="O1072" s="254" t="str">
        <f>IF(ISBLANK(INDEX('Policy Characteristics'!I:I,MATCH($C1072,'Policy Characteristics'!$C:$C,0))),"",INDEX('Policy Characteristics'!I:I,MATCH($C1072,'Policy Characteristics'!$C:$C,0)))</f>
        <v>% of potential achieved</v>
      </c>
      <c r="P1072" s="254"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4" t="str">
        <f>IF(ISBLANK(INDEX('Policy Characteristics'!K:K,MATCH($C1072,'Policy Characteristics'!$C:$C,0))),"",INDEX('Policy Characteristics'!K:K,MATCH($C1072,'Policy Characteristics'!$C:$C,0)))</f>
        <v/>
      </c>
      <c r="R1072" s="254" t="str">
        <f>IF(ISBLANK(INDEX('Policy Characteristics'!L:L,MATCH($C1072,'Policy Characteristics'!$C:$C,0))),"",INDEX('Policy Characteristics'!L:L,MATCH($C1072,'Policy Characteristics'!$C:$C,0)))</f>
        <v/>
      </c>
    </row>
    <row r="1073" spans="1:18" s="2" customFormat="1" x14ac:dyDescent="0.3">
      <c r="A1073" s="254" t="str">
        <f>IF(ISBLANK(INDEX('Policy Characteristics'!A:A,MATCH($C1073,'Policy Characteristics'!$C:$C,0))),"",INDEX('Policy Characteristics'!A:A,MATCH($C1073,'Policy Characteristics'!$C:$C,0)))</f>
        <v>Industry</v>
      </c>
      <c r="B1073" s="262" t="str">
        <f>IF(ISBLANK(INDEX('Policy Characteristics'!B:B,MATCH($C1073,'Policy Characteristics'!$C:$C,0))),"",INDEX('Policy Characteristics'!B:B,MATCH($C1073,'Policy Characteristics'!$C:$C,0)))</f>
        <v>Feedstock Shifting</v>
      </c>
      <c r="C1073" s="254" t="str">
        <f t="shared" si="43"/>
        <v>Fraction of Feedstock Shifted</v>
      </c>
      <c r="D1073" s="6" t="s">
        <v>3084</v>
      </c>
      <c r="E1073" s="45" t="s">
        <v>2708</v>
      </c>
      <c r="F1073" t="s">
        <v>3087</v>
      </c>
      <c r="G1073" s="45" t="s">
        <v>2712</v>
      </c>
      <c r="H1073" s="47">
        <v>2698</v>
      </c>
      <c r="I1073" s="324" t="s">
        <v>44</v>
      </c>
      <c r="J1073" s="255" t="str">
        <f>IF(ISBLANK(INDEX('Policy Characteristics'!D:D,MATCH($C1073,'Policy Characteristics'!$C:$C,0))),"",INDEX('Policy Characteristics'!D:D,MATCH($C1073,'Policy Characteristics'!$C:$C,0)))</f>
        <v>Feedstock Shifting</v>
      </c>
      <c r="K1073" s="254" t="str">
        <f>IF(ISBLANK(INDEX('Policy Characteristics'!E:E,MATCH($C1073,'Policy Characteristics'!$C:$C,0))),"",INDEX('Policy Characteristics'!E:E,MATCH($C1073,'Policy Characteristics'!$C:$C,0)))</f>
        <v>indst feedstock shifting</v>
      </c>
      <c r="L1073" s="261">
        <f>IF(ISBLANK(INDEX('Policy Characteristics'!F:F,MATCH($C1073,'Policy Characteristics'!$C:$C,0))),"",INDEX('Policy Characteristics'!F:F,MATCH($C1073,'Policy Characteristics'!$C:$C,0)))</f>
        <v>0</v>
      </c>
      <c r="M1073" s="261">
        <f>IF(ISBLANK(INDEX('Policy Characteristics'!G:G,MATCH($C1073,'Policy Characteristics'!$C:$C,0))),"",INDEX('Policy Characteristics'!G:G,MATCH($C1073,'Policy Characteristics'!$C:$C,0)))</f>
        <v>1</v>
      </c>
      <c r="N1073" s="261">
        <f>IF(ISBLANK(INDEX('Policy Characteristics'!H:H,MATCH($C1073,'Policy Characteristics'!$C:$C,0))),"",INDEX('Policy Characteristics'!H:H,MATCH($C1073,'Policy Characteristics'!$C:$C,0)))</f>
        <v>0.01</v>
      </c>
      <c r="O1073" s="254" t="str">
        <f>IF(ISBLANK(INDEX('Policy Characteristics'!I:I,MATCH($C1073,'Policy Characteristics'!$C:$C,0))),"",INDEX('Policy Characteristics'!I:I,MATCH($C1073,'Policy Characteristics'!$C:$C,0)))</f>
        <v>% of potential achieved</v>
      </c>
      <c r="P1073" s="254"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4" t="str">
        <f>IF(ISBLANK(INDEX('Policy Characteristics'!K:K,MATCH($C1073,'Policy Characteristics'!$C:$C,0))),"",INDEX('Policy Characteristics'!K:K,MATCH($C1073,'Policy Characteristics'!$C:$C,0)))</f>
        <v/>
      </c>
      <c r="R1073" s="254" t="str">
        <f>IF(ISBLANK(INDEX('Policy Characteristics'!L:L,MATCH($C1073,'Policy Characteristics'!$C:$C,0))),"",INDEX('Policy Characteristics'!L:L,MATCH($C1073,'Policy Characteristics'!$C:$C,0)))</f>
        <v/>
      </c>
    </row>
    <row r="1074" spans="1:18" s="2" customFormat="1" x14ac:dyDescent="0.3">
      <c r="A1074" s="254" t="str">
        <f>IF(ISBLANK(INDEX('Policy Characteristics'!A:A,MATCH($C1074,'Policy Characteristics'!$C:$C,0))),"",INDEX('Policy Characteristics'!A:A,MATCH($C1074,'Policy Characteristics'!$C:$C,0)))</f>
        <v>Industry</v>
      </c>
      <c r="B1074" s="262" t="str">
        <f>IF(ISBLANK(INDEX('Policy Characteristics'!B:B,MATCH($C1074,'Policy Characteristics'!$C:$C,0))),"",INDEX('Policy Characteristics'!B:B,MATCH($C1074,'Policy Characteristics'!$C:$C,0)))</f>
        <v>Feedstock Shifting</v>
      </c>
      <c r="C1074" s="254" t="str">
        <f t="shared" si="43"/>
        <v>Fraction of Feedstock Shifted</v>
      </c>
      <c r="D1074" s="6" t="s">
        <v>3084</v>
      </c>
      <c r="E1074" s="45" t="s">
        <v>2705</v>
      </c>
      <c r="F1074" t="s">
        <v>3087</v>
      </c>
      <c r="G1074" s="45" t="s">
        <v>2710</v>
      </c>
      <c r="H1074" s="47">
        <v>2699</v>
      </c>
      <c r="I1074" s="324" t="s">
        <v>44</v>
      </c>
      <c r="J1074" s="255" t="str">
        <f>IF(ISBLANK(INDEX('Policy Characteristics'!D:D,MATCH($C1074,'Policy Characteristics'!$C:$C,0))),"",INDEX('Policy Characteristics'!D:D,MATCH($C1074,'Policy Characteristics'!$C:$C,0)))</f>
        <v>Feedstock Shifting</v>
      </c>
      <c r="K1074" s="254" t="str">
        <f>IF(ISBLANK(INDEX('Policy Characteristics'!E:E,MATCH($C1074,'Policy Characteristics'!$C:$C,0))),"",INDEX('Policy Characteristics'!E:E,MATCH($C1074,'Policy Characteristics'!$C:$C,0)))</f>
        <v>indst feedstock shifting</v>
      </c>
      <c r="L1074" s="261">
        <f>IF(ISBLANK(INDEX('Policy Characteristics'!F:F,MATCH($C1074,'Policy Characteristics'!$C:$C,0))),"",INDEX('Policy Characteristics'!F:F,MATCH($C1074,'Policy Characteristics'!$C:$C,0)))</f>
        <v>0</v>
      </c>
      <c r="M1074" s="261">
        <f>IF(ISBLANK(INDEX('Policy Characteristics'!G:G,MATCH($C1074,'Policy Characteristics'!$C:$C,0))),"",INDEX('Policy Characteristics'!G:G,MATCH($C1074,'Policy Characteristics'!$C:$C,0)))</f>
        <v>1</v>
      </c>
      <c r="N1074" s="261">
        <f>IF(ISBLANK(INDEX('Policy Characteristics'!H:H,MATCH($C1074,'Policy Characteristics'!$C:$C,0))),"",INDEX('Policy Characteristics'!H:H,MATCH($C1074,'Policy Characteristics'!$C:$C,0)))</f>
        <v>0.01</v>
      </c>
      <c r="O1074" s="254" t="str">
        <f>IF(ISBLANK(INDEX('Policy Characteristics'!I:I,MATCH($C1074,'Policy Characteristics'!$C:$C,0))),"",INDEX('Policy Characteristics'!I:I,MATCH($C1074,'Policy Characteristics'!$C:$C,0)))</f>
        <v>% of potential achieved</v>
      </c>
      <c r="P1074" s="254"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4" t="str">
        <f>IF(ISBLANK(INDEX('Policy Characteristics'!K:K,MATCH($C1074,'Policy Characteristics'!$C:$C,0))),"",INDEX('Policy Characteristics'!K:K,MATCH($C1074,'Policy Characteristics'!$C:$C,0)))</f>
        <v/>
      </c>
      <c r="R1074" s="254" t="str">
        <f>IF(ISBLANK(INDEX('Policy Characteristics'!L:L,MATCH($C1074,'Policy Characteristics'!$C:$C,0))),"",INDEX('Policy Characteristics'!L:L,MATCH($C1074,'Policy Characteristics'!$C:$C,0)))</f>
        <v/>
      </c>
    </row>
    <row r="1075" spans="1:18" s="2" customFormat="1" x14ac:dyDescent="0.3">
      <c r="A1075" s="254" t="str">
        <f>IF(ISBLANK(INDEX('Policy Characteristics'!A:A,MATCH($C1075,'Policy Characteristics'!$C:$C,0))),"",INDEX('Policy Characteristics'!A:A,MATCH($C1075,'Policy Characteristics'!$C:$C,0)))</f>
        <v>Industry</v>
      </c>
      <c r="B1075" s="262" t="str">
        <f>IF(ISBLANK(INDEX('Policy Characteristics'!B:B,MATCH($C1075,'Policy Characteristics'!$C:$C,0))),"",INDEX('Policy Characteristics'!B:B,MATCH($C1075,'Policy Characteristics'!$C:$C,0)))</f>
        <v>Feedstock Shifting</v>
      </c>
      <c r="C1075" s="254" t="str">
        <f t="shared" si="43"/>
        <v>Fraction of Feedstock Shifted</v>
      </c>
      <c r="D1075" s="6" t="s">
        <v>3085</v>
      </c>
      <c r="E1075" s="45" t="s">
        <v>2399</v>
      </c>
      <c r="F1075" t="s">
        <v>3046</v>
      </c>
      <c r="G1075" s="45" t="s">
        <v>2405</v>
      </c>
      <c r="H1075" s="47">
        <v>2700</v>
      </c>
      <c r="I1075" s="324" t="s">
        <v>44</v>
      </c>
      <c r="J1075" s="255" t="str">
        <f>IF(ISBLANK(INDEX('Policy Characteristics'!D:D,MATCH($C1075,'Policy Characteristics'!$C:$C,0))),"",INDEX('Policy Characteristics'!D:D,MATCH($C1075,'Policy Characteristics'!$C:$C,0)))</f>
        <v>Feedstock Shifting</v>
      </c>
      <c r="K1075" s="254" t="str">
        <f>IF(ISBLANK(INDEX('Policy Characteristics'!E:E,MATCH($C1075,'Policy Characteristics'!$C:$C,0))),"",INDEX('Policy Characteristics'!E:E,MATCH($C1075,'Policy Characteristics'!$C:$C,0)))</f>
        <v>indst feedstock shifting</v>
      </c>
      <c r="L1075" s="261">
        <f>IF(ISBLANK(INDEX('Policy Characteristics'!F:F,MATCH($C1075,'Policy Characteristics'!$C:$C,0))),"",INDEX('Policy Characteristics'!F:F,MATCH($C1075,'Policy Characteristics'!$C:$C,0)))</f>
        <v>0</v>
      </c>
      <c r="M1075" s="261">
        <f>IF(ISBLANK(INDEX('Policy Characteristics'!G:G,MATCH($C1075,'Policy Characteristics'!$C:$C,0))),"",INDEX('Policy Characteristics'!G:G,MATCH($C1075,'Policy Characteristics'!$C:$C,0)))</f>
        <v>1</v>
      </c>
      <c r="N1075" s="261">
        <f>IF(ISBLANK(INDEX('Policy Characteristics'!H:H,MATCH($C1075,'Policy Characteristics'!$C:$C,0))),"",INDEX('Policy Characteristics'!H:H,MATCH($C1075,'Policy Characteristics'!$C:$C,0)))</f>
        <v>0.01</v>
      </c>
      <c r="O1075" s="254" t="str">
        <f>IF(ISBLANK(INDEX('Policy Characteristics'!I:I,MATCH($C1075,'Policy Characteristics'!$C:$C,0))),"",INDEX('Policy Characteristics'!I:I,MATCH($C1075,'Policy Characteristics'!$C:$C,0)))</f>
        <v>% of potential achieved</v>
      </c>
      <c r="P1075" s="254"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4" t="str">
        <f>IF(ISBLANK(INDEX('Policy Characteristics'!K:K,MATCH($C1075,'Policy Characteristics'!$C:$C,0))),"",INDEX('Policy Characteristics'!K:K,MATCH($C1075,'Policy Characteristics'!$C:$C,0)))</f>
        <v/>
      </c>
      <c r="R1075" s="254" t="str">
        <f>IF(ISBLANK(INDEX('Policy Characteristics'!L:L,MATCH($C1075,'Policy Characteristics'!$C:$C,0))),"",INDEX('Policy Characteristics'!L:L,MATCH($C1075,'Policy Characteristics'!$C:$C,0)))</f>
        <v/>
      </c>
    </row>
    <row r="1076" spans="1:18" s="2" customFormat="1" x14ac:dyDescent="0.3">
      <c r="A1076" s="254" t="str">
        <f>IF(ISBLANK(INDEX('Policy Characteristics'!A:A,MATCH($C1076,'Policy Characteristics'!$C:$C,0))),"",INDEX('Policy Characteristics'!A:A,MATCH($C1076,'Policy Characteristics'!$C:$C,0)))</f>
        <v>Industry</v>
      </c>
      <c r="B1076" s="262" t="str">
        <f>IF(ISBLANK(INDEX('Policy Characteristics'!B:B,MATCH($C1076,'Policy Characteristics'!$C:$C,0))),"",INDEX('Policy Characteristics'!B:B,MATCH($C1076,'Policy Characteristics'!$C:$C,0)))</f>
        <v>Feedstock Shifting</v>
      </c>
      <c r="C1076" s="254" t="str">
        <f t="shared" si="43"/>
        <v>Fraction of Feedstock Shifted</v>
      </c>
      <c r="D1076" s="6" t="s">
        <v>3085</v>
      </c>
      <c r="E1076" s="45" t="s">
        <v>2400</v>
      </c>
      <c r="F1076" t="s">
        <v>3046</v>
      </c>
      <c r="G1076" s="45" t="s">
        <v>2408</v>
      </c>
      <c r="H1076" s="47">
        <v>2701</v>
      </c>
      <c r="I1076" s="324" t="s">
        <v>44</v>
      </c>
      <c r="J1076" s="255" t="str">
        <f>IF(ISBLANK(INDEX('Policy Characteristics'!D:D,MATCH($C1076,'Policy Characteristics'!$C:$C,0))),"",INDEX('Policy Characteristics'!D:D,MATCH($C1076,'Policy Characteristics'!$C:$C,0)))</f>
        <v>Feedstock Shifting</v>
      </c>
      <c r="K1076" s="254" t="str">
        <f>IF(ISBLANK(INDEX('Policy Characteristics'!E:E,MATCH($C1076,'Policy Characteristics'!$C:$C,0))),"",INDEX('Policy Characteristics'!E:E,MATCH($C1076,'Policy Characteristics'!$C:$C,0)))</f>
        <v>indst feedstock shifting</v>
      </c>
      <c r="L1076" s="261">
        <f>IF(ISBLANK(INDEX('Policy Characteristics'!F:F,MATCH($C1076,'Policy Characteristics'!$C:$C,0))),"",INDEX('Policy Characteristics'!F:F,MATCH($C1076,'Policy Characteristics'!$C:$C,0)))</f>
        <v>0</v>
      </c>
      <c r="M1076" s="261">
        <f>IF(ISBLANK(INDEX('Policy Characteristics'!G:G,MATCH($C1076,'Policy Characteristics'!$C:$C,0))),"",INDEX('Policy Characteristics'!G:G,MATCH($C1076,'Policy Characteristics'!$C:$C,0)))</f>
        <v>1</v>
      </c>
      <c r="N1076" s="261">
        <f>IF(ISBLANK(INDEX('Policy Characteristics'!H:H,MATCH($C1076,'Policy Characteristics'!$C:$C,0))),"",INDEX('Policy Characteristics'!H:H,MATCH($C1076,'Policy Characteristics'!$C:$C,0)))</f>
        <v>0.01</v>
      </c>
      <c r="O1076" s="254" t="str">
        <f>IF(ISBLANK(INDEX('Policy Characteristics'!I:I,MATCH($C1076,'Policy Characteristics'!$C:$C,0))),"",INDEX('Policy Characteristics'!I:I,MATCH($C1076,'Policy Characteristics'!$C:$C,0)))</f>
        <v>% of potential achieved</v>
      </c>
      <c r="P1076" s="254"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4" t="str">
        <f>IF(ISBLANK(INDEX('Policy Characteristics'!K:K,MATCH($C1076,'Policy Characteristics'!$C:$C,0))),"",INDEX('Policy Characteristics'!K:K,MATCH($C1076,'Policy Characteristics'!$C:$C,0)))</f>
        <v/>
      </c>
      <c r="R1076" s="254" t="str">
        <f>IF(ISBLANK(INDEX('Policy Characteristics'!L:L,MATCH($C1076,'Policy Characteristics'!$C:$C,0))),"",INDEX('Policy Characteristics'!L:L,MATCH($C1076,'Policy Characteristics'!$C:$C,0)))</f>
        <v/>
      </c>
    </row>
    <row r="1077" spans="1:18" s="2" customFormat="1" x14ac:dyDescent="0.3">
      <c r="A1077" s="254" t="str">
        <f>IF(ISBLANK(INDEX('Policy Characteristics'!A:A,MATCH($C1077,'Policy Characteristics'!$C:$C,0))),"",INDEX('Policy Characteristics'!A:A,MATCH($C1077,'Policy Characteristics'!$C:$C,0)))</f>
        <v>Industry</v>
      </c>
      <c r="B1077" s="262" t="str">
        <f>IF(ISBLANK(INDEX('Policy Characteristics'!B:B,MATCH($C1077,'Policy Characteristics'!$C:$C,0))),"",INDEX('Policy Characteristics'!B:B,MATCH($C1077,'Policy Characteristics'!$C:$C,0)))</f>
        <v>Feedstock Shifting</v>
      </c>
      <c r="C1077" s="254" t="str">
        <f t="shared" si="43"/>
        <v>Fraction of Feedstock Shifted</v>
      </c>
      <c r="D1077" s="6" t="s">
        <v>3085</v>
      </c>
      <c r="E1077" s="45" t="s">
        <v>2401</v>
      </c>
      <c r="F1077" t="s">
        <v>3046</v>
      </c>
      <c r="G1077" s="45" t="s">
        <v>2409</v>
      </c>
      <c r="H1077" s="47">
        <v>2702</v>
      </c>
      <c r="I1077" s="324" t="s">
        <v>44</v>
      </c>
      <c r="J1077" s="255" t="str">
        <f>IF(ISBLANK(INDEX('Policy Characteristics'!D:D,MATCH($C1077,'Policy Characteristics'!$C:$C,0))),"",INDEX('Policy Characteristics'!D:D,MATCH($C1077,'Policy Characteristics'!$C:$C,0)))</f>
        <v>Feedstock Shifting</v>
      </c>
      <c r="K1077" s="254" t="str">
        <f>IF(ISBLANK(INDEX('Policy Characteristics'!E:E,MATCH($C1077,'Policy Characteristics'!$C:$C,0))),"",INDEX('Policy Characteristics'!E:E,MATCH($C1077,'Policy Characteristics'!$C:$C,0)))</f>
        <v>indst feedstock shifting</v>
      </c>
      <c r="L1077" s="261">
        <f>IF(ISBLANK(INDEX('Policy Characteristics'!F:F,MATCH($C1077,'Policy Characteristics'!$C:$C,0))),"",INDEX('Policy Characteristics'!F:F,MATCH($C1077,'Policy Characteristics'!$C:$C,0)))</f>
        <v>0</v>
      </c>
      <c r="M1077" s="261">
        <f>IF(ISBLANK(INDEX('Policy Characteristics'!G:G,MATCH($C1077,'Policy Characteristics'!$C:$C,0))),"",INDEX('Policy Characteristics'!G:G,MATCH($C1077,'Policy Characteristics'!$C:$C,0)))</f>
        <v>1</v>
      </c>
      <c r="N1077" s="261">
        <f>IF(ISBLANK(INDEX('Policy Characteristics'!H:H,MATCH($C1077,'Policy Characteristics'!$C:$C,0))),"",INDEX('Policy Characteristics'!H:H,MATCH($C1077,'Policy Characteristics'!$C:$C,0)))</f>
        <v>0.01</v>
      </c>
      <c r="O1077" s="254" t="str">
        <f>IF(ISBLANK(INDEX('Policy Characteristics'!I:I,MATCH($C1077,'Policy Characteristics'!$C:$C,0))),"",INDEX('Policy Characteristics'!I:I,MATCH($C1077,'Policy Characteristics'!$C:$C,0)))</f>
        <v>% of potential achieved</v>
      </c>
      <c r="P1077" s="254"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4" t="str">
        <f>IF(ISBLANK(INDEX('Policy Characteristics'!K:K,MATCH($C1077,'Policy Characteristics'!$C:$C,0))),"",INDEX('Policy Characteristics'!K:K,MATCH($C1077,'Policy Characteristics'!$C:$C,0)))</f>
        <v/>
      </c>
      <c r="R1077" s="254" t="str">
        <f>IF(ISBLANK(INDEX('Policy Characteristics'!L:L,MATCH($C1077,'Policy Characteristics'!$C:$C,0))),"",INDEX('Policy Characteristics'!L:L,MATCH($C1077,'Policy Characteristics'!$C:$C,0)))</f>
        <v/>
      </c>
    </row>
    <row r="1078" spans="1:18" s="2" customFormat="1" x14ac:dyDescent="0.3">
      <c r="A1078" s="254" t="str">
        <f>IF(ISBLANK(INDEX('Policy Characteristics'!A:A,MATCH($C1078,'Policy Characteristics'!$C:$C,0))),"",INDEX('Policy Characteristics'!A:A,MATCH($C1078,'Policy Characteristics'!$C:$C,0)))</f>
        <v>Industry</v>
      </c>
      <c r="B1078" s="262" t="str">
        <f>IF(ISBLANK(INDEX('Policy Characteristics'!B:B,MATCH($C1078,'Policy Characteristics'!$C:$C,0))),"",INDEX('Policy Characteristics'!B:B,MATCH($C1078,'Policy Characteristics'!$C:$C,0)))</f>
        <v>Feedstock Shifting</v>
      </c>
      <c r="C1078" s="254" t="str">
        <f t="shared" si="43"/>
        <v>Fraction of Feedstock Shifted</v>
      </c>
      <c r="D1078" s="6" t="s">
        <v>3085</v>
      </c>
      <c r="E1078" s="45" t="s">
        <v>2402</v>
      </c>
      <c r="F1078" t="s">
        <v>3046</v>
      </c>
      <c r="G1078" s="45" t="s">
        <v>2406</v>
      </c>
      <c r="H1078" s="47">
        <v>2703</v>
      </c>
      <c r="I1078" s="324" t="s">
        <v>44</v>
      </c>
      <c r="J1078" s="255" t="str">
        <f>IF(ISBLANK(INDEX('Policy Characteristics'!D:D,MATCH($C1078,'Policy Characteristics'!$C:$C,0))),"",INDEX('Policy Characteristics'!D:D,MATCH($C1078,'Policy Characteristics'!$C:$C,0)))</f>
        <v>Feedstock Shifting</v>
      </c>
      <c r="K1078" s="254" t="str">
        <f>IF(ISBLANK(INDEX('Policy Characteristics'!E:E,MATCH($C1078,'Policy Characteristics'!$C:$C,0))),"",INDEX('Policy Characteristics'!E:E,MATCH($C1078,'Policy Characteristics'!$C:$C,0)))</f>
        <v>indst feedstock shifting</v>
      </c>
      <c r="L1078" s="261">
        <f>IF(ISBLANK(INDEX('Policy Characteristics'!F:F,MATCH($C1078,'Policy Characteristics'!$C:$C,0))),"",INDEX('Policy Characteristics'!F:F,MATCH($C1078,'Policy Characteristics'!$C:$C,0)))</f>
        <v>0</v>
      </c>
      <c r="M1078" s="261">
        <f>IF(ISBLANK(INDEX('Policy Characteristics'!G:G,MATCH($C1078,'Policy Characteristics'!$C:$C,0))),"",INDEX('Policy Characteristics'!G:G,MATCH($C1078,'Policy Characteristics'!$C:$C,0)))</f>
        <v>1</v>
      </c>
      <c r="N1078" s="261">
        <f>IF(ISBLANK(INDEX('Policy Characteristics'!H:H,MATCH($C1078,'Policy Characteristics'!$C:$C,0))),"",INDEX('Policy Characteristics'!H:H,MATCH($C1078,'Policy Characteristics'!$C:$C,0)))</f>
        <v>0.01</v>
      </c>
      <c r="O1078" s="254" t="str">
        <f>IF(ISBLANK(INDEX('Policy Characteristics'!I:I,MATCH($C1078,'Policy Characteristics'!$C:$C,0))),"",INDEX('Policy Characteristics'!I:I,MATCH($C1078,'Policy Characteristics'!$C:$C,0)))</f>
        <v>% of potential achieved</v>
      </c>
      <c r="P1078" s="254"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4" t="str">
        <f>IF(ISBLANK(INDEX('Policy Characteristics'!K:K,MATCH($C1078,'Policy Characteristics'!$C:$C,0))),"",INDEX('Policy Characteristics'!K:K,MATCH($C1078,'Policy Characteristics'!$C:$C,0)))</f>
        <v/>
      </c>
      <c r="R1078" s="254" t="str">
        <f>IF(ISBLANK(INDEX('Policy Characteristics'!L:L,MATCH($C1078,'Policy Characteristics'!$C:$C,0))),"",INDEX('Policy Characteristics'!L:L,MATCH($C1078,'Policy Characteristics'!$C:$C,0)))</f>
        <v/>
      </c>
    </row>
    <row r="1079" spans="1:18" s="2" customFormat="1" x14ac:dyDescent="0.3">
      <c r="A1079" s="254" t="str">
        <f>IF(ISBLANK(INDEX('Policy Characteristics'!A:A,MATCH($C1079,'Policy Characteristics'!$C:$C,0))),"",INDEX('Policy Characteristics'!A:A,MATCH($C1079,'Policy Characteristics'!$C:$C,0)))</f>
        <v>Industry</v>
      </c>
      <c r="B1079" s="262" t="str">
        <f>IF(ISBLANK(INDEX('Policy Characteristics'!B:B,MATCH($C1079,'Policy Characteristics'!$C:$C,0))),"",INDEX('Policy Characteristics'!B:B,MATCH($C1079,'Policy Characteristics'!$C:$C,0)))</f>
        <v>Feedstock Shifting</v>
      </c>
      <c r="C1079" s="254" t="str">
        <f t="shared" si="43"/>
        <v>Fraction of Feedstock Shifted</v>
      </c>
      <c r="D1079" s="6" t="s">
        <v>3085</v>
      </c>
      <c r="E1079" s="45" t="s">
        <v>2403</v>
      </c>
      <c r="F1079" t="s">
        <v>3046</v>
      </c>
      <c r="G1079" s="45" t="s">
        <v>2407</v>
      </c>
      <c r="H1079" s="47">
        <v>2704</v>
      </c>
      <c r="I1079" s="324" t="s">
        <v>44</v>
      </c>
      <c r="J1079" s="255" t="str">
        <f>IF(ISBLANK(INDEX('Policy Characteristics'!D:D,MATCH($C1079,'Policy Characteristics'!$C:$C,0))),"",INDEX('Policy Characteristics'!D:D,MATCH($C1079,'Policy Characteristics'!$C:$C,0)))</f>
        <v>Feedstock Shifting</v>
      </c>
      <c r="K1079" s="254" t="str">
        <f>IF(ISBLANK(INDEX('Policy Characteristics'!E:E,MATCH($C1079,'Policy Characteristics'!$C:$C,0))),"",INDEX('Policy Characteristics'!E:E,MATCH($C1079,'Policy Characteristics'!$C:$C,0)))</f>
        <v>indst feedstock shifting</v>
      </c>
      <c r="L1079" s="261">
        <f>IF(ISBLANK(INDEX('Policy Characteristics'!F:F,MATCH($C1079,'Policy Characteristics'!$C:$C,0))),"",INDEX('Policy Characteristics'!F:F,MATCH($C1079,'Policy Characteristics'!$C:$C,0)))</f>
        <v>0</v>
      </c>
      <c r="M1079" s="261">
        <f>IF(ISBLANK(INDEX('Policy Characteristics'!G:G,MATCH($C1079,'Policy Characteristics'!$C:$C,0))),"",INDEX('Policy Characteristics'!G:G,MATCH($C1079,'Policy Characteristics'!$C:$C,0)))</f>
        <v>1</v>
      </c>
      <c r="N1079" s="261">
        <f>IF(ISBLANK(INDEX('Policy Characteristics'!H:H,MATCH($C1079,'Policy Characteristics'!$C:$C,0))),"",INDEX('Policy Characteristics'!H:H,MATCH($C1079,'Policy Characteristics'!$C:$C,0)))</f>
        <v>0.01</v>
      </c>
      <c r="O1079" s="254" t="str">
        <f>IF(ISBLANK(INDEX('Policy Characteristics'!I:I,MATCH($C1079,'Policy Characteristics'!$C:$C,0))),"",INDEX('Policy Characteristics'!I:I,MATCH($C1079,'Policy Characteristics'!$C:$C,0)))</f>
        <v>% of potential achieved</v>
      </c>
      <c r="P1079" s="254"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4" t="str">
        <f>IF(ISBLANK(INDEX('Policy Characteristics'!K:K,MATCH($C1079,'Policy Characteristics'!$C:$C,0))),"",INDEX('Policy Characteristics'!K:K,MATCH($C1079,'Policy Characteristics'!$C:$C,0)))</f>
        <v/>
      </c>
      <c r="R1079" s="254" t="str">
        <f>IF(ISBLANK(INDEX('Policy Characteristics'!L:L,MATCH($C1079,'Policy Characteristics'!$C:$C,0))),"",INDEX('Policy Characteristics'!L:L,MATCH($C1079,'Policy Characteristics'!$C:$C,0)))</f>
        <v/>
      </c>
    </row>
    <row r="1080" spans="1:18" s="2" customFormat="1" x14ac:dyDescent="0.3">
      <c r="A1080" s="254" t="str">
        <f>IF(ISBLANK(INDEX('Policy Characteristics'!A:A,MATCH($C1080,'Policy Characteristics'!$C:$C,0))),"",INDEX('Policy Characteristics'!A:A,MATCH($C1080,'Policy Characteristics'!$C:$C,0)))</f>
        <v>Industry</v>
      </c>
      <c r="B1080" s="262" t="str">
        <f>IF(ISBLANK(INDEX('Policy Characteristics'!B:B,MATCH($C1080,'Policy Characteristics'!$C:$C,0))),"",INDEX('Policy Characteristics'!B:B,MATCH($C1080,'Policy Characteristics'!$C:$C,0)))</f>
        <v>Feedstock Shifting</v>
      </c>
      <c r="C1080" s="254" t="str">
        <f t="shared" si="43"/>
        <v>Fraction of Feedstock Shifted</v>
      </c>
      <c r="D1080" s="6" t="s">
        <v>3085</v>
      </c>
      <c r="E1080" s="45" t="s">
        <v>2404</v>
      </c>
      <c r="F1080" t="s">
        <v>3046</v>
      </c>
      <c r="G1080" s="45" t="s">
        <v>2410</v>
      </c>
      <c r="H1080" s="47">
        <v>2705</v>
      </c>
      <c r="I1080" s="324" t="s">
        <v>44</v>
      </c>
      <c r="J1080" s="255" t="str">
        <f>IF(ISBLANK(INDEX('Policy Characteristics'!D:D,MATCH($C1080,'Policy Characteristics'!$C:$C,0))),"",INDEX('Policy Characteristics'!D:D,MATCH($C1080,'Policy Characteristics'!$C:$C,0)))</f>
        <v>Feedstock Shifting</v>
      </c>
      <c r="K1080" s="254" t="str">
        <f>IF(ISBLANK(INDEX('Policy Characteristics'!E:E,MATCH($C1080,'Policy Characteristics'!$C:$C,0))),"",INDEX('Policy Characteristics'!E:E,MATCH($C1080,'Policy Characteristics'!$C:$C,0)))</f>
        <v>indst feedstock shifting</v>
      </c>
      <c r="L1080" s="261">
        <f>IF(ISBLANK(INDEX('Policy Characteristics'!F:F,MATCH($C1080,'Policy Characteristics'!$C:$C,0))),"",INDEX('Policy Characteristics'!F:F,MATCH($C1080,'Policy Characteristics'!$C:$C,0)))</f>
        <v>0</v>
      </c>
      <c r="M1080" s="261">
        <f>IF(ISBLANK(INDEX('Policy Characteristics'!G:G,MATCH($C1080,'Policy Characteristics'!$C:$C,0))),"",INDEX('Policy Characteristics'!G:G,MATCH($C1080,'Policy Characteristics'!$C:$C,0)))</f>
        <v>1</v>
      </c>
      <c r="N1080" s="261">
        <f>IF(ISBLANK(INDEX('Policy Characteristics'!H:H,MATCH($C1080,'Policy Characteristics'!$C:$C,0))),"",INDEX('Policy Characteristics'!H:H,MATCH($C1080,'Policy Characteristics'!$C:$C,0)))</f>
        <v>0.01</v>
      </c>
      <c r="O1080" s="254" t="str">
        <f>IF(ISBLANK(INDEX('Policy Characteristics'!I:I,MATCH($C1080,'Policy Characteristics'!$C:$C,0))),"",INDEX('Policy Characteristics'!I:I,MATCH($C1080,'Policy Characteristics'!$C:$C,0)))</f>
        <v>% of potential achieved</v>
      </c>
      <c r="P1080" s="254"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4" t="str">
        <f>IF(ISBLANK(INDEX('Policy Characteristics'!K:K,MATCH($C1080,'Policy Characteristics'!$C:$C,0))),"",INDEX('Policy Characteristics'!K:K,MATCH($C1080,'Policy Characteristics'!$C:$C,0)))</f>
        <v/>
      </c>
      <c r="R1080" s="254" t="str">
        <f>IF(ISBLANK(INDEX('Policy Characteristics'!L:L,MATCH($C1080,'Policy Characteristics'!$C:$C,0))),"",INDEX('Policy Characteristics'!L:L,MATCH($C1080,'Policy Characteristics'!$C:$C,0)))</f>
        <v/>
      </c>
    </row>
    <row r="1081" spans="1:18" s="2" customFormat="1" x14ac:dyDescent="0.3">
      <c r="A1081" s="254" t="str">
        <f>IF(ISBLANK(INDEX('Policy Characteristics'!A:A,MATCH($C1081,'Policy Characteristics'!$C:$C,0))),"",INDEX('Policy Characteristics'!A:A,MATCH($C1081,'Policy Characteristics'!$C:$C,0)))</f>
        <v>Industry</v>
      </c>
      <c r="B1081" s="262" t="str">
        <f>IF(ISBLANK(INDEX('Policy Characteristics'!B:B,MATCH($C1081,'Policy Characteristics'!$C:$C,0))),"",INDEX('Policy Characteristics'!B:B,MATCH($C1081,'Policy Characteristics'!$C:$C,0)))</f>
        <v>Feedstock Shifting</v>
      </c>
      <c r="C1081" s="254" t="str">
        <f t="shared" si="43"/>
        <v>Fraction of Feedstock Shifted</v>
      </c>
      <c r="D1081" s="6" t="s">
        <v>3085</v>
      </c>
      <c r="E1081" s="45" t="s">
        <v>2706</v>
      </c>
      <c r="F1081" t="s">
        <v>3046</v>
      </c>
      <c r="G1081" s="45" t="s">
        <v>2709</v>
      </c>
      <c r="H1081" s="47">
        <v>2706</v>
      </c>
      <c r="I1081" s="324" t="s">
        <v>44</v>
      </c>
      <c r="J1081" s="255" t="str">
        <f>IF(ISBLANK(INDEX('Policy Characteristics'!D:D,MATCH($C1081,'Policy Characteristics'!$C:$C,0))),"",INDEX('Policy Characteristics'!D:D,MATCH($C1081,'Policy Characteristics'!$C:$C,0)))</f>
        <v>Feedstock Shifting</v>
      </c>
      <c r="K1081" s="254" t="str">
        <f>IF(ISBLANK(INDEX('Policy Characteristics'!E:E,MATCH($C1081,'Policy Characteristics'!$C:$C,0))),"",INDEX('Policy Characteristics'!E:E,MATCH($C1081,'Policy Characteristics'!$C:$C,0)))</f>
        <v>indst feedstock shifting</v>
      </c>
      <c r="L1081" s="261">
        <f>IF(ISBLANK(INDEX('Policy Characteristics'!F:F,MATCH($C1081,'Policy Characteristics'!$C:$C,0))),"",INDEX('Policy Characteristics'!F:F,MATCH($C1081,'Policy Characteristics'!$C:$C,0)))</f>
        <v>0</v>
      </c>
      <c r="M1081" s="261">
        <f>IF(ISBLANK(INDEX('Policy Characteristics'!G:G,MATCH($C1081,'Policy Characteristics'!$C:$C,0))),"",INDEX('Policy Characteristics'!G:G,MATCH($C1081,'Policy Characteristics'!$C:$C,0)))</f>
        <v>1</v>
      </c>
      <c r="N1081" s="261">
        <f>IF(ISBLANK(INDEX('Policy Characteristics'!H:H,MATCH($C1081,'Policy Characteristics'!$C:$C,0))),"",INDEX('Policy Characteristics'!H:H,MATCH($C1081,'Policy Characteristics'!$C:$C,0)))</f>
        <v>0.01</v>
      </c>
      <c r="O1081" s="254" t="str">
        <f>IF(ISBLANK(INDEX('Policy Characteristics'!I:I,MATCH($C1081,'Policy Characteristics'!$C:$C,0))),"",INDEX('Policy Characteristics'!I:I,MATCH($C1081,'Policy Characteristics'!$C:$C,0)))</f>
        <v>% of potential achieved</v>
      </c>
      <c r="P1081" s="254"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4" t="str">
        <f>IF(ISBLANK(INDEX('Policy Characteristics'!K:K,MATCH($C1081,'Policy Characteristics'!$C:$C,0))),"",INDEX('Policy Characteristics'!K:K,MATCH($C1081,'Policy Characteristics'!$C:$C,0)))</f>
        <v/>
      </c>
      <c r="R1081" s="254" t="str">
        <f>IF(ISBLANK(INDEX('Policy Characteristics'!L:L,MATCH($C1081,'Policy Characteristics'!$C:$C,0))),"",INDEX('Policy Characteristics'!L:L,MATCH($C1081,'Policy Characteristics'!$C:$C,0)))</f>
        <v/>
      </c>
    </row>
    <row r="1082" spans="1:18" s="2" customFormat="1" x14ac:dyDescent="0.3">
      <c r="A1082" s="254" t="str">
        <f>IF(ISBLANK(INDEX('Policy Characteristics'!A:A,MATCH($C1082,'Policy Characteristics'!$C:$C,0))),"",INDEX('Policy Characteristics'!A:A,MATCH($C1082,'Policy Characteristics'!$C:$C,0)))</f>
        <v>Industry</v>
      </c>
      <c r="B1082" s="262" t="str">
        <f>IF(ISBLANK(INDEX('Policy Characteristics'!B:B,MATCH($C1082,'Policy Characteristics'!$C:$C,0))),"",INDEX('Policy Characteristics'!B:B,MATCH($C1082,'Policy Characteristics'!$C:$C,0)))</f>
        <v>Feedstock Shifting</v>
      </c>
      <c r="C1082" s="254" t="str">
        <f t="shared" si="43"/>
        <v>Fraction of Feedstock Shifted</v>
      </c>
      <c r="D1082" s="6" t="s">
        <v>3085</v>
      </c>
      <c r="E1082" s="45" t="s">
        <v>2707</v>
      </c>
      <c r="F1082" t="s">
        <v>3046</v>
      </c>
      <c r="G1082" s="45" t="s">
        <v>2711</v>
      </c>
      <c r="H1082" s="47">
        <v>2707</v>
      </c>
      <c r="I1082" s="324" t="s">
        <v>44</v>
      </c>
      <c r="J1082" s="255" t="str">
        <f>IF(ISBLANK(INDEX('Policy Characteristics'!D:D,MATCH($C1082,'Policy Characteristics'!$C:$C,0))),"",INDEX('Policy Characteristics'!D:D,MATCH($C1082,'Policy Characteristics'!$C:$C,0)))</f>
        <v>Feedstock Shifting</v>
      </c>
      <c r="K1082" s="254" t="str">
        <f>IF(ISBLANK(INDEX('Policy Characteristics'!E:E,MATCH($C1082,'Policy Characteristics'!$C:$C,0))),"",INDEX('Policy Characteristics'!E:E,MATCH($C1082,'Policy Characteristics'!$C:$C,0)))</f>
        <v>indst feedstock shifting</v>
      </c>
      <c r="L1082" s="261">
        <f>IF(ISBLANK(INDEX('Policy Characteristics'!F:F,MATCH($C1082,'Policy Characteristics'!$C:$C,0))),"",INDEX('Policy Characteristics'!F:F,MATCH($C1082,'Policy Characteristics'!$C:$C,0)))</f>
        <v>0</v>
      </c>
      <c r="M1082" s="261">
        <f>IF(ISBLANK(INDEX('Policy Characteristics'!G:G,MATCH($C1082,'Policy Characteristics'!$C:$C,0))),"",INDEX('Policy Characteristics'!G:G,MATCH($C1082,'Policy Characteristics'!$C:$C,0)))</f>
        <v>1</v>
      </c>
      <c r="N1082" s="261">
        <f>IF(ISBLANK(INDEX('Policy Characteristics'!H:H,MATCH($C1082,'Policy Characteristics'!$C:$C,0))),"",INDEX('Policy Characteristics'!H:H,MATCH($C1082,'Policy Characteristics'!$C:$C,0)))</f>
        <v>0.01</v>
      </c>
      <c r="O1082" s="254" t="str">
        <f>IF(ISBLANK(INDEX('Policy Characteristics'!I:I,MATCH($C1082,'Policy Characteristics'!$C:$C,0))),"",INDEX('Policy Characteristics'!I:I,MATCH($C1082,'Policy Characteristics'!$C:$C,0)))</f>
        <v>% of potential achieved</v>
      </c>
      <c r="P1082" s="254"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4" t="str">
        <f>IF(ISBLANK(INDEX('Policy Characteristics'!K:K,MATCH($C1082,'Policy Characteristics'!$C:$C,0))),"",INDEX('Policy Characteristics'!K:K,MATCH($C1082,'Policy Characteristics'!$C:$C,0)))</f>
        <v/>
      </c>
      <c r="R1082" s="254" t="str">
        <f>IF(ISBLANK(INDEX('Policy Characteristics'!L:L,MATCH($C1082,'Policy Characteristics'!$C:$C,0))),"",INDEX('Policy Characteristics'!L:L,MATCH($C1082,'Policy Characteristics'!$C:$C,0)))</f>
        <v/>
      </c>
    </row>
    <row r="1083" spans="1:18" s="2" customFormat="1" x14ac:dyDescent="0.3">
      <c r="A1083" s="254" t="str">
        <f>IF(ISBLANK(INDEX('Policy Characteristics'!A:A,MATCH($C1083,'Policy Characteristics'!$C:$C,0))),"",INDEX('Policy Characteristics'!A:A,MATCH($C1083,'Policy Characteristics'!$C:$C,0)))</f>
        <v>Industry</v>
      </c>
      <c r="B1083" s="262" t="str">
        <f>IF(ISBLANK(INDEX('Policy Characteristics'!B:B,MATCH($C1083,'Policy Characteristics'!$C:$C,0))),"",INDEX('Policy Characteristics'!B:B,MATCH($C1083,'Policy Characteristics'!$C:$C,0)))</f>
        <v>Feedstock Shifting</v>
      </c>
      <c r="C1083" s="254" t="str">
        <f t="shared" si="43"/>
        <v>Fraction of Feedstock Shifted</v>
      </c>
      <c r="D1083" s="6" t="s">
        <v>3085</v>
      </c>
      <c r="E1083" s="45" t="s">
        <v>2708</v>
      </c>
      <c r="F1083" t="s">
        <v>3046</v>
      </c>
      <c r="G1083" s="45" t="s">
        <v>2712</v>
      </c>
      <c r="H1083" s="47">
        <v>2708</v>
      </c>
      <c r="I1083" s="324" t="s">
        <v>44</v>
      </c>
      <c r="J1083" s="255" t="str">
        <f>IF(ISBLANK(INDEX('Policy Characteristics'!D:D,MATCH($C1083,'Policy Characteristics'!$C:$C,0))),"",INDEX('Policy Characteristics'!D:D,MATCH($C1083,'Policy Characteristics'!$C:$C,0)))</f>
        <v>Feedstock Shifting</v>
      </c>
      <c r="K1083" s="254" t="str">
        <f>IF(ISBLANK(INDEX('Policy Characteristics'!E:E,MATCH($C1083,'Policy Characteristics'!$C:$C,0))),"",INDEX('Policy Characteristics'!E:E,MATCH($C1083,'Policy Characteristics'!$C:$C,0)))</f>
        <v>indst feedstock shifting</v>
      </c>
      <c r="L1083" s="261">
        <f>IF(ISBLANK(INDEX('Policy Characteristics'!F:F,MATCH($C1083,'Policy Characteristics'!$C:$C,0))),"",INDEX('Policy Characteristics'!F:F,MATCH($C1083,'Policy Characteristics'!$C:$C,0)))</f>
        <v>0</v>
      </c>
      <c r="M1083" s="261">
        <f>IF(ISBLANK(INDEX('Policy Characteristics'!G:G,MATCH($C1083,'Policy Characteristics'!$C:$C,0))),"",INDEX('Policy Characteristics'!G:G,MATCH($C1083,'Policy Characteristics'!$C:$C,0)))</f>
        <v>1</v>
      </c>
      <c r="N1083" s="261">
        <f>IF(ISBLANK(INDEX('Policy Characteristics'!H:H,MATCH($C1083,'Policy Characteristics'!$C:$C,0))),"",INDEX('Policy Characteristics'!H:H,MATCH($C1083,'Policy Characteristics'!$C:$C,0)))</f>
        <v>0.01</v>
      </c>
      <c r="O1083" s="254" t="str">
        <f>IF(ISBLANK(INDEX('Policy Characteristics'!I:I,MATCH($C1083,'Policy Characteristics'!$C:$C,0))),"",INDEX('Policy Characteristics'!I:I,MATCH($C1083,'Policy Characteristics'!$C:$C,0)))</f>
        <v>% of potential achieved</v>
      </c>
      <c r="P1083" s="254"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4" t="str">
        <f>IF(ISBLANK(INDEX('Policy Characteristics'!K:K,MATCH($C1083,'Policy Characteristics'!$C:$C,0))),"",INDEX('Policy Characteristics'!K:K,MATCH($C1083,'Policy Characteristics'!$C:$C,0)))</f>
        <v/>
      </c>
      <c r="R1083" s="254" t="str">
        <f>IF(ISBLANK(INDEX('Policy Characteristics'!L:L,MATCH($C1083,'Policy Characteristics'!$C:$C,0))),"",INDEX('Policy Characteristics'!L:L,MATCH($C1083,'Policy Characteristics'!$C:$C,0)))</f>
        <v/>
      </c>
    </row>
    <row r="1084" spans="1:18" s="2" customFormat="1" x14ac:dyDescent="0.3">
      <c r="A1084" s="254" t="str">
        <f>IF(ISBLANK(INDEX('Policy Characteristics'!A:A,MATCH($C1084,'Policy Characteristics'!$C:$C,0))),"",INDEX('Policy Characteristics'!A:A,MATCH($C1084,'Policy Characteristics'!$C:$C,0)))</f>
        <v>Industry</v>
      </c>
      <c r="B1084" s="262" t="str">
        <f>IF(ISBLANK(INDEX('Policy Characteristics'!B:B,MATCH($C1084,'Policy Characteristics'!$C:$C,0))),"",INDEX('Policy Characteristics'!B:B,MATCH($C1084,'Policy Characteristics'!$C:$C,0)))</f>
        <v>Feedstock Shifting</v>
      </c>
      <c r="C1084" s="254" t="str">
        <f t="shared" si="43"/>
        <v>Fraction of Feedstock Shifted</v>
      </c>
      <c r="D1084" s="6" t="s">
        <v>3085</v>
      </c>
      <c r="E1084" s="45" t="s">
        <v>2705</v>
      </c>
      <c r="F1084" t="s">
        <v>3046</v>
      </c>
      <c r="G1084" s="45" t="s">
        <v>2710</v>
      </c>
      <c r="H1084" s="47">
        <v>2709</v>
      </c>
      <c r="I1084" s="324" t="s">
        <v>44</v>
      </c>
      <c r="J1084" s="255" t="str">
        <f>IF(ISBLANK(INDEX('Policy Characteristics'!D:D,MATCH($C1084,'Policy Characteristics'!$C:$C,0))),"",INDEX('Policy Characteristics'!D:D,MATCH($C1084,'Policy Characteristics'!$C:$C,0)))</f>
        <v>Feedstock Shifting</v>
      </c>
      <c r="K1084" s="254" t="str">
        <f>IF(ISBLANK(INDEX('Policy Characteristics'!E:E,MATCH($C1084,'Policy Characteristics'!$C:$C,0))),"",INDEX('Policy Characteristics'!E:E,MATCH($C1084,'Policy Characteristics'!$C:$C,0)))</f>
        <v>indst feedstock shifting</v>
      </c>
      <c r="L1084" s="261">
        <f>IF(ISBLANK(INDEX('Policy Characteristics'!F:F,MATCH($C1084,'Policy Characteristics'!$C:$C,0))),"",INDEX('Policy Characteristics'!F:F,MATCH($C1084,'Policy Characteristics'!$C:$C,0)))</f>
        <v>0</v>
      </c>
      <c r="M1084" s="261">
        <f>IF(ISBLANK(INDEX('Policy Characteristics'!G:G,MATCH($C1084,'Policy Characteristics'!$C:$C,0))),"",INDEX('Policy Characteristics'!G:G,MATCH($C1084,'Policy Characteristics'!$C:$C,0)))</f>
        <v>1</v>
      </c>
      <c r="N1084" s="261">
        <f>IF(ISBLANK(INDEX('Policy Characteristics'!H:H,MATCH($C1084,'Policy Characteristics'!$C:$C,0))),"",INDEX('Policy Characteristics'!H:H,MATCH($C1084,'Policy Characteristics'!$C:$C,0)))</f>
        <v>0.01</v>
      </c>
      <c r="O1084" s="254" t="str">
        <f>IF(ISBLANK(INDEX('Policy Characteristics'!I:I,MATCH($C1084,'Policy Characteristics'!$C:$C,0))),"",INDEX('Policy Characteristics'!I:I,MATCH($C1084,'Policy Characteristics'!$C:$C,0)))</f>
        <v>% of potential achieved</v>
      </c>
      <c r="P1084" s="254"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4" t="str">
        <f>IF(ISBLANK(INDEX('Policy Characteristics'!K:K,MATCH($C1084,'Policy Characteristics'!$C:$C,0))),"",INDEX('Policy Characteristics'!K:K,MATCH($C1084,'Policy Characteristics'!$C:$C,0)))</f>
        <v/>
      </c>
      <c r="R1084" s="254" t="str">
        <f>IF(ISBLANK(INDEX('Policy Characteristics'!L:L,MATCH($C1084,'Policy Characteristics'!$C:$C,0))),"",INDEX('Policy Characteristics'!L:L,MATCH($C1084,'Policy Characteristics'!$C:$C,0)))</f>
        <v/>
      </c>
    </row>
    <row r="1085" spans="1:18" s="2" customFormat="1" x14ac:dyDescent="0.3">
      <c r="A1085" s="254" t="str">
        <f>IF(ISBLANK(INDEX('Policy Characteristics'!A:A,MATCH($C1085,'Policy Characteristics'!$C:$C,0))),"",INDEX('Policy Characteristics'!A:A,MATCH($C1085,'Policy Characteristics'!$C:$C,0)))</f>
        <v>Industry</v>
      </c>
      <c r="B1085" s="262" t="str">
        <f>IF(ISBLANK(INDEX('Policy Characteristics'!B:B,MATCH($C1085,'Policy Characteristics'!$C:$C,0))),"",INDEX('Policy Characteristics'!B:B,MATCH($C1085,'Policy Characteristics'!$C:$C,0)))</f>
        <v>Hydrogen Combustion</v>
      </c>
      <c r="C1085" t="s">
        <v>3539</v>
      </c>
      <c r="D1085" s="45" t="s">
        <v>3061</v>
      </c>
      <c r="E1085" s="1" t="s">
        <v>3515</v>
      </c>
      <c r="F1085" t="s">
        <v>3086</v>
      </c>
      <c r="G1085" s="45" t="s">
        <v>3522</v>
      </c>
      <c r="H1085" s="43">
        <v>2034</v>
      </c>
      <c r="I1085" s="324" t="s">
        <v>44</v>
      </c>
      <c r="J1085" s="255" t="str">
        <f>IF(ISBLANK(INDEX('Policy Characteristics'!D:D,MATCH($C1085,'Policy Characteristics'!$C:$C,0))),"",INDEX('Policy Characteristics'!D:D,MATCH($C1085,'Policy Characteristics'!$C:$C,0)))</f>
        <v>Hydrogen Combustion</v>
      </c>
      <c r="K1085" s="254" t="str">
        <f>IF(ISBLANK(INDEX('Policy Characteristics'!E:E,MATCH($C1085,'Policy Characteristics'!$C:$C,0))),"",INDEX('Policy Characteristics'!E:E,MATCH($C1085,'Policy Characteristics'!$C:$C,0)))</f>
        <v>indst shift to hydrogen</v>
      </c>
      <c r="L1085" s="261">
        <f>IF(ISBLANK(INDEX('Policy Characteristics'!F:F,MATCH($C1085,'Policy Characteristics'!$C:$C,0))),"",INDEX('Policy Characteristics'!F:F,MATCH($C1085,'Policy Characteristics'!$C:$C,0)))</f>
        <v>0</v>
      </c>
      <c r="M1085" s="261">
        <f>IF(ISBLANK(INDEX('Policy Characteristics'!G:G,MATCH($C1085,'Policy Characteristics'!$C:$C,0))),"",INDEX('Policy Characteristics'!G:G,MATCH($C1085,'Policy Characteristics'!$C:$C,0)))</f>
        <v>1</v>
      </c>
      <c r="N1085" s="261">
        <f>IF(ISBLANK(INDEX('Policy Characteristics'!H:H,MATCH($C1085,'Policy Characteristics'!$C:$C,0))),"",INDEX('Policy Characteristics'!H:H,MATCH($C1085,'Policy Characteristics'!$C:$C,0)))</f>
        <v>0.01</v>
      </c>
      <c r="O1085" s="254" t="str">
        <f>IF(ISBLANK(INDEX('Policy Characteristics'!I:I,MATCH($C1085,'Policy Characteristics'!$C:$C,0))),"",INDEX('Policy Characteristics'!I:I,MATCH($C1085,'Policy Characteristics'!$C:$C,0)))</f>
        <v>% of fuel shifted</v>
      </c>
      <c r="P1085" s="254" t="str">
        <f>IF(ISBLANK(INDEX('Policy Characteristics'!J:J,MATCH($C1085,'Policy Characteristics'!$C:$C,0))),"",INDEX('Policy Characteristics'!J:J,MATCH($C1085,'Policy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5" s="254" t="str">
        <f>IF(ISBLANK(INDEX('Policy Characteristics'!K:K,MATCH($C1085,'Policy Characteristics'!$C:$C,0))),"",INDEX('Policy Characteristics'!K:K,MATCH($C1085,'Policy Characteristics'!$C:$C,0)))</f>
        <v>industry-ag-main.html#fuel-switching</v>
      </c>
      <c r="R1085" s="254" t="str">
        <f>IF(ISBLANK(INDEX('Policy Characteristics'!L:L,MATCH($C1085,'Policy Characteristics'!$C:$C,0))),"",INDEX('Policy Characteristics'!L:L,MATCH($C1085,'Policy Characteristics'!$C:$C,0)))</f>
        <v>industry-elec-and-hydrogen.html</v>
      </c>
    </row>
    <row r="1086" spans="1:18" s="2" customFormat="1" x14ac:dyDescent="0.3">
      <c r="A1086" s="254" t="str">
        <f>IF(ISBLANK(INDEX('Policy Characteristics'!A:A,MATCH($C1086,'Policy Characteristics'!$C:$C,0))),"",INDEX('Policy Characteristics'!A:A,MATCH($C1086,'Policy Characteristics'!$C:$C,0)))</f>
        <v>Industry</v>
      </c>
      <c r="B1086" s="262" t="str">
        <f>IF(ISBLANK(INDEX('Policy Characteristics'!B:B,MATCH($C1086,'Policy Characteristics'!$C:$C,0))),"",INDEX('Policy Characteristics'!B:B,MATCH($C1086,'Policy Characteristics'!$C:$C,0)))</f>
        <v>Hydrogen Combustion</v>
      </c>
      <c r="C1086" s="254" t="str">
        <f>C$1085</f>
        <v>Fraction of Eligible Industrial Energy Use Shifted to Hydrogen</v>
      </c>
      <c r="D1086" s="45" t="s">
        <v>3061</v>
      </c>
      <c r="E1086" s="1" t="s">
        <v>3516</v>
      </c>
      <c r="F1086" t="s">
        <v>3086</v>
      </c>
      <c r="G1086" s="45" t="s">
        <v>3523</v>
      </c>
      <c r="H1086" s="43">
        <v>2035</v>
      </c>
      <c r="I1086" s="324" t="s">
        <v>44</v>
      </c>
      <c r="J1086" s="255" t="str">
        <f>IF(ISBLANK(INDEX('Policy Characteristics'!D:D,MATCH($C1086,'Policy Characteristics'!$C:$C,0))),"",INDEX('Policy Characteristics'!D:D,MATCH($C1086,'Policy Characteristics'!$C:$C,0)))</f>
        <v>Hydrogen Combustion</v>
      </c>
      <c r="K1086" s="254" t="str">
        <f>IF(ISBLANK(INDEX('Policy Characteristics'!E:E,MATCH($C1086,'Policy Characteristics'!$C:$C,0))),"",INDEX('Policy Characteristics'!E:E,MATCH($C1086,'Policy Characteristics'!$C:$C,0)))</f>
        <v>indst shift to hydrogen</v>
      </c>
      <c r="L1086" s="261">
        <f>IF(ISBLANK(INDEX('Policy Characteristics'!F:F,MATCH($C1086,'Policy Characteristics'!$C:$C,0))),"",INDEX('Policy Characteristics'!F:F,MATCH($C1086,'Policy Characteristics'!$C:$C,0)))</f>
        <v>0</v>
      </c>
      <c r="M1086" s="261">
        <f>IF(ISBLANK(INDEX('Policy Characteristics'!G:G,MATCH($C1086,'Policy Characteristics'!$C:$C,0))),"",INDEX('Policy Characteristics'!G:G,MATCH($C1086,'Policy Characteristics'!$C:$C,0)))</f>
        <v>1</v>
      </c>
      <c r="N1086" s="261">
        <f>IF(ISBLANK(INDEX('Policy Characteristics'!H:H,MATCH($C1086,'Policy Characteristics'!$C:$C,0))),"",INDEX('Policy Characteristics'!H:H,MATCH($C1086,'Policy Characteristics'!$C:$C,0)))</f>
        <v>0.01</v>
      </c>
      <c r="O1086" s="254" t="str">
        <f>IF(ISBLANK(INDEX('Policy Characteristics'!I:I,MATCH($C1086,'Policy Characteristics'!$C:$C,0))),"",INDEX('Policy Characteristics'!I:I,MATCH($C1086,'Policy Characteristics'!$C:$C,0)))</f>
        <v>% of fuel shifted</v>
      </c>
      <c r="P1086" s="254" t="str">
        <f>IF(ISBLANK(INDEX('Policy Characteristics'!J:J,MATCH($C1086,'Policy Characteristics'!$C:$C,0))),"",INDEX('Policy Characteristics'!J:J,MATCH($C1086,'Policy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6" s="254" t="str">
        <f>IF(ISBLANK(INDEX('Policy Characteristics'!K:K,MATCH($C1086,'Policy Characteristics'!$C:$C,0))),"",INDEX('Policy Characteristics'!K:K,MATCH($C1086,'Policy Characteristics'!$C:$C,0)))</f>
        <v>industry-ag-main.html#fuel-switching</v>
      </c>
      <c r="R1086" s="254" t="str">
        <f>IF(ISBLANK(INDEX('Policy Characteristics'!L:L,MATCH($C1086,'Policy Characteristics'!$C:$C,0))),"",INDEX('Policy Characteristics'!L:L,MATCH($C1086,'Policy Characteristics'!$C:$C,0)))</f>
        <v>industry-elec-and-hydrogen.html</v>
      </c>
    </row>
    <row r="1087" spans="1:18" s="2" customFormat="1" x14ac:dyDescent="0.3">
      <c r="A1087" s="254" t="str">
        <f>IF(ISBLANK(INDEX('Policy Characteristics'!A:A,MATCH($C1087,'Policy Characteristics'!$C:$C,0))),"",INDEX('Policy Characteristics'!A:A,MATCH($C1087,'Policy Characteristics'!$C:$C,0)))</f>
        <v>Industry</v>
      </c>
      <c r="B1087" s="262" t="str">
        <f>IF(ISBLANK(INDEX('Policy Characteristics'!B:B,MATCH($C1087,'Policy Characteristics'!$C:$C,0))),"",INDEX('Policy Characteristics'!B:B,MATCH($C1087,'Policy Characteristics'!$C:$C,0)))</f>
        <v>Hydrogen Combustion</v>
      </c>
      <c r="C1087" s="254" t="str">
        <f t="shared" ref="C1087:C1150" si="44">C$1085</f>
        <v>Fraction of Eligible Industrial Energy Use Shifted to Hydrogen</v>
      </c>
      <c r="D1087" s="45" t="s">
        <v>3061</v>
      </c>
      <c r="E1087" s="1" t="s">
        <v>3517</v>
      </c>
      <c r="F1087" t="s">
        <v>3086</v>
      </c>
      <c r="G1087" s="45" t="s">
        <v>3524</v>
      </c>
      <c r="H1087" s="43">
        <v>2036</v>
      </c>
      <c r="I1087" s="324" t="s">
        <v>44</v>
      </c>
      <c r="J1087" s="255" t="str">
        <f>IF(ISBLANK(INDEX('Policy Characteristics'!D:D,MATCH($C1087,'Policy Characteristics'!$C:$C,0))),"",INDEX('Policy Characteristics'!D:D,MATCH($C1087,'Policy Characteristics'!$C:$C,0)))</f>
        <v>Hydrogen Combustion</v>
      </c>
      <c r="K1087" s="254" t="str">
        <f>IF(ISBLANK(INDEX('Policy Characteristics'!E:E,MATCH($C1087,'Policy Characteristics'!$C:$C,0))),"",INDEX('Policy Characteristics'!E:E,MATCH($C1087,'Policy Characteristics'!$C:$C,0)))</f>
        <v>indst shift to hydrogen</v>
      </c>
      <c r="L1087" s="261">
        <f>IF(ISBLANK(INDEX('Policy Characteristics'!F:F,MATCH($C1087,'Policy Characteristics'!$C:$C,0))),"",INDEX('Policy Characteristics'!F:F,MATCH($C1087,'Policy Characteristics'!$C:$C,0)))</f>
        <v>0</v>
      </c>
      <c r="M1087" s="261">
        <f>IF(ISBLANK(INDEX('Policy Characteristics'!G:G,MATCH($C1087,'Policy Characteristics'!$C:$C,0))),"",INDEX('Policy Characteristics'!G:G,MATCH($C1087,'Policy Characteristics'!$C:$C,0)))</f>
        <v>1</v>
      </c>
      <c r="N1087" s="261">
        <f>IF(ISBLANK(INDEX('Policy Characteristics'!H:H,MATCH($C1087,'Policy Characteristics'!$C:$C,0))),"",INDEX('Policy Characteristics'!H:H,MATCH($C1087,'Policy Characteristics'!$C:$C,0)))</f>
        <v>0.01</v>
      </c>
      <c r="O1087" s="254" t="str">
        <f>IF(ISBLANK(INDEX('Policy Characteristics'!I:I,MATCH($C1087,'Policy Characteristics'!$C:$C,0))),"",INDEX('Policy Characteristics'!I:I,MATCH($C1087,'Policy Characteristics'!$C:$C,0)))</f>
        <v>% of fuel shifted</v>
      </c>
      <c r="P1087" s="254" t="str">
        <f>IF(ISBLANK(INDEX('Policy Characteristics'!J:J,MATCH($C1087,'Policy Characteristics'!$C:$C,0))),"",INDEX('Policy Characteristics'!J:J,MATCH($C1087,'Policy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7" s="254" t="str">
        <f>IF(ISBLANK(INDEX('Policy Characteristics'!K:K,MATCH($C1087,'Policy Characteristics'!$C:$C,0))),"",INDEX('Policy Characteristics'!K:K,MATCH($C1087,'Policy Characteristics'!$C:$C,0)))</f>
        <v>industry-ag-main.html#fuel-switching</v>
      </c>
      <c r="R1087" s="254" t="str">
        <f>IF(ISBLANK(INDEX('Policy Characteristics'!L:L,MATCH($C1087,'Policy Characteristics'!$C:$C,0))),"",INDEX('Policy Characteristics'!L:L,MATCH($C1087,'Policy Characteristics'!$C:$C,0)))</f>
        <v>industry-elec-and-hydrogen.html</v>
      </c>
    </row>
    <row r="1088" spans="1:18" s="2" customFormat="1" x14ac:dyDescent="0.3">
      <c r="A1088" s="254" t="str">
        <f>IF(ISBLANK(INDEX('Policy Characteristics'!A:A,MATCH($C1088,'Policy Characteristics'!$C:$C,0))),"",INDEX('Policy Characteristics'!A:A,MATCH($C1088,'Policy Characteristics'!$C:$C,0)))</f>
        <v>Industry</v>
      </c>
      <c r="B1088" s="262" t="str">
        <f>IF(ISBLANK(INDEX('Policy Characteristics'!B:B,MATCH($C1088,'Policy Characteristics'!$C:$C,0))),"",INDEX('Policy Characteristics'!B:B,MATCH($C1088,'Policy Characteristics'!$C:$C,0)))</f>
        <v>Hydrogen Combustion</v>
      </c>
      <c r="C1088" s="254" t="str">
        <f t="shared" si="44"/>
        <v>Fraction of Eligible Industrial Energy Use Shifted to Hydrogen</v>
      </c>
      <c r="D1088" s="45" t="s">
        <v>3061</v>
      </c>
      <c r="E1088" s="1" t="s">
        <v>3518</v>
      </c>
      <c r="F1088" t="s">
        <v>3086</v>
      </c>
      <c r="G1088" s="45" t="s">
        <v>3525</v>
      </c>
      <c r="H1088" s="43">
        <v>2037</v>
      </c>
      <c r="I1088" s="324" t="s">
        <v>44</v>
      </c>
      <c r="J1088" s="255" t="str">
        <f>IF(ISBLANK(INDEX('Policy Characteristics'!D:D,MATCH($C1088,'Policy Characteristics'!$C:$C,0))),"",INDEX('Policy Characteristics'!D:D,MATCH($C1088,'Policy Characteristics'!$C:$C,0)))</f>
        <v>Hydrogen Combustion</v>
      </c>
      <c r="K1088" s="254" t="str">
        <f>IF(ISBLANK(INDEX('Policy Characteristics'!E:E,MATCH($C1088,'Policy Characteristics'!$C:$C,0))),"",INDEX('Policy Characteristics'!E:E,MATCH($C1088,'Policy Characteristics'!$C:$C,0)))</f>
        <v>indst shift to hydrogen</v>
      </c>
      <c r="L1088" s="261">
        <f>IF(ISBLANK(INDEX('Policy Characteristics'!F:F,MATCH($C1088,'Policy Characteristics'!$C:$C,0))),"",INDEX('Policy Characteristics'!F:F,MATCH($C1088,'Policy Characteristics'!$C:$C,0)))</f>
        <v>0</v>
      </c>
      <c r="M1088" s="261">
        <f>IF(ISBLANK(INDEX('Policy Characteristics'!G:G,MATCH($C1088,'Policy Characteristics'!$C:$C,0))),"",INDEX('Policy Characteristics'!G:G,MATCH($C1088,'Policy Characteristics'!$C:$C,0)))</f>
        <v>1</v>
      </c>
      <c r="N1088" s="261">
        <f>IF(ISBLANK(INDEX('Policy Characteristics'!H:H,MATCH($C1088,'Policy Characteristics'!$C:$C,0))),"",INDEX('Policy Characteristics'!H:H,MATCH($C1088,'Policy Characteristics'!$C:$C,0)))</f>
        <v>0.01</v>
      </c>
      <c r="O1088" s="254" t="str">
        <f>IF(ISBLANK(INDEX('Policy Characteristics'!I:I,MATCH($C1088,'Policy Characteristics'!$C:$C,0))),"",INDEX('Policy Characteristics'!I:I,MATCH($C1088,'Policy Characteristics'!$C:$C,0)))</f>
        <v>% of fuel shifted</v>
      </c>
      <c r="P1088" s="254" t="str">
        <f>IF(ISBLANK(INDEX('Policy Characteristics'!J:J,MATCH($C1088,'Policy Characteristics'!$C:$C,0))),"",INDEX('Policy Characteristics'!J:J,MATCH($C1088,'Policy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8" s="254" t="str">
        <f>IF(ISBLANK(INDEX('Policy Characteristics'!K:K,MATCH($C1088,'Policy Characteristics'!$C:$C,0))),"",INDEX('Policy Characteristics'!K:K,MATCH($C1088,'Policy Characteristics'!$C:$C,0)))</f>
        <v>industry-ag-main.html#fuel-switching</v>
      </c>
      <c r="R1088" s="254" t="str">
        <f>IF(ISBLANK(INDEX('Policy Characteristics'!L:L,MATCH($C1088,'Policy Characteristics'!$C:$C,0))),"",INDEX('Policy Characteristics'!L:L,MATCH($C1088,'Policy Characteristics'!$C:$C,0)))</f>
        <v>industry-elec-and-hydrogen.html</v>
      </c>
    </row>
    <row r="1089" spans="1:18" s="2" customFormat="1" x14ac:dyDescent="0.3">
      <c r="A1089" s="254" t="str">
        <f>IF(ISBLANK(INDEX('Policy Characteristics'!A:A,MATCH($C1089,'Policy Characteristics'!$C:$C,0))),"",INDEX('Policy Characteristics'!A:A,MATCH($C1089,'Policy Characteristics'!$C:$C,0)))</f>
        <v>Industry</v>
      </c>
      <c r="B1089" s="262" t="str">
        <f>IF(ISBLANK(INDEX('Policy Characteristics'!B:B,MATCH($C1089,'Policy Characteristics'!$C:$C,0))),"",INDEX('Policy Characteristics'!B:B,MATCH($C1089,'Policy Characteristics'!$C:$C,0)))</f>
        <v>Hydrogen Combustion</v>
      </c>
      <c r="C1089" s="254" t="str">
        <f t="shared" si="44"/>
        <v>Fraction of Eligible Industrial Energy Use Shifted to Hydrogen</v>
      </c>
      <c r="D1089" s="45" t="s">
        <v>3061</v>
      </c>
      <c r="E1089" s="1" t="s">
        <v>3519</v>
      </c>
      <c r="F1089" t="s">
        <v>3086</v>
      </c>
      <c r="G1089" s="45" t="s">
        <v>3526</v>
      </c>
      <c r="H1089" s="43">
        <v>2038</v>
      </c>
      <c r="I1089" s="324" t="s">
        <v>44</v>
      </c>
      <c r="J1089" s="255" t="str">
        <f>IF(ISBLANK(INDEX('Policy Characteristics'!D:D,MATCH($C1089,'Policy Characteristics'!$C:$C,0))),"",INDEX('Policy Characteristics'!D:D,MATCH($C1089,'Policy Characteristics'!$C:$C,0)))</f>
        <v>Hydrogen Combustion</v>
      </c>
      <c r="K1089" s="254" t="str">
        <f>IF(ISBLANK(INDEX('Policy Characteristics'!E:E,MATCH($C1089,'Policy Characteristics'!$C:$C,0))),"",INDEX('Policy Characteristics'!E:E,MATCH($C1089,'Policy Characteristics'!$C:$C,0)))</f>
        <v>indst shift to hydrogen</v>
      </c>
      <c r="L1089" s="261">
        <f>IF(ISBLANK(INDEX('Policy Characteristics'!F:F,MATCH($C1089,'Policy Characteristics'!$C:$C,0))),"",INDEX('Policy Characteristics'!F:F,MATCH($C1089,'Policy Characteristics'!$C:$C,0)))</f>
        <v>0</v>
      </c>
      <c r="M1089" s="261">
        <f>IF(ISBLANK(INDEX('Policy Characteristics'!G:G,MATCH($C1089,'Policy Characteristics'!$C:$C,0))),"",INDEX('Policy Characteristics'!G:G,MATCH($C1089,'Policy Characteristics'!$C:$C,0)))</f>
        <v>1</v>
      </c>
      <c r="N1089" s="261">
        <f>IF(ISBLANK(INDEX('Policy Characteristics'!H:H,MATCH($C1089,'Policy Characteristics'!$C:$C,0))),"",INDEX('Policy Characteristics'!H:H,MATCH($C1089,'Policy Characteristics'!$C:$C,0)))</f>
        <v>0.01</v>
      </c>
      <c r="O1089" s="254" t="str">
        <f>IF(ISBLANK(INDEX('Policy Characteristics'!I:I,MATCH($C1089,'Policy Characteristics'!$C:$C,0))),"",INDEX('Policy Characteristics'!I:I,MATCH($C1089,'Policy Characteristics'!$C:$C,0)))</f>
        <v>% of fuel shifted</v>
      </c>
      <c r="P1089" s="254" t="str">
        <f>IF(ISBLANK(INDEX('Policy Characteristics'!J:J,MATCH($C1089,'Policy Characteristics'!$C:$C,0))),"",INDEX('Policy Characteristics'!J:J,MATCH($C1089,'Policy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89" s="254" t="str">
        <f>IF(ISBLANK(INDEX('Policy Characteristics'!K:K,MATCH($C1089,'Policy Characteristics'!$C:$C,0))),"",INDEX('Policy Characteristics'!K:K,MATCH($C1089,'Policy Characteristics'!$C:$C,0)))</f>
        <v>industry-ag-main.html#fuel-switching</v>
      </c>
      <c r="R1089" s="254" t="str">
        <f>IF(ISBLANK(INDEX('Policy Characteristics'!L:L,MATCH($C1089,'Policy Characteristics'!$C:$C,0))),"",INDEX('Policy Characteristics'!L:L,MATCH($C1089,'Policy Characteristics'!$C:$C,0)))</f>
        <v>industry-elec-and-hydrogen.html</v>
      </c>
    </row>
    <row r="1090" spans="1:18" s="2" customFormat="1" x14ac:dyDescent="0.3">
      <c r="A1090" s="254" t="str">
        <f>IF(ISBLANK(INDEX('Policy Characteristics'!A:A,MATCH($C1090,'Policy Characteristics'!$C:$C,0))),"",INDEX('Policy Characteristics'!A:A,MATCH($C1090,'Policy Characteristics'!$C:$C,0)))</f>
        <v>Industry</v>
      </c>
      <c r="B1090" s="262" t="str">
        <f>IF(ISBLANK(INDEX('Policy Characteristics'!B:B,MATCH($C1090,'Policy Characteristics'!$C:$C,0))),"",INDEX('Policy Characteristics'!B:B,MATCH($C1090,'Policy Characteristics'!$C:$C,0)))</f>
        <v>Hydrogen Combustion</v>
      </c>
      <c r="C1090" s="254" t="str">
        <f t="shared" si="44"/>
        <v>Fraction of Eligible Industrial Energy Use Shifted to Hydrogen</v>
      </c>
      <c r="D1090" s="45" t="s">
        <v>3061</v>
      </c>
      <c r="E1090" s="1" t="s">
        <v>3520</v>
      </c>
      <c r="F1090" t="s">
        <v>3086</v>
      </c>
      <c r="G1090" s="45" t="s">
        <v>3527</v>
      </c>
      <c r="H1090" s="43">
        <v>2039</v>
      </c>
      <c r="I1090" s="324" t="s">
        <v>43</v>
      </c>
      <c r="J1090" s="255" t="str">
        <f>IF(ISBLANK(INDEX('Policy Characteristics'!D:D,MATCH($C1090,'Policy Characteristics'!$C:$C,0))),"",INDEX('Policy Characteristics'!D:D,MATCH($C1090,'Policy Characteristics'!$C:$C,0)))</f>
        <v>Hydrogen Combustion</v>
      </c>
      <c r="K1090" s="254" t="str">
        <f>IF(ISBLANK(INDEX('Policy Characteristics'!E:E,MATCH($C1090,'Policy Characteristics'!$C:$C,0))),"",INDEX('Policy Characteristics'!E:E,MATCH($C1090,'Policy Characteristics'!$C:$C,0)))</f>
        <v>indst shift to hydrogen</v>
      </c>
      <c r="L1090" s="261">
        <f>IF(ISBLANK(INDEX('Policy Characteristics'!F:F,MATCH($C1090,'Policy Characteristics'!$C:$C,0))),"",INDEX('Policy Characteristics'!F:F,MATCH($C1090,'Policy Characteristics'!$C:$C,0)))</f>
        <v>0</v>
      </c>
      <c r="M1090" s="261">
        <f>IF(ISBLANK(INDEX('Policy Characteristics'!G:G,MATCH($C1090,'Policy Characteristics'!$C:$C,0))),"",INDEX('Policy Characteristics'!G:G,MATCH($C1090,'Policy Characteristics'!$C:$C,0)))</f>
        <v>1</v>
      </c>
      <c r="N1090" s="261">
        <f>IF(ISBLANK(INDEX('Policy Characteristics'!H:H,MATCH($C1090,'Policy Characteristics'!$C:$C,0))),"",INDEX('Policy Characteristics'!H:H,MATCH($C1090,'Policy Characteristics'!$C:$C,0)))</f>
        <v>0.01</v>
      </c>
      <c r="O1090" s="254" t="str">
        <f>IF(ISBLANK(INDEX('Policy Characteristics'!I:I,MATCH($C1090,'Policy Characteristics'!$C:$C,0))),"",INDEX('Policy Characteristics'!I:I,MATCH($C1090,'Policy Characteristics'!$C:$C,0)))</f>
        <v>% of fuel shifted</v>
      </c>
      <c r="P1090" s="254" t="str">
        <f>IF(ISBLANK(INDEX('Policy Characteristics'!J:J,MATCH($C1090,'Policy Characteristics'!$C:$C,0))),"",INDEX('Policy Characteristics'!J:J,MATCH($C1090,'Policy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0" s="254" t="str">
        <f>IF(ISBLANK(INDEX('Policy Characteristics'!K:K,MATCH($C1090,'Policy Characteristics'!$C:$C,0))),"",INDEX('Policy Characteristics'!K:K,MATCH($C1090,'Policy Characteristics'!$C:$C,0)))</f>
        <v>industry-ag-main.html#fuel-switching</v>
      </c>
      <c r="R1090" s="254" t="str">
        <f>IF(ISBLANK(INDEX('Policy Characteristics'!L:L,MATCH($C1090,'Policy Characteristics'!$C:$C,0))),"",INDEX('Policy Characteristics'!L:L,MATCH($C1090,'Policy Characteristics'!$C:$C,0)))</f>
        <v>industry-elec-and-hydrogen.html</v>
      </c>
    </row>
    <row r="1091" spans="1:18" s="2" customFormat="1" x14ac:dyDescent="0.3">
      <c r="A1091" s="254" t="str">
        <f>IF(ISBLANK(INDEX('Policy Characteristics'!A:A,MATCH($C1091,'Policy Characteristics'!$C:$C,0))),"",INDEX('Policy Characteristics'!A:A,MATCH($C1091,'Policy Characteristics'!$C:$C,0)))</f>
        <v>Industry</v>
      </c>
      <c r="B1091" s="262" t="str">
        <f>IF(ISBLANK(INDEX('Policy Characteristics'!B:B,MATCH($C1091,'Policy Characteristics'!$C:$C,0))),"",INDEX('Policy Characteristics'!B:B,MATCH($C1091,'Policy Characteristics'!$C:$C,0)))</f>
        <v>Hydrogen Combustion</v>
      </c>
      <c r="C1091" s="254" t="str">
        <f t="shared" si="44"/>
        <v>Fraction of Eligible Industrial Energy Use Shifted to Hydrogen</v>
      </c>
      <c r="D1091" s="45" t="s">
        <v>3061</v>
      </c>
      <c r="E1091" s="1" t="s">
        <v>3521</v>
      </c>
      <c r="F1091" t="s">
        <v>3086</v>
      </c>
      <c r="G1091" s="45" t="s">
        <v>3528</v>
      </c>
      <c r="H1091" s="43">
        <v>2040</v>
      </c>
      <c r="I1091" s="324" t="s">
        <v>44</v>
      </c>
      <c r="J1091" s="255" t="str">
        <f>IF(ISBLANK(INDEX('Policy Characteristics'!D:D,MATCH($C1091,'Policy Characteristics'!$C:$C,0))),"",INDEX('Policy Characteristics'!D:D,MATCH($C1091,'Policy Characteristics'!$C:$C,0)))</f>
        <v>Hydrogen Combustion</v>
      </c>
      <c r="K1091" s="254" t="str">
        <f>IF(ISBLANK(INDEX('Policy Characteristics'!E:E,MATCH($C1091,'Policy Characteristics'!$C:$C,0))),"",INDEX('Policy Characteristics'!E:E,MATCH($C1091,'Policy Characteristics'!$C:$C,0)))</f>
        <v>indst shift to hydrogen</v>
      </c>
      <c r="L1091" s="261">
        <f>IF(ISBLANK(INDEX('Policy Characteristics'!F:F,MATCH($C1091,'Policy Characteristics'!$C:$C,0))),"",INDEX('Policy Characteristics'!F:F,MATCH($C1091,'Policy Characteristics'!$C:$C,0)))</f>
        <v>0</v>
      </c>
      <c r="M1091" s="261">
        <f>IF(ISBLANK(INDEX('Policy Characteristics'!G:G,MATCH($C1091,'Policy Characteristics'!$C:$C,0))),"",INDEX('Policy Characteristics'!G:G,MATCH($C1091,'Policy Characteristics'!$C:$C,0)))</f>
        <v>1</v>
      </c>
      <c r="N1091" s="261">
        <f>IF(ISBLANK(INDEX('Policy Characteristics'!H:H,MATCH($C1091,'Policy Characteristics'!$C:$C,0))),"",INDEX('Policy Characteristics'!H:H,MATCH($C1091,'Policy Characteristics'!$C:$C,0)))</f>
        <v>0.01</v>
      </c>
      <c r="O1091" s="254" t="str">
        <f>IF(ISBLANK(INDEX('Policy Characteristics'!I:I,MATCH($C1091,'Policy Characteristics'!$C:$C,0))),"",INDEX('Policy Characteristics'!I:I,MATCH($C1091,'Policy Characteristics'!$C:$C,0)))</f>
        <v>% of fuel shifted</v>
      </c>
      <c r="P1091" s="254" t="str">
        <f>IF(ISBLANK(INDEX('Policy Characteristics'!J:J,MATCH($C1091,'Policy Characteristics'!$C:$C,0))),"",INDEX('Policy Characteristics'!J:J,MATCH($C1091,'Policy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1" s="254" t="str">
        <f>IF(ISBLANK(INDEX('Policy Characteristics'!K:K,MATCH($C1091,'Policy Characteristics'!$C:$C,0))),"",INDEX('Policy Characteristics'!K:K,MATCH($C1091,'Policy Characteristics'!$C:$C,0)))</f>
        <v>industry-ag-main.html#fuel-switching</v>
      </c>
      <c r="R1091" s="254" t="str">
        <f>IF(ISBLANK(INDEX('Policy Characteristics'!L:L,MATCH($C1091,'Policy Characteristics'!$C:$C,0))),"",INDEX('Policy Characteristics'!L:L,MATCH($C1091,'Policy Characteristics'!$C:$C,0)))</f>
        <v>industry-elec-and-hydrogen.html</v>
      </c>
    </row>
    <row r="1092" spans="1:18" s="2" customFormat="1" x14ac:dyDescent="0.3">
      <c r="A1092" s="254" t="str">
        <f>IF(ISBLANK(INDEX('Policy Characteristics'!A:A,MATCH($C1092,'Policy Characteristics'!$C:$C,0))),"",INDEX('Policy Characteristics'!A:A,MATCH($C1092,'Policy Characteristics'!$C:$C,0)))</f>
        <v>Industry</v>
      </c>
      <c r="B1092" s="262" t="str">
        <f>IF(ISBLANK(INDEX('Policy Characteristics'!B:B,MATCH($C1092,'Policy Characteristics'!$C:$C,0))),"",INDEX('Policy Characteristics'!B:B,MATCH($C1092,'Policy Characteristics'!$C:$C,0)))</f>
        <v>Hydrogen Combustion</v>
      </c>
      <c r="C1092" s="254" t="str">
        <f t="shared" si="44"/>
        <v>Fraction of Eligible Industrial Energy Use Shifted to Hydrogen</v>
      </c>
      <c r="D1092" s="45" t="s">
        <v>3061</v>
      </c>
      <c r="E1092" s="1" t="s">
        <v>3671</v>
      </c>
      <c r="F1092" t="s">
        <v>3086</v>
      </c>
      <c r="G1092" s="45" t="s">
        <v>3671</v>
      </c>
      <c r="H1092" s="43">
        <v>2041</v>
      </c>
      <c r="I1092" s="324" t="s">
        <v>44</v>
      </c>
      <c r="J1092" s="255" t="str">
        <f>IF(ISBLANK(INDEX('Policy Characteristics'!D:D,MATCH($C1092,'Policy Characteristics'!$C:$C,0))),"",INDEX('Policy Characteristics'!D:D,MATCH($C1092,'Policy Characteristics'!$C:$C,0)))</f>
        <v>Hydrogen Combustion</v>
      </c>
      <c r="K1092" s="254" t="str">
        <f>IF(ISBLANK(INDEX('Policy Characteristics'!E:E,MATCH($C1092,'Policy Characteristics'!$C:$C,0))),"",INDEX('Policy Characteristics'!E:E,MATCH($C1092,'Policy Characteristics'!$C:$C,0)))</f>
        <v>indst shift to hydrogen</v>
      </c>
      <c r="L1092" s="261">
        <f>IF(ISBLANK(INDEX('Policy Characteristics'!F:F,MATCH($C1092,'Policy Characteristics'!$C:$C,0))),"",INDEX('Policy Characteristics'!F:F,MATCH($C1092,'Policy Characteristics'!$C:$C,0)))</f>
        <v>0</v>
      </c>
      <c r="M1092" s="261">
        <f>IF(ISBLANK(INDEX('Policy Characteristics'!G:G,MATCH($C1092,'Policy Characteristics'!$C:$C,0))),"",INDEX('Policy Characteristics'!G:G,MATCH($C1092,'Policy Characteristics'!$C:$C,0)))</f>
        <v>1</v>
      </c>
      <c r="N1092" s="261">
        <f>IF(ISBLANK(INDEX('Policy Characteristics'!H:H,MATCH($C1092,'Policy Characteristics'!$C:$C,0))),"",INDEX('Policy Characteristics'!H:H,MATCH($C1092,'Policy Characteristics'!$C:$C,0)))</f>
        <v>0.01</v>
      </c>
      <c r="O1092" s="254" t="str">
        <f>IF(ISBLANK(INDEX('Policy Characteristics'!I:I,MATCH($C1092,'Policy Characteristics'!$C:$C,0))),"",INDEX('Policy Characteristics'!I:I,MATCH($C1092,'Policy Characteristics'!$C:$C,0)))</f>
        <v>% of fuel shifted</v>
      </c>
      <c r="P1092" s="254" t="str">
        <f>IF(ISBLANK(INDEX('Policy Characteristics'!J:J,MATCH($C1092,'Policy Characteristics'!$C:$C,0))),"",INDEX('Policy Characteristics'!J:J,MATCH($C1092,'Policy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2" s="254" t="str">
        <f>IF(ISBLANK(INDEX('Policy Characteristics'!K:K,MATCH($C1092,'Policy Characteristics'!$C:$C,0))),"",INDEX('Policy Characteristics'!K:K,MATCH($C1092,'Policy Characteristics'!$C:$C,0)))</f>
        <v>industry-ag-main.html#fuel-switching</v>
      </c>
      <c r="R1092" s="254" t="str">
        <f>IF(ISBLANK(INDEX('Policy Characteristics'!L:L,MATCH($C1092,'Policy Characteristics'!$C:$C,0))),"",INDEX('Policy Characteristics'!L:L,MATCH($C1092,'Policy Characteristics'!$C:$C,0)))</f>
        <v>industry-elec-and-hydrogen.html</v>
      </c>
    </row>
    <row r="1093" spans="1:18" s="2" customFormat="1" x14ac:dyDescent="0.3">
      <c r="A1093" s="254" t="str">
        <f>IF(ISBLANK(INDEX('Policy Characteristics'!A:A,MATCH($C1093,'Policy Characteristics'!$C:$C,0))),"",INDEX('Policy Characteristics'!A:A,MATCH($C1093,'Policy Characteristics'!$C:$C,0)))</f>
        <v>Industry</v>
      </c>
      <c r="B1093" s="262" t="str">
        <f>IF(ISBLANK(INDEX('Policy Characteristics'!B:B,MATCH($C1093,'Policy Characteristics'!$C:$C,0))),"",INDEX('Policy Characteristics'!B:B,MATCH($C1093,'Policy Characteristics'!$C:$C,0)))</f>
        <v>Hydrogen Combustion</v>
      </c>
      <c r="C1093" s="254" t="str">
        <f t="shared" si="44"/>
        <v>Fraction of Eligible Industrial Energy Use Shifted to Hydrogen</v>
      </c>
      <c r="D1093" s="6" t="s">
        <v>3062</v>
      </c>
      <c r="E1093" s="1" t="s">
        <v>3515</v>
      </c>
      <c r="F1093" t="s">
        <v>2759</v>
      </c>
      <c r="G1093" s="45" t="s">
        <v>3522</v>
      </c>
      <c r="H1093" s="43">
        <v>2042</v>
      </c>
      <c r="I1093" s="324" t="s">
        <v>44</v>
      </c>
      <c r="J1093" s="255" t="str">
        <f>IF(ISBLANK(INDEX('Policy Characteristics'!D:D,MATCH($C1093,'Policy Characteristics'!$C:$C,0))),"",INDEX('Policy Characteristics'!D:D,MATCH($C1093,'Policy Characteristics'!$C:$C,0)))</f>
        <v>Hydrogen Combustion</v>
      </c>
      <c r="K1093" s="254" t="str">
        <f>IF(ISBLANK(INDEX('Policy Characteristics'!E:E,MATCH($C1093,'Policy Characteristics'!$C:$C,0))),"",INDEX('Policy Characteristics'!E:E,MATCH($C1093,'Policy Characteristics'!$C:$C,0)))</f>
        <v>indst shift to hydrogen</v>
      </c>
      <c r="L1093" s="261">
        <f>IF(ISBLANK(INDEX('Policy Characteristics'!F:F,MATCH($C1093,'Policy Characteristics'!$C:$C,0))),"",INDEX('Policy Characteristics'!F:F,MATCH($C1093,'Policy Characteristics'!$C:$C,0)))</f>
        <v>0</v>
      </c>
      <c r="M1093" s="261">
        <f>IF(ISBLANK(INDEX('Policy Characteristics'!G:G,MATCH($C1093,'Policy Characteristics'!$C:$C,0))),"",INDEX('Policy Characteristics'!G:G,MATCH($C1093,'Policy Characteristics'!$C:$C,0)))</f>
        <v>1</v>
      </c>
      <c r="N1093" s="261">
        <f>IF(ISBLANK(INDEX('Policy Characteristics'!H:H,MATCH($C1093,'Policy Characteristics'!$C:$C,0))),"",INDEX('Policy Characteristics'!H:H,MATCH($C1093,'Policy Characteristics'!$C:$C,0)))</f>
        <v>0.01</v>
      </c>
      <c r="O1093" s="254" t="str">
        <f>IF(ISBLANK(INDEX('Policy Characteristics'!I:I,MATCH($C1093,'Policy Characteristics'!$C:$C,0))),"",INDEX('Policy Characteristics'!I:I,MATCH($C1093,'Policy Characteristics'!$C:$C,0)))</f>
        <v>% of fuel shifted</v>
      </c>
      <c r="P1093" s="254" t="str">
        <f>IF(ISBLANK(INDEX('Policy Characteristics'!J:J,MATCH($C1093,'Policy Characteristics'!$C:$C,0))),"",INDEX('Policy Characteristics'!J:J,MATCH($C1093,'Policy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3" s="254" t="str">
        <f>IF(ISBLANK(INDEX('Policy Characteristics'!K:K,MATCH($C1093,'Policy Characteristics'!$C:$C,0))),"",INDEX('Policy Characteristics'!K:K,MATCH($C1093,'Policy Characteristics'!$C:$C,0)))</f>
        <v>industry-ag-main.html#fuel-switching</v>
      </c>
      <c r="R1093" s="254" t="str">
        <f>IF(ISBLANK(INDEX('Policy Characteristics'!L:L,MATCH($C1093,'Policy Characteristics'!$C:$C,0))),"",INDEX('Policy Characteristics'!L:L,MATCH($C1093,'Policy Characteristics'!$C:$C,0)))</f>
        <v>industry-elec-and-hydrogen.html</v>
      </c>
    </row>
    <row r="1094" spans="1:18" s="2" customFormat="1" x14ac:dyDescent="0.3">
      <c r="A1094" s="254" t="str">
        <f>IF(ISBLANK(INDEX('Policy Characteristics'!A:A,MATCH($C1094,'Policy Characteristics'!$C:$C,0))),"",INDEX('Policy Characteristics'!A:A,MATCH($C1094,'Policy Characteristics'!$C:$C,0)))</f>
        <v>Industry</v>
      </c>
      <c r="B1094" s="262" t="str">
        <f>IF(ISBLANK(INDEX('Policy Characteristics'!B:B,MATCH($C1094,'Policy Characteristics'!$C:$C,0))),"",INDEX('Policy Characteristics'!B:B,MATCH($C1094,'Policy Characteristics'!$C:$C,0)))</f>
        <v>Hydrogen Combustion</v>
      </c>
      <c r="C1094" s="254" t="str">
        <f t="shared" si="44"/>
        <v>Fraction of Eligible Industrial Energy Use Shifted to Hydrogen</v>
      </c>
      <c r="D1094" s="6" t="s">
        <v>3062</v>
      </c>
      <c r="E1094" s="1" t="s">
        <v>3516</v>
      </c>
      <c r="F1094" t="s">
        <v>2759</v>
      </c>
      <c r="G1094" s="45" t="s">
        <v>3523</v>
      </c>
      <c r="H1094" s="43">
        <v>2043</v>
      </c>
      <c r="I1094" s="324" t="s">
        <v>43</v>
      </c>
      <c r="J1094" s="255" t="str">
        <f>IF(ISBLANK(INDEX('Policy Characteristics'!D:D,MATCH($C1094,'Policy Characteristics'!$C:$C,0))),"",INDEX('Policy Characteristics'!D:D,MATCH($C1094,'Policy Characteristics'!$C:$C,0)))</f>
        <v>Hydrogen Combustion</v>
      </c>
      <c r="K1094" s="254" t="str">
        <f>IF(ISBLANK(INDEX('Policy Characteristics'!E:E,MATCH($C1094,'Policy Characteristics'!$C:$C,0))),"",INDEX('Policy Characteristics'!E:E,MATCH($C1094,'Policy Characteristics'!$C:$C,0)))</f>
        <v>indst shift to hydrogen</v>
      </c>
      <c r="L1094" s="261">
        <f>IF(ISBLANK(INDEX('Policy Characteristics'!F:F,MATCH($C1094,'Policy Characteristics'!$C:$C,0))),"",INDEX('Policy Characteristics'!F:F,MATCH($C1094,'Policy Characteristics'!$C:$C,0)))</f>
        <v>0</v>
      </c>
      <c r="M1094" s="261">
        <f>IF(ISBLANK(INDEX('Policy Characteristics'!G:G,MATCH($C1094,'Policy Characteristics'!$C:$C,0))),"",INDEX('Policy Characteristics'!G:G,MATCH($C1094,'Policy Characteristics'!$C:$C,0)))</f>
        <v>1</v>
      </c>
      <c r="N1094" s="261">
        <f>IF(ISBLANK(INDEX('Policy Characteristics'!H:H,MATCH($C1094,'Policy Characteristics'!$C:$C,0))),"",INDEX('Policy Characteristics'!H:H,MATCH($C1094,'Policy Characteristics'!$C:$C,0)))</f>
        <v>0.01</v>
      </c>
      <c r="O1094" s="254" t="str">
        <f>IF(ISBLANK(INDEX('Policy Characteristics'!I:I,MATCH($C1094,'Policy Characteristics'!$C:$C,0))),"",INDEX('Policy Characteristics'!I:I,MATCH($C1094,'Policy Characteristics'!$C:$C,0)))</f>
        <v>% of fuel shifted</v>
      </c>
      <c r="P1094" s="254" t="str">
        <f>IF(ISBLANK(INDEX('Policy Characteristics'!J:J,MATCH($C1094,'Policy Characteristics'!$C:$C,0))),"",INDEX('Policy Characteristics'!J:J,MATCH($C1094,'Policy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4" s="254" t="str">
        <f>IF(ISBLANK(INDEX('Policy Characteristics'!K:K,MATCH($C1094,'Policy Characteristics'!$C:$C,0))),"",INDEX('Policy Characteristics'!K:K,MATCH($C1094,'Policy Characteristics'!$C:$C,0)))</f>
        <v>industry-ag-main.html#fuel-switching</v>
      </c>
      <c r="R1094" s="254" t="str">
        <f>IF(ISBLANK(INDEX('Policy Characteristics'!L:L,MATCH($C1094,'Policy Characteristics'!$C:$C,0))),"",INDEX('Policy Characteristics'!L:L,MATCH($C1094,'Policy Characteristics'!$C:$C,0)))</f>
        <v>industry-elec-and-hydrogen.html</v>
      </c>
    </row>
    <row r="1095" spans="1:18" s="2" customFormat="1" x14ac:dyDescent="0.3">
      <c r="A1095" s="254" t="str">
        <f>IF(ISBLANK(INDEX('Policy Characteristics'!A:A,MATCH($C1095,'Policy Characteristics'!$C:$C,0))),"",INDEX('Policy Characteristics'!A:A,MATCH($C1095,'Policy Characteristics'!$C:$C,0)))</f>
        <v>Industry</v>
      </c>
      <c r="B1095" s="262" t="str">
        <f>IF(ISBLANK(INDEX('Policy Characteristics'!B:B,MATCH($C1095,'Policy Characteristics'!$C:$C,0))),"",INDEX('Policy Characteristics'!B:B,MATCH($C1095,'Policy Characteristics'!$C:$C,0)))</f>
        <v>Hydrogen Combustion</v>
      </c>
      <c r="C1095" s="254" t="str">
        <f t="shared" si="44"/>
        <v>Fraction of Eligible Industrial Energy Use Shifted to Hydrogen</v>
      </c>
      <c r="D1095" s="6" t="s">
        <v>3062</v>
      </c>
      <c r="E1095" s="1" t="s">
        <v>3517</v>
      </c>
      <c r="F1095" t="s">
        <v>2759</v>
      </c>
      <c r="G1095" s="45" t="s">
        <v>3524</v>
      </c>
      <c r="H1095" s="43">
        <v>2044</v>
      </c>
      <c r="I1095" s="324" t="s">
        <v>44</v>
      </c>
      <c r="J1095" s="255" t="str">
        <f>IF(ISBLANK(INDEX('Policy Characteristics'!D:D,MATCH($C1095,'Policy Characteristics'!$C:$C,0))),"",INDEX('Policy Characteristics'!D:D,MATCH($C1095,'Policy Characteristics'!$C:$C,0)))</f>
        <v>Hydrogen Combustion</v>
      </c>
      <c r="K1095" s="254" t="str">
        <f>IF(ISBLANK(INDEX('Policy Characteristics'!E:E,MATCH($C1095,'Policy Characteristics'!$C:$C,0))),"",INDEX('Policy Characteristics'!E:E,MATCH($C1095,'Policy Characteristics'!$C:$C,0)))</f>
        <v>indst shift to hydrogen</v>
      </c>
      <c r="L1095" s="261">
        <f>IF(ISBLANK(INDEX('Policy Characteristics'!F:F,MATCH($C1095,'Policy Characteristics'!$C:$C,0))),"",INDEX('Policy Characteristics'!F:F,MATCH($C1095,'Policy Characteristics'!$C:$C,0)))</f>
        <v>0</v>
      </c>
      <c r="M1095" s="261">
        <f>IF(ISBLANK(INDEX('Policy Characteristics'!G:G,MATCH($C1095,'Policy Characteristics'!$C:$C,0))),"",INDEX('Policy Characteristics'!G:G,MATCH($C1095,'Policy Characteristics'!$C:$C,0)))</f>
        <v>1</v>
      </c>
      <c r="N1095" s="261">
        <f>IF(ISBLANK(INDEX('Policy Characteristics'!H:H,MATCH($C1095,'Policy Characteristics'!$C:$C,0))),"",INDEX('Policy Characteristics'!H:H,MATCH($C1095,'Policy Characteristics'!$C:$C,0)))</f>
        <v>0.01</v>
      </c>
      <c r="O1095" s="254" t="str">
        <f>IF(ISBLANK(INDEX('Policy Characteristics'!I:I,MATCH($C1095,'Policy Characteristics'!$C:$C,0))),"",INDEX('Policy Characteristics'!I:I,MATCH($C1095,'Policy Characteristics'!$C:$C,0)))</f>
        <v>% of fuel shifted</v>
      </c>
      <c r="P1095" s="254" t="str">
        <f>IF(ISBLANK(INDEX('Policy Characteristics'!J:J,MATCH($C1095,'Policy Characteristics'!$C:$C,0))),"",INDEX('Policy Characteristics'!J:J,MATCH($C1095,'Policy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5" s="254" t="str">
        <f>IF(ISBLANK(INDEX('Policy Characteristics'!K:K,MATCH($C1095,'Policy Characteristics'!$C:$C,0))),"",INDEX('Policy Characteristics'!K:K,MATCH($C1095,'Policy Characteristics'!$C:$C,0)))</f>
        <v>industry-ag-main.html#fuel-switching</v>
      </c>
      <c r="R1095" s="254" t="str">
        <f>IF(ISBLANK(INDEX('Policy Characteristics'!L:L,MATCH($C1095,'Policy Characteristics'!$C:$C,0))),"",INDEX('Policy Characteristics'!L:L,MATCH($C1095,'Policy Characteristics'!$C:$C,0)))</f>
        <v>industry-elec-and-hydrogen.html</v>
      </c>
    </row>
    <row r="1096" spans="1:18" s="2" customFormat="1" x14ac:dyDescent="0.3">
      <c r="A1096" s="254" t="str">
        <f>IF(ISBLANK(INDEX('Policy Characteristics'!A:A,MATCH($C1096,'Policy Characteristics'!$C:$C,0))),"",INDEX('Policy Characteristics'!A:A,MATCH($C1096,'Policy Characteristics'!$C:$C,0)))</f>
        <v>Industry</v>
      </c>
      <c r="B1096" s="262" t="str">
        <f>IF(ISBLANK(INDEX('Policy Characteristics'!B:B,MATCH($C1096,'Policy Characteristics'!$C:$C,0))),"",INDEX('Policy Characteristics'!B:B,MATCH($C1096,'Policy Characteristics'!$C:$C,0)))</f>
        <v>Hydrogen Combustion</v>
      </c>
      <c r="C1096" s="254" t="str">
        <f t="shared" si="44"/>
        <v>Fraction of Eligible Industrial Energy Use Shifted to Hydrogen</v>
      </c>
      <c r="D1096" s="6" t="s">
        <v>3062</v>
      </c>
      <c r="E1096" s="1" t="s">
        <v>3518</v>
      </c>
      <c r="F1096" t="s">
        <v>2759</v>
      </c>
      <c r="G1096" s="45" t="s">
        <v>3525</v>
      </c>
      <c r="H1096" s="43">
        <v>2045</v>
      </c>
      <c r="I1096" s="324" t="s">
        <v>44</v>
      </c>
      <c r="J1096" s="255" t="str">
        <f>IF(ISBLANK(INDEX('Policy Characteristics'!D:D,MATCH($C1096,'Policy Characteristics'!$C:$C,0))),"",INDEX('Policy Characteristics'!D:D,MATCH($C1096,'Policy Characteristics'!$C:$C,0)))</f>
        <v>Hydrogen Combustion</v>
      </c>
      <c r="K1096" s="254" t="str">
        <f>IF(ISBLANK(INDEX('Policy Characteristics'!E:E,MATCH($C1096,'Policy Characteristics'!$C:$C,0))),"",INDEX('Policy Characteristics'!E:E,MATCH($C1096,'Policy Characteristics'!$C:$C,0)))</f>
        <v>indst shift to hydrogen</v>
      </c>
      <c r="L1096" s="261">
        <f>IF(ISBLANK(INDEX('Policy Characteristics'!F:F,MATCH($C1096,'Policy Characteristics'!$C:$C,0))),"",INDEX('Policy Characteristics'!F:F,MATCH($C1096,'Policy Characteristics'!$C:$C,0)))</f>
        <v>0</v>
      </c>
      <c r="M1096" s="261">
        <f>IF(ISBLANK(INDEX('Policy Characteristics'!G:G,MATCH($C1096,'Policy Characteristics'!$C:$C,0))),"",INDEX('Policy Characteristics'!G:G,MATCH($C1096,'Policy Characteristics'!$C:$C,0)))</f>
        <v>1</v>
      </c>
      <c r="N1096" s="261">
        <f>IF(ISBLANK(INDEX('Policy Characteristics'!H:H,MATCH($C1096,'Policy Characteristics'!$C:$C,0))),"",INDEX('Policy Characteristics'!H:H,MATCH($C1096,'Policy Characteristics'!$C:$C,0)))</f>
        <v>0.01</v>
      </c>
      <c r="O1096" s="254" t="str">
        <f>IF(ISBLANK(INDEX('Policy Characteristics'!I:I,MATCH($C1096,'Policy Characteristics'!$C:$C,0))),"",INDEX('Policy Characteristics'!I:I,MATCH($C1096,'Policy Characteristics'!$C:$C,0)))</f>
        <v>% of fuel shifted</v>
      </c>
      <c r="P1096" s="254" t="str">
        <f>IF(ISBLANK(INDEX('Policy Characteristics'!J:J,MATCH($C1096,'Policy Characteristics'!$C:$C,0))),"",INDEX('Policy Characteristics'!J:J,MATCH($C1096,'Policy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6" s="254" t="str">
        <f>IF(ISBLANK(INDEX('Policy Characteristics'!K:K,MATCH($C1096,'Policy Characteristics'!$C:$C,0))),"",INDEX('Policy Characteristics'!K:K,MATCH($C1096,'Policy Characteristics'!$C:$C,0)))</f>
        <v>industry-ag-main.html#fuel-switching</v>
      </c>
      <c r="R1096" s="254" t="str">
        <f>IF(ISBLANK(INDEX('Policy Characteristics'!L:L,MATCH($C1096,'Policy Characteristics'!$C:$C,0))),"",INDEX('Policy Characteristics'!L:L,MATCH($C1096,'Policy Characteristics'!$C:$C,0)))</f>
        <v>industry-elec-and-hydrogen.html</v>
      </c>
    </row>
    <row r="1097" spans="1:18" s="2" customFormat="1" x14ac:dyDescent="0.3">
      <c r="A1097" s="254" t="str">
        <f>IF(ISBLANK(INDEX('Policy Characteristics'!A:A,MATCH($C1097,'Policy Characteristics'!$C:$C,0))),"",INDEX('Policy Characteristics'!A:A,MATCH($C1097,'Policy Characteristics'!$C:$C,0)))</f>
        <v>Industry</v>
      </c>
      <c r="B1097" s="262" t="str">
        <f>IF(ISBLANK(INDEX('Policy Characteristics'!B:B,MATCH($C1097,'Policy Characteristics'!$C:$C,0))),"",INDEX('Policy Characteristics'!B:B,MATCH($C1097,'Policy Characteristics'!$C:$C,0)))</f>
        <v>Hydrogen Combustion</v>
      </c>
      <c r="C1097" s="254" t="str">
        <f t="shared" si="44"/>
        <v>Fraction of Eligible Industrial Energy Use Shifted to Hydrogen</v>
      </c>
      <c r="D1097" s="6" t="s">
        <v>3062</v>
      </c>
      <c r="E1097" s="1" t="s">
        <v>3519</v>
      </c>
      <c r="F1097" t="s">
        <v>2759</v>
      </c>
      <c r="G1097" s="45" t="s">
        <v>3526</v>
      </c>
      <c r="H1097" s="43">
        <v>2046</v>
      </c>
      <c r="I1097" s="324" t="s">
        <v>44</v>
      </c>
      <c r="J1097" s="255" t="str">
        <f>IF(ISBLANK(INDEX('Policy Characteristics'!D:D,MATCH($C1097,'Policy Characteristics'!$C:$C,0))),"",INDEX('Policy Characteristics'!D:D,MATCH($C1097,'Policy Characteristics'!$C:$C,0)))</f>
        <v>Hydrogen Combustion</v>
      </c>
      <c r="K1097" s="254" t="str">
        <f>IF(ISBLANK(INDEX('Policy Characteristics'!E:E,MATCH($C1097,'Policy Characteristics'!$C:$C,0))),"",INDEX('Policy Characteristics'!E:E,MATCH($C1097,'Policy Characteristics'!$C:$C,0)))</f>
        <v>indst shift to hydrogen</v>
      </c>
      <c r="L1097" s="261">
        <f>IF(ISBLANK(INDEX('Policy Characteristics'!F:F,MATCH($C1097,'Policy Characteristics'!$C:$C,0))),"",INDEX('Policy Characteristics'!F:F,MATCH($C1097,'Policy Characteristics'!$C:$C,0)))</f>
        <v>0</v>
      </c>
      <c r="M1097" s="261">
        <f>IF(ISBLANK(INDEX('Policy Characteristics'!G:G,MATCH($C1097,'Policy Characteristics'!$C:$C,0))),"",INDEX('Policy Characteristics'!G:G,MATCH($C1097,'Policy Characteristics'!$C:$C,0)))</f>
        <v>1</v>
      </c>
      <c r="N1097" s="261">
        <f>IF(ISBLANK(INDEX('Policy Characteristics'!H:H,MATCH($C1097,'Policy Characteristics'!$C:$C,0))),"",INDEX('Policy Characteristics'!H:H,MATCH($C1097,'Policy Characteristics'!$C:$C,0)))</f>
        <v>0.01</v>
      </c>
      <c r="O1097" s="254" t="str">
        <f>IF(ISBLANK(INDEX('Policy Characteristics'!I:I,MATCH($C1097,'Policy Characteristics'!$C:$C,0))),"",INDEX('Policy Characteristics'!I:I,MATCH($C1097,'Policy Characteristics'!$C:$C,0)))</f>
        <v>% of fuel shifted</v>
      </c>
      <c r="P1097" s="254" t="str">
        <f>IF(ISBLANK(INDEX('Policy Characteristics'!J:J,MATCH($C1097,'Policy Characteristics'!$C:$C,0))),"",INDEX('Policy Characteristics'!J:J,MATCH($C1097,'Policy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7" s="254" t="str">
        <f>IF(ISBLANK(INDEX('Policy Characteristics'!K:K,MATCH($C1097,'Policy Characteristics'!$C:$C,0))),"",INDEX('Policy Characteristics'!K:K,MATCH($C1097,'Policy Characteristics'!$C:$C,0)))</f>
        <v>industry-ag-main.html#fuel-switching</v>
      </c>
      <c r="R1097" s="254" t="str">
        <f>IF(ISBLANK(INDEX('Policy Characteristics'!L:L,MATCH($C1097,'Policy Characteristics'!$C:$C,0))),"",INDEX('Policy Characteristics'!L:L,MATCH($C1097,'Policy Characteristics'!$C:$C,0)))</f>
        <v>industry-elec-and-hydrogen.html</v>
      </c>
    </row>
    <row r="1098" spans="1:18" s="2" customFormat="1" x14ac:dyDescent="0.3">
      <c r="A1098" s="254" t="str">
        <f>IF(ISBLANK(INDEX('Policy Characteristics'!A:A,MATCH($C1098,'Policy Characteristics'!$C:$C,0))),"",INDEX('Policy Characteristics'!A:A,MATCH($C1098,'Policy Characteristics'!$C:$C,0)))</f>
        <v>Industry</v>
      </c>
      <c r="B1098" s="262" t="str">
        <f>IF(ISBLANK(INDEX('Policy Characteristics'!B:B,MATCH($C1098,'Policy Characteristics'!$C:$C,0))),"",INDEX('Policy Characteristics'!B:B,MATCH($C1098,'Policy Characteristics'!$C:$C,0)))</f>
        <v>Hydrogen Combustion</v>
      </c>
      <c r="C1098" s="254" t="str">
        <f t="shared" si="44"/>
        <v>Fraction of Eligible Industrial Energy Use Shifted to Hydrogen</v>
      </c>
      <c r="D1098" s="6" t="s">
        <v>3062</v>
      </c>
      <c r="E1098" s="1" t="s">
        <v>3520</v>
      </c>
      <c r="F1098" t="s">
        <v>2759</v>
      </c>
      <c r="G1098" s="45" t="s">
        <v>3527</v>
      </c>
      <c r="H1098" s="43">
        <v>2047</v>
      </c>
      <c r="I1098" s="324" t="s">
        <v>44</v>
      </c>
      <c r="J1098" s="255" t="str">
        <f>IF(ISBLANK(INDEX('Policy Characteristics'!D:D,MATCH($C1098,'Policy Characteristics'!$C:$C,0))),"",INDEX('Policy Characteristics'!D:D,MATCH($C1098,'Policy Characteristics'!$C:$C,0)))</f>
        <v>Hydrogen Combustion</v>
      </c>
      <c r="K1098" s="254" t="str">
        <f>IF(ISBLANK(INDEX('Policy Characteristics'!E:E,MATCH($C1098,'Policy Characteristics'!$C:$C,0))),"",INDEX('Policy Characteristics'!E:E,MATCH($C1098,'Policy Characteristics'!$C:$C,0)))</f>
        <v>indst shift to hydrogen</v>
      </c>
      <c r="L1098" s="261">
        <f>IF(ISBLANK(INDEX('Policy Characteristics'!F:F,MATCH($C1098,'Policy Characteristics'!$C:$C,0))),"",INDEX('Policy Characteristics'!F:F,MATCH($C1098,'Policy Characteristics'!$C:$C,0)))</f>
        <v>0</v>
      </c>
      <c r="M1098" s="261">
        <f>IF(ISBLANK(INDEX('Policy Characteristics'!G:G,MATCH($C1098,'Policy Characteristics'!$C:$C,0))),"",INDEX('Policy Characteristics'!G:G,MATCH($C1098,'Policy Characteristics'!$C:$C,0)))</f>
        <v>1</v>
      </c>
      <c r="N1098" s="261">
        <f>IF(ISBLANK(INDEX('Policy Characteristics'!H:H,MATCH($C1098,'Policy Characteristics'!$C:$C,0))),"",INDEX('Policy Characteristics'!H:H,MATCH($C1098,'Policy Characteristics'!$C:$C,0)))</f>
        <v>0.01</v>
      </c>
      <c r="O1098" s="254" t="str">
        <f>IF(ISBLANK(INDEX('Policy Characteristics'!I:I,MATCH($C1098,'Policy Characteristics'!$C:$C,0))),"",INDEX('Policy Characteristics'!I:I,MATCH($C1098,'Policy Characteristics'!$C:$C,0)))</f>
        <v>% of fuel shifted</v>
      </c>
      <c r="P1098" s="254" t="str">
        <f>IF(ISBLANK(INDEX('Policy Characteristics'!J:J,MATCH($C1098,'Policy Characteristics'!$C:$C,0))),"",INDEX('Policy Characteristics'!J:J,MATCH($C1098,'Policy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8" s="254" t="str">
        <f>IF(ISBLANK(INDEX('Policy Characteristics'!K:K,MATCH($C1098,'Policy Characteristics'!$C:$C,0))),"",INDEX('Policy Characteristics'!K:K,MATCH($C1098,'Policy Characteristics'!$C:$C,0)))</f>
        <v>industry-ag-main.html#fuel-switching</v>
      </c>
      <c r="R1098" s="254" t="str">
        <f>IF(ISBLANK(INDEX('Policy Characteristics'!L:L,MATCH($C1098,'Policy Characteristics'!$C:$C,0))),"",INDEX('Policy Characteristics'!L:L,MATCH($C1098,'Policy Characteristics'!$C:$C,0)))</f>
        <v>industry-elec-and-hydrogen.html</v>
      </c>
    </row>
    <row r="1099" spans="1:18" s="2" customFormat="1" x14ac:dyDescent="0.3">
      <c r="A1099" s="254" t="str">
        <f>IF(ISBLANK(INDEX('Policy Characteristics'!A:A,MATCH($C1099,'Policy Characteristics'!$C:$C,0))),"",INDEX('Policy Characteristics'!A:A,MATCH($C1099,'Policy Characteristics'!$C:$C,0)))</f>
        <v>Industry</v>
      </c>
      <c r="B1099" s="262" t="str">
        <f>IF(ISBLANK(INDEX('Policy Characteristics'!B:B,MATCH($C1099,'Policy Characteristics'!$C:$C,0))),"",INDEX('Policy Characteristics'!B:B,MATCH($C1099,'Policy Characteristics'!$C:$C,0)))</f>
        <v>Hydrogen Combustion</v>
      </c>
      <c r="C1099" s="254" t="str">
        <f t="shared" si="44"/>
        <v>Fraction of Eligible Industrial Energy Use Shifted to Hydrogen</v>
      </c>
      <c r="D1099" s="6" t="s">
        <v>3062</v>
      </c>
      <c r="E1099" s="1" t="s">
        <v>3521</v>
      </c>
      <c r="F1099" t="s">
        <v>2759</v>
      </c>
      <c r="G1099" s="45" t="s">
        <v>3528</v>
      </c>
      <c r="H1099" s="43">
        <v>2048</v>
      </c>
      <c r="I1099" s="324" t="s">
        <v>44</v>
      </c>
      <c r="J1099" s="255" t="str">
        <f>IF(ISBLANK(INDEX('Policy Characteristics'!D:D,MATCH($C1099,'Policy Characteristics'!$C:$C,0))),"",INDEX('Policy Characteristics'!D:D,MATCH($C1099,'Policy Characteristics'!$C:$C,0)))</f>
        <v>Hydrogen Combustion</v>
      </c>
      <c r="K1099" s="254" t="str">
        <f>IF(ISBLANK(INDEX('Policy Characteristics'!E:E,MATCH($C1099,'Policy Characteristics'!$C:$C,0))),"",INDEX('Policy Characteristics'!E:E,MATCH($C1099,'Policy Characteristics'!$C:$C,0)))</f>
        <v>indst shift to hydrogen</v>
      </c>
      <c r="L1099" s="261">
        <f>IF(ISBLANK(INDEX('Policy Characteristics'!F:F,MATCH($C1099,'Policy Characteristics'!$C:$C,0))),"",INDEX('Policy Characteristics'!F:F,MATCH($C1099,'Policy Characteristics'!$C:$C,0)))</f>
        <v>0</v>
      </c>
      <c r="M1099" s="261">
        <f>IF(ISBLANK(INDEX('Policy Characteristics'!G:G,MATCH($C1099,'Policy Characteristics'!$C:$C,0))),"",INDEX('Policy Characteristics'!G:G,MATCH($C1099,'Policy Characteristics'!$C:$C,0)))</f>
        <v>1</v>
      </c>
      <c r="N1099" s="261">
        <f>IF(ISBLANK(INDEX('Policy Characteristics'!H:H,MATCH($C1099,'Policy Characteristics'!$C:$C,0))),"",INDEX('Policy Characteristics'!H:H,MATCH($C1099,'Policy Characteristics'!$C:$C,0)))</f>
        <v>0.01</v>
      </c>
      <c r="O1099" s="254" t="str">
        <f>IF(ISBLANK(INDEX('Policy Characteristics'!I:I,MATCH($C1099,'Policy Characteristics'!$C:$C,0))),"",INDEX('Policy Characteristics'!I:I,MATCH($C1099,'Policy Characteristics'!$C:$C,0)))</f>
        <v>% of fuel shifted</v>
      </c>
      <c r="P1099" s="254" t="str">
        <f>IF(ISBLANK(INDEX('Policy Characteristics'!J:J,MATCH($C1099,'Policy Characteristics'!$C:$C,0))),"",INDEX('Policy Characteristics'!J:J,MATCH($C1099,'Policy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099" s="254" t="str">
        <f>IF(ISBLANK(INDEX('Policy Characteristics'!K:K,MATCH($C1099,'Policy Characteristics'!$C:$C,0))),"",INDEX('Policy Characteristics'!K:K,MATCH($C1099,'Policy Characteristics'!$C:$C,0)))</f>
        <v>industry-ag-main.html#fuel-switching</v>
      </c>
      <c r="R1099" s="254" t="str">
        <f>IF(ISBLANK(INDEX('Policy Characteristics'!L:L,MATCH($C1099,'Policy Characteristics'!$C:$C,0))),"",INDEX('Policy Characteristics'!L:L,MATCH($C1099,'Policy Characteristics'!$C:$C,0)))</f>
        <v>industry-elec-and-hydrogen.html</v>
      </c>
    </row>
    <row r="1100" spans="1:18" s="2" customFormat="1" x14ac:dyDescent="0.3">
      <c r="A1100" s="254" t="str">
        <f>IF(ISBLANK(INDEX('Policy Characteristics'!A:A,MATCH($C1100,'Policy Characteristics'!$C:$C,0))),"",INDEX('Policy Characteristics'!A:A,MATCH($C1100,'Policy Characteristics'!$C:$C,0)))</f>
        <v>Industry</v>
      </c>
      <c r="B1100" s="262" t="str">
        <f>IF(ISBLANK(INDEX('Policy Characteristics'!B:B,MATCH($C1100,'Policy Characteristics'!$C:$C,0))),"",INDEX('Policy Characteristics'!B:B,MATCH($C1100,'Policy Characteristics'!$C:$C,0)))</f>
        <v>Hydrogen Combustion</v>
      </c>
      <c r="C1100" s="254" t="str">
        <f t="shared" si="44"/>
        <v>Fraction of Eligible Industrial Energy Use Shifted to Hydrogen</v>
      </c>
      <c r="D1100" s="6" t="s">
        <v>3062</v>
      </c>
      <c r="E1100" s="1" t="s">
        <v>3671</v>
      </c>
      <c r="F1100" t="s">
        <v>2759</v>
      </c>
      <c r="G1100" s="45" t="s">
        <v>3671</v>
      </c>
      <c r="H1100" s="43">
        <v>2049</v>
      </c>
      <c r="I1100" s="324" t="s">
        <v>44</v>
      </c>
      <c r="J1100" s="255" t="str">
        <f>IF(ISBLANK(INDEX('Policy Characteristics'!D:D,MATCH($C1100,'Policy Characteristics'!$C:$C,0))),"",INDEX('Policy Characteristics'!D:D,MATCH($C1100,'Policy Characteristics'!$C:$C,0)))</f>
        <v>Hydrogen Combustion</v>
      </c>
      <c r="K1100" s="254" t="str">
        <f>IF(ISBLANK(INDEX('Policy Characteristics'!E:E,MATCH($C1100,'Policy Characteristics'!$C:$C,0))),"",INDEX('Policy Characteristics'!E:E,MATCH($C1100,'Policy Characteristics'!$C:$C,0)))</f>
        <v>indst shift to hydrogen</v>
      </c>
      <c r="L1100" s="261">
        <f>IF(ISBLANK(INDEX('Policy Characteristics'!F:F,MATCH($C1100,'Policy Characteristics'!$C:$C,0))),"",INDEX('Policy Characteristics'!F:F,MATCH($C1100,'Policy Characteristics'!$C:$C,0)))</f>
        <v>0</v>
      </c>
      <c r="M1100" s="261">
        <f>IF(ISBLANK(INDEX('Policy Characteristics'!G:G,MATCH($C1100,'Policy Characteristics'!$C:$C,0))),"",INDEX('Policy Characteristics'!G:G,MATCH($C1100,'Policy Characteristics'!$C:$C,0)))</f>
        <v>1</v>
      </c>
      <c r="N1100" s="261">
        <f>IF(ISBLANK(INDEX('Policy Characteristics'!H:H,MATCH($C1100,'Policy Characteristics'!$C:$C,0))),"",INDEX('Policy Characteristics'!H:H,MATCH($C1100,'Policy Characteristics'!$C:$C,0)))</f>
        <v>0.01</v>
      </c>
      <c r="O1100" s="254" t="str">
        <f>IF(ISBLANK(INDEX('Policy Characteristics'!I:I,MATCH($C1100,'Policy Characteristics'!$C:$C,0))),"",INDEX('Policy Characteristics'!I:I,MATCH($C1100,'Policy Characteristics'!$C:$C,0)))</f>
        <v>% of fuel shifted</v>
      </c>
      <c r="P1100" s="254" t="str">
        <f>IF(ISBLANK(INDEX('Policy Characteristics'!J:J,MATCH($C1100,'Policy Characteristics'!$C:$C,0))),"",INDEX('Policy Characteristics'!J:J,MATCH($C1100,'Policy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0" s="254" t="str">
        <f>IF(ISBLANK(INDEX('Policy Characteristics'!K:K,MATCH($C1100,'Policy Characteristics'!$C:$C,0))),"",INDEX('Policy Characteristics'!K:K,MATCH($C1100,'Policy Characteristics'!$C:$C,0)))</f>
        <v>industry-ag-main.html#fuel-switching</v>
      </c>
      <c r="R1100" s="254" t="str">
        <f>IF(ISBLANK(INDEX('Policy Characteristics'!L:L,MATCH($C1100,'Policy Characteristics'!$C:$C,0))),"",INDEX('Policy Characteristics'!L:L,MATCH($C1100,'Policy Characteristics'!$C:$C,0)))</f>
        <v>industry-elec-and-hydrogen.html</v>
      </c>
    </row>
    <row r="1101" spans="1:18" s="2" customFormat="1" x14ac:dyDescent="0.3">
      <c r="A1101" s="254" t="str">
        <f>IF(ISBLANK(INDEX('Policy Characteristics'!A:A,MATCH($C1101,'Policy Characteristics'!$C:$C,0))),"",INDEX('Policy Characteristics'!A:A,MATCH($C1101,'Policy Characteristics'!$C:$C,0)))</f>
        <v>Industry</v>
      </c>
      <c r="B1101" s="262" t="str">
        <f>IF(ISBLANK(INDEX('Policy Characteristics'!B:B,MATCH($C1101,'Policy Characteristics'!$C:$C,0))),"",INDEX('Policy Characteristics'!B:B,MATCH($C1101,'Policy Characteristics'!$C:$C,0)))</f>
        <v>Hydrogen Combustion</v>
      </c>
      <c r="C1101" s="254" t="str">
        <f t="shared" si="44"/>
        <v>Fraction of Eligible Industrial Energy Use Shifted to Hydrogen</v>
      </c>
      <c r="D1101" s="6" t="s">
        <v>3063</v>
      </c>
      <c r="E1101" s="1" t="s">
        <v>3515</v>
      </c>
      <c r="F1101" t="s">
        <v>3027</v>
      </c>
      <c r="G1101" s="45" t="s">
        <v>3522</v>
      </c>
      <c r="H1101" s="43">
        <v>2050</v>
      </c>
      <c r="I1101" s="324" t="s">
        <v>43</v>
      </c>
      <c r="J1101" s="255" t="str">
        <f>IF(ISBLANK(INDEX('Policy Characteristics'!D:D,MATCH($C1101,'Policy Characteristics'!$C:$C,0))),"",INDEX('Policy Characteristics'!D:D,MATCH($C1101,'Policy Characteristics'!$C:$C,0)))</f>
        <v>Hydrogen Combustion</v>
      </c>
      <c r="K1101" s="254" t="str">
        <f>IF(ISBLANK(INDEX('Policy Characteristics'!E:E,MATCH($C1101,'Policy Characteristics'!$C:$C,0))),"",INDEX('Policy Characteristics'!E:E,MATCH($C1101,'Policy Characteristics'!$C:$C,0)))</f>
        <v>indst shift to hydrogen</v>
      </c>
      <c r="L1101" s="261">
        <f>IF(ISBLANK(INDEX('Policy Characteristics'!F:F,MATCH($C1101,'Policy Characteristics'!$C:$C,0))),"",INDEX('Policy Characteristics'!F:F,MATCH($C1101,'Policy Characteristics'!$C:$C,0)))</f>
        <v>0</v>
      </c>
      <c r="M1101" s="261">
        <f>IF(ISBLANK(INDEX('Policy Characteristics'!G:G,MATCH($C1101,'Policy Characteristics'!$C:$C,0))),"",INDEX('Policy Characteristics'!G:G,MATCH($C1101,'Policy Characteristics'!$C:$C,0)))</f>
        <v>1</v>
      </c>
      <c r="N1101" s="261">
        <f>IF(ISBLANK(INDEX('Policy Characteristics'!H:H,MATCH($C1101,'Policy Characteristics'!$C:$C,0))),"",INDEX('Policy Characteristics'!H:H,MATCH($C1101,'Policy Characteristics'!$C:$C,0)))</f>
        <v>0.01</v>
      </c>
      <c r="O1101" s="254" t="str">
        <f>IF(ISBLANK(INDEX('Policy Characteristics'!I:I,MATCH($C1101,'Policy Characteristics'!$C:$C,0))),"",INDEX('Policy Characteristics'!I:I,MATCH($C1101,'Policy Characteristics'!$C:$C,0)))</f>
        <v>% of fuel shifted</v>
      </c>
      <c r="P1101" s="254" t="str">
        <f>IF(ISBLANK(INDEX('Policy Characteristics'!J:J,MATCH($C1101,'Policy Characteristics'!$C:$C,0))),"",INDEX('Policy Characteristics'!J:J,MATCH($C1101,'Policy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1" s="254" t="str">
        <f>IF(ISBLANK(INDEX('Policy Characteristics'!K:K,MATCH($C1101,'Policy Characteristics'!$C:$C,0))),"",INDEX('Policy Characteristics'!K:K,MATCH($C1101,'Policy Characteristics'!$C:$C,0)))</f>
        <v>industry-ag-main.html#fuel-switching</v>
      </c>
      <c r="R1101" s="254" t="str">
        <f>IF(ISBLANK(INDEX('Policy Characteristics'!L:L,MATCH($C1101,'Policy Characteristics'!$C:$C,0))),"",INDEX('Policy Characteristics'!L:L,MATCH($C1101,'Policy Characteristics'!$C:$C,0)))</f>
        <v>industry-elec-and-hydrogen.html</v>
      </c>
    </row>
    <row r="1102" spans="1:18" s="2" customFormat="1" x14ac:dyDescent="0.3">
      <c r="A1102" s="254" t="str">
        <f>IF(ISBLANK(INDEX('Policy Characteristics'!A:A,MATCH($C1102,'Policy Characteristics'!$C:$C,0))),"",INDEX('Policy Characteristics'!A:A,MATCH($C1102,'Policy Characteristics'!$C:$C,0)))</f>
        <v>Industry</v>
      </c>
      <c r="B1102" s="262" t="str">
        <f>IF(ISBLANK(INDEX('Policy Characteristics'!B:B,MATCH($C1102,'Policy Characteristics'!$C:$C,0))),"",INDEX('Policy Characteristics'!B:B,MATCH($C1102,'Policy Characteristics'!$C:$C,0)))</f>
        <v>Hydrogen Combustion</v>
      </c>
      <c r="C1102" s="254" t="str">
        <f t="shared" si="44"/>
        <v>Fraction of Eligible Industrial Energy Use Shifted to Hydrogen</v>
      </c>
      <c r="D1102" s="6" t="s">
        <v>3063</v>
      </c>
      <c r="E1102" s="1" t="s">
        <v>3516</v>
      </c>
      <c r="F1102" t="s">
        <v>3027</v>
      </c>
      <c r="G1102" s="45" t="s">
        <v>3523</v>
      </c>
      <c r="H1102" s="43">
        <v>2051</v>
      </c>
      <c r="I1102" s="324" t="s">
        <v>43</v>
      </c>
      <c r="J1102" s="255" t="str">
        <f>IF(ISBLANK(INDEX('Policy Characteristics'!D:D,MATCH($C1102,'Policy Characteristics'!$C:$C,0))),"",INDEX('Policy Characteristics'!D:D,MATCH($C1102,'Policy Characteristics'!$C:$C,0)))</f>
        <v>Hydrogen Combustion</v>
      </c>
      <c r="K1102" s="254" t="str">
        <f>IF(ISBLANK(INDEX('Policy Characteristics'!E:E,MATCH($C1102,'Policy Characteristics'!$C:$C,0))),"",INDEX('Policy Characteristics'!E:E,MATCH($C1102,'Policy Characteristics'!$C:$C,0)))</f>
        <v>indst shift to hydrogen</v>
      </c>
      <c r="L1102" s="261">
        <f>IF(ISBLANK(INDEX('Policy Characteristics'!F:F,MATCH($C1102,'Policy Characteristics'!$C:$C,0))),"",INDEX('Policy Characteristics'!F:F,MATCH($C1102,'Policy Characteristics'!$C:$C,0)))</f>
        <v>0</v>
      </c>
      <c r="M1102" s="261">
        <f>IF(ISBLANK(INDEX('Policy Characteristics'!G:G,MATCH($C1102,'Policy Characteristics'!$C:$C,0))),"",INDEX('Policy Characteristics'!G:G,MATCH($C1102,'Policy Characteristics'!$C:$C,0)))</f>
        <v>1</v>
      </c>
      <c r="N1102" s="261">
        <f>IF(ISBLANK(INDEX('Policy Characteristics'!H:H,MATCH($C1102,'Policy Characteristics'!$C:$C,0))),"",INDEX('Policy Characteristics'!H:H,MATCH($C1102,'Policy Characteristics'!$C:$C,0)))</f>
        <v>0.01</v>
      </c>
      <c r="O1102" s="254" t="str">
        <f>IF(ISBLANK(INDEX('Policy Characteristics'!I:I,MATCH($C1102,'Policy Characteristics'!$C:$C,0))),"",INDEX('Policy Characteristics'!I:I,MATCH($C1102,'Policy Characteristics'!$C:$C,0)))</f>
        <v>% of fuel shifted</v>
      </c>
      <c r="P1102" s="254" t="str">
        <f>IF(ISBLANK(INDEX('Policy Characteristics'!J:J,MATCH($C1102,'Policy Characteristics'!$C:$C,0))),"",INDEX('Policy Characteristics'!J:J,MATCH($C1102,'Policy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2" s="254" t="str">
        <f>IF(ISBLANK(INDEX('Policy Characteristics'!K:K,MATCH($C1102,'Policy Characteristics'!$C:$C,0))),"",INDEX('Policy Characteristics'!K:K,MATCH($C1102,'Policy Characteristics'!$C:$C,0)))</f>
        <v>industry-ag-main.html#fuel-switching</v>
      </c>
      <c r="R1102" s="254" t="str">
        <f>IF(ISBLANK(INDEX('Policy Characteristics'!L:L,MATCH($C1102,'Policy Characteristics'!$C:$C,0))),"",INDEX('Policy Characteristics'!L:L,MATCH($C1102,'Policy Characteristics'!$C:$C,0)))</f>
        <v>industry-elec-and-hydrogen.html</v>
      </c>
    </row>
    <row r="1103" spans="1:18" s="2" customFormat="1" x14ac:dyDescent="0.3">
      <c r="A1103" s="254" t="str">
        <f>IF(ISBLANK(INDEX('Policy Characteristics'!A:A,MATCH($C1103,'Policy Characteristics'!$C:$C,0))),"",INDEX('Policy Characteristics'!A:A,MATCH($C1103,'Policy Characteristics'!$C:$C,0)))</f>
        <v>Industry</v>
      </c>
      <c r="B1103" s="262" t="str">
        <f>IF(ISBLANK(INDEX('Policy Characteristics'!B:B,MATCH($C1103,'Policy Characteristics'!$C:$C,0))),"",INDEX('Policy Characteristics'!B:B,MATCH($C1103,'Policy Characteristics'!$C:$C,0)))</f>
        <v>Hydrogen Combustion</v>
      </c>
      <c r="C1103" s="254" t="str">
        <f t="shared" si="44"/>
        <v>Fraction of Eligible Industrial Energy Use Shifted to Hydrogen</v>
      </c>
      <c r="D1103" s="6" t="s">
        <v>3063</v>
      </c>
      <c r="E1103" s="1" t="s">
        <v>3517</v>
      </c>
      <c r="F1103" t="s">
        <v>3027</v>
      </c>
      <c r="G1103" s="45" t="s">
        <v>3524</v>
      </c>
      <c r="H1103" s="43">
        <v>2052</v>
      </c>
      <c r="I1103" s="324" t="s">
        <v>43</v>
      </c>
      <c r="J1103" s="255" t="str">
        <f>IF(ISBLANK(INDEX('Policy Characteristics'!D:D,MATCH($C1103,'Policy Characteristics'!$C:$C,0))),"",INDEX('Policy Characteristics'!D:D,MATCH($C1103,'Policy Characteristics'!$C:$C,0)))</f>
        <v>Hydrogen Combustion</v>
      </c>
      <c r="K1103" s="254" t="str">
        <f>IF(ISBLANK(INDEX('Policy Characteristics'!E:E,MATCH($C1103,'Policy Characteristics'!$C:$C,0))),"",INDEX('Policy Characteristics'!E:E,MATCH($C1103,'Policy Characteristics'!$C:$C,0)))</f>
        <v>indst shift to hydrogen</v>
      </c>
      <c r="L1103" s="261">
        <f>IF(ISBLANK(INDEX('Policy Characteristics'!F:F,MATCH($C1103,'Policy Characteristics'!$C:$C,0))),"",INDEX('Policy Characteristics'!F:F,MATCH($C1103,'Policy Characteristics'!$C:$C,0)))</f>
        <v>0</v>
      </c>
      <c r="M1103" s="261">
        <f>IF(ISBLANK(INDEX('Policy Characteristics'!G:G,MATCH($C1103,'Policy Characteristics'!$C:$C,0))),"",INDEX('Policy Characteristics'!G:G,MATCH($C1103,'Policy Characteristics'!$C:$C,0)))</f>
        <v>1</v>
      </c>
      <c r="N1103" s="261">
        <f>IF(ISBLANK(INDEX('Policy Characteristics'!H:H,MATCH($C1103,'Policy Characteristics'!$C:$C,0))),"",INDEX('Policy Characteristics'!H:H,MATCH($C1103,'Policy Characteristics'!$C:$C,0)))</f>
        <v>0.01</v>
      </c>
      <c r="O1103" s="254" t="str">
        <f>IF(ISBLANK(INDEX('Policy Characteristics'!I:I,MATCH($C1103,'Policy Characteristics'!$C:$C,0))),"",INDEX('Policy Characteristics'!I:I,MATCH($C1103,'Policy Characteristics'!$C:$C,0)))</f>
        <v>% of fuel shifted</v>
      </c>
      <c r="P1103" s="254" t="str">
        <f>IF(ISBLANK(INDEX('Policy Characteristics'!J:J,MATCH($C1103,'Policy Characteristics'!$C:$C,0))),"",INDEX('Policy Characteristics'!J:J,MATCH($C1103,'Policy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3" s="254" t="str">
        <f>IF(ISBLANK(INDEX('Policy Characteristics'!K:K,MATCH($C1103,'Policy Characteristics'!$C:$C,0))),"",INDEX('Policy Characteristics'!K:K,MATCH($C1103,'Policy Characteristics'!$C:$C,0)))</f>
        <v>industry-ag-main.html#fuel-switching</v>
      </c>
      <c r="R1103" s="254" t="str">
        <f>IF(ISBLANK(INDEX('Policy Characteristics'!L:L,MATCH($C1103,'Policy Characteristics'!$C:$C,0))),"",INDEX('Policy Characteristics'!L:L,MATCH($C1103,'Policy Characteristics'!$C:$C,0)))</f>
        <v>industry-elec-and-hydrogen.html</v>
      </c>
    </row>
    <row r="1104" spans="1:18" s="2" customFormat="1" x14ac:dyDescent="0.3">
      <c r="A1104" s="254" t="str">
        <f>IF(ISBLANK(INDEX('Policy Characteristics'!A:A,MATCH($C1104,'Policy Characteristics'!$C:$C,0))),"",INDEX('Policy Characteristics'!A:A,MATCH($C1104,'Policy Characteristics'!$C:$C,0)))</f>
        <v>Industry</v>
      </c>
      <c r="B1104" s="262" t="str">
        <f>IF(ISBLANK(INDEX('Policy Characteristics'!B:B,MATCH($C1104,'Policy Characteristics'!$C:$C,0))),"",INDEX('Policy Characteristics'!B:B,MATCH($C1104,'Policy Characteristics'!$C:$C,0)))</f>
        <v>Hydrogen Combustion</v>
      </c>
      <c r="C1104" s="254" t="str">
        <f t="shared" si="44"/>
        <v>Fraction of Eligible Industrial Energy Use Shifted to Hydrogen</v>
      </c>
      <c r="D1104" s="6" t="s">
        <v>3063</v>
      </c>
      <c r="E1104" s="1" t="s">
        <v>3518</v>
      </c>
      <c r="F1104" t="s">
        <v>3027</v>
      </c>
      <c r="G1104" s="45" t="s">
        <v>3525</v>
      </c>
      <c r="H1104" s="43">
        <v>2053</v>
      </c>
      <c r="I1104" s="324" t="s">
        <v>43</v>
      </c>
      <c r="J1104" s="255" t="str">
        <f>IF(ISBLANK(INDEX('Policy Characteristics'!D:D,MATCH($C1104,'Policy Characteristics'!$C:$C,0))),"",INDEX('Policy Characteristics'!D:D,MATCH($C1104,'Policy Characteristics'!$C:$C,0)))</f>
        <v>Hydrogen Combustion</v>
      </c>
      <c r="K1104" s="254" t="str">
        <f>IF(ISBLANK(INDEX('Policy Characteristics'!E:E,MATCH($C1104,'Policy Characteristics'!$C:$C,0))),"",INDEX('Policy Characteristics'!E:E,MATCH($C1104,'Policy Characteristics'!$C:$C,0)))</f>
        <v>indst shift to hydrogen</v>
      </c>
      <c r="L1104" s="261">
        <f>IF(ISBLANK(INDEX('Policy Characteristics'!F:F,MATCH($C1104,'Policy Characteristics'!$C:$C,0))),"",INDEX('Policy Characteristics'!F:F,MATCH($C1104,'Policy Characteristics'!$C:$C,0)))</f>
        <v>0</v>
      </c>
      <c r="M1104" s="261">
        <f>IF(ISBLANK(INDEX('Policy Characteristics'!G:G,MATCH($C1104,'Policy Characteristics'!$C:$C,0))),"",INDEX('Policy Characteristics'!G:G,MATCH($C1104,'Policy Characteristics'!$C:$C,0)))</f>
        <v>1</v>
      </c>
      <c r="N1104" s="261">
        <f>IF(ISBLANK(INDEX('Policy Characteristics'!H:H,MATCH($C1104,'Policy Characteristics'!$C:$C,0))),"",INDEX('Policy Characteristics'!H:H,MATCH($C1104,'Policy Characteristics'!$C:$C,0)))</f>
        <v>0.01</v>
      </c>
      <c r="O1104" s="254" t="str">
        <f>IF(ISBLANK(INDEX('Policy Characteristics'!I:I,MATCH($C1104,'Policy Characteristics'!$C:$C,0))),"",INDEX('Policy Characteristics'!I:I,MATCH($C1104,'Policy Characteristics'!$C:$C,0)))</f>
        <v>% of fuel shifted</v>
      </c>
      <c r="P1104" s="254" t="str">
        <f>IF(ISBLANK(INDEX('Policy Characteristics'!J:J,MATCH($C1104,'Policy Characteristics'!$C:$C,0))),"",INDEX('Policy Characteristics'!J:J,MATCH($C1104,'Policy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4" s="254" t="str">
        <f>IF(ISBLANK(INDEX('Policy Characteristics'!K:K,MATCH($C1104,'Policy Characteristics'!$C:$C,0))),"",INDEX('Policy Characteristics'!K:K,MATCH($C1104,'Policy Characteristics'!$C:$C,0)))</f>
        <v>industry-ag-main.html#fuel-switching</v>
      </c>
      <c r="R1104" s="254" t="str">
        <f>IF(ISBLANK(INDEX('Policy Characteristics'!L:L,MATCH($C1104,'Policy Characteristics'!$C:$C,0))),"",INDEX('Policy Characteristics'!L:L,MATCH($C1104,'Policy Characteristics'!$C:$C,0)))</f>
        <v>industry-elec-and-hydrogen.html</v>
      </c>
    </row>
    <row r="1105" spans="1:18" s="2" customFormat="1" x14ac:dyDescent="0.3">
      <c r="A1105" s="254" t="str">
        <f>IF(ISBLANK(INDEX('Policy Characteristics'!A:A,MATCH($C1105,'Policy Characteristics'!$C:$C,0))),"",INDEX('Policy Characteristics'!A:A,MATCH($C1105,'Policy Characteristics'!$C:$C,0)))</f>
        <v>Industry</v>
      </c>
      <c r="B1105" s="262" t="str">
        <f>IF(ISBLANK(INDEX('Policy Characteristics'!B:B,MATCH($C1105,'Policy Characteristics'!$C:$C,0))),"",INDEX('Policy Characteristics'!B:B,MATCH($C1105,'Policy Characteristics'!$C:$C,0)))</f>
        <v>Hydrogen Combustion</v>
      </c>
      <c r="C1105" s="254" t="str">
        <f t="shared" si="44"/>
        <v>Fraction of Eligible Industrial Energy Use Shifted to Hydrogen</v>
      </c>
      <c r="D1105" s="6" t="s">
        <v>3063</v>
      </c>
      <c r="E1105" s="1" t="s">
        <v>3519</v>
      </c>
      <c r="F1105" t="s">
        <v>3027</v>
      </c>
      <c r="G1105" s="45" t="s">
        <v>3526</v>
      </c>
      <c r="H1105" s="43">
        <v>2054</v>
      </c>
      <c r="I1105" s="324" t="s">
        <v>44</v>
      </c>
      <c r="J1105" s="255" t="str">
        <f>IF(ISBLANK(INDEX('Policy Characteristics'!D:D,MATCH($C1105,'Policy Characteristics'!$C:$C,0))),"",INDEX('Policy Characteristics'!D:D,MATCH($C1105,'Policy Characteristics'!$C:$C,0)))</f>
        <v>Hydrogen Combustion</v>
      </c>
      <c r="K1105" s="254" t="str">
        <f>IF(ISBLANK(INDEX('Policy Characteristics'!E:E,MATCH($C1105,'Policy Characteristics'!$C:$C,0))),"",INDEX('Policy Characteristics'!E:E,MATCH($C1105,'Policy Characteristics'!$C:$C,0)))</f>
        <v>indst shift to hydrogen</v>
      </c>
      <c r="L1105" s="261">
        <f>IF(ISBLANK(INDEX('Policy Characteristics'!F:F,MATCH($C1105,'Policy Characteristics'!$C:$C,0))),"",INDEX('Policy Characteristics'!F:F,MATCH($C1105,'Policy Characteristics'!$C:$C,0)))</f>
        <v>0</v>
      </c>
      <c r="M1105" s="261">
        <f>IF(ISBLANK(INDEX('Policy Characteristics'!G:G,MATCH($C1105,'Policy Characteristics'!$C:$C,0))),"",INDEX('Policy Characteristics'!G:G,MATCH($C1105,'Policy Characteristics'!$C:$C,0)))</f>
        <v>1</v>
      </c>
      <c r="N1105" s="261">
        <f>IF(ISBLANK(INDEX('Policy Characteristics'!H:H,MATCH($C1105,'Policy Characteristics'!$C:$C,0))),"",INDEX('Policy Characteristics'!H:H,MATCH($C1105,'Policy Characteristics'!$C:$C,0)))</f>
        <v>0.01</v>
      </c>
      <c r="O1105" s="254" t="str">
        <f>IF(ISBLANK(INDEX('Policy Characteristics'!I:I,MATCH($C1105,'Policy Characteristics'!$C:$C,0))),"",INDEX('Policy Characteristics'!I:I,MATCH($C1105,'Policy Characteristics'!$C:$C,0)))</f>
        <v>% of fuel shifted</v>
      </c>
      <c r="P1105" s="254" t="str">
        <f>IF(ISBLANK(INDEX('Policy Characteristics'!J:J,MATCH($C1105,'Policy Characteristics'!$C:$C,0))),"",INDEX('Policy Characteristics'!J:J,MATCH($C1105,'Policy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5" s="254" t="str">
        <f>IF(ISBLANK(INDEX('Policy Characteristics'!K:K,MATCH($C1105,'Policy Characteristics'!$C:$C,0))),"",INDEX('Policy Characteristics'!K:K,MATCH($C1105,'Policy Characteristics'!$C:$C,0)))</f>
        <v>industry-ag-main.html#fuel-switching</v>
      </c>
      <c r="R1105" s="254" t="str">
        <f>IF(ISBLANK(INDEX('Policy Characteristics'!L:L,MATCH($C1105,'Policy Characteristics'!$C:$C,0))),"",INDEX('Policy Characteristics'!L:L,MATCH($C1105,'Policy Characteristics'!$C:$C,0)))</f>
        <v>industry-elec-and-hydrogen.html</v>
      </c>
    </row>
    <row r="1106" spans="1:18" s="2" customFormat="1" x14ac:dyDescent="0.3">
      <c r="A1106" s="254" t="str">
        <f>IF(ISBLANK(INDEX('Policy Characteristics'!A:A,MATCH($C1106,'Policy Characteristics'!$C:$C,0))),"",INDEX('Policy Characteristics'!A:A,MATCH($C1106,'Policy Characteristics'!$C:$C,0)))</f>
        <v>Industry</v>
      </c>
      <c r="B1106" s="262" t="str">
        <f>IF(ISBLANK(INDEX('Policy Characteristics'!B:B,MATCH($C1106,'Policy Characteristics'!$C:$C,0))),"",INDEX('Policy Characteristics'!B:B,MATCH($C1106,'Policy Characteristics'!$C:$C,0)))</f>
        <v>Hydrogen Combustion</v>
      </c>
      <c r="C1106" s="254" t="str">
        <f t="shared" si="44"/>
        <v>Fraction of Eligible Industrial Energy Use Shifted to Hydrogen</v>
      </c>
      <c r="D1106" s="6" t="s">
        <v>3063</v>
      </c>
      <c r="E1106" s="1" t="s">
        <v>3520</v>
      </c>
      <c r="F1106" t="s">
        <v>3027</v>
      </c>
      <c r="G1106" s="45" t="s">
        <v>3527</v>
      </c>
      <c r="H1106" s="43">
        <v>2055</v>
      </c>
      <c r="I1106" s="324" t="s">
        <v>44</v>
      </c>
      <c r="J1106" s="255" t="str">
        <f>IF(ISBLANK(INDEX('Policy Characteristics'!D:D,MATCH($C1106,'Policy Characteristics'!$C:$C,0))),"",INDEX('Policy Characteristics'!D:D,MATCH($C1106,'Policy Characteristics'!$C:$C,0)))</f>
        <v>Hydrogen Combustion</v>
      </c>
      <c r="K1106" s="254" t="str">
        <f>IF(ISBLANK(INDEX('Policy Characteristics'!E:E,MATCH($C1106,'Policy Characteristics'!$C:$C,0))),"",INDEX('Policy Characteristics'!E:E,MATCH($C1106,'Policy Characteristics'!$C:$C,0)))</f>
        <v>indst shift to hydrogen</v>
      </c>
      <c r="L1106" s="261">
        <f>IF(ISBLANK(INDEX('Policy Characteristics'!F:F,MATCH($C1106,'Policy Characteristics'!$C:$C,0))),"",INDEX('Policy Characteristics'!F:F,MATCH($C1106,'Policy Characteristics'!$C:$C,0)))</f>
        <v>0</v>
      </c>
      <c r="M1106" s="261">
        <f>IF(ISBLANK(INDEX('Policy Characteristics'!G:G,MATCH($C1106,'Policy Characteristics'!$C:$C,0))),"",INDEX('Policy Characteristics'!G:G,MATCH($C1106,'Policy Characteristics'!$C:$C,0)))</f>
        <v>1</v>
      </c>
      <c r="N1106" s="261">
        <f>IF(ISBLANK(INDEX('Policy Characteristics'!H:H,MATCH($C1106,'Policy Characteristics'!$C:$C,0))),"",INDEX('Policy Characteristics'!H:H,MATCH($C1106,'Policy Characteristics'!$C:$C,0)))</f>
        <v>0.01</v>
      </c>
      <c r="O1106" s="254" t="str">
        <f>IF(ISBLANK(INDEX('Policy Characteristics'!I:I,MATCH($C1106,'Policy Characteristics'!$C:$C,0))),"",INDEX('Policy Characteristics'!I:I,MATCH($C1106,'Policy Characteristics'!$C:$C,0)))</f>
        <v>% of fuel shifted</v>
      </c>
      <c r="P1106" s="254" t="str">
        <f>IF(ISBLANK(INDEX('Policy Characteristics'!J:J,MATCH($C1106,'Policy Characteristics'!$C:$C,0))),"",INDEX('Policy Characteristics'!J:J,MATCH($C1106,'Policy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6" s="254" t="str">
        <f>IF(ISBLANK(INDEX('Policy Characteristics'!K:K,MATCH($C1106,'Policy Characteristics'!$C:$C,0))),"",INDEX('Policy Characteristics'!K:K,MATCH($C1106,'Policy Characteristics'!$C:$C,0)))</f>
        <v>industry-ag-main.html#fuel-switching</v>
      </c>
      <c r="R1106" s="254" t="str">
        <f>IF(ISBLANK(INDEX('Policy Characteristics'!L:L,MATCH($C1106,'Policy Characteristics'!$C:$C,0))),"",INDEX('Policy Characteristics'!L:L,MATCH($C1106,'Policy Characteristics'!$C:$C,0)))</f>
        <v>industry-elec-and-hydrogen.html</v>
      </c>
    </row>
    <row r="1107" spans="1:18" s="2" customFormat="1" x14ac:dyDescent="0.3">
      <c r="A1107" s="254" t="str">
        <f>IF(ISBLANK(INDEX('Policy Characteristics'!A:A,MATCH($C1107,'Policy Characteristics'!$C:$C,0))),"",INDEX('Policy Characteristics'!A:A,MATCH($C1107,'Policy Characteristics'!$C:$C,0)))</f>
        <v>Industry</v>
      </c>
      <c r="B1107" s="262" t="str">
        <f>IF(ISBLANK(INDEX('Policy Characteristics'!B:B,MATCH($C1107,'Policy Characteristics'!$C:$C,0))),"",INDEX('Policy Characteristics'!B:B,MATCH($C1107,'Policy Characteristics'!$C:$C,0)))</f>
        <v>Hydrogen Combustion</v>
      </c>
      <c r="C1107" s="254" t="str">
        <f t="shared" si="44"/>
        <v>Fraction of Eligible Industrial Energy Use Shifted to Hydrogen</v>
      </c>
      <c r="D1107" s="6" t="s">
        <v>3063</v>
      </c>
      <c r="E1107" s="1" t="s">
        <v>3521</v>
      </c>
      <c r="F1107" t="s">
        <v>3027</v>
      </c>
      <c r="G1107" s="45" t="s">
        <v>3528</v>
      </c>
      <c r="H1107" s="43">
        <v>2056</v>
      </c>
      <c r="I1107" s="324" t="s">
        <v>44</v>
      </c>
      <c r="J1107" s="255" t="str">
        <f>IF(ISBLANK(INDEX('Policy Characteristics'!D:D,MATCH($C1107,'Policy Characteristics'!$C:$C,0))),"",INDEX('Policy Characteristics'!D:D,MATCH($C1107,'Policy Characteristics'!$C:$C,0)))</f>
        <v>Hydrogen Combustion</v>
      </c>
      <c r="K1107" s="254" t="str">
        <f>IF(ISBLANK(INDEX('Policy Characteristics'!E:E,MATCH($C1107,'Policy Characteristics'!$C:$C,0))),"",INDEX('Policy Characteristics'!E:E,MATCH($C1107,'Policy Characteristics'!$C:$C,0)))</f>
        <v>indst shift to hydrogen</v>
      </c>
      <c r="L1107" s="261">
        <f>IF(ISBLANK(INDEX('Policy Characteristics'!F:F,MATCH($C1107,'Policy Characteristics'!$C:$C,0))),"",INDEX('Policy Characteristics'!F:F,MATCH($C1107,'Policy Characteristics'!$C:$C,0)))</f>
        <v>0</v>
      </c>
      <c r="M1107" s="261">
        <f>IF(ISBLANK(INDEX('Policy Characteristics'!G:G,MATCH($C1107,'Policy Characteristics'!$C:$C,0))),"",INDEX('Policy Characteristics'!G:G,MATCH($C1107,'Policy Characteristics'!$C:$C,0)))</f>
        <v>1</v>
      </c>
      <c r="N1107" s="261">
        <f>IF(ISBLANK(INDEX('Policy Characteristics'!H:H,MATCH($C1107,'Policy Characteristics'!$C:$C,0))),"",INDEX('Policy Characteristics'!H:H,MATCH($C1107,'Policy Characteristics'!$C:$C,0)))</f>
        <v>0.01</v>
      </c>
      <c r="O1107" s="254" t="str">
        <f>IF(ISBLANK(INDEX('Policy Characteristics'!I:I,MATCH($C1107,'Policy Characteristics'!$C:$C,0))),"",INDEX('Policy Characteristics'!I:I,MATCH($C1107,'Policy Characteristics'!$C:$C,0)))</f>
        <v>% of fuel shifted</v>
      </c>
      <c r="P1107" s="254" t="str">
        <f>IF(ISBLANK(INDEX('Policy Characteristics'!J:J,MATCH($C1107,'Policy Characteristics'!$C:$C,0))),"",INDEX('Policy Characteristics'!J:J,MATCH($C1107,'Policy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7" s="254" t="str">
        <f>IF(ISBLANK(INDEX('Policy Characteristics'!K:K,MATCH($C1107,'Policy Characteristics'!$C:$C,0))),"",INDEX('Policy Characteristics'!K:K,MATCH($C1107,'Policy Characteristics'!$C:$C,0)))</f>
        <v>industry-ag-main.html#fuel-switching</v>
      </c>
      <c r="R1107" s="254" t="str">
        <f>IF(ISBLANK(INDEX('Policy Characteristics'!L:L,MATCH($C1107,'Policy Characteristics'!$C:$C,0))),"",INDEX('Policy Characteristics'!L:L,MATCH($C1107,'Policy Characteristics'!$C:$C,0)))</f>
        <v>industry-elec-and-hydrogen.html</v>
      </c>
    </row>
    <row r="1108" spans="1:18" s="2" customFormat="1" x14ac:dyDescent="0.3">
      <c r="A1108" s="254" t="str">
        <f>IF(ISBLANK(INDEX('Policy Characteristics'!A:A,MATCH($C1108,'Policy Characteristics'!$C:$C,0))),"",INDEX('Policy Characteristics'!A:A,MATCH($C1108,'Policy Characteristics'!$C:$C,0)))</f>
        <v>Industry</v>
      </c>
      <c r="B1108" s="262" t="str">
        <f>IF(ISBLANK(INDEX('Policy Characteristics'!B:B,MATCH($C1108,'Policy Characteristics'!$C:$C,0))),"",INDEX('Policy Characteristics'!B:B,MATCH($C1108,'Policy Characteristics'!$C:$C,0)))</f>
        <v>Hydrogen Combustion</v>
      </c>
      <c r="C1108" s="254" t="str">
        <f t="shared" si="44"/>
        <v>Fraction of Eligible Industrial Energy Use Shifted to Hydrogen</v>
      </c>
      <c r="D1108" s="6" t="s">
        <v>3063</v>
      </c>
      <c r="E1108" s="1" t="s">
        <v>3671</v>
      </c>
      <c r="F1108" t="s">
        <v>3027</v>
      </c>
      <c r="G1108" s="45" t="s">
        <v>3671</v>
      </c>
      <c r="H1108" s="43">
        <v>2057</v>
      </c>
      <c r="I1108" s="324" t="s">
        <v>44</v>
      </c>
      <c r="J1108" s="255" t="str">
        <f>IF(ISBLANK(INDEX('Policy Characteristics'!D:D,MATCH($C1108,'Policy Characteristics'!$C:$C,0))),"",INDEX('Policy Characteristics'!D:D,MATCH($C1108,'Policy Characteristics'!$C:$C,0)))</f>
        <v>Hydrogen Combustion</v>
      </c>
      <c r="K1108" s="254" t="str">
        <f>IF(ISBLANK(INDEX('Policy Characteristics'!E:E,MATCH($C1108,'Policy Characteristics'!$C:$C,0))),"",INDEX('Policy Characteristics'!E:E,MATCH($C1108,'Policy Characteristics'!$C:$C,0)))</f>
        <v>indst shift to hydrogen</v>
      </c>
      <c r="L1108" s="261">
        <f>IF(ISBLANK(INDEX('Policy Characteristics'!F:F,MATCH($C1108,'Policy Characteristics'!$C:$C,0))),"",INDEX('Policy Characteristics'!F:F,MATCH($C1108,'Policy Characteristics'!$C:$C,0)))</f>
        <v>0</v>
      </c>
      <c r="M1108" s="261">
        <f>IF(ISBLANK(INDEX('Policy Characteristics'!G:G,MATCH($C1108,'Policy Characteristics'!$C:$C,0))),"",INDEX('Policy Characteristics'!G:G,MATCH($C1108,'Policy Characteristics'!$C:$C,0)))</f>
        <v>1</v>
      </c>
      <c r="N1108" s="261">
        <f>IF(ISBLANK(INDEX('Policy Characteristics'!H:H,MATCH($C1108,'Policy Characteristics'!$C:$C,0))),"",INDEX('Policy Characteristics'!H:H,MATCH($C1108,'Policy Characteristics'!$C:$C,0)))</f>
        <v>0.01</v>
      </c>
      <c r="O1108" s="254" t="str">
        <f>IF(ISBLANK(INDEX('Policy Characteristics'!I:I,MATCH($C1108,'Policy Characteristics'!$C:$C,0))),"",INDEX('Policy Characteristics'!I:I,MATCH($C1108,'Policy Characteristics'!$C:$C,0)))</f>
        <v>% of fuel shifted</v>
      </c>
      <c r="P1108" s="254" t="str">
        <f>IF(ISBLANK(INDEX('Policy Characteristics'!J:J,MATCH($C1108,'Policy Characteristics'!$C:$C,0))),"",INDEX('Policy Characteristics'!J:J,MATCH($C1108,'Policy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8" s="254" t="str">
        <f>IF(ISBLANK(INDEX('Policy Characteristics'!K:K,MATCH($C1108,'Policy Characteristics'!$C:$C,0))),"",INDEX('Policy Characteristics'!K:K,MATCH($C1108,'Policy Characteristics'!$C:$C,0)))</f>
        <v>industry-ag-main.html#fuel-switching</v>
      </c>
      <c r="R1108" s="254" t="str">
        <f>IF(ISBLANK(INDEX('Policy Characteristics'!L:L,MATCH($C1108,'Policy Characteristics'!$C:$C,0))),"",INDEX('Policy Characteristics'!L:L,MATCH($C1108,'Policy Characteristics'!$C:$C,0)))</f>
        <v>industry-elec-and-hydrogen.html</v>
      </c>
    </row>
    <row r="1109" spans="1:18" s="2" customFormat="1" x14ac:dyDescent="0.3">
      <c r="A1109" s="254" t="str">
        <f>IF(ISBLANK(INDEX('Policy Characteristics'!A:A,MATCH($C1109,'Policy Characteristics'!$C:$C,0))),"",INDEX('Policy Characteristics'!A:A,MATCH($C1109,'Policy Characteristics'!$C:$C,0)))</f>
        <v>Industry</v>
      </c>
      <c r="B1109" s="262" t="str">
        <f>IF(ISBLANK(INDEX('Policy Characteristics'!B:B,MATCH($C1109,'Policy Characteristics'!$C:$C,0))),"",INDEX('Policy Characteristics'!B:B,MATCH($C1109,'Policy Characteristics'!$C:$C,0)))</f>
        <v>Hydrogen Combustion</v>
      </c>
      <c r="C1109" s="254" t="str">
        <f t="shared" si="44"/>
        <v>Fraction of Eligible Industrial Energy Use Shifted to Hydrogen</v>
      </c>
      <c r="D1109" s="6" t="s">
        <v>3064</v>
      </c>
      <c r="E1109" s="1" t="s">
        <v>3515</v>
      </c>
      <c r="F1109" t="s">
        <v>3028</v>
      </c>
      <c r="G1109" s="45" t="s">
        <v>3522</v>
      </c>
      <c r="H1109" s="43">
        <v>2058</v>
      </c>
      <c r="I1109" s="324" t="s">
        <v>43</v>
      </c>
      <c r="J1109" s="255" t="str">
        <f>IF(ISBLANK(INDEX('Policy Characteristics'!D:D,MATCH($C1109,'Policy Characteristics'!$C:$C,0))),"",INDEX('Policy Characteristics'!D:D,MATCH($C1109,'Policy Characteristics'!$C:$C,0)))</f>
        <v>Hydrogen Combustion</v>
      </c>
      <c r="K1109" s="254" t="str">
        <f>IF(ISBLANK(INDEX('Policy Characteristics'!E:E,MATCH($C1109,'Policy Characteristics'!$C:$C,0))),"",INDEX('Policy Characteristics'!E:E,MATCH($C1109,'Policy Characteristics'!$C:$C,0)))</f>
        <v>indst shift to hydrogen</v>
      </c>
      <c r="L1109" s="261">
        <f>IF(ISBLANK(INDEX('Policy Characteristics'!F:F,MATCH($C1109,'Policy Characteristics'!$C:$C,0))),"",INDEX('Policy Characteristics'!F:F,MATCH($C1109,'Policy Characteristics'!$C:$C,0)))</f>
        <v>0</v>
      </c>
      <c r="M1109" s="261">
        <f>IF(ISBLANK(INDEX('Policy Characteristics'!G:G,MATCH($C1109,'Policy Characteristics'!$C:$C,0))),"",INDEX('Policy Characteristics'!G:G,MATCH($C1109,'Policy Characteristics'!$C:$C,0)))</f>
        <v>1</v>
      </c>
      <c r="N1109" s="261">
        <f>IF(ISBLANK(INDEX('Policy Characteristics'!H:H,MATCH($C1109,'Policy Characteristics'!$C:$C,0))),"",INDEX('Policy Characteristics'!H:H,MATCH($C1109,'Policy Characteristics'!$C:$C,0)))</f>
        <v>0.01</v>
      </c>
      <c r="O1109" s="254" t="str">
        <f>IF(ISBLANK(INDEX('Policy Characteristics'!I:I,MATCH($C1109,'Policy Characteristics'!$C:$C,0))),"",INDEX('Policy Characteristics'!I:I,MATCH($C1109,'Policy Characteristics'!$C:$C,0)))</f>
        <v>% of fuel shifted</v>
      </c>
      <c r="P1109" s="254" t="str">
        <f>IF(ISBLANK(INDEX('Policy Characteristics'!J:J,MATCH($C1109,'Policy Characteristics'!$C:$C,0))),"",INDEX('Policy Characteristics'!J:J,MATCH($C1109,'Policy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09" s="254" t="str">
        <f>IF(ISBLANK(INDEX('Policy Characteristics'!K:K,MATCH($C1109,'Policy Characteristics'!$C:$C,0))),"",INDEX('Policy Characteristics'!K:K,MATCH($C1109,'Policy Characteristics'!$C:$C,0)))</f>
        <v>industry-ag-main.html#fuel-switching</v>
      </c>
      <c r="R1109" s="254" t="str">
        <f>IF(ISBLANK(INDEX('Policy Characteristics'!L:L,MATCH($C1109,'Policy Characteristics'!$C:$C,0))),"",INDEX('Policy Characteristics'!L:L,MATCH($C1109,'Policy Characteristics'!$C:$C,0)))</f>
        <v>industry-elec-and-hydrogen.html</v>
      </c>
    </row>
    <row r="1110" spans="1:18" s="2" customFormat="1" x14ac:dyDescent="0.3">
      <c r="A1110" s="254" t="str">
        <f>IF(ISBLANK(INDEX('Policy Characteristics'!A:A,MATCH($C1110,'Policy Characteristics'!$C:$C,0))),"",INDEX('Policy Characteristics'!A:A,MATCH($C1110,'Policy Characteristics'!$C:$C,0)))</f>
        <v>Industry</v>
      </c>
      <c r="B1110" s="262" t="str">
        <f>IF(ISBLANK(INDEX('Policy Characteristics'!B:B,MATCH($C1110,'Policy Characteristics'!$C:$C,0))),"",INDEX('Policy Characteristics'!B:B,MATCH($C1110,'Policy Characteristics'!$C:$C,0)))</f>
        <v>Hydrogen Combustion</v>
      </c>
      <c r="C1110" s="254" t="str">
        <f t="shared" si="44"/>
        <v>Fraction of Eligible Industrial Energy Use Shifted to Hydrogen</v>
      </c>
      <c r="D1110" s="6" t="s">
        <v>3064</v>
      </c>
      <c r="E1110" s="1" t="s">
        <v>3516</v>
      </c>
      <c r="F1110" t="s">
        <v>3028</v>
      </c>
      <c r="G1110" s="45" t="s">
        <v>3523</v>
      </c>
      <c r="H1110" s="43">
        <v>2059</v>
      </c>
      <c r="I1110" s="324" t="s">
        <v>43</v>
      </c>
      <c r="J1110" s="255" t="str">
        <f>IF(ISBLANK(INDEX('Policy Characteristics'!D:D,MATCH($C1110,'Policy Characteristics'!$C:$C,0))),"",INDEX('Policy Characteristics'!D:D,MATCH($C1110,'Policy Characteristics'!$C:$C,0)))</f>
        <v>Hydrogen Combustion</v>
      </c>
      <c r="K1110" s="254" t="str">
        <f>IF(ISBLANK(INDEX('Policy Characteristics'!E:E,MATCH($C1110,'Policy Characteristics'!$C:$C,0))),"",INDEX('Policy Characteristics'!E:E,MATCH($C1110,'Policy Characteristics'!$C:$C,0)))</f>
        <v>indst shift to hydrogen</v>
      </c>
      <c r="L1110" s="261">
        <f>IF(ISBLANK(INDEX('Policy Characteristics'!F:F,MATCH($C1110,'Policy Characteristics'!$C:$C,0))),"",INDEX('Policy Characteristics'!F:F,MATCH($C1110,'Policy Characteristics'!$C:$C,0)))</f>
        <v>0</v>
      </c>
      <c r="M1110" s="261">
        <f>IF(ISBLANK(INDEX('Policy Characteristics'!G:G,MATCH($C1110,'Policy Characteristics'!$C:$C,0))),"",INDEX('Policy Characteristics'!G:G,MATCH($C1110,'Policy Characteristics'!$C:$C,0)))</f>
        <v>1</v>
      </c>
      <c r="N1110" s="261">
        <f>IF(ISBLANK(INDEX('Policy Characteristics'!H:H,MATCH($C1110,'Policy Characteristics'!$C:$C,0))),"",INDEX('Policy Characteristics'!H:H,MATCH($C1110,'Policy Characteristics'!$C:$C,0)))</f>
        <v>0.01</v>
      </c>
      <c r="O1110" s="254" t="str">
        <f>IF(ISBLANK(INDEX('Policy Characteristics'!I:I,MATCH($C1110,'Policy Characteristics'!$C:$C,0))),"",INDEX('Policy Characteristics'!I:I,MATCH($C1110,'Policy Characteristics'!$C:$C,0)))</f>
        <v>% of fuel shifted</v>
      </c>
      <c r="P1110" s="254" t="str">
        <f>IF(ISBLANK(INDEX('Policy Characteristics'!J:J,MATCH($C1110,'Policy Characteristics'!$C:$C,0))),"",INDEX('Policy Characteristics'!J:J,MATCH($C1110,'Policy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0" s="254" t="str">
        <f>IF(ISBLANK(INDEX('Policy Characteristics'!K:K,MATCH($C1110,'Policy Characteristics'!$C:$C,0))),"",INDEX('Policy Characteristics'!K:K,MATCH($C1110,'Policy Characteristics'!$C:$C,0)))</f>
        <v>industry-ag-main.html#fuel-switching</v>
      </c>
      <c r="R1110" s="254" t="str">
        <f>IF(ISBLANK(INDEX('Policy Characteristics'!L:L,MATCH($C1110,'Policy Characteristics'!$C:$C,0))),"",INDEX('Policy Characteristics'!L:L,MATCH($C1110,'Policy Characteristics'!$C:$C,0)))</f>
        <v>industry-elec-and-hydrogen.html</v>
      </c>
    </row>
    <row r="1111" spans="1:18" s="2" customFormat="1" x14ac:dyDescent="0.3">
      <c r="A1111" s="254" t="str">
        <f>IF(ISBLANK(INDEX('Policy Characteristics'!A:A,MATCH($C1111,'Policy Characteristics'!$C:$C,0))),"",INDEX('Policy Characteristics'!A:A,MATCH($C1111,'Policy Characteristics'!$C:$C,0)))</f>
        <v>Industry</v>
      </c>
      <c r="B1111" s="262" t="str">
        <f>IF(ISBLANK(INDEX('Policy Characteristics'!B:B,MATCH($C1111,'Policy Characteristics'!$C:$C,0))),"",INDEX('Policy Characteristics'!B:B,MATCH($C1111,'Policy Characteristics'!$C:$C,0)))</f>
        <v>Hydrogen Combustion</v>
      </c>
      <c r="C1111" s="254" t="str">
        <f t="shared" si="44"/>
        <v>Fraction of Eligible Industrial Energy Use Shifted to Hydrogen</v>
      </c>
      <c r="D1111" s="6" t="s">
        <v>3064</v>
      </c>
      <c r="E1111" s="1" t="s">
        <v>3517</v>
      </c>
      <c r="F1111" t="s">
        <v>3028</v>
      </c>
      <c r="G1111" s="45" t="s">
        <v>3524</v>
      </c>
      <c r="H1111" s="43">
        <v>2060</v>
      </c>
      <c r="I1111" s="324" t="s">
        <v>44</v>
      </c>
      <c r="J1111" s="255" t="str">
        <f>IF(ISBLANK(INDEX('Policy Characteristics'!D:D,MATCH($C1111,'Policy Characteristics'!$C:$C,0))),"",INDEX('Policy Characteristics'!D:D,MATCH($C1111,'Policy Characteristics'!$C:$C,0)))</f>
        <v>Hydrogen Combustion</v>
      </c>
      <c r="K1111" s="254" t="str">
        <f>IF(ISBLANK(INDEX('Policy Characteristics'!E:E,MATCH($C1111,'Policy Characteristics'!$C:$C,0))),"",INDEX('Policy Characteristics'!E:E,MATCH($C1111,'Policy Characteristics'!$C:$C,0)))</f>
        <v>indst shift to hydrogen</v>
      </c>
      <c r="L1111" s="261">
        <f>IF(ISBLANK(INDEX('Policy Characteristics'!F:F,MATCH($C1111,'Policy Characteristics'!$C:$C,0))),"",INDEX('Policy Characteristics'!F:F,MATCH($C1111,'Policy Characteristics'!$C:$C,0)))</f>
        <v>0</v>
      </c>
      <c r="M1111" s="261">
        <f>IF(ISBLANK(INDEX('Policy Characteristics'!G:G,MATCH($C1111,'Policy Characteristics'!$C:$C,0))),"",INDEX('Policy Characteristics'!G:G,MATCH($C1111,'Policy Characteristics'!$C:$C,0)))</f>
        <v>1</v>
      </c>
      <c r="N1111" s="261">
        <f>IF(ISBLANK(INDEX('Policy Characteristics'!H:H,MATCH($C1111,'Policy Characteristics'!$C:$C,0))),"",INDEX('Policy Characteristics'!H:H,MATCH($C1111,'Policy Characteristics'!$C:$C,0)))</f>
        <v>0.01</v>
      </c>
      <c r="O1111" s="254" t="str">
        <f>IF(ISBLANK(INDEX('Policy Characteristics'!I:I,MATCH($C1111,'Policy Characteristics'!$C:$C,0))),"",INDEX('Policy Characteristics'!I:I,MATCH($C1111,'Policy Characteristics'!$C:$C,0)))</f>
        <v>% of fuel shifted</v>
      </c>
      <c r="P1111" s="254" t="str">
        <f>IF(ISBLANK(INDEX('Policy Characteristics'!J:J,MATCH($C1111,'Policy Characteristics'!$C:$C,0))),"",INDEX('Policy Characteristics'!J:J,MATCH($C1111,'Policy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1" s="254" t="str">
        <f>IF(ISBLANK(INDEX('Policy Characteristics'!K:K,MATCH($C1111,'Policy Characteristics'!$C:$C,0))),"",INDEX('Policy Characteristics'!K:K,MATCH($C1111,'Policy Characteristics'!$C:$C,0)))</f>
        <v>industry-ag-main.html#fuel-switching</v>
      </c>
      <c r="R1111" s="254" t="str">
        <f>IF(ISBLANK(INDEX('Policy Characteristics'!L:L,MATCH($C1111,'Policy Characteristics'!$C:$C,0))),"",INDEX('Policy Characteristics'!L:L,MATCH($C1111,'Policy Characteristics'!$C:$C,0)))</f>
        <v>industry-elec-and-hydrogen.html</v>
      </c>
    </row>
    <row r="1112" spans="1:18" s="2" customFormat="1" x14ac:dyDescent="0.3">
      <c r="A1112" s="254" t="str">
        <f>IF(ISBLANK(INDEX('Policy Characteristics'!A:A,MATCH($C1112,'Policy Characteristics'!$C:$C,0))),"",INDEX('Policy Characteristics'!A:A,MATCH($C1112,'Policy Characteristics'!$C:$C,0)))</f>
        <v>Industry</v>
      </c>
      <c r="B1112" s="262" t="str">
        <f>IF(ISBLANK(INDEX('Policy Characteristics'!B:B,MATCH($C1112,'Policy Characteristics'!$C:$C,0))),"",INDEX('Policy Characteristics'!B:B,MATCH($C1112,'Policy Characteristics'!$C:$C,0)))</f>
        <v>Hydrogen Combustion</v>
      </c>
      <c r="C1112" s="254" t="str">
        <f t="shared" si="44"/>
        <v>Fraction of Eligible Industrial Energy Use Shifted to Hydrogen</v>
      </c>
      <c r="D1112" s="6" t="s">
        <v>3064</v>
      </c>
      <c r="E1112" s="1" t="s">
        <v>3518</v>
      </c>
      <c r="F1112" t="s">
        <v>3028</v>
      </c>
      <c r="G1112" s="45" t="s">
        <v>3525</v>
      </c>
      <c r="H1112" s="43">
        <v>2061</v>
      </c>
      <c r="I1112" s="324" t="s">
        <v>44</v>
      </c>
      <c r="J1112" s="255" t="str">
        <f>IF(ISBLANK(INDEX('Policy Characteristics'!D:D,MATCH($C1112,'Policy Characteristics'!$C:$C,0))),"",INDEX('Policy Characteristics'!D:D,MATCH($C1112,'Policy Characteristics'!$C:$C,0)))</f>
        <v>Hydrogen Combustion</v>
      </c>
      <c r="K1112" s="254" t="str">
        <f>IF(ISBLANK(INDEX('Policy Characteristics'!E:E,MATCH($C1112,'Policy Characteristics'!$C:$C,0))),"",INDEX('Policy Characteristics'!E:E,MATCH($C1112,'Policy Characteristics'!$C:$C,0)))</f>
        <v>indst shift to hydrogen</v>
      </c>
      <c r="L1112" s="261">
        <f>IF(ISBLANK(INDEX('Policy Characteristics'!F:F,MATCH($C1112,'Policy Characteristics'!$C:$C,0))),"",INDEX('Policy Characteristics'!F:F,MATCH($C1112,'Policy Characteristics'!$C:$C,0)))</f>
        <v>0</v>
      </c>
      <c r="M1112" s="261">
        <f>IF(ISBLANK(INDEX('Policy Characteristics'!G:G,MATCH($C1112,'Policy Characteristics'!$C:$C,0))),"",INDEX('Policy Characteristics'!G:G,MATCH($C1112,'Policy Characteristics'!$C:$C,0)))</f>
        <v>1</v>
      </c>
      <c r="N1112" s="261">
        <f>IF(ISBLANK(INDEX('Policy Characteristics'!H:H,MATCH($C1112,'Policy Characteristics'!$C:$C,0))),"",INDEX('Policy Characteristics'!H:H,MATCH($C1112,'Policy Characteristics'!$C:$C,0)))</f>
        <v>0.01</v>
      </c>
      <c r="O1112" s="254" t="str">
        <f>IF(ISBLANK(INDEX('Policy Characteristics'!I:I,MATCH($C1112,'Policy Characteristics'!$C:$C,0))),"",INDEX('Policy Characteristics'!I:I,MATCH($C1112,'Policy Characteristics'!$C:$C,0)))</f>
        <v>% of fuel shifted</v>
      </c>
      <c r="P1112" s="254" t="str">
        <f>IF(ISBLANK(INDEX('Policy Characteristics'!J:J,MATCH($C1112,'Policy Characteristics'!$C:$C,0))),"",INDEX('Policy Characteristics'!J:J,MATCH($C1112,'Policy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2" s="254" t="str">
        <f>IF(ISBLANK(INDEX('Policy Characteristics'!K:K,MATCH($C1112,'Policy Characteristics'!$C:$C,0))),"",INDEX('Policy Characteristics'!K:K,MATCH($C1112,'Policy Characteristics'!$C:$C,0)))</f>
        <v>industry-ag-main.html#fuel-switching</v>
      </c>
      <c r="R1112" s="254" t="str">
        <f>IF(ISBLANK(INDEX('Policy Characteristics'!L:L,MATCH($C1112,'Policy Characteristics'!$C:$C,0))),"",INDEX('Policy Characteristics'!L:L,MATCH($C1112,'Policy Characteristics'!$C:$C,0)))</f>
        <v>industry-elec-and-hydrogen.html</v>
      </c>
    </row>
    <row r="1113" spans="1:18" s="2" customFormat="1" x14ac:dyDescent="0.3">
      <c r="A1113" s="254" t="str">
        <f>IF(ISBLANK(INDEX('Policy Characteristics'!A:A,MATCH($C1113,'Policy Characteristics'!$C:$C,0))),"",INDEX('Policy Characteristics'!A:A,MATCH($C1113,'Policy Characteristics'!$C:$C,0)))</f>
        <v>Industry</v>
      </c>
      <c r="B1113" s="262" t="str">
        <f>IF(ISBLANK(INDEX('Policy Characteristics'!B:B,MATCH($C1113,'Policy Characteristics'!$C:$C,0))),"",INDEX('Policy Characteristics'!B:B,MATCH($C1113,'Policy Characteristics'!$C:$C,0)))</f>
        <v>Hydrogen Combustion</v>
      </c>
      <c r="C1113" s="254" t="str">
        <f t="shared" si="44"/>
        <v>Fraction of Eligible Industrial Energy Use Shifted to Hydrogen</v>
      </c>
      <c r="D1113" s="6" t="s">
        <v>3064</v>
      </c>
      <c r="E1113" s="1" t="s">
        <v>3519</v>
      </c>
      <c r="F1113" t="s">
        <v>3028</v>
      </c>
      <c r="G1113" s="45" t="s">
        <v>3526</v>
      </c>
      <c r="H1113" s="43">
        <v>2062</v>
      </c>
      <c r="I1113" s="324" t="s">
        <v>44</v>
      </c>
      <c r="J1113" s="255" t="str">
        <f>IF(ISBLANK(INDEX('Policy Characteristics'!D:D,MATCH($C1113,'Policy Characteristics'!$C:$C,0))),"",INDEX('Policy Characteristics'!D:D,MATCH($C1113,'Policy Characteristics'!$C:$C,0)))</f>
        <v>Hydrogen Combustion</v>
      </c>
      <c r="K1113" s="254" t="str">
        <f>IF(ISBLANK(INDEX('Policy Characteristics'!E:E,MATCH($C1113,'Policy Characteristics'!$C:$C,0))),"",INDEX('Policy Characteristics'!E:E,MATCH($C1113,'Policy Characteristics'!$C:$C,0)))</f>
        <v>indst shift to hydrogen</v>
      </c>
      <c r="L1113" s="261">
        <f>IF(ISBLANK(INDEX('Policy Characteristics'!F:F,MATCH($C1113,'Policy Characteristics'!$C:$C,0))),"",INDEX('Policy Characteristics'!F:F,MATCH($C1113,'Policy Characteristics'!$C:$C,0)))</f>
        <v>0</v>
      </c>
      <c r="M1113" s="261">
        <f>IF(ISBLANK(INDEX('Policy Characteristics'!G:G,MATCH($C1113,'Policy Characteristics'!$C:$C,0))),"",INDEX('Policy Characteristics'!G:G,MATCH($C1113,'Policy Characteristics'!$C:$C,0)))</f>
        <v>1</v>
      </c>
      <c r="N1113" s="261">
        <f>IF(ISBLANK(INDEX('Policy Characteristics'!H:H,MATCH($C1113,'Policy Characteristics'!$C:$C,0))),"",INDEX('Policy Characteristics'!H:H,MATCH($C1113,'Policy Characteristics'!$C:$C,0)))</f>
        <v>0.01</v>
      </c>
      <c r="O1113" s="254" t="str">
        <f>IF(ISBLANK(INDEX('Policy Characteristics'!I:I,MATCH($C1113,'Policy Characteristics'!$C:$C,0))),"",INDEX('Policy Characteristics'!I:I,MATCH($C1113,'Policy Characteristics'!$C:$C,0)))</f>
        <v>% of fuel shifted</v>
      </c>
      <c r="P1113" s="254" t="str">
        <f>IF(ISBLANK(INDEX('Policy Characteristics'!J:J,MATCH($C1113,'Policy Characteristics'!$C:$C,0))),"",INDEX('Policy Characteristics'!J:J,MATCH($C1113,'Policy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3" s="254" t="str">
        <f>IF(ISBLANK(INDEX('Policy Characteristics'!K:K,MATCH($C1113,'Policy Characteristics'!$C:$C,0))),"",INDEX('Policy Characteristics'!K:K,MATCH($C1113,'Policy Characteristics'!$C:$C,0)))</f>
        <v>industry-ag-main.html#fuel-switching</v>
      </c>
      <c r="R1113" s="254" t="str">
        <f>IF(ISBLANK(INDEX('Policy Characteristics'!L:L,MATCH($C1113,'Policy Characteristics'!$C:$C,0))),"",INDEX('Policy Characteristics'!L:L,MATCH($C1113,'Policy Characteristics'!$C:$C,0)))</f>
        <v>industry-elec-and-hydrogen.html</v>
      </c>
    </row>
    <row r="1114" spans="1:18" s="2" customFormat="1" x14ac:dyDescent="0.3">
      <c r="A1114" s="254" t="str">
        <f>IF(ISBLANK(INDEX('Policy Characteristics'!A:A,MATCH($C1114,'Policy Characteristics'!$C:$C,0))),"",INDEX('Policy Characteristics'!A:A,MATCH($C1114,'Policy Characteristics'!$C:$C,0)))</f>
        <v>Industry</v>
      </c>
      <c r="B1114" s="262" t="str">
        <f>IF(ISBLANK(INDEX('Policy Characteristics'!B:B,MATCH($C1114,'Policy Characteristics'!$C:$C,0))),"",INDEX('Policy Characteristics'!B:B,MATCH($C1114,'Policy Characteristics'!$C:$C,0)))</f>
        <v>Hydrogen Combustion</v>
      </c>
      <c r="C1114" s="254" t="str">
        <f t="shared" si="44"/>
        <v>Fraction of Eligible Industrial Energy Use Shifted to Hydrogen</v>
      </c>
      <c r="D1114" s="6" t="s">
        <v>3064</v>
      </c>
      <c r="E1114" s="1" t="s">
        <v>3520</v>
      </c>
      <c r="F1114" t="s">
        <v>3028</v>
      </c>
      <c r="G1114" s="45" t="s">
        <v>3527</v>
      </c>
      <c r="H1114" s="43">
        <v>2063</v>
      </c>
      <c r="I1114" s="324" t="s">
        <v>44</v>
      </c>
      <c r="J1114" s="255" t="str">
        <f>IF(ISBLANK(INDEX('Policy Characteristics'!D:D,MATCH($C1114,'Policy Characteristics'!$C:$C,0))),"",INDEX('Policy Characteristics'!D:D,MATCH($C1114,'Policy Characteristics'!$C:$C,0)))</f>
        <v>Hydrogen Combustion</v>
      </c>
      <c r="K1114" s="254" t="str">
        <f>IF(ISBLANK(INDEX('Policy Characteristics'!E:E,MATCH($C1114,'Policy Characteristics'!$C:$C,0))),"",INDEX('Policy Characteristics'!E:E,MATCH($C1114,'Policy Characteristics'!$C:$C,0)))</f>
        <v>indst shift to hydrogen</v>
      </c>
      <c r="L1114" s="261">
        <f>IF(ISBLANK(INDEX('Policy Characteristics'!F:F,MATCH($C1114,'Policy Characteristics'!$C:$C,0))),"",INDEX('Policy Characteristics'!F:F,MATCH($C1114,'Policy Characteristics'!$C:$C,0)))</f>
        <v>0</v>
      </c>
      <c r="M1114" s="261">
        <f>IF(ISBLANK(INDEX('Policy Characteristics'!G:G,MATCH($C1114,'Policy Characteristics'!$C:$C,0))),"",INDEX('Policy Characteristics'!G:G,MATCH($C1114,'Policy Characteristics'!$C:$C,0)))</f>
        <v>1</v>
      </c>
      <c r="N1114" s="261">
        <f>IF(ISBLANK(INDEX('Policy Characteristics'!H:H,MATCH($C1114,'Policy Characteristics'!$C:$C,0))),"",INDEX('Policy Characteristics'!H:H,MATCH($C1114,'Policy Characteristics'!$C:$C,0)))</f>
        <v>0.01</v>
      </c>
      <c r="O1114" s="254" t="str">
        <f>IF(ISBLANK(INDEX('Policy Characteristics'!I:I,MATCH($C1114,'Policy Characteristics'!$C:$C,0))),"",INDEX('Policy Characteristics'!I:I,MATCH($C1114,'Policy Characteristics'!$C:$C,0)))</f>
        <v>% of fuel shifted</v>
      </c>
      <c r="P1114" s="254" t="str">
        <f>IF(ISBLANK(INDEX('Policy Characteristics'!J:J,MATCH($C1114,'Policy Characteristics'!$C:$C,0))),"",INDEX('Policy Characteristics'!J:J,MATCH($C1114,'Policy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4" s="254" t="str">
        <f>IF(ISBLANK(INDEX('Policy Characteristics'!K:K,MATCH($C1114,'Policy Characteristics'!$C:$C,0))),"",INDEX('Policy Characteristics'!K:K,MATCH($C1114,'Policy Characteristics'!$C:$C,0)))</f>
        <v>industry-ag-main.html#fuel-switching</v>
      </c>
      <c r="R1114" s="254" t="str">
        <f>IF(ISBLANK(INDEX('Policy Characteristics'!L:L,MATCH($C1114,'Policy Characteristics'!$C:$C,0))),"",INDEX('Policy Characteristics'!L:L,MATCH($C1114,'Policy Characteristics'!$C:$C,0)))</f>
        <v>industry-elec-and-hydrogen.html</v>
      </c>
    </row>
    <row r="1115" spans="1:18" s="2" customFormat="1" x14ac:dyDescent="0.3">
      <c r="A1115" s="254" t="str">
        <f>IF(ISBLANK(INDEX('Policy Characteristics'!A:A,MATCH($C1115,'Policy Characteristics'!$C:$C,0))),"",INDEX('Policy Characteristics'!A:A,MATCH($C1115,'Policy Characteristics'!$C:$C,0)))</f>
        <v>Industry</v>
      </c>
      <c r="B1115" s="262" t="str">
        <f>IF(ISBLANK(INDEX('Policy Characteristics'!B:B,MATCH($C1115,'Policy Characteristics'!$C:$C,0))),"",INDEX('Policy Characteristics'!B:B,MATCH($C1115,'Policy Characteristics'!$C:$C,0)))</f>
        <v>Hydrogen Combustion</v>
      </c>
      <c r="C1115" s="254" t="str">
        <f t="shared" si="44"/>
        <v>Fraction of Eligible Industrial Energy Use Shifted to Hydrogen</v>
      </c>
      <c r="D1115" s="6" t="s">
        <v>3064</v>
      </c>
      <c r="E1115" s="1" t="s">
        <v>3521</v>
      </c>
      <c r="F1115" t="s">
        <v>3028</v>
      </c>
      <c r="G1115" s="45" t="s">
        <v>3528</v>
      </c>
      <c r="H1115" s="43">
        <v>2064</v>
      </c>
      <c r="I1115" s="324" t="s">
        <v>44</v>
      </c>
      <c r="J1115" s="255" t="str">
        <f>IF(ISBLANK(INDEX('Policy Characteristics'!D:D,MATCH($C1115,'Policy Characteristics'!$C:$C,0))),"",INDEX('Policy Characteristics'!D:D,MATCH($C1115,'Policy Characteristics'!$C:$C,0)))</f>
        <v>Hydrogen Combustion</v>
      </c>
      <c r="K1115" s="254" t="str">
        <f>IF(ISBLANK(INDEX('Policy Characteristics'!E:E,MATCH($C1115,'Policy Characteristics'!$C:$C,0))),"",INDEX('Policy Characteristics'!E:E,MATCH($C1115,'Policy Characteristics'!$C:$C,0)))</f>
        <v>indst shift to hydrogen</v>
      </c>
      <c r="L1115" s="261">
        <f>IF(ISBLANK(INDEX('Policy Characteristics'!F:F,MATCH($C1115,'Policy Characteristics'!$C:$C,0))),"",INDEX('Policy Characteristics'!F:F,MATCH($C1115,'Policy Characteristics'!$C:$C,0)))</f>
        <v>0</v>
      </c>
      <c r="M1115" s="261">
        <f>IF(ISBLANK(INDEX('Policy Characteristics'!G:G,MATCH($C1115,'Policy Characteristics'!$C:$C,0))),"",INDEX('Policy Characteristics'!G:G,MATCH($C1115,'Policy Characteristics'!$C:$C,0)))</f>
        <v>1</v>
      </c>
      <c r="N1115" s="261">
        <f>IF(ISBLANK(INDEX('Policy Characteristics'!H:H,MATCH($C1115,'Policy Characteristics'!$C:$C,0))),"",INDEX('Policy Characteristics'!H:H,MATCH($C1115,'Policy Characteristics'!$C:$C,0)))</f>
        <v>0.01</v>
      </c>
      <c r="O1115" s="254" t="str">
        <f>IF(ISBLANK(INDEX('Policy Characteristics'!I:I,MATCH($C1115,'Policy Characteristics'!$C:$C,0))),"",INDEX('Policy Characteristics'!I:I,MATCH($C1115,'Policy Characteristics'!$C:$C,0)))</f>
        <v>% of fuel shifted</v>
      </c>
      <c r="P1115" s="254"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4" t="str">
        <f>IF(ISBLANK(INDEX('Policy Characteristics'!K:K,MATCH($C1115,'Policy Characteristics'!$C:$C,0))),"",INDEX('Policy Characteristics'!K:K,MATCH($C1115,'Policy Characteristics'!$C:$C,0)))</f>
        <v>industry-ag-main.html#fuel-switching</v>
      </c>
      <c r="R1115" s="254" t="str">
        <f>IF(ISBLANK(INDEX('Policy Characteristics'!L:L,MATCH($C1115,'Policy Characteristics'!$C:$C,0))),"",INDEX('Policy Characteristics'!L:L,MATCH($C1115,'Policy Characteristics'!$C:$C,0)))</f>
        <v>industry-elec-and-hydrogen.html</v>
      </c>
    </row>
    <row r="1116" spans="1:18" s="2" customFormat="1" x14ac:dyDescent="0.3">
      <c r="A1116" s="254" t="str">
        <f>IF(ISBLANK(INDEX('Policy Characteristics'!A:A,MATCH($C1116,'Policy Characteristics'!$C:$C,0))),"",INDEX('Policy Characteristics'!A:A,MATCH($C1116,'Policy Characteristics'!$C:$C,0)))</f>
        <v>Industry</v>
      </c>
      <c r="B1116" s="262" t="str">
        <f>IF(ISBLANK(INDEX('Policy Characteristics'!B:B,MATCH($C1116,'Policy Characteristics'!$C:$C,0))),"",INDEX('Policy Characteristics'!B:B,MATCH($C1116,'Policy Characteristics'!$C:$C,0)))</f>
        <v>Hydrogen Combustion</v>
      </c>
      <c r="C1116" s="254" t="str">
        <f t="shared" si="44"/>
        <v>Fraction of Eligible Industrial Energy Use Shifted to Hydrogen</v>
      </c>
      <c r="D1116" s="6" t="s">
        <v>3064</v>
      </c>
      <c r="E1116" s="1" t="s">
        <v>3671</v>
      </c>
      <c r="F1116" t="s">
        <v>3028</v>
      </c>
      <c r="G1116" s="45" t="s">
        <v>3671</v>
      </c>
      <c r="H1116" s="43">
        <v>2065</v>
      </c>
      <c r="I1116" s="324" t="s">
        <v>44</v>
      </c>
      <c r="J1116" s="255" t="str">
        <f>IF(ISBLANK(INDEX('Policy Characteristics'!D:D,MATCH($C1116,'Policy Characteristics'!$C:$C,0))),"",INDEX('Policy Characteristics'!D:D,MATCH($C1116,'Policy Characteristics'!$C:$C,0)))</f>
        <v>Hydrogen Combustion</v>
      </c>
      <c r="K1116" s="254" t="str">
        <f>IF(ISBLANK(INDEX('Policy Characteristics'!E:E,MATCH($C1116,'Policy Characteristics'!$C:$C,0))),"",INDEX('Policy Characteristics'!E:E,MATCH($C1116,'Policy Characteristics'!$C:$C,0)))</f>
        <v>indst shift to hydrogen</v>
      </c>
      <c r="L1116" s="261">
        <f>IF(ISBLANK(INDEX('Policy Characteristics'!F:F,MATCH($C1116,'Policy Characteristics'!$C:$C,0))),"",INDEX('Policy Characteristics'!F:F,MATCH($C1116,'Policy Characteristics'!$C:$C,0)))</f>
        <v>0</v>
      </c>
      <c r="M1116" s="261">
        <f>IF(ISBLANK(INDEX('Policy Characteristics'!G:G,MATCH($C1116,'Policy Characteristics'!$C:$C,0))),"",INDEX('Policy Characteristics'!G:G,MATCH($C1116,'Policy Characteristics'!$C:$C,0)))</f>
        <v>1</v>
      </c>
      <c r="N1116" s="261">
        <f>IF(ISBLANK(INDEX('Policy Characteristics'!H:H,MATCH($C1116,'Policy Characteristics'!$C:$C,0))),"",INDEX('Policy Characteristics'!H:H,MATCH($C1116,'Policy Characteristics'!$C:$C,0)))</f>
        <v>0.01</v>
      </c>
      <c r="O1116" s="254" t="str">
        <f>IF(ISBLANK(INDEX('Policy Characteristics'!I:I,MATCH($C1116,'Policy Characteristics'!$C:$C,0))),"",INDEX('Policy Characteristics'!I:I,MATCH($C1116,'Policy Characteristics'!$C:$C,0)))</f>
        <v>% of fuel shifted</v>
      </c>
      <c r="P1116" s="254"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4" t="str">
        <f>IF(ISBLANK(INDEX('Policy Characteristics'!K:K,MATCH($C1116,'Policy Characteristics'!$C:$C,0))),"",INDEX('Policy Characteristics'!K:K,MATCH($C1116,'Policy Characteristics'!$C:$C,0)))</f>
        <v>industry-ag-main.html#fuel-switching</v>
      </c>
      <c r="R1116" s="254" t="str">
        <f>IF(ISBLANK(INDEX('Policy Characteristics'!L:L,MATCH($C1116,'Policy Characteristics'!$C:$C,0))),"",INDEX('Policy Characteristics'!L:L,MATCH($C1116,'Policy Characteristics'!$C:$C,0)))</f>
        <v>industry-elec-and-hydrogen.html</v>
      </c>
    </row>
    <row r="1117" spans="1:18" s="2" customFormat="1" x14ac:dyDescent="0.3">
      <c r="A1117" s="254" t="str">
        <f>IF(ISBLANK(INDEX('Policy Characteristics'!A:A,MATCH($C1117,'Policy Characteristics'!$C:$C,0))),"",INDEX('Policy Characteristics'!A:A,MATCH($C1117,'Policy Characteristics'!$C:$C,0)))</f>
        <v>Industry</v>
      </c>
      <c r="B1117" s="262" t="str">
        <f>IF(ISBLANK(INDEX('Policy Characteristics'!B:B,MATCH($C1117,'Policy Characteristics'!$C:$C,0))),"",INDEX('Policy Characteristics'!B:B,MATCH($C1117,'Policy Characteristics'!$C:$C,0)))</f>
        <v>Hydrogen Combustion</v>
      </c>
      <c r="C1117" s="254" t="str">
        <f t="shared" si="44"/>
        <v>Fraction of Eligible Industrial Energy Use Shifted to Hydrogen</v>
      </c>
      <c r="D1117" s="6" t="s">
        <v>3065</v>
      </c>
      <c r="E1117" s="1" t="s">
        <v>3515</v>
      </c>
      <c r="F1117" t="s">
        <v>3029</v>
      </c>
      <c r="G1117" s="45" t="s">
        <v>3522</v>
      </c>
      <c r="H1117" s="43">
        <v>2066</v>
      </c>
      <c r="I1117" s="324" t="s">
        <v>43</v>
      </c>
      <c r="J1117" s="255" t="str">
        <f>IF(ISBLANK(INDEX('Policy Characteristics'!D:D,MATCH($C1117,'Policy Characteristics'!$C:$C,0))),"",INDEX('Policy Characteristics'!D:D,MATCH($C1117,'Policy Characteristics'!$C:$C,0)))</f>
        <v>Hydrogen Combustion</v>
      </c>
      <c r="K1117" s="254" t="str">
        <f>IF(ISBLANK(INDEX('Policy Characteristics'!E:E,MATCH($C1117,'Policy Characteristics'!$C:$C,0))),"",INDEX('Policy Characteristics'!E:E,MATCH($C1117,'Policy Characteristics'!$C:$C,0)))</f>
        <v>indst shift to hydrogen</v>
      </c>
      <c r="L1117" s="261">
        <f>IF(ISBLANK(INDEX('Policy Characteristics'!F:F,MATCH($C1117,'Policy Characteristics'!$C:$C,0))),"",INDEX('Policy Characteristics'!F:F,MATCH($C1117,'Policy Characteristics'!$C:$C,0)))</f>
        <v>0</v>
      </c>
      <c r="M1117" s="261">
        <f>IF(ISBLANK(INDEX('Policy Characteristics'!G:G,MATCH($C1117,'Policy Characteristics'!$C:$C,0))),"",INDEX('Policy Characteristics'!G:G,MATCH($C1117,'Policy Characteristics'!$C:$C,0)))</f>
        <v>1</v>
      </c>
      <c r="N1117" s="261">
        <f>IF(ISBLANK(INDEX('Policy Characteristics'!H:H,MATCH($C1117,'Policy Characteristics'!$C:$C,0))),"",INDEX('Policy Characteristics'!H:H,MATCH($C1117,'Policy Characteristics'!$C:$C,0)))</f>
        <v>0.01</v>
      </c>
      <c r="O1117" s="254" t="str">
        <f>IF(ISBLANK(INDEX('Policy Characteristics'!I:I,MATCH($C1117,'Policy Characteristics'!$C:$C,0))),"",INDEX('Policy Characteristics'!I:I,MATCH($C1117,'Policy Characteristics'!$C:$C,0)))</f>
        <v>% of fuel shifted</v>
      </c>
      <c r="P1117" s="254"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4" t="str">
        <f>IF(ISBLANK(INDEX('Policy Characteristics'!K:K,MATCH($C1117,'Policy Characteristics'!$C:$C,0))),"",INDEX('Policy Characteristics'!K:K,MATCH($C1117,'Policy Characteristics'!$C:$C,0)))</f>
        <v>industry-ag-main.html#fuel-switching</v>
      </c>
      <c r="R1117" s="254" t="str">
        <f>IF(ISBLANK(INDEX('Policy Characteristics'!L:L,MATCH($C1117,'Policy Characteristics'!$C:$C,0))),"",INDEX('Policy Characteristics'!L:L,MATCH($C1117,'Policy Characteristics'!$C:$C,0)))</f>
        <v>industry-elec-and-hydrogen.html</v>
      </c>
    </row>
    <row r="1118" spans="1:18" s="2" customFormat="1" x14ac:dyDescent="0.3">
      <c r="A1118" s="254" t="str">
        <f>IF(ISBLANK(INDEX('Policy Characteristics'!A:A,MATCH($C1118,'Policy Characteristics'!$C:$C,0))),"",INDEX('Policy Characteristics'!A:A,MATCH($C1118,'Policy Characteristics'!$C:$C,0)))</f>
        <v>Industry</v>
      </c>
      <c r="B1118" s="262" t="str">
        <f>IF(ISBLANK(INDEX('Policy Characteristics'!B:B,MATCH($C1118,'Policy Characteristics'!$C:$C,0))),"",INDEX('Policy Characteristics'!B:B,MATCH($C1118,'Policy Characteristics'!$C:$C,0)))</f>
        <v>Hydrogen Combustion</v>
      </c>
      <c r="C1118" s="254" t="str">
        <f t="shared" si="44"/>
        <v>Fraction of Eligible Industrial Energy Use Shifted to Hydrogen</v>
      </c>
      <c r="D1118" s="6" t="s">
        <v>3065</v>
      </c>
      <c r="E1118" s="1" t="s">
        <v>3516</v>
      </c>
      <c r="F1118" t="s">
        <v>3029</v>
      </c>
      <c r="G1118" s="45" t="s">
        <v>3523</v>
      </c>
      <c r="H1118" s="43">
        <v>2067</v>
      </c>
      <c r="I1118" s="324" t="s">
        <v>43</v>
      </c>
      <c r="J1118" s="255" t="str">
        <f>IF(ISBLANK(INDEX('Policy Characteristics'!D:D,MATCH($C1118,'Policy Characteristics'!$C:$C,0))),"",INDEX('Policy Characteristics'!D:D,MATCH($C1118,'Policy Characteristics'!$C:$C,0)))</f>
        <v>Hydrogen Combustion</v>
      </c>
      <c r="K1118" s="254" t="str">
        <f>IF(ISBLANK(INDEX('Policy Characteristics'!E:E,MATCH($C1118,'Policy Characteristics'!$C:$C,0))),"",INDEX('Policy Characteristics'!E:E,MATCH($C1118,'Policy Characteristics'!$C:$C,0)))</f>
        <v>indst shift to hydrogen</v>
      </c>
      <c r="L1118" s="261">
        <f>IF(ISBLANK(INDEX('Policy Characteristics'!F:F,MATCH($C1118,'Policy Characteristics'!$C:$C,0))),"",INDEX('Policy Characteristics'!F:F,MATCH($C1118,'Policy Characteristics'!$C:$C,0)))</f>
        <v>0</v>
      </c>
      <c r="M1118" s="261">
        <f>IF(ISBLANK(INDEX('Policy Characteristics'!G:G,MATCH($C1118,'Policy Characteristics'!$C:$C,0))),"",INDEX('Policy Characteristics'!G:G,MATCH($C1118,'Policy Characteristics'!$C:$C,0)))</f>
        <v>1</v>
      </c>
      <c r="N1118" s="261">
        <f>IF(ISBLANK(INDEX('Policy Characteristics'!H:H,MATCH($C1118,'Policy Characteristics'!$C:$C,0))),"",INDEX('Policy Characteristics'!H:H,MATCH($C1118,'Policy Characteristics'!$C:$C,0)))</f>
        <v>0.01</v>
      </c>
      <c r="O1118" s="254" t="str">
        <f>IF(ISBLANK(INDEX('Policy Characteristics'!I:I,MATCH($C1118,'Policy Characteristics'!$C:$C,0))),"",INDEX('Policy Characteristics'!I:I,MATCH($C1118,'Policy Characteristics'!$C:$C,0)))</f>
        <v>% of fuel shifted</v>
      </c>
      <c r="P1118" s="254"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4" t="str">
        <f>IF(ISBLANK(INDEX('Policy Characteristics'!K:K,MATCH($C1118,'Policy Characteristics'!$C:$C,0))),"",INDEX('Policy Characteristics'!K:K,MATCH($C1118,'Policy Characteristics'!$C:$C,0)))</f>
        <v>industry-ag-main.html#fuel-switching</v>
      </c>
      <c r="R1118" s="254" t="str">
        <f>IF(ISBLANK(INDEX('Policy Characteristics'!L:L,MATCH($C1118,'Policy Characteristics'!$C:$C,0))),"",INDEX('Policy Characteristics'!L:L,MATCH($C1118,'Policy Characteristics'!$C:$C,0)))</f>
        <v>industry-elec-and-hydrogen.html</v>
      </c>
    </row>
    <row r="1119" spans="1:18" s="2" customFormat="1" x14ac:dyDescent="0.3">
      <c r="A1119" s="254" t="str">
        <f>IF(ISBLANK(INDEX('Policy Characteristics'!A:A,MATCH($C1119,'Policy Characteristics'!$C:$C,0))),"",INDEX('Policy Characteristics'!A:A,MATCH($C1119,'Policy Characteristics'!$C:$C,0)))</f>
        <v>Industry</v>
      </c>
      <c r="B1119" s="262" t="str">
        <f>IF(ISBLANK(INDEX('Policy Characteristics'!B:B,MATCH($C1119,'Policy Characteristics'!$C:$C,0))),"",INDEX('Policy Characteristics'!B:B,MATCH($C1119,'Policy Characteristics'!$C:$C,0)))</f>
        <v>Hydrogen Combustion</v>
      </c>
      <c r="C1119" s="254" t="str">
        <f t="shared" si="44"/>
        <v>Fraction of Eligible Industrial Energy Use Shifted to Hydrogen</v>
      </c>
      <c r="D1119" s="6" t="s">
        <v>3065</v>
      </c>
      <c r="E1119" s="1" t="s">
        <v>3517</v>
      </c>
      <c r="F1119" t="s">
        <v>3029</v>
      </c>
      <c r="G1119" s="45" t="s">
        <v>3524</v>
      </c>
      <c r="H1119" s="43">
        <v>2068</v>
      </c>
      <c r="I1119" s="324" t="s">
        <v>43</v>
      </c>
      <c r="J1119" s="255" t="str">
        <f>IF(ISBLANK(INDEX('Policy Characteristics'!D:D,MATCH($C1119,'Policy Characteristics'!$C:$C,0))),"",INDEX('Policy Characteristics'!D:D,MATCH($C1119,'Policy Characteristics'!$C:$C,0)))</f>
        <v>Hydrogen Combustion</v>
      </c>
      <c r="K1119" s="254" t="str">
        <f>IF(ISBLANK(INDEX('Policy Characteristics'!E:E,MATCH($C1119,'Policy Characteristics'!$C:$C,0))),"",INDEX('Policy Characteristics'!E:E,MATCH($C1119,'Policy Characteristics'!$C:$C,0)))</f>
        <v>indst shift to hydrogen</v>
      </c>
      <c r="L1119" s="261">
        <f>IF(ISBLANK(INDEX('Policy Characteristics'!F:F,MATCH($C1119,'Policy Characteristics'!$C:$C,0))),"",INDEX('Policy Characteristics'!F:F,MATCH($C1119,'Policy Characteristics'!$C:$C,0)))</f>
        <v>0</v>
      </c>
      <c r="M1119" s="261">
        <f>IF(ISBLANK(INDEX('Policy Characteristics'!G:G,MATCH($C1119,'Policy Characteristics'!$C:$C,0))),"",INDEX('Policy Characteristics'!G:G,MATCH($C1119,'Policy Characteristics'!$C:$C,0)))</f>
        <v>1</v>
      </c>
      <c r="N1119" s="261">
        <f>IF(ISBLANK(INDEX('Policy Characteristics'!H:H,MATCH($C1119,'Policy Characteristics'!$C:$C,0))),"",INDEX('Policy Characteristics'!H:H,MATCH($C1119,'Policy Characteristics'!$C:$C,0)))</f>
        <v>0.01</v>
      </c>
      <c r="O1119" s="254" t="str">
        <f>IF(ISBLANK(INDEX('Policy Characteristics'!I:I,MATCH($C1119,'Policy Characteristics'!$C:$C,0))),"",INDEX('Policy Characteristics'!I:I,MATCH($C1119,'Policy Characteristics'!$C:$C,0)))</f>
        <v>% of fuel shifted</v>
      </c>
      <c r="P1119" s="254"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4" t="str">
        <f>IF(ISBLANK(INDEX('Policy Characteristics'!K:K,MATCH($C1119,'Policy Characteristics'!$C:$C,0))),"",INDEX('Policy Characteristics'!K:K,MATCH($C1119,'Policy Characteristics'!$C:$C,0)))</f>
        <v>industry-ag-main.html#fuel-switching</v>
      </c>
      <c r="R1119" s="254" t="str">
        <f>IF(ISBLANK(INDEX('Policy Characteristics'!L:L,MATCH($C1119,'Policy Characteristics'!$C:$C,0))),"",INDEX('Policy Characteristics'!L:L,MATCH($C1119,'Policy Characteristics'!$C:$C,0)))</f>
        <v>industry-elec-and-hydrogen.html</v>
      </c>
    </row>
    <row r="1120" spans="1:18" s="2" customFormat="1" x14ac:dyDescent="0.3">
      <c r="A1120" s="254" t="str">
        <f>IF(ISBLANK(INDEX('Policy Characteristics'!A:A,MATCH($C1120,'Policy Characteristics'!$C:$C,0))),"",INDEX('Policy Characteristics'!A:A,MATCH($C1120,'Policy Characteristics'!$C:$C,0)))</f>
        <v>Industry</v>
      </c>
      <c r="B1120" s="262" t="str">
        <f>IF(ISBLANK(INDEX('Policy Characteristics'!B:B,MATCH($C1120,'Policy Characteristics'!$C:$C,0))),"",INDEX('Policy Characteristics'!B:B,MATCH($C1120,'Policy Characteristics'!$C:$C,0)))</f>
        <v>Hydrogen Combustion</v>
      </c>
      <c r="C1120" s="254" t="str">
        <f t="shared" si="44"/>
        <v>Fraction of Eligible Industrial Energy Use Shifted to Hydrogen</v>
      </c>
      <c r="D1120" s="6" t="s">
        <v>3065</v>
      </c>
      <c r="E1120" s="1" t="s">
        <v>3518</v>
      </c>
      <c r="F1120" t="s">
        <v>3029</v>
      </c>
      <c r="G1120" s="45" t="s">
        <v>3525</v>
      </c>
      <c r="H1120" s="43">
        <v>2069</v>
      </c>
      <c r="I1120" s="324" t="s">
        <v>44</v>
      </c>
      <c r="J1120" s="255" t="str">
        <f>IF(ISBLANK(INDEX('Policy Characteristics'!D:D,MATCH($C1120,'Policy Characteristics'!$C:$C,0))),"",INDEX('Policy Characteristics'!D:D,MATCH($C1120,'Policy Characteristics'!$C:$C,0)))</f>
        <v>Hydrogen Combustion</v>
      </c>
      <c r="K1120" s="254" t="str">
        <f>IF(ISBLANK(INDEX('Policy Characteristics'!E:E,MATCH($C1120,'Policy Characteristics'!$C:$C,0))),"",INDEX('Policy Characteristics'!E:E,MATCH($C1120,'Policy Characteristics'!$C:$C,0)))</f>
        <v>indst shift to hydrogen</v>
      </c>
      <c r="L1120" s="261">
        <f>IF(ISBLANK(INDEX('Policy Characteristics'!F:F,MATCH($C1120,'Policy Characteristics'!$C:$C,0))),"",INDEX('Policy Characteristics'!F:F,MATCH($C1120,'Policy Characteristics'!$C:$C,0)))</f>
        <v>0</v>
      </c>
      <c r="M1120" s="261">
        <f>IF(ISBLANK(INDEX('Policy Characteristics'!G:G,MATCH($C1120,'Policy Characteristics'!$C:$C,0))),"",INDEX('Policy Characteristics'!G:G,MATCH($C1120,'Policy Characteristics'!$C:$C,0)))</f>
        <v>1</v>
      </c>
      <c r="N1120" s="261">
        <f>IF(ISBLANK(INDEX('Policy Characteristics'!H:H,MATCH($C1120,'Policy Characteristics'!$C:$C,0))),"",INDEX('Policy Characteristics'!H:H,MATCH($C1120,'Policy Characteristics'!$C:$C,0)))</f>
        <v>0.01</v>
      </c>
      <c r="O1120" s="254" t="str">
        <f>IF(ISBLANK(INDEX('Policy Characteristics'!I:I,MATCH($C1120,'Policy Characteristics'!$C:$C,0))),"",INDEX('Policy Characteristics'!I:I,MATCH($C1120,'Policy Characteristics'!$C:$C,0)))</f>
        <v>% of fuel shifted</v>
      </c>
      <c r="P1120" s="254"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4" t="str">
        <f>IF(ISBLANK(INDEX('Policy Characteristics'!K:K,MATCH($C1120,'Policy Characteristics'!$C:$C,0))),"",INDEX('Policy Characteristics'!K:K,MATCH($C1120,'Policy Characteristics'!$C:$C,0)))</f>
        <v>industry-ag-main.html#fuel-switching</v>
      </c>
      <c r="R1120" s="254" t="str">
        <f>IF(ISBLANK(INDEX('Policy Characteristics'!L:L,MATCH($C1120,'Policy Characteristics'!$C:$C,0))),"",INDEX('Policy Characteristics'!L:L,MATCH($C1120,'Policy Characteristics'!$C:$C,0)))</f>
        <v>industry-elec-and-hydrogen.html</v>
      </c>
    </row>
    <row r="1121" spans="1:18" s="2" customFormat="1" x14ac:dyDescent="0.3">
      <c r="A1121" s="254" t="str">
        <f>IF(ISBLANK(INDEX('Policy Characteristics'!A:A,MATCH($C1121,'Policy Characteristics'!$C:$C,0))),"",INDEX('Policy Characteristics'!A:A,MATCH($C1121,'Policy Characteristics'!$C:$C,0)))</f>
        <v>Industry</v>
      </c>
      <c r="B1121" s="262" t="str">
        <f>IF(ISBLANK(INDEX('Policy Characteristics'!B:B,MATCH($C1121,'Policy Characteristics'!$C:$C,0))),"",INDEX('Policy Characteristics'!B:B,MATCH($C1121,'Policy Characteristics'!$C:$C,0)))</f>
        <v>Hydrogen Combustion</v>
      </c>
      <c r="C1121" s="254" t="str">
        <f t="shared" si="44"/>
        <v>Fraction of Eligible Industrial Energy Use Shifted to Hydrogen</v>
      </c>
      <c r="D1121" s="6" t="s">
        <v>3065</v>
      </c>
      <c r="E1121" s="1" t="s">
        <v>3519</v>
      </c>
      <c r="F1121" t="s">
        <v>3029</v>
      </c>
      <c r="G1121" s="45" t="s">
        <v>3526</v>
      </c>
      <c r="H1121" s="43">
        <v>2070</v>
      </c>
      <c r="I1121" s="324" t="s">
        <v>43</v>
      </c>
      <c r="J1121" s="255" t="str">
        <f>IF(ISBLANK(INDEX('Policy Characteristics'!D:D,MATCH($C1121,'Policy Characteristics'!$C:$C,0))),"",INDEX('Policy Characteristics'!D:D,MATCH($C1121,'Policy Characteristics'!$C:$C,0)))</f>
        <v>Hydrogen Combustion</v>
      </c>
      <c r="K1121" s="254" t="str">
        <f>IF(ISBLANK(INDEX('Policy Characteristics'!E:E,MATCH($C1121,'Policy Characteristics'!$C:$C,0))),"",INDEX('Policy Characteristics'!E:E,MATCH($C1121,'Policy Characteristics'!$C:$C,0)))</f>
        <v>indst shift to hydrogen</v>
      </c>
      <c r="L1121" s="261">
        <f>IF(ISBLANK(INDEX('Policy Characteristics'!F:F,MATCH($C1121,'Policy Characteristics'!$C:$C,0))),"",INDEX('Policy Characteristics'!F:F,MATCH($C1121,'Policy Characteristics'!$C:$C,0)))</f>
        <v>0</v>
      </c>
      <c r="M1121" s="261">
        <f>IF(ISBLANK(INDEX('Policy Characteristics'!G:G,MATCH($C1121,'Policy Characteristics'!$C:$C,0))),"",INDEX('Policy Characteristics'!G:G,MATCH($C1121,'Policy Characteristics'!$C:$C,0)))</f>
        <v>1</v>
      </c>
      <c r="N1121" s="261">
        <f>IF(ISBLANK(INDEX('Policy Characteristics'!H:H,MATCH($C1121,'Policy Characteristics'!$C:$C,0))),"",INDEX('Policy Characteristics'!H:H,MATCH($C1121,'Policy Characteristics'!$C:$C,0)))</f>
        <v>0.01</v>
      </c>
      <c r="O1121" s="254" t="str">
        <f>IF(ISBLANK(INDEX('Policy Characteristics'!I:I,MATCH($C1121,'Policy Characteristics'!$C:$C,0))),"",INDEX('Policy Characteristics'!I:I,MATCH($C1121,'Policy Characteristics'!$C:$C,0)))</f>
        <v>% of fuel shifted</v>
      </c>
      <c r="P1121" s="254"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4" t="str">
        <f>IF(ISBLANK(INDEX('Policy Characteristics'!K:K,MATCH($C1121,'Policy Characteristics'!$C:$C,0))),"",INDEX('Policy Characteristics'!K:K,MATCH($C1121,'Policy Characteristics'!$C:$C,0)))</f>
        <v>industry-ag-main.html#fuel-switching</v>
      </c>
      <c r="R1121" s="254" t="str">
        <f>IF(ISBLANK(INDEX('Policy Characteristics'!L:L,MATCH($C1121,'Policy Characteristics'!$C:$C,0))),"",INDEX('Policy Characteristics'!L:L,MATCH($C1121,'Policy Characteristics'!$C:$C,0)))</f>
        <v>industry-elec-and-hydrogen.html</v>
      </c>
    </row>
    <row r="1122" spans="1:18" s="2" customFormat="1" x14ac:dyDescent="0.3">
      <c r="A1122" s="254" t="str">
        <f>IF(ISBLANK(INDEX('Policy Characteristics'!A:A,MATCH($C1122,'Policy Characteristics'!$C:$C,0))),"",INDEX('Policy Characteristics'!A:A,MATCH($C1122,'Policy Characteristics'!$C:$C,0)))</f>
        <v>Industry</v>
      </c>
      <c r="B1122" s="262" t="str">
        <f>IF(ISBLANK(INDEX('Policy Characteristics'!B:B,MATCH($C1122,'Policy Characteristics'!$C:$C,0))),"",INDEX('Policy Characteristics'!B:B,MATCH($C1122,'Policy Characteristics'!$C:$C,0)))</f>
        <v>Hydrogen Combustion</v>
      </c>
      <c r="C1122" s="254" t="str">
        <f t="shared" si="44"/>
        <v>Fraction of Eligible Industrial Energy Use Shifted to Hydrogen</v>
      </c>
      <c r="D1122" s="6" t="s">
        <v>3065</v>
      </c>
      <c r="E1122" s="1" t="s">
        <v>3520</v>
      </c>
      <c r="F1122" t="s">
        <v>3029</v>
      </c>
      <c r="G1122" s="45" t="s">
        <v>3527</v>
      </c>
      <c r="H1122" s="43">
        <v>2071</v>
      </c>
      <c r="I1122" s="324" t="s">
        <v>43</v>
      </c>
      <c r="J1122" s="255" t="str">
        <f>IF(ISBLANK(INDEX('Policy Characteristics'!D:D,MATCH($C1122,'Policy Characteristics'!$C:$C,0))),"",INDEX('Policy Characteristics'!D:D,MATCH($C1122,'Policy Characteristics'!$C:$C,0)))</f>
        <v>Hydrogen Combustion</v>
      </c>
      <c r="K1122" s="254" t="str">
        <f>IF(ISBLANK(INDEX('Policy Characteristics'!E:E,MATCH($C1122,'Policy Characteristics'!$C:$C,0))),"",INDEX('Policy Characteristics'!E:E,MATCH($C1122,'Policy Characteristics'!$C:$C,0)))</f>
        <v>indst shift to hydrogen</v>
      </c>
      <c r="L1122" s="261">
        <f>IF(ISBLANK(INDEX('Policy Characteristics'!F:F,MATCH($C1122,'Policy Characteristics'!$C:$C,0))),"",INDEX('Policy Characteristics'!F:F,MATCH($C1122,'Policy Characteristics'!$C:$C,0)))</f>
        <v>0</v>
      </c>
      <c r="M1122" s="261">
        <f>IF(ISBLANK(INDEX('Policy Characteristics'!G:G,MATCH($C1122,'Policy Characteristics'!$C:$C,0))),"",INDEX('Policy Characteristics'!G:G,MATCH($C1122,'Policy Characteristics'!$C:$C,0)))</f>
        <v>1</v>
      </c>
      <c r="N1122" s="261">
        <f>IF(ISBLANK(INDEX('Policy Characteristics'!H:H,MATCH($C1122,'Policy Characteristics'!$C:$C,0))),"",INDEX('Policy Characteristics'!H:H,MATCH($C1122,'Policy Characteristics'!$C:$C,0)))</f>
        <v>0.01</v>
      </c>
      <c r="O1122" s="254" t="str">
        <f>IF(ISBLANK(INDEX('Policy Characteristics'!I:I,MATCH($C1122,'Policy Characteristics'!$C:$C,0))),"",INDEX('Policy Characteristics'!I:I,MATCH($C1122,'Policy Characteristics'!$C:$C,0)))</f>
        <v>% of fuel shifted</v>
      </c>
      <c r="P1122" s="254"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4" t="str">
        <f>IF(ISBLANK(INDEX('Policy Characteristics'!K:K,MATCH($C1122,'Policy Characteristics'!$C:$C,0))),"",INDEX('Policy Characteristics'!K:K,MATCH($C1122,'Policy Characteristics'!$C:$C,0)))</f>
        <v>industry-ag-main.html#fuel-switching</v>
      </c>
      <c r="R1122" s="254" t="str">
        <f>IF(ISBLANK(INDEX('Policy Characteristics'!L:L,MATCH($C1122,'Policy Characteristics'!$C:$C,0))),"",INDEX('Policy Characteristics'!L:L,MATCH($C1122,'Policy Characteristics'!$C:$C,0)))</f>
        <v>industry-elec-and-hydrogen.html</v>
      </c>
    </row>
    <row r="1123" spans="1:18" s="2" customFormat="1" x14ac:dyDescent="0.3">
      <c r="A1123" s="254" t="str">
        <f>IF(ISBLANK(INDEX('Policy Characteristics'!A:A,MATCH($C1123,'Policy Characteristics'!$C:$C,0))),"",INDEX('Policy Characteristics'!A:A,MATCH($C1123,'Policy Characteristics'!$C:$C,0)))</f>
        <v>Industry</v>
      </c>
      <c r="B1123" s="262" t="str">
        <f>IF(ISBLANK(INDEX('Policy Characteristics'!B:B,MATCH($C1123,'Policy Characteristics'!$C:$C,0))),"",INDEX('Policy Characteristics'!B:B,MATCH($C1123,'Policy Characteristics'!$C:$C,0)))</f>
        <v>Hydrogen Combustion</v>
      </c>
      <c r="C1123" s="254" t="str">
        <f t="shared" si="44"/>
        <v>Fraction of Eligible Industrial Energy Use Shifted to Hydrogen</v>
      </c>
      <c r="D1123" s="6" t="s">
        <v>3065</v>
      </c>
      <c r="E1123" s="1" t="s">
        <v>3521</v>
      </c>
      <c r="F1123" t="s">
        <v>3029</v>
      </c>
      <c r="G1123" s="45" t="s">
        <v>3528</v>
      </c>
      <c r="H1123" s="43">
        <v>2072</v>
      </c>
      <c r="I1123" s="324" t="s">
        <v>44</v>
      </c>
      <c r="J1123" s="255" t="str">
        <f>IF(ISBLANK(INDEX('Policy Characteristics'!D:D,MATCH($C1123,'Policy Characteristics'!$C:$C,0))),"",INDEX('Policy Characteristics'!D:D,MATCH($C1123,'Policy Characteristics'!$C:$C,0)))</f>
        <v>Hydrogen Combustion</v>
      </c>
      <c r="K1123" s="254" t="str">
        <f>IF(ISBLANK(INDEX('Policy Characteristics'!E:E,MATCH($C1123,'Policy Characteristics'!$C:$C,0))),"",INDEX('Policy Characteristics'!E:E,MATCH($C1123,'Policy Characteristics'!$C:$C,0)))</f>
        <v>indst shift to hydrogen</v>
      </c>
      <c r="L1123" s="261">
        <f>IF(ISBLANK(INDEX('Policy Characteristics'!F:F,MATCH($C1123,'Policy Characteristics'!$C:$C,0))),"",INDEX('Policy Characteristics'!F:F,MATCH($C1123,'Policy Characteristics'!$C:$C,0)))</f>
        <v>0</v>
      </c>
      <c r="M1123" s="261">
        <f>IF(ISBLANK(INDEX('Policy Characteristics'!G:G,MATCH($C1123,'Policy Characteristics'!$C:$C,0))),"",INDEX('Policy Characteristics'!G:G,MATCH($C1123,'Policy Characteristics'!$C:$C,0)))</f>
        <v>1</v>
      </c>
      <c r="N1123" s="261">
        <f>IF(ISBLANK(INDEX('Policy Characteristics'!H:H,MATCH($C1123,'Policy Characteristics'!$C:$C,0))),"",INDEX('Policy Characteristics'!H:H,MATCH($C1123,'Policy Characteristics'!$C:$C,0)))</f>
        <v>0.01</v>
      </c>
      <c r="O1123" s="254" t="str">
        <f>IF(ISBLANK(INDEX('Policy Characteristics'!I:I,MATCH($C1123,'Policy Characteristics'!$C:$C,0))),"",INDEX('Policy Characteristics'!I:I,MATCH($C1123,'Policy Characteristics'!$C:$C,0)))</f>
        <v>% of fuel shifted</v>
      </c>
      <c r="P1123" s="254"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4" t="str">
        <f>IF(ISBLANK(INDEX('Policy Characteristics'!K:K,MATCH($C1123,'Policy Characteristics'!$C:$C,0))),"",INDEX('Policy Characteristics'!K:K,MATCH($C1123,'Policy Characteristics'!$C:$C,0)))</f>
        <v>industry-ag-main.html#fuel-switching</v>
      </c>
      <c r="R1123" s="254" t="str">
        <f>IF(ISBLANK(INDEX('Policy Characteristics'!L:L,MATCH($C1123,'Policy Characteristics'!$C:$C,0))),"",INDEX('Policy Characteristics'!L:L,MATCH($C1123,'Policy Characteristics'!$C:$C,0)))</f>
        <v>industry-elec-and-hydrogen.html</v>
      </c>
    </row>
    <row r="1124" spans="1:18" s="2" customFormat="1" x14ac:dyDescent="0.3">
      <c r="A1124" s="254" t="str">
        <f>IF(ISBLANK(INDEX('Policy Characteristics'!A:A,MATCH($C1124,'Policy Characteristics'!$C:$C,0))),"",INDEX('Policy Characteristics'!A:A,MATCH($C1124,'Policy Characteristics'!$C:$C,0)))</f>
        <v>Industry</v>
      </c>
      <c r="B1124" s="262" t="str">
        <f>IF(ISBLANK(INDEX('Policy Characteristics'!B:B,MATCH($C1124,'Policy Characteristics'!$C:$C,0))),"",INDEX('Policy Characteristics'!B:B,MATCH($C1124,'Policy Characteristics'!$C:$C,0)))</f>
        <v>Hydrogen Combustion</v>
      </c>
      <c r="C1124" s="254" t="str">
        <f t="shared" si="44"/>
        <v>Fraction of Eligible Industrial Energy Use Shifted to Hydrogen</v>
      </c>
      <c r="D1124" s="6" t="s">
        <v>3065</v>
      </c>
      <c r="E1124" s="1" t="s">
        <v>3671</v>
      </c>
      <c r="F1124" t="s">
        <v>3029</v>
      </c>
      <c r="G1124" s="45" t="s">
        <v>3671</v>
      </c>
      <c r="H1124" s="43">
        <v>2073</v>
      </c>
      <c r="I1124" s="324" t="s">
        <v>43</v>
      </c>
      <c r="J1124" s="255" t="str">
        <f>IF(ISBLANK(INDEX('Policy Characteristics'!D:D,MATCH($C1124,'Policy Characteristics'!$C:$C,0))),"",INDEX('Policy Characteristics'!D:D,MATCH($C1124,'Policy Characteristics'!$C:$C,0)))</f>
        <v>Hydrogen Combustion</v>
      </c>
      <c r="K1124" s="254" t="str">
        <f>IF(ISBLANK(INDEX('Policy Characteristics'!E:E,MATCH($C1124,'Policy Characteristics'!$C:$C,0))),"",INDEX('Policy Characteristics'!E:E,MATCH($C1124,'Policy Characteristics'!$C:$C,0)))</f>
        <v>indst shift to hydrogen</v>
      </c>
      <c r="L1124" s="261">
        <f>IF(ISBLANK(INDEX('Policy Characteristics'!F:F,MATCH($C1124,'Policy Characteristics'!$C:$C,0))),"",INDEX('Policy Characteristics'!F:F,MATCH($C1124,'Policy Characteristics'!$C:$C,0)))</f>
        <v>0</v>
      </c>
      <c r="M1124" s="261">
        <f>IF(ISBLANK(INDEX('Policy Characteristics'!G:G,MATCH($C1124,'Policy Characteristics'!$C:$C,0))),"",INDEX('Policy Characteristics'!G:G,MATCH($C1124,'Policy Characteristics'!$C:$C,0)))</f>
        <v>1</v>
      </c>
      <c r="N1124" s="261">
        <f>IF(ISBLANK(INDEX('Policy Characteristics'!H:H,MATCH($C1124,'Policy Characteristics'!$C:$C,0))),"",INDEX('Policy Characteristics'!H:H,MATCH($C1124,'Policy Characteristics'!$C:$C,0)))</f>
        <v>0.01</v>
      </c>
      <c r="O1124" s="254" t="str">
        <f>IF(ISBLANK(INDEX('Policy Characteristics'!I:I,MATCH($C1124,'Policy Characteristics'!$C:$C,0))),"",INDEX('Policy Characteristics'!I:I,MATCH($C1124,'Policy Characteristics'!$C:$C,0)))</f>
        <v>% of fuel shifted</v>
      </c>
      <c r="P1124" s="254"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4" t="str">
        <f>IF(ISBLANK(INDEX('Policy Characteristics'!K:K,MATCH($C1124,'Policy Characteristics'!$C:$C,0))),"",INDEX('Policy Characteristics'!K:K,MATCH($C1124,'Policy Characteristics'!$C:$C,0)))</f>
        <v>industry-ag-main.html#fuel-switching</v>
      </c>
      <c r="R1124" s="254" t="str">
        <f>IF(ISBLANK(INDEX('Policy Characteristics'!L:L,MATCH($C1124,'Policy Characteristics'!$C:$C,0))),"",INDEX('Policy Characteristics'!L:L,MATCH($C1124,'Policy Characteristics'!$C:$C,0)))</f>
        <v>industry-elec-and-hydrogen.html</v>
      </c>
    </row>
    <row r="1125" spans="1:18" s="2" customFormat="1" x14ac:dyDescent="0.3">
      <c r="A1125" s="254" t="str">
        <f>IF(ISBLANK(INDEX('Policy Characteristics'!A:A,MATCH($C1125,'Policy Characteristics'!$C:$C,0))),"",INDEX('Policy Characteristics'!A:A,MATCH($C1125,'Policy Characteristics'!$C:$C,0)))</f>
        <v>Industry</v>
      </c>
      <c r="B1125" s="262" t="str">
        <f>IF(ISBLANK(INDEX('Policy Characteristics'!B:B,MATCH($C1125,'Policy Characteristics'!$C:$C,0))),"",INDEX('Policy Characteristics'!B:B,MATCH($C1125,'Policy Characteristics'!$C:$C,0)))</f>
        <v>Hydrogen Combustion</v>
      </c>
      <c r="C1125" s="254" t="str">
        <f t="shared" si="44"/>
        <v>Fraction of Eligible Industrial Energy Use Shifted to Hydrogen</v>
      </c>
      <c r="D1125" s="6" t="s">
        <v>3066</v>
      </c>
      <c r="E1125" s="1" t="s">
        <v>3515</v>
      </c>
      <c r="F1125" t="s">
        <v>3030</v>
      </c>
      <c r="G1125" s="45" t="s">
        <v>3522</v>
      </c>
      <c r="H1125" s="43">
        <v>2074</v>
      </c>
      <c r="I1125" s="324" t="s">
        <v>43</v>
      </c>
      <c r="J1125" s="255" t="str">
        <f>IF(ISBLANK(INDEX('Policy Characteristics'!D:D,MATCH($C1125,'Policy Characteristics'!$C:$C,0))),"",INDEX('Policy Characteristics'!D:D,MATCH($C1125,'Policy Characteristics'!$C:$C,0)))</f>
        <v>Hydrogen Combustion</v>
      </c>
      <c r="K1125" s="254" t="str">
        <f>IF(ISBLANK(INDEX('Policy Characteristics'!E:E,MATCH($C1125,'Policy Characteristics'!$C:$C,0))),"",INDEX('Policy Characteristics'!E:E,MATCH($C1125,'Policy Characteristics'!$C:$C,0)))</f>
        <v>indst shift to hydrogen</v>
      </c>
      <c r="L1125" s="261">
        <f>IF(ISBLANK(INDEX('Policy Characteristics'!F:F,MATCH($C1125,'Policy Characteristics'!$C:$C,0))),"",INDEX('Policy Characteristics'!F:F,MATCH($C1125,'Policy Characteristics'!$C:$C,0)))</f>
        <v>0</v>
      </c>
      <c r="M1125" s="261">
        <f>IF(ISBLANK(INDEX('Policy Characteristics'!G:G,MATCH($C1125,'Policy Characteristics'!$C:$C,0))),"",INDEX('Policy Characteristics'!G:G,MATCH($C1125,'Policy Characteristics'!$C:$C,0)))</f>
        <v>1</v>
      </c>
      <c r="N1125" s="261">
        <f>IF(ISBLANK(INDEX('Policy Characteristics'!H:H,MATCH($C1125,'Policy Characteristics'!$C:$C,0))),"",INDEX('Policy Characteristics'!H:H,MATCH($C1125,'Policy Characteristics'!$C:$C,0)))</f>
        <v>0.01</v>
      </c>
      <c r="O1125" s="254" t="str">
        <f>IF(ISBLANK(INDEX('Policy Characteristics'!I:I,MATCH($C1125,'Policy Characteristics'!$C:$C,0))),"",INDEX('Policy Characteristics'!I:I,MATCH($C1125,'Policy Characteristics'!$C:$C,0)))</f>
        <v>% of fuel shifted</v>
      </c>
      <c r="P1125" s="254"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4" t="str">
        <f>IF(ISBLANK(INDEX('Policy Characteristics'!K:K,MATCH($C1125,'Policy Characteristics'!$C:$C,0))),"",INDEX('Policy Characteristics'!K:K,MATCH($C1125,'Policy Characteristics'!$C:$C,0)))</f>
        <v>industry-ag-main.html#fuel-switching</v>
      </c>
      <c r="R1125" s="254" t="str">
        <f>IF(ISBLANK(INDEX('Policy Characteristics'!L:L,MATCH($C1125,'Policy Characteristics'!$C:$C,0))),"",INDEX('Policy Characteristics'!L:L,MATCH($C1125,'Policy Characteristics'!$C:$C,0)))</f>
        <v>industry-elec-and-hydrogen.html</v>
      </c>
    </row>
    <row r="1126" spans="1:18" s="2" customFormat="1" x14ac:dyDescent="0.3">
      <c r="A1126" s="254" t="str">
        <f>IF(ISBLANK(INDEX('Policy Characteristics'!A:A,MATCH($C1126,'Policy Characteristics'!$C:$C,0))),"",INDEX('Policy Characteristics'!A:A,MATCH($C1126,'Policy Characteristics'!$C:$C,0)))</f>
        <v>Industry</v>
      </c>
      <c r="B1126" s="262" t="str">
        <f>IF(ISBLANK(INDEX('Policy Characteristics'!B:B,MATCH($C1126,'Policy Characteristics'!$C:$C,0))),"",INDEX('Policy Characteristics'!B:B,MATCH($C1126,'Policy Characteristics'!$C:$C,0)))</f>
        <v>Hydrogen Combustion</v>
      </c>
      <c r="C1126" s="254" t="str">
        <f t="shared" si="44"/>
        <v>Fraction of Eligible Industrial Energy Use Shifted to Hydrogen</v>
      </c>
      <c r="D1126" s="6" t="s">
        <v>3066</v>
      </c>
      <c r="E1126" s="1" t="s">
        <v>3516</v>
      </c>
      <c r="F1126" t="s">
        <v>3030</v>
      </c>
      <c r="G1126" s="45" t="s">
        <v>3523</v>
      </c>
      <c r="H1126" s="43">
        <v>2075</v>
      </c>
      <c r="I1126" s="324" t="s">
        <v>43</v>
      </c>
      <c r="J1126" s="255" t="str">
        <f>IF(ISBLANK(INDEX('Policy Characteristics'!D:D,MATCH($C1126,'Policy Characteristics'!$C:$C,0))),"",INDEX('Policy Characteristics'!D:D,MATCH($C1126,'Policy Characteristics'!$C:$C,0)))</f>
        <v>Hydrogen Combustion</v>
      </c>
      <c r="K1126" s="254" t="str">
        <f>IF(ISBLANK(INDEX('Policy Characteristics'!E:E,MATCH($C1126,'Policy Characteristics'!$C:$C,0))),"",INDEX('Policy Characteristics'!E:E,MATCH($C1126,'Policy Characteristics'!$C:$C,0)))</f>
        <v>indst shift to hydrogen</v>
      </c>
      <c r="L1126" s="261">
        <f>IF(ISBLANK(INDEX('Policy Characteristics'!F:F,MATCH($C1126,'Policy Characteristics'!$C:$C,0))),"",INDEX('Policy Characteristics'!F:F,MATCH($C1126,'Policy Characteristics'!$C:$C,0)))</f>
        <v>0</v>
      </c>
      <c r="M1126" s="261">
        <f>IF(ISBLANK(INDEX('Policy Characteristics'!G:G,MATCH($C1126,'Policy Characteristics'!$C:$C,0))),"",INDEX('Policy Characteristics'!G:G,MATCH($C1126,'Policy Characteristics'!$C:$C,0)))</f>
        <v>1</v>
      </c>
      <c r="N1126" s="261">
        <f>IF(ISBLANK(INDEX('Policy Characteristics'!H:H,MATCH($C1126,'Policy Characteristics'!$C:$C,0))),"",INDEX('Policy Characteristics'!H:H,MATCH($C1126,'Policy Characteristics'!$C:$C,0)))</f>
        <v>0.01</v>
      </c>
      <c r="O1126" s="254" t="str">
        <f>IF(ISBLANK(INDEX('Policy Characteristics'!I:I,MATCH($C1126,'Policy Characteristics'!$C:$C,0))),"",INDEX('Policy Characteristics'!I:I,MATCH($C1126,'Policy Characteristics'!$C:$C,0)))</f>
        <v>% of fuel shifted</v>
      </c>
      <c r="P1126" s="254"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4" t="str">
        <f>IF(ISBLANK(INDEX('Policy Characteristics'!K:K,MATCH($C1126,'Policy Characteristics'!$C:$C,0))),"",INDEX('Policy Characteristics'!K:K,MATCH($C1126,'Policy Characteristics'!$C:$C,0)))</f>
        <v>industry-ag-main.html#fuel-switching</v>
      </c>
      <c r="R1126" s="254" t="str">
        <f>IF(ISBLANK(INDEX('Policy Characteristics'!L:L,MATCH($C1126,'Policy Characteristics'!$C:$C,0))),"",INDEX('Policy Characteristics'!L:L,MATCH($C1126,'Policy Characteristics'!$C:$C,0)))</f>
        <v>industry-elec-and-hydrogen.html</v>
      </c>
    </row>
    <row r="1127" spans="1:18" s="2" customFormat="1" x14ac:dyDescent="0.3">
      <c r="A1127" s="254" t="str">
        <f>IF(ISBLANK(INDEX('Policy Characteristics'!A:A,MATCH($C1127,'Policy Characteristics'!$C:$C,0))),"",INDEX('Policy Characteristics'!A:A,MATCH($C1127,'Policy Characteristics'!$C:$C,0)))</f>
        <v>Industry</v>
      </c>
      <c r="B1127" s="262" t="str">
        <f>IF(ISBLANK(INDEX('Policy Characteristics'!B:B,MATCH($C1127,'Policy Characteristics'!$C:$C,0))),"",INDEX('Policy Characteristics'!B:B,MATCH($C1127,'Policy Characteristics'!$C:$C,0)))</f>
        <v>Hydrogen Combustion</v>
      </c>
      <c r="C1127" s="254" t="str">
        <f t="shared" si="44"/>
        <v>Fraction of Eligible Industrial Energy Use Shifted to Hydrogen</v>
      </c>
      <c r="D1127" s="6" t="s">
        <v>3066</v>
      </c>
      <c r="E1127" s="1" t="s">
        <v>3517</v>
      </c>
      <c r="F1127" t="s">
        <v>3030</v>
      </c>
      <c r="G1127" s="45" t="s">
        <v>3524</v>
      </c>
      <c r="H1127" s="43">
        <v>2076</v>
      </c>
      <c r="I1127" s="324" t="s">
        <v>43</v>
      </c>
      <c r="J1127" s="255" t="str">
        <f>IF(ISBLANK(INDEX('Policy Characteristics'!D:D,MATCH($C1127,'Policy Characteristics'!$C:$C,0))),"",INDEX('Policy Characteristics'!D:D,MATCH($C1127,'Policy Characteristics'!$C:$C,0)))</f>
        <v>Hydrogen Combustion</v>
      </c>
      <c r="K1127" s="254" t="str">
        <f>IF(ISBLANK(INDEX('Policy Characteristics'!E:E,MATCH($C1127,'Policy Characteristics'!$C:$C,0))),"",INDEX('Policy Characteristics'!E:E,MATCH($C1127,'Policy Characteristics'!$C:$C,0)))</f>
        <v>indst shift to hydrogen</v>
      </c>
      <c r="L1127" s="261">
        <f>IF(ISBLANK(INDEX('Policy Characteristics'!F:F,MATCH($C1127,'Policy Characteristics'!$C:$C,0))),"",INDEX('Policy Characteristics'!F:F,MATCH($C1127,'Policy Characteristics'!$C:$C,0)))</f>
        <v>0</v>
      </c>
      <c r="M1127" s="261">
        <f>IF(ISBLANK(INDEX('Policy Characteristics'!G:G,MATCH($C1127,'Policy Characteristics'!$C:$C,0))),"",INDEX('Policy Characteristics'!G:G,MATCH($C1127,'Policy Characteristics'!$C:$C,0)))</f>
        <v>1</v>
      </c>
      <c r="N1127" s="261">
        <f>IF(ISBLANK(INDEX('Policy Characteristics'!H:H,MATCH($C1127,'Policy Characteristics'!$C:$C,0))),"",INDEX('Policy Characteristics'!H:H,MATCH($C1127,'Policy Characteristics'!$C:$C,0)))</f>
        <v>0.01</v>
      </c>
      <c r="O1127" s="254" t="str">
        <f>IF(ISBLANK(INDEX('Policy Characteristics'!I:I,MATCH($C1127,'Policy Characteristics'!$C:$C,0))),"",INDEX('Policy Characteristics'!I:I,MATCH($C1127,'Policy Characteristics'!$C:$C,0)))</f>
        <v>% of fuel shifted</v>
      </c>
      <c r="P1127" s="254"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4" t="str">
        <f>IF(ISBLANK(INDEX('Policy Characteristics'!K:K,MATCH($C1127,'Policy Characteristics'!$C:$C,0))),"",INDEX('Policy Characteristics'!K:K,MATCH($C1127,'Policy Characteristics'!$C:$C,0)))</f>
        <v>industry-ag-main.html#fuel-switching</v>
      </c>
      <c r="R1127" s="254" t="str">
        <f>IF(ISBLANK(INDEX('Policy Characteristics'!L:L,MATCH($C1127,'Policy Characteristics'!$C:$C,0))),"",INDEX('Policy Characteristics'!L:L,MATCH($C1127,'Policy Characteristics'!$C:$C,0)))</f>
        <v>industry-elec-and-hydrogen.html</v>
      </c>
    </row>
    <row r="1128" spans="1:18" s="2" customFormat="1" x14ac:dyDescent="0.3">
      <c r="A1128" s="254" t="str">
        <f>IF(ISBLANK(INDEX('Policy Characteristics'!A:A,MATCH($C1128,'Policy Characteristics'!$C:$C,0))),"",INDEX('Policy Characteristics'!A:A,MATCH($C1128,'Policy Characteristics'!$C:$C,0)))</f>
        <v>Industry</v>
      </c>
      <c r="B1128" s="262" t="str">
        <f>IF(ISBLANK(INDEX('Policy Characteristics'!B:B,MATCH($C1128,'Policy Characteristics'!$C:$C,0))),"",INDEX('Policy Characteristics'!B:B,MATCH($C1128,'Policy Characteristics'!$C:$C,0)))</f>
        <v>Hydrogen Combustion</v>
      </c>
      <c r="C1128" s="254" t="str">
        <f t="shared" si="44"/>
        <v>Fraction of Eligible Industrial Energy Use Shifted to Hydrogen</v>
      </c>
      <c r="D1128" s="6" t="s">
        <v>3066</v>
      </c>
      <c r="E1128" s="1" t="s">
        <v>3518</v>
      </c>
      <c r="F1128" t="s">
        <v>3030</v>
      </c>
      <c r="G1128" s="45" t="s">
        <v>3525</v>
      </c>
      <c r="H1128" s="43">
        <v>2077</v>
      </c>
      <c r="I1128" s="324" t="s">
        <v>44</v>
      </c>
      <c r="J1128" s="255" t="str">
        <f>IF(ISBLANK(INDEX('Policy Characteristics'!D:D,MATCH($C1128,'Policy Characteristics'!$C:$C,0))),"",INDEX('Policy Characteristics'!D:D,MATCH($C1128,'Policy Characteristics'!$C:$C,0)))</f>
        <v>Hydrogen Combustion</v>
      </c>
      <c r="K1128" s="254" t="str">
        <f>IF(ISBLANK(INDEX('Policy Characteristics'!E:E,MATCH($C1128,'Policy Characteristics'!$C:$C,0))),"",INDEX('Policy Characteristics'!E:E,MATCH($C1128,'Policy Characteristics'!$C:$C,0)))</f>
        <v>indst shift to hydrogen</v>
      </c>
      <c r="L1128" s="261">
        <f>IF(ISBLANK(INDEX('Policy Characteristics'!F:F,MATCH($C1128,'Policy Characteristics'!$C:$C,0))),"",INDEX('Policy Characteristics'!F:F,MATCH($C1128,'Policy Characteristics'!$C:$C,0)))</f>
        <v>0</v>
      </c>
      <c r="M1128" s="261">
        <f>IF(ISBLANK(INDEX('Policy Characteristics'!G:G,MATCH($C1128,'Policy Characteristics'!$C:$C,0))),"",INDEX('Policy Characteristics'!G:G,MATCH($C1128,'Policy Characteristics'!$C:$C,0)))</f>
        <v>1</v>
      </c>
      <c r="N1128" s="261">
        <f>IF(ISBLANK(INDEX('Policy Characteristics'!H:H,MATCH($C1128,'Policy Characteristics'!$C:$C,0))),"",INDEX('Policy Characteristics'!H:H,MATCH($C1128,'Policy Characteristics'!$C:$C,0)))</f>
        <v>0.01</v>
      </c>
      <c r="O1128" s="254" t="str">
        <f>IF(ISBLANK(INDEX('Policy Characteristics'!I:I,MATCH($C1128,'Policy Characteristics'!$C:$C,0))),"",INDEX('Policy Characteristics'!I:I,MATCH($C1128,'Policy Characteristics'!$C:$C,0)))</f>
        <v>% of fuel shifted</v>
      </c>
      <c r="P1128" s="254"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4" t="str">
        <f>IF(ISBLANK(INDEX('Policy Characteristics'!K:K,MATCH($C1128,'Policy Characteristics'!$C:$C,0))),"",INDEX('Policy Characteristics'!K:K,MATCH($C1128,'Policy Characteristics'!$C:$C,0)))</f>
        <v>industry-ag-main.html#fuel-switching</v>
      </c>
      <c r="R1128" s="254" t="str">
        <f>IF(ISBLANK(INDEX('Policy Characteristics'!L:L,MATCH($C1128,'Policy Characteristics'!$C:$C,0))),"",INDEX('Policy Characteristics'!L:L,MATCH($C1128,'Policy Characteristics'!$C:$C,0)))</f>
        <v>industry-elec-and-hydrogen.html</v>
      </c>
    </row>
    <row r="1129" spans="1:18" s="2" customFormat="1" x14ac:dyDescent="0.3">
      <c r="A1129" s="254" t="str">
        <f>IF(ISBLANK(INDEX('Policy Characteristics'!A:A,MATCH($C1129,'Policy Characteristics'!$C:$C,0))),"",INDEX('Policy Characteristics'!A:A,MATCH($C1129,'Policy Characteristics'!$C:$C,0)))</f>
        <v>Industry</v>
      </c>
      <c r="B1129" s="262" t="str">
        <f>IF(ISBLANK(INDEX('Policy Characteristics'!B:B,MATCH($C1129,'Policy Characteristics'!$C:$C,0))),"",INDEX('Policy Characteristics'!B:B,MATCH($C1129,'Policy Characteristics'!$C:$C,0)))</f>
        <v>Hydrogen Combustion</v>
      </c>
      <c r="C1129" s="254" t="str">
        <f t="shared" si="44"/>
        <v>Fraction of Eligible Industrial Energy Use Shifted to Hydrogen</v>
      </c>
      <c r="D1129" s="6" t="s">
        <v>3066</v>
      </c>
      <c r="E1129" s="1" t="s">
        <v>3519</v>
      </c>
      <c r="F1129" t="s">
        <v>3030</v>
      </c>
      <c r="G1129" s="45" t="s">
        <v>3526</v>
      </c>
      <c r="H1129" s="43">
        <v>2078</v>
      </c>
      <c r="I1129" s="324" t="s">
        <v>44</v>
      </c>
      <c r="J1129" s="255" t="str">
        <f>IF(ISBLANK(INDEX('Policy Characteristics'!D:D,MATCH($C1129,'Policy Characteristics'!$C:$C,0))),"",INDEX('Policy Characteristics'!D:D,MATCH($C1129,'Policy Characteristics'!$C:$C,0)))</f>
        <v>Hydrogen Combustion</v>
      </c>
      <c r="K1129" s="254" t="str">
        <f>IF(ISBLANK(INDEX('Policy Characteristics'!E:E,MATCH($C1129,'Policy Characteristics'!$C:$C,0))),"",INDEX('Policy Characteristics'!E:E,MATCH($C1129,'Policy Characteristics'!$C:$C,0)))</f>
        <v>indst shift to hydrogen</v>
      </c>
      <c r="L1129" s="261">
        <f>IF(ISBLANK(INDEX('Policy Characteristics'!F:F,MATCH($C1129,'Policy Characteristics'!$C:$C,0))),"",INDEX('Policy Characteristics'!F:F,MATCH($C1129,'Policy Characteristics'!$C:$C,0)))</f>
        <v>0</v>
      </c>
      <c r="M1129" s="261">
        <f>IF(ISBLANK(INDEX('Policy Characteristics'!G:G,MATCH($C1129,'Policy Characteristics'!$C:$C,0))),"",INDEX('Policy Characteristics'!G:G,MATCH($C1129,'Policy Characteristics'!$C:$C,0)))</f>
        <v>1</v>
      </c>
      <c r="N1129" s="261">
        <f>IF(ISBLANK(INDEX('Policy Characteristics'!H:H,MATCH($C1129,'Policy Characteristics'!$C:$C,0))),"",INDEX('Policy Characteristics'!H:H,MATCH($C1129,'Policy Characteristics'!$C:$C,0)))</f>
        <v>0.01</v>
      </c>
      <c r="O1129" s="254" t="str">
        <f>IF(ISBLANK(INDEX('Policy Characteristics'!I:I,MATCH($C1129,'Policy Characteristics'!$C:$C,0))),"",INDEX('Policy Characteristics'!I:I,MATCH($C1129,'Policy Characteristics'!$C:$C,0)))</f>
        <v>% of fuel shifted</v>
      </c>
      <c r="P1129" s="254"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4" t="str">
        <f>IF(ISBLANK(INDEX('Policy Characteristics'!K:K,MATCH($C1129,'Policy Characteristics'!$C:$C,0))),"",INDEX('Policy Characteristics'!K:K,MATCH($C1129,'Policy Characteristics'!$C:$C,0)))</f>
        <v>industry-ag-main.html#fuel-switching</v>
      </c>
      <c r="R1129" s="254" t="str">
        <f>IF(ISBLANK(INDEX('Policy Characteristics'!L:L,MATCH($C1129,'Policy Characteristics'!$C:$C,0))),"",INDEX('Policy Characteristics'!L:L,MATCH($C1129,'Policy Characteristics'!$C:$C,0)))</f>
        <v>industry-elec-and-hydrogen.html</v>
      </c>
    </row>
    <row r="1130" spans="1:18" s="2" customFormat="1" x14ac:dyDescent="0.3">
      <c r="A1130" s="254" t="str">
        <f>IF(ISBLANK(INDEX('Policy Characteristics'!A:A,MATCH($C1130,'Policy Characteristics'!$C:$C,0))),"",INDEX('Policy Characteristics'!A:A,MATCH($C1130,'Policy Characteristics'!$C:$C,0)))</f>
        <v>Industry</v>
      </c>
      <c r="B1130" s="262" t="str">
        <f>IF(ISBLANK(INDEX('Policy Characteristics'!B:B,MATCH($C1130,'Policy Characteristics'!$C:$C,0))),"",INDEX('Policy Characteristics'!B:B,MATCH($C1130,'Policy Characteristics'!$C:$C,0)))</f>
        <v>Hydrogen Combustion</v>
      </c>
      <c r="C1130" s="254" t="str">
        <f t="shared" si="44"/>
        <v>Fraction of Eligible Industrial Energy Use Shifted to Hydrogen</v>
      </c>
      <c r="D1130" s="6" t="s">
        <v>3066</v>
      </c>
      <c r="E1130" s="1" t="s">
        <v>3520</v>
      </c>
      <c r="F1130" t="s">
        <v>3030</v>
      </c>
      <c r="G1130" s="45" t="s">
        <v>3527</v>
      </c>
      <c r="H1130" s="43">
        <v>2079</v>
      </c>
      <c r="I1130" s="324" t="s">
        <v>43</v>
      </c>
      <c r="J1130" s="255" t="str">
        <f>IF(ISBLANK(INDEX('Policy Characteristics'!D:D,MATCH($C1130,'Policy Characteristics'!$C:$C,0))),"",INDEX('Policy Characteristics'!D:D,MATCH($C1130,'Policy Characteristics'!$C:$C,0)))</f>
        <v>Hydrogen Combustion</v>
      </c>
      <c r="K1130" s="254" t="str">
        <f>IF(ISBLANK(INDEX('Policy Characteristics'!E:E,MATCH($C1130,'Policy Characteristics'!$C:$C,0))),"",INDEX('Policy Characteristics'!E:E,MATCH($C1130,'Policy Characteristics'!$C:$C,0)))</f>
        <v>indst shift to hydrogen</v>
      </c>
      <c r="L1130" s="261">
        <f>IF(ISBLANK(INDEX('Policy Characteristics'!F:F,MATCH($C1130,'Policy Characteristics'!$C:$C,0))),"",INDEX('Policy Characteristics'!F:F,MATCH($C1130,'Policy Characteristics'!$C:$C,0)))</f>
        <v>0</v>
      </c>
      <c r="M1130" s="261">
        <f>IF(ISBLANK(INDEX('Policy Characteristics'!G:G,MATCH($C1130,'Policy Characteristics'!$C:$C,0))),"",INDEX('Policy Characteristics'!G:G,MATCH($C1130,'Policy Characteristics'!$C:$C,0)))</f>
        <v>1</v>
      </c>
      <c r="N1130" s="261">
        <f>IF(ISBLANK(INDEX('Policy Characteristics'!H:H,MATCH($C1130,'Policy Characteristics'!$C:$C,0))),"",INDEX('Policy Characteristics'!H:H,MATCH($C1130,'Policy Characteristics'!$C:$C,0)))</f>
        <v>0.01</v>
      </c>
      <c r="O1130" s="254" t="str">
        <f>IF(ISBLANK(INDEX('Policy Characteristics'!I:I,MATCH($C1130,'Policy Characteristics'!$C:$C,0))),"",INDEX('Policy Characteristics'!I:I,MATCH($C1130,'Policy Characteristics'!$C:$C,0)))</f>
        <v>% of fuel shifted</v>
      </c>
      <c r="P1130" s="254"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4" t="str">
        <f>IF(ISBLANK(INDEX('Policy Characteristics'!K:K,MATCH($C1130,'Policy Characteristics'!$C:$C,0))),"",INDEX('Policy Characteristics'!K:K,MATCH($C1130,'Policy Characteristics'!$C:$C,0)))</f>
        <v>industry-ag-main.html#fuel-switching</v>
      </c>
      <c r="R1130" s="254" t="str">
        <f>IF(ISBLANK(INDEX('Policy Characteristics'!L:L,MATCH($C1130,'Policy Characteristics'!$C:$C,0))),"",INDEX('Policy Characteristics'!L:L,MATCH($C1130,'Policy Characteristics'!$C:$C,0)))</f>
        <v>industry-elec-and-hydrogen.html</v>
      </c>
    </row>
    <row r="1131" spans="1:18" s="2" customFormat="1" x14ac:dyDescent="0.3">
      <c r="A1131" s="254" t="str">
        <f>IF(ISBLANK(INDEX('Policy Characteristics'!A:A,MATCH($C1131,'Policy Characteristics'!$C:$C,0))),"",INDEX('Policy Characteristics'!A:A,MATCH($C1131,'Policy Characteristics'!$C:$C,0)))</f>
        <v>Industry</v>
      </c>
      <c r="B1131" s="262" t="str">
        <f>IF(ISBLANK(INDEX('Policy Characteristics'!B:B,MATCH($C1131,'Policy Characteristics'!$C:$C,0))),"",INDEX('Policy Characteristics'!B:B,MATCH($C1131,'Policy Characteristics'!$C:$C,0)))</f>
        <v>Hydrogen Combustion</v>
      </c>
      <c r="C1131" s="254" t="str">
        <f t="shared" si="44"/>
        <v>Fraction of Eligible Industrial Energy Use Shifted to Hydrogen</v>
      </c>
      <c r="D1131" s="6" t="s">
        <v>3066</v>
      </c>
      <c r="E1131" s="1" t="s">
        <v>3521</v>
      </c>
      <c r="F1131" t="s">
        <v>3030</v>
      </c>
      <c r="G1131" s="45" t="s">
        <v>3528</v>
      </c>
      <c r="H1131" s="43">
        <v>2080</v>
      </c>
      <c r="I1131" s="324" t="s">
        <v>44</v>
      </c>
      <c r="J1131" s="255" t="str">
        <f>IF(ISBLANK(INDEX('Policy Characteristics'!D:D,MATCH($C1131,'Policy Characteristics'!$C:$C,0))),"",INDEX('Policy Characteristics'!D:D,MATCH($C1131,'Policy Characteristics'!$C:$C,0)))</f>
        <v>Hydrogen Combustion</v>
      </c>
      <c r="K1131" s="254" t="str">
        <f>IF(ISBLANK(INDEX('Policy Characteristics'!E:E,MATCH($C1131,'Policy Characteristics'!$C:$C,0))),"",INDEX('Policy Characteristics'!E:E,MATCH($C1131,'Policy Characteristics'!$C:$C,0)))</f>
        <v>indst shift to hydrogen</v>
      </c>
      <c r="L1131" s="261">
        <f>IF(ISBLANK(INDEX('Policy Characteristics'!F:F,MATCH($C1131,'Policy Characteristics'!$C:$C,0))),"",INDEX('Policy Characteristics'!F:F,MATCH($C1131,'Policy Characteristics'!$C:$C,0)))</f>
        <v>0</v>
      </c>
      <c r="M1131" s="261">
        <f>IF(ISBLANK(INDEX('Policy Characteristics'!G:G,MATCH($C1131,'Policy Characteristics'!$C:$C,0))),"",INDEX('Policy Characteristics'!G:G,MATCH($C1131,'Policy Characteristics'!$C:$C,0)))</f>
        <v>1</v>
      </c>
      <c r="N1131" s="261">
        <f>IF(ISBLANK(INDEX('Policy Characteristics'!H:H,MATCH($C1131,'Policy Characteristics'!$C:$C,0))),"",INDEX('Policy Characteristics'!H:H,MATCH($C1131,'Policy Characteristics'!$C:$C,0)))</f>
        <v>0.01</v>
      </c>
      <c r="O1131" s="254" t="str">
        <f>IF(ISBLANK(INDEX('Policy Characteristics'!I:I,MATCH($C1131,'Policy Characteristics'!$C:$C,0))),"",INDEX('Policy Characteristics'!I:I,MATCH($C1131,'Policy Characteristics'!$C:$C,0)))</f>
        <v>% of fuel shifted</v>
      </c>
      <c r="P1131" s="254"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4" t="str">
        <f>IF(ISBLANK(INDEX('Policy Characteristics'!K:K,MATCH($C1131,'Policy Characteristics'!$C:$C,0))),"",INDEX('Policy Characteristics'!K:K,MATCH($C1131,'Policy Characteristics'!$C:$C,0)))</f>
        <v>industry-ag-main.html#fuel-switching</v>
      </c>
      <c r="R1131" s="254" t="str">
        <f>IF(ISBLANK(INDEX('Policy Characteristics'!L:L,MATCH($C1131,'Policy Characteristics'!$C:$C,0))),"",INDEX('Policy Characteristics'!L:L,MATCH($C1131,'Policy Characteristics'!$C:$C,0)))</f>
        <v>industry-elec-and-hydrogen.html</v>
      </c>
    </row>
    <row r="1132" spans="1:18" s="2" customFormat="1" x14ac:dyDescent="0.3">
      <c r="A1132" s="254" t="str">
        <f>IF(ISBLANK(INDEX('Policy Characteristics'!A:A,MATCH($C1132,'Policy Characteristics'!$C:$C,0))),"",INDEX('Policy Characteristics'!A:A,MATCH($C1132,'Policy Characteristics'!$C:$C,0)))</f>
        <v>Industry</v>
      </c>
      <c r="B1132" s="262" t="str">
        <f>IF(ISBLANK(INDEX('Policy Characteristics'!B:B,MATCH($C1132,'Policy Characteristics'!$C:$C,0))),"",INDEX('Policy Characteristics'!B:B,MATCH($C1132,'Policy Characteristics'!$C:$C,0)))</f>
        <v>Hydrogen Combustion</v>
      </c>
      <c r="C1132" s="254" t="str">
        <f t="shared" si="44"/>
        <v>Fraction of Eligible Industrial Energy Use Shifted to Hydrogen</v>
      </c>
      <c r="D1132" s="6" t="s">
        <v>3066</v>
      </c>
      <c r="E1132" s="1" t="s">
        <v>3671</v>
      </c>
      <c r="F1132" t="s">
        <v>3030</v>
      </c>
      <c r="G1132" s="45" t="s">
        <v>3671</v>
      </c>
      <c r="H1132" s="43">
        <v>2081</v>
      </c>
      <c r="I1132" s="324" t="s">
        <v>44</v>
      </c>
      <c r="J1132" s="255" t="str">
        <f>IF(ISBLANK(INDEX('Policy Characteristics'!D:D,MATCH($C1132,'Policy Characteristics'!$C:$C,0))),"",INDEX('Policy Characteristics'!D:D,MATCH($C1132,'Policy Characteristics'!$C:$C,0)))</f>
        <v>Hydrogen Combustion</v>
      </c>
      <c r="K1132" s="254" t="str">
        <f>IF(ISBLANK(INDEX('Policy Characteristics'!E:E,MATCH($C1132,'Policy Characteristics'!$C:$C,0))),"",INDEX('Policy Characteristics'!E:E,MATCH($C1132,'Policy Characteristics'!$C:$C,0)))</f>
        <v>indst shift to hydrogen</v>
      </c>
      <c r="L1132" s="261">
        <f>IF(ISBLANK(INDEX('Policy Characteristics'!F:F,MATCH($C1132,'Policy Characteristics'!$C:$C,0))),"",INDEX('Policy Characteristics'!F:F,MATCH($C1132,'Policy Characteristics'!$C:$C,0)))</f>
        <v>0</v>
      </c>
      <c r="M1132" s="261">
        <f>IF(ISBLANK(INDEX('Policy Characteristics'!G:G,MATCH($C1132,'Policy Characteristics'!$C:$C,0))),"",INDEX('Policy Characteristics'!G:G,MATCH($C1132,'Policy Characteristics'!$C:$C,0)))</f>
        <v>1</v>
      </c>
      <c r="N1132" s="261">
        <f>IF(ISBLANK(INDEX('Policy Characteristics'!H:H,MATCH($C1132,'Policy Characteristics'!$C:$C,0))),"",INDEX('Policy Characteristics'!H:H,MATCH($C1132,'Policy Characteristics'!$C:$C,0)))</f>
        <v>0.01</v>
      </c>
      <c r="O1132" s="254" t="str">
        <f>IF(ISBLANK(INDEX('Policy Characteristics'!I:I,MATCH($C1132,'Policy Characteristics'!$C:$C,0))),"",INDEX('Policy Characteristics'!I:I,MATCH($C1132,'Policy Characteristics'!$C:$C,0)))</f>
        <v>% of fuel shifted</v>
      </c>
      <c r="P1132" s="254"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4" t="str">
        <f>IF(ISBLANK(INDEX('Policy Characteristics'!K:K,MATCH($C1132,'Policy Characteristics'!$C:$C,0))),"",INDEX('Policy Characteristics'!K:K,MATCH($C1132,'Policy Characteristics'!$C:$C,0)))</f>
        <v>industry-ag-main.html#fuel-switching</v>
      </c>
      <c r="R1132" s="254" t="str">
        <f>IF(ISBLANK(INDEX('Policy Characteristics'!L:L,MATCH($C1132,'Policy Characteristics'!$C:$C,0))),"",INDEX('Policy Characteristics'!L:L,MATCH($C1132,'Policy Characteristics'!$C:$C,0)))</f>
        <v>industry-elec-and-hydrogen.html</v>
      </c>
    </row>
    <row r="1133" spans="1:18" s="2" customFormat="1" x14ac:dyDescent="0.3">
      <c r="A1133" s="254" t="str">
        <f>IF(ISBLANK(INDEX('Policy Characteristics'!A:A,MATCH($C1133,'Policy Characteristics'!$C:$C,0))),"",INDEX('Policy Characteristics'!A:A,MATCH($C1133,'Policy Characteristics'!$C:$C,0)))</f>
        <v>Industry</v>
      </c>
      <c r="B1133" s="262" t="str">
        <f>IF(ISBLANK(INDEX('Policy Characteristics'!B:B,MATCH($C1133,'Policy Characteristics'!$C:$C,0))),"",INDEX('Policy Characteristics'!B:B,MATCH($C1133,'Policy Characteristics'!$C:$C,0)))</f>
        <v>Hydrogen Combustion</v>
      </c>
      <c r="C1133" s="254" t="str">
        <f t="shared" si="44"/>
        <v>Fraction of Eligible Industrial Energy Use Shifted to Hydrogen</v>
      </c>
      <c r="D1133" s="6" t="s">
        <v>3067</v>
      </c>
      <c r="E1133" s="1" t="s">
        <v>3515</v>
      </c>
      <c r="F1133" t="s">
        <v>3031</v>
      </c>
      <c r="G1133" s="45" t="s">
        <v>3522</v>
      </c>
      <c r="H1133" s="43">
        <v>2082</v>
      </c>
      <c r="I1133" s="324" t="s">
        <v>43</v>
      </c>
      <c r="J1133" s="255" t="str">
        <f>IF(ISBLANK(INDEX('Policy Characteristics'!D:D,MATCH($C1133,'Policy Characteristics'!$C:$C,0))),"",INDEX('Policy Characteristics'!D:D,MATCH($C1133,'Policy Characteristics'!$C:$C,0)))</f>
        <v>Hydrogen Combustion</v>
      </c>
      <c r="K1133" s="254" t="str">
        <f>IF(ISBLANK(INDEX('Policy Characteristics'!E:E,MATCH($C1133,'Policy Characteristics'!$C:$C,0))),"",INDEX('Policy Characteristics'!E:E,MATCH($C1133,'Policy Characteristics'!$C:$C,0)))</f>
        <v>indst shift to hydrogen</v>
      </c>
      <c r="L1133" s="261">
        <f>IF(ISBLANK(INDEX('Policy Characteristics'!F:F,MATCH($C1133,'Policy Characteristics'!$C:$C,0))),"",INDEX('Policy Characteristics'!F:F,MATCH($C1133,'Policy Characteristics'!$C:$C,0)))</f>
        <v>0</v>
      </c>
      <c r="M1133" s="261">
        <f>IF(ISBLANK(INDEX('Policy Characteristics'!G:G,MATCH($C1133,'Policy Characteristics'!$C:$C,0))),"",INDEX('Policy Characteristics'!G:G,MATCH($C1133,'Policy Characteristics'!$C:$C,0)))</f>
        <v>1</v>
      </c>
      <c r="N1133" s="261">
        <f>IF(ISBLANK(INDEX('Policy Characteristics'!H:H,MATCH($C1133,'Policy Characteristics'!$C:$C,0))),"",INDEX('Policy Characteristics'!H:H,MATCH($C1133,'Policy Characteristics'!$C:$C,0)))</f>
        <v>0.01</v>
      </c>
      <c r="O1133" s="254" t="str">
        <f>IF(ISBLANK(INDEX('Policy Characteristics'!I:I,MATCH($C1133,'Policy Characteristics'!$C:$C,0))),"",INDEX('Policy Characteristics'!I:I,MATCH($C1133,'Policy Characteristics'!$C:$C,0)))</f>
        <v>% of fuel shifted</v>
      </c>
      <c r="P1133" s="254"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4" t="str">
        <f>IF(ISBLANK(INDEX('Policy Characteristics'!K:K,MATCH($C1133,'Policy Characteristics'!$C:$C,0))),"",INDEX('Policy Characteristics'!K:K,MATCH($C1133,'Policy Characteristics'!$C:$C,0)))</f>
        <v>industry-ag-main.html#fuel-switching</v>
      </c>
      <c r="R1133" s="254" t="str">
        <f>IF(ISBLANK(INDEX('Policy Characteristics'!L:L,MATCH($C1133,'Policy Characteristics'!$C:$C,0))),"",INDEX('Policy Characteristics'!L:L,MATCH($C1133,'Policy Characteristics'!$C:$C,0)))</f>
        <v>industry-elec-and-hydrogen.html</v>
      </c>
    </row>
    <row r="1134" spans="1:18" s="2" customFormat="1" x14ac:dyDescent="0.3">
      <c r="A1134" s="254" t="str">
        <f>IF(ISBLANK(INDEX('Policy Characteristics'!A:A,MATCH($C1134,'Policy Characteristics'!$C:$C,0))),"",INDEX('Policy Characteristics'!A:A,MATCH($C1134,'Policy Characteristics'!$C:$C,0)))</f>
        <v>Industry</v>
      </c>
      <c r="B1134" s="262" t="str">
        <f>IF(ISBLANK(INDEX('Policy Characteristics'!B:B,MATCH($C1134,'Policy Characteristics'!$C:$C,0))),"",INDEX('Policy Characteristics'!B:B,MATCH($C1134,'Policy Characteristics'!$C:$C,0)))</f>
        <v>Hydrogen Combustion</v>
      </c>
      <c r="C1134" s="254" t="str">
        <f t="shared" si="44"/>
        <v>Fraction of Eligible Industrial Energy Use Shifted to Hydrogen</v>
      </c>
      <c r="D1134" s="6" t="s">
        <v>3067</v>
      </c>
      <c r="E1134" s="1" t="s">
        <v>3516</v>
      </c>
      <c r="F1134" t="s">
        <v>3031</v>
      </c>
      <c r="G1134" s="45" t="s">
        <v>3523</v>
      </c>
      <c r="H1134" s="43">
        <v>2083</v>
      </c>
      <c r="I1134" s="324" t="s">
        <v>43</v>
      </c>
      <c r="J1134" s="255" t="str">
        <f>IF(ISBLANK(INDEX('Policy Characteristics'!D:D,MATCH($C1134,'Policy Characteristics'!$C:$C,0))),"",INDEX('Policy Characteristics'!D:D,MATCH($C1134,'Policy Characteristics'!$C:$C,0)))</f>
        <v>Hydrogen Combustion</v>
      </c>
      <c r="K1134" s="254" t="str">
        <f>IF(ISBLANK(INDEX('Policy Characteristics'!E:E,MATCH($C1134,'Policy Characteristics'!$C:$C,0))),"",INDEX('Policy Characteristics'!E:E,MATCH($C1134,'Policy Characteristics'!$C:$C,0)))</f>
        <v>indst shift to hydrogen</v>
      </c>
      <c r="L1134" s="261">
        <f>IF(ISBLANK(INDEX('Policy Characteristics'!F:F,MATCH($C1134,'Policy Characteristics'!$C:$C,0))),"",INDEX('Policy Characteristics'!F:F,MATCH($C1134,'Policy Characteristics'!$C:$C,0)))</f>
        <v>0</v>
      </c>
      <c r="M1134" s="261">
        <f>IF(ISBLANK(INDEX('Policy Characteristics'!G:G,MATCH($C1134,'Policy Characteristics'!$C:$C,0))),"",INDEX('Policy Characteristics'!G:G,MATCH($C1134,'Policy Characteristics'!$C:$C,0)))</f>
        <v>1</v>
      </c>
      <c r="N1134" s="261">
        <f>IF(ISBLANK(INDEX('Policy Characteristics'!H:H,MATCH($C1134,'Policy Characteristics'!$C:$C,0))),"",INDEX('Policy Characteristics'!H:H,MATCH($C1134,'Policy Characteristics'!$C:$C,0)))</f>
        <v>0.01</v>
      </c>
      <c r="O1134" s="254" t="str">
        <f>IF(ISBLANK(INDEX('Policy Characteristics'!I:I,MATCH($C1134,'Policy Characteristics'!$C:$C,0))),"",INDEX('Policy Characteristics'!I:I,MATCH($C1134,'Policy Characteristics'!$C:$C,0)))</f>
        <v>% of fuel shifted</v>
      </c>
      <c r="P1134" s="254"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4" t="str">
        <f>IF(ISBLANK(INDEX('Policy Characteristics'!K:K,MATCH($C1134,'Policy Characteristics'!$C:$C,0))),"",INDEX('Policy Characteristics'!K:K,MATCH($C1134,'Policy Characteristics'!$C:$C,0)))</f>
        <v>industry-ag-main.html#fuel-switching</v>
      </c>
      <c r="R1134" s="254" t="str">
        <f>IF(ISBLANK(INDEX('Policy Characteristics'!L:L,MATCH($C1134,'Policy Characteristics'!$C:$C,0))),"",INDEX('Policy Characteristics'!L:L,MATCH($C1134,'Policy Characteristics'!$C:$C,0)))</f>
        <v>industry-elec-and-hydrogen.html</v>
      </c>
    </row>
    <row r="1135" spans="1:18" s="2" customFormat="1" x14ac:dyDescent="0.3">
      <c r="A1135" s="254" t="str">
        <f>IF(ISBLANK(INDEX('Policy Characteristics'!A:A,MATCH($C1135,'Policy Characteristics'!$C:$C,0))),"",INDEX('Policy Characteristics'!A:A,MATCH($C1135,'Policy Characteristics'!$C:$C,0)))</f>
        <v>Industry</v>
      </c>
      <c r="B1135" s="262" t="str">
        <f>IF(ISBLANK(INDEX('Policy Characteristics'!B:B,MATCH($C1135,'Policy Characteristics'!$C:$C,0))),"",INDEX('Policy Characteristics'!B:B,MATCH($C1135,'Policy Characteristics'!$C:$C,0)))</f>
        <v>Hydrogen Combustion</v>
      </c>
      <c r="C1135" s="254" t="str">
        <f t="shared" si="44"/>
        <v>Fraction of Eligible Industrial Energy Use Shifted to Hydrogen</v>
      </c>
      <c r="D1135" s="6" t="s">
        <v>3067</v>
      </c>
      <c r="E1135" s="1" t="s">
        <v>3517</v>
      </c>
      <c r="F1135" t="s">
        <v>3031</v>
      </c>
      <c r="G1135" s="45" t="s">
        <v>3524</v>
      </c>
      <c r="H1135" s="43">
        <v>2084</v>
      </c>
      <c r="I1135" s="324" t="s">
        <v>43</v>
      </c>
      <c r="J1135" s="255" t="str">
        <f>IF(ISBLANK(INDEX('Policy Characteristics'!D:D,MATCH($C1135,'Policy Characteristics'!$C:$C,0))),"",INDEX('Policy Characteristics'!D:D,MATCH($C1135,'Policy Characteristics'!$C:$C,0)))</f>
        <v>Hydrogen Combustion</v>
      </c>
      <c r="K1135" s="254" t="str">
        <f>IF(ISBLANK(INDEX('Policy Characteristics'!E:E,MATCH($C1135,'Policy Characteristics'!$C:$C,0))),"",INDEX('Policy Characteristics'!E:E,MATCH($C1135,'Policy Characteristics'!$C:$C,0)))</f>
        <v>indst shift to hydrogen</v>
      </c>
      <c r="L1135" s="261">
        <f>IF(ISBLANK(INDEX('Policy Characteristics'!F:F,MATCH($C1135,'Policy Characteristics'!$C:$C,0))),"",INDEX('Policy Characteristics'!F:F,MATCH($C1135,'Policy Characteristics'!$C:$C,0)))</f>
        <v>0</v>
      </c>
      <c r="M1135" s="261">
        <f>IF(ISBLANK(INDEX('Policy Characteristics'!G:G,MATCH($C1135,'Policy Characteristics'!$C:$C,0))),"",INDEX('Policy Characteristics'!G:G,MATCH($C1135,'Policy Characteristics'!$C:$C,0)))</f>
        <v>1</v>
      </c>
      <c r="N1135" s="261">
        <f>IF(ISBLANK(INDEX('Policy Characteristics'!H:H,MATCH($C1135,'Policy Characteristics'!$C:$C,0))),"",INDEX('Policy Characteristics'!H:H,MATCH($C1135,'Policy Characteristics'!$C:$C,0)))</f>
        <v>0.01</v>
      </c>
      <c r="O1135" s="254" t="str">
        <f>IF(ISBLANK(INDEX('Policy Characteristics'!I:I,MATCH($C1135,'Policy Characteristics'!$C:$C,0))),"",INDEX('Policy Characteristics'!I:I,MATCH($C1135,'Policy Characteristics'!$C:$C,0)))</f>
        <v>% of fuel shifted</v>
      </c>
      <c r="P1135" s="254"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4" t="str">
        <f>IF(ISBLANK(INDEX('Policy Characteristics'!K:K,MATCH($C1135,'Policy Characteristics'!$C:$C,0))),"",INDEX('Policy Characteristics'!K:K,MATCH($C1135,'Policy Characteristics'!$C:$C,0)))</f>
        <v>industry-ag-main.html#fuel-switching</v>
      </c>
      <c r="R1135" s="254" t="str">
        <f>IF(ISBLANK(INDEX('Policy Characteristics'!L:L,MATCH($C1135,'Policy Characteristics'!$C:$C,0))),"",INDEX('Policy Characteristics'!L:L,MATCH($C1135,'Policy Characteristics'!$C:$C,0)))</f>
        <v>industry-elec-and-hydrogen.html</v>
      </c>
    </row>
    <row r="1136" spans="1:18" s="2" customFormat="1" x14ac:dyDescent="0.3">
      <c r="A1136" s="254" t="str">
        <f>IF(ISBLANK(INDEX('Policy Characteristics'!A:A,MATCH($C1136,'Policy Characteristics'!$C:$C,0))),"",INDEX('Policy Characteristics'!A:A,MATCH($C1136,'Policy Characteristics'!$C:$C,0)))</f>
        <v>Industry</v>
      </c>
      <c r="B1136" s="262" t="str">
        <f>IF(ISBLANK(INDEX('Policy Characteristics'!B:B,MATCH($C1136,'Policy Characteristics'!$C:$C,0))),"",INDEX('Policy Characteristics'!B:B,MATCH($C1136,'Policy Characteristics'!$C:$C,0)))</f>
        <v>Hydrogen Combustion</v>
      </c>
      <c r="C1136" s="254" t="str">
        <f t="shared" si="44"/>
        <v>Fraction of Eligible Industrial Energy Use Shifted to Hydrogen</v>
      </c>
      <c r="D1136" s="6" t="s">
        <v>3067</v>
      </c>
      <c r="E1136" s="1" t="s">
        <v>3518</v>
      </c>
      <c r="F1136" t="s">
        <v>3031</v>
      </c>
      <c r="G1136" s="45" t="s">
        <v>3525</v>
      </c>
      <c r="H1136" s="43">
        <v>2085</v>
      </c>
      <c r="I1136" s="324" t="s">
        <v>44</v>
      </c>
      <c r="J1136" s="255" t="str">
        <f>IF(ISBLANK(INDEX('Policy Characteristics'!D:D,MATCH($C1136,'Policy Characteristics'!$C:$C,0))),"",INDEX('Policy Characteristics'!D:D,MATCH($C1136,'Policy Characteristics'!$C:$C,0)))</f>
        <v>Hydrogen Combustion</v>
      </c>
      <c r="K1136" s="254" t="str">
        <f>IF(ISBLANK(INDEX('Policy Characteristics'!E:E,MATCH($C1136,'Policy Characteristics'!$C:$C,0))),"",INDEX('Policy Characteristics'!E:E,MATCH($C1136,'Policy Characteristics'!$C:$C,0)))</f>
        <v>indst shift to hydrogen</v>
      </c>
      <c r="L1136" s="261">
        <f>IF(ISBLANK(INDEX('Policy Characteristics'!F:F,MATCH($C1136,'Policy Characteristics'!$C:$C,0))),"",INDEX('Policy Characteristics'!F:F,MATCH($C1136,'Policy Characteristics'!$C:$C,0)))</f>
        <v>0</v>
      </c>
      <c r="M1136" s="261">
        <f>IF(ISBLANK(INDEX('Policy Characteristics'!G:G,MATCH($C1136,'Policy Characteristics'!$C:$C,0))),"",INDEX('Policy Characteristics'!G:G,MATCH($C1136,'Policy Characteristics'!$C:$C,0)))</f>
        <v>1</v>
      </c>
      <c r="N1136" s="261">
        <f>IF(ISBLANK(INDEX('Policy Characteristics'!H:H,MATCH($C1136,'Policy Characteristics'!$C:$C,0))),"",INDEX('Policy Characteristics'!H:H,MATCH($C1136,'Policy Characteristics'!$C:$C,0)))</f>
        <v>0.01</v>
      </c>
      <c r="O1136" s="254" t="str">
        <f>IF(ISBLANK(INDEX('Policy Characteristics'!I:I,MATCH($C1136,'Policy Characteristics'!$C:$C,0))),"",INDEX('Policy Characteristics'!I:I,MATCH($C1136,'Policy Characteristics'!$C:$C,0)))</f>
        <v>% of fuel shifted</v>
      </c>
      <c r="P1136" s="254"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4" t="str">
        <f>IF(ISBLANK(INDEX('Policy Characteristics'!K:K,MATCH($C1136,'Policy Characteristics'!$C:$C,0))),"",INDEX('Policy Characteristics'!K:K,MATCH($C1136,'Policy Characteristics'!$C:$C,0)))</f>
        <v>industry-ag-main.html#fuel-switching</v>
      </c>
      <c r="R1136" s="254" t="str">
        <f>IF(ISBLANK(INDEX('Policy Characteristics'!L:L,MATCH($C1136,'Policy Characteristics'!$C:$C,0))),"",INDEX('Policy Characteristics'!L:L,MATCH($C1136,'Policy Characteristics'!$C:$C,0)))</f>
        <v>industry-elec-and-hydrogen.html</v>
      </c>
    </row>
    <row r="1137" spans="1:18" s="2" customFormat="1" x14ac:dyDescent="0.3">
      <c r="A1137" s="254" t="str">
        <f>IF(ISBLANK(INDEX('Policy Characteristics'!A:A,MATCH($C1137,'Policy Characteristics'!$C:$C,0))),"",INDEX('Policy Characteristics'!A:A,MATCH($C1137,'Policy Characteristics'!$C:$C,0)))</f>
        <v>Industry</v>
      </c>
      <c r="B1137" s="262" t="str">
        <f>IF(ISBLANK(INDEX('Policy Characteristics'!B:B,MATCH($C1137,'Policy Characteristics'!$C:$C,0))),"",INDEX('Policy Characteristics'!B:B,MATCH($C1137,'Policy Characteristics'!$C:$C,0)))</f>
        <v>Hydrogen Combustion</v>
      </c>
      <c r="C1137" s="254" t="str">
        <f t="shared" si="44"/>
        <v>Fraction of Eligible Industrial Energy Use Shifted to Hydrogen</v>
      </c>
      <c r="D1137" s="6" t="s">
        <v>3067</v>
      </c>
      <c r="E1137" s="1" t="s">
        <v>3519</v>
      </c>
      <c r="F1137" t="s">
        <v>3031</v>
      </c>
      <c r="G1137" s="45" t="s">
        <v>3526</v>
      </c>
      <c r="H1137" s="43">
        <v>2086</v>
      </c>
      <c r="I1137" s="324" t="s">
        <v>44</v>
      </c>
      <c r="J1137" s="255" t="str">
        <f>IF(ISBLANK(INDEX('Policy Characteristics'!D:D,MATCH($C1137,'Policy Characteristics'!$C:$C,0))),"",INDEX('Policy Characteristics'!D:D,MATCH($C1137,'Policy Characteristics'!$C:$C,0)))</f>
        <v>Hydrogen Combustion</v>
      </c>
      <c r="K1137" s="254" t="str">
        <f>IF(ISBLANK(INDEX('Policy Characteristics'!E:E,MATCH($C1137,'Policy Characteristics'!$C:$C,0))),"",INDEX('Policy Characteristics'!E:E,MATCH($C1137,'Policy Characteristics'!$C:$C,0)))</f>
        <v>indst shift to hydrogen</v>
      </c>
      <c r="L1137" s="261">
        <f>IF(ISBLANK(INDEX('Policy Characteristics'!F:F,MATCH($C1137,'Policy Characteristics'!$C:$C,0))),"",INDEX('Policy Characteristics'!F:F,MATCH($C1137,'Policy Characteristics'!$C:$C,0)))</f>
        <v>0</v>
      </c>
      <c r="M1137" s="261">
        <f>IF(ISBLANK(INDEX('Policy Characteristics'!G:G,MATCH($C1137,'Policy Characteristics'!$C:$C,0))),"",INDEX('Policy Characteristics'!G:G,MATCH($C1137,'Policy Characteristics'!$C:$C,0)))</f>
        <v>1</v>
      </c>
      <c r="N1137" s="261">
        <f>IF(ISBLANK(INDEX('Policy Characteristics'!H:H,MATCH($C1137,'Policy Characteristics'!$C:$C,0))),"",INDEX('Policy Characteristics'!H:H,MATCH($C1137,'Policy Characteristics'!$C:$C,0)))</f>
        <v>0.01</v>
      </c>
      <c r="O1137" s="254" t="str">
        <f>IF(ISBLANK(INDEX('Policy Characteristics'!I:I,MATCH($C1137,'Policy Characteristics'!$C:$C,0))),"",INDEX('Policy Characteristics'!I:I,MATCH($C1137,'Policy Characteristics'!$C:$C,0)))</f>
        <v>% of fuel shifted</v>
      </c>
      <c r="P1137" s="254"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4" t="str">
        <f>IF(ISBLANK(INDEX('Policy Characteristics'!K:K,MATCH($C1137,'Policy Characteristics'!$C:$C,0))),"",INDEX('Policy Characteristics'!K:K,MATCH($C1137,'Policy Characteristics'!$C:$C,0)))</f>
        <v>industry-ag-main.html#fuel-switching</v>
      </c>
      <c r="R1137" s="254" t="str">
        <f>IF(ISBLANK(INDEX('Policy Characteristics'!L:L,MATCH($C1137,'Policy Characteristics'!$C:$C,0))),"",INDEX('Policy Characteristics'!L:L,MATCH($C1137,'Policy Characteristics'!$C:$C,0)))</f>
        <v>industry-elec-and-hydrogen.html</v>
      </c>
    </row>
    <row r="1138" spans="1:18" s="2" customFormat="1" x14ac:dyDescent="0.3">
      <c r="A1138" s="254" t="str">
        <f>IF(ISBLANK(INDEX('Policy Characteristics'!A:A,MATCH($C1138,'Policy Characteristics'!$C:$C,0))),"",INDEX('Policy Characteristics'!A:A,MATCH($C1138,'Policy Characteristics'!$C:$C,0)))</f>
        <v>Industry</v>
      </c>
      <c r="B1138" s="262" t="str">
        <f>IF(ISBLANK(INDEX('Policy Characteristics'!B:B,MATCH($C1138,'Policy Characteristics'!$C:$C,0))),"",INDEX('Policy Characteristics'!B:B,MATCH($C1138,'Policy Characteristics'!$C:$C,0)))</f>
        <v>Hydrogen Combustion</v>
      </c>
      <c r="C1138" s="254" t="str">
        <f t="shared" si="44"/>
        <v>Fraction of Eligible Industrial Energy Use Shifted to Hydrogen</v>
      </c>
      <c r="D1138" s="6" t="s">
        <v>3067</v>
      </c>
      <c r="E1138" s="1" t="s">
        <v>3520</v>
      </c>
      <c r="F1138" t="s">
        <v>3031</v>
      </c>
      <c r="G1138" s="45" t="s">
        <v>3527</v>
      </c>
      <c r="H1138" s="43">
        <v>2087</v>
      </c>
      <c r="I1138" s="324" t="s">
        <v>43</v>
      </c>
      <c r="J1138" s="255" t="str">
        <f>IF(ISBLANK(INDEX('Policy Characteristics'!D:D,MATCH($C1138,'Policy Characteristics'!$C:$C,0))),"",INDEX('Policy Characteristics'!D:D,MATCH($C1138,'Policy Characteristics'!$C:$C,0)))</f>
        <v>Hydrogen Combustion</v>
      </c>
      <c r="K1138" s="254" t="str">
        <f>IF(ISBLANK(INDEX('Policy Characteristics'!E:E,MATCH($C1138,'Policy Characteristics'!$C:$C,0))),"",INDEX('Policy Characteristics'!E:E,MATCH($C1138,'Policy Characteristics'!$C:$C,0)))</f>
        <v>indst shift to hydrogen</v>
      </c>
      <c r="L1138" s="261">
        <f>IF(ISBLANK(INDEX('Policy Characteristics'!F:F,MATCH($C1138,'Policy Characteristics'!$C:$C,0))),"",INDEX('Policy Characteristics'!F:F,MATCH($C1138,'Policy Characteristics'!$C:$C,0)))</f>
        <v>0</v>
      </c>
      <c r="M1138" s="261">
        <f>IF(ISBLANK(INDEX('Policy Characteristics'!G:G,MATCH($C1138,'Policy Characteristics'!$C:$C,0))),"",INDEX('Policy Characteristics'!G:G,MATCH($C1138,'Policy Characteristics'!$C:$C,0)))</f>
        <v>1</v>
      </c>
      <c r="N1138" s="261">
        <f>IF(ISBLANK(INDEX('Policy Characteristics'!H:H,MATCH($C1138,'Policy Characteristics'!$C:$C,0))),"",INDEX('Policy Characteristics'!H:H,MATCH($C1138,'Policy Characteristics'!$C:$C,0)))</f>
        <v>0.01</v>
      </c>
      <c r="O1138" s="254" t="str">
        <f>IF(ISBLANK(INDEX('Policy Characteristics'!I:I,MATCH($C1138,'Policy Characteristics'!$C:$C,0))),"",INDEX('Policy Characteristics'!I:I,MATCH($C1138,'Policy Characteristics'!$C:$C,0)))</f>
        <v>% of fuel shifted</v>
      </c>
      <c r="P1138" s="254"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4" t="str">
        <f>IF(ISBLANK(INDEX('Policy Characteristics'!K:K,MATCH($C1138,'Policy Characteristics'!$C:$C,0))),"",INDEX('Policy Characteristics'!K:K,MATCH($C1138,'Policy Characteristics'!$C:$C,0)))</f>
        <v>industry-ag-main.html#fuel-switching</v>
      </c>
      <c r="R1138" s="254" t="str">
        <f>IF(ISBLANK(INDEX('Policy Characteristics'!L:L,MATCH($C1138,'Policy Characteristics'!$C:$C,0))),"",INDEX('Policy Characteristics'!L:L,MATCH($C1138,'Policy Characteristics'!$C:$C,0)))</f>
        <v>industry-elec-and-hydrogen.html</v>
      </c>
    </row>
    <row r="1139" spans="1:18" s="2" customFormat="1" x14ac:dyDescent="0.3">
      <c r="A1139" s="254" t="str">
        <f>IF(ISBLANK(INDEX('Policy Characteristics'!A:A,MATCH($C1139,'Policy Characteristics'!$C:$C,0))),"",INDEX('Policy Characteristics'!A:A,MATCH($C1139,'Policy Characteristics'!$C:$C,0)))</f>
        <v>Industry</v>
      </c>
      <c r="B1139" s="262" t="str">
        <f>IF(ISBLANK(INDEX('Policy Characteristics'!B:B,MATCH($C1139,'Policy Characteristics'!$C:$C,0))),"",INDEX('Policy Characteristics'!B:B,MATCH($C1139,'Policy Characteristics'!$C:$C,0)))</f>
        <v>Hydrogen Combustion</v>
      </c>
      <c r="C1139" s="254" t="str">
        <f t="shared" si="44"/>
        <v>Fraction of Eligible Industrial Energy Use Shifted to Hydrogen</v>
      </c>
      <c r="D1139" s="6" t="s">
        <v>3067</v>
      </c>
      <c r="E1139" s="1" t="s">
        <v>3521</v>
      </c>
      <c r="F1139" t="s">
        <v>3031</v>
      </c>
      <c r="G1139" s="45" t="s">
        <v>3528</v>
      </c>
      <c r="H1139" s="43">
        <v>2088</v>
      </c>
      <c r="I1139" s="324" t="s">
        <v>44</v>
      </c>
      <c r="J1139" s="255" t="str">
        <f>IF(ISBLANK(INDEX('Policy Characteristics'!D:D,MATCH($C1139,'Policy Characteristics'!$C:$C,0))),"",INDEX('Policy Characteristics'!D:D,MATCH($C1139,'Policy Characteristics'!$C:$C,0)))</f>
        <v>Hydrogen Combustion</v>
      </c>
      <c r="K1139" s="254" t="str">
        <f>IF(ISBLANK(INDEX('Policy Characteristics'!E:E,MATCH($C1139,'Policy Characteristics'!$C:$C,0))),"",INDEX('Policy Characteristics'!E:E,MATCH($C1139,'Policy Characteristics'!$C:$C,0)))</f>
        <v>indst shift to hydrogen</v>
      </c>
      <c r="L1139" s="261">
        <f>IF(ISBLANK(INDEX('Policy Characteristics'!F:F,MATCH($C1139,'Policy Characteristics'!$C:$C,0))),"",INDEX('Policy Characteristics'!F:F,MATCH($C1139,'Policy Characteristics'!$C:$C,0)))</f>
        <v>0</v>
      </c>
      <c r="M1139" s="261">
        <f>IF(ISBLANK(INDEX('Policy Characteristics'!G:G,MATCH($C1139,'Policy Characteristics'!$C:$C,0))),"",INDEX('Policy Characteristics'!G:G,MATCH($C1139,'Policy Characteristics'!$C:$C,0)))</f>
        <v>1</v>
      </c>
      <c r="N1139" s="261">
        <f>IF(ISBLANK(INDEX('Policy Characteristics'!H:H,MATCH($C1139,'Policy Characteristics'!$C:$C,0))),"",INDEX('Policy Characteristics'!H:H,MATCH($C1139,'Policy Characteristics'!$C:$C,0)))</f>
        <v>0.01</v>
      </c>
      <c r="O1139" s="254" t="str">
        <f>IF(ISBLANK(INDEX('Policy Characteristics'!I:I,MATCH($C1139,'Policy Characteristics'!$C:$C,0))),"",INDEX('Policy Characteristics'!I:I,MATCH($C1139,'Policy Characteristics'!$C:$C,0)))</f>
        <v>% of fuel shifted</v>
      </c>
      <c r="P1139" s="254"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4" t="str">
        <f>IF(ISBLANK(INDEX('Policy Characteristics'!K:K,MATCH($C1139,'Policy Characteristics'!$C:$C,0))),"",INDEX('Policy Characteristics'!K:K,MATCH($C1139,'Policy Characteristics'!$C:$C,0)))</f>
        <v>industry-ag-main.html#fuel-switching</v>
      </c>
      <c r="R1139" s="254" t="str">
        <f>IF(ISBLANK(INDEX('Policy Characteristics'!L:L,MATCH($C1139,'Policy Characteristics'!$C:$C,0))),"",INDEX('Policy Characteristics'!L:L,MATCH($C1139,'Policy Characteristics'!$C:$C,0)))</f>
        <v>industry-elec-and-hydrogen.html</v>
      </c>
    </row>
    <row r="1140" spans="1:18" s="2" customFormat="1" x14ac:dyDescent="0.3">
      <c r="A1140" s="254" t="str">
        <f>IF(ISBLANK(INDEX('Policy Characteristics'!A:A,MATCH($C1140,'Policy Characteristics'!$C:$C,0))),"",INDEX('Policy Characteristics'!A:A,MATCH($C1140,'Policy Characteristics'!$C:$C,0)))</f>
        <v>Industry</v>
      </c>
      <c r="B1140" s="262" t="str">
        <f>IF(ISBLANK(INDEX('Policy Characteristics'!B:B,MATCH($C1140,'Policy Characteristics'!$C:$C,0))),"",INDEX('Policy Characteristics'!B:B,MATCH($C1140,'Policy Characteristics'!$C:$C,0)))</f>
        <v>Hydrogen Combustion</v>
      </c>
      <c r="C1140" s="254" t="str">
        <f t="shared" si="44"/>
        <v>Fraction of Eligible Industrial Energy Use Shifted to Hydrogen</v>
      </c>
      <c r="D1140" s="6" t="s">
        <v>3067</v>
      </c>
      <c r="E1140" s="1" t="s">
        <v>3671</v>
      </c>
      <c r="F1140" t="s">
        <v>3031</v>
      </c>
      <c r="G1140" s="45" t="s">
        <v>3671</v>
      </c>
      <c r="H1140" s="43">
        <v>2089</v>
      </c>
      <c r="I1140" s="324" t="s">
        <v>43</v>
      </c>
      <c r="J1140" s="255" t="str">
        <f>IF(ISBLANK(INDEX('Policy Characteristics'!D:D,MATCH($C1140,'Policy Characteristics'!$C:$C,0))),"",INDEX('Policy Characteristics'!D:D,MATCH($C1140,'Policy Characteristics'!$C:$C,0)))</f>
        <v>Hydrogen Combustion</v>
      </c>
      <c r="K1140" s="254" t="str">
        <f>IF(ISBLANK(INDEX('Policy Characteristics'!E:E,MATCH($C1140,'Policy Characteristics'!$C:$C,0))),"",INDEX('Policy Characteristics'!E:E,MATCH($C1140,'Policy Characteristics'!$C:$C,0)))</f>
        <v>indst shift to hydrogen</v>
      </c>
      <c r="L1140" s="261">
        <f>IF(ISBLANK(INDEX('Policy Characteristics'!F:F,MATCH($C1140,'Policy Characteristics'!$C:$C,0))),"",INDEX('Policy Characteristics'!F:F,MATCH($C1140,'Policy Characteristics'!$C:$C,0)))</f>
        <v>0</v>
      </c>
      <c r="M1140" s="261">
        <f>IF(ISBLANK(INDEX('Policy Characteristics'!G:G,MATCH($C1140,'Policy Characteristics'!$C:$C,0))),"",INDEX('Policy Characteristics'!G:G,MATCH($C1140,'Policy Characteristics'!$C:$C,0)))</f>
        <v>1</v>
      </c>
      <c r="N1140" s="261">
        <f>IF(ISBLANK(INDEX('Policy Characteristics'!H:H,MATCH($C1140,'Policy Characteristics'!$C:$C,0))),"",INDEX('Policy Characteristics'!H:H,MATCH($C1140,'Policy Characteristics'!$C:$C,0)))</f>
        <v>0.01</v>
      </c>
      <c r="O1140" s="254" t="str">
        <f>IF(ISBLANK(INDEX('Policy Characteristics'!I:I,MATCH($C1140,'Policy Characteristics'!$C:$C,0))),"",INDEX('Policy Characteristics'!I:I,MATCH($C1140,'Policy Characteristics'!$C:$C,0)))</f>
        <v>% of fuel shifted</v>
      </c>
      <c r="P1140" s="254"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4" t="str">
        <f>IF(ISBLANK(INDEX('Policy Characteristics'!K:K,MATCH($C1140,'Policy Characteristics'!$C:$C,0))),"",INDEX('Policy Characteristics'!K:K,MATCH($C1140,'Policy Characteristics'!$C:$C,0)))</f>
        <v>industry-ag-main.html#fuel-switching</v>
      </c>
      <c r="R1140" s="254" t="str">
        <f>IF(ISBLANK(INDEX('Policy Characteristics'!L:L,MATCH($C1140,'Policy Characteristics'!$C:$C,0))),"",INDEX('Policy Characteristics'!L:L,MATCH($C1140,'Policy Characteristics'!$C:$C,0)))</f>
        <v>industry-elec-and-hydrogen.html</v>
      </c>
    </row>
    <row r="1141" spans="1:18" s="2" customFormat="1" x14ac:dyDescent="0.3">
      <c r="A1141" s="254" t="str">
        <f>IF(ISBLANK(INDEX('Policy Characteristics'!A:A,MATCH($C1141,'Policy Characteristics'!$C:$C,0))),"",INDEX('Policy Characteristics'!A:A,MATCH($C1141,'Policy Characteristics'!$C:$C,0)))</f>
        <v>Industry</v>
      </c>
      <c r="B1141" s="262" t="str">
        <f>IF(ISBLANK(INDEX('Policy Characteristics'!B:B,MATCH($C1141,'Policy Characteristics'!$C:$C,0))),"",INDEX('Policy Characteristics'!B:B,MATCH($C1141,'Policy Characteristics'!$C:$C,0)))</f>
        <v>Hydrogen Combustion</v>
      </c>
      <c r="C1141" s="254" t="str">
        <f t="shared" si="44"/>
        <v>Fraction of Eligible Industrial Energy Use Shifted to Hydrogen</v>
      </c>
      <c r="D1141" s="6" t="s">
        <v>3068</v>
      </c>
      <c r="E1141" s="1" t="s">
        <v>3515</v>
      </c>
      <c r="F1141" t="s">
        <v>3032</v>
      </c>
      <c r="G1141" s="45" t="s">
        <v>3522</v>
      </c>
      <c r="H1141" s="43">
        <v>2090</v>
      </c>
      <c r="I1141" s="324" t="s">
        <v>43</v>
      </c>
      <c r="J1141" s="255" t="str">
        <f>IF(ISBLANK(INDEX('Policy Characteristics'!D:D,MATCH($C1141,'Policy Characteristics'!$C:$C,0))),"",INDEX('Policy Characteristics'!D:D,MATCH($C1141,'Policy Characteristics'!$C:$C,0)))</f>
        <v>Hydrogen Combustion</v>
      </c>
      <c r="K1141" s="254" t="str">
        <f>IF(ISBLANK(INDEX('Policy Characteristics'!E:E,MATCH($C1141,'Policy Characteristics'!$C:$C,0))),"",INDEX('Policy Characteristics'!E:E,MATCH($C1141,'Policy Characteristics'!$C:$C,0)))</f>
        <v>indst shift to hydrogen</v>
      </c>
      <c r="L1141" s="261">
        <f>IF(ISBLANK(INDEX('Policy Characteristics'!F:F,MATCH($C1141,'Policy Characteristics'!$C:$C,0))),"",INDEX('Policy Characteristics'!F:F,MATCH($C1141,'Policy Characteristics'!$C:$C,0)))</f>
        <v>0</v>
      </c>
      <c r="M1141" s="261">
        <f>IF(ISBLANK(INDEX('Policy Characteristics'!G:G,MATCH($C1141,'Policy Characteristics'!$C:$C,0))),"",INDEX('Policy Characteristics'!G:G,MATCH($C1141,'Policy Characteristics'!$C:$C,0)))</f>
        <v>1</v>
      </c>
      <c r="N1141" s="261">
        <f>IF(ISBLANK(INDEX('Policy Characteristics'!H:H,MATCH($C1141,'Policy Characteristics'!$C:$C,0))),"",INDEX('Policy Characteristics'!H:H,MATCH($C1141,'Policy Characteristics'!$C:$C,0)))</f>
        <v>0.01</v>
      </c>
      <c r="O1141" s="254" t="str">
        <f>IF(ISBLANK(INDEX('Policy Characteristics'!I:I,MATCH($C1141,'Policy Characteristics'!$C:$C,0))),"",INDEX('Policy Characteristics'!I:I,MATCH($C1141,'Policy Characteristics'!$C:$C,0)))</f>
        <v>% of fuel shifted</v>
      </c>
      <c r="P1141" s="254"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4" t="str">
        <f>IF(ISBLANK(INDEX('Policy Characteristics'!K:K,MATCH($C1141,'Policy Characteristics'!$C:$C,0))),"",INDEX('Policy Characteristics'!K:K,MATCH($C1141,'Policy Characteristics'!$C:$C,0)))</f>
        <v>industry-ag-main.html#fuel-switching</v>
      </c>
      <c r="R1141" s="254" t="str">
        <f>IF(ISBLANK(INDEX('Policy Characteristics'!L:L,MATCH($C1141,'Policy Characteristics'!$C:$C,0))),"",INDEX('Policy Characteristics'!L:L,MATCH($C1141,'Policy Characteristics'!$C:$C,0)))</f>
        <v>industry-elec-and-hydrogen.html</v>
      </c>
    </row>
    <row r="1142" spans="1:18" s="2" customFormat="1" x14ac:dyDescent="0.3">
      <c r="A1142" s="254" t="str">
        <f>IF(ISBLANK(INDEX('Policy Characteristics'!A:A,MATCH($C1142,'Policy Characteristics'!$C:$C,0))),"",INDEX('Policy Characteristics'!A:A,MATCH($C1142,'Policy Characteristics'!$C:$C,0)))</f>
        <v>Industry</v>
      </c>
      <c r="B1142" s="262" t="str">
        <f>IF(ISBLANK(INDEX('Policy Characteristics'!B:B,MATCH($C1142,'Policy Characteristics'!$C:$C,0))),"",INDEX('Policy Characteristics'!B:B,MATCH($C1142,'Policy Characteristics'!$C:$C,0)))</f>
        <v>Hydrogen Combustion</v>
      </c>
      <c r="C1142" s="254" t="str">
        <f t="shared" si="44"/>
        <v>Fraction of Eligible Industrial Energy Use Shifted to Hydrogen</v>
      </c>
      <c r="D1142" s="6" t="s">
        <v>3068</v>
      </c>
      <c r="E1142" s="1" t="s">
        <v>3516</v>
      </c>
      <c r="F1142" t="s">
        <v>3032</v>
      </c>
      <c r="G1142" s="45" t="s">
        <v>3523</v>
      </c>
      <c r="H1142" s="43">
        <v>2091</v>
      </c>
      <c r="I1142" s="324" t="s">
        <v>43</v>
      </c>
      <c r="J1142" s="255" t="str">
        <f>IF(ISBLANK(INDEX('Policy Characteristics'!D:D,MATCH($C1142,'Policy Characteristics'!$C:$C,0))),"",INDEX('Policy Characteristics'!D:D,MATCH($C1142,'Policy Characteristics'!$C:$C,0)))</f>
        <v>Hydrogen Combustion</v>
      </c>
      <c r="K1142" s="254" t="str">
        <f>IF(ISBLANK(INDEX('Policy Characteristics'!E:E,MATCH($C1142,'Policy Characteristics'!$C:$C,0))),"",INDEX('Policy Characteristics'!E:E,MATCH($C1142,'Policy Characteristics'!$C:$C,0)))</f>
        <v>indst shift to hydrogen</v>
      </c>
      <c r="L1142" s="261">
        <f>IF(ISBLANK(INDEX('Policy Characteristics'!F:F,MATCH($C1142,'Policy Characteristics'!$C:$C,0))),"",INDEX('Policy Characteristics'!F:F,MATCH($C1142,'Policy Characteristics'!$C:$C,0)))</f>
        <v>0</v>
      </c>
      <c r="M1142" s="261">
        <f>IF(ISBLANK(INDEX('Policy Characteristics'!G:G,MATCH($C1142,'Policy Characteristics'!$C:$C,0))),"",INDEX('Policy Characteristics'!G:G,MATCH($C1142,'Policy Characteristics'!$C:$C,0)))</f>
        <v>1</v>
      </c>
      <c r="N1142" s="261">
        <f>IF(ISBLANK(INDEX('Policy Characteristics'!H:H,MATCH($C1142,'Policy Characteristics'!$C:$C,0))),"",INDEX('Policy Characteristics'!H:H,MATCH($C1142,'Policy Characteristics'!$C:$C,0)))</f>
        <v>0.01</v>
      </c>
      <c r="O1142" s="254" t="str">
        <f>IF(ISBLANK(INDEX('Policy Characteristics'!I:I,MATCH($C1142,'Policy Characteristics'!$C:$C,0))),"",INDEX('Policy Characteristics'!I:I,MATCH($C1142,'Policy Characteristics'!$C:$C,0)))</f>
        <v>% of fuel shifted</v>
      </c>
      <c r="P1142" s="254"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4" t="str">
        <f>IF(ISBLANK(INDEX('Policy Characteristics'!K:K,MATCH($C1142,'Policy Characteristics'!$C:$C,0))),"",INDEX('Policy Characteristics'!K:K,MATCH($C1142,'Policy Characteristics'!$C:$C,0)))</f>
        <v>industry-ag-main.html#fuel-switching</v>
      </c>
      <c r="R1142" s="254" t="str">
        <f>IF(ISBLANK(INDEX('Policy Characteristics'!L:L,MATCH($C1142,'Policy Characteristics'!$C:$C,0))),"",INDEX('Policy Characteristics'!L:L,MATCH($C1142,'Policy Characteristics'!$C:$C,0)))</f>
        <v>industry-elec-and-hydrogen.html</v>
      </c>
    </row>
    <row r="1143" spans="1:18" s="2" customFormat="1" x14ac:dyDescent="0.3">
      <c r="A1143" s="254" t="str">
        <f>IF(ISBLANK(INDEX('Policy Characteristics'!A:A,MATCH($C1143,'Policy Characteristics'!$C:$C,0))),"",INDEX('Policy Characteristics'!A:A,MATCH($C1143,'Policy Characteristics'!$C:$C,0)))</f>
        <v>Industry</v>
      </c>
      <c r="B1143" s="262" t="str">
        <f>IF(ISBLANK(INDEX('Policy Characteristics'!B:B,MATCH($C1143,'Policy Characteristics'!$C:$C,0))),"",INDEX('Policy Characteristics'!B:B,MATCH($C1143,'Policy Characteristics'!$C:$C,0)))</f>
        <v>Hydrogen Combustion</v>
      </c>
      <c r="C1143" s="254" t="str">
        <f t="shared" si="44"/>
        <v>Fraction of Eligible Industrial Energy Use Shifted to Hydrogen</v>
      </c>
      <c r="D1143" s="6" t="s">
        <v>3068</v>
      </c>
      <c r="E1143" s="1" t="s">
        <v>3517</v>
      </c>
      <c r="F1143" t="s">
        <v>3032</v>
      </c>
      <c r="G1143" s="45" t="s">
        <v>3524</v>
      </c>
      <c r="H1143" s="43">
        <v>2092</v>
      </c>
      <c r="I1143" s="324" t="s">
        <v>43</v>
      </c>
      <c r="J1143" s="255" t="str">
        <f>IF(ISBLANK(INDEX('Policy Characteristics'!D:D,MATCH($C1143,'Policy Characteristics'!$C:$C,0))),"",INDEX('Policy Characteristics'!D:D,MATCH($C1143,'Policy Characteristics'!$C:$C,0)))</f>
        <v>Hydrogen Combustion</v>
      </c>
      <c r="K1143" s="254" t="str">
        <f>IF(ISBLANK(INDEX('Policy Characteristics'!E:E,MATCH($C1143,'Policy Characteristics'!$C:$C,0))),"",INDEX('Policy Characteristics'!E:E,MATCH($C1143,'Policy Characteristics'!$C:$C,0)))</f>
        <v>indst shift to hydrogen</v>
      </c>
      <c r="L1143" s="261">
        <f>IF(ISBLANK(INDEX('Policy Characteristics'!F:F,MATCH($C1143,'Policy Characteristics'!$C:$C,0))),"",INDEX('Policy Characteristics'!F:F,MATCH($C1143,'Policy Characteristics'!$C:$C,0)))</f>
        <v>0</v>
      </c>
      <c r="M1143" s="261">
        <f>IF(ISBLANK(INDEX('Policy Characteristics'!G:G,MATCH($C1143,'Policy Characteristics'!$C:$C,0))),"",INDEX('Policy Characteristics'!G:G,MATCH($C1143,'Policy Characteristics'!$C:$C,0)))</f>
        <v>1</v>
      </c>
      <c r="N1143" s="261">
        <f>IF(ISBLANK(INDEX('Policy Characteristics'!H:H,MATCH($C1143,'Policy Characteristics'!$C:$C,0))),"",INDEX('Policy Characteristics'!H:H,MATCH($C1143,'Policy Characteristics'!$C:$C,0)))</f>
        <v>0.01</v>
      </c>
      <c r="O1143" s="254" t="str">
        <f>IF(ISBLANK(INDEX('Policy Characteristics'!I:I,MATCH($C1143,'Policy Characteristics'!$C:$C,0))),"",INDEX('Policy Characteristics'!I:I,MATCH($C1143,'Policy Characteristics'!$C:$C,0)))</f>
        <v>% of fuel shifted</v>
      </c>
      <c r="P1143" s="254"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4" t="str">
        <f>IF(ISBLANK(INDEX('Policy Characteristics'!K:K,MATCH($C1143,'Policy Characteristics'!$C:$C,0))),"",INDEX('Policy Characteristics'!K:K,MATCH($C1143,'Policy Characteristics'!$C:$C,0)))</f>
        <v>industry-ag-main.html#fuel-switching</v>
      </c>
      <c r="R1143" s="254" t="str">
        <f>IF(ISBLANK(INDEX('Policy Characteristics'!L:L,MATCH($C1143,'Policy Characteristics'!$C:$C,0))),"",INDEX('Policy Characteristics'!L:L,MATCH($C1143,'Policy Characteristics'!$C:$C,0)))</f>
        <v>industry-elec-and-hydrogen.html</v>
      </c>
    </row>
    <row r="1144" spans="1:18" s="2" customFormat="1" x14ac:dyDescent="0.3">
      <c r="A1144" s="254" t="str">
        <f>IF(ISBLANK(INDEX('Policy Characteristics'!A:A,MATCH($C1144,'Policy Characteristics'!$C:$C,0))),"",INDEX('Policy Characteristics'!A:A,MATCH($C1144,'Policy Characteristics'!$C:$C,0)))</f>
        <v>Industry</v>
      </c>
      <c r="B1144" s="262" t="str">
        <f>IF(ISBLANK(INDEX('Policy Characteristics'!B:B,MATCH($C1144,'Policy Characteristics'!$C:$C,0))),"",INDEX('Policy Characteristics'!B:B,MATCH($C1144,'Policy Characteristics'!$C:$C,0)))</f>
        <v>Hydrogen Combustion</v>
      </c>
      <c r="C1144" s="254" t="str">
        <f t="shared" si="44"/>
        <v>Fraction of Eligible Industrial Energy Use Shifted to Hydrogen</v>
      </c>
      <c r="D1144" s="6" t="s">
        <v>3068</v>
      </c>
      <c r="E1144" s="1" t="s">
        <v>3518</v>
      </c>
      <c r="F1144" t="s">
        <v>3032</v>
      </c>
      <c r="G1144" s="45" t="s">
        <v>3525</v>
      </c>
      <c r="H1144" s="43">
        <v>2093</v>
      </c>
      <c r="I1144" s="324" t="s">
        <v>43</v>
      </c>
      <c r="J1144" s="255" t="str">
        <f>IF(ISBLANK(INDEX('Policy Characteristics'!D:D,MATCH($C1144,'Policy Characteristics'!$C:$C,0))),"",INDEX('Policy Characteristics'!D:D,MATCH($C1144,'Policy Characteristics'!$C:$C,0)))</f>
        <v>Hydrogen Combustion</v>
      </c>
      <c r="K1144" s="254" t="str">
        <f>IF(ISBLANK(INDEX('Policy Characteristics'!E:E,MATCH($C1144,'Policy Characteristics'!$C:$C,0))),"",INDEX('Policy Characteristics'!E:E,MATCH($C1144,'Policy Characteristics'!$C:$C,0)))</f>
        <v>indst shift to hydrogen</v>
      </c>
      <c r="L1144" s="261">
        <f>IF(ISBLANK(INDEX('Policy Characteristics'!F:F,MATCH($C1144,'Policy Characteristics'!$C:$C,0))),"",INDEX('Policy Characteristics'!F:F,MATCH($C1144,'Policy Characteristics'!$C:$C,0)))</f>
        <v>0</v>
      </c>
      <c r="M1144" s="261">
        <f>IF(ISBLANK(INDEX('Policy Characteristics'!G:G,MATCH($C1144,'Policy Characteristics'!$C:$C,0))),"",INDEX('Policy Characteristics'!G:G,MATCH($C1144,'Policy Characteristics'!$C:$C,0)))</f>
        <v>1</v>
      </c>
      <c r="N1144" s="261">
        <f>IF(ISBLANK(INDEX('Policy Characteristics'!H:H,MATCH($C1144,'Policy Characteristics'!$C:$C,0))),"",INDEX('Policy Characteristics'!H:H,MATCH($C1144,'Policy Characteristics'!$C:$C,0)))</f>
        <v>0.01</v>
      </c>
      <c r="O1144" s="254" t="str">
        <f>IF(ISBLANK(INDEX('Policy Characteristics'!I:I,MATCH($C1144,'Policy Characteristics'!$C:$C,0))),"",INDEX('Policy Characteristics'!I:I,MATCH($C1144,'Policy Characteristics'!$C:$C,0)))</f>
        <v>% of fuel shifted</v>
      </c>
      <c r="P1144" s="254"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4" t="str">
        <f>IF(ISBLANK(INDEX('Policy Characteristics'!K:K,MATCH($C1144,'Policy Characteristics'!$C:$C,0))),"",INDEX('Policy Characteristics'!K:K,MATCH($C1144,'Policy Characteristics'!$C:$C,0)))</f>
        <v>industry-ag-main.html#fuel-switching</v>
      </c>
      <c r="R1144" s="254" t="str">
        <f>IF(ISBLANK(INDEX('Policy Characteristics'!L:L,MATCH($C1144,'Policy Characteristics'!$C:$C,0))),"",INDEX('Policy Characteristics'!L:L,MATCH($C1144,'Policy Characteristics'!$C:$C,0)))</f>
        <v>industry-elec-and-hydrogen.html</v>
      </c>
    </row>
    <row r="1145" spans="1:18" s="2" customFormat="1" x14ac:dyDescent="0.3">
      <c r="A1145" s="254" t="str">
        <f>IF(ISBLANK(INDEX('Policy Characteristics'!A:A,MATCH($C1145,'Policy Characteristics'!$C:$C,0))),"",INDEX('Policy Characteristics'!A:A,MATCH($C1145,'Policy Characteristics'!$C:$C,0)))</f>
        <v>Industry</v>
      </c>
      <c r="B1145" s="262" t="str">
        <f>IF(ISBLANK(INDEX('Policy Characteristics'!B:B,MATCH($C1145,'Policy Characteristics'!$C:$C,0))),"",INDEX('Policy Characteristics'!B:B,MATCH($C1145,'Policy Characteristics'!$C:$C,0)))</f>
        <v>Hydrogen Combustion</v>
      </c>
      <c r="C1145" s="254" t="str">
        <f t="shared" si="44"/>
        <v>Fraction of Eligible Industrial Energy Use Shifted to Hydrogen</v>
      </c>
      <c r="D1145" s="6" t="s">
        <v>3068</v>
      </c>
      <c r="E1145" s="1" t="s">
        <v>3519</v>
      </c>
      <c r="F1145" t="s">
        <v>3032</v>
      </c>
      <c r="G1145" s="45" t="s">
        <v>3526</v>
      </c>
      <c r="H1145" s="43">
        <v>2094</v>
      </c>
      <c r="I1145" s="324" t="s">
        <v>44</v>
      </c>
      <c r="J1145" s="255" t="str">
        <f>IF(ISBLANK(INDEX('Policy Characteristics'!D:D,MATCH($C1145,'Policy Characteristics'!$C:$C,0))),"",INDEX('Policy Characteristics'!D:D,MATCH($C1145,'Policy Characteristics'!$C:$C,0)))</f>
        <v>Hydrogen Combustion</v>
      </c>
      <c r="K1145" s="254" t="str">
        <f>IF(ISBLANK(INDEX('Policy Characteristics'!E:E,MATCH($C1145,'Policy Characteristics'!$C:$C,0))),"",INDEX('Policy Characteristics'!E:E,MATCH($C1145,'Policy Characteristics'!$C:$C,0)))</f>
        <v>indst shift to hydrogen</v>
      </c>
      <c r="L1145" s="261">
        <f>IF(ISBLANK(INDEX('Policy Characteristics'!F:F,MATCH($C1145,'Policy Characteristics'!$C:$C,0))),"",INDEX('Policy Characteristics'!F:F,MATCH($C1145,'Policy Characteristics'!$C:$C,0)))</f>
        <v>0</v>
      </c>
      <c r="M1145" s="261">
        <f>IF(ISBLANK(INDEX('Policy Characteristics'!G:G,MATCH($C1145,'Policy Characteristics'!$C:$C,0))),"",INDEX('Policy Characteristics'!G:G,MATCH($C1145,'Policy Characteristics'!$C:$C,0)))</f>
        <v>1</v>
      </c>
      <c r="N1145" s="261">
        <f>IF(ISBLANK(INDEX('Policy Characteristics'!H:H,MATCH($C1145,'Policy Characteristics'!$C:$C,0))),"",INDEX('Policy Characteristics'!H:H,MATCH($C1145,'Policy Characteristics'!$C:$C,0)))</f>
        <v>0.01</v>
      </c>
      <c r="O1145" s="254" t="str">
        <f>IF(ISBLANK(INDEX('Policy Characteristics'!I:I,MATCH($C1145,'Policy Characteristics'!$C:$C,0))),"",INDEX('Policy Characteristics'!I:I,MATCH($C1145,'Policy Characteristics'!$C:$C,0)))</f>
        <v>% of fuel shifted</v>
      </c>
      <c r="P1145" s="254"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4" t="str">
        <f>IF(ISBLANK(INDEX('Policy Characteristics'!K:K,MATCH($C1145,'Policy Characteristics'!$C:$C,0))),"",INDEX('Policy Characteristics'!K:K,MATCH($C1145,'Policy Characteristics'!$C:$C,0)))</f>
        <v>industry-ag-main.html#fuel-switching</v>
      </c>
      <c r="R1145" s="254" t="str">
        <f>IF(ISBLANK(INDEX('Policy Characteristics'!L:L,MATCH($C1145,'Policy Characteristics'!$C:$C,0))),"",INDEX('Policy Characteristics'!L:L,MATCH($C1145,'Policy Characteristics'!$C:$C,0)))</f>
        <v>industry-elec-and-hydrogen.html</v>
      </c>
    </row>
    <row r="1146" spans="1:18" s="2" customFormat="1" x14ac:dyDescent="0.3">
      <c r="A1146" s="254" t="str">
        <f>IF(ISBLANK(INDEX('Policy Characteristics'!A:A,MATCH($C1146,'Policy Characteristics'!$C:$C,0))),"",INDEX('Policy Characteristics'!A:A,MATCH($C1146,'Policy Characteristics'!$C:$C,0)))</f>
        <v>Industry</v>
      </c>
      <c r="B1146" s="262" t="str">
        <f>IF(ISBLANK(INDEX('Policy Characteristics'!B:B,MATCH($C1146,'Policy Characteristics'!$C:$C,0))),"",INDEX('Policy Characteristics'!B:B,MATCH($C1146,'Policy Characteristics'!$C:$C,0)))</f>
        <v>Hydrogen Combustion</v>
      </c>
      <c r="C1146" s="254" t="str">
        <f t="shared" si="44"/>
        <v>Fraction of Eligible Industrial Energy Use Shifted to Hydrogen</v>
      </c>
      <c r="D1146" s="6" t="s">
        <v>3068</v>
      </c>
      <c r="E1146" s="1" t="s">
        <v>3520</v>
      </c>
      <c r="F1146" t="s">
        <v>3032</v>
      </c>
      <c r="G1146" s="45" t="s">
        <v>3527</v>
      </c>
      <c r="H1146" s="43">
        <v>2095</v>
      </c>
      <c r="I1146" s="324" t="s">
        <v>43</v>
      </c>
      <c r="J1146" s="255" t="str">
        <f>IF(ISBLANK(INDEX('Policy Characteristics'!D:D,MATCH($C1146,'Policy Characteristics'!$C:$C,0))),"",INDEX('Policy Characteristics'!D:D,MATCH($C1146,'Policy Characteristics'!$C:$C,0)))</f>
        <v>Hydrogen Combustion</v>
      </c>
      <c r="K1146" s="254" t="str">
        <f>IF(ISBLANK(INDEX('Policy Characteristics'!E:E,MATCH($C1146,'Policy Characteristics'!$C:$C,0))),"",INDEX('Policy Characteristics'!E:E,MATCH($C1146,'Policy Characteristics'!$C:$C,0)))</f>
        <v>indst shift to hydrogen</v>
      </c>
      <c r="L1146" s="261">
        <f>IF(ISBLANK(INDEX('Policy Characteristics'!F:F,MATCH($C1146,'Policy Characteristics'!$C:$C,0))),"",INDEX('Policy Characteristics'!F:F,MATCH($C1146,'Policy Characteristics'!$C:$C,0)))</f>
        <v>0</v>
      </c>
      <c r="M1146" s="261">
        <f>IF(ISBLANK(INDEX('Policy Characteristics'!G:G,MATCH($C1146,'Policy Characteristics'!$C:$C,0))),"",INDEX('Policy Characteristics'!G:G,MATCH($C1146,'Policy Characteristics'!$C:$C,0)))</f>
        <v>1</v>
      </c>
      <c r="N1146" s="261">
        <f>IF(ISBLANK(INDEX('Policy Characteristics'!H:H,MATCH($C1146,'Policy Characteristics'!$C:$C,0))),"",INDEX('Policy Characteristics'!H:H,MATCH($C1146,'Policy Characteristics'!$C:$C,0)))</f>
        <v>0.01</v>
      </c>
      <c r="O1146" s="254" t="str">
        <f>IF(ISBLANK(INDEX('Policy Characteristics'!I:I,MATCH($C1146,'Policy Characteristics'!$C:$C,0))),"",INDEX('Policy Characteristics'!I:I,MATCH($C1146,'Policy Characteristics'!$C:$C,0)))</f>
        <v>% of fuel shifted</v>
      </c>
      <c r="P1146" s="254"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4" t="str">
        <f>IF(ISBLANK(INDEX('Policy Characteristics'!K:K,MATCH($C1146,'Policy Characteristics'!$C:$C,0))),"",INDEX('Policy Characteristics'!K:K,MATCH($C1146,'Policy Characteristics'!$C:$C,0)))</f>
        <v>industry-ag-main.html#fuel-switching</v>
      </c>
      <c r="R1146" s="254" t="str">
        <f>IF(ISBLANK(INDEX('Policy Characteristics'!L:L,MATCH($C1146,'Policy Characteristics'!$C:$C,0))),"",INDEX('Policy Characteristics'!L:L,MATCH($C1146,'Policy Characteristics'!$C:$C,0)))</f>
        <v>industry-elec-and-hydrogen.html</v>
      </c>
    </row>
    <row r="1147" spans="1:18" s="2" customFormat="1" x14ac:dyDescent="0.3">
      <c r="A1147" s="254" t="str">
        <f>IF(ISBLANK(INDEX('Policy Characteristics'!A:A,MATCH($C1147,'Policy Characteristics'!$C:$C,0))),"",INDEX('Policy Characteristics'!A:A,MATCH($C1147,'Policy Characteristics'!$C:$C,0)))</f>
        <v>Industry</v>
      </c>
      <c r="B1147" s="262" t="str">
        <f>IF(ISBLANK(INDEX('Policy Characteristics'!B:B,MATCH($C1147,'Policy Characteristics'!$C:$C,0))),"",INDEX('Policy Characteristics'!B:B,MATCH($C1147,'Policy Characteristics'!$C:$C,0)))</f>
        <v>Hydrogen Combustion</v>
      </c>
      <c r="C1147" s="254" t="str">
        <f t="shared" si="44"/>
        <v>Fraction of Eligible Industrial Energy Use Shifted to Hydrogen</v>
      </c>
      <c r="D1147" s="6" t="s">
        <v>3068</v>
      </c>
      <c r="E1147" s="1" t="s">
        <v>3521</v>
      </c>
      <c r="F1147" t="s">
        <v>3032</v>
      </c>
      <c r="G1147" s="45" t="s">
        <v>3528</v>
      </c>
      <c r="H1147" s="43">
        <v>2096</v>
      </c>
      <c r="I1147" s="324" t="s">
        <v>44</v>
      </c>
      <c r="J1147" s="255" t="str">
        <f>IF(ISBLANK(INDEX('Policy Characteristics'!D:D,MATCH($C1147,'Policy Characteristics'!$C:$C,0))),"",INDEX('Policy Characteristics'!D:D,MATCH($C1147,'Policy Characteristics'!$C:$C,0)))</f>
        <v>Hydrogen Combustion</v>
      </c>
      <c r="K1147" s="254" t="str">
        <f>IF(ISBLANK(INDEX('Policy Characteristics'!E:E,MATCH($C1147,'Policy Characteristics'!$C:$C,0))),"",INDEX('Policy Characteristics'!E:E,MATCH($C1147,'Policy Characteristics'!$C:$C,0)))</f>
        <v>indst shift to hydrogen</v>
      </c>
      <c r="L1147" s="261">
        <f>IF(ISBLANK(INDEX('Policy Characteristics'!F:F,MATCH($C1147,'Policy Characteristics'!$C:$C,0))),"",INDEX('Policy Characteristics'!F:F,MATCH($C1147,'Policy Characteristics'!$C:$C,0)))</f>
        <v>0</v>
      </c>
      <c r="M1147" s="261">
        <f>IF(ISBLANK(INDEX('Policy Characteristics'!G:G,MATCH($C1147,'Policy Characteristics'!$C:$C,0))),"",INDEX('Policy Characteristics'!G:G,MATCH($C1147,'Policy Characteristics'!$C:$C,0)))</f>
        <v>1</v>
      </c>
      <c r="N1147" s="261">
        <f>IF(ISBLANK(INDEX('Policy Characteristics'!H:H,MATCH($C1147,'Policy Characteristics'!$C:$C,0))),"",INDEX('Policy Characteristics'!H:H,MATCH($C1147,'Policy Characteristics'!$C:$C,0)))</f>
        <v>0.01</v>
      </c>
      <c r="O1147" s="254" t="str">
        <f>IF(ISBLANK(INDEX('Policy Characteristics'!I:I,MATCH($C1147,'Policy Characteristics'!$C:$C,0))),"",INDEX('Policy Characteristics'!I:I,MATCH($C1147,'Policy Characteristics'!$C:$C,0)))</f>
        <v>% of fuel shifted</v>
      </c>
      <c r="P1147" s="254"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4" t="str">
        <f>IF(ISBLANK(INDEX('Policy Characteristics'!K:K,MATCH($C1147,'Policy Characteristics'!$C:$C,0))),"",INDEX('Policy Characteristics'!K:K,MATCH($C1147,'Policy Characteristics'!$C:$C,0)))</f>
        <v>industry-ag-main.html#fuel-switching</v>
      </c>
      <c r="R1147" s="254" t="str">
        <f>IF(ISBLANK(INDEX('Policy Characteristics'!L:L,MATCH($C1147,'Policy Characteristics'!$C:$C,0))),"",INDEX('Policy Characteristics'!L:L,MATCH($C1147,'Policy Characteristics'!$C:$C,0)))</f>
        <v>industry-elec-and-hydrogen.html</v>
      </c>
    </row>
    <row r="1148" spans="1:18" s="2" customFormat="1" x14ac:dyDescent="0.3">
      <c r="A1148" s="254" t="str">
        <f>IF(ISBLANK(INDEX('Policy Characteristics'!A:A,MATCH($C1148,'Policy Characteristics'!$C:$C,0))),"",INDEX('Policy Characteristics'!A:A,MATCH($C1148,'Policy Characteristics'!$C:$C,0)))</f>
        <v>Industry</v>
      </c>
      <c r="B1148" s="262" t="str">
        <f>IF(ISBLANK(INDEX('Policy Characteristics'!B:B,MATCH($C1148,'Policy Characteristics'!$C:$C,0))),"",INDEX('Policy Characteristics'!B:B,MATCH($C1148,'Policy Characteristics'!$C:$C,0)))</f>
        <v>Hydrogen Combustion</v>
      </c>
      <c r="C1148" s="254" t="str">
        <f t="shared" si="44"/>
        <v>Fraction of Eligible Industrial Energy Use Shifted to Hydrogen</v>
      </c>
      <c r="D1148" s="6" t="s">
        <v>3068</v>
      </c>
      <c r="E1148" s="1" t="s">
        <v>3671</v>
      </c>
      <c r="F1148" t="s">
        <v>3032</v>
      </c>
      <c r="G1148" s="45" t="s">
        <v>3671</v>
      </c>
      <c r="H1148" s="43">
        <v>2097</v>
      </c>
      <c r="I1148" s="324" t="s">
        <v>43</v>
      </c>
      <c r="J1148" s="255" t="str">
        <f>IF(ISBLANK(INDEX('Policy Characteristics'!D:D,MATCH($C1148,'Policy Characteristics'!$C:$C,0))),"",INDEX('Policy Characteristics'!D:D,MATCH($C1148,'Policy Characteristics'!$C:$C,0)))</f>
        <v>Hydrogen Combustion</v>
      </c>
      <c r="K1148" s="254" t="str">
        <f>IF(ISBLANK(INDEX('Policy Characteristics'!E:E,MATCH($C1148,'Policy Characteristics'!$C:$C,0))),"",INDEX('Policy Characteristics'!E:E,MATCH($C1148,'Policy Characteristics'!$C:$C,0)))</f>
        <v>indst shift to hydrogen</v>
      </c>
      <c r="L1148" s="261">
        <f>IF(ISBLANK(INDEX('Policy Characteristics'!F:F,MATCH($C1148,'Policy Characteristics'!$C:$C,0))),"",INDEX('Policy Characteristics'!F:F,MATCH($C1148,'Policy Characteristics'!$C:$C,0)))</f>
        <v>0</v>
      </c>
      <c r="M1148" s="261">
        <f>IF(ISBLANK(INDEX('Policy Characteristics'!G:G,MATCH($C1148,'Policy Characteristics'!$C:$C,0))),"",INDEX('Policy Characteristics'!G:G,MATCH($C1148,'Policy Characteristics'!$C:$C,0)))</f>
        <v>1</v>
      </c>
      <c r="N1148" s="261">
        <f>IF(ISBLANK(INDEX('Policy Characteristics'!H:H,MATCH($C1148,'Policy Characteristics'!$C:$C,0))),"",INDEX('Policy Characteristics'!H:H,MATCH($C1148,'Policy Characteristics'!$C:$C,0)))</f>
        <v>0.01</v>
      </c>
      <c r="O1148" s="254" t="str">
        <f>IF(ISBLANK(INDEX('Policy Characteristics'!I:I,MATCH($C1148,'Policy Characteristics'!$C:$C,0))),"",INDEX('Policy Characteristics'!I:I,MATCH($C1148,'Policy Characteristics'!$C:$C,0)))</f>
        <v>% of fuel shifted</v>
      </c>
      <c r="P1148" s="254"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4" t="str">
        <f>IF(ISBLANK(INDEX('Policy Characteristics'!K:K,MATCH($C1148,'Policy Characteristics'!$C:$C,0))),"",INDEX('Policy Characteristics'!K:K,MATCH($C1148,'Policy Characteristics'!$C:$C,0)))</f>
        <v>industry-ag-main.html#fuel-switching</v>
      </c>
      <c r="R1148" s="254" t="str">
        <f>IF(ISBLANK(INDEX('Policy Characteristics'!L:L,MATCH($C1148,'Policy Characteristics'!$C:$C,0))),"",INDEX('Policy Characteristics'!L:L,MATCH($C1148,'Policy Characteristics'!$C:$C,0)))</f>
        <v>industry-elec-and-hydrogen.html</v>
      </c>
    </row>
    <row r="1149" spans="1:18" s="2" customFormat="1" x14ac:dyDescent="0.3">
      <c r="A1149" s="254" t="str">
        <f>IF(ISBLANK(INDEX('Policy Characteristics'!A:A,MATCH($C1149,'Policy Characteristics'!$C:$C,0))),"",INDEX('Policy Characteristics'!A:A,MATCH($C1149,'Policy Characteristics'!$C:$C,0)))</f>
        <v>Industry</v>
      </c>
      <c r="B1149" s="262" t="str">
        <f>IF(ISBLANK(INDEX('Policy Characteristics'!B:B,MATCH($C1149,'Policy Characteristics'!$C:$C,0))),"",INDEX('Policy Characteristics'!B:B,MATCH($C1149,'Policy Characteristics'!$C:$C,0)))</f>
        <v>Hydrogen Combustion</v>
      </c>
      <c r="C1149" s="254" t="str">
        <f t="shared" si="44"/>
        <v>Fraction of Eligible Industrial Energy Use Shifted to Hydrogen</v>
      </c>
      <c r="D1149" s="6" t="s">
        <v>3069</v>
      </c>
      <c r="E1149" s="1" t="s">
        <v>3515</v>
      </c>
      <c r="F1149" t="s">
        <v>3033</v>
      </c>
      <c r="G1149" s="45" t="s">
        <v>3522</v>
      </c>
      <c r="H1149" s="43">
        <v>2098</v>
      </c>
      <c r="I1149" s="324" t="s">
        <v>43</v>
      </c>
      <c r="J1149" s="255" t="str">
        <f>IF(ISBLANK(INDEX('Policy Characteristics'!D:D,MATCH($C1149,'Policy Characteristics'!$C:$C,0))),"",INDEX('Policy Characteristics'!D:D,MATCH($C1149,'Policy Characteristics'!$C:$C,0)))</f>
        <v>Hydrogen Combustion</v>
      </c>
      <c r="K1149" s="254" t="str">
        <f>IF(ISBLANK(INDEX('Policy Characteristics'!E:E,MATCH($C1149,'Policy Characteristics'!$C:$C,0))),"",INDEX('Policy Characteristics'!E:E,MATCH($C1149,'Policy Characteristics'!$C:$C,0)))</f>
        <v>indst shift to hydrogen</v>
      </c>
      <c r="L1149" s="261">
        <f>IF(ISBLANK(INDEX('Policy Characteristics'!F:F,MATCH($C1149,'Policy Characteristics'!$C:$C,0))),"",INDEX('Policy Characteristics'!F:F,MATCH($C1149,'Policy Characteristics'!$C:$C,0)))</f>
        <v>0</v>
      </c>
      <c r="M1149" s="261">
        <f>IF(ISBLANK(INDEX('Policy Characteristics'!G:G,MATCH($C1149,'Policy Characteristics'!$C:$C,0))),"",INDEX('Policy Characteristics'!G:G,MATCH($C1149,'Policy Characteristics'!$C:$C,0)))</f>
        <v>1</v>
      </c>
      <c r="N1149" s="261">
        <f>IF(ISBLANK(INDEX('Policy Characteristics'!H:H,MATCH($C1149,'Policy Characteristics'!$C:$C,0))),"",INDEX('Policy Characteristics'!H:H,MATCH($C1149,'Policy Characteristics'!$C:$C,0)))</f>
        <v>0.01</v>
      </c>
      <c r="O1149" s="254" t="str">
        <f>IF(ISBLANK(INDEX('Policy Characteristics'!I:I,MATCH($C1149,'Policy Characteristics'!$C:$C,0))),"",INDEX('Policy Characteristics'!I:I,MATCH($C1149,'Policy Characteristics'!$C:$C,0)))</f>
        <v>% of fuel shifted</v>
      </c>
      <c r="P1149" s="254"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4" t="str">
        <f>IF(ISBLANK(INDEX('Policy Characteristics'!K:K,MATCH($C1149,'Policy Characteristics'!$C:$C,0))),"",INDEX('Policy Characteristics'!K:K,MATCH($C1149,'Policy Characteristics'!$C:$C,0)))</f>
        <v>industry-ag-main.html#fuel-switching</v>
      </c>
      <c r="R1149" s="254" t="str">
        <f>IF(ISBLANK(INDEX('Policy Characteristics'!L:L,MATCH($C1149,'Policy Characteristics'!$C:$C,0))),"",INDEX('Policy Characteristics'!L:L,MATCH($C1149,'Policy Characteristics'!$C:$C,0)))</f>
        <v>industry-elec-and-hydrogen.html</v>
      </c>
    </row>
    <row r="1150" spans="1:18" s="2" customFormat="1" x14ac:dyDescent="0.3">
      <c r="A1150" s="254" t="str">
        <f>IF(ISBLANK(INDEX('Policy Characteristics'!A:A,MATCH($C1150,'Policy Characteristics'!$C:$C,0))),"",INDEX('Policy Characteristics'!A:A,MATCH($C1150,'Policy Characteristics'!$C:$C,0)))</f>
        <v>Industry</v>
      </c>
      <c r="B1150" s="262" t="str">
        <f>IF(ISBLANK(INDEX('Policy Characteristics'!B:B,MATCH($C1150,'Policy Characteristics'!$C:$C,0))),"",INDEX('Policy Characteristics'!B:B,MATCH($C1150,'Policy Characteristics'!$C:$C,0)))</f>
        <v>Hydrogen Combustion</v>
      </c>
      <c r="C1150" s="254" t="str">
        <f t="shared" si="44"/>
        <v>Fraction of Eligible Industrial Energy Use Shifted to Hydrogen</v>
      </c>
      <c r="D1150" s="6" t="s">
        <v>3069</v>
      </c>
      <c r="E1150" s="1" t="s">
        <v>3516</v>
      </c>
      <c r="F1150" t="s">
        <v>3033</v>
      </c>
      <c r="G1150" s="45" t="s">
        <v>3523</v>
      </c>
      <c r="H1150" s="43">
        <v>2099</v>
      </c>
      <c r="I1150" s="324" t="s">
        <v>43</v>
      </c>
      <c r="J1150" s="255" t="str">
        <f>IF(ISBLANK(INDEX('Policy Characteristics'!D:D,MATCH($C1150,'Policy Characteristics'!$C:$C,0))),"",INDEX('Policy Characteristics'!D:D,MATCH($C1150,'Policy Characteristics'!$C:$C,0)))</f>
        <v>Hydrogen Combustion</v>
      </c>
      <c r="K1150" s="254" t="str">
        <f>IF(ISBLANK(INDEX('Policy Characteristics'!E:E,MATCH($C1150,'Policy Characteristics'!$C:$C,0))),"",INDEX('Policy Characteristics'!E:E,MATCH($C1150,'Policy Characteristics'!$C:$C,0)))</f>
        <v>indst shift to hydrogen</v>
      </c>
      <c r="L1150" s="261">
        <f>IF(ISBLANK(INDEX('Policy Characteristics'!F:F,MATCH($C1150,'Policy Characteristics'!$C:$C,0))),"",INDEX('Policy Characteristics'!F:F,MATCH($C1150,'Policy Characteristics'!$C:$C,0)))</f>
        <v>0</v>
      </c>
      <c r="M1150" s="261">
        <f>IF(ISBLANK(INDEX('Policy Characteristics'!G:G,MATCH($C1150,'Policy Characteristics'!$C:$C,0))),"",INDEX('Policy Characteristics'!G:G,MATCH($C1150,'Policy Characteristics'!$C:$C,0)))</f>
        <v>1</v>
      </c>
      <c r="N1150" s="261">
        <f>IF(ISBLANK(INDEX('Policy Characteristics'!H:H,MATCH($C1150,'Policy Characteristics'!$C:$C,0))),"",INDEX('Policy Characteristics'!H:H,MATCH($C1150,'Policy Characteristics'!$C:$C,0)))</f>
        <v>0.01</v>
      </c>
      <c r="O1150" s="254" t="str">
        <f>IF(ISBLANK(INDEX('Policy Characteristics'!I:I,MATCH($C1150,'Policy Characteristics'!$C:$C,0))),"",INDEX('Policy Characteristics'!I:I,MATCH($C1150,'Policy Characteristics'!$C:$C,0)))</f>
        <v>% of fuel shifted</v>
      </c>
      <c r="P1150" s="254"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4" t="str">
        <f>IF(ISBLANK(INDEX('Policy Characteristics'!K:K,MATCH($C1150,'Policy Characteristics'!$C:$C,0))),"",INDEX('Policy Characteristics'!K:K,MATCH($C1150,'Policy Characteristics'!$C:$C,0)))</f>
        <v>industry-ag-main.html#fuel-switching</v>
      </c>
      <c r="R1150" s="254" t="str">
        <f>IF(ISBLANK(INDEX('Policy Characteristics'!L:L,MATCH($C1150,'Policy Characteristics'!$C:$C,0))),"",INDEX('Policy Characteristics'!L:L,MATCH($C1150,'Policy Characteristics'!$C:$C,0)))</f>
        <v>industry-elec-and-hydrogen.html</v>
      </c>
    </row>
    <row r="1151" spans="1:18" s="2" customFormat="1" x14ac:dyDescent="0.3">
      <c r="A1151" s="254" t="str">
        <f>IF(ISBLANK(INDEX('Policy Characteristics'!A:A,MATCH($C1151,'Policy Characteristics'!$C:$C,0))),"",INDEX('Policy Characteristics'!A:A,MATCH($C1151,'Policy Characteristics'!$C:$C,0)))</f>
        <v>Industry</v>
      </c>
      <c r="B1151" s="262" t="str">
        <f>IF(ISBLANK(INDEX('Policy Characteristics'!B:B,MATCH($C1151,'Policy Characteristics'!$C:$C,0))),"",INDEX('Policy Characteristics'!B:B,MATCH($C1151,'Policy Characteristics'!$C:$C,0)))</f>
        <v>Hydrogen Combustion</v>
      </c>
      <c r="C1151" s="254" t="str">
        <f t="shared" ref="C1151:C1214" si="45">C$1085</f>
        <v>Fraction of Eligible Industrial Energy Use Shifted to Hydrogen</v>
      </c>
      <c r="D1151" s="6" t="s">
        <v>3069</v>
      </c>
      <c r="E1151" s="1" t="s">
        <v>3517</v>
      </c>
      <c r="F1151" t="s">
        <v>3033</v>
      </c>
      <c r="G1151" s="45" t="s">
        <v>3524</v>
      </c>
      <c r="H1151" s="43">
        <v>2100</v>
      </c>
      <c r="I1151" s="324" t="s">
        <v>43</v>
      </c>
      <c r="J1151" s="255" t="str">
        <f>IF(ISBLANK(INDEX('Policy Characteristics'!D:D,MATCH($C1151,'Policy Characteristics'!$C:$C,0))),"",INDEX('Policy Characteristics'!D:D,MATCH($C1151,'Policy Characteristics'!$C:$C,0)))</f>
        <v>Hydrogen Combustion</v>
      </c>
      <c r="K1151" s="254" t="str">
        <f>IF(ISBLANK(INDEX('Policy Characteristics'!E:E,MATCH($C1151,'Policy Characteristics'!$C:$C,0))),"",INDEX('Policy Characteristics'!E:E,MATCH($C1151,'Policy Characteristics'!$C:$C,0)))</f>
        <v>indst shift to hydrogen</v>
      </c>
      <c r="L1151" s="261">
        <f>IF(ISBLANK(INDEX('Policy Characteristics'!F:F,MATCH($C1151,'Policy Characteristics'!$C:$C,0))),"",INDEX('Policy Characteristics'!F:F,MATCH($C1151,'Policy Characteristics'!$C:$C,0)))</f>
        <v>0</v>
      </c>
      <c r="M1151" s="261">
        <f>IF(ISBLANK(INDEX('Policy Characteristics'!G:G,MATCH($C1151,'Policy Characteristics'!$C:$C,0))),"",INDEX('Policy Characteristics'!G:G,MATCH($C1151,'Policy Characteristics'!$C:$C,0)))</f>
        <v>1</v>
      </c>
      <c r="N1151" s="261">
        <f>IF(ISBLANK(INDEX('Policy Characteristics'!H:H,MATCH($C1151,'Policy Characteristics'!$C:$C,0))),"",INDEX('Policy Characteristics'!H:H,MATCH($C1151,'Policy Characteristics'!$C:$C,0)))</f>
        <v>0.01</v>
      </c>
      <c r="O1151" s="254" t="str">
        <f>IF(ISBLANK(INDEX('Policy Characteristics'!I:I,MATCH($C1151,'Policy Characteristics'!$C:$C,0))),"",INDEX('Policy Characteristics'!I:I,MATCH($C1151,'Policy Characteristics'!$C:$C,0)))</f>
        <v>% of fuel shifted</v>
      </c>
      <c r="P1151" s="254"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4" t="str">
        <f>IF(ISBLANK(INDEX('Policy Characteristics'!K:K,MATCH($C1151,'Policy Characteristics'!$C:$C,0))),"",INDEX('Policy Characteristics'!K:K,MATCH($C1151,'Policy Characteristics'!$C:$C,0)))</f>
        <v>industry-ag-main.html#fuel-switching</v>
      </c>
      <c r="R1151" s="254" t="str">
        <f>IF(ISBLANK(INDEX('Policy Characteristics'!L:L,MATCH($C1151,'Policy Characteristics'!$C:$C,0))),"",INDEX('Policy Characteristics'!L:L,MATCH($C1151,'Policy Characteristics'!$C:$C,0)))</f>
        <v>industry-elec-and-hydrogen.html</v>
      </c>
    </row>
    <row r="1152" spans="1:18" s="2" customFormat="1" x14ac:dyDescent="0.3">
      <c r="A1152" s="254" t="str">
        <f>IF(ISBLANK(INDEX('Policy Characteristics'!A:A,MATCH($C1152,'Policy Characteristics'!$C:$C,0))),"",INDEX('Policy Characteristics'!A:A,MATCH($C1152,'Policy Characteristics'!$C:$C,0)))</f>
        <v>Industry</v>
      </c>
      <c r="B1152" s="262" t="str">
        <f>IF(ISBLANK(INDEX('Policy Characteristics'!B:B,MATCH($C1152,'Policy Characteristics'!$C:$C,0))),"",INDEX('Policy Characteristics'!B:B,MATCH($C1152,'Policy Characteristics'!$C:$C,0)))</f>
        <v>Hydrogen Combustion</v>
      </c>
      <c r="C1152" s="254" t="str">
        <f t="shared" si="45"/>
        <v>Fraction of Eligible Industrial Energy Use Shifted to Hydrogen</v>
      </c>
      <c r="D1152" s="6" t="s">
        <v>3069</v>
      </c>
      <c r="E1152" s="1" t="s">
        <v>3518</v>
      </c>
      <c r="F1152" t="s">
        <v>3033</v>
      </c>
      <c r="G1152" s="45" t="s">
        <v>3525</v>
      </c>
      <c r="H1152" s="43">
        <v>2101</v>
      </c>
      <c r="I1152" s="324" t="s">
        <v>43</v>
      </c>
      <c r="J1152" s="255" t="str">
        <f>IF(ISBLANK(INDEX('Policy Characteristics'!D:D,MATCH($C1152,'Policy Characteristics'!$C:$C,0))),"",INDEX('Policy Characteristics'!D:D,MATCH($C1152,'Policy Characteristics'!$C:$C,0)))</f>
        <v>Hydrogen Combustion</v>
      </c>
      <c r="K1152" s="254" t="str">
        <f>IF(ISBLANK(INDEX('Policy Characteristics'!E:E,MATCH($C1152,'Policy Characteristics'!$C:$C,0))),"",INDEX('Policy Characteristics'!E:E,MATCH($C1152,'Policy Characteristics'!$C:$C,0)))</f>
        <v>indst shift to hydrogen</v>
      </c>
      <c r="L1152" s="261">
        <f>IF(ISBLANK(INDEX('Policy Characteristics'!F:F,MATCH($C1152,'Policy Characteristics'!$C:$C,0))),"",INDEX('Policy Characteristics'!F:F,MATCH($C1152,'Policy Characteristics'!$C:$C,0)))</f>
        <v>0</v>
      </c>
      <c r="M1152" s="261">
        <f>IF(ISBLANK(INDEX('Policy Characteristics'!G:G,MATCH($C1152,'Policy Characteristics'!$C:$C,0))),"",INDEX('Policy Characteristics'!G:G,MATCH($C1152,'Policy Characteristics'!$C:$C,0)))</f>
        <v>1</v>
      </c>
      <c r="N1152" s="261">
        <f>IF(ISBLANK(INDEX('Policy Characteristics'!H:H,MATCH($C1152,'Policy Characteristics'!$C:$C,0))),"",INDEX('Policy Characteristics'!H:H,MATCH($C1152,'Policy Characteristics'!$C:$C,0)))</f>
        <v>0.01</v>
      </c>
      <c r="O1152" s="254" t="str">
        <f>IF(ISBLANK(INDEX('Policy Characteristics'!I:I,MATCH($C1152,'Policy Characteristics'!$C:$C,0))),"",INDEX('Policy Characteristics'!I:I,MATCH($C1152,'Policy Characteristics'!$C:$C,0)))</f>
        <v>% of fuel shifted</v>
      </c>
      <c r="P1152" s="254"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4" t="str">
        <f>IF(ISBLANK(INDEX('Policy Characteristics'!K:K,MATCH($C1152,'Policy Characteristics'!$C:$C,0))),"",INDEX('Policy Characteristics'!K:K,MATCH($C1152,'Policy Characteristics'!$C:$C,0)))</f>
        <v>industry-ag-main.html#fuel-switching</v>
      </c>
      <c r="R1152" s="254" t="str">
        <f>IF(ISBLANK(INDEX('Policy Characteristics'!L:L,MATCH($C1152,'Policy Characteristics'!$C:$C,0))),"",INDEX('Policy Characteristics'!L:L,MATCH($C1152,'Policy Characteristics'!$C:$C,0)))</f>
        <v>industry-elec-and-hydrogen.html</v>
      </c>
    </row>
    <row r="1153" spans="1:18" s="2" customFormat="1" x14ac:dyDescent="0.3">
      <c r="A1153" s="254" t="str">
        <f>IF(ISBLANK(INDEX('Policy Characteristics'!A:A,MATCH($C1153,'Policy Characteristics'!$C:$C,0))),"",INDEX('Policy Characteristics'!A:A,MATCH($C1153,'Policy Characteristics'!$C:$C,0)))</f>
        <v>Industry</v>
      </c>
      <c r="B1153" s="262" t="str">
        <f>IF(ISBLANK(INDEX('Policy Characteristics'!B:B,MATCH($C1153,'Policy Characteristics'!$C:$C,0))),"",INDEX('Policy Characteristics'!B:B,MATCH($C1153,'Policy Characteristics'!$C:$C,0)))</f>
        <v>Hydrogen Combustion</v>
      </c>
      <c r="C1153" s="254" t="str">
        <f t="shared" si="45"/>
        <v>Fraction of Eligible Industrial Energy Use Shifted to Hydrogen</v>
      </c>
      <c r="D1153" s="6" t="s">
        <v>3069</v>
      </c>
      <c r="E1153" s="1" t="s">
        <v>3519</v>
      </c>
      <c r="F1153" t="s">
        <v>3033</v>
      </c>
      <c r="G1153" s="45" t="s">
        <v>3526</v>
      </c>
      <c r="H1153" s="43">
        <v>2102</v>
      </c>
      <c r="I1153" s="324" t="s">
        <v>43</v>
      </c>
      <c r="J1153" s="255" t="str">
        <f>IF(ISBLANK(INDEX('Policy Characteristics'!D:D,MATCH($C1153,'Policy Characteristics'!$C:$C,0))),"",INDEX('Policy Characteristics'!D:D,MATCH($C1153,'Policy Characteristics'!$C:$C,0)))</f>
        <v>Hydrogen Combustion</v>
      </c>
      <c r="K1153" s="254" t="str">
        <f>IF(ISBLANK(INDEX('Policy Characteristics'!E:E,MATCH($C1153,'Policy Characteristics'!$C:$C,0))),"",INDEX('Policy Characteristics'!E:E,MATCH($C1153,'Policy Characteristics'!$C:$C,0)))</f>
        <v>indst shift to hydrogen</v>
      </c>
      <c r="L1153" s="261">
        <f>IF(ISBLANK(INDEX('Policy Characteristics'!F:F,MATCH($C1153,'Policy Characteristics'!$C:$C,0))),"",INDEX('Policy Characteristics'!F:F,MATCH($C1153,'Policy Characteristics'!$C:$C,0)))</f>
        <v>0</v>
      </c>
      <c r="M1153" s="261">
        <f>IF(ISBLANK(INDEX('Policy Characteristics'!G:G,MATCH($C1153,'Policy Characteristics'!$C:$C,0))),"",INDEX('Policy Characteristics'!G:G,MATCH($C1153,'Policy Characteristics'!$C:$C,0)))</f>
        <v>1</v>
      </c>
      <c r="N1153" s="261">
        <f>IF(ISBLANK(INDEX('Policy Characteristics'!H:H,MATCH($C1153,'Policy Characteristics'!$C:$C,0))),"",INDEX('Policy Characteristics'!H:H,MATCH($C1153,'Policy Characteristics'!$C:$C,0)))</f>
        <v>0.01</v>
      </c>
      <c r="O1153" s="254" t="str">
        <f>IF(ISBLANK(INDEX('Policy Characteristics'!I:I,MATCH($C1153,'Policy Characteristics'!$C:$C,0))),"",INDEX('Policy Characteristics'!I:I,MATCH($C1153,'Policy Characteristics'!$C:$C,0)))</f>
        <v>% of fuel shifted</v>
      </c>
      <c r="P1153" s="254"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4" t="str">
        <f>IF(ISBLANK(INDEX('Policy Characteristics'!K:K,MATCH($C1153,'Policy Characteristics'!$C:$C,0))),"",INDEX('Policy Characteristics'!K:K,MATCH($C1153,'Policy Characteristics'!$C:$C,0)))</f>
        <v>industry-ag-main.html#fuel-switching</v>
      </c>
      <c r="R1153" s="254" t="str">
        <f>IF(ISBLANK(INDEX('Policy Characteristics'!L:L,MATCH($C1153,'Policy Characteristics'!$C:$C,0))),"",INDEX('Policy Characteristics'!L:L,MATCH($C1153,'Policy Characteristics'!$C:$C,0)))</f>
        <v>industry-elec-and-hydrogen.html</v>
      </c>
    </row>
    <row r="1154" spans="1:18" s="2" customFormat="1" x14ac:dyDescent="0.3">
      <c r="A1154" s="254" t="str">
        <f>IF(ISBLANK(INDEX('Policy Characteristics'!A:A,MATCH($C1154,'Policy Characteristics'!$C:$C,0))),"",INDEX('Policy Characteristics'!A:A,MATCH($C1154,'Policy Characteristics'!$C:$C,0)))</f>
        <v>Industry</v>
      </c>
      <c r="B1154" s="262" t="str">
        <f>IF(ISBLANK(INDEX('Policy Characteristics'!B:B,MATCH($C1154,'Policy Characteristics'!$C:$C,0))),"",INDEX('Policy Characteristics'!B:B,MATCH($C1154,'Policy Characteristics'!$C:$C,0)))</f>
        <v>Hydrogen Combustion</v>
      </c>
      <c r="C1154" s="254" t="str">
        <f t="shared" si="45"/>
        <v>Fraction of Eligible Industrial Energy Use Shifted to Hydrogen</v>
      </c>
      <c r="D1154" s="6" t="s">
        <v>3069</v>
      </c>
      <c r="E1154" s="1" t="s">
        <v>3520</v>
      </c>
      <c r="F1154" t="s">
        <v>3033</v>
      </c>
      <c r="G1154" s="45" t="s">
        <v>3527</v>
      </c>
      <c r="H1154" s="43">
        <v>2103</v>
      </c>
      <c r="I1154" s="324" t="s">
        <v>43</v>
      </c>
      <c r="J1154" s="255" t="str">
        <f>IF(ISBLANK(INDEX('Policy Characteristics'!D:D,MATCH($C1154,'Policy Characteristics'!$C:$C,0))),"",INDEX('Policy Characteristics'!D:D,MATCH($C1154,'Policy Characteristics'!$C:$C,0)))</f>
        <v>Hydrogen Combustion</v>
      </c>
      <c r="K1154" s="254" t="str">
        <f>IF(ISBLANK(INDEX('Policy Characteristics'!E:E,MATCH($C1154,'Policy Characteristics'!$C:$C,0))),"",INDEX('Policy Characteristics'!E:E,MATCH($C1154,'Policy Characteristics'!$C:$C,0)))</f>
        <v>indst shift to hydrogen</v>
      </c>
      <c r="L1154" s="261">
        <f>IF(ISBLANK(INDEX('Policy Characteristics'!F:F,MATCH($C1154,'Policy Characteristics'!$C:$C,0))),"",INDEX('Policy Characteristics'!F:F,MATCH($C1154,'Policy Characteristics'!$C:$C,0)))</f>
        <v>0</v>
      </c>
      <c r="M1154" s="261">
        <f>IF(ISBLANK(INDEX('Policy Characteristics'!G:G,MATCH($C1154,'Policy Characteristics'!$C:$C,0))),"",INDEX('Policy Characteristics'!G:G,MATCH($C1154,'Policy Characteristics'!$C:$C,0)))</f>
        <v>1</v>
      </c>
      <c r="N1154" s="261">
        <f>IF(ISBLANK(INDEX('Policy Characteristics'!H:H,MATCH($C1154,'Policy Characteristics'!$C:$C,0))),"",INDEX('Policy Characteristics'!H:H,MATCH($C1154,'Policy Characteristics'!$C:$C,0)))</f>
        <v>0.01</v>
      </c>
      <c r="O1154" s="254" t="str">
        <f>IF(ISBLANK(INDEX('Policy Characteristics'!I:I,MATCH($C1154,'Policy Characteristics'!$C:$C,0))),"",INDEX('Policy Characteristics'!I:I,MATCH($C1154,'Policy Characteristics'!$C:$C,0)))</f>
        <v>% of fuel shifted</v>
      </c>
      <c r="P1154" s="254"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4" t="str">
        <f>IF(ISBLANK(INDEX('Policy Characteristics'!K:K,MATCH($C1154,'Policy Characteristics'!$C:$C,0))),"",INDEX('Policy Characteristics'!K:K,MATCH($C1154,'Policy Characteristics'!$C:$C,0)))</f>
        <v>industry-ag-main.html#fuel-switching</v>
      </c>
      <c r="R1154" s="254" t="str">
        <f>IF(ISBLANK(INDEX('Policy Characteristics'!L:L,MATCH($C1154,'Policy Characteristics'!$C:$C,0))),"",INDEX('Policy Characteristics'!L:L,MATCH($C1154,'Policy Characteristics'!$C:$C,0)))</f>
        <v>industry-elec-and-hydrogen.html</v>
      </c>
    </row>
    <row r="1155" spans="1:18" s="2" customFormat="1" x14ac:dyDescent="0.3">
      <c r="A1155" s="254" t="str">
        <f>IF(ISBLANK(INDEX('Policy Characteristics'!A:A,MATCH($C1155,'Policy Characteristics'!$C:$C,0))),"",INDEX('Policy Characteristics'!A:A,MATCH($C1155,'Policy Characteristics'!$C:$C,0)))</f>
        <v>Industry</v>
      </c>
      <c r="B1155" s="262" t="str">
        <f>IF(ISBLANK(INDEX('Policy Characteristics'!B:B,MATCH($C1155,'Policy Characteristics'!$C:$C,0))),"",INDEX('Policy Characteristics'!B:B,MATCH($C1155,'Policy Characteristics'!$C:$C,0)))</f>
        <v>Hydrogen Combustion</v>
      </c>
      <c r="C1155" s="254" t="str">
        <f t="shared" si="45"/>
        <v>Fraction of Eligible Industrial Energy Use Shifted to Hydrogen</v>
      </c>
      <c r="D1155" s="6" t="s">
        <v>3069</v>
      </c>
      <c r="E1155" s="1" t="s">
        <v>3521</v>
      </c>
      <c r="F1155" t="s">
        <v>3033</v>
      </c>
      <c r="G1155" s="45" t="s">
        <v>3528</v>
      </c>
      <c r="H1155" s="43">
        <v>2104</v>
      </c>
      <c r="I1155" s="324" t="s">
        <v>44</v>
      </c>
      <c r="J1155" s="255" t="str">
        <f>IF(ISBLANK(INDEX('Policy Characteristics'!D:D,MATCH($C1155,'Policy Characteristics'!$C:$C,0))),"",INDEX('Policy Characteristics'!D:D,MATCH($C1155,'Policy Characteristics'!$C:$C,0)))</f>
        <v>Hydrogen Combustion</v>
      </c>
      <c r="K1155" s="254" t="str">
        <f>IF(ISBLANK(INDEX('Policy Characteristics'!E:E,MATCH($C1155,'Policy Characteristics'!$C:$C,0))),"",INDEX('Policy Characteristics'!E:E,MATCH($C1155,'Policy Characteristics'!$C:$C,0)))</f>
        <v>indst shift to hydrogen</v>
      </c>
      <c r="L1155" s="261">
        <f>IF(ISBLANK(INDEX('Policy Characteristics'!F:F,MATCH($C1155,'Policy Characteristics'!$C:$C,0))),"",INDEX('Policy Characteristics'!F:F,MATCH($C1155,'Policy Characteristics'!$C:$C,0)))</f>
        <v>0</v>
      </c>
      <c r="M1155" s="261">
        <f>IF(ISBLANK(INDEX('Policy Characteristics'!G:G,MATCH($C1155,'Policy Characteristics'!$C:$C,0))),"",INDEX('Policy Characteristics'!G:G,MATCH($C1155,'Policy Characteristics'!$C:$C,0)))</f>
        <v>1</v>
      </c>
      <c r="N1155" s="261">
        <f>IF(ISBLANK(INDEX('Policy Characteristics'!H:H,MATCH($C1155,'Policy Characteristics'!$C:$C,0))),"",INDEX('Policy Characteristics'!H:H,MATCH($C1155,'Policy Characteristics'!$C:$C,0)))</f>
        <v>0.01</v>
      </c>
      <c r="O1155" s="254" t="str">
        <f>IF(ISBLANK(INDEX('Policy Characteristics'!I:I,MATCH($C1155,'Policy Characteristics'!$C:$C,0))),"",INDEX('Policy Characteristics'!I:I,MATCH($C1155,'Policy Characteristics'!$C:$C,0)))</f>
        <v>% of fuel shifted</v>
      </c>
      <c r="P1155" s="254"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4" t="str">
        <f>IF(ISBLANK(INDEX('Policy Characteristics'!K:K,MATCH($C1155,'Policy Characteristics'!$C:$C,0))),"",INDEX('Policy Characteristics'!K:K,MATCH($C1155,'Policy Characteristics'!$C:$C,0)))</f>
        <v>industry-ag-main.html#fuel-switching</v>
      </c>
      <c r="R1155" s="254" t="str">
        <f>IF(ISBLANK(INDEX('Policy Characteristics'!L:L,MATCH($C1155,'Policy Characteristics'!$C:$C,0))),"",INDEX('Policy Characteristics'!L:L,MATCH($C1155,'Policy Characteristics'!$C:$C,0)))</f>
        <v>industry-elec-and-hydrogen.html</v>
      </c>
    </row>
    <row r="1156" spans="1:18" s="2" customFormat="1" x14ac:dyDescent="0.3">
      <c r="A1156" s="254" t="str">
        <f>IF(ISBLANK(INDEX('Policy Characteristics'!A:A,MATCH($C1156,'Policy Characteristics'!$C:$C,0))),"",INDEX('Policy Characteristics'!A:A,MATCH($C1156,'Policy Characteristics'!$C:$C,0)))</f>
        <v>Industry</v>
      </c>
      <c r="B1156" s="262" t="str">
        <f>IF(ISBLANK(INDEX('Policy Characteristics'!B:B,MATCH($C1156,'Policy Characteristics'!$C:$C,0))),"",INDEX('Policy Characteristics'!B:B,MATCH($C1156,'Policy Characteristics'!$C:$C,0)))</f>
        <v>Hydrogen Combustion</v>
      </c>
      <c r="C1156" s="254" t="str">
        <f t="shared" si="45"/>
        <v>Fraction of Eligible Industrial Energy Use Shifted to Hydrogen</v>
      </c>
      <c r="D1156" s="6" t="s">
        <v>3069</v>
      </c>
      <c r="E1156" s="1" t="s">
        <v>3671</v>
      </c>
      <c r="F1156" t="s">
        <v>3033</v>
      </c>
      <c r="G1156" s="45" t="s">
        <v>3671</v>
      </c>
      <c r="H1156" s="43">
        <v>2105</v>
      </c>
      <c r="I1156" s="324" t="s">
        <v>43</v>
      </c>
      <c r="J1156" s="255" t="str">
        <f>IF(ISBLANK(INDEX('Policy Characteristics'!D:D,MATCH($C1156,'Policy Characteristics'!$C:$C,0))),"",INDEX('Policy Characteristics'!D:D,MATCH($C1156,'Policy Characteristics'!$C:$C,0)))</f>
        <v>Hydrogen Combustion</v>
      </c>
      <c r="K1156" s="254" t="str">
        <f>IF(ISBLANK(INDEX('Policy Characteristics'!E:E,MATCH($C1156,'Policy Characteristics'!$C:$C,0))),"",INDEX('Policy Characteristics'!E:E,MATCH($C1156,'Policy Characteristics'!$C:$C,0)))</f>
        <v>indst shift to hydrogen</v>
      </c>
      <c r="L1156" s="261">
        <f>IF(ISBLANK(INDEX('Policy Characteristics'!F:F,MATCH($C1156,'Policy Characteristics'!$C:$C,0))),"",INDEX('Policy Characteristics'!F:F,MATCH($C1156,'Policy Characteristics'!$C:$C,0)))</f>
        <v>0</v>
      </c>
      <c r="M1156" s="261">
        <f>IF(ISBLANK(INDEX('Policy Characteristics'!G:G,MATCH($C1156,'Policy Characteristics'!$C:$C,0))),"",INDEX('Policy Characteristics'!G:G,MATCH($C1156,'Policy Characteristics'!$C:$C,0)))</f>
        <v>1</v>
      </c>
      <c r="N1156" s="261">
        <f>IF(ISBLANK(INDEX('Policy Characteristics'!H:H,MATCH($C1156,'Policy Characteristics'!$C:$C,0))),"",INDEX('Policy Characteristics'!H:H,MATCH($C1156,'Policy Characteristics'!$C:$C,0)))</f>
        <v>0.01</v>
      </c>
      <c r="O1156" s="254" t="str">
        <f>IF(ISBLANK(INDEX('Policy Characteristics'!I:I,MATCH($C1156,'Policy Characteristics'!$C:$C,0))),"",INDEX('Policy Characteristics'!I:I,MATCH($C1156,'Policy Characteristics'!$C:$C,0)))</f>
        <v>% of fuel shifted</v>
      </c>
      <c r="P1156" s="254"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4" t="str">
        <f>IF(ISBLANK(INDEX('Policy Characteristics'!K:K,MATCH($C1156,'Policy Characteristics'!$C:$C,0))),"",INDEX('Policy Characteristics'!K:K,MATCH($C1156,'Policy Characteristics'!$C:$C,0)))</f>
        <v>industry-ag-main.html#fuel-switching</v>
      </c>
      <c r="R1156" s="254" t="str">
        <f>IF(ISBLANK(INDEX('Policy Characteristics'!L:L,MATCH($C1156,'Policy Characteristics'!$C:$C,0))),"",INDEX('Policy Characteristics'!L:L,MATCH($C1156,'Policy Characteristics'!$C:$C,0)))</f>
        <v>industry-elec-and-hydrogen.html</v>
      </c>
    </row>
    <row r="1157" spans="1:18" s="2" customFormat="1" x14ac:dyDescent="0.3">
      <c r="A1157" s="254" t="str">
        <f>IF(ISBLANK(INDEX('Policy Characteristics'!A:A,MATCH($C1157,'Policy Characteristics'!$C:$C,0))),"",INDEX('Policy Characteristics'!A:A,MATCH($C1157,'Policy Characteristics'!$C:$C,0)))</f>
        <v>Industry</v>
      </c>
      <c r="B1157" s="262" t="str">
        <f>IF(ISBLANK(INDEX('Policy Characteristics'!B:B,MATCH($C1157,'Policy Characteristics'!$C:$C,0))),"",INDEX('Policy Characteristics'!B:B,MATCH($C1157,'Policy Characteristics'!$C:$C,0)))</f>
        <v>Hydrogen Combustion</v>
      </c>
      <c r="C1157" s="254" t="str">
        <f t="shared" si="45"/>
        <v>Fraction of Eligible Industrial Energy Use Shifted to Hydrogen</v>
      </c>
      <c r="D1157" s="6" t="s">
        <v>3070</v>
      </c>
      <c r="E1157" s="1" t="s">
        <v>3515</v>
      </c>
      <c r="F1157" t="s">
        <v>2579</v>
      </c>
      <c r="G1157" s="45" t="s">
        <v>3522</v>
      </c>
      <c r="H1157" s="43">
        <v>2106</v>
      </c>
      <c r="I1157" s="324" t="s">
        <v>43</v>
      </c>
      <c r="J1157" s="255" t="str">
        <f>IF(ISBLANK(INDEX('Policy Characteristics'!D:D,MATCH($C1157,'Policy Characteristics'!$C:$C,0))),"",INDEX('Policy Characteristics'!D:D,MATCH($C1157,'Policy Characteristics'!$C:$C,0)))</f>
        <v>Hydrogen Combustion</v>
      </c>
      <c r="K1157" s="254" t="str">
        <f>IF(ISBLANK(INDEX('Policy Characteristics'!E:E,MATCH($C1157,'Policy Characteristics'!$C:$C,0))),"",INDEX('Policy Characteristics'!E:E,MATCH($C1157,'Policy Characteristics'!$C:$C,0)))</f>
        <v>indst shift to hydrogen</v>
      </c>
      <c r="L1157" s="261">
        <f>IF(ISBLANK(INDEX('Policy Characteristics'!F:F,MATCH($C1157,'Policy Characteristics'!$C:$C,0))),"",INDEX('Policy Characteristics'!F:F,MATCH($C1157,'Policy Characteristics'!$C:$C,0)))</f>
        <v>0</v>
      </c>
      <c r="M1157" s="261">
        <f>IF(ISBLANK(INDEX('Policy Characteristics'!G:G,MATCH($C1157,'Policy Characteristics'!$C:$C,0))),"",INDEX('Policy Characteristics'!G:G,MATCH($C1157,'Policy Characteristics'!$C:$C,0)))</f>
        <v>1</v>
      </c>
      <c r="N1157" s="261">
        <f>IF(ISBLANK(INDEX('Policy Characteristics'!H:H,MATCH($C1157,'Policy Characteristics'!$C:$C,0))),"",INDEX('Policy Characteristics'!H:H,MATCH($C1157,'Policy Characteristics'!$C:$C,0)))</f>
        <v>0.01</v>
      </c>
      <c r="O1157" s="254" t="str">
        <f>IF(ISBLANK(INDEX('Policy Characteristics'!I:I,MATCH($C1157,'Policy Characteristics'!$C:$C,0))),"",INDEX('Policy Characteristics'!I:I,MATCH($C1157,'Policy Characteristics'!$C:$C,0)))</f>
        <v>% of fuel shifted</v>
      </c>
      <c r="P1157" s="254"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4" t="str">
        <f>IF(ISBLANK(INDEX('Policy Characteristics'!K:K,MATCH($C1157,'Policy Characteristics'!$C:$C,0))),"",INDEX('Policy Characteristics'!K:K,MATCH($C1157,'Policy Characteristics'!$C:$C,0)))</f>
        <v>industry-ag-main.html#fuel-switching</v>
      </c>
      <c r="R1157" s="254" t="str">
        <f>IF(ISBLANK(INDEX('Policy Characteristics'!L:L,MATCH($C1157,'Policy Characteristics'!$C:$C,0))),"",INDEX('Policy Characteristics'!L:L,MATCH($C1157,'Policy Characteristics'!$C:$C,0)))</f>
        <v>industry-elec-and-hydrogen.html</v>
      </c>
    </row>
    <row r="1158" spans="1:18" s="2" customFormat="1" x14ac:dyDescent="0.3">
      <c r="A1158" s="254" t="str">
        <f>IF(ISBLANK(INDEX('Policy Characteristics'!A:A,MATCH($C1158,'Policy Characteristics'!$C:$C,0))),"",INDEX('Policy Characteristics'!A:A,MATCH($C1158,'Policy Characteristics'!$C:$C,0)))</f>
        <v>Industry</v>
      </c>
      <c r="B1158" s="262" t="str">
        <f>IF(ISBLANK(INDEX('Policy Characteristics'!B:B,MATCH($C1158,'Policy Characteristics'!$C:$C,0))),"",INDEX('Policy Characteristics'!B:B,MATCH($C1158,'Policy Characteristics'!$C:$C,0)))</f>
        <v>Hydrogen Combustion</v>
      </c>
      <c r="C1158" s="254" t="str">
        <f t="shared" si="45"/>
        <v>Fraction of Eligible Industrial Energy Use Shifted to Hydrogen</v>
      </c>
      <c r="D1158" s="6" t="s">
        <v>3070</v>
      </c>
      <c r="E1158" s="1" t="s">
        <v>3516</v>
      </c>
      <c r="F1158" t="s">
        <v>2579</v>
      </c>
      <c r="G1158" s="45" t="s">
        <v>3523</v>
      </c>
      <c r="H1158" s="43">
        <v>2107</v>
      </c>
      <c r="I1158" s="324" t="s">
        <v>43</v>
      </c>
      <c r="J1158" s="255" t="str">
        <f>IF(ISBLANK(INDEX('Policy Characteristics'!D:D,MATCH($C1158,'Policy Characteristics'!$C:$C,0))),"",INDEX('Policy Characteristics'!D:D,MATCH($C1158,'Policy Characteristics'!$C:$C,0)))</f>
        <v>Hydrogen Combustion</v>
      </c>
      <c r="K1158" s="254" t="str">
        <f>IF(ISBLANK(INDEX('Policy Characteristics'!E:E,MATCH($C1158,'Policy Characteristics'!$C:$C,0))),"",INDEX('Policy Characteristics'!E:E,MATCH($C1158,'Policy Characteristics'!$C:$C,0)))</f>
        <v>indst shift to hydrogen</v>
      </c>
      <c r="L1158" s="261">
        <f>IF(ISBLANK(INDEX('Policy Characteristics'!F:F,MATCH($C1158,'Policy Characteristics'!$C:$C,0))),"",INDEX('Policy Characteristics'!F:F,MATCH($C1158,'Policy Characteristics'!$C:$C,0)))</f>
        <v>0</v>
      </c>
      <c r="M1158" s="261">
        <f>IF(ISBLANK(INDEX('Policy Characteristics'!G:G,MATCH($C1158,'Policy Characteristics'!$C:$C,0))),"",INDEX('Policy Characteristics'!G:G,MATCH($C1158,'Policy Characteristics'!$C:$C,0)))</f>
        <v>1</v>
      </c>
      <c r="N1158" s="261">
        <f>IF(ISBLANK(INDEX('Policy Characteristics'!H:H,MATCH($C1158,'Policy Characteristics'!$C:$C,0))),"",INDEX('Policy Characteristics'!H:H,MATCH($C1158,'Policy Characteristics'!$C:$C,0)))</f>
        <v>0.01</v>
      </c>
      <c r="O1158" s="254" t="str">
        <f>IF(ISBLANK(INDEX('Policy Characteristics'!I:I,MATCH($C1158,'Policy Characteristics'!$C:$C,0))),"",INDEX('Policy Characteristics'!I:I,MATCH($C1158,'Policy Characteristics'!$C:$C,0)))</f>
        <v>% of fuel shifted</v>
      </c>
      <c r="P1158" s="254"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4" t="str">
        <f>IF(ISBLANK(INDEX('Policy Characteristics'!K:K,MATCH($C1158,'Policy Characteristics'!$C:$C,0))),"",INDEX('Policy Characteristics'!K:K,MATCH($C1158,'Policy Characteristics'!$C:$C,0)))</f>
        <v>industry-ag-main.html#fuel-switching</v>
      </c>
      <c r="R1158" s="254" t="str">
        <f>IF(ISBLANK(INDEX('Policy Characteristics'!L:L,MATCH($C1158,'Policy Characteristics'!$C:$C,0))),"",INDEX('Policy Characteristics'!L:L,MATCH($C1158,'Policy Characteristics'!$C:$C,0)))</f>
        <v>industry-elec-and-hydrogen.html</v>
      </c>
    </row>
    <row r="1159" spans="1:18" s="2" customFormat="1" x14ac:dyDescent="0.3">
      <c r="A1159" s="254" t="str">
        <f>IF(ISBLANK(INDEX('Policy Characteristics'!A:A,MATCH($C1159,'Policy Characteristics'!$C:$C,0))),"",INDEX('Policy Characteristics'!A:A,MATCH($C1159,'Policy Characteristics'!$C:$C,0)))</f>
        <v>Industry</v>
      </c>
      <c r="B1159" s="262" t="str">
        <f>IF(ISBLANK(INDEX('Policy Characteristics'!B:B,MATCH($C1159,'Policy Characteristics'!$C:$C,0))),"",INDEX('Policy Characteristics'!B:B,MATCH($C1159,'Policy Characteristics'!$C:$C,0)))</f>
        <v>Hydrogen Combustion</v>
      </c>
      <c r="C1159" s="254" t="str">
        <f t="shared" si="45"/>
        <v>Fraction of Eligible Industrial Energy Use Shifted to Hydrogen</v>
      </c>
      <c r="D1159" s="6" t="s">
        <v>3070</v>
      </c>
      <c r="E1159" s="1" t="s">
        <v>3517</v>
      </c>
      <c r="F1159" t="s">
        <v>2579</v>
      </c>
      <c r="G1159" s="45" t="s">
        <v>3524</v>
      </c>
      <c r="H1159" s="43">
        <v>2108</v>
      </c>
      <c r="I1159" s="324" t="s">
        <v>43</v>
      </c>
      <c r="J1159" s="255" t="str">
        <f>IF(ISBLANK(INDEX('Policy Characteristics'!D:D,MATCH($C1159,'Policy Characteristics'!$C:$C,0))),"",INDEX('Policy Characteristics'!D:D,MATCH($C1159,'Policy Characteristics'!$C:$C,0)))</f>
        <v>Hydrogen Combustion</v>
      </c>
      <c r="K1159" s="254" t="str">
        <f>IF(ISBLANK(INDEX('Policy Characteristics'!E:E,MATCH($C1159,'Policy Characteristics'!$C:$C,0))),"",INDEX('Policy Characteristics'!E:E,MATCH($C1159,'Policy Characteristics'!$C:$C,0)))</f>
        <v>indst shift to hydrogen</v>
      </c>
      <c r="L1159" s="261">
        <f>IF(ISBLANK(INDEX('Policy Characteristics'!F:F,MATCH($C1159,'Policy Characteristics'!$C:$C,0))),"",INDEX('Policy Characteristics'!F:F,MATCH($C1159,'Policy Characteristics'!$C:$C,0)))</f>
        <v>0</v>
      </c>
      <c r="M1159" s="261">
        <f>IF(ISBLANK(INDEX('Policy Characteristics'!G:G,MATCH($C1159,'Policy Characteristics'!$C:$C,0))),"",INDEX('Policy Characteristics'!G:G,MATCH($C1159,'Policy Characteristics'!$C:$C,0)))</f>
        <v>1</v>
      </c>
      <c r="N1159" s="261">
        <f>IF(ISBLANK(INDEX('Policy Characteristics'!H:H,MATCH($C1159,'Policy Characteristics'!$C:$C,0))),"",INDEX('Policy Characteristics'!H:H,MATCH($C1159,'Policy Characteristics'!$C:$C,0)))</f>
        <v>0.01</v>
      </c>
      <c r="O1159" s="254" t="str">
        <f>IF(ISBLANK(INDEX('Policy Characteristics'!I:I,MATCH($C1159,'Policy Characteristics'!$C:$C,0))),"",INDEX('Policy Characteristics'!I:I,MATCH($C1159,'Policy Characteristics'!$C:$C,0)))</f>
        <v>% of fuel shifted</v>
      </c>
      <c r="P1159" s="254"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4" t="str">
        <f>IF(ISBLANK(INDEX('Policy Characteristics'!K:K,MATCH($C1159,'Policy Characteristics'!$C:$C,0))),"",INDEX('Policy Characteristics'!K:K,MATCH($C1159,'Policy Characteristics'!$C:$C,0)))</f>
        <v>industry-ag-main.html#fuel-switching</v>
      </c>
      <c r="R1159" s="254" t="str">
        <f>IF(ISBLANK(INDEX('Policy Characteristics'!L:L,MATCH($C1159,'Policy Characteristics'!$C:$C,0))),"",INDEX('Policy Characteristics'!L:L,MATCH($C1159,'Policy Characteristics'!$C:$C,0)))</f>
        <v>industry-elec-and-hydrogen.html</v>
      </c>
    </row>
    <row r="1160" spans="1:18" s="2" customFormat="1" x14ac:dyDescent="0.3">
      <c r="A1160" s="254" t="str">
        <f>IF(ISBLANK(INDEX('Policy Characteristics'!A:A,MATCH($C1160,'Policy Characteristics'!$C:$C,0))),"",INDEX('Policy Characteristics'!A:A,MATCH($C1160,'Policy Characteristics'!$C:$C,0)))</f>
        <v>Industry</v>
      </c>
      <c r="B1160" s="262" t="str">
        <f>IF(ISBLANK(INDEX('Policy Characteristics'!B:B,MATCH($C1160,'Policy Characteristics'!$C:$C,0))),"",INDEX('Policy Characteristics'!B:B,MATCH($C1160,'Policy Characteristics'!$C:$C,0)))</f>
        <v>Hydrogen Combustion</v>
      </c>
      <c r="C1160" s="254" t="str">
        <f t="shared" si="45"/>
        <v>Fraction of Eligible Industrial Energy Use Shifted to Hydrogen</v>
      </c>
      <c r="D1160" s="6" t="s">
        <v>3070</v>
      </c>
      <c r="E1160" s="1" t="s">
        <v>3518</v>
      </c>
      <c r="F1160" t="s">
        <v>2579</v>
      </c>
      <c r="G1160" s="45" t="s">
        <v>3525</v>
      </c>
      <c r="H1160" s="43">
        <v>2109</v>
      </c>
      <c r="I1160" s="324" t="s">
        <v>43</v>
      </c>
      <c r="J1160" s="255" t="str">
        <f>IF(ISBLANK(INDEX('Policy Characteristics'!D:D,MATCH($C1160,'Policy Characteristics'!$C:$C,0))),"",INDEX('Policy Characteristics'!D:D,MATCH($C1160,'Policy Characteristics'!$C:$C,0)))</f>
        <v>Hydrogen Combustion</v>
      </c>
      <c r="K1160" s="254" t="str">
        <f>IF(ISBLANK(INDEX('Policy Characteristics'!E:E,MATCH($C1160,'Policy Characteristics'!$C:$C,0))),"",INDEX('Policy Characteristics'!E:E,MATCH($C1160,'Policy Characteristics'!$C:$C,0)))</f>
        <v>indst shift to hydrogen</v>
      </c>
      <c r="L1160" s="261">
        <f>IF(ISBLANK(INDEX('Policy Characteristics'!F:F,MATCH($C1160,'Policy Characteristics'!$C:$C,0))),"",INDEX('Policy Characteristics'!F:F,MATCH($C1160,'Policy Characteristics'!$C:$C,0)))</f>
        <v>0</v>
      </c>
      <c r="M1160" s="261">
        <f>IF(ISBLANK(INDEX('Policy Characteristics'!G:G,MATCH($C1160,'Policy Characteristics'!$C:$C,0))),"",INDEX('Policy Characteristics'!G:G,MATCH($C1160,'Policy Characteristics'!$C:$C,0)))</f>
        <v>1</v>
      </c>
      <c r="N1160" s="261">
        <f>IF(ISBLANK(INDEX('Policy Characteristics'!H:H,MATCH($C1160,'Policy Characteristics'!$C:$C,0))),"",INDEX('Policy Characteristics'!H:H,MATCH($C1160,'Policy Characteristics'!$C:$C,0)))</f>
        <v>0.01</v>
      </c>
      <c r="O1160" s="254" t="str">
        <f>IF(ISBLANK(INDEX('Policy Characteristics'!I:I,MATCH($C1160,'Policy Characteristics'!$C:$C,0))),"",INDEX('Policy Characteristics'!I:I,MATCH($C1160,'Policy Characteristics'!$C:$C,0)))</f>
        <v>% of fuel shifted</v>
      </c>
      <c r="P1160" s="254"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4" t="str">
        <f>IF(ISBLANK(INDEX('Policy Characteristics'!K:K,MATCH($C1160,'Policy Characteristics'!$C:$C,0))),"",INDEX('Policy Characteristics'!K:K,MATCH($C1160,'Policy Characteristics'!$C:$C,0)))</f>
        <v>industry-ag-main.html#fuel-switching</v>
      </c>
      <c r="R1160" s="254" t="str">
        <f>IF(ISBLANK(INDEX('Policy Characteristics'!L:L,MATCH($C1160,'Policy Characteristics'!$C:$C,0))),"",INDEX('Policy Characteristics'!L:L,MATCH($C1160,'Policy Characteristics'!$C:$C,0)))</f>
        <v>industry-elec-and-hydrogen.html</v>
      </c>
    </row>
    <row r="1161" spans="1:18" s="2" customFormat="1" x14ac:dyDescent="0.3">
      <c r="A1161" s="254" t="str">
        <f>IF(ISBLANK(INDEX('Policy Characteristics'!A:A,MATCH($C1161,'Policy Characteristics'!$C:$C,0))),"",INDEX('Policy Characteristics'!A:A,MATCH($C1161,'Policy Characteristics'!$C:$C,0)))</f>
        <v>Industry</v>
      </c>
      <c r="B1161" s="262" t="str">
        <f>IF(ISBLANK(INDEX('Policy Characteristics'!B:B,MATCH($C1161,'Policy Characteristics'!$C:$C,0))),"",INDEX('Policy Characteristics'!B:B,MATCH($C1161,'Policy Characteristics'!$C:$C,0)))</f>
        <v>Hydrogen Combustion</v>
      </c>
      <c r="C1161" s="254" t="str">
        <f t="shared" si="45"/>
        <v>Fraction of Eligible Industrial Energy Use Shifted to Hydrogen</v>
      </c>
      <c r="D1161" s="6" t="s">
        <v>3070</v>
      </c>
      <c r="E1161" s="1" t="s">
        <v>3519</v>
      </c>
      <c r="F1161" t="s">
        <v>2579</v>
      </c>
      <c r="G1161" s="45" t="s">
        <v>3526</v>
      </c>
      <c r="H1161" s="43">
        <v>2110</v>
      </c>
      <c r="I1161" s="324" t="s">
        <v>43</v>
      </c>
      <c r="J1161" s="255" t="str">
        <f>IF(ISBLANK(INDEX('Policy Characteristics'!D:D,MATCH($C1161,'Policy Characteristics'!$C:$C,0))),"",INDEX('Policy Characteristics'!D:D,MATCH($C1161,'Policy Characteristics'!$C:$C,0)))</f>
        <v>Hydrogen Combustion</v>
      </c>
      <c r="K1161" s="254" t="str">
        <f>IF(ISBLANK(INDEX('Policy Characteristics'!E:E,MATCH($C1161,'Policy Characteristics'!$C:$C,0))),"",INDEX('Policy Characteristics'!E:E,MATCH($C1161,'Policy Characteristics'!$C:$C,0)))</f>
        <v>indst shift to hydrogen</v>
      </c>
      <c r="L1161" s="261">
        <f>IF(ISBLANK(INDEX('Policy Characteristics'!F:F,MATCH($C1161,'Policy Characteristics'!$C:$C,0))),"",INDEX('Policy Characteristics'!F:F,MATCH($C1161,'Policy Characteristics'!$C:$C,0)))</f>
        <v>0</v>
      </c>
      <c r="M1161" s="261">
        <f>IF(ISBLANK(INDEX('Policy Characteristics'!G:G,MATCH($C1161,'Policy Characteristics'!$C:$C,0))),"",INDEX('Policy Characteristics'!G:G,MATCH($C1161,'Policy Characteristics'!$C:$C,0)))</f>
        <v>1</v>
      </c>
      <c r="N1161" s="261">
        <f>IF(ISBLANK(INDEX('Policy Characteristics'!H:H,MATCH($C1161,'Policy Characteristics'!$C:$C,0))),"",INDEX('Policy Characteristics'!H:H,MATCH($C1161,'Policy Characteristics'!$C:$C,0)))</f>
        <v>0.01</v>
      </c>
      <c r="O1161" s="254" t="str">
        <f>IF(ISBLANK(INDEX('Policy Characteristics'!I:I,MATCH($C1161,'Policy Characteristics'!$C:$C,0))),"",INDEX('Policy Characteristics'!I:I,MATCH($C1161,'Policy Characteristics'!$C:$C,0)))</f>
        <v>% of fuel shifted</v>
      </c>
      <c r="P1161" s="254"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4" t="str">
        <f>IF(ISBLANK(INDEX('Policy Characteristics'!K:K,MATCH($C1161,'Policy Characteristics'!$C:$C,0))),"",INDEX('Policy Characteristics'!K:K,MATCH($C1161,'Policy Characteristics'!$C:$C,0)))</f>
        <v>industry-ag-main.html#fuel-switching</v>
      </c>
      <c r="R1161" s="254" t="str">
        <f>IF(ISBLANK(INDEX('Policy Characteristics'!L:L,MATCH($C1161,'Policy Characteristics'!$C:$C,0))),"",INDEX('Policy Characteristics'!L:L,MATCH($C1161,'Policy Characteristics'!$C:$C,0)))</f>
        <v>industry-elec-and-hydrogen.html</v>
      </c>
    </row>
    <row r="1162" spans="1:18" s="2" customFormat="1" x14ac:dyDescent="0.3">
      <c r="A1162" s="254" t="str">
        <f>IF(ISBLANK(INDEX('Policy Characteristics'!A:A,MATCH($C1162,'Policy Characteristics'!$C:$C,0))),"",INDEX('Policy Characteristics'!A:A,MATCH($C1162,'Policy Characteristics'!$C:$C,0)))</f>
        <v>Industry</v>
      </c>
      <c r="B1162" s="262" t="str">
        <f>IF(ISBLANK(INDEX('Policy Characteristics'!B:B,MATCH($C1162,'Policy Characteristics'!$C:$C,0))),"",INDEX('Policy Characteristics'!B:B,MATCH($C1162,'Policy Characteristics'!$C:$C,0)))</f>
        <v>Hydrogen Combustion</v>
      </c>
      <c r="C1162" s="254" t="str">
        <f t="shared" si="45"/>
        <v>Fraction of Eligible Industrial Energy Use Shifted to Hydrogen</v>
      </c>
      <c r="D1162" s="6" t="s">
        <v>3070</v>
      </c>
      <c r="E1162" s="1" t="s">
        <v>3520</v>
      </c>
      <c r="F1162" t="s">
        <v>2579</v>
      </c>
      <c r="G1162" s="45" t="s">
        <v>3527</v>
      </c>
      <c r="H1162" s="43">
        <v>2111</v>
      </c>
      <c r="I1162" s="324" t="s">
        <v>43</v>
      </c>
      <c r="J1162" s="255" t="str">
        <f>IF(ISBLANK(INDEX('Policy Characteristics'!D:D,MATCH($C1162,'Policy Characteristics'!$C:$C,0))),"",INDEX('Policy Characteristics'!D:D,MATCH($C1162,'Policy Characteristics'!$C:$C,0)))</f>
        <v>Hydrogen Combustion</v>
      </c>
      <c r="K1162" s="254" t="str">
        <f>IF(ISBLANK(INDEX('Policy Characteristics'!E:E,MATCH($C1162,'Policy Characteristics'!$C:$C,0))),"",INDEX('Policy Characteristics'!E:E,MATCH($C1162,'Policy Characteristics'!$C:$C,0)))</f>
        <v>indst shift to hydrogen</v>
      </c>
      <c r="L1162" s="261">
        <f>IF(ISBLANK(INDEX('Policy Characteristics'!F:F,MATCH($C1162,'Policy Characteristics'!$C:$C,0))),"",INDEX('Policy Characteristics'!F:F,MATCH($C1162,'Policy Characteristics'!$C:$C,0)))</f>
        <v>0</v>
      </c>
      <c r="M1162" s="261">
        <f>IF(ISBLANK(INDEX('Policy Characteristics'!G:G,MATCH($C1162,'Policy Characteristics'!$C:$C,0))),"",INDEX('Policy Characteristics'!G:G,MATCH($C1162,'Policy Characteristics'!$C:$C,0)))</f>
        <v>1</v>
      </c>
      <c r="N1162" s="261">
        <f>IF(ISBLANK(INDEX('Policy Characteristics'!H:H,MATCH($C1162,'Policy Characteristics'!$C:$C,0))),"",INDEX('Policy Characteristics'!H:H,MATCH($C1162,'Policy Characteristics'!$C:$C,0)))</f>
        <v>0.01</v>
      </c>
      <c r="O1162" s="254" t="str">
        <f>IF(ISBLANK(INDEX('Policy Characteristics'!I:I,MATCH($C1162,'Policy Characteristics'!$C:$C,0))),"",INDEX('Policy Characteristics'!I:I,MATCH($C1162,'Policy Characteristics'!$C:$C,0)))</f>
        <v>% of fuel shifted</v>
      </c>
      <c r="P1162" s="254"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4" t="str">
        <f>IF(ISBLANK(INDEX('Policy Characteristics'!K:K,MATCH($C1162,'Policy Characteristics'!$C:$C,0))),"",INDEX('Policy Characteristics'!K:K,MATCH($C1162,'Policy Characteristics'!$C:$C,0)))</f>
        <v>industry-ag-main.html#fuel-switching</v>
      </c>
      <c r="R1162" s="254" t="str">
        <f>IF(ISBLANK(INDEX('Policy Characteristics'!L:L,MATCH($C1162,'Policy Characteristics'!$C:$C,0))),"",INDEX('Policy Characteristics'!L:L,MATCH($C1162,'Policy Characteristics'!$C:$C,0)))</f>
        <v>industry-elec-and-hydrogen.html</v>
      </c>
    </row>
    <row r="1163" spans="1:18" s="2" customFormat="1" x14ac:dyDescent="0.3">
      <c r="A1163" s="254" t="str">
        <f>IF(ISBLANK(INDEX('Policy Characteristics'!A:A,MATCH($C1163,'Policy Characteristics'!$C:$C,0))),"",INDEX('Policy Characteristics'!A:A,MATCH($C1163,'Policy Characteristics'!$C:$C,0)))</f>
        <v>Industry</v>
      </c>
      <c r="B1163" s="262" t="str">
        <f>IF(ISBLANK(INDEX('Policy Characteristics'!B:B,MATCH($C1163,'Policy Characteristics'!$C:$C,0))),"",INDEX('Policy Characteristics'!B:B,MATCH($C1163,'Policy Characteristics'!$C:$C,0)))</f>
        <v>Hydrogen Combustion</v>
      </c>
      <c r="C1163" s="254" t="str">
        <f t="shared" si="45"/>
        <v>Fraction of Eligible Industrial Energy Use Shifted to Hydrogen</v>
      </c>
      <c r="D1163" s="6" t="s">
        <v>3070</v>
      </c>
      <c r="E1163" s="1" t="s">
        <v>3521</v>
      </c>
      <c r="F1163" t="s">
        <v>2579</v>
      </c>
      <c r="G1163" s="45" t="s">
        <v>3528</v>
      </c>
      <c r="H1163" s="43">
        <v>2112</v>
      </c>
      <c r="I1163" s="324" t="s">
        <v>44</v>
      </c>
      <c r="J1163" s="255" t="str">
        <f>IF(ISBLANK(INDEX('Policy Characteristics'!D:D,MATCH($C1163,'Policy Characteristics'!$C:$C,0))),"",INDEX('Policy Characteristics'!D:D,MATCH($C1163,'Policy Characteristics'!$C:$C,0)))</f>
        <v>Hydrogen Combustion</v>
      </c>
      <c r="K1163" s="254" t="str">
        <f>IF(ISBLANK(INDEX('Policy Characteristics'!E:E,MATCH($C1163,'Policy Characteristics'!$C:$C,0))),"",INDEX('Policy Characteristics'!E:E,MATCH($C1163,'Policy Characteristics'!$C:$C,0)))</f>
        <v>indst shift to hydrogen</v>
      </c>
      <c r="L1163" s="261">
        <f>IF(ISBLANK(INDEX('Policy Characteristics'!F:F,MATCH($C1163,'Policy Characteristics'!$C:$C,0))),"",INDEX('Policy Characteristics'!F:F,MATCH($C1163,'Policy Characteristics'!$C:$C,0)))</f>
        <v>0</v>
      </c>
      <c r="M1163" s="261">
        <f>IF(ISBLANK(INDEX('Policy Characteristics'!G:G,MATCH($C1163,'Policy Characteristics'!$C:$C,0))),"",INDEX('Policy Characteristics'!G:G,MATCH($C1163,'Policy Characteristics'!$C:$C,0)))</f>
        <v>1</v>
      </c>
      <c r="N1163" s="261">
        <f>IF(ISBLANK(INDEX('Policy Characteristics'!H:H,MATCH($C1163,'Policy Characteristics'!$C:$C,0))),"",INDEX('Policy Characteristics'!H:H,MATCH($C1163,'Policy Characteristics'!$C:$C,0)))</f>
        <v>0.01</v>
      </c>
      <c r="O1163" s="254" t="str">
        <f>IF(ISBLANK(INDEX('Policy Characteristics'!I:I,MATCH($C1163,'Policy Characteristics'!$C:$C,0))),"",INDEX('Policy Characteristics'!I:I,MATCH($C1163,'Policy Characteristics'!$C:$C,0)))</f>
        <v>% of fuel shifted</v>
      </c>
      <c r="P1163" s="254"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4" t="str">
        <f>IF(ISBLANK(INDEX('Policy Characteristics'!K:K,MATCH($C1163,'Policy Characteristics'!$C:$C,0))),"",INDEX('Policy Characteristics'!K:K,MATCH($C1163,'Policy Characteristics'!$C:$C,0)))</f>
        <v>industry-ag-main.html#fuel-switching</v>
      </c>
      <c r="R1163" s="254" t="str">
        <f>IF(ISBLANK(INDEX('Policy Characteristics'!L:L,MATCH($C1163,'Policy Characteristics'!$C:$C,0))),"",INDEX('Policy Characteristics'!L:L,MATCH($C1163,'Policy Characteristics'!$C:$C,0)))</f>
        <v>industry-elec-and-hydrogen.html</v>
      </c>
    </row>
    <row r="1164" spans="1:18" s="2" customFormat="1" x14ac:dyDescent="0.3">
      <c r="A1164" s="254" t="str">
        <f>IF(ISBLANK(INDEX('Policy Characteristics'!A:A,MATCH($C1164,'Policy Characteristics'!$C:$C,0))),"",INDEX('Policy Characteristics'!A:A,MATCH($C1164,'Policy Characteristics'!$C:$C,0)))</f>
        <v>Industry</v>
      </c>
      <c r="B1164" s="262" t="str">
        <f>IF(ISBLANK(INDEX('Policy Characteristics'!B:B,MATCH($C1164,'Policy Characteristics'!$C:$C,0))),"",INDEX('Policy Characteristics'!B:B,MATCH($C1164,'Policy Characteristics'!$C:$C,0)))</f>
        <v>Hydrogen Combustion</v>
      </c>
      <c r="C1164" s="254" t="str">
        <f t="shared" si="45"/>
        <v>Fraction of Eligible Industrial Energy Use Shifted to Hydrogen</v>
      </c>
      <c r="D1164" s="6" t="s">
        <v>3070</v>
      </c>
      <c r="E1164" s="1" t="s">
        <v>3671</v>
      </c>
      <c r="F1164" t="s">
        <v>2579</v>
      </c>
      <c r="G1164" s="45" t="s">
        <v>3671</v>
      </c>
      <c r="H1164" s="43">
        <v>2113</v>
      </c>
      <c r="I1164" s="324" t="s">
        <v>43</v>
      </c>
      <c r="J1164" s="255" t="str">
        <f>IF(ISBLANK(INDEX('Policy Characteristics'!D:D,MATCH($C1164,'Policy Characteristics'!$C:$C,0))),"",INDEX('Policy Characteristics'!D:D,MATCH($C1164,'Policy Characteristics'!$C:$C,0)))</f>
        <v>Hydrogen Combustion</v>
      </c>
      <c r="K1164" s="254" t="str">
        <f>IF(ISBLANK(INDEX('Policy Characteristics'!E:E,MATCH($C1164,'Policy Characteristics'!$C:$C,0))),"",INDEX('Policy Characteristics'!E:E,MATCH($C1164,'Policy Characteristics'!$C:$C,0)))</f>
        <v>indst shift to hydrogen</v>
      </c>
      <c r="L1164" s="261">
        <f>IF(ISBLANK(INDEX('Policy Characteristics'!F:F,MATCH($C1164,'Policy Characteristics'!$C:$C,0))),"",INDEX('Policy Characteristics'!F:F,MATCH($C1164,'Policy Characteristics'!$C:$C,0)))</f>
        <v>0</v>
      </c>
      <c r="M1164" s="261">
        <f>IF(ISBLANK(INDEX('Policy Characteristics'!G:G,MATCH($C1164,'Policy Characteristics'!$C:$C,0))),"",INDEX('Policy Characteristics'!G:G,MATCH($C1164,'Policy Characteristics'!$C:$C,0)))</f>
        <v>1</v>
      </c>
      <c r="N1164" s="261">
        <f>IF(ISBLANK(INDEX('Policy Characteristics'!H:H,MATCH($C1164,'Policy Characteristics'!$C:$C,0))),"",INDEX('Policy Characteristics'!H:H,MATCH($C1164,'Policy Characteristics'!$C:$C,0)))</f>
        <v>0.01</v>
      </c>
      <c r="O1164" s="254" t="str">
        <f>IF(ISBLANK(INDEX('Policy Characteristics'!I:I,MATCH($C1164,'Policy Characteristics'!$C:$C,0))),"",INDEX('Policy Characteristics'!I:I,MATCH($C1164,'Policy Characteristics'!$C:$C,0)))</f>
        <v>% of fuel shifted</v>
      </c>
      <c r="P1164" s="254"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4" t="str">
        <f>IF(ISBLANK(INDEX('Policy Characteristics'!K:K,MATCH($C1164,'Policy Characteristics'!$C:$C,0))),"",INDEX('Policy Characteristics'!K:K,MATCH($C1164,'Policy Characteristics'!$C:$C,0)))</f>
        <v>industry-ag-main.html#fuel-switching</v>
      </c>
      <c r="R1164" s="254" t="str">
        <f>IF(ISBLANK(INDEX('Policy Characteristics'!L:L,MATCH($C1164,'Policy Characteristics'!$C:$C,0))),"",INDEX('Policy Characteristics'!L:L,MATCH($C1164,'Policy Characteristics'!$C:$C,0)))</f>
        <v>industry-elec-and-hydrogen.html</v>
      </c>
    </row>
    <row r="1165" spans="1:18" s="2" customFormat="1" x14ac:dyDescent="0.3">
      <c r="A1165" s="254" t="str">
        <f>IF(ISBLANK(INDEX('Policy Characteristics'!A:A,MATCH($C1165,'Policy Characteristics'!$C:$C,0))),"",INDEX('Policy Characteristics'!A:A,MATCH($C1165,'Policy Characteristics'!$C:$C,0)))</f>
        <v>Industry</v>
      </c>
      <c r="B1165" s="262" t="str">
        <f>IF(ISBLANK(INDEX('Policy Characteristics'!B:B,MATCH($C1165,'Policy Characteristics'!$C:$C,0))),"",INDEX('Policy Characteristics'!B:B,MATCH($C1165,'Policy Characteristics'!$C:$C,0)))</f>
        <v>Hydrogen Combustion</v>
      </c>
      <c r="C1165" s="254" t="str">
        <f t="shared" si="45"/>
        <v>Fraction of Eligible Industrial Energy Use Shifted to Hydrogen</v>
      </c>
      <c r="D1165" s="6" t="s">
        <v>3071</v>
      </c>
      <c r="E1165" s="1" t="s">
        <v>3515</v>
      </c>
      <c r="F1165" t="s">
        <v>3034</v>
      </c>
      <c r="G1165" s="45" t="s">
        <v>3522</v>
      </c>
      <c r="H1165" s="43">
        <v>2114</v>
      </c>
      <c r="I1165" s="324" t="s">
        <v>43</v>
      </c>
      <c r="J1165" s="255" t="str">
        <f>IF(ISBLANK(INDEX('Policy Characteristics'!D:D,MATCH($C1165,'Policy Characteristics'!$C:$C,0))),"",INDEX('Policy Characteristics'!D:D,MATCH($C1165,'Policy Characteristics'!$C:$C,0)))</f>
        <v>Hydrogen Combustion</v>
      </c>
      <c r="K1165" s="254" t="str">
        <f>IF(ISBLANK(INDEX('Policy Characteristics'!E:E,MATCH($C1165,'Policy Characteristics'!$C:$C,0))),"",INDEX('Policy Characteristics'!E:E,MATCH($C1165,'Policy Characteristics'!$C:$C,0)))</f>
        <v>indst shift to hydrogen</v>
      </c>
      <c r="L1165" s="261">
        <f>IF(ISBLANK(INDEX('Policy Characteristics'!F:F,MATCH($C1165,'Policy Characteristics'!$C:$C,0))),"",INDEX('Policy Characteristics'!F:F,MATCH($C1165,'Policy Characteristics'!$C:$C,0)))</f>
        <v>0</v>
      </c>
      <c r="M1165" s="261">
        <f>IF(ISBLANK(INDEX('Policy Characteristics'!G:G,MATCH($C1165,'Policy Characteristics'!$C:$C,0))),"",INDEX('Policy Characteristics'!G:G,MATCH($C1165,'Policy Characteristics'!$C:$C,0)))</f>
        <v>1</v>
      </c>
      <c r="N1165" s="261">
        <f>IF(ISBLANK(INDEX('Policy Characteristics'!H:H,MATCH($C1165,'Policy Characteristics'!$C:$C,0))),"",INDEX('Policy Characteristics'!H:H,MATCH($C1165,'Policy Characteristics'!$C:$C,0)))</f>
        <v>0.01</v>
      </c>
      <c r="O1165" s="254" t="str">
        <f>IF(ISBLANK(INDEX('Policy Characteristics'!I:I,MATCH($C1165,'Policy Characteristics'!$C:$C,0))),"",INDEX('Policy Characteristics'!I:I,MATCH($C1165,'Policy Characteristics'!$C:$C,0)))</f>
        <v>% of fuel shifted</v>
      </c>
      <c r="P1165" s="254"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4" t="str">
        <f>IF(ISBLANK(INDEX('Policy Characteristics'!K:K,MATCH($C1165,'Policy Characteristics'!$C:$C,0))),"",INDEX('Policy Characteristics'!K:K,MATCH($C1165,'Policy Characteristics'!$C:$C,0)))</f>
        <v>industry-ag-main.html#fuel-switching</v>
      </c>
      <c r="R1165" s="254" t="str">
        <f>IF(ISBLANK(INDEX('Policy Characteristics'!L:L,MATCH($C1165,'Policy Characteristics'!$C:$C,0))),"",INDEX('Policy Characteristics'!L:L,MATCH($C1165,'Policy Characteristics'!$C:$C,0)))</f>
        <v>industry-elec-and-hydrogen.html</v>
      </c>
    </row>
    <row r="1166" spans="1:18" s="2" customFormat="1" x14ac:dyDescent="0.3">
      <c r="A1166" s="254" t="str">
        <f>IF(ISBLANK(INDEX('Policy Characteristics'!A:A,MATCH($C1166,'Policy Characteristics'!$C:$C,0))),"",INDEX('Policy Characteristics'!A:A,MATCH($C1166,'Policy Characteristics'!$C:$C,0)))</f>
        <v>Industry</v>
      </c>
      <c r="B1166" s="262" t="str">
        <f>IF(ISBLANK(INDEX('Policy Characteristics'!B:B,MATCH($C1166,'Policy Characteristics'!$C:$C,0))),"",INDEX('Policy Characteristics'!B:B,MATCH($C1166,'Policy Characteristics'!$C:$C,0)))</f>
        <v>Hydrogen Combustion</v>
      </c>
      <c r="C1166" s="254" t="str">
        <f t="shared" si="45"/>
        <v>Fraction of Eligible Industrial Energy Use Shifted to Hydrogen</v>
      </c>
      <c r="D1166" s="6" t="s">
        <v>3071</v>
      </c>
      <c r="E1166" s="1" t="s">
        <v>3516</v>
      </c>
      <c r="F1166" t="s">
        <v>3034</v>
      </c>
      <c r="G1166" s="45" t="s">
        <v>3523</v>
      </c>
      <c r="H1166" s="43">
        <v>2115</v>
      </c>
      <c r="I1166" s="324" t="s">
        <v>43</v>
      </c>
      <c r="J1166" s="255" t="str">
        <f>IF(ISBLANK(INDEX('Policy Characteristics'!D:D,MATCH($C1166,'Policy Characteristics'!$C:$C,0))),"",INDEX('Policy Characteristics'!D:D,MATCH($C1166,'Policy Characteristics'!$C:$C,0)))</f>
        <v>Hydrogen Combustion</v>
      </c>
      <c r="K1166" s="254" t="str">
        <f>IF(ISBLANK(INDEX('Policy Characteristics'!E:E,MATCH($C1166,'Policy Characteristics'!$C:$C,0))),"",INDEX('Policy Characteristics'!E:E,MATCH($C1166,'Policy Characteristics'!$C:$C,0)))</f>
        <v>indst shift to hydrogen</v>
      </c>
      <c r="L1166" s="261">
        <f>IF(ISBLANK(INDEX('Policy Characteristics'!F:F,MATCH($C1166,'Policy Characteristics'!$C:$C,0))),"",INDEX('Policy Characteristics'!F:F,MATCH($C1166,'Policy Characteristics'!$C:$C,0)))</f>
        <v>0</v>
      </c>
      <c r="M1166" s="261">
        <f>IF(ISBLANK(INDEX('Policy Characteristics'!G:G,MATCH($C1166,'Policy Characteristics'!$C:$C,0))),"",INDEX('Policy Characteristics'!G:G,MATCH($C1166,'Policy Characteristics'!$C:$C,0)))</f>
        <v>1</v>
      </c>
      <c r="N1166" s="261">
        <f>IF(ISBLANK(INDEX('Policy Characteristics'!H:H,MATCH($C1166,'Policy Characteristics'!$C:$C,0))),"",INDEX('Policy Characteristics'!H:H,MATCH($C1166,'Policy Characteristics'!$C:$C,0)))</f>
        <v>0.01</v>
      </c>
      <c r="O1166" s="254" t="str">
        <f>IF(ISBLANK(INDEX('Policy Characteristics'!I:I,MATCH($C1166,'Policy Characteristics'!$C:$C,0))),"",INDEX('Policy Characteristics'!I:I,MATCH($C1166,'Policy Characteristics'!$C:$C,0)))</f>
        <v>% of fuel shifted</v>
      </c>
      <c r="P1166" s="254"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4" t="str">
        <f>IF(ISBLANK(INDEX('Policy Characteristics'!K:K,MATCH($C1166,'Policy Characteristics'!$C:$C,0))),"",INDEX('Policy Characteristics'!K:K,MATCH($C1166,'Policy Characteristics'!$C:$C,0)))</f>
        <v>industry-ag-main.html#fuel-switching</v>
      </c>
      <c r="R1166" s="254" t="str">
        <f>IF(ISBLANK(INDEX('Policy Characteristics'!L:L,MATCH($C1166,'Policy Characteristics'!$C:$C,0))),"",INDEX('Policy Characteristics'!L:L,MATCH($C1166,'Policy Characteristics'!$C:$C,0)))</f>
        <v>industry-elec-and-hydrogen.html</v>
      </c>
    </row>
    <row r="1167" spans="1:18" s="2" customFormat="1" x14ac:dyDescent="0.3">
      <c r="A1167" s="254" t="str">
        <f>IF(ISBLANK(INDEX('Policy Characteristics'!A:A,MATCH($C1167,'Policy Characteristics'!$C:$C,0))),"",INDEX('Policy Characteristics'!A:A,MATCH($C1167,'Policy Characteristics'!$C:$C,0)))</f>
        <v>Industry</v>
      </c>
      <c r="B1167" s="262" t="str">
        <f>IF(ISBLANK(INDEX('Policy Characteristics'!B:B,MATCH($C1167,'Policy Characteristics'!$C:$C,0))),"",INDEX('Policy Characteristics'!B:B,MATCH($C1167,'Policy Characteristics'!$C:$C,0)))</f>
        <v>Hydrogen Combustion</v>
      </c>
      <c r="C1167" s="254" t="str">
        <f t="shared" si="45"/>
        <v>Fraction of Eligible Industrial Energy Use Shifted to Hydrogen</v>
      </c>
      <c r="D1167" s="6" t="s">
        <v>3071</v>
      </c>
      <c r="E1167" s="1" t="s">
        <v>3517</v>
      </c>
      <c r="F1167" t="s">
        <v>3034</v>
      </c>
      <c r="G1167" s="45" t="s">
        <v>3524</v>
      </c>
      <c r="H1167" s="43">
        <v>2116</v>
      </c>
      <c r="I1167" s="324" t="s">
        <v>43</v>
      </c>
      <c r="J1167" s="255" t="str">
        <f>IF(ISBLANK(INDEX('Policy Characteristics'!D:D,MATCH($C1167,'Policy Characteristics'!$C:$C,0))),"",INDEX('Policy Characteristics'!D:D,MATCH($C1167,'Policy Characteristics'!$C:$C,0)))</f>
        <v>Hydrogen Combustion</v>
      </c>
      <c r="K1167" s="254" t="str">
        <f>IF(ISBLANK(INDEX('Policy Characteristics'!E:E,MATCH($C1167,'Policy Characteristics'!$C:$C,0))),"",INDEX('Policy Characteristics'!E:E,MATCH($C1167,'Policy Characteristics'!$C:$C,0)))</f>
        <v>indst shift to hydrogen</v>
      </c>
      <c r="L1167" s="261">
        <f>IF(ISBLANK(INDEX('Policy Characteristics'!F:F,MATCH($C1167,'Policy Characteristics'!$C:$C,0))),"",INDEX('Policy Characteristics'!F:F,MATCH($C1167,'Policy Characteristics'!$C:$C,0)))</f>
        <v>0</v>
      </c>
      <c r="M1167" s="261">
        <f>IF(ISBLANK(INDEX('Policy Characteristics'!G:G,MATCH($C1167,'Policy Characteristics'!$C:$C,0))),"",INDEX('Policy Characteristics'!G:G,MATCH($C1167,'Policy Characteristics'!$C:$C,0)))</f>
        <v>1</v>
      </c>
      <c r="N1167" s="261">
        <f>IF(ISBLANK(INDEX('Policy Characteristics'!H:H,MATCH($C1167,'Policy Characteristics'!$C:$C,0))),"",INDEX('Policy Characteristics'!H:H,MATCH($C1167,'Policy Characteristics'!$C:$C,0)))</f>
        <v>0.01</v>
      </c>
      <c r="O1167" s="254" t="str">
        <f>IF(ISBLANK(INDEX('Policy Characteristics'!I:I,MATCH($C1167,'Policy Characteristics'!$C:$C,0))),"",INDEX('Policy Characteristics'!I:I,MATCH($C1167,'Policy Characteristics'!$C:$C,0)))</f>
        <v>% of fuel shifted</v>
      </c>
      <c r="P1167" s="254"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4" t="str">
        <f>IF(ISBLANK(INDEX('Policy Characteristics'!K:K,MATCH($C1167,'Policy Characteristics'!$C:$C,0))),"",INDEX('Policy Characteristics'!K:K,MATCH($C1167,'Policy Characteristics'!$C:$C,0)))</f>
        <v>industry-ag-main.html#fuel-switching</v>
      </c>
      <c r="R1167" s="254" t="str">
        <f>IF(ISBLANK(INDEX('Policy Characteristics'!L:L,MATCH($C1167,'Policy Characteristics'!$C:$C,0))),"",INDEX('Policy Characteristics'!L:L,MATCH($C1167,'Policy Characteristics'!$C:$C,0)))</f>
        <v>industry-elec-and-hydrogen.html</v>
      </c>
    </row>
    <row r="1168" spans="1:18" s="2" customFormat="1" x14ac:dyDescent="0.3">
      <c r="A1168" s="254" t="str">
        <f>IF(ISBLANK(INDEX('Policy Characteristics'!A:A,MATCH($C1168,'Policy Characteristics'!$C:$C,0))),"",INDEX('Policy Characteristics'!A:A,MATCH($C1168,'Policy Characteristics'!$C:$C,0)))</f>
        <v>Industry</v>
      </c>
      <c r="B1168" s="262" t="str">
        <f>IF(ISBLANK(INDEX('Policy Characteristics'!B:B,MATCH($C1168,'Policy Characteristics'!$C:$C,0))),"",INDEX('Policy Characteristics'!B:B,MATCH($C1168,'Policy Characteristics'!$C:$C,0)))</f>
        <v>Hydrogen Combustion</v>
      </c>
      <c r="C1168" s="254" t="str">
        <f t="shared" si="45"/>
        <v>Fraction of Eligible Industrial Energy Use Shifted to Hydrogen</v>
      </c>
      <c r="D1168" s="6" t="s">
        <v>3071</v>
      </c>
      <c r="E1168" s="1" t="s">
        <v>3518</v>
      </c>
      <c r="F1168" t="s">
        <v>3034</v>
      </c>
      <c r="G1168" s="45" t="s">
        <v>3525</v>
      </c>
      <c r="H1168" s="43">
        <v>2117</v>
      </c>
      <c r="I1168" s="324" t="s">
        <v>43</v>
      </c>
      <c r="J1168" s="255" t="str">
        <f>IF(ISBLANK(INDEX('Policy Characteristics'!D:D,MATCH($C1168,'Policy Characteristics'!$C:$C,0))),"",INDEX('Policy Characteristics'!D:D,MATCH($C1168,'Policy Characteristics'!$C:$C,0)))</f>
        <v>Hydrogen Combustion</v>
      </c>
      <c r="K1168" s="254" t="str">
        <f>IF(ISBLANK(INDEX('Policy Characteristics'!E:E,MATCH($C1168,'Policy Characteristics'!$C:$C,0))),"",INDEX('Policy Characteristics'!E:E,MATCH($C1168,'Policy Characteristics'!$C:$C,0)))</f>
        <v>indst shift to hydrogen</v>
      </c>
      <c r="L1168" s="261">
        <f>IF(ISBLANK(INDEX('Policy Characteristics'!F:F,MATCH($C1168,'Policy Characteristics'!$C:$C,0))),"",INDEX('Policy Characteristics'!F:F,MATCH($C1168,'Policy Characteristics'!$C:$C,0)))</f>
        <v>0</v>
      </c>
      <c r="M1168" s="261">
        <f>IF(ISBLANK(INDEX('Policy Characteristics'!G:G,MATCH($C1168,'Policy Characteristics'!$C:$C,0))),"",INDEX('Policy Characteristics'!G:G,MATCH($C1168,'Policy Characteristics'!$C:$C,0)))</f>
        <v>1</v>
      </c>
      <c r="N1168" s="261">
        <f>IF(ISBLANK(INDEX('Policy Characteristics'!H:H,MATCH($C1168,'Policy Characteristics'!$C:$C,0))),"",INDEX('Policy Characteristics'!H:H,MATCH($C1168,'Policy Characteristics'!$C:$C,0)))</f>
        <v>0.01</v>
      </c>
      <c r="O1168" s="254" t="str">
        <f>IF(ISBLANK(INDEX('Policy Characteristics'!I:I,MATCH($C1168,'Policy Characteristics'!$C:$C,0))),"",INDEX('Policy Characteristics'!I:I,MATCH($C1168,'Policy Characteristics'!$C:$C,0)))</f>
        <v>% of fuel shifted</v>
      </c>
      <c r="P1168" s="254"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4" t="str">
        <f>IF(ISBLANK(INDEX('Policy Characteristics'!K:K,MATCH($C1168,'Policy Characteristics'!$C:$C,0))),"",INDEX('Policy Characteristics'!K:K,MATCH($C1168,'Policy Characteristics'!$C:$C,0)))</f>
        <v>industry-ag-main.html#fuel-switching</v>
      </c>
      <c r="R1168" s="254" t="str">
        <f>IF(ISBLANK(INDEX('Policy Characteristics'!L:L,MATCH($C1168,'Policy Characteristics'!$C:$C,0))),"",INDEX('Policy Characteristics'!L:L,MATCH($C1168,'Policy Characteristics'!$C:$C,0)))</f>
        <v>industry-elec-and-hydrogen.html</v>
      </c>
    </row>
    <row r="1169" spans="1:18" s="2" customFormat="1" x14ac:dyDescent="0.3">
      <c r="A1169" s="254" t="str">
        <f>IF(ISBLANK(INDEX('Policy Characteristics'!A:A,MATCH($C1169,'Policy Characteristics'!$C:$C,0))),"",INDEX('Policy Characteristics'!A:A,MATCH($C1169,'Policy Characteristics'!$C:$C,0)))</f>
        <v>Industry</v>
      </c>
      <c r="B1169" s="262" t="str">
        <f>IF(ISBLANK(INDEX('Policy Characteristics'!B:B,MATCH($C1169,'Policy Characteristics'!$C:$C,0))),"",INDEX('Policy Characteristics'!B:B,MATCH($C1169,'Policy Characteristics'!$C:$C,0)))</f>
        <v>Hydrogen Combustion</v>
      </c>
      <c r="C1169" s="254" t="str">
        <f t="shared" si="45"/>
        <v>Fraction of Eligible Industrial Energy Use Shifted to Hydrogen</v>
      </c>
      <c r="D1169" s="6" t="s">
        <v>3071</v>
      </c>
      <c r="E1169" s="1" t="s">
        <v>3519</v>
      </c>
      <c r="F1169" t="s">
        <v>3034</v>
      </c>
      <c r="G1169" s="45" t="s">
        <v>3526</v>
      </c>
      <c r="H1169" s="43">
        <v>2118</v>
      </c>
      <c r="I1169" s="324" t="s">
        <v>44</v>
      </c>
      <c r="J1169" s="255" t="str">
        <f>IF(ISBLANK(INDEX('Policy Characteristics'!D:D,MATCH($C1169,'Policy Characteristics'!$C:$C,0))),"",INDEX('Policy Characteristics'!D:D,MATCH($C1169,'Policy Characteristics'!$C:$C,0)))</f>
        <v>Hydrogen Combustion</v>
      </c>
      <c r="K1169" s="254" t="str">
        <f>IF(ISBLANK(INDEX('Policy Characteristics'!E:E,MATCH($C1169,'Policy Characteristics'!$C:$C,0))),"",INDEX('Policy Characteristics'!E:E,MATCH($C1169,'Policy Characteristics'!$C:$C,0)))</f>
        <v>indst shift to hydrogen</v>
      </c>
      <c r="L1169" s="261">
        <f>IF(ISBLANK(INDEX('Policy Characteristics'!F:F,MATCH($C1169,'Policy Characteristics'!$C:$C,0))),"",INDEX('Policy Characteristics'!F:F,MATCH($C1169,'Policy Characteristics'!$C:$C,0)))</f>
        <v>0</v>
      </c>
      <c r="M1169" s="261">
        <f>IF(ISBLANK(INDEX('Policy Characteristics'!G:G,MATCH($C1169,'Policy Characteristics'!$C:$C,0))),"",INDEX('Policy Characteristics'!G:G,MATCH($C1169,'Policy Characteristics'!$C:$C,0)))</f>
        <v>1</v>
      </c>
      <c r="N1169" s="261">
        <f>IF(ISBLANK(INDEX('Policy Characteristics'!H:H,MATCH($C1169,'Policy Characteristics'!$C:$C,0))),"",INDEX('Policy Characteristics'!H:H,MATCH($C1169,'Policy Characteristics'!$C:$C,0)))</f>
        <v>0.01</v>
      </c>
      <c r="O1169" s="254" t="str">
        <f>IF(ISBLANK(INDEX('Policy Characteristics'!I:I,MATCH($C1169,'Policy Characteristics'!$C:$C,0))),"",INDEX('Policy Characteristics'!I:I,MATCH($C1169,'Policy Characteristics'!$C:$C,0)))</f>
        <v>% of fuel shifted</v>
      </c>
      <c r="P1169" s="254"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4" t="str">
        <f>IF(ISBLANK(INDEX('Policy Characteristics'!K:K,MATCH($C1169,'Policy Characteristics'!$C:$C,0))),"",INDEX('Policy Characteristics'!K:K,MATCH($C1169,'Policy Characteristics'!$C:$C,0)))</f>
        <v>industry-ag-main.html#fuel-switching</v>
      </c>
      <c r="R1169" s="254" t="str">
        <f>IF(ISBLANK(INDEX('Policy Characteristics'!L:L,MATCH($C1169,'Policy Characteristics'!$C:$C,0))),"",INDEX('Policy Characteristics'!L:L,MATCH($C1169,'Policy Characteristics'!$C:$C,0)))</f>
        <v>industry-elec-and-hydrogen.html</v>
      </c>
    </row>
    <row r="1170" spans="1:18" s="2" customFormat="1" x14ac:dyDescent="0.3">
      <c r="A1170" s="254" t="str">
        <f>IF(ISBLANK(INDEX('Policy Characteristics'!A:A,MATCH($C1170,'Policy Characteristics'!$C:$C,0))),"",INDEX('Policy Characteristics'!A:A,MATCH($C1170,'Policy Characteristics'!$C:$C,0)))</f>
        <v>Industry</v>
      </c>
      <c r="B1170" s="262" t="str">
        <f>IF(ISBLANK(INDEX('Policy Characteristics'!B:B,MATCH($C1170,'Policy Characteristics'!$C:$C,0))),"",INDEX('Policy Characteristics'!B:B,MATCH($C1170,'Policy Characteristics'!$C:$C,0)))</f>
        <v>Hydrogen Combustion</v>
      </c>
      <c r="C1170" s="254" t="str">
        <f t="shared" si="45"/>
        <v>Fraction of Eligible Industrial Energy Use Shifted to Hydrogen</v>
      </c>
      <c r="D1170" s="6" t="s">
        <v>3071</v>
      </c>
      <c r="E1170" s="1" t="s">
        <v>3520</v>
      </c>
      <c r="F1170" t="s">
        <v>3034</v>
      </c>
      <c r="G1170" s="45" t="s">
        <v>3527</v>
      </c>
      <c r="H1170" s="43">
        <v>2119</v>
      </c>
      <c r="I1170" s="324" t="s">
        <v>44</v>
      </c>
      <c r="J1170" s="255" t="str">
        <f>IF(ISBLANK(INDEX('Policy Characteristics'!D:D,MATCH($C1170,'Policy Characteristics'!$C:$C,0))),"",INDEX('Policy Characteristics'!D:D,MATCH($C1170,'Policy Characteristics'!$C:$C,0)))</f>
        <v>Hydrogen Combustion</v>
      </c>
      <c r="K1170" s="254" t="str">
        <f>IF(ISBLANK(INDEX('Policy Characteristics'!E:E,MATCH($C1170,'Policy Characteristics'!$C:$C,0))),"",INDEX('Policy Characteristics'!E:E,MATCH($C1170,'Policy Characteristics'!$C:$C,0)))</f>
        <v>indst shift to hydrogen</v>
      </c>
      <c r="L1170" s="261">
        <f>IF(ISBLANK(INDEX('Policy Characteristics'!F:F,MATCH($C1170,'Policy Characteristics'!$C:$C,0))),"",INDEX('Policy Characteristics'!F:F,MATCH($C1170,'Policy Characteristics'!$C:$C,0)))</f>
        <v>0</v>
      </c>
      <c r="M1170" s="261">
        <f>IF(ISBLANK(INDEX('Policy Characteristics'!G:G,MATCH($C1170,'Policy Characteristics'!$C:$C,0))),"",INDEX('Policy Characteristics'!G:G,MATCH($C1170,'Policy Characteristics'!$C:$C,0)))</f>
        <v>1</v>
      </c>
      <c r="N1170" s="261">
        <f>IF(ISBLANK(INDEX('Policy Characteristics'!H:H,MATCH($C1170,'Policy Characteristics'!$C:$C,0))),"",INDEX('Policy Characteristics'!H:H,MATCH($C1170,'Policy Characteristics'!$C:$C,0)))</f>
        <v>0.01</v>
      </c>
      <c r="O1170" s="254" t="str">
        <f>IF(ISBLANK(INDEX('Policy Characteristics'!I:I,MATCH($C1170,'Policy Characteristics'!$C:$C,0))),"",INDEX('Policy Characteristics'!I:I,MATCH($C1170,'Policy Characteristics'!$C:$C,0)))</f>
        <v>% of fuel shifted</v>
      </c>
      <c r="P1170" s="254"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4" t="str">
        <f>IF(ISBLANK(INDEX('Policy Characteristics'!K:K,MATCH($C1170,'Policy Characteristics'!$C:$C,0))),"",INDEX('Policy Characteristics'!K:K,MATCH($C1170,'Policy Characteristics'!$C:$C,0)))</f>
        <v>industry-ag-main.html#fuel-switching</v>
      </c>
      <c r="R1170" s="254" t="str">
        <f>IF(ISBLANK(INDEX('Policy Characteristics'!L:L,MATCH($C1170,'Policy Characteristics'!$C:$C,0))),"",INDEX('Policy Characteristics'!L:L,MATCH($C1170,'Policy Characteristics'!$C:$C,0)))</f>
        <v>industry-elec-and-hydrogen.html</v>
      </c>
    </row>
    <row r="1171" spans="1:18" s="2" customFormat="1" x14ac:dyDescent="0.3">
      <c r="A1171" s="254" t="str">
        <f>IF(ISBLANK(INDEX('Policy Characteristics'!A:A,MATCH($C1171,'Policy Characteristics'!$C:$C,0))),"",INDEX('Policy Characteristics'!A:A,MATCH($C1171,'Policy Characteristics'!$C:$C,0)))</f>
        <v>Industry</v>
      </c>
      <c r="B1171" s="262" t="str">
        <f>IF(ISBLANK(INDEX('Policy Characteristics'!B:B,MATCH($C1171,'Policy Characteristics'!$C:$C,0))),"",INDEX('Policy Characteristics'!B:B,MATCH($C1171,'Policy Characteristics'!$C:$C,0)))</f>
        <v>Hydrogen Combustion</v>
      </c>
      <c r="C1171" s="254" t="str">
        <f t="shared" si="45"/>
        <v>Fraction of Eligible Industrial Energy Use Shifted to Hydrogen</v>
      </c>
      <c r="D1171" s="6" t="s">
        <v>3071</v>
      </c>
      <c r="E1171" s="1" t="s">
        <v>3521</v>
      </c>
      <c r="F1171" t="s">
        <v>3034</v>
      </c>
      <c r="G1171" s="45" t="s">
        <v>3528</v>
      </c>
      <c r="H1171" s="43">
        <v>2120</v>
      </c>
      <c r="I1171" s="324" t="s">
        <v>44</v>
      </c>
      <c r="J1171" s="255" t="str">
        <f>IF(ISBLANK(INDEX('Policy Characteristics'!D:D,MATCH($C1171,'Policy Characteristics'!$C:$C,0))),"",INDEX('Policy Characteristics'!D:D,MATCH($C1171,'Policy Characteristics'!$C:$C,0)))</f>
        <v>Hydrogen Combustion</v>
      </c>
      <c r="K1171" s="254" t="str">
        <f>IF(ISBLANK(INDEX('Policy Characteristics'!E:E,MATCH($C1171,'Policy Characteristics'!$C:$C,0))),"",INDEX('Policy Characteristics'!E:E,MATCH($C1171,'Policy Characteristics'!$C:$C,0)))</f>
        <v>indst shift to hydrogen</v>
      </c>
      <c r="L1171" s="261">
        <f>IF(ISBLANK(INDEX('Policy Characteristics'!F:F,MATCH($C1171,'Policy Characteristics'!$C:$C,0))),"",INDEX('Policy Characteristics'!F:F,MATCH($C1171,'Policy Characteristics'!$C:$C,0)))</f>
        <v>0</v>
      </c>
      <c r="M1171" s="261">
        <f>IF(ISBLANK(INDEX('Policy Characteristics'!G:G,MATCH($C1171,'Policy Characteristics'!$C:$C,0))),"",INDEX('Policy Characteristics'!G:G,MATCH($C1171,'Policy Characteristics'!$C:$C,0)))</f>
        <v>1</v>
      </c>
      <c r="N1171" s="261">
        <f>IF(ISBLANK(INDEX('Policy Characteristics'!H:H,MATCH($C1171,'Policy Characteristics'!$C:$C,0))),"",INDEX('Policy Characteristics'!H:H,MATCH($C1171,'Policy Characteristics'!$C:$C,0)))</f>
        <v>0.01</v>
      </c>
      <c r="O1171" s="254" t="str">
        <f>IF(ISBLANK(INDEX('Policy Characteristics'!I:I,MATCH($C1171,'Policy Characteristics'!$C:$C,0))),"",INDEX('Policy Characteristics'!I:I,MATCH($C1171,'Policy Characteristics'!$C:$C,0)))</f>
        <v>% of fuel shifted</v>
      </c>
      <c r="P1171" s="254"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4" t="str">
        <f>IF(ISBLANK(INDEX('Policy Characteristics'!K:K,MATCH($C1171,'Policy Characteristics'!$C:$C,0))),"",INDEX('Policy Characteristics'!K:K,MATCH($C1171,'Policy Characteristics'!$C:$C,0)))</f>
        <v>industry-ag-main.html#fuel-switching</v>
      </c>
      <c r="R1171" s="254" t="str">
        <f>IF(ISBLANK(INDEX('Policy Characteristics'!L:L,MATCH($C1171,'Policy Characteristics'!$C:$C,0))),"",INDEX('Policy Characteristics'!L:L,MATCH($C1171,'Policy Characteristics'!$C:$C,0)))</f>
        <v>industry-elec-and-hydrogen.html</v>
      </c>
    </row>
    <row r="1172" spans="1:18" s="2" customFormat="1" x14ac:dyDescent="0.3">
      <c r="A1172" s="254" t="str">
        <f>IF(ISBLANK(INDEX('Policy Characteristics'!A:A,MATCH($C1172,'Policy Characteristics'!$C:$C,0))),"",INDEX('Policy Characteristics'!A:A,MATCH($C1172,'Policy Characteristics'!$C:$C,0)))</f>
        <v>Industry</v>
      </c>
      <c r="B1172" s="262" t="str">
        <f>IF(ISBLANK(INDEX('Policy Characteristics'!B:B,MATCH($C1172,'Policy Characteristics'!$C:$C,0))),"",INDEX('Policy Characteristics'!B:B,MATCH($C1172,'Policy Characteristics'!$C:$C,0)))</f>
        <v>Hydrogen Combustion</v>
      </c>
      <c r="C1172" s="254" t="str">
        <f t="shared" si="45"/>
        <v>Fraction of Eligible Industrial Energy Use Shifted to Hydrogen</v>
      </c>
      <c r="D1172" s="6" t="s">
        <v>3071</v>
      </c>
      <c r="E1172" s="1" t="s">
        <v>3671</v>
      </c>
      <c r="F1172" t="s">
        <v>3034</v>
      </c>
      <c r="G1172" s="45" t="s">
        <v>3671</v>
      </c>
      <c r="H1172" s="43">
        <v>2121</v>
      </c>
      <c r="I1172" s="324" t="s">
        <v>44</v>
      </c>
      <c r="J1172" s="255" t="str">
        <f>IF(ISBLANK(INDEX('Policy Characteristics'!D:D,MATCH($C1172,'Policy Characteristics'!$C:$C,0))),"",INDEX('Policy Characteristics'!D:D,MATCH($C1172,'Policy Characteristics'!$C:$C,0)))</f>
        <v>Hydrogen Combustion</v>
      </c>
      <c r="K1172" s="254" t="str">
        <f>IF(ISBLANK(INDEX('Policy Characteristics'!E:E,MATCH($C1172,'Policy Characteristics'!$C:$C,0))),"",INDEX('Policy Characteristics'!E:E,MATCH($C1172,'Policy Characteristics'!$C:$C,0)))</f>
        <v>indst shift to hydrogen</v>
      </c>
      <c r="L1172" s="261">
        <f>IF(ISBLANK(INDEX('Policy Characteristics'!F:F,MATCH($C1172,'Policy Characteristics'!$C:$C,0))),"",INDEX('Policy Characteristics'!F:F,MATCH($C1172,'Policy Characteristics'!$C:$C,0)))</f>
        <v>0</v>
      </c>
      <c r="M1172" s="261">
        <f>IF(ISBLANK(INDEX('Policy Characteristics'!G:G,MATCH($C1172,'Policy Characteristics'!$C:$C,0))),"",INDEX('Policy Characteristics'!G:G,MATCH($C1172,'Policy Characteristics'!$C:$C,0)))</f>
        <v>1</v>
      </c>
      <c r="N1172" s="261">
        <f>IF(ISBLANK(INDEX('Policy Characteristics'!H:H,MATCH($C1172,'Policy Characteristics'!$C:$C,0))),"",INDEX('Policy Characteristics'!H:H,MATCH($C1172,'Policy Characteristics'!$C:$C,0)))</f>
        <v>0.01</v>
      </c>
      <c r="O1172" s="254" t="str">
        <f>IF(ISBLANK(INDEX('Policy Characteristics'!I:I,MATCH($C1172,'Policy Characteristics'!$C:$C,0))),"",INDEX('Policy Characteristics'!I:I,MATCH($C1172,'Policy Characteristics'!$C:$C,0)))</f>
        <v>% of fuel shifted</v>
      </c>
      <c r="P1172" s="254"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4" t="str">
        <f>IF(ISBLANK(INDEX('Policy Characteristics'!K:K,MATCH($C1172,'Policy Characteristics'!$C:$C,0))),"",INDEX('Policy Characteristics'!K:K,MATCH($C1172,'Policy Characteristics'!$C:$C,0)))</f>
        <v>industry-ag-main.html#fuel-switching</v>
      </c>
      <c r="R1172" s="254" t="str">
        <f>IF(ISBLANK(INDEX('Policy Characteristics'!L:L,MATCH($C1172,'Policy Characteristics'!$C:$C,0))),"",INDEX('Policy Characteristics'!L:L,MATCH($C1172,'Policy Characteristics'!$C:$C,0)))</f>
        <v>industry-elec-and-hydrogen.html</v>
      </c>
    </row>
    <row r="1173" spans="1:18" s="2" customFormat="1" x14ac:dyDescent="0.3">
      <c r="A1173" s="254" t="str">
        <f>IF(ISBLANK(INDEX('Policy Characteristics'!A:A,MATCH($C1173,'Policy Characteristics'!$C:$C,0))),"",INDEX('Policy Characteristics'!A:A,MATCH($C1173,'Policy Characteristics'!$C:$C,0)))</f>
        <v>Industry</v>
      </c>
      <c r="B1173" s="262" t="str">
        <f>IF(ISBLANK(INDEX('Policy Characteristics'!B:B,MATCH($C1173,'Policy Characteristics'!$C:$C,0))),"",INDEX('Policy Characteristics'!B:B,MATCH($C1173,'Policy Characteristics'!$C:$C,0)))</f>
        <v>Hydrogen Combustion</v>
      </c>
      <c r="C1173" s="254" t="str">
        <f t="shared" si="45"/>
        <v>Fraction of Eligible Industrial Energy Use Shifted to Hydrogen</v>
      </c>
      <c r="D1173" s="6" t="s">
        <v>3072</v>
      </c>
      <c r="E1173" s="1" t="s">
        <v>3515</v>
      </c>
      <c r="F1173" t="s">
        <v>3035</v>
      </c>
      <c r="G1173" s="45" t="s">
        <v>3522</v>
      </c>
      <c r="H1173" s="43">
        <v>2122</v>
      </c>
      <c r="I1173" s="324" t="s">
        <v>44</v>
      </c>
      <c r="J1173" s="255" t="str">
        <f>IF(ISBLANK(INDEX('Policy Characteristics'!D:D,MATCH($C1173,'Policy Characteristics'!$C:$C,0))),"",INDEX('Policy Characteristics'!D:D,MATCH($C1173,'Policy Characteristics'!$C:$C,0)))</f>
        <v>Hydrogen Combustion</v>
      </c>
      <c r="K1173" s="254" t="str">
        <f>IF(ISBLANK(INDEX('Policy Characteristics'!E:E,MATCH($C1173,'Policy Characteristics'!$C:$C,0))),"",INDEX('Policy Characteristics'!E:E,MATCH($C1173,'Policy Characteristics'!$C:$C,0)))</f>
        <v>indst shift to hydrogen</v>
      </c>
      <c r="L1173" s="261">
        <f>IF(ISBLANK(INDEX('Policy Characteristics'!F:F,MATCH($C1173,'Policy Characteristics'!$C:$C,0))),"",INDEX('Policy Characteristics'!F:F,MATCH($C1173,'Policy Characteristics'!$C:$C,0)))</f>
        <v>0</v>
      </c>
      <c r="M1173" s="261">
        <f>IF(ISBLANK(INDEX('Policy Characteristics'!G:G,MATCH($C1173,'Policy Characteristics'!$C:$C,0))),"",INDEX('Policy Characteristics'!G:G,MATCH($C1173,'Policy Characteristics'!$C:$C,0)))</f>
        <v>1</v>
      </c>
      <c r="N1173" s="261">
        <f>IF(ISBLANK(INDEX('Policy Characteristics'!H:H,MATCH($C1173,'Policy Characteristics'!$C:$C,0))),"",INDEX('Policy Characteristics'!H:H,MATCH($C1173,'Policy Characteristics'!$C:$C,0)))</f>
        <v>0.01</v>
      </c>
      <c r="O1173" s="254" t="str">
        <f>IF(ISBLANK(INDEX('Policy Characteristics'!I:I,MATCH($C1173,'Policy Characteristics'!$C:$C,0))),"",INDEX('Policy Characteristics'!I:I,MATCH($C1173,'Policy Characteristics'!$C:$C,0)))</f>
        <v>% of fuel shifted</v>
      </c>
      <c r="P1173" s="254"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4" t="str">
        <f>IF(ISBLANK(INDEX('Policy Characteristics'!K:K,MATCH($C1173,'Policy Characteristics'!$C:$C,0))),"",INDEX('Policy Characteristics'!K:K,MATCH($C1173,'Policy Characteristics'!$C:$C,0)))</f>
        <v>industry-ag-main.html#fuel-switching</v>
      </c>
      <c r="R1173" s="254" t="str">
        <f>IF(ISBLANK(INDEX('Policy Characteristics'!L:L,MATCH($C1173,'Policy Characteristics'!$C:$C,0))),"",INDEX('Policy Characteristics'!L:L,MATCH($C1173,'Policy Characteristics'!$C:$C,0)))</f>
        <v>industry-elec-and-hydrogen.html</v>
      </c>
    </row>
    <row r="1174" spans="1:18" s="2" customFormat="1" x14ac:dyDescent="0.3">
      <c r="A1174" s="254" t="str">
        <f>IF(ISBLANK(INDEX('Policy Characteristics'!A:A,MATCH($C1174,'Policy Characteristics'!$C:$C,0))),"",INDEX('Policy Characteristics'!A:A,MATCH($C1174,'Policy Characteristics'!$C:$C,0)))</f>
        <v>Industry</v>
      </c>
      <c r="B1174" s="262" t="str">
        <f>IF(ISBLANK(INDEX('Policy Characteristics'!B:B,MATCH($C1174,'Policy Characteristics'!$C:$C,0))),"",INDEX('Policy Characteristics'!B:B,MATCH($C1174,'Policy Characteristics'!$C:$C,0)))</f>
        <v>Hydrogen Combustion</v>
      </c>
      <c r="C1174" s="254" t="str">
        <f t="shared" si="45"/>
        <v>Fraction of Eligible Industrial Energy Use Shifted to Hydrogen</v>
      </c>
      <c r="D1174" s="6" t="s">
        <v>3072</v>
      </c>
      <c r="E1174" s="1" t="s">
        <v>3516</v>
      </c>
      <c r="F1174" t="s">
        <v>3035</v>
      </c>
      <c r="G1174" s="45" t="s">
        <v>3523</v>
      </c>
      <c r="H1174" s="43">
        <v>2123</v>
      </c>
      <c r="I1174" s="324" t="s">
        <v>44</v>
      </c>
      <c r="J1174" s="255" t="str">
        <f>IF(ISBLANK(INDEX('Policy Characteristics'!D:D,MATCH($C1174,'Policy Characteristics'!$C:$C,0))),"",INDEX('Policy Characteristics'!D:D,MATCH($C1174,'Policy Characteristics'!$C:$C,0)))</f>
        <v>Hydrogen Combustion</v>
      </c>
      <c r="K1174" s="254" t="str">
        <f>IF(ISBLANK(INDEX('Policy Characteristics'!E:E,MATCH($C1174,'Policy Characteristics'!$C:$C,0))),"",INDEX('Policy Characteristics'!E:E,MATCH($C1174,'Policy Characteristics'!$C:$C,0)))</f>
        <v>indst shift to hydrogen</v>
      </c>
      <c r="L1174" s="261">
        <f>IF(ISBLANK(INDEX('Policy Characteristics'!F:F,MATCH($C1174,'Policy Characteristics'!$C:$C,0))),"",INDEX('Policy Characteristics'!F:F,MATCH($C1174,'Policy Characteristics'!$C:$C,0)))</f>
        <v>0</v>
      </c>
      <c r="M1174" s="261">
        <f>IF(ISBLANK(INDEX('Policy Characteristics'!G:G,MATCH($C1174,'Policy Characteristics'!$C:$C,0))),"",INDEX('Policy Characteristics'!G:G,MATCH($C1174,'Policy Characteristics'!$C:$C,0)))</f>
        <v>1</v>
      </c>
      <c r="N1174" s="261">
        <f>IF(ISBLANK(INDEX('Policy Characteristics'!H:H,MATCH($C1174,'Policy Characteristics'!$C:$C,0))),"",INDEX('Policy Characteristics'!H:H,MATCH($C1174,'Policy Characteristics'!$C:$C,0)))</f>
        <v>0.01</v>
      </c>
      <c r="O1174" s="254" t="str">
        <f>IF(ISBLANK(INDEX('Policy Characteristics'!I:I,MATCH($C1174,'Policy Characteristics'!$C:$C,0))),"",INDEX('Policy Characteristics'!I:I,MATCH($C1174,'Policy Characteristics'!$C:$C,0)))</f>
        <v>% of fuel shifted</v>
      </c>
      <c r="P1174" s="254"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4" t="str">
        <f>IF(ISBLANK(INDEX('Policy Characteristics'!K:K,MATCH($C1174,'Policy Characteristics'!$C:$C,0))),"",INDEX('Policy Characteristics'!K:K,MATCH($C1174,'Policy Characteristics'!$C:$C,0)))</f>
        <v>industry-ag-main.html#fuel-switching</v>
      </c>
      <c r="R1174" s="254" t="str">
        <f>IF(ISBLANK(INDEX('Policy Characteristics'!L:L,MATCH($C1174,'Policy Characteristics'!$C:$C,0))),"",INDEX('Policy Characteristics'!L:L,MATCH($C1174,'Policy Characteristics'!$C:$C,0)))</f>
        <v>industry-elec-and-hydrogen.html</v>
      </c>
    </row>
    <row r="1175" spans="1:18" s="2" customFormat="1" x14ac:dyDescent="0.3">
      <c r="A1175" s="254" t="str">
        <f>IF(ISBLANK(INDEX('Policy Characteristics'!A:A,MATCH($C1175,'Policy Characteristics'!$C:$C,0))),"",INDEX('Policy Characteristics'!A:A,MATCH($C1175,'Policy Characteristics'!$C:$C,0)))</f>
        <v>Industry</v>
      </c>
      <c r="B1175" s="262" t="str">
        <f>IF(ISBLANK(INDEX('Policy Characteristics'!B:B,MATCH($C1175,'Policy Characteristics'!$C:$C,0))),"",INDEX('Policy Characteristics'!B:B,MATCH($C1175,'Policy Characteristics'!$C:$C,0)))</f>
        <v>Hydrogen Combustion</v>
      </c>
      <c r="C1175" s="254" t="str">
        <f t="shared" si="45"/>
        <v>Fraction of Eligible Industrial Energy Use Shifted to Hydrogen</v>
      </c>
      <c r="D1175" s="6" t="s">
        <v>3072</v>
      </c>
      <c r="E1175" s="1" t="s">
        <v>3517</v>
      </c>
      <c r="F1175" t="s">
        <v>3035</v>
      </c>
      <c r="G1175" s="45" t="s">
        <v>3524</v>
      </c>
      <c r="H1175" s="43">
        <v>2124</v>
      </c>
      <c r="I1175" s="324" t="s">
        <v>44</v>
      </c>
      <c r="J1175" s="255" t="str">
        <f>IF(ISBLANK(INDEX('Policy Characteristics'!D:D,MATCH($C1175,'Policy Characteristics'!$C:$C,0))),"",INDEX('Policy Characteristics'!D:D,MATCH($C1175,'Policy Characteristics'!$C:$C,0)))</f>
        <v>Hydrogen Combustion</v>
      </c>
      <c r="K1175" s="254" t="str">
        <f>IF(ISBLANK(INDEX('Policy Characteristics'!E:E,MATCH($C1175,'Policy Characteristics'!$C:$C,0))),"",INDEX('Policy Characteristics'!E:E,MATCH($C1175,'Policy Characteristics'!$C:$C,0)))</f>
        <v>indst shift to hydrogen</v>
      </c>
      <c r="L1175" s="261">
        <f>IF(ISBLANK(INDEX('Policy Characteristics'!F:F,MATCH($C1175,'Policy Characteristics'!$C:$C,0))),"",INDEX('Policy Characteristics'!F:F,MATCH($C1175,'Policy Characteristics'!$C:$C,0)))</f>
        <v>0</v>
      </c>
      <c r="M1175" s="261">
        <f>IF(ISBLANK(INDEX('Policy Characteristics'!G:G,MATCH($C1175,'Policy Characteristics'!$C:$C,0))),"",INDEX('Policy Characteristics'!G:G,MATCH($C1175,'Policy Characteristics'!$C:$C,0)))</f>
        <v>1</v>
      </c>
      <c r="N1175" s="261">
        <f>IF(ISBLANK(INDEX('Policy Characteristics'!H:H,MATCH($C1175,'Policy Characteristics'!$C:$C,0))),"",INDEX('Policy Characteristics'!H:H,MATCH($C1175,'Policy Characteristics'!$C:$C,0)))</f>
        <v>0.01</v>
      </c>
      <c r="O1175" s="254" t="str">
        <f>IF(ISBLANK(INDEX('Policy Characteristics'!I:I,MATCH($C1175,'Policy Characteristics'!$C:$C,0))),"",INDEX('Policy Characteristics'!I:I,MATCH($C1175,'Policy Characteristics'!$C:$C,0)))</f>
        <v>% of fuel shifted</v>
      </c>
      <c r="P1175" s="254"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4" t="str">
        <f>IF(ISBLANK(INDEX('Policy Characteristics'!K:K,MATCH($C1175,'Policy Characteristics'!$C:$C,0))),"",INDEX('Policy Characteristics'!K:K,MATCH($C1175,'Policy Characteristics'!$C:$C,0)))</f>
        <v>industry-ag-main.html#fuel-switching</v>
      </c>
      <c r="R1175" s="254" t="str">
        <f>IF(ISBLANK(INDEX('Policy Characteristics'!L:L,MATCH($C1175,'Policy Characteristics'!$C:$C,0))),"",INDEX('Policy Characteristics'!L:L,MATCH($C1175,'Policy Characteristics'!$C:$C,0)))</f>
        <v>industry-elec-and-hydrogen.html</v>
      </c>
    </row>
    <row r="1176" spans="1:18" s="2" customFormat="1" x14ac:dyDescent="0.3">
      <c r="A1176" s="254" t="str">
        <f>IF(ISBLANK(INDEX('Policy Characteristics'!A:A,MATCH($C1176,'Policy Characteristics'!$C:$C,0))),"",INDEX('Policy Characteristics'!A:A,MATCH($C1176,'Policy Characteristics'!$C:$C,0)))</f>
        <v>Industry</v>
      </c>
      <c r="B1176" s="262" t="str">
        <f>IF(ISBLANK(INDEX('Policy Characteristics'!B:B,MATCH($C1176,'Policy Characteristics'!$C:$C,0))),"",INDEX('Policy Characteristics'!B:B,MATCH($C1176,'Policy Characteristics'!$C:$C,0)))</f>
        <v>Hydrogen Combustion</v>
      </c>
      <c r="C1176" s="254" t="str">
        <f t="shared" si="45"/>
        <v>Fraction of Eligible Industrial Energy Use Shifted to Hydrogen</v>
      </c>
      <c r="D1176" s="6" t="s">
        <v>3072</v>
      </c>
      <c r="E1176" s="1" t="s">
        <v>3518</v>
      </c>
      <c r="F1176" t="s">
        <v>3035</v>
      </c>
      <c r="G1176" s="45" t="s">
        <v>3525</v>
      </c>
      <c r="H1176" s="43">
        <v>2125</v>
      </c>
      <c r="I1176" s="324" t="s">
        <v>43</v>
      </c>
      <c r="J1176" s="255" t="str">
        <f>IF(ISBLANK(INDEX('Policy Characteristics'!D:D,MATCH($C1176,'Policy Characteristics'!$C:$C,0))),"",INDEX('Policy Characteristics'!D:D,MATCH($C1176,'Policy Characteristics'!$C:$C,0)))</f>
        <v>Hydrogen Combustion</v>
      </c>
      <c r="K1176" s="254" t="str">
        <f>IF(ISBLANK(INDEX('Policy Characteristics'!E:E,MATCH($C1176,'Policy Characteristics'!$C:$C,0))),"",INDEX('Policy Characteristics'!E:E,MATCH($C1176,'Policy Characteristics'!$C:$C,0)))</f>
        <v>indst shift to hydrogen</v>
      </c>
      <c r="L1176" s="261">
        <f>IF(ISBLANK(INDEX('Policy Characteristics'!F:F,MATCH($C1176,'Policy Characteristics'!$C:$C,0))),"",INDEX('Policy Characteristics'!F:F,MATCH($C1176,'Policy Characteristics'!$C:$C,0)))</f>
        <v>0</v>
      </c>
      <c r="M1176" s="261">
        <f>IF(ISBLANK(INDEX('Policy Characteristics'!G:G,MATCH($C1176,'Policy Characteristics'!$C:$C,0))),"",INDEX('Policy Characteristics'!G:G,MATCH($C1176,'Policy Characteristics'!$C:$C,0)))</f>
        <v>1</v>
      </c>
      <c r="N1176" s="261">
        <f>IF(ISBLANK(INDEX('Policy Characteristics'!H:H,MATCH($C1176,'Policy Characteristics'!$C:$C,0))),"",INDEX('Policy Characteristics'!H:H,MATCH($C1176,'Policy Characteristics'!$C:$C,0)))</f>
        <v>0.01</v>
      </c>
      <c r="O1176" s="254" t="str">
        <f>IF(ISBLANK(INDEX('Policy Characteristics'!I:I,MATCH($C1176,'Policy Characteristics'!$C:$C,0))),"",INDEX('Policy Characteristics'!I:I,MATCH($C1176,'Policy Characteristics'!$C:$C,0)))</f>
        <v>% of fuel shifted</v>
      </c>
      <c r="P1176" s="254"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4" t="str">
        <f>IF(ISBLANK(INDEX('Policy Characteristics'!K:K,MATCH($C1176,'Policy Characteristics'!$C:$C,0))),"",INDEX('Policy Characteristics'!K:K,MATCH($C1176,'Policy Characteristics'!$C:$C,0)))</f>
        <v>industry-ag-main.html#fuel-switching</v>
      </c>
      <c r="R1176" s="254" t="str">
        <f>IF(ISBLANK(INDEX('Policy Characteristics'!L:L,MATCH($C1176,'Policy Characteristics'!$C:$C,0))),"",INDEX('Policy Characteristics'!L:L,MATCH($C1176,'Policy Characteristics'!$C:$C,0)))</f>
        <v>industry-elec-and-hydrogen.html</v>
      </c>
    </row>
    <row r="1177" spans="1:18" s="2" customFormat="1" x14ac:dyDescent="0.3">
      <c r="A1177" s="254" t="str">
        <f>IF(ISBLANK(INDEX('Policy Characteristics'!A:A,MATCH($C1177,'Policy Characteristics'!$C:$C,0))),"",INDEX('Policy Characteristics'!A:A,MATCH($C1177,'Policy Characteristics'!$C:$C,0)))</f>
        <v>Industry</v>
      </c>
      <c r="B1177" s="262" t="str">
        <f>IF(ISBLANK(INDEX('Policy Characteristics'!B:B,MATCH($C1177,'Policy Characteristics'!$C:$C,0))),"",INDEX('Policy Characteristics'!B:B,MATCH($C1177,'Policy Characteristics'!$C:$C,0)))</f>
        <v>Hydrogen Combustion</v>
      </c>
      <c r="C1177" s="254" t="str">
        <f t="shared" si="45"/>
        <v>Fraction of Eligible Industrial Energy Use Shifted to Hydrogen</v>
      </c>
      <c r="D1177" s="6" t="s">
        <v>3072</v>
      </c>
      <c r="E1177" s="1" t="s">
        <v>3519</v>
      </c>
      <c r="F1177" t="s">
        <v>3035</v>
      </c>
      <c r="G1177" s="45" t="s">
        <v>3526</v>
      </c>
      <c r="H1177" s="43">
        <v>2126</v>
      </c>
      <c r="I1177" s="324" t="s">
        <v>44</v>
      </c>
      <c r="J1177" s="255" t="str">
        <f>IF(ISBLANK(INDEX('Policy Characteristics'!D:D,MATCH($C1177,'Policy Characteristics'!$C:$C,0))),"",INDEX('Policy Characteristics'!D:D,MATCH($C1177,'Policy Characteristics'!$C:$C,0)))</f>
        <v>Hydrogen Combustion</v>
      </c>
      <c r="K1177" s="254" t="str">
        <f>IF(ISBLANK(INDEX('Policy Characteristics'!E:E,MATCH($C1177,'Policy Characteristics'!$C:$C,0))),"",INDEX('Policy Characteristics'!E:E,MATCH($C1177,'Policy Characteristics'!$C:$C,0)))</f>
        <v>indst shift to hydrogen</v>
      </c>
      <c r="L1177" s="261">
        <f>IF(ISBLANK(INDEX('Policy Characteristics'!F:F,MATCH($C1177,'Policy Characteristics'!$C:$C,0))),"",INDEX('Policy Characteristics'!F:F,MATCH($C1177,'Policy Characteristics'!$C:$C,0)))</f>
        <v>0</v>
      </c>
      <c r="M1177" s="261">
        <f>IF(ISBLANK(INDEX('Policy Characteristics'!G:G,MATCH($C1177,'Policy Characteristics'!$C:$C,0))),"",INDEX('Policy Characteristics'!G:G,MATCH($C1177,'Policy Characteristics'!$C:$C,0)))</f>
        <v>1</v>
      </c>
      <c r="N1177" s="261">
        <f>IF(ISBLANK(INDEX('Policy Characteristics'!H:H,MATCH($C1177,'Policy Characteristics'!$C:$C,0))),"",INDEX('Policy Characteristics'!H:H,MATCH($C1177,'Policy Characteristics'!$C:$C,0)))</f>
        <v>0.01</v>
      </c>
      <c r="O1177" s="254" t="str">
        <f>IF(ISBLANK(INDEX('Policy Characteristics'!I:I,MATCH($C1177,'Policy Characteristics'!$C:$C,0))),"",INDEX('Policy Characteristics'!I:I,MATCH($C1177,'Policy Characteristics'!$C:$C,0)))</f>
        <v>% of fuel shifted</v>
      </c>
      <c r="P1177" s="254"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4" t="str">
        <f>IF(ISBLANK(INDEX('Policy Characteristics'!K:K,MATCH($C1177,'Policy Characteristics'!$C:$C,0))),"",INDEX('Policy Characteristics'!K:K,MATCH($C1177,'Policy Characteristics'!$C:$C,0)))</f>
        <v>industry-ag-main.html#fuel-switching</v>
      </c>
      <c r="R1177" s="254" t="str">
        <f>IF(ISBLANK(INDEX('Policy Characteristics'!L:L,MATCH($C1177,'Policy Characteristics'!$C:$C,0))),"",INDEX('Policy Characteristics'!L:L,MATCH($C1177,'Policy Characteristics'!$C:$C,0)))</f>
        <v>industry-elec-and-hydrogen.html</v>
      </c>
    </row>
    <row r="1178" spans="1:18" s="2" customFormat="1" x14ac:dyDescent="0.3">
      <c r="A1178" s="254" t="str">
        <f>IF(ISBLANK(INDEX('Policy Characteristics'!A:A,MATCH($C1178,'Policy Characteristics'!$C:$C,0))),"",INDEX('Policy Characteristics'!A:A,MATCH($C1178,'Policy Characteristics'!$C:$C,0)))</f>
        <v>Industry</v>
      </c>
      <c r="B1178" s="262" t="str">
        <f>IF(ISBLANK(INDEX('Policy Characteristics'!B:B,MATCH($C1178,'Policy Characteristics'!$C:$C,0))),"",INDEX('Policy Characteristics'!B:B,MATCH($C1178,'Policy Characteristics'!$C:$C,0)))</f>
        <v>Hydrogen Combustion</v>
      </c>
      <c r="C1178" s="254" t="str">
        <f t="shared" si="45"/>
        <v>Fraction of Eligible Industrial Energy Use Shifted to Hydrogen</v>
      </c>
      <c r="D1178" s="6" t="s">
        <v>3072</v>
      </c>
      <c r="E1178" s="1" t="s">
        <v>3520</v>
      </c>
      <c r="F1178" t="s">
        <v>3035</v>
      </c>
      <c r="G1178" s="45" t="s">
        <v>3527</v>
      </c>
      <c r="H1178" s="43">
        <v>2127</v>
      </c>
      <c r="I1178" s="324" t="s">
        <v>43</v>
      </c>
      <c r="J1178" s="255" t="str">
        <f>IF(ISBLANK(INDEX('Policy Characteristics'!D:D,MATCH($C1178,'Policy Characteristics'!$C:$C,0))),"",INDEX('Policy Characteristics'!D:D,MATCH($C1178,'Policy Characteristics'!$C:$C,0)))</f>
        <v>Hydrogen Combustion</v>
      </c>
      <c r="K1178" s="254" t="str">
        <f>IF(ISBLANK(INDEX('Policy Characteristics'!E:E,MATCH($C1178,'Policy Characteristics'!$C:$C,0))),"",INDEX('Policy Characteristics'!E:E,MATCH($C1178,'Policy Characteristics'!$C:$C,0)))</f>
        <v>indst shift to hydrogen</v>
      </c>
      <c r="L1178" s="261">
        <f>IF(ISBLANK(INDEX('Policy Characteristics'!F:F,MATCH($C1178,'Policy Characteristics'!$C:$C,0))),"",INDEX('Policy Characteristics'!F:F,MATCH($C1178,'Policy Characteristics'!$C:$C,0)))</f>
        <v>0</v>
      </c>
      <c r="M1178" s="261">
        <f>IF(ISBLANK(INDEX('Policy Characteristics'!G:G,MATCH($C1178,'Policy Characteristics'!$C:$C,0))),"",INDEX('Policy Characteristics'!G:G,MATCH($C1178,'Policy Characteristics'!$C:$C,0)))</f>
        <v>1</v>
      </c>
      <c r="N1178" s="261">
        <f>IF(ISBLANK(INDEX('Policy Characteristics'!H:H,MATCH($C1178,'Policy Characteristics'!$C:$C,0))),"",INDEX('Policy Characteristics'!H:H,MATCH($C1178,'Policy Characteristics'!$C:$C,0)))</f>
        <v>0.01</v>
      </c>
      <c r="O1178" s="254" t="str">
        <f>IF(ISBLANK(INDEX('Policy Characteristics'!I:I,MATCH($C1178,'Policy Characteristics'!$C:$C,0))),"",INDEX('Policy Characteristics'!I:I,MATCH($C1178,'Policy Characteristics'!$C:$C,0)))</f>
        <v>% of fuel shifted</v>
      </c>
      <c r="P1178" s="254"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4" t="str">
        <f>IF(ISBLANK(INDEX('Policy Characteristics'!K:K,MATCH($C1178,'Policy Characteristics'!$C:$C,0))),"",INDEX('Policy Characteristics'!K:K,MATCH($C1178,'Policy Characteristics'!$C:$C,0)))</f>
        <v>industry-ag-main.html#fuel-switching</v>
      </c>
      <c r="R1178" s="254" t="str">
        <f>IF(ISBLANK(INDEX('Policy Characteristics'!L:L,MATCH($C1178,'Policy Characteristics'!$C:$C,0))),"",INDEX('Policy Characteristics'!L:L,MATCH($C1178,'Policy Characteristics'!$C:$C,0)))</f>
        <v>industry-elec-and-hydrogen.html</v>
      </c>
    </row>
    <row r="1179" spans="1:18" s="2" customFormat="1" x14ac:dyDescent="0.3">
      <c r="A1179" s="254" t="str">
        <f>IF(ISBLANK(INDEX('Policy Characteristics'!A:A,MATCH($C1179,'Policy Characteristics'!$C:$C,0))),"",INDEX('Policy Characteristics'!A:A,MATCH($C1179,'Policy Characteristics'!$C:$C,0)))</f>
        <v>Industry</v>
      </c>
      <c r="B1179" s="262" t="str">
        <f>IF(ISBLANK(INDEX('Policy Characteristics'!B:B,MATCH($C1179,'Policy Characteristics'!$C:$C,0))),"",INDEX('Policy Characteristics'!B:B,MATCH($C1179,'Policy Characteristics'!$C:$C,0)))</f>
        <v>Hydrogen Combustion</v>
      </c>
      <c r="C1179" s="254" t="str">
        <f t="shared" si="45"/>
        <v>Fraction of Eligible Industrial Energy Use Shifted to Hydrogen</v>
      </c>
      <c r="D1179" s="6" t="s">
        <v>3072</v>
      </c>
      <c r="E1179" s="1" t="s">
        <v>3521</v>
      </c>
      <c r="F1179" t="s">
        <v>3035</v>
      </c>
      <c r="G1179" s="45" t="s">
        <v>3528</v>
      </c>
      <c r="H1179" s="43">
        <v>2128</v>
      </c>
      <c r="I1179" s="324" t="s">
        <v>44</v>
      </c>
      <c r="J1179" s="255" t="str">
        <f>IF(ISBLANK(INDEX('Policy Characteristics'!D:D,MATCH($C1179,'Policy Characteristics'!$C:$C,0))),"",INDEX('Policy Characteristics'!D:D,MATCH($C1179,'Policy Characteristics'!$C:$C,0)))</f>
        <v>Hydrogen Combustion</v>
      </c>
      <c r="K1179" s="254" t="str">
        <f>IF(ISBLANK(INDEX('Policy Characteristics'!E:E,MATCH($C1179,'Policy Characteristics'!$C:$C,0))),"",INDEX('Policy Characteristics'!E:E,MATCH($C1179,'Policy Characteristics'!$C:$C,0)))</f>
        <v>indst shift to hydrogen</v>
      </c>
      <c r="L1179" s="261">
        <f>IF(ISBLANK(INDEX('Policy Characteristics'!F:F,MATCH($C1179,'Policy Characteristics'!$C:$C,0))),"",INDEX('Policy Characteristics'!F:F,MATCH($C1179,'Policy Characteristics'!$C:$C,0)))</f>
        <v>0</v>
      </c>
      <c r="M1179" s="261">
        <f>IF(ISBLANK(INDEX('Policy Characteristics'!G:G,MATCH($C1179,'Policy Characteristics'!$C:$C,0))),"",INDEX('Policy Characteristics'!G:G,MATCH($C1179,'Policy Characteristics'!$C:$C,0)))</f>
        <v>1</v>
      </c>
      <c r="N1179" s="261">
        <f>IF(ISBLANK(INDEX('Policy Characteristics'!H:H,MATCH($C1179,'Policy Characteristics'!$C:$C,0))),"",INDEX('Policy Characteristics'!H:H,MATCH($C1179,'Policy Characteristics'!$C:$C,0)))</f>
        <v>0.01</v>
      </c>
      <c r="O1179" s="254" t="str">
        <f>IF(ISBLANK(INDEX('Policy Characteristics'!I:I,MATCH($C1179,'Policy Characteristics'!$C:$C,0))),"",INDEX('Policy Characteristics'!I:I,MATCH($C1179,'Policy Characteristics'!$C:$C,0)))</f>
        <v>% of fuel shifted</v>
      </c>
      <c r="P1179" s="254"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4" t="str">
        <f>IF(ISBLANK(INDEX('Policy Characteristics'!K:K,MATCH($C1179,'Policy Characteristics'!$C:$C,0))),"",INDEX('Policy Characteristics'!K:K,MATCH($C1179,'Policy Characteristics'!$C:$C,0)))</f>
        <v>industry-ag-main.html#fuel-switching</v>
      </c>
      <c r="R1179" s="254" t="str">
        <f>IF(ISBLANK(INDEX('Policy Characteristics'!L:L,MATCH($C1179,'Policy Characteristics'!$C:$C,0))),"",INDEX('Policy Characteristics'!L:L,MATCH($C1179,'Policy Characteristics'!$C:$C,0)))</f>
        <v>industry-elec-and-hydrogen.html</v>
      </c>
    </row>
    <row r="1180" spans="1:18" s="2" customFormat="1" x14ac:dyDescent="0.3">
      <c r="A1180" s="254" t="str">
        <f>IF(ISBLANK(INDEX('Policy Characteristics'!A:A,MATCH($C1180,'Policy Characteristics'!$C:$C,0))),"",INDEX('Policy Characteristics'!A:A,MATCH($C1180,'Policy Characteristics'!$C:$C,0)))</f>
        <v>Industry</v>
      </c>
      <c r="B1180" s="262" t="str">
        <f>IF(ISBLANK(INDEX('Policy Characteristics'!B:B,MATCH($C1180,'Policy Characteristics'!$C:$C,0))),"",INDEX('Policy Characteristics'!B:B,MATCH($C1180,'Policy Characteristics'!$C:$C,0)))</f>
        <v>Hydrogen Combustion</v>
      </c>
      <c r="C1180" s="254" t="str">
        <f t="shared" si="45"/>
        <v>Fraction of Eligible Industrial Energy Use Shifted to Hydrogen</v>
      </c>
      <c r="D1180" s="6" t="s">
        <v>3072</v>
      </c>
      <c r="E1180" s="1" t="s">
        <v>3671</v>
      </c>
      <c r="F1180" t="s">
        <v>3035</v>
      </c>
      <c r="G1180" s="45" t="s">
        <v>3671</v>
      </c>
      <c r="H1180" s="43">
        <v>2129</v>
      </c>
      <c r="I1180" s="324" t="s">
        <v>44</v>
      </c>
      <c r="J1180" s="255" t="str">
        <f>IF(ISBLANK(INDEX('Policy Characteristics'!D:D,MATCH($C1180,'Policy Characteristics'!$C:$C,0))),"",INDEX('Policy Characteristics'!D:D,MATCH($C1180,'Policy Characteristics'!$C:$C,0)))</f>
        <v>Hydrogen Combustion</v>
      </c>
      <c r="K1180" s="254" t="str">
        <f>IF(ISBLANK(INDEX('Policy Characteristics'!E:E,MATCH($C1180,'Policy Characteristics'!$C:$C,0))),"",INDEX('Policy Characteristics'!E:E,MATCH($C1180,'Policy Characteristics'!$C:$C,0)))</f>
        <v>indst shift to hydrogen</v>
      </c>
      <c r="L1180" s="261">
        <f>IF(ISBLANK(INDEX('Policy Characteristics'!F:F,MATCH($C1180,'Policy Characteristics'!$C:$C,0))),"",INDEX('Policy Characteristics'!F:F,MATCH($C1180,'Policy Characteristics'!$C:$C,0)))</f>
        <v>0</v>
      </c>
      <c r="M1180" s="261">
        <f>IF(ISBLANK(INDEX('Policy Characteristics'!G:G,MATCH($C1180,'Policy Characteristics'!$C:$C,0))),"",INDEX('Policy Characteristics'!G:G,MATCH($C1180,'Policy Characteristics'!$C:$C,0)))</f>
        <v>1</v>
      </c>
      <c r="N1180" s="261">
        <f>IF(ISBLANK(INDEX('Policy Characteristics'!H:H,MATCH($C1180,'Policy Characteristics'!$C:$C,0))),"",INDEX('Policy Characteristics'!H:H,MATCH($C1180,'Policy Characteristics'!$C:$C,0)))</f>
        <v>0.01</v>
      </c>
      <c r="O1180" s="254" t="str">
        <f>IF(ISBLANK(INDEX('Policy Characteristics'!I:I,MATCH($C1180,'Policy Characteristics'!$C:$C,0))),"",INDEX('Policy Characteristics'!I:I,MATCH($C1180,'Policy Characteristics'!$C:$C,0)))</f>
        <v>% of fuel shifted</v>
      </c>
      <c r="P1180" s="254"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4" t="str">
        <f>IF(ISBLANK(INDEX('Policy Characteristics'!K:K,MATCH($C1180,'Policy Characteristics'!$C:$C,0))),"",INDEX('Policy Characteristics'!K:K,MATCH($C1180,'Policy Characteristics'!$C:$C,0)))</f>
        <v>industry-ag-main.html#fuel-switching</v>
      </c>
      <c r="R1180" s="254" t="str">
        <f>IF(ISBLANK(INDEX('Policy Characteristics'!L:L,MATCH($C1180,'Policy Characteristics'!$C:$C,0))),"",INDEX('Policy Characteristics'!L:L,MATCH($C1180,'Policy Characteristics'!$C:$C,0)))</f>
        <v>industry-elec-and-hydrogen.html</v>
      </c>
    </row>
    <row r="1181" spans="1:18" s="2" customFormat="1" x14ac:dyDescent="0.3">
      <c r="A1181" s="254" t="str">
        <f>IF(ISBLANK(INDEX('Policy Characteristics'!A:A,MATCH($C1181,'Policy Characteristics'!$C:$C,0))),"",INDEX('Policy Characteristics'!A:A,MATCH($C1181,'Policy Characteristics'!$C:$C,0)))</f>
        <v>Industry</v>
      </c>
      <c r="B1181" s="262" t="str">
        <f>IF(ISBLANK(INDEX('Policy Characteristics'!B:B,MATCH($C1181,'Policy Characteristics'!$C:$C,0))),"",INDEX('Policy Characteristics'!B:B,MATCH($C1181,'Policy Characteristics'!$C:$C,0)))</f>
        <v>Hydrogen Combustion</v>
      </c>
      <c r="C1181" s="254" t="str">
        <f t="shared" si="45"/>
        <v>Fraction of Eligible Industrial Energy Use Shifted to Hydrogen</v>
      </c>
      <c r="D1181" s="6" t="s">
        <v>3073</v>
      </c>
      <c r="E1181" s="1" t="s">
        <v>3515</v>
      </c>
      <c r="F1181" t="s">
        <v>3036</v>
      </c>
      <c r="G1181" s="45" t="s">
        <v>3522</v>
      </c>
      <c r="H1181" s="43">
        <v>2130</v>
      </c>
      <c r="I1181" s="324" t="s">
        <v>43</v>
      </c>
      <c r="J1181" s="255" t="str">
        <f>IF(ISBLANK(INDEX('Policy Characteristics'!D:D,MATCH($C1181,'Policy Characteristics'!$C:$C,0))),"",INDEX('Policy Characteristics'!D:D,MATCH($C1181,'Policy Characteristics'!$C:$C,0)))</f>
        <v>Hydrogen Combustion</v>
      </c>
      <c r="K1181" s="254" t="str">
        <f>IF(ISBLANK(INDEX('Policy Characteristics'!E:E,MATCH($C1181,'Policy Characteristics'!$C:$C,0))),"",INDEX('Policy Characteristics'!E:E,MATCH($C1181,'Policy Characteristics'!$C:$C,0)))</f>
        <v>indst shift to hydrogen</v>
      </c>
      <c r="L1181" s="261">
        <f>IF(ISBLANK(INDEX('Policy Characteristics'!F:F,MATCH($C1181,'Policy Characteristics'!$C:$C,0))),"",INDEX('Policy Characteristics'!F:F,MATCH($C1181,'Policy Characteristics'!$C:$C,0)))</f>
        <v>0</v>
      </c>
      <c r="M1181" s="261">
        <f>IF(ISBLANK(INDEX('Policy Characteristics'!G:G,MATCH($C1181,'Policy Characteristics'!$C:$C,0))),"",INDEX('Policy Characteristics'!G:G,MATCH($C1181,'Policy Characteristics'!$C:$C,0)))</f>
        <v>1</v>
      </c>
      <c r="N1181" s="261">
        <f>IF(ISBLANK(INDEX('Policy Characteristics'!H:H,MATCH($C1181,'Policy Characteristics'!$C:$C,0))),"",INDEX('Policy Characteristics'!H:H,MATCH($C1181,'Policy Characteristics'!$C:$C,0)))</f>
        <v>0.01</v>
      </c>
      <c r="O1181" s="254" t="str">
        <f>IF(ISBLANK(INDEX('Policy Characteristics'!I:I,MATCH($C1181,'Policy Characteristics'!$C:$C,0))),"",INDEX('Policy Characteristics'!I:I,MATCH($C1181,'Policy Characteristics'!$C:$C,0)))</f>
        <v>% of fuel shifted</v>
      </c>
      <c r="P1181" s="254"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4" t="str">
        <f>IF(ISBLANK(INDEX('Policy Characteristics'!K:K,MATCH($C1181,'Policy Characteristics'!$C:$C,0))),"",INDEX('Policy Characteristics'!K:K,MATCH($C1181,'Policy Characteristics'!$C:$C,0)))</f>
        <v>industry-ag-main.html#fuel-switching</v>
      </c>
      <c r="R1181" s="254" t="str">
        <f>IF(ISBLANK(INDEX('Policy Characteristics'!L:L,MATCH($C1181,'Policy Characteristics'!$C:$C,0))),"",INDEX('Policy Characteristics'!L:L,MATCH($C1181,'Policy Characteristics'!$C:$C,0)))</f>
        <v>industry-elec-and-hydrogen.html</v>
      </c>
    </row>
    <row r="1182" spans="1:18" s="2" customFormat="1" x14ac:dyDescent="0.3">
      <c r="A1182" s="254" t="str">
        <f>IF(ISBLANK(INDEX('Policy Characteristics'!A:A,MATCH($C1182,'Policy Characteristics'!$C:$C,0))),"",INDEX('Policy Characteristics'!A:A,MATCH($C1182,'Policy Characteristics'!$C:$C,0)))</f>
        <v>Industry</v>
      </c>
      <c r="B1182" s="262" t="str">
        <f>IF(ISBLANK(INDEX('Policy Characteristics'!B:B,MATCH($C1182,'Policy Characteristics'!$C:$C,0))),"",INDEX('Policy Characteristics'!B:B,MATCH($C1182,'Policy Characteristics'!$C:$C,0)))</f>
        <v>Hydrogen Combustion</v>
      </c>
      <c r="C1182" s="254" t="str">
        <f t="shared" si="45"/>
        <v>Fraction of Eligible Industrial Energy Use Shifted to Hydrogen</v>
      </c>
      <c r="D1182" s="6" t="s">
        <v>3073</v>
      </c>
      <c r="E1182" s="1" t="s">
        <v>3516</v>
      </c>
      <c r="F1182" t="s">
        <v>3036</v>
      </c>
      <c r="G1182" s="45" t="s">
        <v>3523</v>
      </c>
      <c r="H1182" s="43">
        <v>2131</v>
      </c>
      <c r="I1182" s="324" t="s">
        <v>43</v>
      </c>
      <c r="J1182" s="255" t="str">
        <f>IF(ISBLANK(INDEX('Policy Characteristics'!D:D,MATCH($C1182,'Policy Characteristics'!$C:$C,0))),"",INDEX('Policy Characteristics'!D:D,MATCH($C1182,'Policy Characteristics'!$C:$C,0)))</f>
        <v>Hydrogen Combustion</v>
      </c>
      <c r="K1182" s="254" t="str">
        <f>IF(ISBLANK(INDEX('Policy Characteristics'!E:E,MATCH($C1182,'Policy Characteristics'!$C:$C,0))),"",INDEX('Policy Characteristics'!E:E,MATCH($C1182,'Policy Characteristics'!$C:$C,0)))</f>
        <v>indst shift to hydrogen</v>
      </c>
      <c r="L1182" s="261">
        <f>IF(ISBLANK(INDEX('Policy Characteristics'!F:F,MATCH($C1182,'Policy Characteristics'!$C:$C,0))),"",INDEX('Policy Characteristics'!F:F,MATCH($C1182,'Policy Characteristics'!$C:$C,0)))</f>
        <v>0</v>
      </c>
      <c r="M1182" s="261">
        <f>IF(ISBLANK(INDEX('Policy Characteristics'!G:G,MATCH($C1182,'Policy Characteristics'!$C:$C,0))),"",INDEX('Policy Characteristics'!G:G,MATCH($C1182,'Policy Characteristics'!$C:$C,0)))</f>
        <v>1</v>
      </c>
      <c r="N1182" s="261">
        <f>IF(ISBLANK(INDEX('Policy Characteristics'!H:H,MATCH($C1182,'Policy Characteristics'!$C:$C,0))),"",INDEX('Policy Characteristics'!H:H,MATCH($C1182,'Policy Characteristics'!$C:$C,0)))</f>
        <v>0.01</v>
      </c>
      <c r="O1182" s="254" t="str">
        <f>IF(ISBLANK(INDEX('Policy Characteristics'!I:I,MATCH($C1182,'Policy Characteristics'!$C:$C,0))),"",INDEX('Policy Characteristics'!I:I,MATCH($C1182,'Policy Characteristics'!$C:$C,0)))</f>
        <v>% of fuel shifted</v>
      </c>
      <c r="P1182" s="254"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4" t="str">
        <f>IF(ISBLANK(INDEX('Policy Characteristics'!K:K,MATCH($C1182,'Policy Characteristics'!$C:$C,0))),"",INDEX('Policy Characteristics'!K:K,MATCH($C1182,'Policy Characteristics'!$C:$C,0)))</f>
        <v>industry-ag-main.html#fuel-switching</v>
      </c>
      <c r="R1182" s="254" t="str">
        <f>IF(ISBLANK(INDEX('Policy Characteristics'!L:L,MATCH($C1182,'Policy Characteristics'!$C:$C,0))),"",INDEX('Policy Characteristics'!L:L,MATCH($C1182,'Policy Characteristics'!$C:$C,0)))</f>
        <v>industry-elec-and-hydrogen.html</v>
      </c>
    </row>
    <row r="1183" spans="1:18" s="2" customFormat="1" x14ac:dyDescent="0.3">
      <c r="A1183" s="254" t="str">
        <f>IF(ISBLANK(INDEX('Policy Characteristics'!A:A,MATCH($C1183,'Policy Characteristics'!$C:$C,0))),"",INDEX('Policy Characteristics'!A:A,MATCH($C1183,'Policy Characteristics'!$C:$C,0)))</f>
        <v>Industry</v>
      </c>
      <c r="B1183" s="262" t="str">
        <f>IF(ISBLANK(INDEX('Policy Characteristics'!B:B,MATCH($C1183,'Policy Characteristics'!$C:$C,0))),"",INDEX('Policy Characteristics'!B:B,MATCH($C1183,'Policy Characteristics'!$C:$C,0)))</f>
        <v>Hydrogen Combustion</v>
      </c>
      <c r="C1183" s="254" t="str">
        <f t="shared" si="45"/>
        <v>Fraction of Eligible Industrial Energy Use Shifted to Hydrogen</v>
      </c>
      <c r="D1183" s="6" t="s">
        <v>3073</v>
      </c>
      <c r="E1183" s="1" t="s">
        <v>3517</v>
      </c>
      <c r="F1183" t="s">
        <v>3036</v>
      </c>
      <c r="G1183" s="45" t="s">
        <v>3524</v>
      </c>
      <c r="H1183" s="43">
        <v>2132</v>
      </c>
      <c r="I1183" s="324" t="s">
        <v>43</v>
      </c>
      <c r="J1183" s="255" t="str">
        <f>IF(ISBLANK(INDEX('Policy Characteristics'!D:D,MATCH($C1183,'Policy Characteristics'!$C:$C,0))),"",INDEX('Policy Characteristics'!D:D,MATCH($C1183,'Policy Characteristics'!$C:$C,0)))</f>
        <v>Hydrogen Combustion</v>
      </c>
      <c r="K1183" s="254" t="str">
        <f>IF(ISBLANK(INDEX('Policy Characteristics'!E:E,MATCH($C1183,'Policy Characteristics'!$C:$C,0))),"",INDEX('Policy Characteristics'!E:E,MATCH($C1183,'Policy Characteristics'!$C:$C,0)))</f>
        <v>indst shift to hydrogen</v>
      </c>
      <c r="L1183" s="261">
        <f>IF(ISBLANK(INDEX('Policy Characteristics'!F:F,MATCH($C1183,'Policy Characteristics'!$C:$C,0))),"",INDEX('Policy Characteristics'!F:F,MATCH($C1183,'Policy Characteristics'!$C:$C,0)))</f>
        <v>0</v>
      </c>
      <c r="M1183" s="261">
        <f>IF(ISBLANK(INDEX('Policy Characteristics'!G:G,MATCH($C1183,'Policy Characteristics'!$C:$C,0))),"",INDEX('Policy Characteristics'!G:G,MATCH($C1183,'Policy Characteristics'!$C:$C,0)))</f>
        <v>1</v>
      </c>
      <c r="N1183" s="261">
        <f>IF(ISBLANK(INDEX('Policy Characteristics'!H:H,MATCH($C1183,'Policy Characteristics'!$C:$C,0))),"",INDEX('Policy Characteristics'!H:H,MATCH($C1183,'Policy Characteristics'!$C:$C,0)))</f>
        <v>0.01</v>
      </c>
      <c r="O1183" s="254" t="str">
        <f>IF(ISBLANK(INDEX('Policy Characteristics'!I:I,MATCH($C1183,'Policy Characteristics'!$C:$C,0))),"",INDEX('Policy Characteristics'!I:I,MATCH($C1183,'Policy Characteristics'!$C:$C,0)))</f>
        <v>% of fuel shifted</v>
      </c>
      <c r="P1183" s="254"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4" t="str">
        <f>IF(ISBLANK(INDEX('Policy Characteristics'!K:K,MATCH($C1183,'Policy Characteristics'!$C:$C,0))),"",INDEX('Policy Characteristics'!K:K,MATCH($C1183,'Policy Characteristics'!$C:$C,0)))</f>
        <v>industry-ag-main.html#fuel-switching</v>
      </c>
      <c r="R1183" s="254" t="str">
        <f>IF(ISBLANK(INDEX('Policy Characteristics'!L:L,MATCH($C1183,'Policy Characteristics'!$C:$C,0))),"",INDEX('Policy Characteristics'!L:L,MATCH($C1183,'Policy Characteristics'!$C:$C,0)))</f>
        <v>industry-elec-and-hydrogen.html</v>
      </c>
    </row>
    <row r="1184" spans="1:18" s="2" customFormat="1" x14ac:dyDescent="0.3">
      <c r="A1184" s="254" t="str">
        <f>IF(ISBLANK(INDEX('Policy Characteristics'!A:A,MATCH($C1184,'Policy Characteristics'!$C:$C,0))),"",INDEX('Policy Characteristics'!A:A,MATCH($C1184,'Policy Characteristics'!$C:$C,0)))</f>
        <v>Industry</v>
      </c>
      <c r="B1184" s="262" t="str">
        <f>IF(ISBLANK(INDEX('Policy Characteristics'!B:B,MATCH($C1184,'Policy Characteristics'!$C:$C,0))),"",INDEX('Policy Characteristics'!B:B,MATCH($C1184,'Policy Characteristics'!$C:$C,0)))</f>
        <v>Hydrogen Combustion</v>
      </c>
      <c r="C1184" s="254" t="str">
        <f t="shared" si="45"/>
        <v>Fraction of Eligible Industrial Energy Use Shifted to Hydrogen</v>
      </c>
      <c r="D1184" s="6" t="s">
        <v>3073</v>
      </c>
      <c r="E1184" s="1" t="s">
        <v>3518</v>
      </c>
      <c r="F1184" t="s">
        <v>3036</v>
      </c>
      <c r="G1184" s="45" t="s">
        <v>3525</v>
      </c>
      <c r="H1184" s="43">
        <v>2133</v>
      </c>
      <c r="I1184" s="324" t="s">
        <v>43</v>
      </c>
      <c r="J1184" s="255" t="str">
        <f>IF(ISBLANK(INDEX('Policy Characteristics'!D:D,MATCH($C1184,'Policy Characteristics'!$C:$C,0))),"",INDEX('Policy Characteristics'!D:D,MATCH($C1184,'Policy Characteristics'!$C:$C,0)))</f>
        <v>Hydrogen Combustion</v>
      </c>
      <c r="K1184" s="254" t="str">
        <f>IF(ISBLANK(INDEX('Policy Characteristics'!E:E,MATCH($C1184,'Policy Characteristics'!$C:$C,0))),"",INDEX('Policy Characteristics'!E:E,MATCH($C1184,'Policy Characteristics'!$C:$C,0)))</f>
        <v>indst shift to hydrogen</v>
      </c>
      <c r="L1184" s="261">
        <f>IF(ISBLANK(INDEX('Policy Characteristics'!F:F,MATCH($C1184,'Policy Characteristics'!$C:$C,0))),"",INDEX('Policy Characteristics'!F:F,MATCH($C1184,'Policy Characteristics'!$C:$C,0)))</f>
        <v>0</v>
      </c>
      <c r="M1184" s="261">
        <f>IF(ISBLANK(INDEX('Policy Characteristics'!G:G,MATCH($C1184,'Policy Characteristics'!$C:$C,0))),"",INDEX('Policy Characteristics'!G:G,MATCH($C1184,'Policy Characteristics'!$C:$C,0)))</f>
        <v>1</v>
      </c>
      <c r="N1184" s="261">
        <f>IF(ISBLANK(INDEX('Policy Characteristics'!H:H,MATCH($C1184,'Policy Characteristics'!$C:$C,0))),"",INDEX('Policy Characteristics'!H:H,MATCH($C1184,'Policy Characteristics'!$C:$C,0)))</f>
        <v>0.01</v>
      </c>
      <c r="O1184" s="254" t="str">
        <f>IF(ISBLANK(INDEX('Policy Characteristics'!I:I,MATCH($C1184,'Policy Characteristics'!$C:$C,0))),"",INDEX('Policy Characteristics'!I:I,MATCH($C1184,'Policy Characteristics'!$C:$C,0)))</f>
        <v>% of fuel shifted</v>
      </c>
      <c r="P1184" s="254"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4" t="str">
        <f>IF(ISBLANK(INDEX('Policy Characteristics'!K:K,MATCH($C1184,'Policy Characteristics'!$C:$C,0))),"",INDEX('Policy Characteristics'!K:K,MATCH($C1184,'Policy Characteristics'!$C:$C,0)))</f>
        <v>industry-ag-main.html#fuel-switching</v>
      </c>
      <c r="R1184" s="254" t="str">
        <f>IF(ISBLANK(INDEX('Policy Characteristics'!L:L,MATCH($C1184,'Policy Characteristics'!$C:$C,0))),"",INDEX('Policy Characteristics'!L:L,MATCH($C1184,'Policy Characteristics'!$C:$C,0)))</f>
        <v>industry-elec-and-hydrogen.html</v>
      </c>
    </row>
    <row r="1185" spans="1:18" s="2" customFormat="1" x14ac:dyDescent="0.3">
      <c r="A1185" s="254" t="str">
        <f>IF(ISBLANK(INDEX('Policy Characteristics'!A:A,MATCH($C1185,'Policy Characteristics'!$C:$C,0))),"",INDEX('Policy Characteristics'!A:A,MATCH($C1185,'Policy Characteristics'!$C:$C,0)))</f>
        <v>Industry</v>
      </c>
      <c r="B1185" s="262" t="str">
        <f>IF(ISBLANK(INDEX('Policy Characteristics'!B:B,MATCH($C1185,'Policy Characteristics'!$C:$C,0))),"",INDEX('Policy Characteristics'!B:B,MATCH($C1185,'Policy Characteristics'!$C:$C,0)))</f>
        <v>Hydrogen Combustion</v>
      </c>
      <c r="C1185" s="254" t="str">
        <f t="shared" si="45"/>
        <v>Fraction of Eligible Industrial Energy Use Shifted to Hydrogen</v>
      </c>
      <c r="D1185" s="6" t="s">
        <v>3073</v>
      </c>
      <c r="E1185" s="1" t="s">
        <v>3519</v>
      </c>
      <c r="F1185" t="s">
        <v>3036</v>
      </c>
      <c r="G1185" s="45" t="s">
        <v>3526</v>
      </c>
      <c r="H1185" s="43">
        <v>2134</v>
      </c>
      <c r="I1185" s="324" t="s">
        <v>43</v>
      </c>
      <c r="J1185" s="255" t="str">
        <f>IF(ISBLANK(INDEX('Policy Characteristics'!D:D,MATCH($C1185,'Policy Characteristics'!$C:$C,0))),"",INDEX('Policy Characteristics'!D:D,MATCH($C1185,'Policy Characteristics'!$C:$C,0)))</f>
        <v>Hydrogen Combustion</v>
      </c>
      <c r="K1185" s="254" t="str">
        <f>IF(ISBLANK(INDEX('Policy Characteristics'!E:E,MATCH($C1185,'Policy Characteristics'!$C:$C,0))),"",INDEX('Policy Characteristics'!E:E,MATCH($C1185,'Policy Characteristics'!$C:$C,0)))</f>
        <v>indst shift to hydrogen</v>
      </c>
      <c r="L1185" s="261">
        <f>IF(ISBLANK(INDEX('Policy Characteristics'!F:F,MATCH($C1185,'Policy Characteristics'!$C:$C,0))),"",INDEX('Policy Characteristics'!F:F,MATCH($C1185,'Policy Characteristics'!$C:$C,0)))</f>
        <v>0</v>
      </c>
      <c r="M1185" s="261">
        <f>IF(ISBLANK(INDEX('Policy Characteristics'!G:G,MATCH($C1185,'Policy Characteristics'!$C:$C,0))),"",INDEX('Policy Characteristics'!G:G,MATCH($C1185,'Policy Characteristics'!$C:$C,0)))</f>
        <v>1</v>
      </c>
      <c r="N1185" s="261">
        <f>IF(ISBLANK(INDEX('Policy Characteristics'!H:H,MATCH($C1185,'Policy Characteristics'!$C:$C,0))),"",INDEX('Policy Characteristics'!H:H,MATCH($C1185,'Policy Characteristics'!$C:$C,0)))</f>
        <v>0.01</v>
      </c>
      <c r="O1185" s="254" t="str">
        <f>IF(ISBLANK(INDEX('Policy Characteristics'!I:I,MATCH($C1185,'Policy Characteristics'!$C:$C,0))),"",INDEX('Policy Characteristics'!I:I,MATCH($C1185,'Policy Characteristics'!$C:$C,0)))</f>
        <v>% of fuel shifted</v>
      </c>
      <c r="P1185" s="254"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4" t="str">
        <f>IF(ISBLANK(INDEX('Policy Characteristics'!K:K,MATCH($C1185,'Policy Characteristics'!$C:$C,0))),"",INDEX('Policy Characteristics'!K:K,MATCH($C1185,'Policy Characteristics'!$C:$C,0)))</f>
        <v>industry-ag-main.html#fuel-switching</v>
      </c>
      <c r="R1185" s="254" t="str">
        <f>IF(ISBLANK(INDEX('Policy Characteristics'!L:L,MATCH($C1185,'Policy Characteristics'!$C:$C,0))),"",INDEX('Policy Characteristics'!L:L,MATCH($C1185,'Policy Characteristics'!$C:$C,0)))</f>
        <v>industry-elec-and-hydrogen.html</v>
      </c>
    </row>
    <row r="1186" spans="1:18" s="2" customFormat="1" x14ac:dyDescent="0.3">
      <c r="A1186" s="254" t="str">
        <f>IF(ISBLANK(INDEX('Policy Characteristics'!A:A,MATCH($C1186,'Policy Characteristics'!$C:$C,0))),"",INDEX('Policy Characteristics'!A:A,MATCH($C1186,'Policy Characteristics'!$C:$C,0)))</f>
        <v>Industry</v>
      </c>
      <c r="B1186" s="262" t="str">
        <f>IF(ISBLANK(INDEX('Policy Characteristics'!B:B,MATCH($C1186,'Policy Characteristics'!$C:$C,0))),"",INDEX('Policy Characteristics'!B:B,MATCH($C1186,'Policy Characteristics'!$C:$C,0)))</f>
        <v>Hydrogen Combustion</v>
      </c>
      <c r="C1186" s="254" t="str">
        <f t="shared" si="45"/>
        <v>Fraction of Eligible Industrial Energy Use Shifted to Hydrogen</v>
      </c>
      <c r="D1186" s="6" t="s">
        <v>3073</v>
      </c>
      <c r="E1186" s="1" t="s">
        <v>3520</v>
      </c>
      <c r="F1186" t="s">
        <v>3036</v>
      </c>
      <c r="G1186" s="45" t="s">
        <v>3527</v>
      </c>
      <c r="H1186" s="43">
        <v>2135</v>
      </c>
      <c r="I1186" s="324" t="s">
        <v>43</v>
      </c>
      <c r="J1186" s="255" t="str">
        <f>IF(ISBLANK(INDEX('Policy Characteristics'!D:D,MATCH($C1186,'Policy Characteristics'!$C:$C,0))),"",INDEX('Policy Characteristics'!D:D,MATCH($C1186,'Policy Characteristics'!$C:$C,0)))</f>
        <v>Hydrogen Combustion</v>
      </c>
      <c r="K1186" s="254" t="str">
        <f>IF(ISBLANK(INDEX('Policy Characteristics'!E:E,MATCH($C1186,'Policy Characteristics'!$C:$C,0))),"",INDEX('Policy Characteristics'!E:E,MATCH($C1186,'Policy Characteristics'!$C:$C,0)))</f>
        <v>indst shift to hydrogen</v>
      </c>
      <c r="L1186" s="261">
        <f>IF(ISBLANK(INDEX('Policy Characteristics'!F:F,MATCH($C1186,'Policy Characteristics'!$C:$C,0))),"",INDEX('Policy Characteristics'!F:F,MATCH($C1186,'Policy Characteristics'!$C:$C,0)))</f>
        <v>0</v>
      </c>
      <c r="M1186" s="261">
        <f>IF(ISBLANK(INDEX('Policy Characteristics'!G:G,MATCH($C1186,'Policy Characteristics'!$C:$C,0))),"",INDEX('Policy Characteristics'!G:G,MATCH($C1186,'Policy Characteristics'!$C:$C,0)))</f>
        <v>1</v>
      </c>
      <c r="N1186" s="261">
        <f>IF(ISBLANK(INDEX('Policy Characteristics'!H:H,MATCH($C1186,'Policy Characteristics'!$C:$C,0))),"",INDEX('Policy Characteristics'!H:H,MATCH($C1186,'Policy Characteristics'!$C:$C,0)))</f>
        <v>0.01</v>
      </c>
      <c r="O1186" s="254" t="str">
        <f>IF(ISBLANK(INDEX('Policy Characteristics'!I:I,MATCH($C1186,'Policy Characteristics'!$C:$C,0))),"",INDEX('Policy Characteristics'!I:I,MATCH($C1186,'Policy Characteristics'!$C:$C,0)))</f>
        <v>% of fuel shifted</v>
      </c>
      <c r="P1186" s="254"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4" t="str">
        <f>IF(ISBLANK(INDEX('Policy Characteristics'!K:K,MATCH($C1186,'Policy Characteristics'!$C:$C,0))),"",INDEX('Policy Characteristics'!K:K,MATCH($C1186,'Policy Characteristics'!$C:$C,0)))</f>
        <v>industry-ag-main.html#fuel-switching</v>
      </c>
      <c r="R1186" s="254" t="str">
        <f>IF(ISBLANK(INDEX('Policy Characteristics'!L:L,MATCH($C1186,'Policy Characteristics'!$C:$C,0))),"",INDEX('Policy Characteristics'!L:L,MATCH($C1186,'Policy Characteristics'!$C:$C,0)))</f>
        <v>industry-elec-and-hydrogen.html</v>
      </c>
    </row>
    <row r="1187" spans="1:18" s="2" customFormat="1" x14ac:dyDescent="0.3">
      <c r="A1187" s="254" t="str">
        <f>IF(ISBLANK(INDEX('Policy Characteristics'!A:A,MATCH($C1187,'Policy Characteristics'!$C:$C,0))),"",INDEX('Policy Characteristics'!A:A,MATCH($C1187,'Policy Characteristics'!$C:$C,0)))</f>
        <v>Industry</v>
      </c>
      <c r="B1187" s="262" t="str">
        <f>IF(ISBLANK(INDEX('Policy Characteristics'!B:B,MATCH($C1187,'Policy Characteristics'!$C:$C,0))),"",INDEX('Policy Characteristics'!B:B,MATCH($C1187,'Policy Characteristics'!$C:$C,0)))</f>
        <v>Hydrogen Combustion</v>
      </c>
      <c r="C1187" s="254" t="str">
        <f t="shared" si="45"/>
        <v>Fraction of Eligible Industrial Energy Use Shifted to Hydrogen</v>
      </c>
      <c r="D1187" s="6" t="s">
        <v>3073</v>
      </c>
      <c r="E1187" s="1" t="s">
        <v>3521</v>
      </c>
      <c r="F1187" t="s">
        <v>3036</v>
      </c>
      <c r="G1187" s="45" t="s">
        <v>3528</v>
      </c>
      <c r="H1187" s="43">
        <v>2136</v>
      </c>
      <c r="I1187" s="324" t="s">
        <v>44</v>
      </c>
      <c r="J1187" s="255" t="str">
        <f>IF(ISBLANK(INDEX('Policy Characteristics'!D:D,MATCH($C1187,'Policy Characteristics'!$C:$C,0))),"",INDEX('Policy Characteristics'!D:D,MATCH($C1187,'Policy Characteristics'!$C:$C,0)))</f>
        <v>Hydrogen Combustion</v>
      </c>
      <c r="K1187" s="254" t="str">
        <f>IF(ISBLANK(INDEX('Policy Characteristics'!E:E,MATCH($C1187,'Policy Characteristics'!$C:$C,0))),"",INDEX('Policy Characteristics'!E:E,MATCH($C1187,'Policy Characteristics'!$C:$C,0)))</f>
        <v>indst shift to hydrogen</v>
      </c>
      <c r="L1187" s="261">
        <f>IF(ISBLANK(INDEX('Policy Characteristics'!F:F,MATCH($C1187,'Policy Characteristics'!$C:$C,0))),"",INDEX('Policy Characteristics'!F:F,MATCH($C1187,'Policy Characteristics'!$C:$C,0)))</f>
        <v>0</v>
      </c>
      <c r="M1187" s="261">
        <f>IF(ISBLANK(INDEX('Policy Characteristics'!G:G,MATCH($C1187,'Policy Characteristics'!$C:$C,0))),"",INDEX('Policy Characteristics'!G:G,MATCH($C1187,'Policy Characteristics'!$C:$C,0)))</f>
        <v>1</v>
      </c>
      <c r="N1187" s="261">
        <f>IF(ISBLANK(INDEX('Policy Characteristics'!H:H,MATCH($C1187,'Policy Characteristics'!$C:$C,0))),"",INDEX('Policy Characteristics'!H:H,MATCH($C1187,'Policy Characteristics'!$C:$C,0)))</f>
        <v>0.01</v>
      </c>
      <c r="O1187" s="254" t="str">
        <f>IF(ISBLANK(INDEX('Policy Characteristics'!I:I,MATCH($C1187,'Policy Characteristics'!$C:$C,0))),"",INDEX('Policy Characteristics'!I:I,MATCH($C1187,'Policy Characteristics'!$C:$C,0)))</f>
        <v>% of fuel shifted</v>
      </c>
      <c r="P1187" s="254"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4" t="str">
        <f>IF(ISBLANK(INDEX('Policy Characteristics'!K:K,MATCH($C1187,'Policy Characteristics'!$C:$C,0))),"",INDEX('Policy Characteristics'!K:K,MATCH($C1187,'Policy Characteristics'!$C:$C,0)))</f>
        <v>industry-ag-main.html#fuel-switching</v>
      </c>
      <c r="R1187" s="254" t="str">
        <f>IF(ISBLANK(INDEX('Policy Characteristics'!L:L,MATCH($C1187,'Policy Characteristics'!$C:$C,0))),"",INDEX('Policy Characteristics'!L:L,MATCH($C1187,'Policy Characteristics'!$C:$C,0)))</f>
        <v>industry-elec-and-hydrogen.html</v>
      </c>
    </row>
    <row r="1188" spans="1:18" s="2" customFormat="1" x14ac:dyDescent="0.3">
      <c r="A1188" s="254" t="str">
        <f>IF(ISBLANK(INDEX('Policy Characteristics'!A:A,MATCH($C1188,'Policy Characteristics'!$C:$C,0))),"",INDEX('Policy Characteristics'!A:A,MATCH($C1188,'Policy Characteristics'!$C:$C,0)))</f>
        <v>Industry</v>
      </c>
      <c r="B1188" s="262" t="str">
        <f>IF(ISBLANK(INDEX('Policy Characteristics'!B:B,MATCH($C1188,'Policy Characteristics'!$C:$C,0))),"",INDEX('Policy Characteristics'!B:B,MATCH($C1188,'Policy Characteristics'!$C:$C,0)))</f>
        <v>Hydrogen Combustion</v>
      </c>
      <c r="C1188" s="254" t="str">
        <f t="shared" si="45"/>
        <v>Fraction of Eligible Industrial Energy Use Shifted to Hydrogen</v>
      </c>
      <c r="D1188" s="6" t="s">
        <v>3073</v>
      </c>
      <c r="E1188" s="1" t="s">
        <v>3671</v>
      </c>
      <c r="F1188" t="s">
        <v>3036</v>
      </c>
      <c r="G1188" s="45" t="s">
        <v>3671</v>
      </c>
      <c r="H1188" s="43">
        <v>2137</v>
      </c>
      <c r="I1188" s="324" t="s">
        <v>44</v>
      </c>
      <c r="J1188" s="255" t="str">
        <f>IF(ISBLANK(INDEX('Policy Characteristics'!D:D,MATCH($C1188,'Policy Characteristics'!$C:$C,0))),"",INDEX('Policy Characteristics'!D:D,MATCH($C1188,'Policy Characteristics'!$C:$C,0)))</f>
        <v>Hydrogen Combustion</v>
      </c>
      <c r="K1188" s="254" t="str">
        <f>IF(ISBLANK(INDEX('Policy Characteristics'!E:E,MATCH($C1188,'Policy Characteristics'!$C:$C,0))),"",INDEX('Policy Characteristics'!E:E,MATCH($C1188,'Policy Characteristics'!$C:$C,0)))</f>
        <v>indst shift to hydrogen</v>
      </c>
      <c r="L1188" s="261">
        <f>IF(ISBLANK(INDEX('Policy Characteristics'!F:F,MATCH($C1188,'Policy Characteristics'!$C:$C,0))),"",INDEX('Policy Characteristics'!F:F,MATCH($C1188,'Policy Characteristics'!$C:$C,0)))</f>
        <v>0</v>
      </c>
      <c r="M1188" s="261">
        <f>IF(ISBLANK(INDEX('Policy Characteristics'!G:G,MATCH($C1188,'Policy Characteristics'!$C:$C,0))),"",INDEX('Policy Characteristics'!G:G,MATCH($C1188,'Policy Characteristics'!$C:$C,0)))</f>
        <v>1</v>
      </c>
      <c r="N1188" s="261">
        <f>IF(ISBLANK(INDEX('Policy Characteristics'!H:H,MATCH($C1188,'Policy Characteristics'!$C:$C,0))),"",INDEX('Policy Characteristics'!H:H,MATCH($C1188,'Policy Characteristics'!$C:$C,0)))</f>
        <v>0.01</v>
      </c>
      <c r="O1188" s="254" t="str">
        <f>IF(ISBLANK(INDEX('Policy Characteristics'!I:I,MATCH($C1188,'Policy Characteristics'!$C:$C,0))),"",INDEX('Policy Characteristics'!I:I,MATCH($C1188,'Policy Characteristics'!$C:$C,0)))</f>
        <v>% of fuel shifted</v>
      </c>
      <c r="P1188" s="254"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4" t="str">
        <f>IF(ISBLANK(INDEX('Policy Characteristics'!K:K,MATCH($C1188,'Policy Characteristics'!$C:$C,0))),"",INDEX('Policy Characteristics'!K:K,MATCH($C1188,'Policy Characteristics'!$C:$C,0)))</f>
        <v>industry-ag-main.html#fuel-switching</v>
      </c>
      <c r="R1188" s="254" t="str">
        <f>IF(ISBLANK(INDEX('Policy Characteristics'!L:L,MATCH($C1188,'Policy Characteristics'!$C:$C,0))),"",INDEX('Policy Characteristics'!L:L,MATCH($C1188,'Policy Characteristics'!$C:$C,0)))</f>
        <v>industry-elec-and-hydrogen.html</v>
      </c>
    </row>
    <row r="1189" spans="1:18" s="2" customFormat="1" x14ac:dyDescent="0.3">
      <c r="A1189" s="254" t="str">
        <f>IF(ISBLANK(INDEX('Policy Characteristics'!A:A,MATCH($C1189,'Policy Characteristics'!$C:$C,0))),"",INDEX('Policy Characteristics'!A:A,MATCH($C1189,'Policy Characteristics'!$C:$C,0)))</f>
        <v>Industry</v>
      </c>
      <c r="B1189" s="262" t="str">
        <f>IF(ISBLANK(INDEX('Policy Characteristics'!B:B,MATCH($C1189,'Policy Characteristics'!$C:$C,0))),"",INDEX('Policy Characteristics'!B:B,MATCH($C1189,'Policy Characteristics'!$C:$C,0)))</f>
        <v>Hydrogen Combustion</v>
      </c>
      <c r="C1189" s="254" t="str">
        <f t="shared" si="45"/>
        <v>Fraction of Eligible Industrial Energy Use Shifted to Hydrogen</v>
      </c>
      <c r="D1189" s="6" t="s">
        <v>3074</v>
      </c>
      <c r="E1189" s="1" t="s">
        <v>3515</v>
      </c>
      <c r="F1189" t="s">
        <v>2580</v>
      </c>
      <c r="G1189" s="45" t="s">
        <v>3522</v>
      </c>
      <c r="H1189" s="43">
        <v>2138</v>
      </c>
      <c r="I1189" s="324" t="s">
        <v>43</v>
      </c>
      <c r="J1189" s="255" t="str">
        <f>IF(ISBLANK(INDEX('Policy Characteristics'!D:D,MATCH($C1189,'Policy Characteristics'!$C:$C,0))),"",INDEX('Policy Characteristics'!D:D,MATCH($C1189,'Policy Characteristics'!$C:$C,0)))</f>
        <v>Hydrogen Combustion</v>
      </c>
      <c r="K1189" s="254" t="str">
        <f>IF(ISBLANK(INDEX('Policy Characteristics'!E:E,MATCH($C1189,'Policy Characteristics'!$C:$C,0))),"",INDEX('Policy Characteristics'!E:E,MATCH($C1189,'Policy Characteristics'!$C:$C,0)))</f>
        <v>indst shift to hydrogen</v>
      </c>
      <c r="L1189" s="261">
        <f>IF(ISBLANK(INDEX('Policy Characteristics'!F:F,MATCH($C1189,'Policy Characteristics'!$C:$C,0))),"",INDEX('Policy Characteristics'!F:F,MATCH($C1189,'Policy Characteristics'!$C:$C,0)))</f>
        <v>0</v>
      </c>
      <c r="M1189" s="261">
        <f>IF(ISBLANK(INDEX('Policy Characteristics'!G:G,MATCH($C1189,'Policy Characteristics'!$C:$C,0))),"",INDEX('Policy Characteristics'!G:G,MATCH($C1189,'Policy Characteristics'!$C:$C,0)))</f>
        <v>1</v>
      </c>
      <c r="N1189" s="261">
        <f>IF(ISBLANK(INDEX('Policy Characteristics'!H:H,MATCH($C1189,'Policy Characteristics'!$C:$C,0))),"",INDEX('Policy Characteristics'!H:H,MATCH($C1189,'Policy Characteristics'!$C:$C,0)))</f>
        <v>0.01</v>
      </c>
      <c r="O1189" s="254" t="str">
        <f>IF(ISBLANK(INDEX('Policy Characteristics'!I:I,MATCH($C1189,'Policy Characteristics'!$C:$C,0))),"",INDEX('Policy Characteristics'!I:I,MATCH($C1189,'Policy Characteristics'!$C:$C,0)))</f>
        <v>% of fuel shifted</v>
      </c>
      <c r="P1189" s="254"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4" t="str">
        <f>IF(ISBLANK(INDEX('Policy Characteristics'!K:K,MATCH($C1189,'Policy Characteristics'!$C:$C,0))),"",INDEX('Policy Characteristics'!K:K,MATCH($C1189,'Policy Characteristics'!$C:$C,0)))</f>
        <v>industry-ag-main.html#fuel-switching</v>
      </c>
      <c r="R1189" s="254" t="str">
        <f>IF(ISBLANK(INDEX('Policy Characteristics'!L:L,MATCH($C1189,'Policy Characteristics'!$C:$C,0))),"",INDEX('Policy Characteristics'!L:L,MATCH($C1189,'Policy Characteristics'!$C:$C,0)))</f>
        <v>industry-elec-and-hydrogen.html</v>
      </c>
    </row>
    <row r="1190" spans="1:18" s="2" customFormat="1" x14ac:dyDescent="0.3">
      <c r="A1190" s="254" t="str">
        <f>IF(ISBLANK(INDEX('Policy Characteristics'!A:A,MATCH($C1190,'Policy Characteristics'!$C:$C,0))),"",INDEX('Policy Characteristics'!A:A,MATCH($C1190,'Policy Characteristics'!$C:$C,0)))</f>
        <v>Industry</v>
      </c>
      <c r="B1190" s="262" t="str">
        <f>IF(ISBLANK(INDEX('Policy Characteristics'!B:B,MATCH($C1190,'Policy Characteristics'!$C:$C,0))),"",INDEX('Policy Characteristics'!B:B,MATCH($C1190,'Policy Characteristics'!$C:$C,0)))</f>
        <v>Hydrogen Combustion</v>
      </c>
      <c r="C1190" s="254" t="str">
        <f t="shared" si="45"/>
        <v>Fraction of Eligible Industrial Energy Use Shifted to Hydrogen</v>
      </c>
      <c r="D1190" s="6" t="s">
        <v>3074</v>
      </c>
      <c r="E1190" s="1" t="s">
        <v>3516</v>
      </c>
      <c r="F1190" t="s">
        <v>2580</v>
      </c>
      <c r="G1190" s="45" t="s">
        <v>3523</v>
      </c>
      <c r="H1190" s="43">
        <v>2139</v>
      </c>
      <c r="I1190" s="324" t="s">
        <v>43</v>
      </c>
      <c r="J1190" s="255" t="str">
        <f>IF(ISBLANK(INDEX('Policy Characteristics'!D:D,MATCH($C1190,'Policy Characteristics'!$C:$C,0))),"",INDEX('Policy Characteristics'!D:D,MATCH($C1190,'Policy Characteristics'!$C:$C,0)))</f>
        <v>Hydrogen Combustion</v>
      </c>
      <c r="K1190" s="254" t="str">
        <f>IF(ISBLANK(INDEX('Policy Characteristics'!E:E,MATCH($C1190,'Policy Characteristics'!$C:$C,0))),"",INDEX('Policy Characteristics'!E:E,MATCH($C1190,'Policy Characteristics'!$C:$C,0)))</f>
        <v>indst shift to hydrogen</v>
      </c>
      <c r="L1190" s="261">
        <f>IF(ISBLANK(INDEX('Policy Characteristics'!F:F,MATCH($C1190,'Policy Characteristics'!$C:$C,0))),"",INDEX('Policy Characteristics'!F:F,MATCH($C1190,'Policy Characteristics'!$C:$C,0)))</f>
        <v>0</v>
      </c>
      <c r="M1190" s="261">
        <f>IF(ISBLANK(INDEX('Policy Characteristics'!G:G,MATCH($C1190,'Policy Characteristics'!$C:$C,0))),"",INDEX('Policy Characteristics'!G:G,MATCH($C1190,'Policy Characteristics'!$C:$C,0)))</f>
        <v>1</v>
      </c>
      <c r="N1190" s="261">
        <f>IF(ISBLANK(INDEX('Policy Characteristics'!H:H,MATCH($C1190,'Policy Characteristics'!$C:$C,0))),"",INDEX('Policy Characteristics'!H:H,MATCH($C1190,'Policy Characteristics'!$C:$C,0)))</f>
        <v>0.01</v>
      </c>
      <c r="O1190" s="254" t="str">
        <f>IF(ISBLANK(INDEX('Policy Characteristics'!I:I,MATCH($C1190,'Policy Characteristics'!$C:$C,0))),"",INDEX('Policy Characteristics'!I:I,MATCH($C1190,'Policy Characteristics'!$C:$C,0)))</f>
        <v>% of fuel shifted</v>
      </c>
      <c r="P1190" s="254"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4" t="str">
        <f>IF(ISBLANK(INDEX('Policy Characteristics'!K:K,MATCH($C1190,'Policy Characteristics'!$C:$C,0))),"",INDEX('Policy Characteristics'!K:K,MATCH($C1190,'Policy Characteristics'!$C:$C,0)))</f>
        <v>industry-ag-main.html#fuel-switching</v>
      </c>
      <c r="R1190" s="254" t="str">
        <f>IF(ISBLANK(INDEX('Policy Characteristics'!L:L,MATCH($C1190,'Policy Characteristics'!$C:$C,0))),"",INDEX('Policy Characteristics'!L:L,MATCH($C1190,'Policy Characteristics'!$C:$C,0)))</f>
        <v>industry-elec-and-hydrogen.html</v>
      </c>
    </row>
    <row r="1191" spans="1:18" s="2" customFormat="1" x14ac:dyDescent="0.3">
      <c r="A1191" s="254" t="str">
        <f>IF(ISBLANK(INDEX('Policy Characteristics'!A:A,MATCH($C1191,'Policy Characteristics'!$C:$C,0))),"",INDEX('Policy Characteristics'!A:A,MATCH($C1191,'Policy Characteristics'!$C:$C,0)))</f>
        <v>Industry</v>
      </c>
      <c r="B1191" s="262" t="str">
        <f>IF(ISBLANK(INDEX('Policy Characteristics'!B:B,MATCH($C1191,'Policy Characteristics'!$C:$C,0))),"",INDEX('Policy Characteristics'!B:B,MATCH($C1191,'Policy Characteristics'!$C:$C,0)))</f>
        <v>Hydrogen Combustion</v>
      </c>
      <c r="C1191" s="254" t="str">
        <f t="shared" si="45"/>
        <v>Fraction of Eligible Industrial Energy Use Shifted to Hydrogen</v>
      </c>
      <c r="D1191" s="6" t="s">
        <v>3074</v>
      </c>
      <c r="E1191" s="1" t="s">
        <v>3517</v>
      </c>
      <c r="F1191" t="s">
        <v>2580</v>
      </c>
      <c r="G1191" s="45" t="s">
        <v>3524</v>
      </c>
      <c r="H1191" s="43">
        <v>2140</v>
      </c>
      <c r="I1191" s="324" t="s">
        <v>43</v>
      </c>
      <c r="J1191" s="255" t="str">
        <f>IF(ISBLANK(INDEX('Policy Characteristics'!D:D,MATCH($C1191,'Policy Characteristics'!$C:$C,0))),"",INDEX('Policy Characteristics'!D:D,MATCH($C1191,'Policy Characteristics'!$C:$C,0)))</f>
        <v>Hydrogen Combustion</v>
      </c>
      <c r="K1191" s="254" t="str">
        <f>IF(ISBLANK(INDEX('Policy Characteristics'!E:E,MATCH($C1191,'Policy Characteristics'!$C:$C,0))),"",INDEX('Policy Characteristics'!E:E,MATCH($C1191,'Policy Characteristics'!$C:$C,0)))</f>
        <v>indst shift to hydrogen</v>
      </c>
      <c r="L1191" s="261">
        <f>IF(ISBLANK(INDEX('Policy Characteristics'!F:F,MATCH($C1191,'Policy Characteristics'!$C:$C,0))),"",INDEX('Policy Characteristics'!F:F,MATCH($C1191,'Policy Characteristics'!$C:$C,0)))</f>
        <v>0</v>
      </c>
      <c r="M1191" s="261">
        <f>IF(ISBLANK(INDEX('Policy Characteristics'!G:G,MATCH($C1191,'Policy Characteristics'!$C:$C,0))),"",INDEX('Policy Characteristics'!G:G,MATCH($C1191,'Policy Characteristics'!$C:$C,0)))</f>
        <v>1</v>
      </c>
      <c r="N1191" s="261">
        <f>IF(ISBLANK(INDEX('Policy Characteristics'!H:H,MATCH($C1191,'Policy Characteristics'!$C:$C,0))),"",INDEX('Policy Characteristics'!H:H,MATCH($C1191,'Policy Characteristics'!$C:$C,0)))</f>
        <v>0.01</v>
      </c>
      <c r="O1191" s="254" t="str">
        <f>IF(ISBLANK(INDEX('Policy Characteristics'!I:I,MATCH($C1191,'Policy Characteristics'!$C:$C,0))),"",INDEX('Policy Characteristics'!I:I,MATCH($C1191,'Policy Characteristics'!$C:$C,0)))</f>
        <v>% of fuel shifted</v>
      </c>
      <c r="P1191" s="254"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4" t="str">
        <f>IF(ISBLANK(INDEX('Policy Characteristics'!K:K,MATCH($C1191,'Policy Characteristics'!$C:$C,0))),"",INDEX('Policy Characteristics'!K:K,MATCH($C1191,'Policy Characteristics'!$C:$C,0)))</f>
        <v>industry-ag-main.html#fuel-switching</v>
      </c>
      <c r="R1191" s="254" t="str">
        <f>IF(ISBLANK(INDEX('Policy Characteristics'!L:L,MATCH($C1191,'Policy Characteristics'!$C:$C,0))),"",INDEX('Policy Characteristics'!L:L,MATCH($C1191,'Policy Characteristics'!$C:$C,0)))</f>
        <v>industry-elec-and-hydrogen.html</v>
      </c>
    </row>
    <row r="1192" spans="1:18" s="2" customFormat="1" x14ac:dyDescent="0.3">
      <c r="A1192" s="254" t="str">
        <f>IF(ISBLANK(INDEX('Policy Characteristics'!A:A,MATCH($C1192,'Policy Characteristics'!$C:$C,0))),"",INDEX('Policy Characteristics'!A:A,MATCH($C1192,'Policy Characteristics'!$C:$C,0)))</f>
        <v>Industry</v>
      </c>
      <c r="B1192" s="262" t="str">
        <f>IF(ISBLANK(INDEX('Policy Characteristics'!B:B,MATCH($C1192,'Policy Characteristics'!$C:$C,0))),"",INDEX('Policy Characteristics'!B:B,MATCH($C1192,'Policy Characteristics'!$C:$C,0)))</f>
        <v>Hydrogen Combustion</v>
      </c>
      <c r="C1192" s="254" t="str">
        <f t="shared" si="45"/>
        <v>Fraction of Eligible Industrial Energy Use Shifted to Hydrogen</v>
      </c>
      <c r="D1192" s="6" t="s">
        <v>3074</v>
      </c>
      <c r="E1192" s="1" t="s">
        <v>3518</v>
      </c>
      <c r="F1192" t="s">
        <v>2580</v>
      </c>
      <c r="G1192" s="45" t="s">
        <v>3525</v>
      </c>
      <c r="H1192" s="43">
        <v>2141</v>
      </c>
      <c r="I1192" s="324" t="s">
        <v>43</v>
      </c>
      <c r="J1192" s="255" t="str">
        <f>IF(ISBLANK(INDEX('Policy Characteristics'!D:D,MATCH($C1192,'Policy Characteristics'!$C:$C,0))),"",INDEX('Policy Characteristics'!D:D,MATCH($C1192,'Policy Characteristics'!$C:$C,0)))</f>
        <v>Hydrogen Combustion</v>
      </c>
      <c r="K1192" s="254" t="str">
        <f>IF(ISBLANK(INDEX('Policy Characteristics'!E:E,MATCH($C1192,'Policy Characteristics'!$C:$C,0))),"",INDEX('Policy Characteristics'!E:E,MATCH($C1192,'Policy Characteristics'!$C:$C,0)))</f>
        <v>indst shift to hydrogen</v>
      </c>
      <c r="L1192" s="261">
        <f>IF(ISBLANK(INDEX('Policy Characteristics'!F:F,MATCH($C1192,'Policy Characteristics'!$C:$C,0))),"",INDEX('Policy Characteristics'!F:F,MATCH($C1192,'Policy Characteristics'!$C:$C,0)))</f>
        <v>0</v>
      </c>
      <c r="M1192" s="261">
        <f>IF(ISBLANK(INDEX('Policy Characteristics'!G:G,MATCH($C1192,'Policy Characteristics'!$C:$C,0))),"",INDEX('Policy Characteristics'!G:G,MATCH($C1192,'Policy Characteristics'!$C:$C,0)))</f>
        <v>1</v>
      </c>
      <c r="N1192" s="261">
        <f>IF(ISBLANK(INDEX('Policy Characteristics'!H:H,MATCH($C1192,'Policy Characteristics'!$C:$C,0))),"",INDEX('Policy Characteristics'!H:H,MATCH($C1192,'Policy Characteristics'!$C:$C,0)))</f>
        <v>0.01</v>
      </c>
      <c r="O1192" s="254" t="str">
        <f>IF(ISBLANK(INDEX('Policy Characteristics'!I:I,MATCH($C1192,'Policy Characteristics'!$C:$C,0))),"",INDEX('Policy Characteristics'!I:I,MATCH($C1192,'Policy Characteristics'!$C:$C,0)))</f>
        <v>% of fuel shifted</v>
      </c>
      <c r="P1192" s="254"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4" t="str">
        <f>IF(ISBLANK(INDEX('Policy Characteristics'!K:K,MATCH($C1192,'Policy Characteristics'!$C:$C,0))),"",INDEX('Policy Characteristics'!K:K,MATCH($C1192,'Policy Characteristics'!$C:$C,0)))</f>
        <v>industry-ag-main.html#fuel-switching</v>
      </c>
      <c r="R1192" s="254" t="str">
        <f>IF(ISBLANK(INDEX('Policy Characteristics'!L:L,MATCH($C1192,'Policy Characteristics'!$C:$C,0))),"",INDEX('Policy Characteristics'!L:L,MATCH($C1192,'Policy Characteristics'!$C:$C,0)))</f>
        <v>industry-elec-and-hydrogen.html</v>
      </c>
    </row>
    <row r="1193" spans="1:18" s="2" customFormat="1" x14ac:dyDescent="0.3">
      <c r="A1193" s="254" t="str">
        <f>IF(ISBLANK(INDEX('Policy Characteristics'!A:A,MATCH($C1193,'Policy Characteristics'!$C:$C,0))),"",INDEX('Policy Characteristics'!A:A,MATCH($C1193,'Policy Characteristics'!$C:$C,0)))</f>
        <v>Industry</v>
      </c>
      <c r="B1193" s="262" t="str">
        <f>IF(ISBLANK(INDEX('Policy Characteristics'!B:B,MATCH($C1193,'Policy Characteristics'!$C:$C,0))),"",INDEX('Policy Characteristics'!B:B,MATCH($C1193,'Policy Characteristics'!$C:$C,0)))</f>
        <v>Hydrogen Combustion</v>
      </c>
      <c r="C1193" s="254" t="str">
        <f t="shared" si="45"/>
        <v>Fraction of Eligible Industrial Energy Use Shifted to Hydrogen</v>
      </c>
      <c r="D1193" s="6" t="s">
        <v>3074</v>
      </c>
      <c r="E1193" s="1" t="s">
        <v>3519</v>
      </c>
      <c r="F1193" t="s">
        <v>2580</v>
      </c>
      <c r="G1193" s="45" t="s">
        <v>3526</v>
      </c>
      <c r="H1193" s="43">
        <v>2142</v>
      </c>
      <c r="I1193" s="324" t="s">
        <v>43</v>
      </c>
      <c r="J1193" s="255" t="str">
        <f>IF(ISBLANK(INDEX('Policy Characteristics'!D:D,MATCH($C1193,'Policy Characteristics'!$C:$C,0))),"",INDEX('Policy Characteristics'!D:D,MATCH($C1193,'Policy Characteristics'!$C:$C,0)))</f>
        <v>Hydrogen Combustion</v>
      </c>
      <c r="K1193" s="254" t="str">
        <f>IF(ISBLANK(INDEX('Policy Characteristics'!E:E,MATCH($C1193,'Policy Characteristics'!$C:$C,0))),"",INDEX('Policy Characteristics'!E:E,MATCH($C1193,'Policy Characteristics'!$C:$C,0)))</f>
        <v>indst shift to hydrogen</v>
      </c>
      <c r="L1193" s="261">
        <f>IF(ISBLANK(INDEX('Policy Characteristics'!F:F,MATCH($C1193,'Policy Characteristics'!$C:$C,0))),"",INDEX('Policy Characteristics'!F:F,MATCH($C1193,'Policy Characteristics'!$C:$C,0)))</f>
        <v>0</v>
      </c>
      <c r="M1193" s="261">
        <f>IF(ISBLANK(INDEX('Policy Characteristics'!G:G,MATCH($C1193,'Policy Characteristics'!$C:$C,0))),"",INDEX('Policy Characteristics'!G:G,MATCH($C1193,'Policy Characteristics'!$C:$C,0)))</f>
        <v>1</v>
      </c>
      <c r="N1193" s="261">
        <f>IF(ISBLANK(INDEX('Policy Characteristics'!H:H,MATCH($C1193,'Policy Characteristics'!$C:$C,0))),"",INDEX('Policy Characteristics'!H:H,MATCH($C1193,'Policy Characteristics'!$C:$C,0)))</f>
        <v>0.01</v>
      </c>
      <c r="O1193" s="254" t="str">
        <f>IF(ISBLANK(INDEX('Policy Characteristics'!I:I,MATCH($C1193,'Policy Characteristics'!$C:$C,0))),"",INDEX('Policy Characteristics'!I:I,MATCH($C1193,'Policy Characteristics'!$C:$C,0)))</f>
        <v>% of fuel shifted</v>
      </c>
      <c r="P1193" s="254"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4" t="str">
        <f>IF(ISBLANK(INDEX('Policy Characteristics'!K:K,MATCH($C1193,'Policy Characteristics'!$C:$C,0))),"",INDEX('Policy Characteristics'!K:K,MATCH($C1193,'Policy Characteristics'!$C:$C,0)))</f>
        <v>industry-ag-main.html#fuel-switching</v>
      </c>
      <c r="R1193" s="254" t="str">
        <f>IF(ISBLANK(INDEX('Policy Characteristics'!L:L,MATCH($C1193,'Policy Characteristics'!$C:$C,0))),"",INDEX('Policy Characteristics'!L:L,MATCH($C1193,'Policy Characteristics'!$C:$C,0)))</f>
        <v>industry-elec-and-hydrogen.html</v>
      </c>
    </row>
    <row r="1194" spans="1:18" s="2" customFormat="1" x14ac:dyDescent="0.3">
      <c r="A1194" s="254" t="str">
        <f>IF(ISBLANK(INDEX('Policy Characteristics'!A:A,MATCH($C1194,'Policy Characteristics'!$C:$C,0))),"",INDEX('Policy Characteristics'!A:A,MATCH($C1194,'Policy Characteristics'!$C:$C,0)))</f>
        <v>Industry</v>
      </c>
      <c r="B1194" s="262" t="str">
        <f>IF(ISBLANK(INDEX('Policy Characteristics'!B:B,MATCH($C1194,'Policy Characteristics'!$C:$C,0))),"",INDEX('Policy Characteristics'!B:B,MATCH($C1194,'Policy Characteristics'!$C:$C,0)))</f>
        <v>Hydrogen Combustion</v>
      </c>
      <c r="C1194" s="254" t="str">
        <f t="shared" si="45"/>
        <v>Fraction of Eligible Industrial Energy Use Shifted to Hydrogen</v>
      </c>
      <c r="D1194" s="6" t="s">
        <v>3074</v>
      </c>
      <c r="E1194" s="1" t="s">
        <v>3520</v>
      </c>
      <c r="F1194" t="s">
        <v>2580</v>
      </c>
      <c r="G1194" s="45" t="s">
        <v>3527</v>
      </c>
      <c r="H1194" s="43">
        <v>2143</v>
      </c>
      <c r="I1194" s="324" t="s">
        <v>43</v>
      </c>
      <c r="J1194" s="255" t="str">
        <f>IF(ISBLANK(INDEX('Policy Characteristics'!D:D,MATCH($C1194,'Policy Characteristics'!$C:$C,0))),"",INDEX('Policy Characteristics'!D:D,MATCH($C1194,'Policy Characteristics'!$C:$C,0)))</f>
        <v>Hydrogen Combustion</v>
      </c>
      <c r="K1194" s="254" t="str">
        <f>IF(ISBLANK(INDEX('Policy Characteristics'!E:E,MATCH($C1194,'Policy Characteristics'!$C:$C,0))),"",INDEX('Policy Characteristics'!E:E,MATCH($C1194,'Policy Characteristics'!$C:$C,0)))</f>
        <v>indst shift to hydrogen</v>
      </c>
      <c r="L1194" s="261">
        <f>IF(ISBLANK(INDEX('Policy Characteristics'!F:F,MATCH($C1194,'Policy Characteristics'!$C:$C,0))),"",INDEX('Policy Characteristics'!F:F,MATCH($C1194,'Policy Characteristics'!$C:$C,0)))</f>
        <v>0</v>
      </c>
      <c r="M1194" s="261">
        <f>IF(ISBLANK(INDEX('Policy Characteristics'!G:G,MATCH($C1194,'Policy Characteristics'!$C:$C,0))),"",INDEX('Policy Characteristics'!G:G,MATCH($C1194,'Policy Characteristics'!$C:$C,0)))</f>
        <v>1</v>
      </c>
      <c r="N1194" s="261">
        <f>IF(ISBLANK(INDEX('Policy Characteristics'!H:H,MATCH($C1194,'Policy Characteristics'!$C:$C,0))),"",INDEX('Policy Characteristics'!H:H,MATCH($C1194,'Policy Characteristics'!$C:$C,0)))</f>
        <v>0.01</v>
      </c>
      <c r="O1194" s="254" t="str">
        <f>IF(ISBLANK(INDEX('Policy Characteristics'!I:I,MATCH($C1194,'Policy Characteristics'!$C:$C,0))),"",INDEX('Policy Characteristics'!I:I,MATCH($C1194,'Policy Characteristics'!$C:$C,0)))</f>
        <v>% of fuel shifted</v>
      </c>
      <c r="P1194" s="254"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4" t="str">
        <f>IF(ISBLANK(INDEX('Policy Characteristics'!K:K,MATCH($C1194,'Policy Characteristics'!$C:$C,0))),"",INDEX('Policy Characteristics'!K:K,MATCH($C1194,'Policy Characteristics'!$C:$C,0)))</f>
        <v>industry-ag-main.html#fuel-switching</v>
      </c>
      <c r="R1194" s="254" t="str">
        <f>IF(ISBLANK(INDEX('Policy Characteristics'!L:L,MATCH($C1194,'Policy Characteristics'!$C:$C,0))),"",INDEX('Policy Characteristics'!L:L,MATCH($C1194,'Policy Characteristics'!$C:$C,0)))</f>
        <v>industry-elec-and-hydrogen.html</v>
      </c>
    </row>
    <row r="1195" spans="1:18" s="2" customFormat="1" x14ac:dyDescent="0.3">
      <c r="A1195" s="254" t="str">
        <f>IF(ISBLANK(INDEX('Policy Characteristics'!A:A,MATCH($C1195,'Policy Characteristics'!$C:$C,0))),"",INDEX('Policy Characteristics'!A:A,MATCH($C1195,'Policy Characteristics'!$C:$C,0)))</f>
        <v>Industry</v>
      </c>
      <c r="B1195" s="262" t="str">
        <f>IF(ISBLANK(INDEX('Policy Characteristics'!B:B,MATCH($C1195,'Policy Characteristics'!$C:$C,0))),"",INDEX('Policy Characteristics'!B:B,MATCH($C1195,'Policy Characteristics'!$C:$C,0)))</f>
        <v>Hydrogen Combustion</v>
      </c>
      <c r="C1195" s="254" t="str">
        <f t="shared" si="45"/>
        <v>Fraction of Eligible Industrial Energy Use Shifted to Hydrogen</v>
      </c>
      <c r="D1195" s="6" t="s">
        <v>3074</v>
      </c>
      <c r="E1195" s="1" t="s">
        <v>3521</v>
      </c>
      <c r="F1195" t="s">
        <v>2580</v>
      </c>
      <c r="G1195" s="45" t="s">
        <v>3528</v>
      </c>
      <c r="H1195" s="43">
        <v>2144</v>
      </c>
      <c r="I1195" s="324" t="s">
        <v>44</v>
      </c>
      <c r="J1195" s="255" t="str">
        <f>IF(ISBLANK(INDEX('Policy Characteristics'!D:D,MATCH($C1195,'Policy Characteristics'!$C:$C,0))),"",INDEX('Policy Characteristics'!D:D,MATCH($C1195,'Policy Characteristics'!$C:$C,0)))</f>
        <v>Hydrogen Combustion</v>
      </c>
      <c r="K1195" s="254" t="str">
        <f>IF(ISBLANK(INDEX('Policy Characteristics'!E:E,MATCH($C1195,'Policy Characteristics'!$C:$C,0))),"",INDEX('Policy Characteristics'!E:E,MATCH($C1195,'Policy Characteristics'!$C:$C,0)))</f>
        <v>indst shift to hydrogen</v>
      </c>
      <c r="L1195" s="261">
        <f>IF(ISBLANK(INDEX('Policy Characteristics'!F:F,MATCH($C1195,'Policy Characteristics'!$C:$C,0))),"",INDEX('Policy Characteristics'!F:F,MATCH($C1195,'Policy Characteristics'!$C:$C,0)))</f>
        <v>0</v>
      </c>
      <c r="M1195" s="261">
        <f>IF(ISBLANK(INDEX('Policy Characteristics'!G:G,MATCH($C1195,'Policy Characteristics'!$C:$C,0))),"",INDEX('Policy Characteristics'!G:G,MATCH($C1195,'Policy Characteristics'!$C:$C,0)))</f>
        <v>1</v>
      </c>
      <c r="N1195" s="261">
        <f>IF(ISBLANK(INDEX('Policy Characteristics'!H:H,MATCH($C1195,'Policy Characteristics'!$C:$C,0))),"",INDEX('Policy Characteristics'!H:H,MATCH($C1195,'Policy Characteristics'!$C:$C,0)))</f>
        <v>0.01</v>
      </c>
      <c r="O1195" s="254" t="str">
        <f>IF(ISBLANK(INDEX('Policy Characteristics'!I:I,MATCH($C1195,'Policy Characteristics'!$C:$C,0))),"",INDEX('Policy Characteristics'!I:I,MATCH($C1195,'Policy Characteristics'!$C:$C,0)))</f>
        <v>% of fuel shifted</v>
      </c>
      <c r="P1195" s="254"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4" t="str">
        <f>IF(ISBLANK(INDEX('Policy Characteristics'!K:K,MATCH($C1195,'Policy Characteristics'!$C:$C,0))),"",INDEX('Policy Characteristics'!K:K,MATCH($C1195,'Policy Characteristics'!$C:$C,0)))</f>
        <v>industry-ag-main.html#fuel-switching</v>
      </c>
      <c r="R1195" s="254" t="str">
        <f>IF(ISBLANK(INDEX('Policy Characteristics'!L:L,MATCH($C1195,'Policy Characteristics'!$C:$C,0))),"",INDEX('Policy Characteristics'!L:L,MATCH($C1195,'Policy Characteristics'!$C:$C,0)))</f>
        <v>industry-elec-and-hydrogen.html</v>
      </c>
    </row>
    <row r="1196" spans="1:18" s="2" customFormat="1" x14ac:dyDescent="0.3">
      <c r="A1196" s="254" t="str">
        <f>IF(ISBLANK(INDEX('Policy Characteristics'!A:A,MATCH($C1196,'Policy Characteristics'!$C:$C,0))),"",INDEX('Policy Characteristics'!A:A,MATCH($C1196,'Policy Characteristics'!$C:$C,0)))</f>
        <v>Industry</v>
      </c>
      <c r="B1196" s="262" t="str">
        <f>IF(ISBLANK(INDEX('Policy Characteristics'!B:B,MATCH($C1196,'Policy Characteristics'!$C:$C,0))),"",INDEX('Policy Characteristics'!B:B,MATCH($C1196,'Policy Characteristics'!$C:$C,0)))</f>
        <v>Hydrogen Combustion</v>
      </c>
      <c r="C1196" s="254" t="str">
        <f t="shared" si="45"/>
        <v>Fraction of Eligible Industrial Energy Use Shifted to Hydrogen</v>
      </c>
      <c r="D1196" s="6" t="s">
        <v>3074</v>
      </c>
      <c r="E1196" s="1" t="s">
        <v>3671</v>
      </c>
      <c r="F1196" t="s">
        <v>2580</v>
      </c>
      <c r="G1196" s="45" t="s">
        <v>3671</v>
      </c>
      <c r="H1196" s="43">
        <v>2145</v>
      </c>
      <c r="I1196" s="324" t="s">
        <v>43</v>
      </c>
      <c r="J1196" s="255" t="str">
        <f>IF(ISBLANK(INDEX('Policy Characteristics'!D:D,MATCH($C1196,'Policy Characteristics'!$C:$C,0))),"",INDEX('Policy Characteristics'!D:D,MATCH($C1196,'Policy Characteristics'!$C:$C,0)))</f>
        <v>Hydrogen Combustion</v>
      </c>
      <c r="K1196" s="254" t="str">
        <f>IF(ISBLANK(INDEX('Policy Characteristics'!E:E,MATCH($C1196,'Policy Characteristics'!$C:$C,0))),"",INDEX('Policy Characteristics'!E:E,MATCH($C1196,'Policy Characteristics'!$C:$C,0)))</f>
        <v>indst shift to hydrogen</v>
      </c>
      <c r="L1196" s="261">
        <f>IF(ISBLANK(INDEX('Policy Characteristics'!F:F,MATCH($C1196,'Policy Characteristics'!$C:$C,0))),"",INDEX('Policy Characteristics'!F:F,MATCH($C1196,'Policy Characteristics'!$C:$C,0)))</f>
        <v>0</v>
      </c>
      <c r="M1196" s="261">
        <f>IF(ISBLANK(INDEX('Policy Characteristics'!G:G,MATCH($C1196,'Policy Characteristics'!$C:$C,0))),"",INDEX('Policy Characteristics'!G:G,MATCH($C1196,'Policy Characteristics'!$C:$C,0)))</f>
        <v>1</v>
      </c>
      <c r="N1196" s="261">
        <f>IF(ISBLANK(INDEX('Policy Characteristics'!H:H,MATCH($C1196,'Policy Characteristics'!$C:$C,0))),"",INDEX('Policy Characteristics'!H:H,MATCH($C1196,'Policy Characteristics'!$C:$C,0)))</f>
        <v>0.01</v>
      </c>
      <c r="O1196" s="254" t="str">
        <f>IF(ISBLANK(INDEX('Policy Characteristics'!I:I,MATCH($C1196,'Policy Characteristics'!$C:$C,0))),"",INDEX('Policy Characteristics'!I:I,MATCH($C1196,'Policy Characteristics'!$C:$C,0)))</f>
        <v>% of fuel shifted</v>
      </c>
      <c r="P1196" s="254"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4" t="str">
        <f>IF(ISBLANK(INDEX('Policy Characteristics'!K:K,MATCH($C1196,'Policy Characteristics'!$C:$C,0))),"",INDEX('Policy Characteristics'!K:K,MATCH($C1196,'Policy Characteristics'!$C:$C,0)))</f>
        <v>industry-ag-main.html#fuel-switching</v>
      </c>
      <c r="R1196" s="254" t="str">
        <f>IF(ISBLANK(INDEX('Policy Characteristics'!L:L,MATCH($C1196,'Policy Characteristics'!$C:$C,0))),"",INDEX('Policy Characteristics'!L:L,MATCH($C1196,'Policy Characteristics'!$C:$C,0)))</f>
        <v>industry-elec-and-hydrogen.html</v>
      </c>
    </row>
    <row r="1197" spans="1:18" s="2" customFormat="1" x14ac:dyDescent="0.3">
      <c r="A1197" s="254" t="str">
        <f>IF(ISBLANK(INDEX('Policy Characteristics'!A:A,MATCH($C1197,'Policy Characteristics'!$C:$C,0))),"",INDEX('Policy Characteristics'!A:A,MATCH($C1197,'Policy Characteristics'!$C:$C,0)))</f>
        <v>Industry</v>
      </c>
      <c r="B1197" s="262" t="str">
        <f>IF(ISBLANK(INDEX('Policy Characteristics'!B:B,MATCH($C1197,'Policy Characteristics'!$C:$C,0))),"",INDEX('Policy Characteristics'!B:B,MATCH($C1197,'Policy Characteristics'!$C:$C,0)))</f>
        <v>Hydrogen Combustion</v>
      </c>
      <c r="C1197" s="254" t="str">
        <f t="shared" si="45"/>
        <v>Fraction of Eligible Industrial Energy Use Shifted to Hydrogen</v>
      </c>
      <c r="D1197" s="6" t="s">
        <v>3075</v>
      </c>
      <c r="E1197" s="1" t="s">
        <v>3515</v>
      </c>
      <c r="F1197" t="s">
        <v>3037</v>
      </c>
      <c r="G1197" s="45" t="s">
        <v>3522</v>
      </c>
      <c r="H1197" s="43">
        <v>2146</v>
      </c>
      <c r="I1197" s="324" t="s">
        <v>43</v>
      </c>
      <c r="J1197" s="255" t="str">
        <f>IF(ISBLANK(INDEX('Policy Characteristics'!D:D,MATCH($C1197,'Policy Characteristics'!$C:$C,0))),"",INDEX('Policy Characteristics'!D:D,MATCH($C1197,'Policy Characteristics'!$C:$C,0)))</f>
        <v>Hydrogen Combustion</v>
      </c>
      <c r="K1197" s="254" t="str">
        <f>IF(ISBLANK(INDEX('Policy Characteristics'!E:E,MATCH($C1197,'Policy Characteristics'!$C:$C,0))),"",INDEX('Policy Characteristics'!E:E,MATCH($C1197,'Policy Characteristics'!$C:$C,0)))</f>
        <v>indst shift to hydrogen</v>
      </c>
      <c r="L1197" s="261">
        <f>IF(ISBLANK(INDEX('Policy Characteristics'!F:F,MATCH($C1197,'Policy Characteristics'!$C:$C,0))),"",INDEX('Policy Characteristics'!F:F,MATCH($C1197,'Policy Characteristics'!$C:$C,0)))</f>
        <v>0</v>
      </c>
      <c r="M1197" s="261">
        <f>IF(ISBLANK(INDEX('Policy Characteristics'!G:G,MATCH($C1197,'Policy Characteristics'!$C:$C,0))),"",INDEX('Policy Characteristics'!G:G,MATCH($C1197,'Policy Characteristics'!$C:$C,0)))</f>
        <v>1</v>
      </c>
      <c r="N1197" s="261">
        <f>IF(ISBLANK(INDEX('Policy Characteristics'!H:H,MATCH($C1197,'Policy Characteristics'!$C:$C,0))),"",INDEX('Policy Characteristics'!H:H,MATCH($C1197,'Policy Characteristics'!$C:$C,0)))</f>
        <v>0.01</v>
      </c>
      <c r="O1197" s="254" t="str">
        <f>IF(ISBLANK(INDEX('Policy Characteristics'!I:I,MATCH($C1197,'Policy Characteristics'!$C:$C,0))),"",INDEX('Policy Characteristics'!I:I,MATCH($C1197,'Policy Characteristics'!$C:$C,0)))</f>
        <v>% of fuel shifted</v>
      </c>
      <c r="P1197" s="254"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4" t="str">
        <f>IF(ISBLANK(INDEX('Policy Characteristics'!K:K,MATCH($C1197,'Policy Characteristics'!$C:$C,0))),"",INDEX('Policy Characteristics'!K:K,MATCH($C1197,'Policy Characteristics'!$C:$C,0)))</f>
        <v>industry-ag-main.html#fuel-switching</v>
      </c>
      <c r="R1197" s="254" t="str">
        <f>IF(ISBLANK(INDEX('Policy Characteristics'!L:L,MATCH($C1197,'Policy Characteristics'!$C:$C,0))),"",INDEX('Policy Characteristics'!L:L,MATCH($C1197,'Policy Characteristics'!$C:$C,0)))</f>
        <v>industry-elec-and-hydrogen.html</v>
      </c>
    </row>
    <row r="1198" spans="1:18" s="2" customFormat="1" x14ac:dyDescent="0.3">
      <c r="A1198" s="254" t="str">
        <f>IF(ISBLANK(INDEX('Policy Characteristics'!A:A,MATCH($C1198,'Policy Characteristics'!$C:$C,0))),"",INDEX('Policy Characteristics'!A:A,MATCH($C1198,'Policy Characteristics'!$C:$C,0)))</f>
        <v>Industry</v>
      </c>
      <c r="B1198" s="262" t="str">
        <f>IF(ISBLANK(INDEX('Policy Characteristics'!B:B,MATCH($C1198,'Policy Characteristics'!$C:$C,0))),"",INDEX('Policy Characteristics'!B:B,MATCH($C1198,'Policy Characteristics'!$C:$C,0)))</f>
        <v>Hydrogen Combustion</v>
      </c>
      <c r="C1198" s="254" t="str">
        <f t="shared" si="45"/>
        <v>Fraction of Eligible Industrial Energy Use Shifted to Hydrogen</v>
      </c>
      <c r="D1198" s="6" t="s">
        <v>3075</v>
      </c>
      <c r="E1198" s="1" t="s">
        <v>3516</v>
      </c>
      <c r="F1198" t="s">
        <v>3037</v>
      </c>
      <c r="G1198" s="45" t="s">
        <v>3523</v>
      </c>
      <c r="H1198" s="43">
        <v>2147</v>
      </c>
      <c r="I1198" s="324" t="s">
        <v>43</v>
      </c>
      <c r="J1198" s="255" t="str">
        <f>IF(ISBLANK(INDEX('Policy Characteristics'!D:D,MATCH($C1198,'Policy Characteristics'!$C:$C,0))),"",INDEX('Policy Characteristics'!D:D,MATCH($C1198,'Policy Characteristics'!$C:$C,0)))</f>
        <v>Hydrogen Combustion</v>
      </c>
      <c r="K1198" s="254" t="str">
        <f>IF(ISBLANK(INDEX('Policy Characteristics'!E:E,MATCH($C1198,'Policy Characteristics'!$C:$C,0))),"",INDEX('Policy Characteristics'!E:E,MATCH($C1198,'Policy Characteristics'!$C:$C,0)))</f>
        <v>indst shift to hydrogen</v>
      </c>
      <c r="L1198" s="261">
        <f>IF(ISBLANK(INDEX('Policy Characteristics'!F:F,MATCH($C1198,'Policy Characteristics'!$C:$C,0))),"",INDEX('Policy Characteristics'!F:F,MATCH($C1198,'Policy Characteristics'!$C:$C,0)))</f>
        <v>0</v>
      </c>
      <c r="M1198" s="261">
        <f>IF(ISBLANK(INDEX('Policy Characteristics'!G:G,MATCH($C1198,'Policy Characteristics'!$C:$C,0))),"",INDEX('Policy Characteristics'!G:G,MATCH($C1198,'Policy Characteristics'!$C:$C,0)))</f>
        <v>1</v>
      </c>
      <c r="N1198" s="261">
        <f>IF(ISBLANK(INDEX('Policy Characteristics'!H:H,MATCH($C1198,'Policy Characteristics'!$C:$C,0))),"",INDEX('Policy Characteristics'!H:H,MATCH($C1198,'Policy Characteristics'!$C:$C,0)))</f>
        <v>0.01</v>
      </c>
      <c r="O1198" s="254" t="str">
        <f>IF(ISBLANK(INDEX('Policy Characteristics'!I:I,MATCH($C1198,'Policy Characteristics'!$C:$C,0))),"",INDEX('Policy Characteristics'!I:I,MATCH($C1198,'Policy Characteristics'!$C:$C,0)))</f>
        <v>% of fuel shifted</v>
      </c>
      <c r="P1198" s="254"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4" t="str">
        <f>IF(ISBLANK(INDEX('Policy Characteristics'!K:K,MATCH($C1198,'Policy Characteristics'!$C:$C,0))),"",INDEX('Policy Characteristics'!K:K,MATCH($C1198,'Policy Characteristics'!$C:$C,0)))</f>
        <v>industry-ag-main.html#fuel-switching</v>
      </c>
      <c r="R1198" s="254" t="str">
        <f>IF(ISBLANK(INDEX('Policy Characteristics'!L:L,MATCH($C1198,'Policy Characteristics'!$C:$C,0))),"",INDEX('Policy Characteristics'!L:L,MATCH($C1198,'Policy Characteristics'!$C:$C,0)))</f>
        <v>industry-elec-and-hydrogen.html</v>
      </c>
    </row>
    <row r="1199" spans="1:18" s="2" customFormat="1" x14ac:dyDescent="0.3">
      <c r="A1199" s="254" t="str">
        <f>IF(ISBLANK(INDEX('Policy Characteristics'!A:A,MATCH($C1199,'Policy Characteristics'!$C:$C,0))),"",INDEX('Policy Characteristics'!A:A,MATCH($C1199,'Policy Characteristics'!$C:$C,0)))</f>
        <v>Industry</v>
      </c>
      <c r="B1199" s="262" t="str">
        <f>IF(ISBLANK(INDEX('Policy Characteristics'!B:B,MATCH($C1199,'Policy Characteristics'!$C:$C,0))),"",INDEX('Policy Characteristics'!B:B,MATCH($C1199,'Policy Characteristics'!$C:$C,0)))</f>
        <v>Hydrogen Combustion</v>
      </c>
      <c r="C1199" s="254" t="str">
        <f t="shared" si="45"/>
        <v>Fraction of Eligible Industrial Energy Use Shifted to Hydrogen</v>
      </c>
      <c r="D1199" s="6" t="s">
        <v>3075</v>
      </c>
      <c r="E1199" s="1" t="s">
        <v>3517</v>
      </c>
      <c r="F1199" t="s">
        <v>3037</v>
      </c>
      <c r="G1199" s="45" t="s">
        <v>3524</v>
      </c>
      <c r="H1199" s="43">
        <v>2148</v>
      </c>
      <c r="I1199" s="324" t="s">
        <v>43</v>
      </c>
      <c r="J1199" s="255" t="str">
        <f>IF(ISBLANK(INDEX('Policy Characteristics'!D:D,MATCH($C1199,'Policy Characteristics'!$C:$C,0))),"",INDEX('Policy Characteristics'!D:D,MATCH($C1199,'Policy Characteristics'!$C:$C,0)))</f>
        <v>Hydrogen Combustion</v>
      </c>
      <c r="K1199" s="254" t="str">
        <f>IF(ISBLANK(INDEX('Policy Characteristics'!E:E,MATCH($C1199,'Policy Characteristics'!$C:$C,0))),"",INDEX('Policy Characteristics'!E:E,MATCH($C1199,'Policy Characteristics'!$C:$C,0)))</f>
        <v>indst shift to hydrogen</v>
      </c>
      <c r="L1199" s="261">
        <f>IF(ISBLANK(INDEX('Policy Characteristics'!F:F,MATCH($C1199,'Policy Characteristics'!$C:$C,0))),"",INDEX('Policy Characteristics'!F:F,MATCH($C1199,'Policy Characteristics'!$C:$C,0)))</f>
        <v>0</v>
      </c>
      <c r="M1199" s="261">
        <f>IF(ISBLANK(INDEX('Policy Characteristics'!G:G,MATCH($C1199,'Policy Characteristics'!$C:$C,0))),"",INDEX('Policy Characteristics'!G:G,MATCH($C1199,'Policy Characteristics'!$C:$C,0)))</f>
        <v>1</v>
      </c>
      <c r="N1199" s="261">
        <f>IF(ISBLANK(INDEX('Policy Characteristics'!H:H,MATCH($C1199,'Policy Characteristics'!$C:$C,0))),"",INDEX('Policy Characteristics'!H:H,MATCH($C1199,'Policy Characteristics'!$C:$C,0)))</f>
        <v>0.01</v>
      </c>
      <c r="O1199" s="254" t="str">
        <f>IF(ISBLANK(INDEX('Policy Characteristics'!I:I,MATCH($C1199,'Policy Characteristics'!$C:$C,0))),"",INDEX('Policy Characteristics'!I:I,MATCH($C1199,'Policy Characteristics'!$C:$C,0)))</f>
        <v>% of fuel shifted</v>
      </c>
      <c r="P1199" s="254"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4" t="str">
        <f>IF(ISBLANK(INDEX('Policy Characteristics'!K:K,MATCH($C1199,'Policy Characteristics'!$C:$C,0))),"",INDEX('Policy Characteristics'!K:K,MATCH($C1199,'Policy Characteristics'!$C:$C,0)))</f>
        <v>industry-ag-main.html#fuel-switching</v>
      </c>
      <c r="R1199" s="254" t="str">
        <f>IF(ISBLANK(INDEX('Policy Characteristics'!L:L,MATCH($C1199,'Policy Characteristics'!$C:$C,0))),"",INDEX('Policy Characteristics'!L:L,MATCH($C1199,'Policy Characteristics'!$C:$C,0)))</f>
        <v>industry-elec-and-hydrogen.html</v>
      </c>
    </row>
    <row r="1200" spans="1:18" s="2" customFormat="1" x14ac:dyDescent="0.3">
      <c r="A1200" s="254" t="str">
        <f>IF(ISBLANK(INDEX('Policy Characteristics'!A:A,MATCH($C1200,'Policy Characteristics'!$C:$C,0))),"",INDEX('Policy Characteristics'!A:A,MATCH($C1200,'Policy Characteristics'!$C:$C,0)))</f>
        <v>Industry</v>
      </c>
      <c r="B1200" s="262" t="str">
        <f>IF(ISBLANK(INDEX('Policy Characteristics'!B:B,MATCH($C1200,'Policy Characteristics'!$C:$C,0))),"",INDEX('Policy Characteristics'!B:B,MATCH($C1200,'Policy Characteristics'!$C:$C,0)))</f>
        <v>Hydrogen Combustion</v>
      </c>
      <c r="C1200" s="254" t="str">
        <f t="shared" si="45"/>
        <v>Fraction of Eligible Industrial Energy Use Shifted to Hydrogen</v>
      </c>
      <c r="D1200" s="6" t="s">
        <v>3075</v>
      </c>
      <c r="E1200" s="1" t="s">
        <v>3518</v>
      </c>
      <c r="F1200" t="s">
        <v>3037</v>
      </c>
      <c r="G1200" s="45" t="s">
        <v>3525</v>
      </c>
      <c r="H1200" s="43">
        <v>2149</v>
      </c>
      <c r="I1200" s="324" t="s">
        <v>43</v>
      </c>
      <c r="J1200" s="255" t="str">
        <f>IF(ISBLANK(INDEX('Policy Characteristics'!D:D,MATCH($C1200,'Policy Characteristics'!$C:$C,0))),"",INDEX('Policy Characteristics'!D:D,MATCH($C1200,'Policy Characteristics'!$C:$C,0)))</f>
        <v>Hydrogen Combustion</v>
      </c>
      <c r="K1200" s="254" t="str">
        <f>IF(ISBLANK(INDEX('Policy Characteristics'!E:E,MATCH($C1200,'Policy Characteristics'!$C:$C,0))),"",INDEX('Policy Characteristics'!E:E,MATCH($C1200,'Policy Characteristics'!$C:$C,0)))</f>
        <v>indst shift to hydrogen</v>
      </c>
      <c r="L1200" s="261">
        <f>IF(ISBLANK(INDEX('Policy Characteristics'!F:F,MATCH($C1200,'Policy Characteristics'!$C:$C,0))),"",INDEX('Policy Characteristics'!F:F,MATCH($C1200,'Policy Characteristics'!$C:$C,0)))</f>
        <v>0</v>
      </c>
      <c r="M1200" s="261">
        <f>IF(ISBLANK(INDEX('Policy Characteristics'!G:G,MATCH($C1200,'Policy Characteristics'!$C:$C,0))),"",INDEX('Policy Characteristics'!G:G,MATCH($C1200,'Policy Characteristics'!$C:$C,0)))</f>
        <v>1</v>
      </c>
      <c r="N1200" s="261">
        <f>IF(ISBLANK(INDEX('Policy Characteristics'!H:H,MATCH($C1200,'Policy Characteristics'!$C:$C,0))),"",INDEX('Policy Characteristics'!H:H,MATCH($C1200,'Policy Characteristics'!$C:$C,0)))</f>
        <v>0.01</v>
      </c>
      <c r="O1200" s="254" t="str">
        <f>IF(ISBLANK(INDEX('Policy Characteristics'!I:I,MATCH($C1200,'Policy Characteristics'!$C:$C,0))),"",INDEX('Policy Characteristics'!I:I,MATCH($C1200,'Policy Characteristics'!$C:$C,0)))</f>
        <v>% of fuel shifted</v>
      </c>
      <c r="P1200" s="254"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4" t="str">
        <f>IF(ISBLANK(INDEX('Policy Characteristics'!K:K,MATCH($C1200,'Policy Characteristics'!$C:$C,0))),"",INDEX('Policy Characteristics'!K:K,MATCH($C1200,'Policy Characteristics'!$C:$C,0)))</f>
        <v>industry-ag-main.html#fuel-switching</v>
      </c>
      <c r="R1200" s="254" t="str">
        <f>IF(ISBLANK(INDEX('Policy Characteristics'!L:L,MATCH($C1200,'Policy Characteristics'!$C:$C,0))),"",INDEX('Policy Characteristics'!L:L,MATCH($C1200,'Policy Characteristics'!$C:$C,0)))</f>
        <v>industry-elec-and-hydrogen.html</v>
      </c>
    </row>
    <row r="1201" spans="1:18" s="2" customFormat="1" x14ac:dyDescent="0.3">
      <c r="A1201" s="254" t="str">
        <f>IF(ISBLANK(INDEX('Policy Characteristics'!A:A,MATCH($C1201,'Policy Characteristics'!$C:$C,0))),"",INDEX('Policy Characteristics'!A:A,MATCH($C1201,'Policy Characteristics'!$C:$C,0)))</f>
        <v>Industry</v>
      </c>
      <c r="B1201" s="262" t="str">
        <f>IF(ISBLANK(INDEX('Policy Characteristics'!B:B,MATCH($C1201,'Policy Characteristics'!$C:$C,0))),"",INDEX('Policy Characteristics'!B:B,MATCH($C1201,'Policy Characteristics'!$C:$C,0)))</f>
        <v>Hydrogen Combustion</v>
      </c>
      <c r="C1201" s="254" t="str">
        <f t="shared" si="45"/>
        <v>Fraction of Eligible Industrial Energy Use Shifted to Hydrogen</v>
      </c>
      <c r="D1201" s="6" t="s">
        <v>3075</v>
      </c>
      <c r="E1201" s="1" t="s">
        <v>3519</v>
      </c>
      <c r="F1201" t="s">
        <v>3037</v>
      </c>
      <c r="G1201" s="45" t="s">
        <v>3526</v>
      </c>
      <c r="H1201" s="43">
        <v>2150</v>
      </c>
      <c r="I1201" s="324" t="s">
        <v>44</v>
      </c>
      <c r="J1201" s="255" t="str">
        <f>IF(ISBLANK(INDEX('Policy Characteristics'!D:D,MATCH($C1201,'Policy Characteristics'!$C:$C,0))),"",INDEX('Policy Characteristics'!D:D,MATCH($C1201,'Policy Characteristics'!$C:$C,0)))</f>
        <v>Hydrogen Combustion</v>
      </c>
      <c r="K1201" s="254" t="str">
        <f>IF(ISBLANK(INDEX('Policy Characteristics'!E:E,MATCH($C1201,'Policy Characteristics'!$C:$C,0))),"",INDEX('Policy Characteristics'!E:E,MATCH($C1201,'Policy Characteristics'!$C:$C,0)))</f>
        <v>indst shift to hydrogen</v>
      </c>
      <c r="L1201" s="261">
        <f>IF(ISBLANK(INDEX('Policy Characteristics'!F:F,MATCH($C1201,'Policy Characteristics'!$C:$C,0))),"",INDEX('Policy Characteristics'!F:F,MATCH($C1201,'Policy Characteristics'!$C:$C,0)))</f>
        <v>0</v>
      </c>
      <c r="M1201" s="261">
        <f>IF(ISBLANK(INDEX('Policy Characteristics'!G:G,MATCH($C1201,'Policy Characteristics'!$C:$C,0))),"",INDEX('Policy Characteristics'!G:G,MATCH($C1201,'Policy Characteristics'!$C:$C,0)))</f>
        <v>1</v>
      </c>
      <c r="N1201" s="261">
        <f>IF(ISBLANK(INDEX('Policy Characteristics'!H:H,MATCH($C1201,'Policy Characteristics'!$C:$C,0))),"",INDEX('Policy Characteristics'!H:H,MATCH($C1201,'Policy Characteristics'!$C:$C,0)))</f>
        <v>0.01</v>
      </c>
      <c r="O1201" s="254" t="str">
        <f>IF(ISBLANK(INDEX('Policy Characteristics'!I:I,MATCH($C1201,'Policy Characteristics'!$C:$C,0))),"",INDEX('Policy Characteristics'!I:I,MATCH($C1201,'Policy Characteristics'!$C:$C,0)))</f>
        <v>% of fuel shifted</v>
      </c>
      <c r="P1201" s="254"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4" t="str">
        <f>IF(ISBLANK(INDEX('Policy Characteristics'!K:K,MATCH($C1201,'Policy Characteristics'!$C:$C,0))),"",INDEX('Policy Characteristics'!K:K,MATCH($C1201,'Policy Characteristics'!$C:$C,0)))</f>
        <v>industry-ag-main.html#fuel-switching</v>
      </c>
      <c r="R1201" s="254" t="str">
        <f>IF(ISBLANK(INDEX('Policy Characteristics'!L:L,MATCH($C1201,'Policy Characteristics'!$C:$C,0))),"",INDEX('Policy Characteristics'!L:L,MATCH($C1201,'Policy Characteristics'!$C:$C,0)))</f>
        <v>industry-elec-and-hydrogen.html</v>
      </c>
    </row>
    <row r="1202" spans="1:18" s="2" customFormat="1" x14ac:dyDescent="0.3">
      <c r="A1202" s="254" t="str">
        <f>IF(ISBLANK(INDEX('Policy Characteristics'!A:A,MATCH($C1202,'Policy Characteristics'!$C:$C,0))),"",INDEX('Policy Characteristics'!A:A,MATCH($C1202,'Policy Characteristics'!$C:$C,0)))</f>
        <v>Industry</v>
      </c>
      <c r="B1202" s="262" t="str">
        <f>IF(ISBLANK(INDEX('Policy Characteristics'!B:B,MATCH($C1202,'Policy Characteristics'!$C:$C,0))),"",INDEX('Policy Characteristics'!B:B,MATCH($C1202,'Policy Characteristics'!$C:$C,0)))</f>
        <v>Hydrogen Combustion</v>
      </c>
      <c r="C1202" s="254" t="str">
        <f t="shared" si="45"/>
        <v>Fraction of Eligible Industrial Energy Use Shifted to Hydrogen</v>
      </c>
      <c r="D1202" s="6" t="s">
        <v>3075</v>
      </c>
      <c r="E1202" s="1" t="s">
        <v>3520</v>
      </c>
      <c r="F1202" t="s">
        <v>3037</v>
      </c>
      <c r="G1202" s="45" t="s">
        <v>3527</v>
      </c>
      <c r="H1202" s="43">
        <v>2151</v>
      </c>
      <c r="I1202" s="324" t="s">
        <v>44</v>
      </c>
      <c r="J1202" s="255" t="str">
        <f>IF(ISBLANK(INDEX('Policy Characteristics'!D:D,MATCH($C1202,'Policy Characteristics'!$C:$C,0))),"",INDEX('Policy Characteristics'!D:D,MATCH($C1202,'Policy Characteristics'!$C:$C,0)))</f>
        <v>Hydrogen Combustion</v>
      </c>
      <c r="K1202" s="254" t="str">
        <f>IF(ISBLANK(INDEX('Policy Characteristics'!E:E,MATCH($C1202,'Policy Characteristics'!$C:$C,0))),"",INDEX('Policy Characteristics'!E:E,MATCH($C1202,'Policy Characteristics'!$C:$C,0)))</f>
        <v>indst shift to hydrogen</v>
      </c>
      <c r="L1202" s="261">
        <f>IF(ISBLANK(INDEX('Policy Characteristics'!F:F,MATCH($C1202,'Policy Characteristics'!$C:$C,0))),"",INDEX('Policy Characteristics'!F:F,MATCH($C1202,'Policy Characteristics'!$C:$C,0)))</f>
        <v>0</v>
      </c>
      <c r="M1202" s="261">
        <f>IF(ISBLANK(INDEX('Policy Characteristics'!G:G,MATCH($C1202,'Policy Characteristics'!$C:$C,0))),"",INDEX('Policy Characteristics'!G:G,MATCH($C1202,'Policy Characteristics'!$C:$C,0)))</f>
        <v>1</v>
      </c>
      <c r="N1202" s="261">
        <f>IF(ISBLANK(INDEX('Policy Characteristics'!H:H,MATCH($C1202,'Policy Characteristics'!$C:$C,0))),"",INDEX('Policy Characteristics'!H:H,MATCH($C1202,'Policy Characteristics'!$C:$C,0)))</f>
        <v>0.01</v>
      </c>
      <c r="O1202" s="254" t="str">
        <f>IF(ISBLANK(INDEX('Policy Characteristics'!I:I,MATCH($C1202,'Policy Characteristics'!$C:$C,0))),"",INDEX('Policy Characteristics'!I:I,MATCH($C1202,'Policy Characteristics'!$C:$C,0)))</f>
        <v>% of fuel shifted</v>
      </c>
      <c r="P1202" s="254"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4" t="str">
        <f>IF(ISBLANK(INDEX('Policy Characteristics'!K:K,MATCH($C1202,'Policy Characteristics'!$C:$C,0))),"",INDEX('Policy Characteristics'!K:K,MATCH($C1202,'Policy Characteristics'!$C:$C,0)))</f>
        <v>industry-ag-main.html#fuel-switching</v>
      </c>
      <c r="R1202" s="254" t="str">
        <f>IF(ISBLANK(INDEX('Policy Characteristics'!L:L,MATCH($C1202,'Policy Characteristics'!$C:$C,0))),"",INDEX('Policy Characteristics'!L:L,MATCH($C1202,'Policy Characteristics'!$C:$C,0)))</f>
        <v>industry-elec-and-hydrogen.html</v>
      </c>
    </row>
    <row r="1203" spans="1:18" s="2" customFormat="1" x14ac:dyDescent="0.3">
      <c r="A1203" s="254" t="str">
        <f>IF(ISBLANK(INDEX('Policy Characteristics'!A:A,MATCH($C1203,'Policy Characteristics'!$C:$C,0))),"",INDEX('Policy Characteristics'!A:A,MATCH($C1203,'Policy Characteristics'!$C:$C,0)))</f>
        <v>Industry</v>
      </c>
      <c r="B1203" s="262" t="str">
        <f>IF(ISBLANK(INDEX('Policy Characteristics'!B:B,MATCH($C1203,'Policy Characteristics'!$C:$C,0))),"",INDEX('Policy Characteristics'!B:B,MATCH($C1203,'Policy Characteristics'!$C:$C,0)))</f>
        <v>Hydrogen Combustion</v>
      </c>
      <c r="C1203" s="254" t="str">
        <f t="shared" si="45"/>
        <v>Fraction of Eligible Industrial Energy Use Shifted to Hydrogen</v>
      </c>
      <c r="D1203" s="6" t="s">
        <v>3075</v>
      </c>
      <c r="E1203" s="1" t="s">
        <v>3521</v>
      </c>
      <c r="F1203" t="s">
        <v>3037</v>
      </c>
      <c r="G1203" s="45" t="s">
        <v>3528</v>
      </c>
      <c r="H1203" s="43">
        <v>2152</v>
      </c>
      <c r="I1203" s="324" t="s">
        <v>44</v>
      </c>
      <c r="J1203" s="255" t="str">
        <f>IF(ISBLANK(INDEX('Policy Characteristics'!D:D,MATCH($C1203,'Policy Characteristics'!$C:$C,0))),"",INDEX('Policy Characteristics'!D:D,MATCH($C1203,'Policy Characteristics'!$C:$C,0)))</f>
        <v>Hydrogen Combustion</v>
      </c>
      <c r="K1203" s="254" t="str">
        <f>IF(ISBLANK(INDEX('Policy Characteristics'!E:E,MATCH($C1203,'Policy Characteristics'!$C:$C,0))),"",INDEX('Policy Characteristics'!E:E,MATCH($C1203,'Policy Characteristics'!$C:$C,0)))</f>
        <v>indst shift to hydrogen</v>
      </c>
      <c r="L1203" s="261">
        <f>IF(ISBLANK(INDEX('Policy Characteristics'!F:F,MATCH($C1203,'Policy Characteristics'!$C:$C,0))),"",INDEX('Policy Characteristics'!F:F,MATCH($C1203,'Policy Characteristics'!$C:$C,0)))</f>
        <v>0</v>
      </c>
      <c r="M1203" s="261">
        <f>IF(ISBLANK(INDEX('Policy Characteristics'!G:G,MATCH($C1203,'Policy Characteristics'!$C:$C,0))),"",INDEX('Policy Characteristics'!G:G,MATCH($C1203,'Policy Characteristics'!$C:$C,0)))</f>
        <v>1</v>
      </c>
      <c r="N1203" s="261">
        <f>IF(ISBLANK(INDEX('Policy Characteristics'!H:H,MATCH($C1203,'Policy Characteristics'!$C:$C,0))),"",INDEX('Policy Characteristics'!H:H,MATCH($C1203,'Policy Characteristics'!$C:$C,0)))</f>
        <v>0.01</v>
      </c>
      <c r="O1203" s="254" t="str">
        <f>IF(ISBLANK(INDEX('Policy Characteristics'!I:I,MATCH($C1203,'Policy Characteristics'!$C:$C,0))),"",INDEX('Policy Characteristics'!I:I,MATCH($C1203,'Policy Characteristics'!$C:$C,0)))</f>
        <v>% of fuel shifted</v>
      </c>
      <c r="P1203" s="254"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4" t="str">
        <f>IF(ISBLANK(INDEX('Policy Characteristics'!K:K,MATCH($C1203,'Policy Characteristics'!$C:$C,0))),"",INDEX('Policy Characteristics'!K:K,MATCH($C1203,'Policy Characteristics'!$C:$C,0)))</f>
        <v>industry-ag-main.html#fuel-switching</v>
      </c>
      <c r="R1203" s="254" t="str">
        <f>IF(ISBLANK(INDEX('Policy Characteristics'!L:L,MATCH($C1203,'Policy Characteristics'!$C:$C,0))),"",INDEX('Policy Characteristics'!L:L,MATCH($C1203,'Policy Characteristics'!$C:$C,0)))</f>
        <v>industry-elec-and-hydrogen.html</v>
      </c>
    </row>
    <row r="1204" spans="1:18" s="2" customFormat="1" x14ac:dyDescent="0.3">
      <c r="A1204" s="254" t="str">
        <f>IF(ISBLANK(INDEX('Policy Characteristics'!A:A,MATCH($C1204,'Policy Characteristics'!$C:$C,0))),"",INDEX('Policy Characteristics'!A:A,MATCH($C1204,'Policy Characteristics'!$C:$C,0)))</f>
        <v>Industry</v>
      </c>
      <c r="B1204" s="262" t="str">
        <f>IF(ISBLANK(INDEX('Policy Characteristics'!B:B,MATCH($C1204,'Policy Characteristics'!$C:$C,0))),"",INDEX('Policy Characteristics'!B:B,MATCH($C1204,'Policy Characteristics'!$C:$C,0)))</f>
        <v>Hydrogen Combustion</v>
      </c>
      <c r="C1204" s="254" t="str">
        <f t="shared" si="45"/>
        <v>Fraction of Eligible Industrial Energy Use Shifted to Hydrogen</v>
      </c>
      <c r="D1204" s="6" t="s">
        <v>3075</v>
      </c>
      <c r="E1204" s="1" t="s">
        <v>3671</v>
      </c>
      <c r="F1204" t="s">
        <v>3037</v>
      </c>
      <c r="G1204" s="45" t="s">
        <v>3671</v>
      </c>
      <c r="H1204" s="43">
        <v>2153</v>
      </c>
      <c r="I1204" s="324" t="s">
        <v>44</v>
      </c>
      <c r="J1204" s="255" t="str">
        <f>IF(ISBLANK(INDEX('Policy Characteristics'!D:D,MATCH($C1204,'Policy Characteristics'!$C:$C,0))),"",INDEX('Policy Characteristics'!D:D,MATCH($C1204,'Policy Characteristics'!$C:$C,0)))</f>
        <v>Hydrogen Combustion</v>
      </c>
      <c r="K1204" s="254" t="str">
        <f>IF(ISBLANK(INDEX('Policy Characteristics'!E:E,MATCH($C1204,'Policy Characteristics'!$C:$C,0))),"",INDEX('Policy Characteristics'!E:E,MATCH($C1204,'Policy Characteristics'!$C:$C,0)))</f>
        <v>indst shift to hydrogen</v>
      </c>
      <c r="L1204" s="261">
        <f>IF(ISBLANK(INDEX('Policy Characteristics'!F:F,MATCH($C1204,'Policy Characteristics'!$C:$C,0))),"",INDEX('Policy Characteristics'!F:F,MATCH($C1204,'Policy Characteristics'!$C:$C,0)))</f>
        <v>0</v>
      </c>
      <c r="M1204" s="261">
        <f>IF(ISBLANK(INDEX('Policy Characteristics'!G:G,MATCH($C1204,'Policy Characteristics'!$C:$C,0))),"",INDEX('Policy Characteristics'!G:G,MATCH($C1204,'Policy Characteristics'!$C:$C,0)))</f>
        <v>1</v>
      </c>
      <c r="N1204" s="261">
        <f>IF(ISBLANK(INDEX('Policy Characteristics'!H:H,MATCH($C1204,'Policy Characteristics'!$C:$C,0))),"",INDEX('Policy Characteristics'!H:H,MATCH($C1204,'Policy Characteristics'!$C:$C,0)))</f>
        <v>0.01</v>
      </c>
      <c r="O1204" s="254" t="str">
        <f>IF(ISBLANK(INDEX('Policy Characteristics'!I:I,MATCH($C1204,'Policy Characteristics'!$C:$C,0))),"",INDEX('Policy Characteristics'!I:I,MATCH($C1204,'Policy Characteristics'!$C:$C,0)))</f>
        <v>% of fuel shifted</v>
      </c>
      <c r="P1204" s="254"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4" t="str">
        <f>IF(ISBLANK(INDEX('Policy Characteristics'!K:K,MATCH($C1204,'Policy Characteristics'!$C:$C,0))),"",INDEX('Policy Characteristics'!K:K,MATCH($C1204,'Policy Characteristics'!$C:$C,0)))</f>
        <v>industry-ag-main.html#fuel-switching</v>
      </c>
      <c r="R1204" s="254" t="str">
        <f>IF(ISBLANK(INDEX('Policy Characteristics'!L:L,MATCH($C1204,'Policy Characteristics'!$C:$C,0))),"",INDEX('Policy Characteristics'!L:L,MATCH($C1204,'Policy Characteristics'!$C:$C,0)))</f>
        <v>industry-elec-and-hydrogen.html</v>
      </c>
    </row>
    <row r="1205" spans="1:18" s="2" customFormat="1" x14ac:dyDescent="0.3">
      <c r="A1205" s="254" t="str">
        <f>IF(ISBLANK(INDEX('Policy Characteristics'!A:A,MATCH($C1205,'Policy Characteristics'!$C:$C,0))),"",INDEX('Policy Characteristics'!A:A,MATCH($C1205,'Policy Characteristics'!$C:$C,0)))</f>
        <v>Industry</v>
      </c>
      <c r="B1205" s="262" t="str">
        <f>IF(ISBLANK(INDEX('Policy Characteristics'!B:B,MATCH($C1205,'Policy Characteristics'!$C:$C,0))),"",INDEX('Policy Characteristics'!B:B,MATCH($C1205,'Policy Characteristics'!$C:$C,0)))</f>
        <v>Hydrogen Combustion</v>
      </c>
      <c r="C1205" s="254" t="str">
        <f t="shared" si="45"/>
        <v>Fraction of Eligible Industrial Energy Use Shifted to Hydrogen</v>
      </c>
      <c r="D1205" s="6" t="s">
        <v>3076</v>
      </c>
      <c r="E1205" s="1" t="s">
        <v>3515</v>
      </c>
      <c r="F1205" t="s">
        <v>3038</v>
      </c>
      <c r="G1205" s="45" t="s">
        <v>3522</v>
      </c>
      <c r="H1205" s="43">
        <v>2154</v>
      </c>
      <c r="I1205" s="324" t="s">
        <v>43</v>
      </c>
      <c r="J1205" s="255" t="str">
        <f>IF(ISBLANK(INDEX('Policy Characteristics'!D:D,MATCH($C1205,'Policy Characteristics'!$C:$C,0))),"",INDEX('Policy Characteristics'!D:D,MATCH($C1205,'Policy Characteristics'!$C:$C,0)))</f>
        <v>Hydrogen Combustion</v>
      </c>
      <c r="K1205" s="254" t="str">
        <f>IF(ISBLANK(INDEX('Policy Characteristics'!E:E,MATCH($C1205,'Policy Characteristics'!$C:$C,0))),"",INDEX('Policy Characteristics'!E:E,MATCH($C1205,'Policy Characteristics'!$C:$C,0)))</f>
        <v>indst shift to hydrogen</v>
      </c>
      <c r="L1205" s="261">
        <f>IF(ISBLANK(INDEX('Policy Characteristics'!F:F,MATCH($C1205,'Policy Characteristics'!$C:$C,0))),"",INDEX('Policy Characteristics'!F:F,MATCH($C1205,'Policy Characteristics'!$C:$C,0)))</f>
        <v>0</v>
      </c>
      <c r="M1205" s="261">
        <f>IF(ISBLANK(INDEX('Policy Characteristics'!G:G,MATCH($C1205,'Policy Characteristics'!$C:$C,0))),"",INDEX('Policy Characteristics'!G:G,MATCH($C1205,'Policy Characteristics'!$C:$C,0)))</f>
        <v>1</v>
      </c>
      <c r="N1205" s="261">
        <f>IF(ISBLANK(INDEX('Policy Characteristics'!H:H,MATCH($C1205,'Policy Characteristics'!$C:$C,0))),"",INDEX('Policy Characteristics'!H:H,MATCH($C1205,'Policy Characteristics'!$C:$C,0)))</f>
        <v>0.01</v>
      </c>
      <c r="O1205" s="254" t="str">
        <f>IF(ISBLANK(INDEX('Policy Characteristics'!I:I,MATCH($C1205,'Policy Characteristics'!$C:$C,0))),"",INDEX('Policy Characteristics'!I:I,MATCH($C1205,'Policy Characteristics'!$C:$C,0)))</f>
        <v>% of fuel shifted</v>
      </c>
      <c r="P1205" s="254"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4" t="str">
        <f>IF(ISBLANK(INDEX('Policy Characteristics'!K:K,MATCH($C1205,'Policy Characteristics'!$C:$C,0))),"",INDEX('Policy Characteristics'!K:K,MATCH($C1205,'Policy Characteristics'!$C:$C,0)))</f>
        <v>industry-ag-main.html#fuel-switching</v>
      </c>
      <c r="R1205" s="254" t="str">
        <f>IF(ISBLANK(INDEX('Policy Characteristics'!L:L,MATCH($C1205,'Policy Characteristics'!$C:$C,0))),"",INDEX('Policy Characteristics'!L:L,MATCH($C1205,'Policy Characteristics'!$C:$C,0)))</f>
        <v>industry-elec-and-hydrogen.html</v>
      </c>
    </row>
    <row r="1206" spans="1:18" s="2" customFormat="1" x14ac:dyDescent="0.3">
      <c r="A1206" s="254" t="str">
        <f>IF(ISBLANK(INDEX('Policy Characteristics'!A:A,MATCH($C1206,'Policy Characteristics'!$C:$C,0))),"",INDEX('Policy Characteristics'!A:A,MATCH($C1206,'Policy Characteristics'!$C:$C,0)))</f>
        <v>Industry</v>
      </c>
      <c r="B1206" s="262" t="str">
        <f>IF(ISBLANK(INDEX('Policy Characteristics'!B:B,MATCH($C1206,'Policy Characteristics'!$C:$C,0))),"",INDEX('Policy Characteristics'!B:B,MATCH($C1206,'Policy Characteristics'!$C:$C,0)))</f>
        <v>Hydrogen Combustion</v>
      </c>
      <c r="C1206" s="254" t="str">
        <f t="shared" si="45"/>
        <v>Fraction of Eligible Industrial Energy Use Shifted to Hydrogen</v>
      </c>
      <c r="D1206" s="6" t="s">
        <v>3076</v>
      </c>
      <c r="E1206" s="1" t="s">
        <v>3516</v>
      </c>
      <c r="F1206" t="s">
        <v>3038</v>
      </c>
      <c r="G1206" s="45" t="s">
        <v>3523</v>
      </c>
      <c r="H1206" s="43">
        <v>2155</v>
      </c>
      <c r="I1206" s="324" t="s">
        <v>43</v>
      </c>
      <c r="J1206" s="255" t="str">
        <f>IF(ISBLANK(INDEX('Policy Characteristics'!D:D,MATCH($C1206,'Policy Characteristics'!$C:$C,0))),"",INDEX('Policy Characteristics'!D:D,MATCH($C1206,'Policy Characteristics'!$C:$C,0)))</f>
        <v>Hydrogen Combustion</v>
      </c>
      <c r="K1206" s="254" t="str">
        <f>IF(ISBLANK(INDEX('Policy Characteristics'!E:E,MATCH($C1206,'Policy Characteristics'!$C:$C,0))),"",INDEX('Policy Characteristics'!E:E,MATCH($C1206,'Policy Characteristics'!$C:$C,0)))</f>
        <v>indst shift to hydrogen</v>
      </c>
      <c r="L1206" s="261">
        <f>IF(ISBLANK(INDEX('Policy Characteristics'!F:F,MATCH($C1206,'Policy Characteristics'!$C:$C,0))),"",INDEX('Policy Characteristics'!F:F,MATCH($C1206,'Policy Characteristics'!$C:$C,0)))</f>
        <v>0</v>
      </c>
      <c r="M1206" s="261">
        <f>IF(ISBLANK(INDEX('Policy Characteristics'!G:G,MATCH($C1206,'Policy Characteristics'!$C:$C,0))),"",INDEX('Policy Characteristics'!G:G,MATCH($C1206,'Policy Characteristics'!$C:$C,0)))</f>
        <v>1</v>
      </c>
      <c r="N1206" s="261">
        <f>IF(ISBLANK(INDEX('Policy Characteristics'!H:H,MATCH($C1206,'Policy Characteristics'!$C:$C,0))),"",INDEX('Policy Characteristics'!H:H,MATCH($C1206,'Policy Characteristics'!$C:$C,0)))</f>
        <v>0.01</v>
      </c>
      <c r="O1206" s="254" t="str">
        <f>IF(ISBLANK(INDEX('Policy Characteristics'!I:I,MATCH($C1206,'Policy Characteristics'!$C:$C,0))),"",INDEX('Policy Characteristics'!I:I,MATCH($C1206,'Policy Characteristics'!$C:$C,0)))</f>
        <v>% of fuel shifted</v>
      </c>
      <c r="P1206" s="254"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4" t="str">
        <f>IF(ISBLANK(INDEX('Policy Characteristics'!K:K,MATCH($C1206,'Policy Characteristics'!$C:$C,0))),"",INDEX('Policy Characteristics'!K:K,MATCH($C1206,'Policy Characteristics'!$C:$C,0)))</f>
        <v>industry-ag-main.html#fuel-switching</v>
      </c>
      <c r="R1206" s="254" t="str">
        <f>IF(ISBLANK(INDEX('Policy Characteristics'!L:L,MATCH($C1206,'Policy Characteristics'!$C:$C,0))),"",INDEX('Policy Characteristics'!L:L,MATCH($C1206,'Policy Characteristics'!$C:$C,0)))</f>
        <v>industry-elec-and-hydrogen.html</v>
      </c>
    </row>
    <row r="1207" spans="1:18" s="2" customFormat="1" x14ac:dyDescent="0.3">
      <c r="A1207" s="254" t="str">
        <f>IF(ISBLANK(INDEX('Policy Characteristics'!A:A,MATCH($C1207,'Policy Characteristics'!$C:$C,0))),"",INDEX('Policy Characteristics'!A:A,MATCH($C1207,'Policy Characteristics'!$C:$C,0)))</f>
        <v>Industry</v>
      </c>
      <c r="B1207" s="262" t="str">
        <f>IF(ISBLANK(INDEX('Policy Characteristics'!B:B,MATCH($C1207,'Policy Characteristics'!$C:$C,0))),"",INDEX('Policy Characteristics'!B:B,MATCH($C1207,'Policy Characteristics'!$C:$C,0)))</f>
        <v>Hydrogen Combustion</v>
      </c>
      <c r="C1207" s="254" t="str">
        <f t="shared" si="45"/>
        <v>Fraction of Eligible Industrial Energy Use Shifted to Hydrogen</v>
      </c>
      <c r="D1207" s="6" t="s">
        <v>3076</v>
      </c>
      <c r="E1207" s="1" t="s">
        <v>3517</v>
      </c>
      <c r="F1207" t="s">
        <v>3038</v>
      </c>
      <c r="G1207" s="45" t="s">
        <v>3524</v>
      </c>
      <c r="H1207" s="43">
        <v>2156</v>
      </c>
      <c r="I1207" s="324" t="s">
        <v>43</v>
      </c>
      <c r="J1207" s="255" t="str">
        <f>IF(ISBLANK(INDEX('Policy Characteristics'!D:D,MATCH($C1207,'Policy Characteristics'!$C:$C,0))),"",INDEX('Policy Characteristics'!D:D,MATCH($C1207,'Policy Characteristics'!$C:$C,0)))</f>
        <v>Hydrogen Combustion</v>
      </c>
      <c r="K1207" s="254" t="str">
        <f>IF(ISBLANK(INDEX('Policy Characteristics'!E:E,MATCH($C1207,'Policy Characteristics'!$C:$C,0))),"",INDEX('Policy Characteristics'!E:E,MATCH($C1207,'Policy Characteristics'!$C:$C,0)))</f>
        <v>indst shift to hydrogen</v>
      </c>
      <c r="L1207" s="261">
        <f>IF(ISBLANK(INDEX('Policy Characteristics'!F:F,MATCH($C1207,'Policy Characteristics'!$C:$C,0))),"",INDEX('Policy Characteristics'!F:F,MATCH($C1207,'Policy Characteristics'!$C:$C,0)))</f>
        <v>0</v>
      </c>
      <c r="M1207" s="261">
        <f>IF(ISBLANK(INDEX('Policy Characteristics'!G:G,MATCH($C1207,'Policy Characteristics'!$C:$C,0))),"",INDEX('Policy Characteristics'!G:G,MATCH($C1207,'Policy Characteristics'!$C:$C,0)))</f>
        <v>1</v>
      </c>
      <c r="N1207" s="261">
        <f>IF(ISBLANK(INDEX('Policy Characteristics'!H:H,MATCH($C1207,'Policy Characteristics'!$C:$C,0))),"",INDEX('Policy Characteristics'!H:H,MATCH($C1207,'Policy Characteristics'!$C:$C,0)))</f>
        <v>0.01</v>
      </c>
      <c r="O1207" s="254" t="str">
        <f>IF(ISBLANK(INDEX('Policy Characteristics'!I:I,MATCH($C1207,'Policy Characteristics'!$C:$C,0))),"",INDEX('Policy Characteristics'!I:I,MATCH($C1207,'Policy Characteristics'!$C:$C,0)))</f>
        <v>% of fuel shifted</v>
      </c>
      <c r="P1207" s="254"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4" t="str">
        <f>IF(ISBLANK(INDEX('Policy Characteristics'!K:K,MATCH($C1207,'Policy Characteristics'!$C:$C,0))),"",INDEX('Policy Characteristics'!K:K,MATCH($C1207,'Policy Characteristics'!$C:$C,0)))</f>
        <v>industry-ag-main.html#fuel-switching</v>
      </c>
      <c r="R1207" s="254" t="str">
        <f>IF(ISBLANK(INDEX('Policy Characteristics'!L:L,MATCH($C1207,'Policy Characteristics'!$C:$C,0))),"",INDEX('Policy Characteristics'!L:L,MATCH($C1207,'Policy Characteristics'!$C:$C,0)))</f>
        <v>industry-elec-and-hydrogen.html</v>
      </c>
    </row>
    <row r="1208" spans="1:18" s="2" customFormat="1" x14ac:dyDescent="0.3">
      <c r="A1208" s="254" t="str">
        <f>IF(ISBLANK(INDEX('Policy Characteristics'!A:A,MATCH($C1208,'Policy Characteristics'!$C:$C,0))),"",INDEX('Policy Characteristics'!A:A,MATCH($C1208,'Policy Characteristics'!$C:$C,0)))</f>
        <v>Industry</v>
      </c>
      <c r="B1208" s="262" t="str">
        <f>IF(ISBLANK(INDEX('Policy Characteristics'!B:B,MATCH($C1208,'Policy Characteristics'!$C:$C,0))),"",INDEX('Policy Characteristics'!B:B,MATCH($C1208,'Policy Characteristics'!$C:$C,0)))</f>
        <v>Hydrogen Combustion</v>
      </c>
      <c r="C1208" s="254" t="str">
        <f t="shared" si="45"/>
        <v>Fraction of Eligible Industrial Energy Use Shifted to Hydrogen</v>
      </c>
      <c r="D1208" s="6" t="s">
        <v>3076</v>
      </c>
      <c r="E1208" s="1" t="s">
        <v>3518</v>
      </c>
      <c r="F1208" t="s">
        <v>3038</v>
      </c>
      <c r="G1208" s="45" t="s">
        <v>3525</v>
      </c>
      <c r="H1208" s="43">
        <v>2157</v>
      </c>
      <c r="I1208" s="324" t="s">
        <v>43</v>
      </c>
      <c r="J1208" s="255" t="str">
        <f>IF(ISBLANK(INDEX('Policy Characteristics'!D:D,MATCH($C1208,'Policy Characteristics'!$C:$C,0))),"",INDEX('Policy Characteristics'!D:D,MATCH($C1208,'Policy Characteristics'!$C:$C,0)))</f>
        <v>Hydrogen Combustion</v>
      </c>
      <c r="K1208" s="254" t="str">
        <f>IF(ISBLANK(INDEX('Policy Characteristics'!E:E,MATCH($C1208,'Policy Characteristics'!$C:$C,0))),"",INDEX('Policy Characteristics'!E:E,MATCH($C1208,'Policy Characteristics'!$C:$C,0)))</f>
        <v>indst shift to hydrogen</v>
      </c>
      <c r="L1208" s="261">
        <f>IF(ISBLANK(INDEX('Policy Characteristics'!F:F,MATCH($C1208,'Policy Characteristics'!$C:$C,0))),"",INDEX('Policy Characteristics'!F:F,MATCH($C1208,'Policy Characteristics'!$C:$C,0)))</f>
        <v>0</v>
      </c>
      <c r="M1208" s="261">
        <f>IF(ISBLANK(INDEX('Policy Characteristics'!G:G,MATCH($C1208,'Policy Characteristics'!$C:$C,0))),"",INDEX('Policy Characteristics'!G:G,MATCH($C1208,'Policy Characteristics'!$C:$C,0)))</f>
        <v>1</v>
      </c>
      <c r="N1208" s="261">
        <f>IF(ISBLANK(INDEX('Policy Characteristics'!H:H,MATCH($C1208,'Policy Characteristics'!$C:$C,0))),"",INDEX('Policy Characteristics'!H:H,MATCH($C1208,'Policy Characteristics'!$C:$C,0)))</f>
        <v>0.01</v>
      </c>
      <c r="O1208" s="254" t="str">
        <f>IF(ISBLANK(INDEX('Policy Characteristics'!I:I,MATCH($C1208,'Policy Characteristics'!$C:$C,0))),"",INDEX('Policy Characteristics'!I:I,MATCH($C1208,'Policy Characteristics'!$C:$C,0)))</f>
        <v>% of fuel shifted</v>
      </c>
      <c r="P1208" s="254"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4" t="str">
        <f>IF(ISBLANK(INDEX('Policy Characteristics'!K:K,MATCH($C1208,'Policy Characteristics'!$C:$C,0))),"",INDEX('Policy Characteristics'!K:K,MATCH($C1208,'Policy Characteristics'!$C:$C,0)))</f>
        <v>industry-ag-main.html#fuel-switching</v>
      </c>
      <c r="R1208" s="254" t="str">
        <f>IF(ISBLANK(INDEX('Policy Characteristics'!L:L,MATCH($C1208,'Policy Characteristics'!$C:$C,0))),"",INDEX('Policy Characteristics'!L:L,MATCH($C1208,'Policy Characteristics'!$C:$C,0)))</f>
        <v>industry-elec-and-hydrogen.html</v>
      </c>
    </row>
    <row r="1209" spans="1:18" s="2" customFormat="1" x14ac:dyDescent="0.3">
      <c r="A1209" s="254" t="str">
        <f>IF(ISBLANK(INDEX('Policy Characteristics'!A:A,MATCH($C1209,'Policy Characteristics'!$C:$C,0))),"",INDEX('Policy Characteristics'!A:A,MATCH($C1209,'Policy Characteristics'!$C:$C,0)))</f>
        <v>Industry</v>
      </c>
      <c r="B1209" s="262" t="str">
        <f>IF(ISBLANK(INDEX('Policy Characteristics'!B:B,MATCH($C1209,'Policy Characteristics'!$C:$C,0))),"",INDEX('Policy Characteristics'!B:B,MATCH($C1209,'Policy Characteristics'!$C:$C,0)))</f>
        <v>Hydrogen Combustion</v>
      </c>
      <c r="C1209" s="254" t="str">
        <f t="shared" si="45"/>
        <v>Fraction of Eligible Industrial Energy Use Shifted to Hydrogen</v>
      </c>
      <c r="D1209" s="6" t="s">
        <v>3076</v>
      </c>
      <c r="E1209" s="1" t="s">
        <v>3519</v>
      </c>
      <c r="F1209" t="s">
        <v>3038</v>
      </c>
      <c r="G1209" s="45" t="s">
        <v>3526</v>
      </c>
      <c r="H1209" s="43">
        <v>2158</v>
      </c>
      <c r="I1209" s="324" t="s">
        <v>44</v>
      </c>
      <c r="J1209" s="255" t="str">
        <f>IF(ISBLANK(INDEX('Policy Characteristics'!D:D,MATCH($C1209,'Policy Characteristics'!$C:$C,0))),"",INDEX('Policy Characteristics'!D:D,MATCH($C1209,'Policy Characteristics'!$C:$C,0)))</f>
        <v>Hydrogen Combustion</v>
      </c>
      <c r="K1209" s="254" t="str">
        <f>IF(ISBLANK(INDEX('Policy Characteristics'!E:E,MATCH($C1209,'Policy Characteristics'!$C:$C,0))),"",INDEX('Policy Characteristics'!E:E,MATCH($C1209,'Policy Characteristics'!$C:$C,0)))</f>
        <v>indst shift to hydrogen</v>
      </c>
      <c r="L1209" s="261">
        <f>IF(ISBLANK(INDEX('Policy Characteristics'!F:F,MATCH($C1209,'Policy Characteristics'!$C:$C,0))),"",INDEX('Policy Characteristics'!F:F,MATCH($C1209,'Policy Characteristics'!$C:$C,0)))</f>
        <v>0</v>
      </c>
      <c r="M1209" s="261">
        <f>IF(ISBLANK(INDEX('Policy Characteristics'!G:G,MATCH($C1209,'Policy Characteristics'!$C:$C,0))),"",INDEX('Policy Characteristics'!G:G,MATCH($C1209,'Policy Characteristics'!$C:$C,0)))</f>
        <v>1</v>
      </c>
      <c r="N1209" s="261">
        <f>IF(ISBLANK(INDEX('Policy Characteristics'!H:H,MATCH($C1209,'Policy Characteristics'!$C:$C,0))),"",INDEX('Policy Characteristics'!H:H,MATCH($C1209,'Policy Characteristics'!$C:$C,0)))</f>
        <v>0.01</v>
      </c>
      <c r="O1209" s="254" t="str">
        <f>IF(ISBLANK(INDEX('Policy Characteristics'!I:I,MATCH($C1209,'Policy Characteristics'!$C:$C,0))),"",INDEX('Policy Characteristics'!I:I,MATCH($C1209,'Policy Characteristics'!$C:$C,0)))</f>
        <v>% of fuel shifted</v>
      </c>
      <c r="P1209" s="254"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4" t="str">
        <f>IF(ISBLANK(INDEX('Policy Characteristics'!K:K,MATCH($C1209,'Policy Characteristics'!$C:$C,0))),"",INDEX('Policy Characteristics'!K:K,MATCH($C1209,'Policy Characteristics'!$C:$C,0)))</f>
        <v>industry-ag-main.html#fuel-switching</v>
      </c>
      <c r="R1209" s="254" t="str">
        <f>IF(ISBLANK(INDEX('Policy Characteristics'!L:L,MATCH($C1209,'Policy Characteristics'!$C:$C,0))),"",INDEX('Policy Characteristics'!L:L,MATCH($C1209,'Policy Characteristics'!$C:$C,0)))</f>
        <v>industry-elec-and-hydrogen.html</v>
      </c>
    </row>
    <row r="1210" spans="1:18" s="2" customFormat="1" x14ac:dyDescent="0.3">
      <c r="A1210" s="254" t="str">
        <f>IF(ISBLANK(INDEX('Policy Characteristics'!A:A,MATCH($C1210,'Policy Characteristics'!$C:$C,0))),"",INDEX('Policy Characteristics'!A:A,MATCH($C1210,'Policy Characteristics'!$C:$C,0)))</f>
        <v>Industry</v>
      </c>
      <c r="B1210" s="262" t="str">
        <f>IF(ISBLANK(INDEX('Policy Characteristics'!B:B,MATCH($C1210,'Policy Characteristics'!$C:$C,0))),"",INDEX('Policy Characteristics'!B:B,MATCH($C1210,'Policy Characteristics'!$C:$C,0)))</f>
        <v>Hydrogen Combustion</v>
      </c>
      <c r="C1210" s="254" t="str">
        <f t="shared" si="45"/>
        <v>Fraction of Eligible Industrial Energy Use Shifted to Hydrogen</v>
      </c>
      <c r="D1210" s="6" t="s">
        <v>3076</v>
      </c>
      <c r="E1210" s="1" t="s">
        <v>3520</v>
      </c>
      <c r="F1210" t="s">
        <v>3038</v>
      </c>
      <c r="G1210" s="45" t="s">
        <v>3527</v>
      </c>
      <c r="H1210" s="43">
        <v>2159</v>
      </c>
      <c r="I1210" s="324" t="s">
        <v>44</v>
      </c>
      <c r="J1210" s="255" t="str">
        <f>IF(ISBLANK(INDEX('Policy Characteristics'!D:D,MATCH($C1210,'Policy Characteristics'!$C:$C,0))),"",INDEX('Policy Characteristics'!D:D,MATCH($C1210,'Policy Characteristics'!$C:$C,0)))</f>
        <v>Hydrogen Combustion</v>
      </c>
      <c r="K1210" s="254" t="str">
        <f>IF(ISBLANK(INDEX('Policy Characteristics'!E:E,MATCH($C1210,'Policy Characteristics'!$C:$C,0))),"",INDEX('Policy Characteristics'!E:E,MATCH($C1210,'Policy Characteristics'!$C:$C,0)))</f>
        <v>indst shift to hydrogen</v>
      </c>
      <c r="L1210" s="261">
        <f>IF(ISBLANK(INDEX('Policy Characteristics'!F:F,MATCH($C1210,'Policy Characteristics'!$C:$C,0))),"",INDEX('Policy Characteristics'!F:F,MATCH($C1210,'Policy Characteristics'!$C:$C,0)))</f>
        <v>0</v>
      </c>
      <c r="M1210" s="261">
        <f>IF(ISBLANK(INDEX('Policy Characteristics'!G:G,MATCH($C1210,'Policy Characteristics'!$C:$C,0))),"",INDEX('Policy Characteristics'!G:G,MATCH($C1210,'Policy Characteristics'!$C:$C,0)))</f>
        <v>1</v>
      </c>
      <c r="N1210" s="261">
        <f>IF(ISBLANK(INDEX('Policy Characteristics'!H:H,MATCH($C1210,'Policy Characteristics'!$C:$C,0))),"",INDEX('Policy Characteristics'!H:H,MATCH($C1210,'Policy Characteristics'!$C:$C,0)))</f>
        <v>0.01</v>
      </c>
      <c r="O1210" s="254" t="str">
        <f>IF(ISBLANK(INDEX('Policy Characteristics'!I:I,MATCH($C1210,'Policy Characteristics'!$C:$C,0))),"",INDEX('Policy Characteristics'!I:I,MATCH($C1210,'Policy Characteristics'!$C:$C,0)))</f>
        <v>% of fuel shifted</v>
      </c>
      <c r="P1210" s="254"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4" t="str">
        <f>IF(ISBLANK(INDEX('Policy Characteristics'!K:K,MATCH($C1210,'Policy Characteristics'!$C:$C,0))),"",INDEX('Policy Characteristics'!K:K,MATCH($C1210,'Policy Characteristics'!$C:$C,0)))</f>
        <v>industry-ag-main.html#fuel-switching</v>
      </c>
      <c r="R1210" s="254" t="str">
        <f>IF(ISBLANK(INDEX('Policy Characteristics'!L:L,MATCH($C1210,'Policy Characteristics'!$C:$C,0))),"",INDEX('Policy Characteristics'!L:L,MATCH($C1210,'Policy Characteristics'!$C:$C,0)))</f>
        <v>industry-elec-and-hydrogen.html</v>
      </c>
    </row>
    <row r="1211" spans="1:18" s="2" customFormat="1" x14ac:dyDescent="0.3">
      <c r="A1211" s="254" t="str">
        <f>IF(ISBLANK(INDEX('Policy Characteristics'!A:A,MATCH($C1211,'Policy Characteristics'!$C:$C,0))),"",INDEX('Policy Characteristics'!A:A,MATCH($C1211,'Policy Characteristics'!$C:$C,0)))</f>
        <v>Industry</v>
      </c>
      <c r="B1211" s="262" t="str">
        <f>IF(ISBLANK(INDEX('Policy Characteristics'!B:B,MATCH($C1211,'Policy Characteristics'!$C:$C,0))),"",INDEX('Policy Characteristics'!B:B,MATCH($C1211,'Policy Characteristics'!$C:$C,0)))</f>
        <v>Hydrogen Combustion</v>
      </c>
      <c r="C1211" s="254" t="str">
        <f t="shared" si="45"/>
        <v>Fraction of Eligible Industrial Energy Use Shifted to Hydrogen</v>
      </c>
      <c r="D1211" s="6" t="s">
        <v>3076</v>
      </c>
      <c r="E1211" s="1" t="s">
        <v>3521</v>
      </c>
      <c r="F1211" t="s">
        <v>3038</v>
      </c>
      <c r="G1211" s="45" t="s">
        <v>3528</v>
      </c>
      <c r="H1211" s="43">
        <v>2160</v>
      </c>
      <c r="I1211" s="324" t="s">
        <v>44</v>
      </c>
      <c r="J1211" s="255" t="str">
        <f>IF(ISBLANK(INDEX('Policy Characteristics'!D:D,MATCH($C1211,'Policy Characteristics'!$C:$C,0))),"",INDEX('Policy Characteristics'!D:D,MATCH($C1211,'Policy Characteristics'!$C:$C,0)))</f>
        <v>Hydrogen Combustion</v>
      </c>
      <c r="K1211" s="254" t="str">
        <f>IF(ISBLANK(INDEX('Policy Characteristics'!E:E,MATCH($C1211,'Policy Characteristics'!$C:$C,0))),"",INDEX('Policy Characteristics'!E:E,MATCH($C1211,'Policy Characteristics'!$C:$C,0)))</f>
        <v>indst shift to hydrogen</v>
      </c>
      <c r="L1211" s="261">
        <f>IF(ISBLANK(INDEX('Policy Characteristics'!F:F,MATCH($C1211,'Policy Characteristics'!$C:$C,0))),"",INDEX('Policy Characteristics'!F:F,MATCH($C1211,'Policy Characteristics'!$C:$C,0)))</f>
        <v>0</v>
      </c>
      <c r="M1211" s="261">
        <f>IF(ISBLANK(INDEX('Policy Characteristics'!G:G,MATCH($C1211,'Policy Characteristics'!$C:$C,0))),"",INDEX('Policy Characteristics'!G:G,MATCH($C1211,'Policy Characteristics'!$C:$C,0)))</f>
        <v>1</v>
      </c>
      <c r="N1211" s="261">
        <f>IF(ISBLANK(INDEX('Policy Characteristics'!H:H,MATCH($C1211,'Policy Characteristics'!$C:$C,0))),"",INDEX('Policy Characteristics'!H:H,MATCH($C1211,'Policy Characteristics'!$C:$C,0)))</f>
        <v>0.01</v>
      </c>
      <c r="O1211" s="254" t="str">
        <f>IF(ISBLANK(INDEX('Policy Characteristics'!I:I,MATCH($C1211,'Policy Characteristics'!$C:$C,0))),"",INDEX('Policy Characteristics'!I:I,MATCH($C1211,'Policy Characteristics'!$C:$C,0)))</f>
        <v>% of fuel shifted</v>
      </c>
      <c r="P1211" s="254"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4" t="str">
        <f>IF(ISBLANK(INDEX('Policy Characteristics'!K:K,MATCH($C1211,'Policy Characteristics'!$C:$C,0))),"",INDEX('Policy Characteristics'!K:K,MATCH($C1211,'Policy Characteristics'!$C:$C,0)))</f>
        <v>industry-ag-main.html#fuel-switching</v>
      </c>
      <c r="R1211" s="254" t="str">
        <f>IF(ISBLANK(INDEX('Policy Characteristics'!L:L,MATCH($C1211,'Policy Characteristics'!$C:$C,0))),"",INDEX('Policy Characteristics'!L:L,MATCH($C1211,'Policy Characteristics'!$C:$C,0)))</f>
        <v>industry-elec-and-hydrogen.html</v>
      </c>
    </row>
    <row r="1212" spans="1:18" s="2" customFormat="1" x14ac:dyDescent="0.3">
      <c r="A1212" s="254" t="str">
        <f>IF(ISBLANK(INDEX('Policy Characteristics'!A:A,MATCH($C1212,'Policy Characteristics'!$C:$C,0))),"",INDEX('Policy Characteristics'!A:A,MATCH($C1212,'Policy Characteristics'!$C:$C,0)))</f>
        <v>Industry</v>
      </c>
      <c r="B1212" s="262" t="str">
        <f>IF(ISBLANK(INDEX('Policy Characteristics'!B:B,MATCH($C1212,'Policy Characteristics'!$C:$C,0))),"",INDEX('Policy Characteristics'!B:B,MATCH($C1212,'Policy Characteristics'!$C:$C,0)))</f>
        <v>Hydrogen Combustion</v>
      </c>
      <c r="C1212" s="254" t="str">
        <f t="shared" si="45"/>
        <v>Fraction of Eligible Industrial Energy Use Shifted to Hydrogen</v>
      </c>
      <c r="D1212" s="6" t="s">
        <v>3076</v>
      </c>
      <c r="E1212" s="1" t="s">
        <v>3671</v>
      </c>
      <c r="F1212" t="s">
        <v>3038</v>
      </c>
      <c r="G1212" s="45" t="s">
        <v>3671</v>
      </c>
      <c r="H1212" s="43">
        <v>2161</v>
      </c>
      <c r="I1212" s="324" t="s">
        <v>44</v>
      </c>
      <c r="J1212" s="255" t="str">
        <f>IF(ISBLANK(INDEX('Policy Characteristics'!D:D,MATCH($C1212,'Policy Characteristics'!$C:$C,0))),"",INDEX('Policy Characteristics'!D:D,MATCH($C1212,'Policy Characteristics'!$C:$C,0)))</f>
        <v>Hydrogen Combustion</v>
      </c>
      <c r="K1212" s="254" t="str">
        <f>IF(ISBLANK(INDEX('Policy Characteristics'!E:E,MATCH($C1212,'Policy Characteristics'!$C:$C,0))),"",INDEX('Policy Characteristics'!E:E,MATCH($C1212,'Policy Characteristics'!$C:$C,0)))</f>
        <v>indst shift to hydrogen</v>
      </c>
      <c r="L1212" s="261">
        <f>IF(ISBLANK(INDEX('Policy Characteristics'!F:F,MATCH($C1212,'Policy Characteristics'!$C:$C,0))),"",INDEX('Policy Characteristics'!F:F,MATCH($C1212,'Policy Characteristics'!$C:$C,0)))</f>
        <v>0</v>
      </c>
      <c r="M1212" s="261">
        <f>IF(ISBLANK(INDEX('Policy Characteristics'!G:G,MATCH($C1212,'Policy Characteristics'!$C:$C,0))),"",INDEX('Policy Characteristics'!G:G,MATCH($C1212,'Policy Characteristics'!$C:$C,0)))</f>
        <v>1</v>
      </c>
      <c r="N1212" s="261">
        <f>IF(ISBLANK(INDEX('Policy Characteristics'!H:H,MATCH($C1212,'Policy Characteristics'!$C:$C,0))),"",INDEX('Policy Characteristics'!H:H,MATCH($C1212,'Policy Characteristics'!$C:$C,0)))</f>
        <v>0.01</v>
      </c>
      <c r="O1212" s="254" t="str">
        <f>IF(ISBLANK(INDEX('Policy Characteristics'!I:I,MATCH($C1212,'Policy Characteristics'!$C:$C,0))),"",INDEX('Policy Characteristics'!I:I,MATCH($C1212,'Policy Characteristics'!$C:$C,0)))</f>
        <v>% of fuel shifted</v>
      </c>
      <c r="P1212" s="254"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4" t="str">
        <f>IF(ISBLANK(INDEX('Policy Characteristics'!K:K,MATCH($C1212,'Policy Characteristics'!$C:$C,0))),"",INDEX('Policy Characteristics'!K:K,MATCH($C1212,'Policy Characteristics'!$C:$C,0)))</f>
        <v>industry-ag-main.html#fuel-switching</v>
      </c>
      <c r="R1212" s="254" t="str">
        <f>IF(ISBLANK(INDEX('Policy Characteristics'!L:L,MATCH($C1212,'Policy Characteristics'!$C:$C,0))),"",INDEX('Policy Characteristics'!L:L,MATCH($C1212,'Policy Characteristics'!$C:$C,0)))</f>
        <v>industry-elec-and-hydrogen.html</v>
      </c>
    </row>
    <row r="1213" spans="1:18" s="2" customFormat="1" x14ac:dyDescent="0.3">
      <c r="A1213" s="254" t="str">
        <f>IF(ISBLANK(INDEX('Policy Characteristics'!A:A,MATCH($C1213,'Policy Characteristics'!$C:$C,0))),"",INDEX('Policy Characteristics'!A:A,MATCH($C1213,'Policy Characteristics'!$C:$C,0)))</f>
        <v>Industry</v>
      </c>
      <c r="B1213" s="262" t="str">
        <f>IF(ISBLANK(INDEX('Policy Characteristics'!B:B,MATCH($C1213,'Policy Characteristics'!$C:$C,0))),"",INDEX('Policy Characteristics'!B:B,MATCH($C1213,'Policy Characteristics'!$C:$C,0)))</f>
        <v>Hydrogen Combustion</v>
      </c>
      <c r="C1213" s="254" t="str">
        <f t="shared" si="45"/>
        <v>Fraction of Eligible Industrial Energy Use Shifted to Hydrogen</v>
      </c>
      <c r="D1213" s="6" t="s">
        <v>3077</v>
      </c>
      <c r="E1213" s="1" t="s">
        <v>3515</v>
      </c>
      <c r="F1213" t="s">
        <v>3039</v>
      </c>
      <c r="G1213" s="45" t="s">
        <v>3522</v>
      </c>
      <c r="H1213" s="43">
        <v>2162</v>
      </c>
      <c r="I1213" s="324" t="s">
        <v>43</v>
      </c>
      <c r="J1213" s="255" t="str">
        <f>IF(ISBLANK(INDEX('Policy Characteristics'!D:D,MATCH($C1213,'Policy Characteristics'!$C:$C,0))),"",INDEX('Policy Characteristics'!D:D,MATCH($C1213,'Policy Characteristics'!$C:$C,0)))</f>
        <v>Hydrogen Combustion</v>
      </c>
      <c r="K1213" s="254" t="str">
        <f>IF(ISBLANK(INDEX('Policy Characteristics'!E:E,MATCH($C1213,'Policy Characteristics'!$C:$C,0))),"",INDEX('Policy Characteristics'!E:E,MATCH($C1213,'Policy Characteristics'!$C:$C,0)))</f>
        <v>indst shift to hydrogen</v>
      </c>
      <c r="L1213" s="261">
        <f>IF(ISBLANK(INDEX('Policy Characteristics'!F:F,MATCH($C1213,'Policy Characteristics'!$C:$C,0))),"",INDEX('Policy Characteristics'!F:F,MATCH($C1213,'Policy Characteristics'!$C:$C,0)))</f>
        <v>0</v>
      </c>
      <c r="M1213" s="261">
        <f>IF(ISBLANK(INDEX('Policy Characteristics'!G:G,MATCH($C1213,'Policy Characteristics'!$C:$C,0))),"",INDEX('Policy Characteristics'!G:G,MATCH($C1213,'Policy Characteristics'!$C:$C,0)))</f>
        <v>1</v>
      </c>
      <c r="N1213" s="261">
        <f>IF(ISBLANK(INDEX('Policy Characteristics'!H:H,MATCH($C1213,'Policy Characteristics'!$C:$C,0))),"",INDEX('Policy Characteristics'!H:H,MATCH($C1213,'Policy Characteristics'!$C:$C,0)))</f>
        <v>0.01</v>
      </c>
      <c r="O1213" s="254" t="str">
        <f>IF(ISBLANK(INDEX('Policy Characteristics'!I:I,MATCH($C1213,'Policy Characteristics'!$C:$C,0))),"",INDEX('Policy Characteristics'!I:I,MATCH($C1213,'Policy Characteristics'!$C:$C,0)))</f>
        <v>% of fuel shifted</v>
      </c>
      <c r="P1213" s="254"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4" t="str">
        <f>IF(ISBLANK(INDEX('Policy Characteristics'!K:K,MATCH($C1213,'Policy Characteristics'!$C:$C,0))),"",INDEX('Policy Characteristics'!K:K,MATCH($C1213,'Policy Characteristics'!$C:$C,0)))</f>
        <v>industry-ag-main.html#fuel-switching</v>
      </c>
      <c r="R1213" s="254" t="str">
        <f>IF(ISBLANK(INDEX('Policy Characteristics'!L:L,MATCH($C1213,'Policy Characteristics'!$C:$C,0))),"",INDEX('Policy Characteristics'!L:L,MATCH($C1213,'Policy Characteristics'!$C:$C,0)))</f>
        <v>industry-elec-and-hydrogen.html</v>
      </c>
    </row>
    <row r="1214" spans="1:18" s="2" customFormat="1" x14ac:dyDescent="0.3">
      <c r="A1214" s="254" t="str">
        <f>IF(ISBLANK(INDEX('Policy Characteristics'!A:A,MATCH($C1214,'Policy Characteristics'!$C:$C,0))),"",INDEX('Policy Characteristics'!A:A,MATCH($C1214,'Policy Characteristics'!$C:$C,0)))</f>
        <v>Industry</v>
      </c>
      <c r="B1214" s="262" t="str">
        <f>IF(ISBLANK(INDEX('Policy Characteristics'!B:B,MATCH($C1214,'Policy Characteristics'!$C:$C,0))),"",INDEX('Policy Characteristics'!B:B,MATCH($C1214,'Policy Characteristics'!$C:$C,0)))</f>
        <v>Hydrogen Combustion</v>
      </c>
      <c r="C1214" s="254" t="str">
        <f t="shared" si="45"/>
        <v>Fraction of Eligible Industrial Energy Use Shifted to Hydrogen</v>
      </c>
      <c r="D1214" s="6" t="s">
        <v>3077</v>
      </c>
      <c r="E1214" s="1" t="s">
        <v>3516</v>
      </c>
      <c r="F1214" t="s">
        <v>3039</v>
      </c>
      <c r="G1214" s="45" t="s">
        <v>3523</v>
      </c>
      <c r="H1214" s="43">
        <v>2163</v>
      </c>
      <c r="I1214" s="324" t="s">
        <v>43</v>
      </c>
      <c r="J1214" s="255" t="str">
        <f>IF(ISBLANK(INDEX('Policy Characteristics'!D:D,MATCH($C1214,'Policy Characteristics'!$C:$C,0))),"",INDEX('Policy Characteristics'!D:D,MATCH($C1214,'Policy Characteristics'!$C:$C,0)))</f>
        <v>Hydrogen Combustion</v>
      </c>
      <c r="K1214" s="254" t="str">
        <f>IF(ISBLANK(INDEX('Policy Characteristics'!E:E,MATCH($C1214,'Policy Characteristics'!$C:$C,0))),"",INDEX('Policy Characteristics'!E:E,MATCH($C1214,'Policy Characteristics'!$C:$C,0)))</f>
        <v>indst shift to hydrogen</v>
      </c>
      <c r="L1214" s="261">
        <f>IF(ISBLANK(INDEX('Policy Characteristics'!F:F,MATCH($C1214,'Policy Characteristics'!$C:$C,0))),"",INDEX('Policy Characteristics'!F:F,MATCH($C1214,'Policy Characteristics'!$C:$C,0)))</f>
        <v>0</v>
      </c>
      <c r="M1214" s="261">
        <f>IF(ISBLANK(INDEX('Policy Characteristics'!G:G,MATCH($C1214,'Policy Characteristics'!$C:$C,0))),"",INDEX('Policy Characteristics'!G:G,MATCH($C1214,'Policy Characteristics'!$C:$C,0)))</f>
        <v>1</v>
      </c>
      <c r="N1214" s="261">
        <f>IF(ISBLANK(INDEX('Policy Characteristics'!H:H,MATCH($C1214,'Policy Characteristics'!$C:$C,0))),"",INDEX('Policy Characteristics'!H:H,MATCH($C1214,'Policy Characteristics'!$C:$C,0)))</f>
        <v>0.01</v>
      </c>
      <c r="O1214" s="254" t="str">
        <f>IF(ISBLANK(INDEX('Policy Characteristics'!I:I,MATCH($C1214,'Policy Characteristics'!$C:$C,0))),"",INDEX('Policy Characteristics'!I:I,MATCH($C1214,'Policy Characteristics'!$C:$C,0)))</f>
        <v>% of fuel shifted</v>
      </c>
      <c r="P1214" s="254"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4" t="str">
        <f>IF(ISBLANK(INDEX('Policy Characteristics'!K:K,MATCH($C1214,'Policy Characteristics'!$C:$C,0))),"",INDEX('Policy Characteristics'!K:K,MATCH($C1214,'Policy Characteristics'!$C:$C,0)))</f>
        <v>industry-ag-main.html#fuel-switching</v>
      </c>
      <c r="R1214" s="254" t="str">
        <f>IF(ISBLANK(INDEX('Policy Characteristics'!L:L,MATCH($C1214,'Policy Characteristics'!$C:$C,0))),"",INDEX('Policy Characteristics'!L:L,MATCH($C1214,'Policy Characteristics'!$C:$C,0)))</f>
        <v>industry-elec-and-hydrogen.html</v>
      </c>
    </row>
    <row r="1215" spans="1:18" s="2" customFormat="1" x14ac:dyDescent="0.3">
      <c r="A1215" s="254" t="str">
        <f>IF(ISBLANK(INDEX('Policy Characteristics'!A:A,MATCH($C1215,'Policy Characteristics'!$C:$C,0))),"",INDEX('Policy Characteristics'!A:A,MATCH($C1215,'Policy Characteristics'!$C:$C,0)))</f>
        <v>Industry</v>
      </c>
      <c r="B1215" s="262" t="str">
        <f>IF(ISBLANK(INDEX('Policy Characteristics'!B:B,MATCH($C1215,'Policy Characteristics'!$C:$C,0))),"",INDEX('Policy Characteristics'!B:B,MATCH($C1215,'Policy Characteristics'!$C:$C,0)))</f>
        <v>Hydrogen Combustion</v>
      </c>
      <c r="C1215" s="254" t="str">
        <f t="shared" ref="C1215:C1278" si="46">C$1085</f>
        <v>Fraction of Eligible Industrial Energy Use Shifted to Hydrogen</v>
      </c>
      <c r="D1215" s="6" t="s">
        <v>3077</v>
      </c>
      <c r="E1215" s="1" t="s">
        <v>3517</v>
      </c>
      <c r="F1215" t="s">
        <v>3039</v>
      </c>
      <c r="G1215" s="45" t="s">
        <v>3524</v>
      </c>
      <c r="H1215" s="43">
        <v>2164</v>
      </c>
      <c r="I1215" s="324" t="s">
        <v>43</v>
      </c>
      <c r="J1215" s="255" t="str">
        <f>IF(ISBLANK(INDEX('Policy Characteristics'!D:D,MATCH($C1215,'Policy Characteristics'!$C:$C,0))),"",INDEX('Policy Characteristics'!D:D,MATCH($C1215,'Policy Characteristics'!$C:$C,0)))</f>
        <v>Hydrogen Combustion</v>
      </c>
      <c r="K1215" s="254" t="str">
        <f>IF(ISBLANK(INDEX('Policy Characteristics'!E:E,MATCH($C1215,'Policy Characteristics'!$C:$C,0))),"",INDEX('Policy Characteristics'!E:E,MATCH($C1215,'Policy Characteristics'!$C:$C,0)))</f>
        <v>indst shift to hydrogen</v>
      </c>
      <c r="L1215" s="261">
        <f>IF(ISBLANK(INDEX('Policy Characteristics'!F:F,MATCH($C1215,'Policy Characteristics'!$C:$C,0))),"",INDEX('Policy Characteristics'!F:F,MATCH($C1215,'Policy Characteristics'!$C:$C,0)))</f>
        <v>0</v>
      </c>
      <c r="M1215" s="261">
        <f>IF(ISBLANK(INDEX('Policy Characteristics'!G:G,MATCH($C1215,'Policy Characteristics'!$C:$C,0))),"",INDEX('Policy Characteristics'!G:G,MATCH($C1215,'Policy Characteristics'!$C:$C,0)))</f>
        <v>1</v>
      </c>
      <c r="N1215" s="261">
        <f>IF(ISBLANK(INDEX('Policy Characteristics'!H:H,MATCH($C1215,'Policy Characteristics'!$C:$C,0))),"",INDEX('Policy Characteristics'!H:H,MATCH($C1215,'Policy Characteristics'!$C:$C,0)))</f>
        <v>0.01</v>
      </c>
      <c r="O1215" s="254" t="str">
        <f>IF(ISBLANK(INDEX('Policy Characteristics'!I:I,MATCH($C1215,'Policy Characteristics'!$C:$C,0))),"",INDEX('Policy Characteristics'!I:I,MATCH($C1215,'Policy Characteristics'!$C:$C,0)))</f>
        <v>% of fuel shifted</v>
      </c>
      <c r="P1215" s="254"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4" t="str">
        <f>IF(ISBLANK(INDEX('Policy Characteristics'!K:K,MATCH($C1215,'Policy Characteristics'!$C:$C,0))),"",INDEX('Policy Characteristics'!K:K,MATCH($C1215,'Policy Characteristics'!$C:$C,0)))</f>
        <v>industry-ag-main.html#fuel-switching</v>
      </c>
      <c r="R1215" s="254" t="str">
        <f>IF(ISBLANK(INDEX('Policy Characteristics'!L:L,MATCH($C1215,'Policy Characteristics'!$C:$C,0))),"",INDEX('Policy Characteristics'!L:L,MATCH($C1215,'Policy Characteristics'!$C:$C,0)))</f>
        <v>industry-elec-and-hydrogen.html</v>
      </c>
    </row>
    <row r="1216" spans="1:18" s="2" customFormat="1" x14ac:dyDescent="0.3">
      <c r="A1216" s="254" t="str">
        <f>IF(ISBLANK(INDEX('Policy Characteristics'!A:A,MATCH($C1216,'Policy Characteristics'!$C:$C,0))),"",INDEX('Policy Characteristics'!A:A,MATCH($C1216,'Policy Characteristics'!$C:$C,0)))</f>
        <v>Industry</v>
      </c>
      <c r="B1216" s="262" t="str">
        <f>IF(ISBLANK(INDEX('Policy Characteristics'!B:B,MATCH($C1216,'Policy Characteristics'!$C:$C,0))),"",INDEX('Policy Characteristics'!B:B,MATCH($C1216,'Policy Characteristics'!$C:$C,0)))</f>
        <v>Hydrogen Combustion</v>
      </c>
      <c r="C1216" s="254" t="str">
        <f t="shared" si="46"/>
        <v>Fraction of Eligible Industrial Energy Use Shifted to Hydrogen</v>
      </c>
      <c r="D1216" s="6" t="s">
        <v>3077</v>
      </c>
      <c r="E1216" s="1" t="s">
        <v>3518</v>
      </c>
      <c r="F1216" t="s">
        <v>3039</v>
      </c>
      <c r="G1216" s="45" t="s">
        <v>3525</v>
      </c>
      <c r="H1216" s="43">
        <v>2165</v>
      </c>
      <c r="I1216" s="324" t="s">
        <v>43</v>
      </c>
      <c r="J1216" s="255" t="str">
        <f>IF(ISBLANK(INDEX('Policy Characteristics'!D:D,MATCH($C1216,'Policy Characteristics'!$C:$C,0))),"",INDEX('Policy Characteristics'!D:D,MATCH($C1216,'Policy Characteristics'!$C:$C,0)))</f>
        <v>Hydrogen Combustion</v>
      </c>
      <c r="K1216" s="254" t="str">
        <f>IF(ISBLANK(INDEX('Policy Characteristics'!E:E,MATCH($C1216,'Policy Characteristics'!$C:$C,0))),"",INDEX('Policy Characteristics'!E:E,MATCH($C1216,'Policy Characteristics'!$C:$C,0)))</f>
        <v>indst shift to hydrogen</v>
      </c>
      <c r="L1216" s="261">
        <f>IF(ISBLANK(INDEX('Policy Characteristics'!F:F,MATCH($C1216,'Policy Characteristics'!$C:$C,0))),"",INDEX('Policy Characteristics'!F:F,MATCH($C1216,'Policy Characteristics'!$C:$C,0)))</f>
        <v>0</v>
      </c>
      <c r="M1216" s="261">
        <f>IF(ISBLANK(INDEX('Policy Characteristics'!G:G,MATCH($C1216,'Policy Characteristics'!$C:$C,0))),"",INDEX('Policy Characteristics'!G:G,MATCH($C1216,'Policy Characteristics'!$C:$C,0)))</f>
        <v>1</v>
      </c>
      <c r="N1216" s="261">
        <f>IF(ISBLANK(INDEX('Policy Characteristics'!H:H,MATCH($C1216,'Policy Characteristics'!$C:$C,0))),"",INDEX('Policy Characteristics'!H:H,MATCH($C1216,'Policy Characteristics'!$C:$C,0)))</f>
        <v>0.01</v>
      </c>
      <c r="O1216" s="254" t="str">
        <f>IF(ISBLANK(INDEX('Policy Characteristics'!I:I,MATCH($C1216,'Policy Characteristics'!$C:$C,0))),"",INDEX('Policy Characteristics'!I:I,MATCH($C1216,'Policy Characteristics'!$C:$C,0)))</f>
        <v>% of fuel shifted</v>
      </c>
      <c r="P1216" s="254"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4" t="str">
        <f>IF(ISBLANK(INDEX('Policy Characteristics'!K:K,MATCH($C1216,'Policy Characteristics'!$C:$C,0))),"",INDEX('Policy Characteristics'!K:K,MATCH($C1216,'Policy Characteristics'!$C:$C,0)))</f>
        <v>industry-ag-main.html#fuel-switching</v>
      </c>
      <c r="R1216" s="254" t="str">
        <f>IF(ISBLANK(INDEX('Policy Characteristics'!L:L,MATCH($C1216,'Policy Characteristics'!$C:$C,0))),"",INDEX('Policy Characteristics'!L:L,MATCH($C1216,'Policy Characteristics'!$C:$C,0)))</f>
        <v>industry-elec-and-hydrogen.html</v>
      </c>
    </row>
    <row r="1217" spans="1:18" s="2" customFormat="1" x14ac:dyDescent="0.3">
      <c r="A1217" s="254" t="str">
        <f>IF(ISBLANK(INDEX('Policy Characteristics'!A:A,MATCH($C1217,'Policy Characteristics'!$C:$C,0))),"",INDEX('Policy Characteristics'!A:A,MATCH($C1217,'Policy Characteristics'!$C:$C,0)))</f>
        <v>Industry</v>
      </c>
      <c r="B1217" s="262" t="str">
        <f>IF(ISBLANK(INDEX('Policy Characteristics'!B:B,MATCH($C1217,'Policy Characteristics'!$C:$C,0))),"",INDEX('Policy Characteristics'!B:B,MATCH($C1217,'Policy Characteristics'!$C:$C,0)))</f>
        <v>Hydrogen Combustion</v>
      </c>
      <c r="C1217" s="254" t="str">
        <f t="shared" si="46"/>
        <v>Fraction of Eligible Industrial Energy Use Shifted to Hydrogen</v>
      </c>
      <c r="D1217" s="6" t="s">
        <v>3077</v>
      </c>
      <c r="E1217" s="1" t="s">
        <v>3519</v>
      </c>
      <c r="F1217" t="s">
        <v>3039</v>
      </c>
      <c r="G1217" s="45" t="s">
        <v>3526</v>
      </c>
      <c r="H1217" s="43">
        <v>2166</v>
      </c>
      <c r="I1217" s="324" t="s">
        <v>44</v>
      </c>
      <c r="J1217" s="255" t="str">
        <f>IF(ISBLANK(INDEX('Policy Characteristics'!D:D,MATCH($C1217,'Policy Characteristics'!$C:$C,0))),"",INDEX('Policy Characteristics'!D:D,MATCH($C1217,'Policy Characteristics'!$C:$C,0)))</f>
        <v>Hydrogen Combustion</v>
      </c>
      <c r="K1217" s="254" t="str">
        <f>IF(ISBLANK(INDEX('Policy Characteristics'!E:E,MATCH($C1217,'Policy Characteristics'!$C:$C,0))),"",INDEX('Policy Characteristics'!E:E,MATCH($C1217,'Policy Characteristics'!$C:$C,0)))</f>
        <v>indst shift to hydrogen</v>
      </c>
      <c r="L1217" s="261">
        <f>IF(ISBLANK(INDEX('Policy Characteristics'!F:F,MATCH($C1217,'Policy Characteristics'!$C:$C,0))),"",INDEX('Policy Characteristics'!F:F,MATCH($C1217,'Policy Characteristics'!$C:$C,0)))</f>
        <v>0</v>
      </c>
      <c r="M1217" s="261">
        <f>IF(ISBLANK(INDEX('Policy Characteristics'!G:G,MATCH($C1217,'Policy Characteristics'!$C:$C,0))),"",INDEX('Policy Characteristics'!G:G,MATCH($C1217,'Policy Characteristics'!$C:$C,0)))</f>
        <v>1</v>
      </c>
      <c r="N1217" s="261">
        <f>IF(ISBLANK(INDEX('Policy Characteristics'!H:H,MATCH($C1217,'Policy Characteristics'!$C:$C,0))),"",INDEX('Policy Characteristics'!H:H,MATCH($C1217,'Policy Characteristics'!$C:$C,0)))</f>
        <v>0.01</v>
      </c>
      <c r="O1217" s="254" t="str">
        <f>IF(ISBLANK(INDEX('Policy Characteristics'!I:I,MATCH($C1217,'Policy Characteristics'!$C:$C,0))),"",INDEX('Policy Characteristics'!I:I,MATCH($C1217,'Policy Characteristics'!$C:$C,0)))</f>
        <v>% of fuel shifted</v>
      </c>
      <c r="P1217" s="254"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4" t="str">
        <f>IF(ISBLANK(INDEX('Policy Characteristics'!K:K,MATCH($C1217,'Policy Characteristics'!$C:$C,0))),"",INDEX('Policy Characteristics'!K:K,MATCH($C1217,'Policy Characteristics'!$C:$C,0)))</f>
        <v>industry-ag-main.html#fuel-switching</v>
      </c>
      <c r="R1217" s="254" t="str">
        <f>IF(ISBLANK(INDEX('Policy Characteristics'!L:L,MATCH($C1217,'Policy Characteristics'!$C:$C,0))),"",INDEX('Policy Characteristics'!L:L,MATCH($C1217,'Policy Characteristics'!$C:$C,0)))</f>
        <v>industry-elec-and-hydrogen.html</v>
      </c>
    </row>
    <row r="1218" spans="1:18" s="2" customFormat="1" x14ac:dyDescent="0.3">
      <c r="A1218" s="254" t="str">
        <f>IF(ISBLANK(INDEX('Policy Characteristics'!A:A,MATCH($C1218,'Policy Characteristics'!$C:$C,0))),"",INDEX('Policy Characteristics'!A:A,MATCH($C1218,'Policy Characteristics'!$C:$C,0)))</f>
        <v>Industry</v>
      </c>
      <c r="B1218" s="262" t="str">
        <f>IF(ISBLANK(INDEX('Policy Characteristics'!B:B,MATCH($C1218,'Policy Characteristics'!$C:$C,0))),"",INDEX('Policy Characteristics'!B:B,MATCH($C1218,'Policy Characteristics'!$C:$C,0)))</f>
        <v>Hydrogen Combustion</v>
      </c>
      <c r="C1218" s="254" t="str">
        <f t="shared" si="46"/>
        <v>Fraction of Eligible Industrial Energy Use Shifted to Hydrogen</v>
      </c>
      <c r="D1218" s="6" t="s">
        <v>3077</v>
      </c>
      <c r="E1218" s="1" t="s">
        <v>3520</v>
      </c>
      <c r="F1218" t="s">
        <v>3039</v>
      </c>
      <c r="G1218" s="45" t="s">
        <v>3527</v>
      </c>
      <c r="H1218" s="43">
        <v>2167</v>
      </c>
      <c r="I1218" s="324" t="s">
        <v>44</v>
      </c>
      <c r="J1218" s="255" t="str">
        <f>IF(ISBLANK(INDEX('Policy Characteristics'!D:D,MATCH($C1218,'Policy Characteristics'!$C:$C,0))),"",INDEX('Policy Characteristics'!D:D,MATCH($C1218,'Policy Characteristics'!$C:$C,0)))</f>
        <v>Hydrogen Combustion</v>
      </c>
      <c r="K1218" s="254" t="str">
        <f>IF(ISBLANK(INDEX('Policy Characteristics'!E:E,MATCH($C1218,'Policy Characteristics'!$C:$C,0))),"",INDEX('Policy Characteristics'!E:E,MATCH($C1218,'Policy Characteristics'!$C:$C,0)))</f>
        <v>indst shift to hydrogen</v>
      </c>
      <c r="L1218" s="261">
        <f>IF(ISBLANK(INDEX('Policy Characteristics'!F:F,MATCH($C1218,'Policy Characteristics'!$C:$C,0))),"",INDEX('Policy Characteristics'!F:F,MATCH($C1218,'Policy Characteristics'!$C:$C,0)))</f>
        <v>0</v>
      </c>
      <c r="M1218" s="261">
        <f>IF(ISBLANK(INDEX('Policy Characteristics'!G:G,MATCH($C1218,'Policy Characteristics'!$C:$C,0))),"",INDEX('Policy Characteristics'!G:G,MATCH($C1218,'Policy Characteristics'!$C:$C,0)))</f>
        <v>1</v>
      </c>
      <c r="N1218" s="261">
        <f>IF(ISBLANK(INDEX('Policy Characteristics'!H:H,MATCH($C1218,'Policy Characteristics'!$C:$C,0))),"",INDEX('Policy Characteristics'!H:H,MATCH($C1218,'Policy Characteristics'!$C:$C,0)))</f>
        <v>0.01</v>
      </c>
      <c r="O1218" s="254" t="str">
        <f>IF(ISBLANK(INDEX('Policy Characteristics'!I:I,MATCH($C1218,'Policy Characteristics'!$C:$C,0))),"",INDEX('Policy Characteristics'!I:I,MATCH($C1218,'Policy Characteristics'!$C:$C,0)))</f>
        <v>% of fuel shifted</v>
      </c>
      <c r="P1218" s="254"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4" t="str">
        <f>IF(ISBLANK(INDEX('Policy Characteristics'!K:K,MATCH($C1218,'Policy Characteristics'!$C:$C,0))),"",INDEX('Policy Characteristics'!K:K,MATCH($C1218,'Policy Characteristics'!$C:$C,0)))</f>
        <v>industry-ag-main.html#fuel-switching</v>
      </c>
      <c r="R1218" s="254" t="str">
        <f>IF(ISBLANK(INDEX('Policy Characteristics'!L:L,MATCH($C1218,'Policy Characteristics'!$C:$C,0))),"",INDEX('Policy Characteristics'!L:L,MATCH($C1218,'Policy Characteristics'!$C:$C,0)))</f>
        <v>industry-elec-and-hydrogen.html</v>
      </c>
    </row>
    <row r="1219" spans="1:18" s="2" customFormat="1" x14ac:dyDescent="0.3">
      <c r="A1219" s="254" t="str">
        <f>IF(ISBLANK(INDEX('Policy Characteristics'!A:A,MATCH($C1219,'Policy Characteristics'!$C:$C,0))),"",INDEX('Policy Characteristics'!A:A,MATCH($C1219,'Policy Characteristics'!$C:$C,0)))</f>
        <v>Industry</v>
      </c>
      <c r="B1219" s="262" t="str">
        <f>IF(ISBLANK(INDEX('Policy Characteristics'!B:B,MATCH($C1219,'Policy Characteristics'!$C:$C,0))),"",INDEX('Policy Characteristics'!B:B,MATCH($C1219,'Policy Characteristics'!$C:$C,0)))</f>
        <v>Hydrogen Combustion</v>
      </c>
      <c r="C1219" s="254" t="str">
        <f t="shared" si="46"/>
        <v>Fraction of Eligible Industrial Energy Use Shifted to Hydrogen</v>
      </c>
      <c r="D1219" s="6" t="s">
        <v>3077</v>
      </c>
      <c r="E1219" s="1" t="s">
        <v>3521</v>
      </c>
      <c r="F1219" t="s">
        <v>3039</v>
      </c>
      <c r="G1219" s="45" t="s">
        <v>3528</v>
      </c>
      <c r="H1219" s="43">
        <v>2168</v>
      </c>
      <c r="I1219" s="324" t="s">
        <v>44</v>
      </c>
      <c r="J1219" s="255" t="str">
        <f>IF(ISBLANK(INDEX('Policy Characteristics'!D:D,MATCH($C1219,'Policy Characteristics'!$C:$C,0))),"",INDEX('Policy Characteristics'!D:D,MATCH($C1219,'Policy Characteristics'!$C:$C,0)))</f>
        <v>Hydrogen Combustion</v>
      </c>
      <c r="K1219" s="254" t="str">
        <f>IF(ISBLANK(INDEX('Policy Characteristics'!E:E,MATCH($C1219,'Policy Characteristics'!$C:$C,0))),"",INDEX('Policy Characteristics'!E:E,MATCH($C1219,'Policy Characteristics'!$C:$C,0)))</f>
        <v>indst shift to hydrogen</v>
      </c>
      <c r="L1219" s="261">
        <f>IF(ISBLANK(INDEX('Policy Characteristics'!F:F,MATCH($C1219,'Policy Characteristics'!$C:$C,0))),"",INDEX('Policy Characteristics'!F:F,MATCH($C1219,'Policy Characteristics'!$C:$C,0)))</f>
        <v>0</v>
      </c>
      <c r="M1219" s="261">
        <f>IF(ISBLANK(INDEX('Policy Characteristics'!G:G,MATCH($C1219,'Policy Characteristics'!$C:$C,0))),"",INDEX('Policy Characteristics'!G:G,MATCH($C1219,'Policy Characteristics'!$C:$C,0)))</f>
        <v>1</v>
      </c>
      <c r="N1219" s="261">
        <f>IF(ISBLANK(INDEX('Policy Characteristics'!H:H,MATCH($C1219,'Policy Characteristics'!$C:$C,0))),"",INDEX('Policy Characteristics'!H:H,MATCH($C1219,'Policy Characteristics'!$C:$C,0)))</f>
        <v>0.01</v>
      </c>
      <c r="O1219" s="254" t="str">
        <f>IF(ISBLANK(INDEX('Policy Characteristics'!I:I,MATCH($C1219,'Policy Characteristics'!$C:$C,0))),"",INDEX('Policy Characteristics'!I:I,MATCH($C1219,'Policy Characteristics'!$C:$C,0)))</f>
        <v>% of fuel shifted</v>
      </c>
      <c r="P1219" s="254"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4" t="str">
        <f>IF(ISBLANK(INDEX('Policy Characteristics'!K:K,MATCH($C1219,'Policy Characteristics'!$C:$C,0))),"",INDEX('Policy Characteristics'!K:K,MATCH($C1219,'Policy Characteristics'!$C:$C,0)))</f>
        <v>industry-ag-main.html#fuel-switching</v>
      </c>
      <c r="R1219" s="254" t="str">
        <f>IF(ISBLANK(INDEX('Policy Characteristics'!L:L,MATCH($C1219,'Policy Characteristics'!$C:$C,0))),"",INDEX('Policy Characteristics'!L:L,MATCH($C1219,'Policy Characteristics'!$C:$C,0)))</f>
        <v>industry-elec-and-hydrogen.html</v>
      </c>
    </row>
    <row r="1220" spans="1:18" s="2" customFormat="1" x14ac:dyDescent="0.3">
      <c r="A1220" s="254" t="str">
        <f>IF(ISBLANK(INDEX('Policy Characteristics'!A:A,MATCH($C1220,'Policy Characteristics'!$C:$C,0))),"",INDEX('Policy Characteristics'!A:A,MATCH($C1220,'Policy Characteristics'!$C:$C,0)))</f>
        <v>Industry</v>
      </c>
      <c r="B1220" s="262" t="str">
        <f>IF(ISBLANK(INDEX('Policy Characteristics'!B:B,MATCH($C1220,'Policy Characteristics'!$C:$C,0))),"",INDEX('Policy Characteristics'!B:B,MATCH($C1220,'Policy Characteristics'!$C:$C,0)))</f>
        <v>Hydrogen Combustion</v>
      </c>
      <c r="C1220" s="254" t="str">
        <f t="shared" si="46"/>
        <v>Fraction of Eligible Industrial Energy Use Shifted to Hydrogen</v>
      </c>
      <c r="D1220" s="6" t="s">
        <v>3077</v>
      </c>
      <c r="E1220" s="1" t="s">
        <v>3671</v>
      </c>
      <c r="F1220" t="s">
        <v>3039</v>
      </c>
      <c r="G1220" s="45" t="s">
        <v>3671</v>
      </c>
      <c r="H1220" s="43">
        <v>2169</v>
      </c>
      <c r="I1220" s="324" t="s">
        <v>43</v>
      </c>
      <c r="J1220" s="255" t="str">
        <f>IF(ISBLANK(INDEX('Policy Characteristics'!D:D,MATCH($C1220,'Policy Characteristics'!$C:$C,0))),"",INDEX('Policy Characteristics'!D:D,MATCH($C1220,'Policy Characteristics'!$C:$C,0)))</f>
        <v>Hydrogen Combustion</v>
      </c>
      <c r="K1220" s="254" t="str">
        <f>IF(ISBLANK(INDEX('Policy Characteristics'!E:E,MATCH($C1220,'Policy Characteristics'!$C:$C,0))),"",INDEX('Policy Characteristics'!E:E,MATCH($C1220,'Policy Characteristics'!$C:$C,0)))</f>
        <v>indst shift to hydrogen</v>
      </c>
      <c r="L1220" s="261">
        <f>IF(ISBLANK(INDEX('Policy Characteristics'!F:F,MATCH($C1220,'Policy Characteristics'!$C:$C,0))),"",INDEX('Policy Characteristics'!F:F,MATCH($C1220,'Policy Characteristics'!$C:$C,0)))</f>
        <v>0</v>
      </c>
      <c r="M1220" s="261">
        <f>IF(ISBLANK(INDEX('Policy Characteristics'!G:G,MATCH($C1220,'Policy Characteristics'!$C:$C,0))),"",INDEX('Policy Characteristics'!G:G,MATCH($C1220,'Policy Characteristics'!$C:$C,0)))</f>
        <v>1</v>
      </c>
      <c r="N1220" s="261">
        <f>IF(ISBLANK(INDEX('Policy Characteristics'!H:H,MATCH($C1220,'Policy Characteristics'!$C:$C,0))),"",INDEX('Policy Characteristics'!H:H,MATCH($C1220,'Policy Characteristics'!$C:$C,0)))</f>
        <v>0.01</v>
      </c>
      <c r="O1220" s="254" t="str">
        <f>IF(ISBLANK(INDEX('Policy Characteristics'!I:I,MATCH($C1220,'Policy Characteristics'!$C:$C,0))),"",INDEX('Policy Characteristics'!I:I,MATCH($C1220,'Policy Characteristics'!$C:$C,0)))</f>
        <v>% of fuel shifted</v>
      </c>
      <c r="P1220" s="254"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4" t="str">
        <f>IF(ISBLANK(INDEX('Policy Characteristics'!K:K,MATCH($C1220,'Policy Characteristics'!$C:$C,0))),"",INDEX('Policy Characteristics'!K:K,MATCH($C1220,'Policy Characteristics'!$C:$C,0)))</f>
        <v>industry-ag-main.html#fuel-switching</v>
      </c>
      <c r="R1220" s="254" t="str">
        <f>IF(ISBLANK(INDEX('Policy Characteristics'!L:L,MATCH($C1220,'Policy Characteristics'!$C:$C,0))),"",INDEX('Policy Characteristics'!L:L,MATCH($C1220,'Policy Characteristics'!$C:$C,0)))</f>
        <v>industry-elec-and-hydrogen.html</v>
      </c>
    </row>
    <row r="1221" spans="1:18" s="2" customFormat="1" x14ac:dyDescent="0.3">
      <c r="A1221" s="254" t="str">
        <f>IF(ISBLANK(INDEX('Policy Characteristics'!A:A,MATCH($C1221,'Policy Characteristics'!$C:$C,0))),"",INDEX('Policy Characteristics'!A:A,MATCH($C1221,'Policy Characteristics'!$C:$C,0)))</f>
        <v>Industry</v>
      </c>
      <c r="B1221" s="262" t="str">
        <f>IF(ISBLANK(INDEX('Policy Characteristics'!B:B,MATCH($C1221,'Policy Characteristics'!$C:$C,0))),"",INDEX('Policy Characteristics'!B:B,MATCH($C1221,'Policy Characteristics'!$C:$C,0)))</f>
        <v>Hydrogen Combustion</v>
      </c>
      <c r="C1221" s="254" t="str">
        <f t="shared" si="46"/>
        <v>Fraction of Eligible Industrial Energy Use Shifted to Hydrogen</v>
      </c>
      <c r="D1221" s="6" t="s">
        <v>3078</v>
      </c>
      <c r="E1221" s="1" t="s">
        <v>3515</v>
      </c>
      <c r="F1221" t="s">
        <v>3040</v>
      </c>
      <c r="G1221" s="45" t="s">
        <v>3522</v>
      </c>
      <c r="H1221" s="43">
        <v>2170</v>
      </c>
      <c r="I1221" s="324" t="s">
        <v>43</v>
      </c>
      <c r="J1221" s="255" t="str">
        <f>IF(ISBLANK(INDEX('Policy Characteristics'!D:D,MATCH($C1221,'Policy Characteristics'!$C:$C,0))),"",INDEX('Policy Characteristics'!D:D,MATCH($C1221,'Policy Characteristics'!$C:$C,0)))</f>
        <v>Hydrogen Combustion</v>
      </c>
      <c r="K1221" s="254" t="str">
        <f>IF(ISBLANK(INDEX('Policy Characteristics'!E:E,MATCH($C1221,'Policy Characteristics'!$C:$C,0))),"",INDEX('Policy Characteristics'!E:E,MATCH($C1221,'Policy Characteristics'!$C:$C,0)))</f>
        <v>indst shift to hydrogen</v>
      </c>
      <c r="L1221" s="261">
        <f>IF(ISBLANK(INDEX('Policy Characteristics'!F:F,MATCH($C1221,'Policy Characteristics'!$C:$C,0))),"",INDEX('Policy Characteristics'!F:F,MATCH($C1221,'Policy Characteristics'!$C:$C,0)))</f>
        <v>0</v>
      </c>
      <c r="M1221" s="261">
        <f>IF(ISBLANK(INDEX('Policy Characteristics'!G:G,MATCH($C1221,'Policy Characteristics'!$C:$C,0))),"",INDEX('Policy Characteristics'!G:G,MATCH($C1221,'Policy Characteristics'!$C:$C,0)))</f>
        <v>1</v>
      </c>
      <c r="N1221" s="261">
        <f>IF(ISBLANK(INDEX('Policy Characteristics'!H:H,MATCH($C1221,'Policy Characteristics'!$C:$C,0))),"",INDEX('Policy Characteristics'!H:H,MATCH($C1221,'Policy Characteristics'!$C:$C,0)))</f>
        <v>0.01</v>
      </c>
      <c r="O1221" s="254" t="str">
        <f>IF(ISBLANK(INDEX('Policy Characteristics'!I:I,MATCH($C1221,'Policy Characteristics'!$C:$C,0))),"",INDEX('Policy Characteristics'!I:I,MATCH($C1221,'Policy Characteristics'!$C:$C,0)))</f>
        <v>% of fuel shifted</v>
      </c>
      <c r="P1221" s="254"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4" t="str">
        <f>IF(ISBLANK(INDEX('Policy Characteristics'!K:K,MATCH($C1221,'Policy Characteristics'!$C:$C,0))),"",INDEX('Policy Characteristics'!K:K,MATCH($C1221,'Policy Characteristics'!$C:$C,0)))</f>
        <v>industry-ag-main.html#fuel-switching</v>
      </c>
      <c r="R1221" s="254" t="str">
        <f>IF(ISBLANK(INDEX('Policy Characteristics'!L:L,MATCH($C1221,'Policy Characteristics'!$C:$C,0))),"",INDEX('Policy Characteristics'!L:L,MATCH($C1221,'Policy Characteristics'!$C:$C,0)))</f>
        <v>industry-elec-and-hydrogen.html</v>
      </c>
    </row>
    <row r="1222" spans="1:18" s="2" customFormat="1" x14ac:dyDescent="0.3">
      <c r="A1222" s="254" t="str">
        <f>IF(ISBLANK(INDEX('Policy Characteristics'!A:A,MATCH($C1222,'Policy Characteristics'!$C:$C,0))),"",INDEX('Policy Characteristics'!A:A,MATCH($C1222,'Policy Characteristics'!$C:$C,0)))</f>
        <v>Industry</v>
      </c>
      <c r="B1222" s="262" t="str">
        <f>IF(ISBLANK(INDEX('Policy Characteristics'!B:B,MATCH($C1222,'Policy Characteristics'!$C:$C,0))),"",INDEX('Policy Characteristics'!B:B,MATCH($C1222,'Policy Characteristics'!$C:$C,0)))</f>
        <v>Hydrogen Combustion</v>
      </c>
      <c r="C1222" s="254" t="str">
        <f t="shared" si="46"/>
        <v>Fraction of Eligible Industrial Energy Use Shifted to Hydrogen</v>
      </c>
      <c r="D1222" s="6" t="s">
        <v>3078</v>
      </c>
      <c r="E1222" s="1" t="s">
        <v>3516</v>
      </c>
      <c r="F1222" t="s">
        <v>3040</v>
      </c>
      <c r="G1222" s="45" t="s">
        <v>3523</v>
      </c>
      <c r="H1222" s="43">
        <v>2171</v>
      </c>
      <c r="I1222" s="324" t="s">
        <v>43</v>
      </c>
      <c r="J1222" s="255" t="str">
        <f>IF(ISBLANK(INDEX('Policy Characteristics'!D:D,MATCH($C1222,'Policy Characteristics'!$C:$C,0))),"",INDEX('Policy Characteristics'!D:D,MATCH($C1222,'Policy Characteristics'!$C:$C,0)))</f>
        <v>Hydrogen Combustion</v>
      </c>
      <c r="K1222" s="254" t="str">
        <f>IF(ISBLANK(INDEX('Policy Characteristics'!E:E,MATCH($C1222,'Policy Characteristics'!$C:$C,0))),"",INDEX('Policy Characteristics'!E:E,MATCH($C1222,'Policy Characteristics'!$C:$C,0)))</f>
        <v>indst shift to hydrogen</v>
      </c>
      <c r="L1222" s="261">
        <f>IF(ISBLANK(INDEX('Policy Characteristics'!F:F,MATCH($C1222,'Policy Characteristics'!$C:$C,0))),"",INDEX('Policy Characteristics'!F:F,MATCH($C1222,'Policy Characteristics'!$C:$C,0)))</f>
        <v>0</v>
      </c>
      <c r="M1222" s="261">
        <f>IF(ISBLANK(INDEX('Policy Characteristics'!G:G,MATCH($C1222,'Policy Characteristics'!$C:$C,0))),"",INDEX('Policy Characteristics'!G:G,MATCH($C1222,'Policy Characteristics'!$C:$C,0)))</f>
        <v>1</v>
      </c>
      <c r="N1222" s="261">
        <f>IF(ISBLANK(INDEX('Policy Characteristics'!H:H,MATCH($C1222,'Policy Characteristics'!$C:$C,0))),"",INDEX('Policy Characteristics'!H:H,MATCH($C1222,'Policy Characteristics'!$C:$C,0)))</f>
        <v>0.01</v>
      </c>
      <c r="O1222" s="254" t="str">
        <f>IF(ISBLANK(INDEX('Policy Characteristics'!I:I,MATCH($C1222,'Policy Characteristics'!$C:$C,0))),"",INDEX('Policy Characteristics'!I:I,MATCH($C1222,'Policy Characteristics'!$C:$C,0)))</f>
        <v>% of fuel shifted</v>
      </c>
      <c r="P1222" s="254"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4" t="str">
        <f>IF(ISBLANK(INDEX('Policy Characteristics'!K:K,MATCH($C1222,'Policy Characteristics'!$C:$C,0))),"",INDEX('Policy Characteristics'!K:K,MATCH($C1222,'Policy Characteristics'!$C:$C,0)))</f>
        <v>industry-ag-main.html#fuel-switching</v>
      </c>
      <c r="R1222" s="254" t="str">
        <f>IF(ISBLANK(INDEX('Policy Characteristics'!L:L,MATCH($C1222,'Policy Characteristics'!$C:$C,0))),"",INDEX('Policy Characteristics'!L:L,MATCH($C1222,'Policy Characteristics'!$C:$C,0)))</f>
        <v>industry-elec-and-hydrogen.html</v>
      </c>
    </row>
    <row r="1223" spans="1:18" s="2" customFormat="1" x14ac:dyDescent="0.3">
      <c r="A1223" s="254" t="str">
        <f>IF(ISBLANK(INDEX('Policy Characteristics'!A:A,MATCH($C1223,'Policy Characteristics'!$C:$C,0))),"",INDEX('Policy Characteristics'!A:A,MATCH($C1223,'Policy Characteristics'!$C:$C,0)))</f>
        <v>Industry</v>
      </c>
      <c r="B1223" s="262" t="str">
        <f>IF(ISBLANK(INDEX('Policy Characteristics'!B:B,MATCH($C1223,'Policy Characteristics'!$C:$C,0))),"",INDEX('Policy Characteristics'!B:B,MATCH($C1223,'Policy Characteristics'!$C:$C,0)))</f>
        <v>Hydrogen Combustion</v>
      </c>
      <c r="C1223" s="254" t="str">
        <f t="shared" si="46"/>
        <v>Fraction of Eligible Industrial Energy Use Shifted to Hydrogen</v>
      </c>
      <c r="D1223" s="6" t="s">
        <v>3078</v>
      </c>
      <c r="E1223" s="1" t="s">
        <v>3517</v>
      </c>
      <c r="F1223" t="s">
        <v>3040</v>
      </c>
      <c r="G1223" s="45" t="s">
        <v>3524</v>
      </c>
      <c r="H1223" s="43">
        <v>2172</v>
      </c>
      <c r="I1223" s="324" t="s">
        <v>43</v>
      </c>
      <c r="J1223" s="255" t="str">
        <f>IF(ISBLANK(INDEX('Policy Characteristics'!D:D,MATCH($C1223,'Policy Characteristics'!$C:$C,0))),"",INDEX('Policy Characteristics'!D:D,MATCH($C1223,'Policy Characteristics'!$C:$C,0)))</f>
        <v>Hydrogen Combustion</v>
      </c>
      <c r="K1223" s="254" t="str">
        <f>IF(ISBLANK(INDEX('Policy Characteristics'!E:E,MATCH($C1223,'Policy Characteristics'!$C:$C,0))),"",INDEX('Policy Characteristics'!E:E,MATCH($C1223,'Policy Characteristics'!$C:$C,0)))</f>
        <v>indst shift to hydrogen</v>
      </c>
      <c r="L1223" s="261">
        <f>IF(ISBLANK(INDEX('Policy Characteristics'!F:F,MATCH($C1223,'Policy Characteristics'!$C:$C,0))),"",INDEX('Policy Characteristics'!F:F,MATCH($C1223,'Policy Characteristics'!$C:$C,0)))</f>
        <v>0</v>
      </c>
      <c r="M1223" s="261">
        <f>IF(ISBLANK(INDEX('Policy Characteristics'!G:G,MATCH($C1223,'Policy Characteristics'!$C:$C,0))),"",INDEX('Policy Characteristics'!G:G,MATCH($C1223,'Policy Characteristics'!$C:$C,0)))</f>
        <v>1</v>
      </c>
      <c r="N1223" s="261">
        <f>IF(ISBLANK(INDEX('Policy Characteristics'!H:H,MATCH($C1223,'Policy Characteristics'!$C:$C,0))),"",INDEX('Policy Characteristics'!H:H,MATCH($C1223,'Policy Characteristics'!$C:$C,0)))</f>
        <v>0.01</v>
      </c>
      <c r="O1223" s="254" t="str">
        <f>IF(ISBLANK(INDEX('Policy Characteristics'!I:I,MATCH($C1223,'Policy Characteristics'!$C:$C,0))),"",INDEX('Policy Characteristics'!I:I,MATCH($C1223,'Policy Characteristics'!$C:$C,0)))</f>
        <v>% of fuel shifted</v>
      </c>
      <c r="P1223" s="254"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4" t="str">
        <f>IF(ISBLANK(INDEX('Policy Characteristics'!K:K,MATCH($C1223,'Policy Characteristics'!$C:$C,0))),"",INDEX('Policy Characteristics'!K:K,MATCH($C1223,'Policy Characteristics'!$C:$C,0)))</f>
        <v>industry-ag-main.html#fuel-switching</v>
      </c>
      <c r="R1223" s="254" t="str">
        <f>IF(ISBLANK(INDEX('Policy Characteristics'!L:L,MATCH($C1223,'Policy Characteristics'!$C:$C,0))),"",INDEX('Policy Characteristics'!L:L,MATCH($C1223,'Policy Characteristics'!$C:$C,0)))</f>
        <v>industry-elec-and-hydrogen.html</v>
      </c>
    </row>
    <row r="1224" spans="1:18" s="2" customFormat="1" x14ac:dyDescent="0.3">
      <c r="A1224" s="254" t="str">
        <f>IF(ISBLANK(INDEX('Policy Characteristics'!A:A,MATCH($C1224,'Policy Characteristics'!$C:$C,0))),"",INDEX('Policy Characteristics'!A:A,MATCH($C1224,'Policy Characteristics'!$C:$C,0)))</f>
        <v>Industry</v>
      </c>
      <c r="B1224" s="262" t="str">
        <f>IF(ISBLANK(INDEX('Policy Characteristics'!B:B,MATCH($C1224,'Policy Characteristics'!$C:$C,0))),"",INDEX('Policy Characteristics'!B:B,MATCH($C1224,'Policy Characteristics'!$C:$C,0)))</f>
        <v>Hydrogen Combustion</v>
      </c>
      <c r="C1224" s="254" t="str">
        <f t="shared" si="46"/>
        <v>Fraction of Eligible Industrial Energy Use Shifted to Hydrogen</v>
      </c>
      <c r="D1224" s="6" t="s">
        <v>3078</v>
      </c>
      <c r="E1224" s="1" t="s">
        <v>3518</v>
      </c>
      <c r="F1224" t="s">
        <v>3040</v>
      </c>
      <c r="G1224" s="45" t="s">
        <v>3525</v>
      </c>
      <c r="H1224" s="43">
        <v>2173</v>
      </c>
      <c r="I1224" s="324" t="s">
        <v>43</v>
      </c>
      <c r="J1224" s="255" t="str">
        <f>IF(ISBLANK(INDEX('Policy Characteristics'!D:D,MATCH($C1224,'Policy Characteristics'!$C:$C,0))),"",INDEX('Policy Characteristics'!D:D,MATCH($C1224,'Policy Characteristics'!$C:$C,0)))</f>
        <v>Hydrogen Combustion</v>
      </c>
      <c r="K1224" s="254" t="str">
        <f>IF(ISBLANK(INDEX('Policy Characteristics'!E:E,MATCH($C1224,'Policy Characteristics'!$C:$C,0))),"",INDEX('Policy Characteristics'!E:E,MATCH($C1224,'Policy Characteristics'!$C:$C,0)))</f>
        <v>indst shift to hydrogen</v>
      </c>
      <c r="L1224" s="261">
        <f>IF(ISBLANK(INDEX('Policy Characteristics'!F:F,MATCH($C1224,'Policy Characteristics'!$C:$C,0))),"",INDEX('Policy Characteristics'!F:F,MATCH($C1224,'Policy Characteristics'!$C:$C,0)))</f>
        <v>0</v>
      </c>
      <c r="M1224" s="261">
        <f>IF(ISBLANK(INDEX('Policy Characteristics'!G:G,MATCH($C1224,'Policy Characteristics'!$C:$C,0))),"",INDEX('Policy Characteristics'!G:G,MATCH($C1224,'Policy Characteristics'!$C:$C,0)))</f>
        <v>1</v>
      </c>
      <c r="N1224" s="261">
        <f>IF(ISBLANK(INDEX('Policy Characteristics'!H:H,MATCH($C1224,'Policy Characteristics'!$C:$C,0))),"",INDEX('Policy Characteristics'!H:H,MATCH($C1224,'Policy Characteristics'!$C:$C,0)))</f>
        <v>0.01</v>
      </c>
      <c r="O1224" s="254" t="str">
        <f>IF(ISBLANK(INDEX('Policy Characteristics'!I:I,MATCH($C1224,'Policy Characteristics'!$C:$C,0))),"",INDEX('Policy Characteristics'!I:I,MATCH($C1224,'Policy Characteristics'!$C:$C,0)))</f>
        <v>% of fuel shifted</v>
      </c>
      <c r="P1224" s="254"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4" t="str">
        <f>IF(ISBLANK(INDEX('Policy Characteristics'!K:K,MATCH($C1224,'Policy Characteristics'!$C:$C,0))),"",INDEX('Policy Characteristics'!K:K,MATCH($C1224,'Policy Characteristics'!$C:$C,0)))</f>
        <v>industry-ag-main.html#fuel-switching</v>
      </c>
      <c r="R1224" s="254" t="str">
        <f>IF(ISBLANK(INDEX('Policy Characteristics'!L:L,MATCH($C1224,'Policy Characteristics'!$C:$C,0))),"",INDEX('Policy Characteristics'!L:L,MATCH($C1224,'Policy Characteristics'!$C:$C,0)))</f>
        <v>industry-elec-and-hydrogen.html</v>
      </c>
    </row>
    <row r="1225" spans="1:18" s="2" customFormat="1" x14ac:dyDescent="0.3">
      <c r="A1225" s="254" t="str">
        <f>IF(ISBLANK(INDEX('Policy Characteristics'!A:A,MATCH($C1225,'Policy Characteristics'!$C:$C,0))),"",INDEX('Policy Characteristics'!A:A,MATCH($C1225,'Policy Characteristics'!$C:$C,0)))</f>
        <v>Industry</v>
      </c>
      <c r="B1225" s="262" t="str">
        <f>IF(ISBLANK(INDEX('Policy Characteristics'!B:B,MATCH($C1225,'Policy Characteristics'!$C:$C,0))),"",INDEX('Policy Characteristics'!B:B,MATCH($C1225,'Policy Characteristics'!$C:$C,0)))</f>
        <v>Hydrogen Combustion</v>
      </c>
      <c r="C1225" s="254" t="str">
        <f t="shared" si="46"/>
        <v>Fraction of Eligible Industrial Energy Use Shifted to Hydrogen</v>
      </c>
      <c r="D1225" s="6" t="s">
        <v>3078</v>
      </c>
      <c r="E1225" s="1" t="s">
        <v>3519</v>
      </c>
      <c r="F1225" t="s">
        <v>3040</v>
      </c>
      <c r="G1225" s="45" t="s">
        <v>3526</v>
      </c>
      <c r="H1225" s="43">
        <v>2174</v>
      </c>
      <c r="I1225" s="324" t="s">
        <v>44</v>
      </c>
      <c r="J1225" s="255" t="str">
        <f>IF(ISBLANK(INDEX('Policy Characteristics'!D:D,MATCH($C1225,'Policy Characteristics'!$C:$C,0))),"",INDEX('Policy Characteristics'!D:D,MATCH($C1225,'Policy Characteristics'!$C:$C,0)))</f>
        <v>Hydrogen Combustion</v>
      </c>
      <c r="K1225" s="254" t="str">
        <f>IF(ISBLANK(INDEX('Policy Characteristics'!E:E,MATCH($C1225,'Policy Characteristics'!$C:$C,0))),"",INDEX('Policy Characteristics'!E:E,MATCH($C1225,'Policy Characteristics'!$C:$C,0)))</f>
        <v>indst shift to hydrogen</v>
      </c>
      <c r="L1225" s="261">
        <f>IF(ISBLANK(INDEX('Policy Characteristics'!F:F,MATCH($C1225,'Policy Characteristics'!$C:$C,0))),"",INDEX('Policy Characteristics'!F:F,MATCH($C1225,'Policy Characteristics'!$C:$C,0)))</f>
        <v>0</v>
      </c>
      <c r="M1225" s="261">
        <f>IF(ISBLANK(INDEX('Policy Characteristics'!G:G,MATCH($C1225,'Policy Characteristics'!$C:$C,0))),"",INDEX('Policy Characteristics'!G:G,MATCH($C1225,'Policy Characteristics'!$C:$C,0)))</f>
        <v>1</v>
      </c>
      <c r="N1225" s="261">
        <f>IF(ISBLANK(INDEX('Policy Characteristics'!H:H,MATCH($C1225,'Policy Characteristics'!$C:$C,0))),"",INDEX('Policy Characteristics'!H:H,MATCH($C1225,'Policy Characteristics'!$C:$C,0)))</f>
        <v>0.01</v>
      </c>
      <c r="O1225" s="254" t="str">
        <f>IF(ISBLANK(INDEX('Policy Characteristics'!I:I,MATCH($C1225,'Policy Characteristics'!$C:$C,0))),"",INDEX('Policy Characteristics'!I:I,MATCH($C1225,'Policy Characteristics'!$C:$C,0)))</f>
        <v>% of fuel shifted</v>
      </c>
      <c r="P1225" s="254"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4" t="str">
        <f>IF(ISBLANK(INDEX('Policy Characteristics'!K:K,MATCH($C1225,'Policy Characteristics'!$C:$C,0))),"",INDEX('Policy Characteristics'!K:K,MATCH($C1225,'Policy Characteristics'!$C:$C,0)))</f>
        <v>industry-ag-main.html#fuel-switching</v>
      </c>
      <c r="R1225" s="254" t="str">
        <f>IF(ISBLANK(INDEX('Policy Characteristics'!L:L,MATCH($C1225,'Policy Characteristics'!$C:$C,0))),"",INDEX('Policy Characteristics'!L:L,MATCH($C1225,'Policy Characteristics'!$C:$C,0)))</f>
        <v>industry-elec-and-hydrogen.html</v>
      </c>
    </row>
    <row r="1226" spans="1:18" s="2" customFormat="1" x14ac:dyDescent="0.3">
      <c r="A1226" s="254" t="str">
        <f>IF(ISBLANK(INDEX('Policy Characteristics'!A:A,MATCH($C1226,'Policy Characteristics'!$C:$C,0))),"",INDEX('Policy Characteristics'!A:A,MATCH($C1226,'Policy Characteristics'!$C:$C,0)))</f>
        <v>Industry</v>
      </c>
      <c r="B1226" s="262" t="str">
        <f>IF(ISBLANK(INDEX('Policy Characteristics'!B:B,MATCH($C1226,'Policy Characteristics'!$C:$C,0))),"",INDEX('Policy Characteristics'!B:B,MATCH($C1226,'Policy Characteristics'!$C:$C,0)))</f>
        <v>Hydrogen Combustion</v>
      </c>
      <c r="C1226" s="254" t="str">
        <f t="shared" si="46"/>
        <v>Fraction of Eligible Industrial Energy Use Shifted to Hydrogen</v>
      </c>
      <c r="D1226" s="6" t="s">
        <v>3078</v>
      </c>
      <c r="E1226" s="1" t="s">
        <v>3520</v>
      </c>
      <c r="F1226" t="s">
        <v>3040</v>
      </c>
      <c r="G1226" s="45" t="s">
        <v>3527</v>
      </c>
      <c r="H1226" s="43">
        <v>2175</v>
      </c>
      <c r="I1226" s="324" t="s">
        <v>44</v>
      </c>
      <c r="J1226" s="255" t="str">
        <f>IF(ISBLANK(INDEX('Policy Characteristics'!D:D,MATCH($C1226,'Policy Characteristics'!$C:$C,0))),"",INDEX('Policy Characteristics'!D:D,MATCH($C1226,'Policy Characteristics'!$C:$C,0)))</f>
        <v>Hydrogen Combustion</v>
      </c>
      <c r="K1226" s="254" t="str">
        <f>IF(ISBLANK(INDEX('Policy Characteristics'!E:E,MATCH($C1226,'Policy Characteristics'!$C:$C,0))),"",INDEX('Policy Characteristics'!E:E,MATCH($C1226,'Policy Characteristics'!$C:$C,0)))</f>
        <v>indst shift to hydrogen</v>
      </c>
      <c r="L1226" s="261">
        <f>IF(ISBLANK(INDEX('Policy Characteristics'!F:F,MATCH($C1226,'Policy Characteristics'!$C:$C,0))),"",INDEX('Policy Characteristics'!F:F,MATCH($C1226,'Policy Characteristics'!$C:$C,0)))</f>
        <v>0</v>
      </c>
      <c r="M1226" s="261">
        <f>IF(ISBLANK(INDEX('Policy Characteristics'!G:G,MATCH($C1226,'Policy Characteristics'!$C:$C,0))),"",INDEX('Policy Characteristics'!G:G,MATCH($C1226,'Policy Characteristics'!$C:$C,0)))</f>
        <v>1</v>
      </c>
      <c r="N1226" s="261">
        <f>IF(ISBLANK(INDEX('Policy Characteristics'!H:H,MATCH($C1226,'Policy Characteristics'!$C:$C,0))),"",INDEX('Policy Characteristics'!H:H,MATCH($C1226,'Policy Characteristics'!$C:$C,0)))</f>
        <v>0.01</v>
      </c>
      <c r="O1226" s="254" t="str">
        <f>IF(ISBLANK(INDEX('Policy Characteristics'!I:I,MATCH($C1226,'Policy Characteristics'!$C:$C,0))),"",INDEX('Policy Characteristics'!I:I,MATCH($C1226,'Policy Characteristics'!$C:$C,0)))</f>
        <v>% of fuel shifted</v>
      </c>
      <c r="P1226" s="254"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4" t="str">
        <f>IF(ISBLANK(INDEX('Policy Characteristics'!K:K,MATCH($C1226,'Policy Characteristics'!$C:$C,0))),"",INDEX('Policy Characteristics'!K:K,MATCH($C1226,'Policy Characteristics'!$C:$C,0)))</f>
        <v>industry-ag-main.html#fuel-switching</v>
      </c>
      <c r="R1226" s="254" t="str">
        <f>IF(ISBLANK(INDEX('Policy Characteristics'!L:L,MATCH($C1226,'Policy Characteristics'!$C:$C,0))),"",INDEX('Policy Characteristics'!L:L,MATCH($C1226,'Policy Characteristics'!$C:$C,0)))</f>
        <v>industry-elec-and-hydrogen.html</v>
      </c>
    </row>
    <row r="1227" spans="1:18" s="2" customFormat="1" x14ac:dyDescent="0.3">
      <c r="A1227" s="254" t="str">
        <f>IF(ISBLANK(INDEX('Policy Characteristics'!A:A,MATCH($C1227,'Policy Characteristics'!$C:$C,0))),"",INDEX('Policy Characteristics'!A:A,MATCH($C1227,'Policy Characteristics'!$C:$C,0)))</f>
        <v>Industry</v>
      </c>
      <c r="B1227" s="262" t="str">
        <f>IF(ISBLANK(INDEX('Policy Characteristics'!B:B,MATCH($C1227,'Policy Characteristics'!$C:$C,0))),"",INDEX('Policy Characteristics'!B:B,MATCH($C1227,'Policy Characteristics'!$C:$C,0)))</f>
        <v>Hydrogen Combustion</v>
      </c>
      <c r="C1227" s="254" t="str">
        <f t="shared" si="46"/>
        <v>Fraction of Eligible Industrial Energy Use Shifted to Hydrogen</v>
      </c>
      <c r="D1227" s="6" t="s">
        <v>3078</v>
      </c>
      <c r="E1227" s="1" t="s">
        <v>3521</v>
      </c>
      <c r="F1227" t="s">
        <v>3040</v>
      </c>
      <c r="G1227" s="45" t="s">
        <v>3528</v>
      </c>
      <c r="H1227" s="43">
        <v>2176</v>
      </c>
      <c r="I1227" s="324" t="s">
        <v>44</v>
      </c>
      <c r="J1227" s="255" t="str">
        <f>IF(ISBLANK(INDEX('Policy Characteristics'!D:D,MATCH($C1227,'Policy Characteristics'!$C:$C,0))),"",INDEX('Policy Characteristics'!D:D,MATCH($C1227,'Policy Characteristics'!$C:$C,0)))</f>
        <v>Hydrogen Combustion</v>
      </c>
      <c r="K1227" s="254" t="str">
        <f>IF(ISBLANK(INDEX('Policy Characteristics'!E:E,MATCH($C1227,'Policy Characteristics'!$C:$C,0))),"",INDEX('Policy Characteristics'!E:E,MATCH($C1227,'Policy Characteristics'!$C:$C,0)))</f>
        <v>indst shift to hydrogen</v>
      </c>
      <c r="L1227" s="261">
        <f>IF(ISBLANK(INDEX('Policy Characteristics'!F:F,MATCH($C1227,'Policy Characteristics'!$C:$C,0))),"",INDEX('Policy Characteristics'!F:F,MATCH($C1227,'Policy Characteristics'!$C:$C,0)))</f>
        <v>0</v>
      </c>
      <c r="M1227" s="261">
        <f>IF(ISBLANK(INDEX('Policy Characteristics'!G:G,MATCH($C1227,'Policy Characteristics'!$C:$C,0))),"",INDEX('Policy Characteristics'!G:G,MATCH($C1227,'Policy Characteristics'!$C:$C,0)))</f>
        <v>1</v>
      </c>
      <c r="N1227" s="261">
        <f>IF(ISBLANK(INDEX('Policy Characteristics'!H:H,MATCH($C1227,'Policy Characteristics'!$C:$C,0))),"",INDEX('Policy Characteristics'!H:H,MATCH($C1227,'Policy Characteristics'!$C:$C,0)))</f>
        <v>0.01</v>
      </c>
      <c r="O1227" s="254" t="str">
        <f>IF(ISBLANK(INDEX('Policy Characteristics'!I:I,MATCH($C1227,'Policy Characteristics'!$C:$C,0))),"",INDEX('Policy Characteristics'!I:I,MATCH($C1227,'Policy Characteristics'!$C:$C,0)))</f>
        <v>% of fuel shifted</v>
      </c>
      <c r="P1227" s="254"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4" t="str">
        <f>IF(ISBLANK(INDEX('Policy Characteristics'!K:K,MATCH($C1227,'Policy Characteristics'!$C:$C,0))),"",INDEX('Policy Characteristics'!K:K,MATCH($C1227,'Policy Characteristics'!$C:$C,0)))</f>
        <v>industry-ag-main.html#fuel-switching</v>
      </c>
      <c r="R1227" s="254" t="str">
        <f>IF(ISBLANK(INDEX('Policy Characteristics'!L:L,MATCH($C1227,'Policy Characteristics'!$C:$C,0))),"",INDEX('Policy Characteristics'!L:L,MATCH($C1227,'Policy Characteristics'!$C:$C,0)))</f>
        <v>industry-elec-and-hydrogen.html</v>
      </c>
    </row>
    <row r="1228" spans="1:18" s="2" customFormat="1" x14ac:dyDescent="0.3">
      <c r="A1228" s="254" t="str">
        <f>IF(ISBLANK(INDEX('Policy Characteristics'!A:A,MATCH($C1228,'Policy Characteristics'!$C:$C,0))),"",INDEX('Policy Characteristics'!A:A,MATCH($C1228,'Policy Characteristics'!$C:$C,0)))</f>
        <v>Industry</v>
      </c>
      <c r="B1228" s="262" t="str">
        <f>IF(ISBLANK(INDEX('Policy Characteristics'!B:B,MATCH($C1228,'Policy Characteristics'!$C:$C,0))),"",INDEX('Policy Characteristics'!B:B,MATCH($C1228,'Policy Characteristics'!$C:$C,0)))</f>
        <v>Hydrogen Combustion</v>
      </c>
      <c r="C1228" s="254" t="str">
        <f t="shared" si="46"/>
        <v>Fraction of Eligible Industrial Energy Use Shifted to Hydrogen</v>
      </c>
      <c r="D1228" s="6" t="s">
        <v>3078</v>
      </c>
      <c r="E1228" s="1" t="s">
        <v>3671</v>
      </c>
      <c r="F1228" t="s">
        <v>3040</v>
      </c>
      <c r="G1228" s="45" t="s">
        <v>3671</v>
      </c>
      <c r="H1228" s="43">
        <v>2177</v>
      </c>
      <c r="I1228" s="324" t="s">
        <v>44</v>
      </c>
      <c r="J1228" s="255" t="str">
        <f>IF(ISBLANK(INDEX('Policy Characteristics'!D:D,MATCH($C1228,'Policy Characteristics'!$C:$C,0))),"",INDEX('Policy Characteristics'!D:D,MATCH($C1228,'Policy Characteristics'!$C:$C,0)))</f>
        <v>Hydrogen Combustion</v>
      </c>
      <c r="K1228" s="254" t="str">
        <f>IF(ISBLANK(INDEX('Policy Characteristics'!E:E,MATCH($C1228,'Policy Characteristics'!$C:$C,0))),"",INDEX('Policy Characteristics'!E:E,MATCH($C1228,'Policy Characteristics'!$C:$C,0)))</f>
        <v>indst shift to hydrogen</v>
      </c>
      <c r="L1228" s="261">
        <f>IF(ISBLANK(INDEX('Policy Characteristics'!F:F,MATCH($C1228,'Policy Characteristics'!$C:$C,0))),"",INDEX('Policy Characteristics'!F:F,MATCH($C1228,'Policy Characteristics'!$C:$C,0)))</f>
        <v>0</v>
      </c>
      <c r="M1228" s="261">
        <f>IF(ISBLANK(INDEX('Policy Characteristics'!G:G,MATCH($C1228,'Policy Characteristics'!$C:$C,0))),"",INDEX('Policy Characteristics'!G:G,MATCH($C1228,'Policy Characteristics'!$C:$C,0)))</f>
        <v>1</v>
      </c>
      <c r="N1228" s="261">
        <f>IF(ISBLANK(INDEX('Policy Characteristics'!H:H,MATCH($C1228,'Policy Characteristics'!$C:$C,0))),"",INDEX('Policy Characteristics'!H:H,MATCH($C1228,'Policy Characteristics'!$C:$C,0)))</f>
        <v>0.01</v>
      </c>
      <c r="O1228" s="254" t="str">
        <f>IF(ISBLANK(INDEX('Policy Characteristics'!I:I,MATCH($C1228,'Policy Characteristics'!$C:$C,0))),"",INDEX('Policy Characteristics'!I:I,MATCH($C1228,'Policy Characteristics'!$C:$C,0)))</f>
        <v>% of fuel shifted</v>
      </c>
      <c r="P1228" s="254"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4" t="str">
        <f>IF(ISBLANK(INDEX('Policy Characteristics'!K:K,MATCH($C1228,'Policy Characteristics'!$C:$C,0))),"",INDEX('Policy Characteristics'!K:K,MATCH($C1228,'Policy Characteristics'!$C:$C,0)))</f>
        <v>industry-ag-main.html#fuel-switching</v>
      </c>
      <c r="R1228" s="254" t="str">
        <f>IF(ISBLANK(INDEX('Policy Characteristics'!L:L,MATCH($C1228,'Policy Characteristics'!$C:$C,0))),"",INDEX('Policy Characteristics'!L:L,MATCH($C1228,'Policy Characteristics'!$C:$C,0)))</f>
        <v>industry-elec-and-hydrogen.html</v>
      </c>
    </row>
    <row r="1229" spans="1:18" s="2" customFormat="1" x14ac:dyDescent="0.3">
      <c r="A1229" s="254" t="str">
        <f>IF(ISBLANK(INDEX('Policy Characteristics'!A:A,MATCH($C1229,'Policy Characteristics'!$C:$C,0))),"",INDEX('Policy Characteristics'!A:A,MATCH($C1229,'Policy Characteristics'!$C:$C,0)))</f>
        <v>Industry</v>
      </c>
      <c r="B1229" s="262" t="str">
        <f>IF(ISBLANK(INDEX('Policy Characteristics'!B:B,MATCH($C1229,'Policy Characteristics'!$C:$C,0))),"",INDEX('Policy Characteristics'!B:B,MATCH($C1229,'Policy Characteristics'!$C:$C,0)))</f>
        <v>Hydrogen Combustion</v>
      </c>
      <c r="C1229" s="254" t="str">
        <f t="shared" si="46"/>
        <v>Fraction of Eligible Industrial Energy Use Shifted to Hydrogen</v>
      </c>
      <c r="D1229" s="6" t="s">
        <v>3079</v>
      </c>
      <c r="E1229" s="1" t="s">
        <v>3515</v>
      </c>
      <c r="F1229" t="s">
        <v>3041</v>
      </c>
      <c r="G1229" s="45" t="s">
        <v>3522</v>
      </c>
      <c r="H1229" s="43">
        <v>2178</v>
      </c>
      <c r="I1229" s="324" t="s">
        <v>43</v>
      </c>
      <c r="J1229" s="255" t="str">
        <f>IF(ISBLANK(INDEX('Policy Characteristics'!D:D,MATCH($C1229,'Policy Characteristics'!$C:$C,0))),"",INDEX('Policy Characteristics'!D:D,MATCH($C1229,'Policy Characteristics'!$C:$C,0)))</f>
        <v>Hydrogen Combustion</v>
      </c>
      <c r="K1229" s="254" t="str">
        <f>IF(ISBLANK(INDEX('Policy Characteristics'!E:E,MATCH($C1229,'Policy Characteristics'!$C:$C,0))),"",INDEX('Policy Characteristics'!E:E,MATCH($C1229,'Policy Characteristics'!$C:$C,0)))</f>
        <v>indst shift to hydrogen</v>
      </c>
      <c r="L1229" s="261">
        <f>IF(ISBLANK(INDEX('Policy Characteristics'!F:F,MATCH($C1229,'Policy Characteristics'!$C:$C,0))),"",INDEX('Policy Characteristics'!F:F,MATCH($C1229,'Policy Characteristics'!$C:$C,0)))</f>
        <v>0</v>
      </c>
      <c r="M1229" s="261">
        <f>IF(ISBLANK(INDEX('Policy Characteristics'!G:G,MATCH($C1229,'Policy Characteristics'!$C:$C,0))),"",INDEX('Policy Characteristics'!G:G,MATCH($C1229,'Policy Characteristics'!$C:$C,0)))</f>
        <v>1</v>
      </c>
      <c r="N1229" s="261">
        <f>IF(ISBLANK(INDEX('Policy Characteristics'!H:H,MATCH($C1229,'Policy Characteristics'!$C:$C,0))),"",INDEX('Policy Characteristics'!H:H,MATCH($C1229,'Policy Characteristics'!$C:$C,0)))</f>
        <v>0.01</v>
      </c>
      <c r="O1229" s="254" t="str">
        <f>IF(ISBLANK(INDEX('Policy Characteristics'!I:I,MATCH($C1229,'Policy Characteristics'!$C:$C,0))),"",INDEX('Policy Characteristics'!I:I,MATCH($C1229,'Policy Characteristics'!$C:$C,0)))</f>
        <v>% of fuel shifted</v>
      </c>
      <c r="P1229" s="254"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4" t="str">
        <f>IF(ISBLANK(INDEX('Policy Characteristics'!K:K,MATCH($C1229,'Policy Characteristics'!$C:$C,0))),"",INDEX('Policy Characteristics'!K:K,MATCH($C1229,'Policy Characteristics'!$C:$C,0)))</f>
        <v>industry-ag-main.html#fuel-switching</v>
      </c>
      <c r="R1229" s="254" t="str">
        <f>IF(ISBLANK(INDEX('Policy Characteristics'!L:L,MATCH($C1229,'Policy Characteristics'!$C:$C,0))),"",INDEX('Policy Characteristics'!L:L,MATCH($C1229,'Policy Characteristics'!$C:$C,0)))</f>
        <v>industry-elec-and-hydrogen.html</v>
      </c>
    </row>
    <row r="1230" spans="1:18" s="2" customFormat="1" x14ac:dyDescent="0.3">
      <c r="A1230" s="254" t="str">
        <f>IF(ISBLANK(INDEX('Policy Characteristics'!A:A,MATCH($C1230,'Policy Characteristics'!$C:$C,0))),"",INDEX('Policy Characteristics'!A:A,MATCH($C1230,'Policy Characteristics'!$C:$C,0)))</f>
        <v>Industry</v>
      </c>
      <c r="B1230" s="262" t="str">
        <f>IF(ISBLANK(INDEX('Policy Characteristics'!B:B,MATCH($C1230,'Policy Characteristics'!$C:$C,0))),"",INDEX('Policy Characteristics'!B:B,MATCH($C1230,'Policy Characteristics'!$C:$C,0)))</f>
        <v>Hydrogen Combustion</v>
      </c>
      <c r="C1230" s="254" t="str">
        <f t="shared" si="46"/>
        <v>Fraction of Eligible Industrial Energy Use Shifted to Hydrogen</v>
      </c>
      <c r="D1230" s="6" t="s">
        <v>3079</v>
      </c>
      <c r="E1230" s="1" t="s">
        <v>3516</v>
      </c>
      <c r="F1230" t="s">
        <v>3041</v>
      </c>
      <c r="G1230" s="45" t="s">
        <v>3523</v>
      </c>
      <c r="H1230" s="43">
        <v>2179</v>
      </c>
      <c r="I1230" s="324" t="s">
        <v>43</v>
      </c>
      <c r="J1230" s="255" t="str">
        <f>IF(ISBLANK(INDEX('Policy Characteristics'!D:D,MATCH($C1230,'Policy Characteristics'!$C:$C,0))),"",INDEX('Policy Characteristics'!D:D,MATCH($C1230,'Policy Characteristics'!$C:$C,0)))</f>
        <v>Hydrogen Combustion</v>
      </c>
      <c r="K1230" s="254" t="str">
        <f>IF(ISBLANK(INDEX('Policy Characteristics'!E:E,MATCH($C1230,'Policy Characteristics'!$C:$C,0))),"",INDEX('Policy Characteristics'!E:E,MATCH($C1230,'Policy Characteristics'!$C:$C,0)))</f>
        <v>indst shift to hydrogen</v>
      </c>
      <c r="L1230" s="261">
        <f>IF(ISBLANK(INDEX('Policy Characteristics'!F:F,MATCH($C1230,'Policy Characteristics'!$C:$C,0))),"",INDEX('Policy Characteristics'!F:F,MATCH($C1230,'Policy Characteristics'!$C:$C,0)))</f>
        <v>0</v>
      </c>
      <c r="M1230" s="261">
        <f>IF(ISBLANK(INDEX('Policy Characteristics'!G:G,MATCH($C1230,'Policy Characteristics'!$C:$C,0))),"",INDEX('Policy Characteristics'!G:G,MATCH($C1230,'Policy Characteristics'!$C:$C,0)))</f>
        <v>1</v>
      </c>
      <c r="N1230" s="261">
        <f>IF(ISBLANK(INDEX('Policy Characteristics'!H:H,MATCH($C1230,'Policy Characteristics'!$C:$C,0))),"",INDEX('Policy Characteristics'!H:H,MATCH($C1230,'Policy Characteristics'!$C:$C,0)))</f>
        <v>0.01</v>
      </c>
      <c r="O1230" s="254" t="str">
        <f>IF(ISBLANK(INDEX('Policy Characteristics'!I:I,MATCH($C1230,'Policy Characteristics'!$C:$C,0))),"",INDEX('Policy Characteristics'!I:I,MATCH($C1230,'Policy Characteristics'!$C:$C,0)))</f>
        <v>% of fuel shifted</v>
      </c>
      <c r="P1230" s="254"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4" t="str">
        <f>IF(ISBLANK(INDEX('Policy Characteristics'!K:K,MATCH($C1230,'Policy Characteristics'!$C:$C,0))),"",INDEX('Policy Characteristics'!K:K,MATCH($C1230,'Policy Characteristics'!$C:$C,0)))</f>
        <v>industry-ag-main.html#fuel-switching</v>
      </c>
      <c r="R1230" s="254" t="str">
        <f>IF(ISBLANK(INDEX('Policy Characteristics'!L:L,MATCH($C1230,'Policy Characteristics'!$C:$C,0))),"",INDEX('Policy Characteristics'!L:L,MATCH($C1230,'Policy Characteristics'!$C:$C,0)))</f>
        <v>industry-elec-and-hydrogen.html</v>
      </c>
    </row>
    <row r="1231" spans="1:18" s="2" customFormat="1" x14ac:dyDescent="0.3">
      <c r="A1231" s="254" t="str">
        <f>IF(ISBLANK(INDEX('Policy Characteristics'!A:A,MATCH($C1231,'Policy Characteristics'!$C:$C,0))),"",INDEX('Policy Characteristics'!A:A,MATCH($C1231,'Policy Characteristics'!$C:$C,0)))</f>
        <v>Industry</v>
      </c>
      <c r="B1231" s="262" t="str">
        <f>IF(ISBLANK(INDEX('Policy Characteristics'!B:B,MATCH($C1231,'Policy Characteristics'!$C:$C,0))),"",INDEX('Policy Characteristics'!B:B,MATCH($C1231,'Policy Characteristics'!$C:$C,0)))</f>
        <v>Hydrogen Combustion</v>
      </c>
      <c r="C1231" s="254" t="str">
        <f t="shared" si="46"/>
        <v>Fraction of Eligible Industrial Energy Use Shifted to Hydrogen</v>
      </c>
      <c r="D1231" s="6" t="s">
        <v>3079</v>
      </c>
      <c r="E1231" s="1" t="s">
        <v>3517</v>
      </c>
      <c r="F1231" t="s">
        <v>3041</v>
      </c>
      <c r="G1231" s="45" t="s">
        <v>3524</v>
      </c>
      <c r="H1231" s="43">
        <v>2180</v>
      </c>
      <c r="I1231" s="324" t="s">
        <v>43</v>
      </c>
      <c r="J1231" s="255" t="str">
        <f>IF(ISBLANK(INDEX('Policy Characteristics'!D:D,MATCH($C1231,'Policy Characteristics'!$C:$C,0))),"",INDEX('Policy Characteristics'!D:D,MATCH($C1231,'Policy Characteristics'!$C:$C,0)))</f>
        <v>Hydrogen Combustion</v>
      </c>
      <c r="K1231" s="254" t="str">
        <f>IF(ISBLANK(INDEX('Policy Characteristics'!E:E,MATCH($C1231,'Policy Characteristics'!$C:$C,0))),"",INDEX('Policy Characteristics'!E:E,MATCH($C1231,'Policy Characteristics'!$C:$C,0)))</f>
        <v>indst shift to hydrogen</v>
      </c>
      <c r="L1231" s="261">
        <f>IF(ISBLANK(INDEX('Policy Characteristics'!F:F,MATCH($C1231,'Policy Characteristics'!$C:$C,0))),"",INDEX('Policy Characteristics'!F:F,MATCH($C1231,'Policy Characteristics'!$C:$C,0)))</f>
        <v>0</v>
      </c>
      <c r="M1231" s="261">
        <f>IF(ISBLANK(INDEX('Policy Characteristics'!G:G,MATCH($C1231,'Policy Characteristics'!$C:$C,0))),"",INDEX('Policy Characteristics'!G:G,MATCH($C1231,'Policy Characteristics'!$C:$C,0)))</f>
        <v>1</v>
      </c>
      <c r="N1231" s="261">
        <f>IF(ISBLANK(INDEX('Policy Characteristics'!H:H,MATCH($C1231,'Policy Characteristics'!$C:$C,0))),"",INDEX('Policy Characteristics'!H:H,MATCH($C1231,'Policy Characteristics'!$C:$C,0)))</f>
        <v>0.01</v>
      </c>
      <c r="O1231" s="254" t="str">
        <f>IF(ISBLANK(INDEX('Policy Characteristics'!I:I,MATCH($C1231,'Policy Characteristics'!$C:$C,0))),"",INDEX('Policy Characteristics'!I:I,MATCH($C1231,'Policy Characteristics'!$C:$C,0)))</f>
        <v>% of fuel shifted</v>
      </c>
      <c r="P1231" s="254"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4" t="str">
        <f>IF(ISBLANK(INDEX('Policy Characteristics'!K:K,MATCH($C1231,'Policy Characteristics'!$C:$C,0))),"",INDEX('Policy Characteristics'!K:K,MATCH($C1231,'Policy Characteristics'!$C:$C,0)))</f>
        <v>industry-ag-main.html#fuel-switching</v>
      </c>
      <c r="R1231" s="254" t="str">
        <f>IF(ISBLANK(INDEX('Policy Characteristics'!L:L,MATCH($C1231,'Policy Characteristics'!$C:$C,0))),"",INDEX('Policy Characteristics'!L:L,MATCH($C1231,'Policy Characteristics'!$C:$C,0)))</f>
        <v>industry-elec-and-hydrogen.html</v>
      </c>
    </row>
    <row r="1232" spans="1:18" s="2" customFormat="1" x14ac:dyDescent="0.3">
      <c r="A1232" s="254" t="str">
        <f>IF(ISBLANK(INDEX('Policy Characteristics'!A:A,MATCH($C1232,'Policy Characteristics'!$C:$C,0))),"",INDEX('Policy Characteristics'!A:A,MATCH($C1232,'Policy Characteristics'!$C:$C,0)))</f>
        <v>Industry</v>
      </c>
      <c r="B1232" s="262" t="str">
        <f>IF(ISBLANK(INDEX('Policy Characteristics'!B:B,MATCH($C1232,'Policy Characteristics'!$C:$C,0))),"",INDEX('Policy Characteristics'!B:B,MATCH($C1232,'Policy Characteristics'!$C:$C,0)))</f>
        <v>Hydrogen Combustion</v>
      </c>
      <c r="C1232" s="254" t="str">
        <f t="shared" si="46"/>
        <v>Fraction of Eligible Industrial Energy Use Shifted to Hydrogen</v>
      </c>
      <c r="D1232" s="6" t="s">
        <v>3079</v>
      </c>
      <c r="E1232" s="1" t="s">
        <v>3518</v>
      </c>
      <c r="F1232" t="s">
        <v>3041</v>
      </c>
      <c r="G1232" s="45" t="s">
        <v>3525</v>
      </c>
      <c r="H1232" s="43">
        <v>2181</v>
      </c>
      <c r="I1232" s="324" t="s">
        <v>43</v>
      </c>
      <c r="J1232" s="255" t="str">
        <f>IF(ISBLANK(INDEX('Policy Characteristics'!D:D,MATCH($C1232,'Policy Characteristics'!$C:$C,0))),"",INDEX('Policy Characteristics'!D:D,MATCH($C1232,'Policy Characteristics'!$C:$C,0)))</f>
        <v>Hydrogen Combustion</v>
      </c>
      <c r="K1232" s="254" t="str">
        <f>IF(ISBLANK(INDEX('Policy Characteristics'!E:E,MATCH($C1232,'Policy Characteristics'!$C:$C,0))),"",INDEX('Policy Characteristics'!E:E,MATCH($C1232,'Policy Characteristics'!$C:$C,0)))</f>
        <v>indst shift to hydrogen</v>
      </c>
      <c r="L1232" s="261">
        <f>IF(ISBLANK(INDEX('Policy Characteristics'!F:F,MATCH($C1232,'Policy Characteristics'!$C:$C,0))),"",INDEX('Policy Characteristics'!F:F,MATCH($C1232,'Policy Characteristics'!$C:$C,0)))</f>
        <v>0</v>
      </c>
      <c r="M1232" s="261">
        <f>IF(ISBLANK(INDEX('Policy Characteristics'!G:G,MATCH($C1232,'Policy Characteristics'!$C:$C,0))),"",INDEX('Policy Characteristics'!G:G,MATCH($C1232,'Policy Characteristics'!$C:$C,0)))</f>
        <v>1</v>
      </c>
      <c r="N1232" s="261">
        <f>IF(ISBLANK(INDEX('Policy Characteristics'!H:H,MATCH($C1232,'Policy Characteristics'!$C:$C,0))),"",INDEX('Policy Characteristics'!H:H,MATCH($C1232,'Policy Characteristics'!$C:$C,0)))</f>
        <v>0.01</v>
      </c>
      <c r="O1232" s="254" t="str">
        <f>IF(ISBLANK(INDEX('Policy Characteristics'!I:I,MATCH($C1232,'Policy Characteristics'!$C:$C,0))),"",INDEX('Policy Characteristics'!I:I,MATCH($C1232,'Policy Characteristics'!$C:$C,0)))</f>
        <v>% of fuel shifted</v>
      </c>
      <c r="P1232" s="254"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4" t="str">
        <f>IF(ISBLANK(INDEX('Policy Characteristics'!K:K,MATCH($C1232,'Policy Characteristics'!$C:$C,0))),"",INDEX('Policy Characteristics'!K:K,MATCH($C1232,'Policy Characteristics'!$C:$C,0)))</f>
        <v>industry-ag-main.html#fuel-switching</v>
      </c>
      <c r="R1232" s="254" t="str">
        <f>IF(ISBLANK(INDEX('Policy Characteristics'!L:L,MATCH($C1232,'Policy Characteristics'!$C:$C,0))),"",INDEX('Policy Characteristics'!L:L,MATCH($C1232,'Policy Characteristics'!$C:$C,0)))</f>
        <v>industry-elec-and-hydrogen.html</v>
      </c>
    </row>
    <row r="1233" spans="1:18" s="2" customFormat="1" x14ac:dyDescent="0.3">
      <c r="A1233" s="254" t="str">
        <f>IF(ISBLANK(INDEX('Policy Characteristics'!A:A,MATCH($C1233,'Policy Characteristics'!$C:$C,0))),"",INDEX('Policy Characteristics'!A:A,MATCH($C1233,'Policy Characteristics'!$C:$C,0)))</f>
        <v>Industry</v>
      </c>
      <c r="B1233" s="262" t="str">
        <f>IF(ISBLANK(INDEX('Policy Characteristics'!B:B,MATCH($C1233,'Policy Characteristics'!$C:$C,0))),"",INDEX('Policy Characteristics'!B:B,MATCH($C1233,'Policy Characteristics'!$C:$C,0)))</f>
        <v>Hydrogen Combustion</v>
      </c>
      <c r="C1233" s="254" t="str">
        <f t="shared" si="46"/>
        <v>Fraction of Eligible Industrial Energy Use Shifted to Hydrogen</v>
      </c>
      <c r="D1233" s="6" t="s">
        <v>3079</v>
      </c>
      <c r="E1233" s="1" t="s">
        <v>3519</v>
      </c>
      <c r="F1233" t="s">
        <v>3041</v>
      </c>
      <c r="G1233" s="45" t="s">
        <v>3526</v>
      </c>
      <c r="H1233" s="43">
        <v>2182</v>
      </c>
      <c r="I1233" s="324" t="s">
        <v>44</v>
      </c>
      <c r="J1233" s="255" t="str">
        <f>IF(ISBLANK(INDEX('Policy Characteristics'!D:D,MATCH($C1233,'Policy Characteristics'!$C:$C,0))),"",INDEX('Policy Characteristics'!D:D,MATCH($C1233,'Policy Characteristics'!$C:$C,0)))</f>
        <v>Hydrogen Combustion</v>
      </c>
      <c r="K1233" s="254" t="str">
        <f>IF(ISBLANK(INDEX('Policy Characteristics'!E:E,MATCH($C1233,'Policy Characteristics'!$C:$C,0))),"",INDEX('Policy Characteristics'!E:E,MATCH($C1233,'Policy Characteristics'!$C:$C,0)))</f>
        <v>indst shift to hydrogen</v>
      </c>
      <c r="L1233" s="261">
        <f>IF(ISBLANK(INDEX('Policy Characteristics'!F:F,MATCH($C1233,'Policy Characteristics'!$C:$C,0))),"",INDEX('Policy Characteristics'!F:F,MATCH($C1233,'Policy Characteristics'!$C:$C,0)))</f>
        <v>0</v>
      </c>
      <c r="M1233" s="261">
        <f>IF(ISBLANK(INDEX('Policy Characteristics'!G:G,MATCH($C1233,'Policy Characteristics'!$C:$C,0))),"",INDEX('Policy Characteristics'!G:G,MATCH($C1233,'Policy Characteristics'!$C:$C,0)))</f>
        <v>1</v>
      </c>
      <c r="N1233" s="261">
        <f>IF(ISBLANK(INDEX('Policy Characteristics'!H:H,MATCH($C1233,'Policy Characteristics'!$C:$C,0))),"",INDEX('Policy Characteristics'!H:H,MATCH($C1233,'Policy Characteristics'!$C:$C,0)))</f>
        <v>0.01</v>
      </c>
      <c r="O1233" s="254" t="str">
        <f>IF(ISBLANK(INDEX('Policy Characteristics'!I:I,MATCH($C1233,'Policy Characteristics'!$C:$C,0))),"",INDEX('Policy Characteristics'!I:I,MATCH($C1233,'Policy Characteristics'!$C:$C,0)))</f>
        <v>% of fuel shifted</v>
      </c>
      <c r="P1233" s="254"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4" t="str">
        <f>IF(ISBLANK(INDEX('Policy Characteristics'!K:K,MATCH($C1233,'Policy Characteristics'!$C:$C,0))),"",INDEX('Policy Characteristics'!K:K,MATCH($C1233,'Policy Characteristics'!$C:$C,0)))</f>
        <v>industry-ag-main.html#fuel-switching</v>
      </c>
      <c r="R1233" s="254" t="str">
        <f>IF(ISBLANK(INDEX('Policy Characteristics'!L:L,MATCH($C1233,'Policy Characteristics'!$C:$C,0))),"",INDEX('Policy Characteristics'!L:L,MATCH($C1233,'Policy Characteristics'!$C:$C,0)))</f>
        <v>industry-elec-and-hydrogen.html</v>
      </c>
    </row>
    <row r="1234" spans="1:18" s="2" customFormat="1" x14ac:dyDescent="0.3">
      <c r="A1234" s="254" t="str">
        <f>IF(ISBLANK(INDEX('Policy Characteristics'!A:A,MATCH($C1234,'Policy Characteristics'!$C:$C,0))),"",INDEX('Policy Characteristics'!A:A,MATCH($C1234,'Policy Characteristics'!$C:$C,0)))</f>
        <v>Industry</v>
      </c>
      <c r="B1234" s="262" t="str">
        <f>IF(ISBLANK(INDEX('Policy Characteristics'!B:B,MATCH($C1234,'Policy Characteristics'!$C:$C,0))),"",INDEX('Policy Characteristics'!B:B,MATCH($C1234,'Policy Characteristics'!$C:$C,0)))</f>
        <v>Hydrogen Combustion</v>
      </c>
      <c r="C1234" s="254" t="str">
        <f t="shared" si="46"/>
        <v>Fraction of Eligible Industrial Energy Use Shifted to Hydrogen</v>
      </c>
      <c r="D1234" s="6" t="s">
        <v>3079</v>
      </c>
      <c r="E1234" s="1" t="s">
        <v>3520</v>
      </c>
      <c r="F1234" t="s">
        <v>3041</v>
      </c>
      <c r="G1234" s="45" t="s">
        <v>3527</v>
      </c>
      <c r="H1234" s="43">
        <v>2183</v>
      </c>
      <c r="I1234" s="324" t="s">
        <v>43</v>
      </c>
      <c r="J1234" s="255" t="str">
        <f>IF(ISBLANK(INDEX('Policy Characteristics'!D:D,MATCH($C1234,'Policy Characteristics'!$C:$C,0))),"",INDEX('Policy Characteristics'!D:D,MATCH($C1234,'Policy Characteristics'!$C:$C,0)))</f>
        <v>Hydrogen Combustion</v>
      </c>
      <c r="K1234" s="254" t="str">
        <f>IF(ISBLANK(INDEX('Policy Characteristics'!E:E,MATCH($C1234,'Policy Characteristics'!$C:$C,0))),"",INDEX('Policy Characteristics'!E:E,MATCH($C1234,'Policy Characteristics'!$C:$C,0)))</f>
        <v>indst shift to hydrogen</v>
      </c>
      <c r="L1234" s="261">
        <f>IF(ISBLANK(INDEX('Policy Characteristics'!F:F,MATCH($C1234,'Policy Characteristics'!$C:$C,0))),"",INDEX('Policy Characteristics'!F:F,MATCH($C1234,'Policy Characteristics'!$C:$C,0)))</f>
        <v>0</v>
      </c>
      <c r="M1234" s="261">
        <f>IF(ISBLANK(INDEX('Policy Characteristics'!G:G,MATCH($C1234,'Policy Characteristics'!$C:$C,0))),"",INDEX('Policy Characteristics'!G:G,MATCH($C1234,'Policy Characteristics'!$C:$C,0)))</f>
        <v>1</v>
      </c>
      <c r="N1234" s="261">
        <f>IF(ISBLANK(INDEX('Policy Characteristics'!H:H,MATCH($C1234,'Policy Characteristics'!$C:$C,0))),"",INDEX('Policy Characteristics'!H:H,MATCH($C1234,'Policy Characteristics'!$C:$C,0)))</f>
        <v>0.01</v>
      </c>
      <c r="O1234" s="254" t="str">
        <f>IF(ISBLANK(INDEX('Policy Characteristics'!I:I,MATCH($C1234,'Policy Characteristics'!$C:$C,0))),"",INDEX('Policy Characteristics'!I:I,MATCH($C1234,'Policy Characteristics'!$C:$C,0)))</f>
        <v>% of fuel shifted</v>
      </c>
      <c r="P1234" s="254"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4" t="str">
        <f>IF(ISBLANK(INDEX('Policy Characteristics'!K:K,MATCH($C1234,'Policy Characteristics'!$C:$C,0))),"",INDEX('Policy Characteristics'!K:K,MATCH($C1234,'Policy Characteristics'!$C:$C,0)))</f>
        <v>industry-ag-main.html#fuel-switching</v>
      </c>
      <c r="R1234" s="254" t="str">
        <f>IF(ISBLANK(INDEX('Policy Characteristics'!L:L,MATCH($C1234,'Policy Characteristics'!$C:$C,0))),"",INDEX('Policy Characteristics'!L:L,MATCH($C1234,'Policy Characteristics'!$C:$C,0)))</f>
        <v>industry-elec-and-hydrogen.html</v>
      </c>
    </row>
    <row r="1235" spans="1:18" s="2" customFormat="1" x14ac:dyDescent="0.3">
      <c r="A1235" s="254" t="str">
        <f>IF(ISBLANK(INDEX('Policy Characteristics'!A:A,MATCH($C1235,'Policy Characteristics'!$C:$C,0))),"",INDEX('Policy Characteristics'!A:A,MATCH($C1235,'Policy Characteristics'!$C:$C,0)))</f>
        <v>Industry</v>
      </c>
      <c r="B1235" s="262" t="str">
        <f>IF(ISBLANK(INDEX('Policy Characteristics'!B:B,MATCH($C1235,'Policy Characteristics'!$C:$C,0))),"",INDEX('Policy Characteristics'!B:B,MATCH($C1235,'Policy Characteristics'!$C:$C,0)))</f>
        <v>Hydrogen Combustion</v>
      </c>
      <c r="C1235" s="254" t="str">
        <f t="shared" si="46"/>
        <v>Fraction of Eligible Industrial Energy Use Shifted to Hydrogen</v>
      </c>
      <c r="D1235" s="6" t="s">
        <v>3079</v>
      </c>
      <c r="E1235" s="1" t="s">
        <v>3521</v>
      </c>
      <c r="F1235" t="s">
        <v>3041</v>
      </c>
      <c r="G1235" s="45" t="s">
        <v>3528</v>
      </c>
      <c r="H1235" s="43">
        <v>2184</v>
      </c>
      <c r="I1235" s="324" t="s">
        <v>44</v>
      </c>
      <c r="J1235" s="255" t="str">
        <f>IF(ISBLANK(INDEX('Policy Characteristics'!D:D,MATCH($C1235,'Policy Characteristics'!$C:$C,0))),"",INDEX('Policy Characteristics'!D:D,MATCH($C1235,'Policy Characteristics'!$C:$C,0)))</f>
        <v>Hydrogen Combustion</v>
      </c>
      <c r="K1235" s="254" t="str">
        <f>IF(ISBLANK(INDEX('Policy Characteristics'!E:E,MATCH($C1235,'Policy Characteristics'!$C:$C,0))),"",INDEX('Policy Characteristics'!E:E,MATCH($C1235,'Policy Characteristics'!$C:$C,0)))</f>
        <v>indst shift to hydrogen</v>
      </c>
      <c r="L1235" s="261">
        <f>IF(ISBLANK(INDEX('Policy Characteristics'!F:F,MATCH($C1235,'Policy Characteristics'!$C:$C,0))),"",INDEX('Policy Characteristics'!F:F,MATCH($C1235,'Policy Characteristics'!$C:$C,0)))</f>
        <v>0</v>
      </c>
      <c r="M1235" s="261">
        <f>IF(ISBLANK(INDEX('Policy Characteristics'!G:G,MATCH($C1235,'Policy Characteristics'!$C:$C,0))),"",INDEX('Policy Characteristics'!G:G,MATCH($C1235,'Policy Characteristics'!$C:$C,0)))</f>
        <v>1</v>
      </c>
      <c r="N1235" s="261">
        <f>IF(ISBLANK(INDEX('Policy Characteristics'!H:H,MATCH($C1235,'Policy Characteristics'!$C:$C,0))),"",INDEX('Policy Characteristics'!H:H,MATCH($C1235,'Policy Characteristics'!$C:$C,0)))</f>
        <v>0.01</v>
      </c>
      <c r="O1235" s="254" t="str">
        <f>IF(ISBLANK(INDEX('Policy Characteristics'!I:I,MATCH($C1235,'Policy Characteristics'!$C:$C,0))),"",INDEX('Policy Characteristics'!I:I,MATCH($C1235,'Policy Characteristics'!$C:$C,0)))</f>
        <v>% of fuel shifted</v>
      </c>
      <c r="P1235" s="254"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4" t="str">
        <f>IF(ISBLANK(INDEX('Policy Characteristics'!K:K,MATCH($C1235,'Policy Characteristics'!$C:$C,0))),"",INDEX('Policy Characteristics'!K:K,MATCH($C1235,'Policy Characteristics'!$C:$C,0)))</f>
        <v>industry-ag-main.html#fuel-switching</v>
      </c>
      <c r="R1235" s="254" t="str">
        <f>IF(ISBLANK(INDEX('Policy Characteristics'!L:L,MATCH($C1235,'Policy Characteristics'!$C:$C,0))),"",INDEX('Policy Characteristics'!L:L,MATCH($C1235,'Policy Characteristics'!$C:$C,0)))</f>
        <v>industry-elec-and-hydrogen.html</v>
      </c>
    </row>
    <row r="1236" spans="1:18" s="2" customFormat="1" x14ac:dyDescent="0.3">
      <c r="A1236" s="254" t="str">
        <f>IF(ISBLANK(INDEX('Policy Characteristics'!A:A,MATCH($C1236,'Policy Characteristics'!$C:$C,0))),"",INDEX('Policy Characteristics'!A:A,MATCH($C1236,'Policy Characteristics'!$C:$C,0)))</f>
        <v>Industry</v>
      </c>
      <c r="B1236" s="262" t="str">
        <f>IF(ISBLANK(INDEX('Policy Characteristics'!B:B,MATCH($C1236,'Policy Characteristics'!$C:$C,0))),"",INDEX('Policy Characteristics'!B:B,MATCH($C1236,'Policy Characteristics'!$C:$C,0)))</f>
        <v>Hydrogen Combustion</v>
      </c>
      <c r="C1236" s="254" t="str">
        <f t="shared" si="46"/>
        <v>Fraction of Eligible Industrial Energy Use Shifted to Hydrogen</v>
      </c>
      <c r="D1236" s="6" t="s">
        <v>3079</v>
      </c>
      <c r="E1236" s="1" t="s">
        <v>3671</v>
      </c>
      <c r="F1236" t="s">
        <v>3041</v>
      </c>
      <c r="G1236" s="45" t="s">
        <v>3671</v>
      </c>
      <c r="H1236" s="43">
        <v>2185</v>
      </c>
      <c r="I1236" s="324" t="s">
        <v>43</v>
      </c>
      <c r="J1236" s="255" t="str">
        <f>IF(ISBLANK(INDEX('Policy Characteristics'!D:D,MATCH($C1236,'Policy Characteristics'!$C:$C,0))),"",INDEX('Policy Characteristics'!D:D,MATCH($C1236,'Policy Characteristics'!$C:$C,0)))</f>
        <v>Hydrogen Combustion</v>
      </c>
      <c r="K1236" s="254" t="str">
        <f>IF(ISBLANK(INDEX('Policy Characteristics'!E:E,MATCH($C1236,'Policy Characteristics'!$C:$C,0))),"",INDEX('Policy Characteristics'!E:E,MATCH($C1236,'Policy Characteristics'!$C:$C,0)))</f>
        <v>indst shift to hydrogen</v>
      </c>
      <c r="L1236" s="261">
        <f>IF(ISBLANK(INDEX('Policy Characteristics'!F:F,MATCH($C1236,'Policy Characteristics'!$C:$C,0))),"",INDEX('Policy Characteristics'!F:F,MATCH($C1236,'Policy Characteristics'!$C:$C,0)))</f>
        <v>0</v>
      </c>
      <c r="M1236" s="261">
        <f>IF(ISBLANK(INDEX('Policy Characteristics'!G:G,MATCH($C1236,'Policy Characteristics'!$C:$C,0))),"",INDEX('Policy Characteristics'!G:G,MATCH($C1236,'Policy Characteristics'!$C:$C,0)))</f>
        <v>1</v>
      </c>
      <c r="N1236" s="261">
        <f>IF(ISBLANK(INDEX('Policy Characteristics'!H:H,MATCH($C1236,'Policy Characteristics'!$C:$C,0))),"",INDEX('Policy Characteristics'!H:H,MATCH($C1236,'Policy Characteristics'!$C:$C,0)))</f>
        <v>0.01</v>
      </c>
      <c r="O1236" s="254" t="str">
        <f>IF(ISBLANK(INDEX('Policy Characteristics'!I:I,MATCH($C1236,'Policy Characteristics'!$C:$C,0))),"",INDEX('Policy Characteristics'!I:I,MATCH($C1236,'Policy Characteristics'!$C:$C,0)))</f>
        <v>% of fuel shifted</v>
      </c>
      <c r="P1236" s="254"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4" t="str">
        <f>IF(ISBLANK(INDEX('Policy Characteristics'!K:K,MATCH($C1236,'Policy Characteristics'!$C:$C,0))),"",INDEX('Policy Characteristics'!K:K,MATCH($C1236,'Policy Characteristics'!$C:$C,0)))</f>
        <v>industry-ag-main.html#fuel-switching</v>
      </c>
      <c r="R1236" s="254" t="str">
        <f>IF(ISBLANK(INDEX('Policy Characteristics'!L:L,MATCH($C1236,'Policy Characteristics'!$C:$C,0))),"",INDEX('Policy Characteristics'!L:L,MATCH($C1236,'Policy Characteristics'!$C:$C,0)))</f>
        <v>industry-elec-and-hydrogen.html</v>
      </c>
    </row>
    <row r="1237" spans="1:18" s="2" customFormat="1" x14ac:dyDescent="0.3">
      <c r="A1237" s="254" t="str">
        <f>IF(ISBLANK(INDEX('Policy Characteristics'!A:A,MATCH($C1237,'Policy Characteristics'!$C:$C,0))),"",INDEX('Policy Characteristics'!A:A,MATCH($C1237,'Policy Characteristics'!$C:$C,0)))</f>
        <v>Industry</v>
      </c>
      <c r="B1237" s="262" t="str">
        <f>IF(ISBLANK(INDEX('Policy Characteristics'!B:B,MATCH($C1237,'Policy Characteristics'!$C:$C,0))),"",INDEX('Policy Characteristics'!B:B,MATCH($C1237,'Policy Characteristics'!$C:$C,0)))</f>
        <v>Hydrogen Combustion</v>
      </c>
      <c r="C1237" s="254" t="str">
        <f t="shared" si="46"/>
        <v>Fraction of Eligible Industrial Energy Use Shifted to Hydrogen</v>
      </c>
      <c r="D1237" s="6" t="s">
        <v>3080</v>
      </c>
      <c r="E1237" s="1" t="s">
        <v>3515</v>
      </c>
      <c r="F1237" t="s">
        <v>3042</v>
      </c>
      <c r="G1237" s="45" t="s">
        <v>3522</v>
      </c>
      <c r="H1237" s="43">
        <v>2186</v>
      </c>
      <c r="I1237" s="324" t="s">
        <v>43</v>
      </c>
      <c r="J1237" s="255" t="str">
        <f>IF(ISBLANK(INDEX('Policy Characteristics'!D:D,MATCH($C1237,'Policy Characteristics'!$C:$C,0))),"",INDEX('Policy Characteristics'!D:D,MATCH($C1237,'Policy Characteristics'!$C:$C,0)))</f>
        <v>Hydrogen Combustion</v>
      </c>
      <c r="K1237" s="254" t="str">
        <f>IF(ISBLANK(INDEX('Policy Characteristics'!E:E,MATCH($C1237,'Policy Characteristics'!$C:$C,0))),"",INDEX('Policy Characteristics'!E:E,MATCH($C1237,'Policy Characteristics'!$C:$C,0)))</f>
        <v>indst shift to hydrogen</v>
      </c>
      <c r="L1237" s="261">
        <f>IF(ISBLANK(INDEX('Policy Characteristics'!F:F,MATCH($C1237,'Policy Characteristics'!$C:$C,0))),"",INDEX('Policy Characteristics'!F:F,MATCH($C1237,'Policy Characteristics'!$C:$C,0)))</f>
        <v>0</v>
      </c>
      <c r="M1237" s="261">
        <f>IF(ISBLANK(INDEX('Policy Characteristics'!G:G,MATCH($C1237,'Policy Characteristics'!$C:$C,0))),"",INDEX('Policy Characteristics'!G:G,MATCH($C1237,'Policy Characteristics'!$C:$C,0)))</f>
        <v>1</v>
      </c>
      <c r="N1237" s="261">
        <f>IF(ISBLANK(INDEX('Policy Characteristics'!H:H,MATCH($C1237,'Policy Characteristics'!$C:$C,0))),"",INDEX('Policy Characteristics'!H:H,MATCH($C1237,'Policy Characteristics'!$C:$C,0)))</f>
        <v>0.01</v>
      </c>
      <c r="O1237" s="254" t="str">
        <f>IF(ISBLANK(INDEX('Policy Characteristics'!I:I,MATCH($C1237,'Policy Characteristics'!$C:$C,0))),"",INDEX('Policy Characteristics'!I:I,MATCH($C1237,'Policy Characteristics'!$C:$C,0)))</f>
        <v>% of fuel shifted</v>
      </c>
      <c r="P1237" s="254"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4" t="str">
        <f>IF(ISBLANK(INDEX('Policy Characteristics'!K:K,MATCH($C1237,'Policy Characteristics'!$C:$C,0))),"",INDEX('Policy Characteristics'!K:K,MATCH($C1237,'Policy Characteristics'!$C:$C,0)))</f>
        <v>industry-ag-main.html#fuel-switching</v>
      </c>
      <c r="R1237" s="254" t="str">
        <f>IF(ISBLANK(INDEX('Policy Characteristics'!L:L,MATCH($C1237,'Policy Characteristics'!$C:$C,0))),"",INDEX('Policy Characteristics'!L:L,MATCH($C1237,'Policy Characteristics'!$C:$C,0)))</f>
        <v>industry-elec-and-hydrogen.html</v>
      </c>
    </row>
    <row r="1238" spans="1:18" s="2" customFormat="1" x14ac:dyDescent="0.3">
      <c r="A1238" s="254" t="str">
        <f>IF(ISBLANK(INDEX('Policy Characteristics'!A:A,MATCH($C1238,'Policy Characteristics'!$C:$C,0))),"",INDEX('Policy Characteristics'!A:A,MATCH($C1238,'Policy Characteristics'!$C:$C,0)))</f>
        <v>Industry</v>
      </c>
      <c r="B1238" s="262" t="str">
        <f>IF(ISBLANK(INDEX('Policy Characteristics'!B:B,MATCH($C1238,'Policy Characteristics'!$C:$C,0))),"",INDEX('Policy Characteristics'!B:B,MATCH($C1238,'Policy Characteristics'!$C:$C,0)))</f>
        <v>Hydrogen Combustion</v>
      </c>
      <c r="C1238" s="254" t="str">
        <f t="shared" si="46"/>
        <v>Fraction of Eligible Industrial Energy Use Shifted to Hydrogen</v>
      </c>
      <c r="D1238" s="6" t="s">
        <v>3080</v>
      </c>
      <c r="E1238" s="1" t="s">
        <v>3516</v>
      </c>
      <c r="F1238" t="s">
        <v>3042</v>
      </c>
      <c r="G1238" s="45" t="s">
        <v>3523</v>
      </c>
      <c r="H1238" s="43">
        <v>2187</v>
      </c>
      <c r="I1238" s="324" t="s">
        <v>43</v>
      </c>
      <c r="J1238" s="255" t="str">
        <f>IF(ISBLANK(INDEX('Policy Characteristics'!D:D,MATCH($C1238,'Policy Characteristics'!$C:$C,0))),"",INDEX('Policy Characteristics'!D:D,MATCH($C1238,'Policy Characteristics'!$C:$C,0)))</f>
        <v>Hydrogen Combustion</v>
      </c>
      <c r="K1238" s="254" t="str">
        <f>IF(ISBLANK(INDEX('Policy Characteristics'!E:E,MATCH($C1238,'Policy Characteristics'!$C:$C,0))),"",INDEX('Policy Characteristics'!E:E,MATCH($C1238,'Policy Characteristics'!$C:$C,0)))</f>
        <v>indst shift to hydrogen</v>
      </c>
      <c r="L1238" s="261">
        <f>IF(ISBLANK(INDEX('Policy Characteristics'!F:F,MATCH($C1238,'Policy Characteristics'!$C:$C,0))),"",INDEX('Policy Characteristics'!F:F,MATCH($C1238,'Policy Characteristics'!$C:$C,0)))</f>
        <v>0</v>
      </c>
      <c r="M1238" s="261">
        <f>IF(ISBLANK(INDEX('Policy Characteristics'!G:G,MATCH($C1238,'Policy Characteristics'!$C:$C,0))),"",INDEX('Policy Characteristics'!G:G,MATCH($C1238,'Policy Characteristics'!$C:$C,0)))</f>
        <v>1</v>
      </c>
      <c r="N1238" s="261">
        <f>IF(ISBLANK(INDEX('Policy Characteristics'!H:H,MATCH($C1238,'Policy Characteristics'!$C:$C,0))),"",INDEX('Policy Characteristics'!H:H,MATCH($C1238,'Policy Characteristics'!$C:$C,0)))</f>
        <v>0.01</v>
      </c>
      <c r="O1238" s="254" t="str">
        <f>IF(ISBLANK(INDEX('Policy Characteristics'!I:I,MATCH($C1238,'Policy Characteristics'!$C:$C,0))),"",INDEX('Policy Characteristics'!I:I,MATCH($C1238,'Policy Characteristics'!$C:$C,0)))</f>
        <v>% of fuel shifted</v>
      </c>
      <c r="P1238" s="254"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4" t="str">
        <f>IF(ISBLANK(INDEX('Policy Characteristics'!K:K,MATCH($C1238,'Policy Characteristics'!$C:$C,0))),"",INDEX('Policy Characteristics'!K:K,MATCH($C1238,'Policy Characteristics'!$C:$C,0)))</f>
        <v>industry-ag-main.html#fuel-switching</v>
      </c>
      <c r="R1238" s="254" t="str">
        <f>IF(ISBLANK(INDEX('Policy Characteristics'!L:L,MATCH($C1238,'Policy Characteristics'!$C:$C,0))),"",INDEX('Policy Characteristics'!L:L,MATCH($C1238,'Policy Characteristics'!$C:$C,0)))</f>
        <v>industry-elec-and-hydrogen.html</v>
      </c>
    </row>
    <row r="1239" spans="1:18" s="2" customFormat="1" x14ac:dyDescent="0.3">
      <c r="A1239" s="254" t="str">
        <f>IF(ISBLANK(INDEX('Policy Characteristics'!A:A,MATCH($C1239,'Policy Characteristics'!$C:$C,0))),"",INDEX('Policy Characteristics'!A:A,MATCH($C1239,'Policy Characteristics'!$C:$C,0)))</f>
        <v>Industry</v>
      </c>
      <c r="B1239" s="262" t="str">
        <f>IF(ISBLANK(INDEX('Policy Characteristics'!B:B,MATCH($C1239,'Policy Characteristics'!$C:$C,0))),"",INDEX('Policy Characteristics'!B:B,MATCH($C1239,'Policy Characteristics'!$C:$C,0)))</f>
        <v>Hydrogen Combustion</v>
      </c>
      <c r="C1239" s="254" t="str">
        <f t="shared" si="46"/>
        <v>Fraction of Eligible Industrial Energy Use Shifted to Hydrogen</v>
      </c>
      <c r="D1239" s="6" t="s">
        <v>3080</v>
      </c>
      <c r="E1239" s="1" t="s">
        <v>3517</v>
      </c>
      <c r="F1239" t="s">
        <v>3042</v>
      </c>
      <c r="G1239" s="45" t="s">
        <v>3524</v>
      </c>
      <c r="H1239" s="43">
        <v>2188</v>
      </c>
      <c r="I1239" s="324" t="s">
        <v>43</v>
      </c>
      <c r="J1239" s="255" t="str">
        <f>IF(ISBLANK(INDEX('Policy Characteristics'!D:D,MATCH($C1239,'Policy Characteristics'!$C:$C,0))),"",INDEX('Policy Characteristics'!D:D,MATCH($C1239,'Policy Characteristics'!$C:$C,0)))</f>
        <v>Hydrogen Combustion</v>
      </c>
      <c r="K1239" s="254" t="str">
        <f>IF(ISBLANK(INDEX('Policy Characteristics'!E:E,MATCH($C1239,'Policy Characteristics'!$C:$C,0))),"",INDEX('Policy Characteristics'!E:E,MATCH($C1239,'Policy Characteristics'!$C:$C,0)))</f>
        <v>indst shift to hydrogen</v>
      </c>
      <c r="L1239" s="261">
        <f>IF(ISBLANK(INDEX('Policy Characteristics'!F:F,MATCH($C1239,'Policy Characteristics'!$C:$C,0))),"",INDEX('Policy Characteristics'!F:F,MATCH($C1239,'Policy Characteristics'!$C:$C,0)))</f>
        <v>0</v>
      </c>
      <c r="M1239" s="261">
        <f>IF(ISBLANK(INDEX('Policy Characteristics'!G:G,MATCH($C1239,'Policy Characteristics'!$C:$C,0))),"",INDEX('Policy Characteristics'!G:G,MATCH($C1239,'Policy Characteristics'!$C:$C,0)))</f>
        <v>1</v>
      </c>
      <c r="N1239" s="261">
        <f>IF(ISBLANK(INDEX('Policy Characteristics'!H:H,MATCH($C1239,'Policy Characteristics'!$C:$C,0))),"",INDEX('Policy Characteristics'!H:H,MATCH($C1239,'Policy Characteristics'!$C:$C,0)))</f>
        <v>0.01</v>
      </c>
      <c r="O1239" s="254" t="str">
        <f>IF(ISBLANK(INDEX('Policy Characteristics'!I:I,MATCH($C1239,'Policy Characteristics'!$C:$C,0))),"",INDEX('Policy Characteristics'!I:I,MATCH($C1239,'Policy Characteristics'!$C:$C,0)))</f>
        <v>% of fuel shifted</v>
      </c>
      <c r="P1239" s="254"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4" t="str">
        <f>IF(ISBLANK(INDEX('Policy Characteristics'!K:K,MATCH($C1239,'Policy Characteristics'!$C:$C,0))),"",INDEX('Policy Characteristics'!K:K,MATCH($C1239,'Policy Characteristics'!$C:$C,0)))</f>
        <v>industry-ag-main.html#fuel-switching</v>
      </c>
      <c r="R1239" s="254" t="str">
        <f>IF(ISBLANK(INDEX('Policy Characteristics'!L:L,MATCH($C1239,'Policy Characteristics'!$C:$C,0))),"",INDEX('Policy Characteristics'!L:L,MATCH($C1239,'Policy Characteristics'!$C:$C,0)))</f>
        <v>industry-elec-and-hydrogen.html</v>
      </c>
    </row>
    <row r="1240" spans="1:18" s="2" customFormat="1" x14ac:dyDescent="0.3">
      <c r="A1240" s="254" t="str">
        <f>IF(ISBLANK(INDEX('Policy Characteristics'!A:A,MATCH($C1240,'Policy Characteristics'!$C:$C,0))),"",INDEX('Policy Characteristics'!A:A,MATCH($C1240,'Policy Characteristics'!$C:$C,0)))</f>
        <v>Industry</v>
      </c>
      <c r="B1240" s="262" t="str">
        <f>IF(ISBLANK(INDEX('Policy Characteristics'!B:B,MATCH($C1240,'Policy Characteristics'!$C:$C,0))),"",INDEX('Policy Characteristics'!B:B,MATCH($C1240,'Policy Characteristics'!$C:$C,0)))</f>
        <v>Hydrogen Combustion</v>
      </c>
      <c r="C1240" s="254" t="str">
        <f t="shared" si="46"/>
        <v>Fraction of Eligible Industrial Energy Use Shifted to Hydrogen</v>
      </c>
      <c r="D1240" s="6" t="s">
        <v>3080</v>
      </c>
      <c r="E1240" s="1" t="s">
        <v>3518</v>
      </c>
      <c r="F1240" t="s">
        <v>3042</v>
      </c>
      <c r="G1240" s="45" t="s">
        <v>3525</v>
      </c>
      <c r="H1240" s="43">
        <v>2189</v>
      </c>
      <c r="I1240" s="324" t="s">
        <v>43</v>
      </c>
      <c r="J1240" s="255" t="str">
        <f>IF(ISBLANK(INDEX('Policy Characteristics'!D:D,MATCH($C1240,'Policy Characteristics'!$C:$C,0))),"",INDEX('Policy Characteristics'!D:D,MATCH($C1240,'Policy Characteristics'!$C:$C,0)))</f>
        <v>Hydrogen Combustion</v>
      </c>
      <c r="K1240" s="254" t="str">
        <f>IF(ISBLANK(INDEX('Policy Characteristics'!E:E,MATCH($C1240,'Policy Characteristics'!$C:$C,0))),"",INDEX('Policy Characteristics'!E:E,MATCH($C1240,'Policy Characteristics'!$C:$C,0)))</f>
        <v>indst shift to hydrogen</v>
      </c>
      <c r="L1240" s="261">
        <f>IF(ISBLANK(INDEX('Policy Characteristics'!F:F,MATCH($C1240,'Policy Characteristics'!$C:$C,0))),"",INDEX('Policy Characteristics'!F:F,MATCH($C1240,'Policy Characteristics'!$C:$C,0)))</f>
        <v>0</v>
      </c>
      <c r="M1240" s="261">
        <f>IF(ISBLANK(INDEX('Policy Characteristics'!G:G,MATCH($C1240,'Policy Characteristics'!$C:$C,0))),"",INDEX('Policy Characteristics'!G:G,MATCH($C1240,'Policy Characteristics'!$C:$C,0)))</f>
        <v>1</v>
      </c>
      <c r="N1240" s="261">
        <f>IF(ISBLANK(INDEX('Policy Characteristics'!H:H,MATCH($C1240,'Policy Characteristics'!$C:$C,0))),"",INDEX('Policy Characteristics'!H:H,MATCH($C1240,'Policy Characteristics'!$C:$C,0)))</f>
        <v>0.01</v>
      </c>
      <c r="O1240" s="254" t="str">
        <f>IF(ISBLANK(INDEX('Policy Characteristics'!I:I,MATCH($C1240,'Policy Characteristics'!$C:$C,0))),"",INDEX('Policy Characteristics'!I:I,MATCH($C1240,'Policy Characteristics'!$C:$C,0)))</f>
        <v>% of fuel shifted</v>
      </c>
      <c r="P1240" s="254"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4" t="str">
        <f>IF(ISBLANK(INDEX('Policy Characteristics'!K:K,MATCH($C1240,'Policy Characteristics'!$C:$C,0))),"",INDEX('Policy Characteristics'!K:K,MATCH($C1240,'Policy Characteristics'!$C:$C,0)))</f>
        <v>industry-ag-main.html#fuel-switching</v>
      </c>
      <c r="R1240" s="254" t="str">
        <f>IF(ISBLANK(INDEX('Policy Characteristics'!L:L,MATCH($C1240,'Policy Characteristics'!$C:$C,0))),"",INDEX('Policy Characteristics'!L:L,MATCH($C1240,'Policy Characteristics'!$C:$C,0)))</f>
        <v>industry-elec-and-hydrogen.html</v>
      </c>
    </row>
    <row r="1241" spans="1:18" s="2" customFormat="1" x14ac:dyDescent="0.3">
      <c r="A1241" s="254" t="str">
        <f>IF(ISBLANK(INDEX('Policy Characteristics'!A:A,MATCH($C1241,'Policy Characteristics'!$C:$C,0))),"",INDEX('Policy Characteristics'!A:A,MATCH($C1241,'Policy Characteristics'!$C:$C,0)))</f>
        <v>Industry</v>
      </c>
      <c r="B1241" s="262" t="str">
        <f>IF(ISBLANK(INDEX('Policy Characteristics'!B:B,MATCH($C1241,'Policy Characteristics'!$C:$C,0))),"",INDEX('Policy Characteristics'!B:B,MATCH($C1241,'Policy Characteristics'!$C:$C,0)))</f>
        <v>Hydrogen Combustion</v>
      </c>
      <c r="C1241" s="254" t="str">
        <f t="shared" si="46"/>
        <v>Fraction of Eligible Industrial Energy Use Shifted to Hydrogen</v>
      </c>
      <c r="D1241" s="6" t="s">
        <v>3080</v>
      </c>
      <c r="E1241" s="1" t="s">
        <v>3519</v>
      </c>
      <c r="F1241" t="s">
        <v>3042</v>
      </c>
      <c r="G1241" s="45" t="s">
        <v>3526</v>
      </c>
      <c r="H1241" s="43">
        <v>2190</v>
      </c>
      <c r="I1241" s="324" t="s">
        <v>44</v>
      </c>
      <c r="J1241" s="255" t="str">
        <f>IF(ISBLANK(INDEX('Policy Characteristics'!D:D,MATCH($C1241,'Policy Characteristics'!$C:$C,0))),"",INDEX('Policy Characteristics'!D:D,MATCH($C1241,'Policy Characteristics'!$C:$C,0)))</f>
        <v>Hydrogen Combustion</v>
      </c>
      <c r="K1241" s="254" t="str">
        <f>IF(ISBLANK(INDEX('Policy Characteristics'!E:E,MATCH($C1241,'Policy Characteristics'!$C:$C,0))),"",INDEX('Policy Characteristics'!E:E,MATCH($C1241,'Policy Characteristics'!$C:$C,0)))</f>
        <v>indst shift to hydrogen</v>
      </c>
      <c r="L1241" s="261">
        <f>IF(ISBLANK(INDEX('Policy Characteristics'!F:F,MATCH($C1241,'Policy Characteristics'!$C:$C,0))),"",INDEX('Policy Characteristics'!F:F,MATCH($C1241,'Policy Characteristics'!$C:$C,0)))</f>
        <v>0</v>
      </c>
      <c r="M1241" s="261">
        <f>IF(ISBLANK(INDEX('Policy Characteristics'!G:G,MATCH($C1241,'Policy Characteristics'!$C:$C,0))),"",INDEX('Policy Characteristics'!G:G,MATCH($C1241,'Policy Characteristics'!$C:$C,0)))</f>
        <v>1</v>
      </c>
      <c r="N1241" s="261">
        <f>IF(ISBLANK(INDEX('Policy Characteristics'!H:H,MATCH($C1241,'Policy Characteristics'!$C:$C,0))),"",INDEX('Policy Characteristics'!H:H,MATCH($C1241,'Policy Characteristics'!$C:$C,0)))</f>
        <v>0.01</v>
      </c>
      <c r="O1241" s="254" t="str">
        <f>IF(ISBLANK(INDEX('Policy Characteristics'!I:I,MATCH($C1241,'Policy Characteristics'!$C:$C,0))),"",INDEX('Policy Characteristics'!I:I,MATCH($C1241,'Policy Characteristics'!$C:$C,0)))</f>
        <v>% of fuel shifted</v>
      </c>
      <c r="P1241" s="254"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4" t="str">
        <f>IF(ISBLANK(INDEX('Policy Characteristics'!K:K,MATCH($C1241,'Policy Characteristics'!$C:$C,0))),"",INDEX('Policy Characteristics'!K:K,MATCH($C1241,'Policy Characteristics'!$C:$C,0)))</f>
        <v>industry-ag-main.html#fuel-switching</v>
      </c>
      <c r="R1241" s="254" t="str">
        <f>IF(ISBLANK(INDEX('Policy Characteristics'!L:L,MATCH($C1241,'Policy Characteristics'!$C:$C,0))),"",INDEX('Policy Characteristics'!L:L,MATCH($C1241,'Policy Characteristics'!$C:$C,0)))</f>
        <v>industry-elec-and-hydrogen.html</v>
      </c>
    </row>
    <row r="1242" spans="1:18" s="2" customFormat="1" x14ac:dyDescent="0.3">
      <c r="A1242" s="254" t="str">
        <f>IF(ISBLANK(INDEX('Policy Characteristics'!A:A,MATCH($C1242,'Policy Characteristics'!$C:$C,0))),"",INDEX('Policy Characteristics'!A:A,MATCH($C1242,'Policy Characteristics'!$C:$C,0)))</f>
        <v>Industry</v>
      </c>
      <c r="B1242" s="262" t="str">
        <f>IF(ISBLANK(INDEX('Policy Characteristics'!B:B,MATCH($C1242,'Policy Characteristics'!$C:$C,0))),"",INDEX('Policy Characteristics'!B:B,MATCH($C1242,'Policy Characteristics'!$C:$C,0)))</f>
        <v>Hydrogen Combustion</v>
      </c>
      <c r="C1242" s="254" t="str">
        <f t="shared" si="46"/>
        <v>Fraction of Eligible Industrial Energy Use Shifted to Hydrogen</v>
      </c>
      <c r="D1242" s="6" t="s">
        <v>3080</v>
      </c>
      <c r="E1242" s="1" t="s">
        <v>3520</v>
      </c>
      <c r="F1242" t="s">
        <v>3042</v>
      </c>
      <c r="G1242" s="45" t="s">
        <v>3527</v>
      </c>
      <c r="H1242" s="43">
        <v>2191</v>
      </c>
      <c r="I1242" s="324" t="s">
        <v>44</v>
      </c>
      <c r="J1242" s="255" t="str">
        <f>IF(ISBLANK(INDEX('Policy Characteristics'!D:D,MATCH($C1242,'Policy Characteristics'!$C:$C,0))),"",INDEX('Policy Characteristics'!D:D,MATCH($C1242,'Policy Characteristics'!$C:$C,0)))</f>
        <v>Hydrogen Combustion</v>
      </c>
      <c r="K1242" s="254" t="str">
        <f>IF(ISBLANK(INDEX('Policy Characteristics'!E:E,MATCH($C1242,'Policy Characteristics'!$C:$C,0))),"",INDEX('Policy Characteristics'!E:E,MATCH($C1242,'Policy Characteristics'!$C:$C,0)))</f>
        <v>indst shift to hydrogen</v>
      </c>
      <c r="L1242" s="261">
        <f>IF(ISBLANK(INDEX('Policy Characteristics'!F:F,MATCH($C1242,'Policy Characteristics'!$C:$C,0))),"",INDEX('Policy Characteristics'!F:F,MATCH($C1242,'Policy Characteristics'!$C:$C,0)))</f>
        <v>0</v>
      </c>
      <c r="M1242" s="261">
        <f>IF(ISBLANK(INDEX('Policy Characteristics'!G:G,MATCH($C1242,'Policy Characteristics'!$C:$C,0))),"",INDEX('Policy Characteristics'!G:G,MATCH($C1242,'Policy Characteristics'!$C:$C,0)))</f>
        <v>1</v>
      </c>
      <c r="N1242" s="261">
        <f>IF(ISBLANK(INDEX('Policy Characteristics'!H:H,MATCH($C1242,'Policy Characteristics'!$C:$C,0))),"",INDEX('Policy Characteristics'!H:H,MATCH($C1242,'Policy Characteristics'!$C:$C,0)))</f>
        <v>0.01</v>
      </c>
      <c r="O1242" s="254" t="str">
        <f>IF(ISBLANK(INDEX('Policy Characteristics'!I:I,MATCH($C1242,'Policy Characteristics'!$C:$C,0))),"",INDEX('Policy Characteristics'!I:I,MATCH($C1242,'Policy Characteristics'!$C:$C,0)))</f>
        <v>% of fuel shifted</v>
      </c>
      <c r="P1242" s="254"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4" t="str">
        <f>IF(ISBLANK(INDEX('Policy Characteristics'!K:K,MATCH($C1242,'Policy Characteristics'!$C:$C,0))),"",INDEX('Policy Characteristics'!K:K,MATCH($C1242,'Policy Characteristics'!$C:$C,0)))</f>
        <v>industry-ag-main.html#fuel-switching</v>
      </c>
      <c r="R1242" s="254" t="str">
        <f>IF(ISBLANK(INDEX('Policy Characteristics'!L:L,MATCH($C1242,'Policy Characteristics'!$C:$C,0))),"",INDEX('Policy Characteristics'!L:L,MATCH($C1242,'Policy Characteristics'!$C:$C,0)))</f>
        <v>industry-elec-and-hydrogen.html</v>
      </c>
    </row>
    <row r="1243" spans="1:18" s="2" customFormat="1" x14ac:dyDescent="0.3">
      <c r="A1243" s="254" t="str">
        <f>IF(ISBLANK(INDEX('Policy Characteristics'!A:A,MATCH($C1243,'Policy Characteristics'!$C:$C,0))),"",INDEX('Policy Characteristics'!A:A,MATCH($C1243,'Policy Characteristics'!$C:$C,0)))</f>
        <v>Industry</v>
      </c>
      <c r="B1243" s="262" t="str">
        <f>IF(ISBLANK(INDEX('Policy Characteristics'!B:B,MATCH($C1243,'Policy Characteristics'!$C:$C,0))),"",INDEX('Policy Characteristics'!B:B,MATCH($C1243,'Policy Characteristics'!$C:$C,0)))</f>
        <v>Hydrogen Combustion</v>
      </c>
      <c r="C1243" s="254" t="str">
        <f t="shared" si="46"/>
        <v>Fraction of Eligible Industrial Energy Use Shifted to Hydrogen</v>
      </c>
      <c r="D1243" s="6" t="s">
        <v>3080</v>
      </c>
      <c r="E1243" s="1" t="s">
        <v>3521</v>
      </c>
      <c r="F1243" t="s">
        <v>3042</v>
      </c>
      <c r="G1243" s="45" t="s">
        <v>3528</v>
      </c>
      <c r="H1243" s="43">
        <v>2192</v>
      </c>
      <c r="I1243" s="324" t="s">
        <v>44</v>
      </c>
      <c r="J1243" s="255" t="str">
        <f>IF(ISBLANK(INDEX('Policy Characteristics'!D:D,MATCH($C1243,'Policy Characteristics'!$C:$C,0))),"",INDEX('Policy Characteristics'!D:D,MATCH($C1243,'Policy Characteristics'!$C:$C,0)))</f>
        <v>Hydrogen Combustion</v>
      </c>
      <c r="K1243" s="254" t="str">
        <f>IF(ISBLANK(INDEX('Policy Characteristics'!E:E,MATCH($C1243,'Policy Characteristics'!$C:$C,0))),"",INDEX('Policy Characteristics'!E:E,MATCH($C1243,'Policy Characteristics'!$C:$C,0)))</f>
        <v>indst shift to hydrogen</v>
      </c>
      <c r="L1243" s="261">
        <f>IF(ISBLANK(INDEX('Policy Characteristics'!F:F,MATCH($C1243,'Policy Characteristics'!$C:$C,0))),"",INDEX('Policy Characteristics'!F:F,MATCH($C1243,'Policy Characteristics'!$C:$C,0)))</f>
        <v>0</v>
      </c>
      <c r="M1243" s="261">
        <f>IF(ISBLANK(INDEX('Policy Characteristics'!G:G,MATCH($C1243,'Policy Characteristics'!$C:$C,0))),"",INDEX('Policy Characteristics'!G:G,MATCH($C1243,'Policy Characteristics'!$C:$C,0)))</f>
        <v>1</v>
      </c>
      <c r="N1243" s="261">
        <f>IF(ISBLANK(INDEX('Policy Characteristics'!H:H,MATCH($C1243,'Policy Characteristics'!$C:$C,0))),"",INDEX('Policy Characteristics'!H:H,MATCH($C1243,'Policy Characteristics'!$C:$C,0)))</f>
        <v>0.01</v>
      </c>
      <c r="O1243" s="254" t="str">
        <f>IF(ISBLANK(INDEX('Policy Characteristics'!I:I,MATCH($C1243,'Policy Characteristics'!$C:$C,0))),"",INDEX('Policy Characteristics'!I:I,MATCH($C1243,'Policy Characteristics'!$C:$C,0)))</f>
        <v>% of fuel shifted</v>
      </c>
      <c r="P1243" s="254"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4" t="str">
        <f>IF(ISBLANK(INDEX('Policy Characteristics'!K:K,MATCH($C1243,'Policy Characteristics'!$C:$C,0))),"",INDEX('Policy Characteristics'!K:K,MATCH($C1243,'Policy Characteristics'!$C:$C,0)))</f>
        <v>industry-ag-main.html#fuel-switching</v>
      </c>
      <c r="R1243" s="254" t="str">
        <f>IF(ISBLANK(INDEX('Policy Characteristics'!L:L,MATCH($C1243,'Policy Characteristics'!$C:$C,0))),"",INDEX('Policy Characteristics'!L:L,MATCH($C1243,'Policy Characteristics'!$C:$C,0)))</f>
        <v>industry-elec-and-hydrogen.html</v>
      </c>
    </row>
    <row r="1244" spans="1:18" s="2" customFormat="1" x14ac:dyDescent="0.3">
      <c r="A1244" s="254" t="str">
        <f>IF(ISBLANK(INDEX('Policy Characteristics'!A:A,MATCH($C1244,'Policy Characteristics'!$C:$C,0))),"",INDEX('Policy Characteristics'!A:A,MATCH($C1244,'Policy Characteristics'!$C:$C,0)))</f>
        <v>Industry</v>
      </c>
      <c r="B1244" s="262" t="str">
        <f>IF(ISBLANK(INDEX('Policy Characteristics'!B:B,MATCH($C1244,'Policy Characteristics'!$C:$C,0))),"",INDEX('Policy Characteristics'!B:B,MATCH($C1244,'Policy Characteristics'!$C:$C,0)))</f>
        <v>Hydrogen Combustion</v>
      </c>
      <c r="C1244" s="254" t="str">
        <f t="shared" si="46"/>
        <v>Fraction of Eligible Industrial Energy Use Shifted to Hydrogen</v>
      </c>
      <c r="D1244" s="6" t="s">
        <v>3080</v>
      </c>
      <c r="E1244" s="1" t="s">
        <v>3671</v>
      </c>
      <c r="F1244" t="s">
        <v>3042</v>
      </c>
      <c r="G1244" s="45" t="s">
        <v>3671</v>
      </c>
      <c r="H1244" s="43">
        <v>2193</v>
      </c>
      <c r="I1244" s="324" t="s">
        <v>43</v>
      </c>
      <c r="J1244" s="255" t="str">
        <f>IF(ISBLANK(INDEX('Policy Characteristics'!D:D,MATCH($C1244,'Policy Characteristics'!$C:$C,0))),"",INDEX('Policy Characteristics'!D:D,MATCH($C1244,'Policy Characteristics'!$C:$C,0)))</f>
        <v>Hydrogen Combustion</v>
      </c>
      <c r="K1244" s="254" t="str">
        <f>IF(ISBLANK(INDEX('Policy Characteristics'!E:E,MATCH($C1244,'Policy Characteristics'!$C:$C,0))),"",INDEX('Policy Characteristics'!E:E,MATCH($C1244,'Policy Characteristics'!$C:$C,0)))</f>
        <v>indst shift to hydrogen</v>
      </c>
      <c r="L1244" s="261">
        <f>IF(ISBLANK(INDEX('Policy Characteristics'!F:F,MATCH($C1244,'Policy Characteristics'!$C:$C,0))),"",INDEX('Policy Characteristics'!F:F,MATCH($C1244,'Policy Characteristics'!$C:$C,0)))</f>
        <v>0</v>
      </c>
      <c r="M1244" s="261">
        <f>IF(ISBLANK(INDEX('Policy Characteristics'!G:G,MATCH($C1244,'Policy Characteristics'!$C:$C,0))),"",INDEX('Policy Characteristics'!G:G,MATCH($C1244,'Policy Characteristics'!$C:$C,0)))</f>
        <v>1</v>
      </c>
      <c r="N1244" s="261">
        <f>IF(ISBLANK(INDEX('Policy Characteristics'!H:H,MATCH($C1244,'Policy Characteristics'!$C:$C,0))),"",INDEX('Policy Characteristics'!H:H,MATCH($C1244,'Policy Characteristics'!$C:$C,0)))</f>
        <v>0.01</v>
      </c>
      <c r="O1244" s="254" t="str">
        <f>IF(ISBLANK(INDEX('Policy Characteristics'!I:I,MATCH($C1244,'Policy Characteristics'!$C:$C,0))),"",INDEX('Policy Characteristics'!I:I,MATCH($C1244,'Policy Characteristics'!$C:$C,0)))</f>
        <v>% of fuel shifted</v>
      </c>
      <c r="P1244" s="254"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4" t="str">
        <f>IF(ISBLANK(INDEX('Policy Characteristics'!K:K,MATCH($C1244,'Policy Characteristics'!$C:$C,0))),"",INDEX('Policy Characteristics'!K:K,MATCH($C1244,'Policy Characteristics'!$C:$C,0)))</f>
        <v>industry-ag-main.html#fuel-switching</v>
      </c>
      <c r="R1244" s="254" t="str">
        <f>IF(ISBLANK(INDEX('Policy Characteristics'!L:L,MATCH($C1244,'Policy Characteristics'!$C:$C,0))),"",INDEX('Policy Characteristics'!L:L,MATCH($C1244,'Policy Characteristics'!$C:$C,0)))</f>
        <v>industry-elec-and-hydrogen.html</v>
      </c>
    </row>
    <row r="1245" spans="1:18" s="2" customFormat="1" x14ac:dyDescent="0.3">
      <c r="A1245" s="254" t="str">
        <f>IF(ISBLANK(INDEX('Policy Characteristics'!A:A,MATCH($C1245,'Policy Characteristics'!$C:$C,0))),"",INDEX('Policy Characteristics'!A:A,MATCH($C1245,'Policy Characteristics'!$C:$C,0)))</f>
        <v>Industry</v>
      </c>
      <c r="B1245" s="262" t="str">
        <f>IF(ISBLANK(INDEX('Policy Characteristics'!B:B,MATCH($C1245,'Policy Characteristics'!$C:$C,0))),"",INDEX('Policy Characteristics'!B:B,MATCH($C1245,'Policy Characteristics'!$C:$C,0)))</f>
        <v>Hydrogen Combustion</v>
      </c>
      <c r="C1245" s="254" t="str">
        <f t="shared" si="46"/>
        <v>Fraction of Eligible Industrial Energy Use Shifted to Hydrogen</v>
      </c>
      <c r="D1245" s="6" t="s">
        <v>3081</v>
      </c>
      <c r="E1245" s="1" t="s">
        <v>3515</v>
      </c>
      <c r="F1245" t="s">
        <v>3043</v>
      </c>
      <c r="G1245" s="45" t="s">
        <v>3522</v>
      </c>
      <c r="H1245" s="43">
        <v>2194</v>
      </c>
      <c r="I1245" s="324" t="s">
        <v>43</v>
      </c>
      <c r="J1245" s="255" t="str">
        <f>IF(ISBLANK(INDEX('Policy Characteristics'!D:D,MATCH($C1245,'Policy Characteristics'!$C:$C,0))),"",INDEX('Policy Characteristics'!D:D,MATCH($C1245,'Policy Characteristics'!$C:$C,0)))</f>
        <v>Hydrogen Combustion</v>
      </c>
      <c r="K1245" s="254" t="str">
        <f>IF(ISBLANK(INDEX('Policy Characteristics'!E:E,MATCH($C1245,'Policy Characteristics'!$C:$C,0))),"",INDEX('Policy Characteristics'!E:E,MATCH($C1245,'Policy Characteristics'!$C:$C,0)))</f>
        <v>indst shift to hydrogen</v>
      </c>
      <c r="L1245" s="261">
        <f>IF(ISBLANK(INDEX('Policy Characteristics'!F:F,MATCH($C1245,'Policy Characteristics'!$C:$C,0))),"",INDEX('Policy Characteristics'!F:F,MATCH($C1245,'Policy Characteristics'!$C:$C,0)))</f>
        <v>0</v>
      </c>
      <c r="M1245" s="261">
        <f>IF(ISBLANK(INDEX('Policy Characteristics'!G:G,MATCH($C1245,'Policy Characteristics'!$C:$C,0))),"",INDEX('Policy Characteristics'!G:G,MATCH($C1245,'Policy Characteristics'!$C:$C,0)))</f>
        <v>1</v>
      </c>
      <c r="N1245" s="261">
        <f>IF(ISBLANK(INDEX('Policy Characteristics'!H:H,MATCH($C1245,'Policy Characteristics'!$C:$C,0))),"",INDEX('Policy Characteristics'!H:H,MATCH($C1245,'Policy Characteristics'!$C:$C,0)))</f>
        <v>0.01</v>
      </c>
      <c r="O1245" s="254" t="str">
        <f>IF(ISBLANK(INDEX('Policy Characteristics'!I:I,MATCH($C1245,'Policy Characteristics'!$C:$C,0))),"",INDEX('Policy Characteristics'!I:I,MATCH($C1245,'Policy Characteristics'!$C:$C,0)))</f>
        <v>% of fuel shifted</v>
      </c>
      <c r="P1245" s="254"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4" t="str">
        <f>IF(ISBLANK(INDEX('Policy Characteristics'!K:K,MATCH($C1245,'Policy Characteristics'!$C:$C,0))),"",INDEX('Policy Characteristics'!K:K,MATCH($C1245,'Policy Characteristics'!$C:$C,0)))</f>
        <v>industry-ag-main.html#fuel-switching</v>
      </c>
      <c r="R1245" s="254" t="str">
        <f>IF(ISBLANK(INDEX('Policy Characteristics'!L:L,MATCH($C1245,'Policy Characteristics'!$C:$C,0))),"",INDEX('Policy Characteristics'!L:L,MATCH($C1245,'Policy Characteristics'!$C:$C,0)))</f>
        <v>industry-elec-and-hydrogen.html</v>
      </c>
    </row>
    <row r="1246" spans="1:18" s="2" customFormat="1" x14ac:dyDescent="0.3">
      <c r="A1246" s="254" t="str">
        <f>IF(ISBLANK(INDEX('Policy Characteristics'!A:A,MATCH($C1246,'Policy Characteristics'!$C:$C,0))),"",INDEX('Policy Characteristics'!A:A,MATCH($C1246,'Policy Characteristics'!$C:$C,0)))</f>
        <v>Industry</v>
      </c>
      <c r="B1246" s="262" t="str">
        <f>IF(ISBLANK(INDEX('Policy Characteristics'!B:B,MATCH($C1246,'Policy Characteristics'!$C:$C,0))),"",INDEX('Policy Characteristics'!B:B,MATCH($C1246,'Policy Characteristics'!$C:$C,0)))</f>
        <v>Hydrogen Combustion</v>
      </c>
      <c r="C1246" s="254" t="str">
        <f t="shared" si="46"/>
        <v>Fraction of Eligible Industrial Energy Use Shifted to Hydrogen</v>
      </c>
      <c r="D1246" s="6" t="s">
        <v>3081</v>
      </c>
      <c r="E1246" s="1" t="s">
        <v>3516</v>
      </c>
      <c r="F1246" t="s">
        <v>3043</v>
      </c>
      <c r="G1246" s="45" t="s">
        <v>3523</v>
      </c>
      <c r="H1246" s="43">
        <v>2195</v>
      </c>
      <c r="I1246" s="324" t="s">
        <v>43</v>
      </c>
      <c r="J1246" s="255" t="str">
        <f>IF(ISBLANK(INDEX('Policy Characteristics'!D:D,MATCH($C1246,'Policy Characteristics'!$C:$C,0))),"",INDEX('Policy Characteristics'!D:D,MATCH($C1246,'Policy Characteristics'!$C:$C,0)))</f>
        <v>Hydrogen Combustion</v>
      </c>
      <c r="K1246" s="254" t="str">
        <f>IF(ISBLANK(INDEX('Policy Characteristics'!E:E,MATCH($C1246,'Policy Characteristics'!$C:$C,0))),"",INDEX('Policy Characteristics'!E:E,MATCH($C1246,'Policy Characteristics'!$C:$C,0)))</f>
        <v>indst shift to hydrogen</v>
      </c>
      <c r="L1246" s="261">
        <f>IF(ISBLANK(INDEX('Policy Characteristics'!F:F,MATCH($C1246,'Policy Characteristics'!$C:$C,0))),"",INDEX('Policy Characteristics'!F:F,MATCH($C1246,'Policy Characteristics'!$C:$C,0)))</f>
        <v>0</v>
      </c>
      <c r="M1246" s="261">
        <f>IF(ISBLANK(INDEX('Policy Characteristics'!G:G,MATCH($C1246,'Policy Characteristics'!$C:$C,0))),"",INDEX('Policy Characteristics'!G:G,MATCH($C1246,'Policy Characteristics'!$C:$C,0)))</f>
        <v>1</v>
      </c>
      <c r="N1246" s="261">
        <f>IF(ISBLANK(INDEX('Policy Characteristics'!H:H,MATCH($C1246,'Policy Characteristics'!$C:$C,0))),"",INDEX('Policy Characteristics'!H:H,MATCH($C1246,'Policy Characteristics'!$C:$C,0)))</f>
        <v>0.01</v>
      </c>
      <c r="O1246" s="254" t="str">
        <f>IF(ISBLANK(INDEX('Policy Characteristics'!I:I,MATCH($C1246,'Policy Characteristics'!$C:$C,0))),"",INDEX('Policy Characteristics'!I:I,MATCH($C1246,'Policy Characteristics'!$C:$C,0)))</f>
        <v>% of fuel shifted</v>
      </c>
      <c r="P1246" s="254"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4" t="str">
        <f>IF(ISBLANK(INDEX('Policy Characteristics'!K:K,MATCH($C1246,'Policy Characteristics'!$C:$C,0))),"",INDEX('Policy Characteristics'!K:K,MATCH($C1246,'Policy Characteristics'!$C:$C,0)))</f>
        <v>industry-ag-main.html#fuel-switching</v>
      </c>
      <c r="R1246" s="254" t="str">
        <f>IF(ISBLANK(INDEX('Policy Characteristics'!L:L,MATCH($C1246,'Policy Characteristics'!$C:$C,0))),"",INDEX('Policy Characteristics'!L:L,MATCH($C1246,'Policy Characteristics'!$C:$C,0)))</f>
        <v>industry-elec-and-hydrogen.html</v>
      </c>
    </row>
    <row r="1247" spans="1:18" s="2" customFormat="1" x14ac:dyDescent="0.3">
      <c r="A1247" s="254" t="str">
        <f>IF(ISBLANK(INDEX('Policy Characteristics'!A:A,MATCH($C1247,'Policy Characteristics'!$C:$C,0))),"",INDEX('Policy Characteristics'!A:A,MATCH($C1247,'Policy Characteristics'!$C:$C,0)))</f>
        <v>Industry</v>
      </c>
      <c r="B1247" s="262" t="str">
        <f>IF(ISBLANK(INDEX('Policy Characteristics'!B:B,MATCH($C1247,'Policy Characteristics'!$C:$C,0))),"",INDEX('Policy Characteristics'!B:B,MATCH($C1247,'Policy Characteristics'!$C:$C,0)))</f>
        <v>Hydrogen Combustion</v>
      </c>
      <c r="C1247" s="254" t="str">
        <f t="shared" si="46"/>
        <v>Fraction of Eligible Industrial Energy Use Shifted to Hydrogen</v>
      </c>
      <c r="D1247" s="6" t="s">
        <v>3081</v>
      </c>
      <c r="E1247" s="1" t="s">
        <v>3517</v>
      </c>
      <c r="F1247" t="s">
        <v>3043</v>
      </c>
      <c r="G1247" s="45" t="s">
        <v>3524</v>
      </c>
      <c r="H1247" s="43">
        <v>2196</v>
      </c>
      <c r="I1247" s="324" t="s">
        <v>43</v>
      </c>
      <c r="J1247" s="255" t="str">
        <f>IF(ISBLANK(INDEX('Policy Characteristics'!D:D,MATCH($C1247,'Policy Characteristics'!$C:$C,0))),"",INDEX('Policy Characteristics'!D:D,MATCH($C1247,'Policy Characteristics'!$C:$C,0)))</f>
        <v>Hydrogen Combustion</v>
      </c>
      <c r="K1247" s="254" t="str">
        <f>IF(ISBLANK(INDEX('Policy Characteristics'!E:E,MATCH($C1247,'Policy Characteristics'!$C:$C,0))),"",INDEX('Policy Characteristics'!E:E,MATCH($C1247,'Policy Characteristics'!$C:$C,0)))</f>
        <v>indst shift to hydrogen</v>
      </c>
      <c r="L1247" s="261">
        <f>IF(ISBLANK(INDEX('Policy Characteristics'!F:F,MATCH($C1247,'Policy Characteristics'!$C:$C,0))),"",INDEX('Policy Characteristics'!F:F,MATCH($C1247,'Policy Characteristics'!$C:$C,0)))</f>
        <v>0</v>
      </c>
      <c r="M1247" s="261">
        <f>IF(ISBLANK(INDEX('Policy Characteristics'!G:G,MATCH($C1247,'Policy Characteristics'!$C:$C,0))),"",INDEX('Policy Characteristics'!G:G,MATCH($C1247,'Policy Characteristics'!$C:$C,0)))</f>
        <v>1</v>
      </c>
      <c r="N1247" s="261">
        <f>IF(ISBLANK(INDEX('Policy Characteristics'!H:H,MATCH($C1247,'Policy Characteristics'!$C:$C,0))),"",INDEX('Policy Characteristics'!H:H,MATCH($C1247,'Policy Characteristics'!$C:$C,0)))</f>
        <v>0.01</v>
      </c>
      <c r="O1247" s="254" t="str">
        <f>IF(ISBLANK(INDEX('Policy Characteristics'!I:I,MATCH($C1247,'Policy Characteristics'!$C:$C,0))),"",INDEX('Policy Characteristics'!I:I,MATCH($C1247,'Policy Characteristics'!$C:$C,0)))</f>
        <v>% of fuel shifted</v>
      </c>
      <c r="P1247" s="254"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4" t="str">
        <f>IF(ISBLANK(INDEX('Policy Characteristics'!K:K,MATCH($C1247,'Policy Characteristics'!$C:$C,0))),"",INDEX('Policy Characteristics'!K:K,MATCH($C1247,'Policy Characteristics'!$C:$C,0)))</f>
        <v>industry-ag-main.html#fuel-switching</v>
      </c>
      <c r="R1247" s="254" t="str">
        <f>IF(ISBLANK(INDEX('Policy Characteristics'!L:L,MATCH($C1247,'Policy Characteristics'!$C:$C,0))),"",INDEX('Policy Characteristics'!L:L,MATCH($C1247,'Policy Characteristics'!$C:$C,0)))</f>
        <v>industry-elec-and-hydrogen.html</v>
      </c>
    </row>
    <row r="1248" spans="1:18" s="2" customFormat="1" x14ac:dyDescent="0.3">
      <c r="A1248" s="254" t="str">
        <f>IF(ISBLANK(INDEX('Policy Characteristics'!A:A,MATCH($C1248,'Policy Characteristics'!$C:$C,0))),"",INDEX('Policy Characteristics'!A:A,MATCH($C1248,'Policy Characteristics'!$C:$C,0)))</f>
        <v>Industry</v>
      </c>
      <c r="B1248" s="262" t="str">
        <f>IF(ISBLANK(INDEX('Policy Characteristics'!B:B,MATCH($C1248,'Policy Characteristics'!$C:$C,0))),"",INDEX('Policy Characteristics'!B:B,MATCH($C1248,'Policy Characteristics'!$C:$C,0)))</f>
        <v>Hydrogen Combustion</v>
      </c>
      <c r="C1248" s="254" t="str">
        <f t="shared" si="46"/>
        <v>Fraction of Eligible Industrial Energy Use Shifted to Hydrogen</v>
      </c>
      <c r="D1248" s="6" t="s">
        <v>3081</v>
      </c>
      <c r="E1248" s="1" t="s">
        <v>3518</v>
      </c>
      <c r="F1248" t="s">
        <v>3043</v>
      </c>
      <c r="G1248" s="45" t="s">
        <v>3525</v>
      </c>
      <c r="H1248" s="43">
        <v>2197</v>
      </c>
      <c r="I1248" s="324" t="s">
        <v>43</v>
      </c>
      <c r="J1248" s="255" t="str">
        <f>IF(ISBLANK(INDEX('Policy Characteristics'!D:D,MATCH($C1248,'Policy Characteristics'!$C:$C,0))),"",INDEX('Policy Characteristics'!D:D,MATCH($C1248,'Policy Characteristics'!$C:$C,0)))</f>
        <v>Hydrogen Combustion</v>
      </c>
      <c r="K1248" s="254" t="str">
        <f>IF(ISBLANK(INDEX('Policy Characteristics'!E:E,MATCH($C1248,'Policy Characteristics'!$C:$C,0))),"",INDEX('Policy Characteristics'!E:E,MATCH($C1248,'Policy Characteristics'!$C:$C,0)))</f>
        <v>indst shift to hydrogen</v>
      </c>
      <c r="L1248" s="261">
        <f>IF(ISBLANK(INDEX('Policy Characteristics'!F:F,MATCH($C1248,'Policy Characteristics'!$C:$C,0))),"",INDEX('Policy Characteristics'!F:F,MATCH($C1248,'Policy Characteristics'!$C:$C,0)))</f>
        <v>0</v>
      </c>
      <c r="M1248" s="261">
        <f>IF(ISBLANK(INDEX('Policy Characteristics'!G:G,MATCH($C1248,'Policy Characteristics'!$C:$C,0))),"",INDEX('Policy Characteristics'!G:G,MATCH($C1248,'Policy Characteristics'!$C:$C,0)))</f>
        <v>1</v>
      </c>
      <c r="N1248" s="261">
        <f>IF(ISBLANK(INDEX('Policy Characteristics'!H:H,MATCH($C1248,'Policy Characteristics'!$C:$C,0))),"",INDEX('Policy Characteristics'!H:H,MATCH($C1248,'Policy Characteristics'!$C:$C,0)))</f>
        <v>0.01</v>
      </c>
      <c r="O1248" s="254" t="str">
        <f>IF(ISBLANK(INDEX('Policy Characteristics'!I:I,MATCH($C1248,'Policy Characteristics'!$C:$C,0))),"",INDEX('Policy Characteristics'!I:I,MATCH($C1248,'Policy Characteristics'!$C:$C,0)))</f>
        <v>% of fuel shifted</v>
      </c>
      <c r="P1248" s="254"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4" t="str">
        <f>IF(ISBLANK(INDEX('Policy Characteristics'!K:K,MATCH($C1248,'Policy Characteristics'!$C:$C,0))),"",INDEX('Policy Characteristics'!K:K,MATCH($C1248,'Policy Characteristics'!$C:$C,0)))</f>
        <v>industry-ag-main.html#fuel-switching</v>
      </c>
      <c r="R1248" s="254" t="str">
        <f>IF(ISBLANK(INDEX('Policy Characteristics'!L:L,MATCH($C1248,'Policy Characteristics'!$C:$C,0))),"",INDEX('Policy Characteristics'!L:L,MATCH($C1248,'Policy Characteristics'!$C:$C,0)))</f>
        <v>industry-elec-and-hydrogen.html</v>
      </c>
    </row>
    <row r="1249" spans="1:18" s="2" customFormat="1" x14ac:dyDescent="0.3">
      <c r="A1249" s="254" t="str">
        <f>IF(ISBLANK(INDEX('Policy Characteristics'!A:A,MATCH($C1249,'Policy Characteristics'!$C:$C,0))),"",INDEX('Policy Characteristics'!A:A,MATCH($C1249,'Policy Characteristics'!$C:$C,0)))</f>
        <v>Industry</v>
      </c>
      <c r="B1249" s="262" t="str">
        <f>IF(ISBLANK(INDEX('Policy Characteristics'!B:B,MATCH($C1249,'Policy Characteristics'!$C:$C,0))),"",INDEX('Policy Characteristics'!B:B,MATCH($C1249,'Policy Characteristics'!$C:$C,0)))</f>
        <v>Hydrogen Combustion</v>
      </c>
      <c r="C1249" s="254" t="str">
        <f t="shared" si="46"/>
        <v>Fraction of Eligible Industrial Energy Use Shifted to Hydrogen</v>
      </c>
      <c r="D1249" s="6" t="s">
        <v>3081</v>
      </c>
      <c r="E1249" s="1" t="s">
        <v>3519</v>
      </c>
      <c r="F1249" t="s">
        <v>3043</v>
      </c>
      <c r="G1249" s="45" t="s">
        <v>3526</v>
      </c>
      <c r="H1249" s="43">
        <v>2198</v>
      </c>
      <c r="I1249" s="324" t="s">
        <v>44</v>
      </c>
      <c r="J1249" s="255" t="str">
        <f>IF(ISBLANK(INDEX('Policy Characteristics'!D:D,MATCH($C1249,'Policy Characteristics'!$C:$C,0))),"",INDEX('Policy Characteristics'!D:D,MATCH($C1249,'Policy Characteristics'!$C:$C,0)))</f>
        <v>Hydrogen Combustion</v>
      </c>
      <c r="K1249" s="254" t="str">
        <f>IF(ISBLANK(INDEX('Policy Characteristics'!E:E,MATCH($C1249,'Policy Characteristics'!$C:$C,0))),"",INDEX('Policy Characteristics'!E:E,MATCH($C1249,'Policy Characteristics'!$C:$C,0)))</f>
        <v>indst shift to hydrogen</v>
      </c>
      <c r="L1249" s="261">
        <f>IF(ISBLANK(INDEX('Policy Characteristics'!F:F,MATCH($C1249,'Policy Characteristics'!$C:$C,0))),"",INDEX('Policy Characteristics'!F:F,MATCH($C1249,'Policy Characteristics'!$C:$C,0)))</f>
        <v>0</v>
      </c>
      <c r="M1249" s="261">
        <f>IF(ISBLANK(INDEX('Policy Characteristics'!G:G,MATCH($C1249,'Policy Characteristics'!$C:$C,0))),"",INDEX('Policy Characteristics'!G:G,MATCH($C1249,'Policy Characteristics'!$C:$C,0)))</f>
        <v>1</v>
      </c>
      <c r="N1249" s="261">
        <f>IF(ISBLANK(INDEX('Policy Characteristics'!H:H,MATCH($C1249,'Policy Characteristics'!$C:$C,0))),"",INDEX('Policy Characteristics'!H:H,MATCH($C1249,'Policy Characteristics'!$C:$C,0)))</f>
        <v>0.01</v>
      </c>
      <c r="O1249" s="254" t="str">
        <f>IF(ISBLANK(INDEX('Policy Characteristics'!I:I,MATCH($C1249,'Policy Characteristics'!$C:$C,0))),"",INDEX('Policy Characteristics'!I:I,MATCH($C1249,'Policy Characteristics'!$C:$C,0)))</f>
        <v>% of fuel shifted</v>
      </c>
      <c r="P1249" s="254"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4" t="str">
        <f>IF(ISBLANK(INDEX('Policy Characteristics'!K:K,MATCH($C1249,'Policy Characteristics'!$C:$C,0))),"",INDEX('Policy Characteristics'!K:K,MATCH($C1249,'Policy Characteristics'!$C:$C,0)))</f>
        <v>industry-ag-main.html#fuel-switching</v>
      </c>
      <c r="R1249" s="254" t="str">
        <f>IF(ISBLANK(INDEX('Policy Characteristics'!L:L,MATCH($C1249,'Policy Characteristics'!$C:$C,0))),"",INDEX('Policy Characteristics'!L:L,MATCH($C1249,'Policy Characteristics'!$C:$C,0)))</f>
        <v>industry-elec-and-hydrogen.html</v>
      </c>
    </row>
    <row r="1250" spans="1:18" s="2" customFormat="1" x14ac:dyDescent="0.3">
      <c r="A1250" s="254" t="str">
        <f>IF(ISBLANK(INDEX('Policy Characteristics'!A:A,MATCH($C1250,'Policy Characteristics'!$C:$C,0))),"",INDEX('Policy Characteristics'!A:A,MATCH($C1250,'Policy Characteristics'!$C:$C,0)))</f>
        <v>Industry</v>
      </c>
      <c r="B1250" s="262" t="str">
        <f>IF(ISBLANK(INDEX('Policy Characteristics'!B:B,MATCH($C1250,'Policy Characteristics'!$C:$C,0))),"",INDEX('Policy Characteristics'!B:B,MATCH($C1250,'Policy Characteristics'!$C:$C,0)))</f>
        <v>Hydrogen Combustion</v>
      </c>
      <c r="C1250" s="254" t="str">
        <f t="shared" si="46"/>
        <v>Fraction of Eligible Industrial Energy Use Shifted to Hydrogen</v>
      </c>
      <c r="D1250" s="6" t="s">
        <v>3081</v>
      </c>
      <c r="E1250" s="1" t="s">
        <v>3520</v>
      </c>
      <c r="F1250" t="s">
        <v>3043</v>
      </c>
      <c r="G1250" s="45" t="s">
        <v>3527</v>
      </c>
      <c r="H1250" s="43">
        <v>2199</v>
      </c>
      <c r="I1250" s="324" t="s">
        <v>43</v>
      </c>
      <c r="J1250" s="255" t="str">
        <f>IF(ISBLANK(INDEX('Policy Characteristics'!D:D,MATCH($C1250,'Policy Characteristics'!$C:$C,0))),"",INDEX('Policy Characteristics'!D:D,MATCH($C1250,'Policy Characteristics'!$C:$C,0)))</f>
        <v>Hydrogen Combustion</v>
      </c>
      <c r="K1250" s="254" t="str">
        <f>IF(ISBLANK(INDEX('Policy Characteristics'!E:E,MATCH($C1250,'Policy Characteristics'!$C:$C,0))),"",INDEX('Policy Characteristics'!E:E,MATCH($C1250,'Policy Characteristics'!$C:$C,0)))</f>
        <v>indst shift to hydrogen</v>
      </c>
      <c r="L1250" s="261">
        <f>IF(ISBLANK(INDEX('Policy Characteristics'!F:F,MATCH($C1250,'Policy Characteristics'!$C:$C,0))),"",INDEX('Policy Characteristics'!F:F,MATCH($C1250,'Policy Characteristics'!$C:$C,0)))</f>
        <v>0</v>
      </c>
      <c r="M1250" s="261">
        <f>IF(ISBLANK(INDEX('Policy Characteristics'!G:G,MATCH($C1250,'Policy Characteristics'!$C:$C,0))),"",INDEX('Policy Characteristics'!G:G,MATCH($C1250,'Policy Characteristics'!$C:$C,0)))</f>
        <v>1</v>
      </c>
      <c r="N1250" s="261">
        <f>IF(ISBLANK(INDEX('Policy Characteristics'!H:H,MATCH($C1250,'Policy Characteristics'!$C:$C,0))),"",INDEX('Policy Characteristics'!H:H,MATCH($C1250,'Policy Characteristics'!$C:$C,0)))</f>
        <v>0.01</v>
      </c>
      <c r="O1250" s="254" t="str">
        <f>IF(ISBLANK(INDEX('Policy Characteristics'!I:I,MATCH($C1250,'Policy Characteristics'!$C:$C,0))),"",INDEX('Policy Characteristics'!I:I,MATCH($C1250,'Policy Characteristics'!$C:$C,0)))</f>
        <v>% of fuel shifted</v>
      </c>
      <c r="P1250" s="254"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4" t="str">
        <f>IF(ISBLANK(INDEX('Policy Characteristics'!K:K,MATCH($C1250,'Policy Characteristics'!$C:$C,0))),"",INDEX('Policy Characteristics'!K:K,MATCH($C1250,'Policy Characteristics'!$C:$C,0)))</f>
        <v>industry-ag-main.html#fuel-switching</v>
      </c>
      <c r="R1250" s="254" t="str">
        <f>IF(ISBLANK(INDEX('Policy Characteristics'!L:L,MATCH($C1250,'Policy Characteristics'!$C:$C,0))),"",INDEX('Policy Characteristics'!L:L,MATCH($C1250,'Policy Characteristics'!$C:$C,0)))</f>
        <v>industry-elec-and-hydrogen.html</v>
      </c>
    </row>
    <row r="1251" spans="1:18" s="2" customFormat="1" x14ac:dyDescent="0.3">
      <c r="A1251" s="254" t="str">
        <f>IF(ISBLANK(INDEX('Policy Characteristics'!A:A,MATCH($C1251,'Policy Characteristics'!$C:$C,0))),"",INDEX('Policy Characteristics'!A:A,MATCH($C1251,'Policy Characteristics'!$C:$C,0)))</f>
        <v>Industry</v>
      </c>
      <c r="B1251" s="262" t="str">
        <f>IF(ISBLANK(INDEX('Policy Characteristics'!B:B,MATCH($C1251,'Policy Characteristics'!$C:$C,0))),"",INDEX('Policy Characteristics'!B:B,MATCH($C1251,'Policy Characteristics'!$C:$C,0)))</f>
        <v>Hydrogen Combustion</v>
      </c>
      <c r="C1251" s="254" t="str">
        <f t="shared" si="46"/>
        <v>Fraction of Eligible Industrial Energy Use Shifted to Hydrogen</v>
      </c>
      <c r="D1251" s="6" t="s">
        <v>3081</v>
      </c>
      <c r="E1251" s="1" t="s">
        <v>3521</v>
      </c>
      <c r="F1251" t="s">
        <v>3043</v>
      </c>
      <c r="G1251" s="45" t="s">
        <v>3528</v>
      </c>
      <c r="H1251" s="43">
        <v>2200</v>
      </c>
      <c r="I1251" s="324" t="s">
        <v>44</v>
      </c>
      <c r="J1251" s="255" t="str">
        <f>IF(ISBLANK(INDEX('Policy Characteristics'!D:D,MATCH($C1251,'Policy Characteristics'!$C:$C,0))),"",INDEX('Policy Characteristics'!D:D,MATCH($C1251,'Policy Characteristics'!$C:$C,0)))</f>
        <v>Hydrogen Combustion</v>
      </c>
      <c r="K1251" s="254" t="str">
        <f>IF(ISBLANK(INDEX('Policy Characteristics'!E:E,MATCH($C1251,'Policy Characteristics'!$C:$C,0))),"",INDEX('Policy Characteristics'!E:E,MATCH($C1251,'Policy Characteristics'!$C:$C,0)))</f>
        <v>indst shift to hydrogen</v>
      </c>
      <c r="L1251" s="261">
        <f>IF(ISBLANK(INDEX('Policy Characteristics'!F:F,MATCH($C1251,'Policy Characteristics'!$C:$C,0))),"",INDEX('Policy Characteristics'!F:F,MATCH($C1251,'Policy Characteristics'!$C:$C,0)))</f>
        <v>0</v>
      </c>
      <c r="M1251" s="261">
        <f>IF(ISBLANK(INDEX('Policy Characteristics'!G:G,MATCH($C1251,'Policy Characteristics'!$C:$C,0))),"",INDEX('Policy Characteristics'!G:G,MATCH($C1251,'Policy Characteristics'!$C:$C,0)))</f>
        <v>1</v>
      </c>
      <c r="N1251" s="261">
        <f>IF(ISBLANK(INDEX('Policy Characteristics'!H:H,MATCH($C1251,'Policy Characteristics'!$C:$C,0))),"",INDEX('Policy Characteristics'!H:H,MATCH($C1251,'Policy Characteristics'!$C:$C,0)))</f>
        <v>0.01</v>
      </c>
      <c r="O1251" s="254" t="str">
        <f>IF(ISBLANK(INDEX('Policy Characteristics'!I:I,MATCH($C1251,'Policy Characteristics'!$C:$C,0))),"",INDEX('Policy Characteristics'!I:I,MATCH($C1251,'Policy Characteristics'!$C:$C,0)))</f>
        <v>% of fuel shifted</v>
      </c>
      <c r="P1251" s="254"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4" t="str">
        <f>IF(ISBLANK(INDEX('Policy Characteristics'!K:K,MATCH($C1251,'Policy Characteristics'!$C:$C,0))),"",INDEX('Policy Characteristics'!K:K,MATCH($C1251,'Policy Characteristics'!$C:$C,0)))</f>
        <v>industry-ag-main.html#fuel-switching</v>
      </c>
      <c r="R1251" s="254" t="str">
        <f>IF(ISBLANK(INDEX('Policy Characteristics'!L:L,MATCH($C1251,'Policy Characteristics'!$C:$C,0))),"",INDEX('Policy Characteristics'!L:L,MATCH($C1251,'Policy Characteristics'!$C:$C,0)))</f>
        <v>industry-elec-and-hydrogen.html</v>
      </c>
    </row>
    <row r="1252" spans="1:18" s="2" customFormat="1" x14ac:dyDescent="0.3">
      <c r="A1252" s="254" t="str">
        <f>IF(ISBLANK(INDEX('Policy Characteristics'!A:A,MATCH($C1252,'Policy Characteristics'!$C:$C,0))),"",INDEX('Policy Characteristics'!A:A,MATCH($C1252,'Policy Characteristics'!$C:$C,0)))</f>
        <v>Industry</v>
      </c>
      <c r="B1252" s="262" t="str">
        <f>IF(ISBLANK(INDEX('Policy Characteristics'!B:B,MATCH($C1252,'Policy Characteristics'!$C:$C,0))),"",INDEX('Policy Characteristics'!B:B,MATCH($C1252,'Policy Characteristics'!$C:$C,0)))</f>
        <v>Hydrogen Combustion</v>
      </c>
      <c r="C1252" s="254" t="str">
        <f t="shared" si="46"/>
        <v>Fraction of Eligible Industrial Energy Use Shifted to Hydrogen</v>
      </c>
      <c r="D1252" s="6" t="s">
        <v>3081</v>
      </c>
      <c r="E1252" s="1" t="s">
        <v>3671</v>
      </c>
      <c r="F1252" t="s">
        <v>3043</v>
      </c>
      <c r="G1252" s="45" t="s">
        <v>3671</v>
      </c>
      <c r="H1252" s="43">
        <v>2201</v>
      </c>
      <c r="I1252" s="324" t="s">
        <v>44</v>
      </c>
      <c r="J1252" s="255" t="str">
        <f>IF(ISBLANK(INDEX('Policy Characteristics'!D:D,MATCH($C1252,'Policy Characteristics'!$C:$C,0))),"",INDEX('Policy Characteristics'!D:D,MATCH($C1252,'Policy Characteristics'!$C:$C,0)))</f>
        <v>Hydrogen Combustion</v>
      </c>
      <c r="K1252" s="254" t="str">
        <f>IF(ISBLANK(INDEX('Policy Characteristics'!E:E,MATCH($C1252,'Policy Characteristics'!$C:$C,0))),"",INDEX('Policy Characteristics'!E:E,MATCH($C1252,'Policy Characteristics'!$C:$C,0)))</f>
        <v>indst shift to hydrogen</v>
      </c>
      <c r="L1252" s="261">
        <f>IF(ISBLANK(INDEX('Policy Characteristics'!F:F,MATCH($C1252,'Policy Characteristics'!$C:$C,0))),"",INDEX('Policy Characteristics'!F:F,MATCH($C1252,'Policy Characteristics'!$C:$C,0)))</f>
        <v>0</v>
      </c>
      <c r="M1252" s="261">
        <f>IF(ISBLANK(INDEX('Policy Characteristics'!G:G,MATCH($C1252,'Policy Characteristics'!$C:$C,0))),"",INDEX('Policy Characteristics'!G:G,MATCH($C1252,'Policy Characteristics'!$C:$C,0)))</f>
        <v>1</v>
      </c>
      <c r="N1252" s="261">
        <f>IF(ISBLANK(INDEX('Policy Characteristics'!H:H,MATCH($C1252,'Policy Characteristics'!$C:$C,0))),"",INDEX('Policy Characteristics'!H:H,MATCH($C1252,'Policy Characteristics'!$C:$C,0)))</f>
        <v>0.01</v>
      </c>
      <c r="O1252" s="254" t="str">
        <f>IF(ISBLANK(INDEX('Policy Characteristics'!I:I,MATCH($C1252,'Policy Characteristics'!$C:$C,0))),"",INDEX('Policy Characteristics'!I:I,MATCH($C1252,'Policy Characteristics'!$C:$C,0)))</f>
        <v>% of fuel shifted</v>
      </c>
      <c r="P1252" s="254"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4" t="str">
        <f>IF(ISBLANK(INDEX('Policy Characteristics'!K:K,MATCH($C1252,'Policy Characteristics'!$C:$C,0))),"",INDEX('Policy Characteristics'!K:K,MATCH($C1252,'Policy Characteristics'!$C:$C,0)))</f>
        <v>industry-ag-main.html#fuel-switching</v>
      </c>
      <c r="R1252" s="254" t="str">
        <f>IF(ISBLANK(INDEX('Policy Characteristics'!L:L,MATCH($C1252,'Policy Characteristics'!$C:$C,0))),"",INDEX('Policy Characteristics'!L:L,MATCH($C1252,'Policy Characteristics'!$C:$C,0)))</f>
        <v>industry-elec-and-hydrogen.html</v>
      </c>
    </row>
    <row r="1253" spans="1:18" s="2" customFormat="1" x14ac:dyDescent="0.3">
      <c r="A1253" s="254" t="str">
        <f>IF(ISBLANK(INDEX('Policy Characteristics'!A:A,MATCH($C1253,'Policy Characteristics'!$C:$C,0))),"",INDEX('Policy Characteristics'!A:A,MATCH($C1253,'Policy Characteristics'!$C:$C,0)))</f>
        <v>Industry</v>
      </c>
      <c r="B1253" s="262" t="str">
        <f>IF(ISBLANK(INDEX('Policy Characteristics'!B:B,MATCH($C1253,'Policy Characteristics'!$C:$C,0))),"",INDEX('Policy Characteristics'!B:B,MATCH($C1253,'Policy Characteristics'!$C:$C,0)))</f>
        <v>Hydrogen Combustion</v>
      </c>
      <c r="C1253" s="254" t="str">
        <f t="shared" si="46"/>
        <v>Fraction of Eligible Industrial Energy Use Shifted to Hydrogen</v>
      </c>
      <c r="D1253" s="6" t="s">
        <v>3082</v>
      </c>
      <c r="E1253" s="1" t="s">
        <v>3515</v>
      </c>
      <c r="F1253" t="s">
        <v>3044</v>
      </c>
      <c r="G1253" s="45" t="s">
        <v>3522</v>
      </c>
      <c r="H1253" s="43">
        <v>2202</v>
      </c>
      <c r="I1253" s="324" t="s">
        <v>43</v>
      </c>
      <c r="J1253" s="255" t="str">
        <f>IF(ISBLANK(INDEX('Policy Characteristics'!D:D,MATCH($C1253,'Policy Characteristics'!$C:$C,0))),"",INDEX('Policy Characteristics'!D:D,MATCH($C1253,'Policy Characteristics'!$C:$C,0)))</f>
        <v>Hydrogen Combustion</v>
      </c>
      <c r="K1253" s="254" t="str">
        <f>IF(ISBLANK(INDEX('Policy Characteristics'!E:E,MATCH($C1253,'Policy Characteristics'!$C:$C,0))),"",INDEX('Policy Characteristics'!E:E,MATCH($C1253,'Policy Characteristics'!$C:$C,0)))</f>
        <v>indst shift to hydrogen</v>
      </c>
      <c r="L1253" s="261">
        <f>IF(ISBLANK(INDEX('Policy Characteristics'!F:F,MATCH($C1253,'Policy Characteristics'!$C:$C,0))),"",INDEX('Policy Characteristics'!F:F,MATCH($C1253,'Policy Characteristics'!$C:$C,0)))</f>
        <v>0</v>
      </c>
      <c r="M1253" s="261">
        <f>IF(ISBLANK(INDEX('Policy Characteristics'!G:G,MATCH($C1253,'Policy Characteristics'!$C:$C,0))),"",INDEX('Policy Characteristics'!G:G,MATCH($C1253,'Policy Characteristics'!$C:$C,0)))</f>
        <v>1</v>
      </c>
      <c r="N1253" s="261">
        <f>IF(ISBLANK(INDEX('Policy Characteristics'!H:H,MATCH($C1253,'Policy Characteristics'!$C:$C,0))),"",INDEX('Policy Characteristics'!H:H,MATCH($C1253,'Policy Characteristics'!$C:$C,0)))</f>
        <v>0.01</v>
      </c>
      <c r="O1253" s="254" t="str">
        <f>IF(ISBLANK(INDEX('Policy Characteristics'!I:I,MATCH($C1253,'Policy Characteristics'!$C:$C,0))),"",INDEX('Policy Characteristics'!I:I,MATCH($C1253,'Policy Characteristics'!$C:$C,0)))</f>
        <v>% of fuel shifted</v>
      </c>
      <c r="P1253" s="254"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4" t="str">
        <f>IF(ISBLANK(INDEX('Policy Characteristics'!K:K,MATCH($C1253,'Policy Characteristics'!$C:$C,0))),"",INDEX('Policy Characteristics'!K:K,MATCH($C1253,'Policy Characteristics'!$C:$C,0)))</f>
        <v>industry-ag-main.html#fuel-switching</v>
      </c>
      <c r="R1253" s="254" t="str">
        <f>IF(ISBLANK(INDEX('Policy Characteristics'!L:L,MATCH($C1253,'Policy Characteristics'!$C:$C,0))),"",INDEX('Policy Characteristics'!L:L,MATCH($C1253,'Policy Characteristics'!$C:$C,0)))</f>
        <v>industry-elec-and-hydrogen.html</v>
      </c>
    </row>
    <row r="1254" spans="1:18" s="2" customFormat="1" x14ac:dyDescent="0.3">
      <c r="A1254" s="254" t="str">
        <f>IF(ISBLANK(INDEX('Policy Characteristics'!A:A,MATCH($C1254,'Policy Characteristics'!$C:$C,0))),"",INDEX('Policy Characteristics'!A:A,MATCH($C1254,'Policy Characteristics'!$C:$C,0)))</f>
        <v>Industry</v>
      </c>
      <c r="B1254" s="262" t="str">
        <f>IF(ISBLANK(INDEX('Policy Characteristics'!B:B,MATCH($C1254,'Policy Characteristics'!$C:$C,0))),"",INDEX('Policy Characteristics'!B:B,MATCH($C1254,'Policy Characteristics'!$C:$C,0)))</f>
        <v>Hydrogen Combustion</v>
      </c>
      <c r="C1254" s="254" t="str">
        <f t="shared" si="46"/>
        <v>Fraction of Eligible Industrial Energy Use Shifted to Hydrogen</v>
      </c>
      <c r="D1254" s="6" t="s">
        <v>3082</v>
      </c>
      <c r="E1254" s="1" t="s">
        <v>3516</v>
      </c>
      <c r="F1254" t="s">
        <v>3044</v>
      </c>
      <c r="G1254" s="45" t="s">
        <v>3523</v>
      </c>
      <c r="H1254" s="43">
        <v>2203</v>
      </c>
      <c r="I1254" s="324" t="s">
        <v>43</v>
      </c>
      <c r="J1254" s="255" t="str">
        <f>IF(ISBLANK(INDEX('Policy Characteristics'!D:D,MATCH($C1254,'Policy Characteristics'!$C:$C,0))),"",INDEX('Policy Characteristics'!D:D,MATCH($C1254,'Policy Characteristics'!$C:$C,0)))</f>
        <v>Hydrogen Combustion</v>
      </c>
      <c r="K1254" s="254" t="str">
        <f>IF(ISBLANK(INDEX('Policy Characteristics'!E:E,MATCH($C1254,'Policy Characteristics'!$C:$C,0))),"",INDEX('Policy Characteristics'!E:E,MATCH($C1254,'Policy Characteristics'!$C:$C,0)))</f>
        <v>indst shift to hydrogen</v>
      </c>
      <c r="L1254" s="261">
        <f>IF(ISBLANK(INDEX('Policy Characteristics'!F:F,MATCH($C1254,'Policy Characteristics'!$C:$C,0))),"",INDEX('Policy Characteristics'!F:F,MATCH($C1254,'Policy Characteristics'!$C:$C,0)))</f>
        <v>0</v>
      </c>
      <c r="M1254" s="261">
        <f>IF(ISBLANK(INDEX('Policy Characteristics'!G:G,MATCH($C1254,'Policy Characteristics'!$C:$C,0))),"",INDEX('Policy Characteristics'!G:G,MATCH($C1254,'Policy Characteristics'!$C:$C,0)))</f>
        <v>1</v>
      </c>
      <c r="N1254" s="261">
        <f>IF(ISBLANK(INDEX('Policy Characteristics'!H:H,MATCH($C1254,'Policy Characteristics'!$C:$C,0))),"",INDEX('Policy Characteristics'!H:H,MATCH($C1254,'Policy Characteristics'!$C:$C,0)))</f>
        <v>0.01</v>
      </c>
      <c r="O1254" s="254" t="str">
        <f>IF(ISBLANK(INDEX('Policy Characteristics'!I:I,MATCH($C1254,'Policy Characteristics'!$C:$C,0))),"",INDEX('Policy Characteristics'!I:I,MATCH($C1254,'Policy Characteristics'!$C:$C,0)))</f>
        <v>% of fuel shifted</v>
      </c>
      <c r="P1254" s="254"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4" t="str">
        <f>IF(ISBLANK(INDEX('Policy Characteristics'!K:K,MATCH($C1254,'Policy Characteristics'!$C:$C,0))),"",INDEX('Policy Characteristics'!K:K,MATCH($C1254,'Policy Characteristics'!$C:$C,0)))</f>
        <v>industry-ag-main.html#fuel-switching</v>
      </c>
      <c r="R1254" s="254" t="str">
        <f>IF(ISBLANK(INDEX('Policy Characteristics'!L:L,MATCH($C1254,'Policy Characteristics'!$C:$C,0))),"",INDEX('Policy Characteristics'!L:L,MATCH($C1254,'Policy Characteristics'!$C:$C,0)))</f>
        <v>industry-elec-and-hydrogen.html</v>
      </c>
    </row>
    <row r="1255" spans="1:18" s="2" customFormat="1" x14ac:dyDescent="0.3">
      <c r="A1255" s="254" t="str">
        <f>IF(ISBLANK(INDEX('Policy Characteristics'!A:A,MATCH($C1255,'Policy Characteristics'!$C:$C,0))),"",INDEX('Policy Characteristics'!A:A,MATCH($C1255,'Policy Characteristics'!$C:$C,0)))</f>
        <v>Industry</v>
      </c>
      <c r="B1255" s="262" t="str">
        <f>IF(ISBLANK(INDEX('Policy Characteristics'!B:B,MATCH($C1255,'Policy Characteristics'!$C:$C,0))),"",INDEX('Policy Characteristics'!B:B,MATCH($C1255,'Policy Characteristics'!$C:$C,0)))</f>
        <v>Hydrogen Combustion</v>
      </c>
      <c r="C1255" s="254" t="str">
        <f t="shared" si="46"/>
        <v>Fraction of Eligible Industrial Energy Use Shifted to Hydrogen</v>
      </c>
      <c r="D1255" s="6" t="s">
        <v>3082</v>
      </c>
      <c r="E1255" s="1" t="s">
        <v>3517</v>
      </c>
      <c r="F1255" t="s">
        <v>3044</v>
      </c>
      <c r="G1255" s="45" t="s">
        <v>3524</v>
      </c>
      <c r="H1255" s="43">
        <v>2204</v>
      </c>
      <c r="I1255" s="324" t="s">
        <v>43</v>
      </c>
      <c r="J1255" s="255" t="str">
        <f>IF(ISBLANK(INDEX('Policy Characteristics'!D:D,MATCH($C1255,'Policy Characteristics'!$C:$C,0))),"",INDEX('Policy Characteristics'!D:D,MATCH($C1255,'Policy Characteristics'!$C:$C,0)))</f>
        <v>Hydrogen Combustion</v>
      </c>
      <c r="K1255" s="254" t="str">
        <f>IF(ISBLANK(INDEX('Policy Characteristics'!E:E,MATCH($C1255,'Policy Characteristics'!$C:$C,0))),"",INDEX('Policy Characteristics'!E:E,MATCH($C1255,'Policy Characteristics'!$C:$C,0)))</f>
        <v>indst shift to hydrogen</v>
      </c>
      <c r="L1255" s="261">
        <f>IF(ISBLANK(INDEX('Policy Characteristics'!F:F,MATCH($C1255,'Policy Characteristics'!$C:$C,0))),"",INDEX('Policy Characteristics'!F:F,MATCH($C1255,'Policy Characteristics'!$C:$C,0)))</f>
        <v>0</v>
      </c>
      <c r="M1255" s="261">
        <f>IF(ISBLANK(INDEX('Policy Characteristics'!G:G,MATCH($C1255,'Policy Characteristics'!$C:$C,0))),"",INDEX('Policy Characteristics'!G:G,MATCH($C1255,'Policy Characteristics'!$C:$C,0)))</f>
        <v>1</v>
      </c>
      <c r="N1255" s="261">
        <f>IF(ISBLANK(INDEX('Policy Characteristics'!H:H,MATCH($C1255,'Policy Characteristics'!$C:$C,0))),"",INDEX('Policy Characteristics'!H:H,MATCH($C1255,'Policy Characteristics'!$C:$C,0)))</f>
        <v>0.01</v>
      </c>
      <c r="O1255" s="254" t="str">
        <f>IF(ISBLANK(INDEX('Policy Characteristics'!I:I,MATCH($C1255,'Policy Characteristics'!$C:$C,0))),"",INDEX('Policy Characteristics'!I:I,MATCH($C1255,'Policy Characteristics'!$C:$C,0)))</f>
        <v>% of fuel shifted</v>
      </c>
      <c r="P1255" s="254"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4" t="str">
        <f>IF(ISBLANK(INDEX('Policy Characteristics'!K:K,MATCH($C1255,'Policy Characteristics'!$C:$C,0))),"",INDEX('Policy Characteristics'!K:K,MATCH($C1255,'Policy Characteristics'!$C:$C,0)))</f>
        <v>industry-ag-main.html#fuel-switching</v>
      </c>
      <c r="R1255" s="254" t="str">
        <f>IF(ISBLANK(INDEX('Policy Characteristics'!L:L,MATCH($C1255,'Policy Characteristics'!$C:$C,0))),"",INDEX('Policy Characteristics'!L:L,MATCH($C1255,'Policy Characteristics'!$C:$C,0)))</f>
        <v>industry-elec-and-hydrogen.html</v>
      </c>
    </row>
    <row r="1256" spans="1:18" s="2" customFormat="1" x14ac:dyDescent="0.3">
      <c r="A1256" s="254" t="str">
        <f>IF(ISBLANK(INDEX('Policy Characteristics'!A:A,MATCH($C1256,'Policy Characteristics'!$C:$C,0))),"",INDEX('Policy Characteristics'!A:A,MATCH($C1256,'Policy Characteristics'!$C:$C,0)))</f>
        <v>Industry</v>
      </c>
      <c r="B1256" s="262" t="str">
        <f>IF(ISBLANK(INDEX('Policy Characteristics'!B:B,MATCH($C1256,'Policy Characteristics'!$C:$C,0))),"",INDEX('Policy Characteristics'!B:B,MATCH($C1256,'Policy Characteristics'!$C:$C,0)))</f>
        <v>Hydrogen Combustion</v>
      </c>
      <c r="C1256" s="254" t="str">
        <f t="shared" si="46"/>
        <v>Fraction of Eligible Industrial Energy Use Shifted to Hydrogen</v>
      </c>
      <c r="D1256" s="6" t="s">
        <v>3082</v>
      </c>
      <c r="E1256" s="1" t="s">
        <v>3518</v>
      </c>
      <c r="F1256" t="s">
        <v>3044</v>
      </c>
      <c r="G1256" s="45" t="s">
        <v>3525</v>
      </c>
      <c r="H1256" s="43">
        <v>2205</v>
      </c>
      <c r="I1256" s="324" t="s">
        <v>43</v>
      </c>
      <c r="J1256" s="255" t="str">
        <f>IF(ISBLANK(INDEX('Policy Characteristics'!D:D,MATCH($C1256,'Policy Characteristics'!$C:$C,0))),"",INDEX('Policy Characteristics'!D:D,MATCH($C1256,'Policy Characteristics'!$C:$C,0)))</f>
        <v>Hydrogen Combustion</v>
      </c>
      <c r="K1256" s="254" t="str">
        <f>IF(ISBLANK(INDEX('Policy Characteristics'!E:E,MATCH($C1256,'Policy Characteristics'!$C:$C,0))),"",INDEX('Policy Characteristics'!E:E,MATCH($C1256,'Policy Characteristics'!$C:$C,0)))</f>
        <v>indst shift to hydrogen</v>
      </c>
      <c r="L1256" s="261">
        <f>IF(ISBLANK(INDEX('Policy Characteristics'!F:F,MATCH($C1256,'Policy Characteristics'!$C:$C,0))),"",INDEX('Policy Characteristics'!F:F,MATCH($C1256,'Policy Characteristics'!$C:$C,0)))</f>
        <v>0</v>
      </c>
      <c r="M1256" s="261">
        <f>IF(ISBLANK(INDEX('Policy Characteristics'!G:G,MATCH($C1256,'Policy Characteristics'!$C:$C,0))),"",INDEX('Policy Characteristics'!G:G,MATCH($C1256,'Policy Characteristics'!$C:$C,0)))</f>
        <v>1</v>
      </c>
      <c r="N1256" s="261">
        <f>IF(ISBLANK(INDEX('Policy Characteristics'!H:H,MATCH($C1256,'Policy Characteristics'!$C:$C,0))),"",INDEX('Policy Characteristics'!H:H,MATCH($C1256,'Policy Characteristics'!$C:$C,0)))</f>
        <v>0.01</v>
      </c>
      <c r="O1256" s="254" t="str">
        <f>IF(ISBLANK(INDEX('Policy Characteristics'!I:I,MATCH($C1256,'Policy Characteristics'!$C:$C,0))),"",INDEX('Policy Characteristics'!I:I,MATCH($C1256,'Policy Characteristics'!$C:$C,0)))</f>
        <v>% of fuel shifted</v>
      </c>
      <c r="P1256" s="254"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4" t="str">
        <f>IF(ISBLANK(INDEX('Policy Characteristics'!K:K,MATCH($C1256,'Policy Characteristics'!$C:$C,0))),"",INDEX('Policy Characteristics'!K:K,MATCH($C1256,'Policy Characteristics'!$C:$C,0)))</f>
        <v>industry-ag-main.html#fuel-switching</v>
      </c>
      <c r="R1256" s="254" t="str">
        <f>IF(ISBLANK(INDEX('Policy Characteristics'!L:L,MATCH($C1256,'Policy Characteristics'!$C:$C,0))),"",INDEX('Policy Characteristics'!L:L,MATCH($C1256,'Policy Characteristics'!$C:$C,0)))</f>
        <v>industry-elec-and-hydrogen.html</v>
      </c>
    </row>
    <row r="1257" spans="1:18" s="2" customFormat="1" x14ac:dyDescent="0.3">
      <c r="A1257" s="254" t="str">
        <f>IF(ISBLANK(INDEX('Policy Characteristics'!A:A,MATCH($C1257,'Policy Characteristics'!$C:$C,0))),"",INDEX('Policy Characteristics'!A:A,MATCH($C1257,'Policy Characteristics'!$C:$C,0)))</f>
        <v>Industry</v>
      </c>
      <c r="B1257" s="262" t="str">
        <f>IF(ISBLANK(INDEX('Policy Characteristics'!B:B,MATCH($C1257,'Policy Characteristics'!$C:$C,0))),"",INDEX('Policy Characteristics'!B:B,MATCH($C1257,'Policy Characteristics'!$C:$C,0)))</f>
        <v>Hydrogen Combustion</v>
      </c>
      <c r="C1257" s="254" t="str">
        <f t="shared" si="46"/>
        <v>Fraction of Eligible Industrial Energy Use Shifted to Hydrogen</v>
      </c>
      <c r="D1257" s="6" t="s">
        <v>3082</v>
      </c>
      <c r="E1257" s="1" t="s">
        <v>3519</v>
      </c>
      <c r="F1257" t="s">
        <v>3044</v>
      </c>
      <c r="G1257" s="45" t="s">
        <v>3526</v>
      </c>
      <c r="H1257" s="43">
        <v>2206</v>
      </c>
      <c r="I1257" s="324" t="s">
        <v>44</v>
      </c>
      <c r="J1257" s="255" t="str">
        <f>IF(ISBLANK(INDEX('Policy Characteristics'!D:D,MATCH($C1257,'Policy Characteristics'!$C:$C,0))),"",INDEX('Policy Characteristics'!D:D,MATCH($C1257,'Policy Characteristics'!$C:$C,0)))</f>
        <v>Hydrogen Combustion</v>
      </c>
      <c r="K1257" s="254" t="str">
        <f>IF(ISBLANK(INDEX('Policy Characteristics'!E:E,MATCH($C1257,'Policy Characteristics'!$C:$C,0))),"",INDEX('Policy Characteristics'!E:E,MATCH($C1257,'Policy Characteristics'!$C:$C,0)))</f>
        <v>indst shift to hydrogen</v>
      </c>
      <c r="L1257" s="261">
        <f>IF(ISBLANK(INDEX('Policy Characteristics'!F:F,MATCH($C1257,'Policy Characteristics'!$C:$C,0))),"",INDEX('Policy Characteristics'!F:F,MATCH($C1257,'Policy Characteristics'!$C:$C,0)))</f>
        <v>0</v>
      </c>
      <c r="M1257" s="261">
        <f>IF(ISBLANK(INDEX('Policy Characteristics'!G:G,MATCH($C1257,'Policy Characteristics'!$C:$C,0))),"",INDEX('Policy Characteristics'!G:G,MATCH($C1257,'Policy Characteristics'!$C:$C,0)))</f>
        <v>1</v>
      </c>
      <c r="N1257" s="261">
        <f>IF(ISBLANK(INDEX('Policy Characteristics'!H:H,MATCH($C1257,'Policy Characteristics'!$C:$C,0))),"",INDEX('Policy Characteristics'!H:H,MATCH($C1257,'Policy Characteristics'!$C:$C,0)))</f>
        <v>0.01</v>
      </c>
      <c r="O1257" s="254" t="str">
        <f>IF(ISBLANK(INDEX('Policy Characteristics'!I:I,MATCH($C1257,'Policy Characteristics'!$C:$C,0))),"",INDEX('Policy Characteristics'!I:I,MATCH($C1257,'Policy Characteristics'!$C:$C,0)))</f>
        <v>% of fuel shifted</v>
      </c>
      <c r="P1257" s="254"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4" t="str">
        <f>IF(ISBLANK(INDEX('Policy Characteristics'!K:K,MATCH($C1257,'Policy Characteristics'!$C:$C,0))),"",INDEX('Policy Characteristics'!K:K,MATCH($C1257,'Policy Characteristics'!$C:$C,0)))</f>
        <v>industry-ag-main.html#fuel-switching</v>
      </c>
      <c r="R1257" s="254" t="str">
        <f>IF(ISBLANK(INDEX('Policy Characteristics'!L:L,MATCH($C1257,'Policy Characteristics'!$C:$C,0))),"",INDEX('Policy Characteristics'!L:L,MATCH($C1257,'Policy Characteristics'!$C:$C,0)))</f>
        <v>industry-elec-and-hydrogen.html</v>
      </c>
    </row>
    <row r="1258" spans="1:18" s="2" customFormat="1" x14ac:dyDescent="0.3">
      <c r="A1258" s="254" t="str">
        <f>IF(ISBLANK(INDEX('Policy Characteristics'!A:A,MATCH($C1258,'Policy Characteristics'!$C:$C,0))),"",INDEX('Policy Characteristics'!A:A,MATCH($C1258,'Policy Characteristics'!$C:$C,0)))</f>
        <v>Industry</v>
      </c>
      <c r="B1258" s="262" t="str">
        <f>IF(ISBLANK(INDEX('Policy Characteristics'!B:B,MATCH($C1258,'Policy Characteristics'!$C:$C,0))),"",INDEX('Policy Characteristics'!B:B,MATCH($C1258,'Policy Characteristics'!$C:$C,0)))</f>
        <v>Hydrogen Combustion</v>
      </c>
      <c r="C1258" s="254" t="str">
        <f t="shared" si="46"/>
        <v>Fraction of Eligible Industrial Energy Use Shifted to Hydrogen</v>
      </c>
      <c r="D1258" s="6" t="s">
        <v>3082</v>
      </c>
      <c r="E1258" s="1" t="s">
        <v>3520</v>
      </c>
      <c r="F1258" t="s">
        <v>3044</v>
      </c>
      <c r="G1258" s="45" t="s">
        <v>3527</v>
      </c>
      <c r="H1258" s="43">
        <v>2207</v>
      </c>
      <c r="I1258" s="324" t="s">
        <v>43</v>
      </c>
      <c r="J1258" s="255" t="str">
        <f>IF(ISBLANK(INDEX('Policy Characteristics'!D:D,MATCH($C1258,'Policy Characteristics'!$C:$C,0))),"",INDEX('Policy Characteristics'!D:D,MATCH($C1258,'Policy Characteristics'!$C:$C,0)))</f>
        <v>Hydrogen Combustion</v>
      </c>
      <c r="K1258" s="254" t="str">
        <f>IF(ISBLANK(INDEX('Policy Characteristics'!E:E,MATCH($C1258,'Policy Characteristics'!$C:$C,0))),"",INDEX('Policy Characteristics'!E:E,MATCH($C1258,'Policy Characteristics'!$C:$C,0)))</f>
        <v>indst shift to hydrogen</v>
      </c>
      <c r="L1258" s="261">
        <f>IF(ISBLANK(INDEX('Policy Characteristics'!F:F,MATCH($C1258,'Policy Characteristics'!$C:$C,0))),"",INDEX('Policy Characteristics'!F:F,MATCH($C1258,'Policy Characteristics'!$C:$C,0)))</f>
        <v>0</v>
      </c>
      <c r="M1258" s="261">
        <f>IF(ISBLANK(INDEX('Policy Characteristics'!G:G,MATCH($C1258,'Policy Characteristics'!$C:$C,0))),"",INDEX('Policy Characteristics'!G:G,MATCH($C1258,'Policy Characteristics'!$C:$C,0)))</f>
        <v>1</v>
      </c>
      <c r="N1258" s="261">
        <f>IF(ISBLANK(INDEX('Policy Characteristics'!H:H,MATCH($C1258,'Policy Characteristics'!$C:$C,0))),"",INDEX('Policy Characteristics'!H:H,MATCH($C1258,'Policy Characteristics'!$C:$C,0)))</f>
        <v>0.01</v>
      </c>
      <c r="O1258" s="254" t="str">
        <f>IF(ISBLANK(INDEX('Policy Characteristics'!I:I,MATCH($C1258,'Policy Characteristics'!$C:$C,0))),"",INDEX('Policy Characteristics'!I:I,MATCH($C1258,'Policy Characteristics'!$C:$C,0)))</f>
        <v>% of fuel shifted</v>
      </c>
      <c r="P1258" s="254"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4" t="str">
        <f>IF(ISBLANK(INDEX('Policy Characteristics'!K:K,MATCH($C1258,'Policy Characteristics'!$C:$C,0))),"",INDEX('Policy Characteristics'!K:K,MATCH($C1258,'Policy Characteristics'!$C:$C,0)))</f>
        <v>industry-ag-main.html#fuel-switching</v>
      </c>
      <c r="R1258" s="254" t="str">
        <f>IF(ISBLANK(INDEX('Policy Characteristics'!L:L,MATCH($C1258,'Policy Characteristics'!$C:$C,0))),"",INDEX('Policy Characteristics'!L:L,MATCH($C1258,'Policy Characteristics'!$C:$C,0)))</f>
        <v>industry-elec-and-hydrogen.html</v>
      </c>
    </row>
    <row r="1259" spans="1:18" s="2" customFormat="1" x14ac:dyDescent="0.3">
      <c r="A1259" s="254" t="str">
        <f>IF(ISBLANK(INDEX('Policy Characteristics'!A:A,MATCH($C1259,'Policy Characteristics'!$C:$C,0))),"",INDEX('Policy Characteristics'!A:A,MATCH($C1259,'Policy Characteristics'!$C:$C,0)))</f>
        <v>Industry</v>
      </c>
      <c r="B1259" s="262" t="str">
        <f>IF(ISBLANK(INDEX('Policy Characteristics'!B:B,MATCH($C1259,'Policy Characteristics'!$C:$C,0))),"",INDEX('Policy Characteristics'!B:B,MATCH($C1259,'Policy Characteristics'!$C:$C,0)))</f>
        <v>Hydrogen Combustion</v>
      </c>
      <c r="C1259" s="254" t="str">
        <f t="shared" si="46"/>
        <v>Fraction of Eligible Industrial Energy Use Shifted to Hydrogen</v>
      </c>
      <c r="D1259" s="6" t="s">
        <v>3082</v>
      </c>
      <c r="E1259" s="1" t="s">
        <v>3521</v>
      </c>
      <c r="F1259" t="s">
        <v>3044</v>
      </c>
      <c r="G1259" s="45" t="s">
        <v>3528</v>
      </c>
      <c r="H1259" s="43">
        <v>2208</v>
      </c>
      <c r="I1259" s="324" t="s">
        <v>44</v>
      </c>
      <c r="J1259" s="255" t="str">
        <f>IF(ISBLANK(INDEX('Policy Characteristics'!D:D,MATCH($C1259,'Policy Characteristics'!$C:$C,0))),"",INDEX('Policy Characteristics'!D:D,MATCH($C1259,'Policy Characteristics'!$C:$C,0)))</f>
        <v>Hydrogen Combustion</v>
      </c>
      <c r="K1259" s="254" t="str">
        <f>IF(ISBLANK(INDEX('Policy Characteristics'!E:E,MATCH($C1259,'Policy Characteristics'!$C:$C,0))),"",INDEX('Policy Characteristics'!E:E,MATCH($C1259,'Policy Characteristics'!$C:$C,0)))</f>
        <v>indst shift to hydrogen</v>
      </c>
      <c r="L1259" s="261">
        <f>IF(ISBLANK(INDEX('Policy Characteristics'!F:F,MATCH($C1259,'Policy Characteristics'!$C:$C,0))),"",INDEX('Policy Characteristics'!F:F,MATCH($C1259,'Policy Characteristics'!$C:$C,0)))</f>
        <v>0</v>
      </c>
      <c r="M1259" s="261">
        <f>IF(ISBLANK(INDEX('Policy Characteristics'!G:G,MATCH($C1259,'Policy Characteristics'!$C:$C,0))),"",INDEX('Policy Characteristics'!G:G,MATCH($C1259,'Policy Characteristics'!$C:$C,0)))</f>
        <v>1</v>
      </c>
      <c r="N1259" s="261">
        <f>IF(ISBLANK(INDEX('Policy Characteristics'!H:H,MATCH($C1259,'Policy Characteristics'!$C:$C,0))),"",INDEX('Policy Characteristics'!H:H,MATCH($C1259,'Policy Characteristics'!$C:$C,0)))</f>
        <v>0.01</v>
      </c>
      <c r="O1259" s="254" t="str">
        <f>IF(ISBLANK(INDEX('Policy Characteristics'!I:I,MATCH($C1259,'Policy Characteristics'!$C:$C,0))),"",INDEX('Policy Characteristics'!I:I,MATCH($C1259,'Policy Characteristics'!$C:$C,0)))</f>
        <v>% of fuel shifted</v>
      </c>
      <c r="P1259" s="254"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4" t="str">
        <f>IF(ISBLANK(INDEX('Policy Characteristics'!K:K,MATCH($C1259,'Policy Characteristics'!$C:$C,0))),"",INDEX('Policy Characteristics'!K:K,MATCH($C1259,'Policy Characteristics'!$C:$C,0)))</f>
        <v>industry-ag-main.html#fuel-switching</v>
      </c>
      <c r="R1259" s="254" t="str">
        <f>IF(ISBLANK(INDEX('Policy Characteristics'!L:L,MATCH($C1259,'Policy Characteristics'!$C:$C,0))),"",INDEX('Policy Characteristics'!L:L,MATCH($C1259,'Policy Characteristics'!$C:$C,0)))</f>
        <v>industry-elec-and-hydrogen.html</v>
      </c>
    </row>
    <row r="1260" spans="1:18" s="2" customFormat="1" x14ac:dyDescent="0.3">
      <c r="A1260" s="254" t="str">
        <f>IF(ISBLANK(INDEX('Policy Characteristics'!A:A,MATCH($C1260,'Policy Characteristics'!$C:$C,0))),"",INDEX('Policy Characteristics'!A:A,MATCH($C1260,'Policy Characteristics'!$C:$C,0)))</f>
        <v>Industry</v>
      </c>
      <c r="B1260" s="262" t="str">
        <f>IF(ISBLANK(INDEX('Policy Characteristics'!B:B,MATCH($C1260,'Policy Characteristics'!$C:$C,0))),"",INDEX('Policy Characteristics'!B:B,MATCH($C1260,'Policy Characteristics'!$C:$C,0)))</f>
        <v>Hydrogen Combustion</v>
      </c>
      <c r="C1260" s="254" t="str">
        <f t="shared" si="46"/>
        <v>Fraction of Eligible Industrial Energy Use Shifted to Hydrogen</v>
      </c>
      <c r="D1260" s="6" t="s">
        <v>3082</v>
      </c>
      <c r="E1260" s="1" t="s">
        <v>3671</v>
      </c>
      <c r="F1260" t="s">
        <v>3044</v>
      </c>
      <c r="G1260" s="45" t="s">
        <v>3671</v>
      </c>
      <c r="H1260" s="43">
        <v>2209</v>
      </c>
      <c r="I1260" s="324" t="s">
        <v>44</v>
      </c>
      <c r="J1260" s="255" t="str">
        <f>IF(ISBLANK(INDEX('Policy Characteristics'!D:D,MATCH($C1260,'Policy Characteristics'!$C:$C,0))),"",INDEX('Policy Characteristics'!D:D,MATCH($C1260,'Policy Characteristics'!$C:$C,0)))</f>
        <v>Hydrogen Combustion</v>
      </c>
      <c r="K1260" s="254" t="str">
        <f>IF(ISBLANK(INDEX('Policy Characteristics'!E:E,MATCH($C1260,'Policy Characteristics'!$C:$C,0))),"",INDEX('Policy Characteristics'!E:E,MATCH($C1260,'Policy Characteristics'!$C:$C,0)))</f>
        <v>indst shift to hydrogen</v>
      </c>
      <c r="L1260" s="261">
        <f>IF(ISBLANK(INDEX('Policy Characteristics'!F:F,MATCH($C1260,'Policy Characteristics'!$C:$C,0))),"",INDEX('Policy Characteristics'!F:F,MATCH($C1260,'Policy Characteristics'!$C:$C,0)))</f>
        <v>0</v>
      </c>
      <c r="M1260" s="261">
        <f>IF(ISBLANK(INDEX('Policy Characteristics'!G:G,MATCH($C1260,'Policy Characteristics'!$C:$C,0))),"",INDEX('Policy Characteristics'!G:G,MATCH($C1260,'Policy Characteristics'!$C:$C,0)))</f>
        <v>1</v>
      </c>
      <c r="N1260" s="261">
        <f>IF(ISBLANK(INDEX('Policy Characteristics'!H:H,MATCH($C1260,'Policy Characteristics'!$C:$C,0))),"",INDEX('Policy Characteristics'!H:H,MATCH($C1260,'Policy Characteristics'!$C:$C,0)))</f>
        <v>0.01</v>
      </c>
      <c r="O1260" s="254" t="str">
        <f>IF(ISBLANK(INDEX('Policy Characteristics'!I:I,MATCH($C1260,'Policy Characteristics'!$C:$C,0))),"",INDEX('Policy Characteristics'!I:I,MATCH($C1260,'Policy Characteristics'!$C:$C,0)))</f>
        <v>% of fuel shifted</v>
      </c>
      <c r="P1260" s="254"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4" t="str">
        <f>IF(ISBLANK(INDEX('Policy Characteristics'!K:K,MATCH($C1260,'Policy Characteristics'!$C:$C,0))),"",INDEX('Policy Characteristics'!K:K,MATCH($C1260,'Policy Characteristics'!$C:$C,0)))</f>
        <v>industry-ag-main.html#fuel-switching</v>
      </c>
      <c r="R1260" s="254" t="str">
        <f>IF(ISBLANK(INDEX('Policy Characteristics'!L:L,MATCH($C1260,'Policy Characteristics'!$C:$C,0))),"",INDEX('Policy Characteristics'!L:L,MATCH($C1260,'Policy Characteristics'!$C:$C,0)))</f>
        <v>industry-elec-and-hydrogen.html</v>
      </c>
    </row>
    <row r="1261" spans="1:18" s="2" customFormat="1" x14ac:dyDescent="0.3">
      <c r="A1261" s="254" t="str">
        <f>IF(ISBLANK(INDEX('Policy Characteristics'!A:A,MATCH($C1261,'Policy Characteristics'!$C:$C,0))),"",INDEX('Policy Characteristics'!A:A,MATCH($C1261,'Policy Characteristics'!$C:$C,0)))</f>
        <v>Industry</v>
      </c>
      <c r="B1261" s="262" t="str">
        <f>IF(ISBLANK(INDEX('Policy Characteristics'!B:B,MATCH($C1261,'Policy Characteristics'!$C:$C,0))),"",INDEX('Policy Characteristics'!B:B,MATCH($C1261,'Policy Characteristics'!$C:$C,0)))</f>
        <v>Hydrogen Combustion</v>
      </c>
      <c r="C1261" s="254" t="str">
        <f t="shared" si="46"/>
        <v>Fraction of Eligible Industrial Energy Use Shifted to Hydrogen</v>
      </c>
      <c r="D1261" s="6" t="s">
        <v>3083</v>
      </c>
      <c r="E1261" s="1" t="s">
        <v>3515</v>
      </c>
      <c r="F1261" t="s">
        <v>3045</v>
      </c>
      <c r="G1261" s="45" t="s">
        <v>3522</v>
      </c>
      <c r="H1261" s="43">
        <v>2210</v>
      </c>
      <c r="I1261" s="324" t="s">
        <v>44</v>
      </c>
      <c r="J1261" s="255" t="str">
        <f>IF(ISBLANK(INDEX('Policy Characteristics'!D:D,MATCH($C1261,'Policy Characteristics'!$C:$C,0))),"",INDEX('Policy Characteristics'!D:D,MATCH($C1261,'Policy Characteristics'!$C:$C,0)))</f>
        <v>Hydrogen Combustion</v>
      </c>
      <c r="K1261" s="254" t="str">
        <f>IF(ISBLANK(INDEX('Policy Characteristics'!E:E,MATCH($C1261,'Policy Characteristics'!$C:$C,0))),"",INDEX('Policy Characteristics'!E:E,MATCH($C1261,'Policy Characteristics'!$C:$C,0)))</f>
        <v>indst shift to hydrogen</v>
      </c>
      <c r="L1261" s="261">
        <f>IF(ISBLANK(INDEX('Policy Characteristics'!F:F,MATCH($C1261,'Policy Characteristics'!$C:$C,0))),"",INDEX('Policy Characteristics'!F:F,MATCH($C1261,'Policy Characteristics'!$C:$C,0)))</f>
        <v>0</v>
      </c>
      <c r="M1261" s="261">
        <f>IF(ISBLANK(INDEX('Policy Characteristics'!G:G,MATCH($C1261,'Policy Characteristics'!$C:$C,0))),"",INDEX('Policy Characteristics'!G:G,MATCH($C1261,'Policy Characteristics'!$C:$C,0)))</f>
        <v>1</v>
      </c>
      <c r="N1261" s="261">
        <f>IF(ISBLANK(INDEX('Policy Characteristics'!H:H,MATCH($C1261,'Policy Characteristics'!$C:$C,0))),"",INDEX('Policy Characteristics'!H:H,MATCH($C1261,'Policy Characteristics'!$C:$C,0)))</f>
        <v>0.01</v>
      </c>
      <c r="O1261" s="254" t="str">
        <f>IF(ISBLANK(INDEX('Policy Characteristics'!I:I,MATCH($C1261,'Policy Characteristics'!$C:$C,0))),"",INDEX('Policy Characteristics'!I:I,MATCH($C1261,'Policy Characteristics'!$C:$C,0)))</f>
        <v>% of fuel shifted</v>
      </c>
      <c r="P1261" s="254"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4" t="str">
        <f>IF(ISBLANK(INDEX('Policy Characteristics'!K:K,MATCH($C1261,'Policy Characteristics'!$C:$C,0))),"",INDEX('Policy Characteristics'!K:K,MATCH($C1261,'Policy Characteristics'!$C:$C,0)))</f>
        <v>industry-ag-main.html#fuel-switching</v>
      </c>
      <c r="R1261" s="254" t="str">
        <f>IF(ISBLANK(INDEX('Policy Characteristics'!L:L,MATCH($C1261,'Policy Characteristics'!$C:$C,0))),"",INDEX('Policy Characteristics'!L:L,MATCH($C1261,'Policy Characteristics'!$C:$C,0)))</f>
        <v>industry-elec-and-hydrogen.html</v>
      </c>
    </row>
    <row r="1262" spans="1:18" s="2" customFormat="1" x14ac:dyDescent="0.3">
      <c r="A1262" s="254" t="str">
        <f>IF(ISBLANK(INDEX('Policy Characteristics'!A:A,MATCH($C1262,'Policy Characteristics'!$C:$C,0))),"",INDEX('Policy Characteristics'!A:A,MATCH($C1262,'Policy Characteristics'!$C:$C,0)))</f>
        <v>Industry</v>
      </c>
      <c r="B1262" s="262" t="str">
        <f>IF(ISBLANK(INDEX('Policy Characteristics'!B:B,MATCH($C1262,'Policy Characteristics'!$C:$C,0))),"",INDEX('Policy Characteristics'!B:B,MATCH($C1262,'Policy Characteristics'!$C:$C,0)))</f>
        <v>Hydrogen Combustion</v>
      </c>
      <c r="C1262" s="254" t="str">
        <f t="shared" si="46"/>
        <v>Fraction of Eligible Industrial Energy Use Shifted to Hydrogen</v>
      </c>
      <c r="D1262" s="6" t="s">
        <v>3083</v>
      </c>
      <c r="E1262" s="1" t="s">
        <v>3516</v>
      </c>
      <c r="F1262" t="s">
        <v>3045</v>
      </c>
      <c r="G1262" s="45" t="s">
        <v>3523</v>
      </c>
      <c r="H1262" s="43">
        <v>2211</v>
      </c>
      <c r="I1262" s="324" t="s">
        <v>44</v>
      </c>
      <c r="J1262" s="255" t="str">
        <f>IF(ISBLANK(INDEX('Policy Characteristics'!D:D,MATCH($C1262,'Policy Characteristics'!$C:$C,0))),"",INDEX('Policy Characteristics'!D:D,MATCH($C1262,'Policy Characteristics'!$C:$C,0)))</f>
        <v>Hydrogen Combustion</v>
      </c>
      <c r="K1262" s="254" t="str">
        <f>IF(ISBLANK(INDEX('Policy Characteristics'!E:E,MATCH($C1262,'Policy Characteristics'!$C:$C,0))),"",INDEX('Policy Characteristics'!E:E,MATCH($C1262,'Policy Characteristics'!$C:$C,0)))</f>
        <v>indst shift to hydrogen</v>
      </c>
      <c r="L1262" s="261">
        <f>IF(ISBLANK(INDEX('Policy Characteristics'!F:F,MATCH($C1262,'Policy Characteristics'!$C:$C,0))),"",INDEX('Policy Characteristics'!F:F,MATCH($C1262,'Policy Characteristics'!$C:$C,0)))</f>
        <v>0</v>
      </c>
      <c r="M1262" s="261">
        <f>IF(ISBLANK(INDEX('Policy Characteristics'!G:G,MATCH($C1262,'Policy Characteristics'!$C:$C,0))),"",INDEX('Policy Characteristics'!G:G,MATCH($C1262,'Policy Characteristics'!$C:$C,0)))</f>
        <v>1</v>
      </c>
      <c r="N1262" s="261">
        <f>IF(ISBLANK(INDEX('Policy Characteristics'!H:H,MATCH($C1262,'Policy Characteristics'!$C:$C,0))),"",INDEX('Policy Characteristics'!H:H,MATCH($C1262,'Policy Characteristics'!$C:$C,0)))</f>
        <v>0.01</v>
      </c>
      <c r="O1262" s="254" t="str">
        <f>IF(ISBLANK(INDEX('Policy Characteristics'!I:I,MATCH($C1262,'Policy Characteristics'!$C:$C,0))),"",INDEX('Policy Characteristics'!I:I,MATCH($C1262,'Policy Characteristics'!$C:$C,0)))</f>
        <v>% of fuel shifted</v>
      </c>
      <c r="P1262" s="254"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4" t="str">
        <f>IF(ISBLANK(INDEX('Policy Characteristics'!K:K,MATCH($C1262,'Policy Characteristics'!$C:$C,0))),"",INDEX('Policy Characteristics'!K:K,MATCH($C1262,'Policy Characteristics'!$C:$C,0)))</f>
        <v>industry-ag-main.html#fuel-switching</v>
      </c>
      <c r="R1262" s="254" t="str">
        <f>IF(ISBLANK(INDEX('Policy Characteristics'!L:L,MATCH($C1262,'Policy Characteristics'!$C:$C,0))),"",INDEX('Policy Characteristics'!L:L,MATCH($C1262,'Policy Characteristics'!$C:$C,0)))</f>
        <v>industry-elec-and-hydrogen.html</v>
      </c>
    </row>
    <row r="1263" spans="1:18" s="2" customFormat="1" x14ac:dyDescent="0.3">
      <c r="A1263" s="254" t="str">
        <f>IF(ISBLANK(INDEX('Policy Characteristics'!A:A,MATCH($C1263,'Policy Characteristics'!$C:$C,0))),"",INDEX('Policy Characteristics'!A:A,MATCH($C1263,'Policy Characteristics'!$C:$C,0)))</f>
        <v>Industry</v>
      </c>
      <c r="B1263" s="262" t="str">
        <f>IF(ISBLANK(INDEX('Policy Characteristics'!B:B,MATCH($C1263,'Policy Characteristics'!$C:$C,0))),"",INDEX('Policy Characteristics'!B:B,MATCH($C1263,'Policy Characteristics'!$C:$C,0)))</f>
        <v>Hydrogen Combustion</v>
      </c>
      <c r="C1263" s="254" t="str">
        <f t="shared" si="46"/>
        <v>Fraction of Eligible Industrial Energy Use Shifted to Hydrogen</v>
      </c>
      <c r="D1263" s="6" t="s">
        <v>3083</v>
      </c>
      <c r="E1263" s="1" t="s">
        <v>3517</v>
      </c>
      <c r="F1263" t="s">
        <v>3045</v>
      </c>
      <c r="G1263" s="45" t="s">
        <v>3524</v>
      </c>
      <c r="H1263" s="43">
        <v>2212</v>
      </c>
      <c r="I1263" s="324" t="s">
        <v>44</v>
      </c>
      <c r="J1263" s="255" t="str">
        <f>IF(ISBLANK(INDEX('Policy Characteristics'!D:D,MATCH($C1263,'Policy Characteristics'!$C:$C,0))),"",INDEX('Policy Characteristics'!D:D,MATCH($C1263,'Policy Characteristics'!$C:$C,0)))</f>
        <v>Hydrogen Combustion</v>
      </c>
      <c r="K1263" s="254" t="str">
        <f>IF(ISBLANK(INDEX('Policy Characteristics'!E:E,MATCH($C1263,'Policy Characteristics'!$C:$C,0))),"",INDEX('Policy Characteristics'!E:E,MATCH($C1263,'Policy Characteristics'!$C:$C,0)))</f>
        <v>indst shift to hydrogen</v>
      </c>
      <c r="L1263" s="261">
        <f>IF(ISBLANK(INDEX('Policy Characteristics'!F:F,MATCH($C1263,'Policy Characteristics'!$C:$C,0))),"",INDEX('Policy Characteristics'!F:F,MATCH($C1263,'Policy Characteristics'!$C:$C,0)))</f>
        <v>0</v>
      </c>
      <c r="M1263" s="261">
        <f>IF(ISBLANK(INDEX('Policy Characteristics'!G:G,MATCH($C1263,'Policy Characteristics'!$C:$C,0))),"",INDEX('Policy Characteristics'!G:G,MATCH($C1263,'Policy Characteristics'!$C:$C,0)))</f>
        <v>1</v>
      </c>
      <c r="N1263" s="261">
        <f>IF(ISBLANK(INDEX('Policy Characteristics'!H:H,MATCH($C1263,'Policy Characteristics'!$C:$C,0))),"",INDEX('Policy Characteristics'!H:H,MATCH($C1263,'Policy Characteristics'!$C:$C,0)))</f>
        <v>0.01</v>
      </c>
      <c r="O1263" s="254" t="str">
        <f>IF(ISBLANK(INDEX('Policy Characteristics'!I:I,MATCH($C1263,'Policy Characteristics'!$C:$C,0))),"",INDEX('Policy Characteristics'!I:I,MATCH($C1263,'Policy Characteristics'!$C:$C,0)))</f>
        <v>% of fuel shifted</v>
      </c>
      <c r="P1263" s="254"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4" t="str">
        <f>IF(ISBLANK(INDEX('Policy Characteristics'!K:K,MATCH($C1263,'Policy Characteristics'!$C:$C,0))),"",INDEX('Policy Characteristics'!K:K,MATCH($C1263,'Policy Characteristics'!$C:$C,0)))</f>
        <v>industry-ag-main.html#fuel-switching</v>
      </c>
      <c r="R1263" s="254" t="str">
        <f>IF(ISBLANK(INDEX('Policy Characteristics'!L:L,MATCH($C1263,'Policy Characteristics'!$C:$C,0))),"",INDEX('Policy Characteristics'!L:L,MATCH($C1263,'Policy Characteristics'!$C:$C,0)))</f>
        <v>industry-elec-and-hydrogen.html</v>
      </c>
    </row>
    <row r="1264" spans="1:18" s="2" customFormat="1" x14ac:dyDescent="0.3">
      <c r="A1264" s="254" t="str">
        <f>IF(ISBLANK(INDEX('Policy Characteristics'!A:A,MATCH($C1264,'Policy Characteristics'!$C:$C,0))),"",INDEX('Policy Characteristics'!A:A,MATCH($C1264,'Policy Characteristics'!$C:$C,0)))</f>
        <v>Industry</v>
      </c>
      <c r="B1264" s="262" t="str">
        <f>IF(ISBLANK(INDEX('Policy Characteristics'!B:B,MATCH($C1264,'Policy Characteristics'!$C:$C,0))),"",INDEX('Policy Characteristics'!B:B,MATCH($C1264,'Policy Characteristics'!$C:$C,0)))</f>
        <v>Hydrogen Combustion</v>
      </c>
      <c r="C1264" s="254" t="str">
        <f t="shared" si="46"/>
        <v>Fraction of Eligible Industrial Energy Use Shifted to Hydrogen</v>
      </c>
      <c r="D1264" s="6" t="s">
        <v>3083</v>
      </c>
      <c r="E1264" s="1" t="s">
        <v>3518</v>
      </c>
      <c r="F1264" t="s">
        <v>3045</v>
      </c>
      <c r="G1264" s="45" t="s">
        <v>3525</v>
      </c>
      <c r="H1264" s="43">
        <v>2213</v>
      </c>
      <c r="I1264" s="324" t="s">
        <v>44</v>
      </c>
      <c r="J1264" s="255" t="str">
        <f>IF(ISBLANK(INDEX('Policy Characteristics'!D:D,MATCH($C1264,'Policy Characteristics'!$C:$C,0))),"",INDEX('Policy Characteristics'!D:D,MATCH($C1264,'Policy Characteristics'!$C:$C,0)))</f>
        <v>Hydrogen Combustion</v>
      </c>
      <c r="K1264" s="254" t="str">
        <f>IF(ISBLANK(INDEX('Policy Characteristics'!E:E,MATCH($C1264,'Policy Characteristics'!$C:$C,0))),"",INDEX('Policy Characteristics'!E:E,MATCH($C1264,'Policy Characteristics'!$C:$C,0)))</f>
        <v>indst shift to hydrogen</v>
      </c>
      <c r="L1264" s="261">
        <f>IF(ISBLANK(INDEX('Policy Characteristics'!F:F,MATCH($C1264,'Policy Characteristics'!$C:$C,0))),"",INDEX('Policy Characteristics'!F:F,MATCH($C1264,'Policy Characteristics'!$C:$C,0)))</f>
        <v>0</v>
      </c>
      <c r="M1264" s="261">
        <f>IF(ISBLANK(INDEX('Policy Characteristics'!G:G,MATCH($C1264,'Policy Characteristics'!$C:$C,0))),"",INDEX('Policy Characteristics'!G:G,MATCH($C1264,'Policy Characteristics'!$C:$C,0)))</f>
        <v>1</v>
      </c>
      <c r="N1264" s="261">
        <f>IF(ISBLANK(INDEX('Policy Characteristics'!H:H,MATCH($C1264,'Policy Characteristics'!$C:$C,0))),"",INDEX('Policy Characteristics'!H:H,MATCH($C1264,'Policy Characteristics'!$C:$C,0)))</f>
        <v>0.01</v>
      </c>
      <c r="O1264" s="254" t="str">
        <f>IF(ISBLANK(INDEX('Policy Characteristics'!I:I,MATCH($C1264,'Policy Characteristics'!$C:$C,0))),"",INDEX('Policy Characteristics'!I:I,MATCH($C1264,'Policy Characteristics'!$C:$C,0)))</f>
        <v>% of fuel shifted</v>
      </c>
      <c r="P1264" s="254"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4" t="str">
        <f>IF(ISBLANK(INDEX('Policy Characteristics'!K:K,MATCH($C1264,'Policy Characteristics'!$C:$C,0))),"",INDEX('Policy Characteristics'!K:K,MATCH($C1264,'Policy Characteristics'!$C:$C,0)))</f>
        <v>industry-ag-main.html#fuel-switching</v>
      </c>
      <c r="R1264" s="254" t="str">
        <f>IF(ISBLANK(INDEX('Policy Characteristics'!L:L,MATCH($C1264,'Policy Characteristics'!$C:$C,0))),"",INDEX('Policy Characteristics'!L:L,MATCH($C1264,'Policy Characteristics'!$C:$C,0)))</f>
        <v>industry-elec-and-hydrogen.html</v>
      </c>
    </row>
    <row r="1265" spans="1:18" s="2" customFormat="1" x14ac:dyDescent="0.3">
      <c r="A1265" s="254" t="str">
        <f>IF(ISBLANK(INDEX('Policy Characteristics'!A:A,MATCH($C1265,'Policy Characteristics'!$C:$C,0))),"",INDEX('Policy Characteristics'!A:A,MATCH($C1265,'Policy Characteristics'!$C:$C,0)))</f>
        <v>Industry</v>
      </c>
      <c r="B1265" s="262" t="str">
        <f>IF(ISBLANK(INDEX('Policy Characteristics'!B:B,MATCH($C1265,'Policy Characteristics'!$C:$C,0))),"",INDEX('Policy Characteristics'!B:B,MATCH($C1265,'Policy Characteristics'!$C:$C,0)))</f>
        <v>Hydrogen Combustion</v>
      </c>
      <c r="C1265" s="254" t="str">
        <f t="shared" si="46"/>
        <v>Fraction of Eligible Industrial Energy Use Shifted to Hydrogen</v>
      </c>
      <c r="D1265" s="6" t="s">
        <v>3083</v>
      </c>
      <c r="E1265" s="1" t="s">
        <v>3519</v>
      </c>
      <c r="F1265" t="s">
        <v>3045</v>
      </c>
      <c r="G1265" s="45" t="s">
        <v>3526</v>
      </c>
      <c r="H1265" s="43">
        <v>2214</v>
      </c>
      <c r="I1265" s="324" t="s">
        <v>44</v>
      </c>
      <c r="J1265" s="255" t="str">
        <f>IF(ISBLANK(INDEX('Policy Characteristics'!D:D,MATCH($C1265,'Policy Characteristics'!$C:$C,0))),"",INDEX('Policy Characteristics'!D:D,MATCH($C1265,'Policy Characteristics'!$C:$C,0)))</f>
        <v>Hydrogen Combustion</v>
      </c>
      <c r="K1265" s="254" t="str">
        <f>IF(ISBLANK(INDEX('Policy Characteristics'!E:E,MATCH($C1265,'Policy Characteristics'!$C:$C,0))),"",INDEX('Policy Characteristics'!E:E,MATCH($C1265,'Policy Characteristics'!$C:$C,0)))</f>
        <v>indst shift to hydrogen</v>
      </c>
      <c r="L1265" s="261">
        <f>IF(ISBLANK(INDEX('Policy Characteristics'!F:F,MATCH($C1265,'Policy Characteristics'!$C:$C,0))),"",INDEX('Policy Characteristics'!F:F,MATCH($C1265,'Policy Characteristics'!$C:$C,0)))</f>
        <v>0</v>
      </c>
      <c r="M1265" s="261">
        <f>IF(ISBLANK(INDEX('Policy Characteristics'!G:G,MATCH($C1265,'Policy Characteristics'!$C:$C,0))),"",INDEX('Policy Characteristics'!G:G,MATCH($C1265,'Policy Characteristics'!$C:$C,0)))</f>
        <v>1</v>
      </c>
      <c r="N1265" s="261">
        <f>IF(ISBLANK(INDEX('Policy Characteristics'!H:H,MATCH($C1265,'Policy Characteristics'!$C:$C,0))),"",INDEX('Policy Characteristics'!H:H,MATCH($C1265,'Policy Characteristics'!$C:$C,0)))</f>
        <v>0.01</v>
      </c>
      <c r="O1265" s="254" t="str">
        <f>IF(ISBLANK(INDEX('Policy Characteristics'!I:I,MATCH($C1265,'Policy Characteristics'!$C:$C,0))),"",INDEX('Policy Characteristics'!I:I,MATCH($C1265,'Policy Characteristics'!$C:$C,0)))</f>
        <v>% of fuel shifted</v>
      </c>
      <c r="P1265" s="254"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4" t="str">
        <f>IF(ISBLANK(INDEX('Policy Characteristics'!K:K,MATCH($C1265,'Policy Characteristics'!$C:$C,0))),"",INDEX('Policy Characteristics'!K:K,MATCH($C1265,'Policy Characteristics'!$C:$C,0)))</f>
        <v>industry-ag-main.html#fuel-switching</v>
      </c>
      <c r="R1265" s="254" t="str">
        <f>IF(ISBLANK(INDEX('Policy Characteristics'!L:L,MATCH($C1265,'Policy Characteristics'!$C:$C,0))),"",INDEX('Policy Characteristics'!L:L,MATCH($C1265,'Policy Characteristics'!$C:$C,0)))</f>
        <v>industry-elec-and-hydrogen.html</v>
      </c>
    </row>
    <row r="1266" spans="1:18" s="2" customFormat="1" x14ac:dyDescent="0.3">
      <c r="A1266" s="254" t="str">
        <f>IF(ISBLANK(INDEX('Policy Characteristics'!A:A,MATCH($C1266,'Policy Characteristics'!$C:$C,0))),"",INDEX('Policy Characteristics'!A:A,MATCH($C1266,'Policy Characteristics'!$C:$C,0)))</f>
        <v>Industry</v>
      </c>
      <c r="B1266" s="262" t="str">
        <f>IF(ISBLANK(INDEX('Policy Characteristics'!B:B,MATCH($C1266,'Policy Characteristics'!$C:$C,0))),"",INDEX('Policy Characteristics'!B:B,MATCH($C1266,'Policy Characteristics'!$C:$C,0)))</f>
        <v>Hydrogen Combustion</v>
      </c>
      <c r="C1266" s="254" t="str">
        <f t="shared" si="46"/>
        <v>Fraction of Eligible Industrial Energy Use Shifted to Hydrogen</v>
      </c>
      <c r="D1266" s="6" t="s">
        <v>3083</v>
      </c>
      <c r="E1266" s="1" t="s">
        <v>3520</v>
      </c>
      <c r="F1266" t="s">
        <v>3045</v>
      </c>
      <c r="G1266" s="45" t="s">
        <v>3527</v>
      </c>
      <c r="H1266" s="43">
        <v>2215</v>
      </c>
      <c r="I1266" s="324" t="s">
        <v>43</v>
      </c>
      <c r="J1266" s="255" t="str">
        <f>IF(ISBLANK(INDEX('Policy Characteristics'!D:D,MATCH($C1266,'Policy Characteristics'!$C:$C,0))),"",INDEX('Policy Characteristics'!D:D,MATCH($C1266,'Policy Characteristics'!$C:$C,0)))</f>
        <v>Hydrogen Combustion</v>
      </c>
      <c r="K1266" s="254" t="str">
        <f>IF(ISBLANK(INDEX('Policy Characteristics'!E:E,MATCH($C1266,'Policy Characteristics'!$C:$C,0))),"",INDEX('Policy Characteristics'!E:E,MATCH($C1266,'Policy Characteristics'!$C:$C,0)))</f>
        <v>indst shift to hydrogen</v>
      </c>
      <c r="L1266" s="261">
        <f>IF(ISBLANK(INDEX('Policy Characteristics'!F:F,MATCH($C1266,'Policy Characteristics'!$C:$C,0))),"",INDEX('Policy Characteristics'!F:F,MATCH($C1266,'Policy Characteristics'!$C:$C,0)))</f>
        <v>0</v>
      </c>
      <c r="M1266" s="261">
        <f>IF(ISBLANK(INDEX('Policy Characteristics'!G:G,MATCH($C1266,'Policy Characteristics'!$C:$C,0))),"",INDEX('Policy Characteristics'!G:G,MATCH($C1266,'Policy Characteristics'!$C:$C,0)))</f>
        <v>1</v>
      </c>
      <c r="N1266" s="261">
        <f>IF(ISBLANK(INDEX('Policy Characteristics'!H:H,MATCH($C1266,'Policy Characteristics'!$C:$C,0))),"",INDEX('Policy Characteristics'!H:H,MATCH($C1266,'Policy Characteristics'!$C:$C,0)))</f>
        <v>0.01</v>
      </c>
      <c r="O1266" s="254" t="str">
        <f>IF(ISBLANK(INDEX('Policy Characteristics'!I:I,MATCH($C1266,'Policy Characteristics'!$C:$C,0))),"",INDEX('Policy Characteristics'!I:I,MATCH($C1266,'Policy Characteristics'!$C:$C,0)))</f>
        <v>% of fuel shifted</v>
      </c>
      <c r="P1266" s="254"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4" t="str">
        <f>IF(ISBLANK(INDEX('Policy Characteristics'!K:K,MATCH($C1266,'Policy Characteristics'!$C:$C,0))),"",INDEX('Policy Characteristics'!K:K,MATCH($C1266,'Policy Characteristics'!$C:$C,0)))</f>
        <v>industry-ag-main.html#fuel-switching</v>
      </c>
      <c r="R1266" s="254" t="str">
        <f>IF(ISBLANK(INDEX('Policy Characteristics'!L:L,MATCH($C1266,'Policy Characteristics'!$C:$C,0))),"",INDEX('Policy Characteristics'!L:L,MATCH($C1266,'Policy Characteristics'!$C:$C,0)))</f>
        <v>industry-elec-and-hydrogen.html</v>
      </c>
    </row>
    <row r="1267" spans="1:18" s="2" customFormat="1" x14ac:dyDescent="0.3">
      <c r="A1267" s="254" t="str">
        <f>IF(ISBLANK(INDEX('Policy Characteristics'!A:A,MATCH($C1267,'Policy Characteristics'!$C:$C,0))),"",INDEX('Policy Characteristics'!A:A,MATCH($C1267,'Policy Characteristics'!$C:$C,0)))</f>
        <v>Industry</v>
      </c>
      <c r="B1267" s="262" t="str">
        <f>IF(ISBLANK(INDEX('Policy Characteristics'!B:B,MATCH($C1267,'Policy Characteristics'!$C:$C,0))),"",INDEX('Policy Characteristics'!B:B,MATCH($C1267,'Policy Characteristics'!$C:$C,0)))</f>
        <v>Hydrogen Combustion</v>
      </c>
      <c r="C1267" s="254" t="str">
        <f t="shared" si="46"/>
        <v>Fraction of Eligible Industrial Energy Use Shifted to Hydrogen</v>
      </c>
      <c r="D1267" s="6" t="s">
        <v>3083</v>
      </c>
      <c r="E1267" s="1" t="s">
        <v>3521</v>
      </c>
      <c r="F1267" t="s">
        <v>3045</v>
      </c>
      <c r="G1267" s="45" t="s">
        <v>3528</v>
      </c>
      <c r="H1267" s="43">
        <v>2216</v>
      </c>
      <c r="I1267" s="324" t="s">
        <v>44</v>
      </c>
      <c r="J1267" s="255" t="str">
        <f>IF(ISBLANK(INDEX('Policy Characteristics'!D:D,MATCH($C1267,'Policy Characteristics'!$C:$C,0))),"",INDEX('Policy Characteristics'!D:D,MATCH($C1267,'Policy Characteristics'!$C:$C,0)))</f>
        <v>Hydrogen Combustion</v>
      </c>
      <c r="K1267" s="254" t="str">
        <f>IF(ISBLANK(INDEX('Policy Characteristics'!E:E,MATCH($C1267,'Policy Characteristics'!$C:$C,0))),"",INDEX('Policy Characteristics'!E:E,MATCH($C1267,'Policy Characteristics'!$C:$C,0)))</f>
        <v>indst shift to hydrogen</v>
      </c>
      <c r="L1267" s="261">
        <f>IF(ISBLANK(INDEX('Policy Characteristics'!F:F,MATCH($C1267,'Policy Characteristics'!$C:$C,0))),"",INDEX('Policy Characteristics'!F:F,MATCH($C1267,'Policy Characteristics'!$C:$C,0)))</f>
        <v>0</v>
      </c>
      <c r="M1267" s="261">
        <f>IF(ISBLANK(INDEX('Policy Characteristics'!G:G,MATCH($C1267,'Policy Characteristics'!$C:$C,0))),"",INDEX('Policy Characteristics'!G:G,MATCH($C1267,'Policy Characteristics'!$C:$C,0)))</f>
        <v>1</v>
      </c>
      <c r="N1267" s="261">
        <f>IF(ISBLANK(INDEX('Policy Characteristics'!H:H,MATCH($C1267,'Policy Characteristics'!$C:$C,0))),"",INDEX('Policy Characteristics'!H:H,MATCH($C1267,'Policy Characteristics'!$C:$C,0)))</f>
        <v>0.01</v>
      </c>
      <c r="O1267" s="254" t="str">
        <f>IF(ISBLANK(INDEX('Policy Characteristics'!I:I,MATCH($C1267,'Policy Characteristics'!$C:$C,0))),"",INDEX('Policy Characteristics'!I:I,MATCH($C1267,'Policy Characteristics'!$C:$C,0)))</f>
        <v>% of fuel shifted</v>
      </c>
      <c r="P1267" s="254"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4" t="str">
        <f>IF(ISBLANK(INDEX('Policy Characteristics'!K:K,MATCH($C1267,'Policy Characteristics'!$C:$C,0))),"",INDEX('Policy Characteristics'!K:K,MATCH($C1267,'Policy Characteristics'!$C:$C,0)))</f>
        <v>industry-ag-main.html#fuel-switching</v>
      </c>
      <c r="R1267" s="254" t="str">
        <f>IF(ISBLANK(INDEX('Policy Characteristics'!L:L,MATCH($C1267,'Policy Characteristics'!$C:$C,0))),"",INDEX('Policy Characteristics'!L:L,MATCH($C1267,'Policy Characteristics'!$C:$C,0)))</f>
        <v>industry-elec-and-hydrogen.html</v>
      </c>
    </row>
    <row r="1268" spans="1:18" s="2" customFormat="1" x14ac:dyDescent="0.3">
      <c r="A1268" s="254" t="str">
        <f>IF(ISBLANK(INDEX('Policy Characteristics'!A:A,MATCH($C1268,'Policy Characteristics'!$C:$C,0))),"",INDEX('Policy Characteristics'!A:A,MATCH($C1268,'Policy Characteristics'!$C:$C,0)))</f>
        <v>Industry</v>
      </c>
      <c r="B1268" s="262" t="str">
        <f>IF(ISBLANK(INDEX('Policy Characteristics'!B:B,MATCH($C1268,'Policy Characteristics'!$C:$C,0))),"",INDEX('Policy Characteristics'!B:B,MATCH($C1268,'Policy Characteristics'!$C:$C,0)))</f>
        <v>Hydrogen Combustion</v>
      </c>
      <c r="C1268" s="254" t="str">
        <f t="shared" si="46"/>
        <v>Fraction of Eligible Industrial Energy Use Shifted to Hydrogen</v>
      </c>
      <c r="D1268" s="6" t="s">
        <v>3083</v>
      </c>
      <c r="E1268" s="1" t="s">
        <v>3671</v>
      </c>
      <c r="F1268" t="s">
        <v>3045</v>
      </c>
      <c r="G1268" s="45" t="s">
        <v>3671</v>
      </c>
      <c r="H1268" s="43">
        <v>2217</v>
      </c>
      <c r="I1268" s="324" t="s">
        <v>44</v>
      </c>
      <c r="J1268" s="255" t="str">
        <f>IF(ISBLANK(INDEX('Policy Characteristics'!D:D,MATCH($C1268,'Policy Characteristics'!$C:$C,0))),"",INDEX('Policy Characteristics'!D:D,MATCH($C1268,'Policy Characteristics'!$C:$C,0)))</f>
        <v>Hydrogen Combustion</v>
      </c>
      <c r="K1268" s="254" t="str">
        <f>IF(ISBLANK(INDEX('Policy Characteristics'!E:E,MATCH($C1268,'Policy Characteristics'!$C:$C,0))),"",INDEX('Policy Characteristics'!E:E,MATCH($C1268,'Policy Characteristics'!$C:$C,0)))</f>
        <v>indst shift to hydrogen</v>
      </c>
      <c r="L1268" s="261">
        <f>IF(ISBLANK(INDEX('Policy Characteristics'!F:F,MATCH($C1268,'Policy Characteristics'!$C:$C,0))),"",INDEX('Policy Characteristics'!F:F,MATCH($C1268,'Policy Characteristics'!$C:$C,0)))</f>
        <v>0</v>
      </c>
      <c r="M1268" s="261">
        <f>IF(ISBLANK(INDEX('Policy Characteristics'!G:G,MATCH($C1268,'Policy Characteristics'!$C:$C,0))),"",INDEX('Policy Characteristics'!G:G,MATCH($C1268,'Policy Characteristics'!$C:$C,0)))</f>
        <v>1</v>
      </c>
      <c r="N1268" s="261">
        <f>IF(ISBLANK(INDEX('Policy Characteristics'!H:H,MATCH($C1268,'Policy Characteristics'!$C:$C,0))),"",INDEX('Policy Characteristics'!H:H,MATCH($C1268,'Policy Characteristics'!$C:$C,0)))</f>
        <v>0.01</v>
      </c>
      <c r="O1268" s="254" t="str">
        <f>IF(ISBLANK(INDEX('Policy Characteristics'!I:I,MATCH($C1268,'Policy Characteristics'!$C:$C,0))),"",INDEX('Policy Characteristics'!I:I,MATCH($C1268,'Policy Characteristics'!$C:$C,0)))</f>
        <v>% of fuel shifted</v>
      </c>
      <c r="P1268" s="254"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4" t="str">
        <f>IF(ISBLANK(INDEX('Policy Characteristics'!K:K,MATCH($C1268,'Policy Characteristics'!$C:$C,0))),"",INDEX('Policy Characteristics'!K:K,MATCH($C1268,'Policy Characteristics'!$C:$C,0)))</f>
        <v>industry-ag-main.html#fuel-switching</v>
      </c>
      <c r="R1268" s="254" t="str">
        <f>IF(ISBLANK(INDEX('Policy Characteristics'!L:L,MATCH($C1268,'Policy Characteristics'!$C:$C,0))),"",INDEX('Policy Characteristics'!L:L,MATCH($C1268,'Policy Characteristics'!$C:$C,0)))</f>
        <v>industry-elec-and-hydrogen.html</v>
      </c>
    </row>
    <row r="1269" spans="1:18" s="2" customFormat="1" x14ac:dyDescent="0.3">
      <c r="A1269" s="254" t="str">
        <f>IF(ISBLANK(INDEX('Policy Characteristics'!A:A,MATCH($C1269,'Policy Characteristics'!$C:$C,0))),"",INDEX('Policy Characteristics'!A:A,MATCH($C1269,'Policy Characteristics'!$C:$C,0)))</f>
        <v>Industry</v>
      </c>
      <c r="B1269" s="262" t="str">
        <f>IF(ISBLANK(INDEX('Policy Characteristics'!B:B,MATCH($C1269,'Policy Characteristics'!$C:$C,0))),"",INDEX('Policy Characteristics'!B:B,MATCH($C1269,'Policy Characteristics'!$C:$C,0)))</f>
        <v>Hydrogen Combustion</v>
      </c>
      <c r="C1269" s="254" t="str">
        <f t="shared" si="46"/>
        <v>Fraction of Eligible Industrial Energy Use Shifted to Hydrogen</v>
      </c>
      <c r="D1269" s="6" t="s">
        <v>3084</v>
      </c>
      <c r="E1269" s="1" t="s">
        <v>3515</v>
      </c>
      <c r="F1269" t="s">
        <v>3087</v>
      </c>
      <c r="G1269" s="45" t="s">
        <v>3522</v>
      </c>
      <c r="H1269" s="43">
        <v>2218</v>
      </c>
      <c r="I1269" s="324" t="s">
        <v>43</v>
      </c>
      <c r="J1269" s="255" t="str">
        <f>IF(ISBLANK(INDEX('Policy Characteristics'!D:D,MATCH($C1269,'Policy Characteristics'!$C:$C,0))),"",INDEX('Policy Characteristics'!D:D,MATCH($C1269,'Policy Characteristics'!$C:$C,0)))</f>
        <v>Hydrogen Combustion</v>
      </c>
      <c r="K1269" s="254" t="str">
        <f>IF(ISBLANK(INDEX('Policy Characteristics'!E:E,MATCH($C1269,'Policy Characteristics'!$C:$C,0))),"",INDEX('Policy Characteristics'!E:E,MATCH($C1269,'Policy Characteristics'!$C:$C,0)))</f>
        <v>indst shift to hydrogen</v>
      </c>
      <c r="L1269" s="261">
        <f>IF(ISBLANK(INDEX('Policy Characteristics'!F:F,MATCH($C1269,'Policy Characteristics'!$C:$C,0))),"",INDEX('Policy Characteristics'!F:F,MATCH($C1269,'Policy Characteristics'!$C:$C,0)))</f>
        <v>0</v>
      </c>
      <c r="M1269" s="261">
        <f>IF(ISBLANK(INDEX('Policy Characteristics'!G:G,MATCH($C1269,'Policy Characteristics'!$C:$C,0))),"",INDEX('Policy Characteristics'!G:G,MATCH($C1269,'Policy Characteristics'!$C:$C,0)))</f>
        <v>1</v>
      </c>
      <c r="N1269" s="261">
        <f>IF(ISBLANK(INDEX('Policy Characteristics'!H:H,MATCH($C1269,'Policy Characteristics'!$C:$C,0))),"",INDEX('Policy Characteristics'!H:H,MATCH($C1269,'Policy Characteristics'!$C:$C,0)))</f>
        <v>0.01</v>
      </c>
      <c r="O1269" s="254" t="str">
        <f>IF(ISBLANK(INDEX('Policy Characteristics'!I:I,MATCH($C1269,'Policy Characteristics'!$C:$C,0))),"",INDEX('Policy Characteristics'!I:I,MATCH($C1269,'Policy Characteristics'!$C:$C,0)))</f>
        <v>% of fuel shifted</v>
      </c>
      <c r="P1269" s="254"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4" t="str">
        <f>IF(ISBLANK(INDEX('Policy Characteristics'!K:K,MATCH($C1269,'Policy Characteristics'!$C:$C,0))),"",INDEX('Policy Characteristics'!K:K,MATCH($C1269,'Policy Characteristics'!$C:$C,0)))</f>
        <v>industry-ag-main.html#fuel-switching</v>
      </c>
      <c r="R1269" s="254" t="str">
        <f>IF(ISBLANK(INDEX('Policy Characteristics'!L:L,MATCH($C1269,'Policy Characteristics'!$C:$C,0))),"",INDEX('Policy Characteristics'!L:L,MATCH($C1269,'Policy Characteristics'!$C:$C,0)))</f>
        <v>industry-elec-and-hydrogen.html</v>
      </c>
    </row>
    <row r="1270" spans="1:18" s="2" customFormat="1" x14ac:dyDescent="0.3">
      <c r="A1270" s="254" t="str">
        <f>IF(ISBLANK(INDEX('Policy Characteristics'!A:A,MATCH($C1270,'Policy Characteristics'!$C:$C,0))),"",INDEX('Policy Characteristics'!A:A,MATCH($C1270,'Policy Characteristics'!$C:$C,0)))</f>
        <v>Industry</v>
      </c>
      <c r="B1270" s="262" t="str">
        <f>IF(ISBLANK(INDEX('Policy Characteristics'!B:B,MATCH($C1270,'Policy Characteristics'!$C:$C,0))),"",INDEX('Policy Characteristics'!B:B,MATCH($C1270,'Policy Characteristics'!$C:$C,0)))</f>
        <v>Hydrogen Combustion</v>
      </c>
      <c r="C1270" s="254" t="str">
        <f t="shared" si="46"/>
        <v>Fraction of Eligible Industrial Energy Use Shifted to Hydrogen</v>
      </c>
      <c r="D1270" s="6" t="s">
        <v>3084</v>
      </c>
      <c r="E1270" s="1" t="s">
        <v>3516</v>
      </c>
      <c r="F1270" t="s">
        <v>3087</v>
      </c>
      <c r="G1270" s="45" t="s">
        <v>3523</v>
      </c>
      <c r="H1270" s="43">
        <v>2219</v>
      </c>
      <c r="I1270" s="324" t="s">
        <v>44</v>
      </c>
      <c r="J1270" s="255" t="str">
        <f>IF(ISBLANK(INDEX('Policy Characteristics'!D:D,MATCH($C1270,'Policy Characteristics'!$C:$C,0))),"",INDEX('Policy Characteristics'!D:D,MATCH($C1270,'Policy Characteristics'!$C:$C,0)))</f>
        <v>Hydrogen Combustion</v>
      </c>
      <c r="K1270" s="254" t="str">
        <f>IF(ISBLANK(INDEX('Policy Characteristics'!E:E,MATCH($C1270,'Policy Characteristics'!$C:$C,0))),"",INDEX('Policy Characteristics'!E:E,MATCH($C1270,'Policy Characteristics'!$C:$C,0)))</f>
        <v>indst shift to hydrogen</v>
      </c>
      <c r="L1270" s="261">
        <f>IF(ISBLANK(INDEX('Policy Characteristics'!F:F,MATCH($C1270,'Policy Characteristics'!$C:$C,0))),"",INDEX('Policy Characteristics'!F:F,MATCH($C1270,'Policy Characteristics'!$C:$C,0)))</f>
        <v>0</v>
      </c>
      <c r="M1270" s="261">
        <f>IF(ISBLANK(INDEX('Policy Characteristics'!G:G,MATCH($C1270,'Policy Characteristics'!$C:$C,0))),"",INDEX('Policy Characteristics'!G:G,MATCH($C1270,'Policy Characteristics'!$C:$C,0)))</f>
        <v>1</v>
      </c>
      <c r="N1270" s="261">
        <f>IF(ISBLANK(INDEX('Policy Characteristics'!H:H,MATCH($C1270,'Policy Characteristics'!$C:$C,0))),"",INDEX('Policy Characteristics'!H:H,MATCH($C1270,'Policy Characteristics'!$C:$C,0)))</f>
        <v>0.01</v>
      </c>
      <c r="O1270" s="254" t="str">
        <f>IF(ISBLANK(INDEX('Policy Characteristics'!I:I,MATCH($C1270,'Policy Characteristics'!$C:$C,0))),"",INDEX('Policy Characteristics'!I:I,MATCH($C1270,'Policy Characteristics'!$C:$C,0)))</f>
        <v>% of fuel shifted</v>
      </c>
      <c r="P1270" s="254"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4" t="str">
        <f>IF(ISBLANK(INDEX('Policy Characteristics'!K:K,MATCH($C1270,'Policy Characteristics'!$C:$C,0))),"",INDEX('Policy Characteristics'!K:K,MATCH($C1270,'Policy Characteristics'!$C:$C,0)))</f>
        <v>industry-ag-main.html#fuel-switching</v>
      </c>
      <c r="R1270" s="254" t="str">
        <f>IF(ISBLANK(INDEX('Policy Characteristics'!L:L,MATCH($C1270,'Policy Characteristics'!$C:$C,0))),"",INDEX('Policy Characteristics'!L:L,MATCH($C1270,'Policy Characteristics'!$C:$C,0)))</f>
        <v>industry-elec-and-hydrogen.html</v>
      </c>
    </row>
    <row r="1271" spans="1:18" s="2" customFormat="1" x14ac:dyDescent="0.3">
      <c r="A1271" s="254" t="str">
        <f>IF(ISBLANK(INDEX('Policy Characteristics'!A:A,MATCH($C1271,'Policy Characteristics'!$C:$C,0))),"",INDEX('Policy Characteristics'!A:A,MATCH($C1271,'Policy Characteristics'!$C:$C,0)))</f>
        <v>Industry</v>
      </c>
      <c r="B1271" s="262" t="str">
        <f>IF(ISBLANK(INDEX('Policy Characteristics'!B:B,MATCH($C1271,'Policy Characteristics'!$C:$C,0))),"",INDEX('Policy Characteristics'!B:B,MATCH($C1271,'Policy Characteristics'!$C:$C,0)))</f>
        <v>Hydrogen Combustion</v>
      </c>
      <c r="C1271" s="254" t="str">
        <f t="shared" si="46"/>
        <v>Fraction of Eligible Industrial Energy Use Shifted to Hydrogen</v>
      </c>
      <c r="D1271" s="6" t="s">
        <v>3084</v>
      </c>
      <c r="E1271" s="1" t="s">
        <v>3517</v>
      </c>
      <c r="F1271" t="s">
        <v>3087</v>
      </c>
      <c r="G1271" s="45" t="s">
        <v>3524</v>
      </c>
      <c r="H1271" s="43">
        <v>2220</v>
      </c>
      <c r="I1271" s="324" t="s">
        <v>44</v>
      </c>
      <c r="J1271" s="255" t="str">
        <f>IF(ISBLANK(INDEX('Policy Characteristics'!D:D,MATCH($C1271,'Policy Characteristics'!$C:$C,0))),"",INDEX('Policy Characteristics'!D:D,MATCH($C1271,'Policy Characteristics'!$C:$C,0)))</f>
        <v>Hydrogen Combustion</v>
      </c>
      <c r="K1271" s="254" t="str">
        <f>IF(ISBLANK(INDEX('Policy Characteristics'!E:E,MATCH($C1271,'Policy Characteristics'!$C:$C,0))),"",INDEX('Policy Characteristics'!E:E,MATCH($C1271,'Policy Characteristics'!$C:$C,0)))</f>
        <v>indst shift to hydrogen</v>
      </c>
      <c r="L1271" s="261">
        <f>IF(ISBLANK(INDEX('Policy Characteristics'!F:F,MATCH($C1271,'Policy Characteristics'!$C:$C,0))),"",INDEX('Policy Characteristics'!F:F,MATCH($C1271,'Policy Characteristics'!$C:$C,0)))</f>
        <v>0</v>
      </c>
      <c r="M1271" s="261">
        <f>IF(ISBLANK(INDEX('Policy Characteristics'!G:G,MATCH($C1271,'Policy Characteristics'!$C:$C,0))),"",INDEX('Policy Characteristics'!G:G,MATCH($C1271,'Policy Characteristics'!$C:$C,0)))</f>
        <v>1</v>
      </c>
      <c r="N1271" s="261">
        <f>IF(ISBLANK(INDEX('Policy Characteristics'!H:H,MATCH($C1271,'Policy Characteristics'!$C:$C,0))),"",INDEX('Policy Characteristics'!H:H,MATCH($C1271,'Policy Characteristics'!$C:$C,0)))</f>
        <v>0.01</v>
      </c>
      <c r="O1271" s="254" t="str">
        <f>IF(ISBLANK(INDEX('Policy Characteristics'!I:I,MATCH($C1271,'Policy Characteristics'!$C:$C,0))),"",INDEX('Policy Characteristics'!I:I,MATCH($C1271,'Policy Characteristics'!$C:$C,0)))</f>
        <v>% of fuel shifted</v>
      </c>
      <c r="P1271" s="254"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4" t="str">
        <f>IF(ISBLANK(INDEX('Policy Characteristics'!K:K,MATCH($C1271,'Policy Characteristics'!$C:$C,0))),"",INDEX('Policy Characteristics'!K:K,MATCH($C1271,'Policy Characteristics'!$C:$C,0)))</f>
        <v>industry-ag-main.html#fuel-switching</v>
      </c>
      <c r="R1271" s="254" t="str">
        <f>IF(ISBLANK(INDEX('Policy Characteristics'!L:L,MATCH($C1271,'Policy Characteristics'!$C:$C,0))),"",INDEX('Policy Characteristics'!L:L,MATCH($C1271,'Policy Characteristics'!$C:$C,0)))</f>
        <v>industry-elec-and-hydrogen.html</v>
      </c>
    </row>
    <row r="1272" spans="1:18" s="2" customFormat="1" x14ac:dyDescent="0.3">
      <c r="A1272" s="254" t="str">
        <f>IF(ISBLANK(INDEX('Policy Characteristics'!A:A,MATCH($C1272,'Policy Characteristics'!$C:$C,0))),"",INDEX('Policy Characteristics'!A:A,MATCH($C1272,'Policy Characteristics'!$C:$C,0)))</f>
        <v>Industry</v>
      </c>
      <c r="B1272" s="262" t="str">
        <f>IF(ISBLANK(INDEX('Policy Characteristics'!B:B,MATCH($C1272,'Policy Characteristics'!$C:$C,0))),"",INDEX('Policy Characteristics'!B:B,MATCH($C1272,'Policy Characteristics'!$C:$C,0)))</f>
        <v>Hydrogen Combustion</v>
      </c>
      <c r="C1272" s="254" t="str">
        <f t="shared" si="46"/>
        <v>Fraction of Eligible Industrial Energy Use Shifted to Hydrogen</v>
      </c>
      <c r="D1272" s="6" t="s">
        <v>3084</v>
      </c>
      <c r="E1272" s="1" t="s">
        <v>3518</v>
      </c>
      <c r="F1272" t="s">
        <v>3087</v>
      </c>
      <c r="G1272" s="45" t="s">
        <v>3525</v>
      </c>
      <c r="H1272" s="43">
        <v>2221</v>
      </c>
      <c r="I1272" s="324" t="s">
        <v>44</v>
      </c>
      <c r="J1272" s="255" t="str">
        <f>IF(ISBLANK(INDEX('Policy Characteristics'!D:D,MATCH($C1272,'Policy Characteristics'!$C:$C,0))),"",INDEX('Policy Characteristics'!D:D,MATCH($C1272,'Policy Characteristics'!$C:$C,0)))</f>
        <v>Hydrogen Combustion</v>
      </c>
      <c r="K1272" s="254" t="str">
        <f>IF(ISBLANK(INDEX('Policy Characteristics'!E:E,MATCH($C1272,'Policy Characteristics'!$C:$C,0))),"",INDEX('Policy Characteristics'!E:E,MATCH($C1272,'Policy Characteristics'!$C:$C,0)))</f>
        <v>indst shift to hydrogen</v>
      </c>
      <c r="L1272" s="261">
        <f>IF(ISBLANK(INDEX('Policy Characteristics'!F:F,MATCH($C1272,'Policy Characteristics'!$C:$C,0))),"",INDEX('Policy Characteristics'!F:F,MATCH($C1272,'Policy Characteristics'!$C:$C,0)))</f>
        <v>0</v>
      </c>
      <c r="M1272" s="261">
        <f>IF(ISBLANK(INDEX('Policy Characteristics'!G:G,MATCH($C1272,'Policy Characteristics'!$C:$C,0))),"",INDEX('Policy Characteristics'!G:G,MATCH($C1272,'Policy Characteristics'!$C:$C,0)))</f>
        <v>1</v>
      </c>
      <c r="N1272" s="261">
        <f>IF(ISBLANK(INDEX('Policy Characteristics'!H:H,MATCH($C1272,'Policy Characteristics'!$C:$C,0))),"",INDEX('Policy Characteristics'!H:H,MATCH($C1272,'Policy Characteristics'!$C:$C,0)))</f>
        <v>0.01</v>
      </c>
      <c r="O1272" s="254" t="str">
        <f>IF(ISBLANK(INDEX('Policy Characteristics'!I:I,MATCH($C1272,'Policy Characteristics'!$C:$C,0))),"",INDEX('Policy Characteristics'!I:I,MATCH($C1272,'Policy Characteristics'!$C:$C,0)))</f>
        <v>% of fuel shifted</v>
      </c>
      <c r="P1272" s="254"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4" t="str">
        <f>IF(ISBLANK(INDEX('Policy Characteristics'!K:K,MATCH($C1272,'Policy Characteristics'!$C:$C,0))),"",INDEX('Policy Characteristics'!K:K,MATCH($C1272,'Policy Characteristics'!$C:$C,0)))</f>
        <v>industry-ag-main.html#fuel-switching</v>
      </c>
      <c r="R1272" s="254" t="str">
        <f>IF(ISBLANK(INDEX('Policy Characteristics'!L:L,MATCH($C1272,'Policy Characteristics'!$C:$C,0))),"",INDEX('Policy Characteristics'!L:L,MATCH($C1272,'Policy Characteristics'!$C:$C,0)))</f>
        <v>industry-elec-and-hydrogen.html</v>
      </c>
    </row>
    <row r="1273" spans="1:18" s="2" customFormat="1" x14ac:dyDescent="0.3">
      <c r="A1273" s="254" t="str">
        <f>IF(ISBLANK(INDEX('Policy Characteristics'!A:A,MATCH($C1273,'Policy Characteristics'!$C:$C,0))),"",INDEX('Policy Characteristics'!A:A,MATCH($C1273,'Policy Characteristics'!$C:$C,0)))</f>
        <v>Industry</v>
      </c>
      <c r="B1273" s="262" t="str">
        <f>IF(ISBLANK(INDEX('Policy Characteristics'!B:B,MATCH($C1273,'Policy Characteristics'!$C:$C,0))),"",INDEX('Policy Characteristics'!B:B,MATCH($C1273,'Policy Characteristics'!$C:$C,0)))</f>
        <v>Hydrogen Combustion</v>
      </c>
      <c r="C1273" s="254" t="str">
        <f t="shared" si="46"/>
        <v>Fraction of Eligible Industrial Energy Use Shifted to Hydrogen</v>
      </c>
      <c r="D1273" s="6" t="s">
        <v>3084</v>
      </c>
      <c r="E1273" s="1" t="s">
        <v>3519</v>
      </c>
      <c r="F1273" t="s">
        <v>3087</v>
      </c>
      <c r="G1273" s="45" t="s">
        <v>3526</v>
      </c>
      <c r="H1273" s="43">
        <v>2222</v>
      </c>
      <c r="I1273" s="324" t="s">
        <v>44</v>
      </c>
      <c r="J1273" s="255" t="str">
        <f>IF(ISBLANK(INDEX('Policy Characteristics'!D:D,MATCH($C1273,'Policy Characteristics'!$C:$C,0))),"",INDEX('Policy Characteristics'!D:D,MATCH($C1273,'Policy Characteristics'!$C:$C,0)))</f>
        <v>Hydrogen Combustion</v>
      </c>
      <c r="K1273" s="254" t="str">
        <f>IF(ISBLANK(INDEX('Policy Characteristics'!E:E,MATCH($C1273,'Policy Characteristics'!$C:$C,0))),"",INDEX('Policy Characteristics'!E:E,MATCH($C1273,'Policy Characteristics'!$C:$C,0)))</f>
        <v>indst shift to hydrogen</v>
      </c>
      <c r="L1273" s="261">
        <f>IF(ISBLANK(INDEX('Policy Characteristics'!F:F,MATCH($C1273,'Policy Characteristics'!$C:$C,0))),"",INDEX('Policy Characteristics'!F:F,MATCH($C1273,'Policy Characteristics'!$C:$C,0)))</f>
        <v>0</v>
      </c>
      <c r="M1273" s="261">
        <f>IF(ISBLANK(INDEX('Policy Characteristics'!G:G,MATCH($C1273,'Policy Characteristics'!$C:$C,0))),"",INDEX('Policy Characteristics'!G:G,MATCH($C1273,'Policy Characteristics'!$C:$C,0)))</f>
        <v>1</v>
      </c>
      <c r="N1273" s="261">
        <f>IF(ISBLANK(INDEX('Policy Characteristics'!H:H,MATCH($C1273,'Policy Characteristics'!$C:$C,0))),"",INDEX('Policy Characteristics'!H:H,MATCH($C1273,'Policy Characteristics'!$C:$C,0)))</f>
        <v>0.01</v>
      </c>
      <c r="O1273" s="254" t="str">
        <f>IF(ISBLANK(INDEX('Policy Characteristics'!I:I,MATCH($C1273,'Policy Characteristics'!$C:$C,0))),"",INDEX('Policy Characteristics'!I:I,MATCH($C1273,'Policy Characteristics'!$C:$C,0)))</f>
        <v>% of fuel shifted</v>
      </c>
      <c r="P1273" s="254"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4" t="str">
        <f>IF(ISBLANK(INDEX('Policy Characteristics'!K:K,MATCH($C1273,'Policy Characteristics'!$C:$C,0))),"",INDEX('Policy Characteristics'!K:K,MATCH($C1273,'Policy Characteristics'!$C:$C,0)))</f>
        <v>industry-ag-main.html#fuel-switching</v>
      </c>
      <c r="R1273" s="254" t="str">
        <f>IF(ISBLANK(INDEX('Policy Characteristics'!L:L,MATCH($C1273,'Policy Characteristics'!$C:$C,0))),"",INDEX('Policy Characteristics'!L:L,MATCH($C1273,'Policy Characteristics'!$C:$C,0)))</f>
        <v>industry-elec-and-hydrogen.html</v>
      </c>
    </row>
    <row r="1274" spans="1:18" s="2" customFormat="1" x14ac:dyDescent="0.3">
      <c r="A1274" s="254" t="str">
        <f>IF(ISBLANK(INDEX('Policy Characteristics'!A:A,MATCH($C1274,'Policy Characteristics'!$C:$C,0))),"",INDEX('Policy Characteristics'!A:A,MATCH($C1274,'Policy Characteristics'!$C:$C,0)))</f>
        <v>Industry</v>
      </c>
      <c r="B1274" s="262" t="str">
        <f>IF(ISBLANK(INDEX('Policy Characteristics'!B:B,MATCH($C1274,'Policy Characteristics'!$C:$C,0))),"",INDEX('Policy Characteristics'!B:B,MATCH($C1274,'Policy Characteristics'!$C:$C,0)))</f>
        <v>Hydrogen Combustion</v>
      </c>
      <c r="C1274" s="254" t="str">
        <f t="shared" si="46"/>
        <v>Fraction of Eligible Industrial Energy Use Shifted to Hydrogen</v>
      </c>
      <c r="D1274" s="6" t="s">
        <v>3084</v>
      </c>
      <c r="E1274" s="1" t="s">
        <v>3520</v>
      </c>
      <c r="F1274" t="s">
        <v>3087</v>
      </c>
      <c r="G1274" s="45" t="s">
        <v>3527</v>
      </c>
      <c r="H1274" s="43">
        <v>2223</v>
      </c>
      <c r="I1274" s="324" t="s">
        <v>44</v>
      </c>
      <c r="J1274" s="255" t="str">
        <f>IF(ISBLANK(INDEX('Policy Characteristics'!D:D,MATCH($C1274,'Policy Characteristics'!$C:$C,0))),"",INDEX('Policy Characteristics'!D:D,MATCH($C1274,'Policy Characteristics'!$C:$C,0)))</f>
        <v>Hydrogen Combustion</v>
      </c>
      <c r="K1274" s="254" t="str">
        <f>IF(ISBLANK(INDEX('Policy Characteristics'!E:E,MATCH($C1274,'Policy Characteristics'!$C:$C,0))),"",INDEX('Policy Characteristics'!E:E,MATCH($C1274,'Policy Characteristics'!$C:$C,0)))</f>
        <v>indst shift to hydrogen</v>
      </c>
      <c r="L1274" s="261">
        <f>IF(ISBLANK(INDEX('Policy Characteristics'!F:F,MATCH($C1274,'Policy Characteristics'!$C:$C,0))),"",INDEX('Policy Characteristics'!F:F,MATCH($C1274,'Policy Characteristics'!$C:$C,0)))</f>
        <v>0</v>
      </c>
      <c r="M1274" s="261">
        <f>IF(ISBLANK(INDEX('Policy Characteristics'!G:G,MATCH($C1274,'Policy Characteristics'!$C:$C,0))),"",INDEX('Policy Characteristics'!G:G,MATCH($C1274,'Policy Characteristics'!$C:$C,0)))</f>
        <v>1</v>
      </c>
      <c r="N1274" s="261">
        <f>IF(ISBLANK(INDEX('Policy Characteristics'!H:H,MATCH($C1274,'Policy Characteristics'!$C:$C,0))),"",INDEX('Policy Characteristics'!H:H,MATCH($C1274,'Policy Characteristics'!$C:$C,0)))</f>
        <v>0.01</v>
      </c>
      <c r="O1274" s="254" t="str">
        <f>IF(ISBLANK(INDEX('Policy Characteristics'!I:I,MATCH($C1274,'Policy Characteristics'!$C:$C,0))),"",INDEX('Policy Characteristics'!I:I,MATCH($C1274,'Policy Characteristics'!$C:$C,0)))</f>
        <v>% of fuel shifted</v>
      </c>
      <c r="P1274" s="254"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4" t="str">
        <f>IF(ISBLANK(INDEX('Policy Characteristics'!K:K,MATCH($C1274,'Policy Characteristics'!$C:$C,0))),"",INDEX('Policy Characteristics'!K:K,MATCH($C1274,'Policy Characteristics'!$C:$C,0)))</f>
        <v>industry-ag-main.html#fuel-switching</v>
      </c>
      <c r="R1274" s="254" t="str">
        <f>IF(ISBLANK(INDEX('Policy Characteristics'!L:L,MATCH($C1274,'Policy Characteristics'!$C:$C,0))),"",INDEX('Policy Characteristics'!L:L,MATCH($C1274,'Policy Characteristics'!$C:$C,0)))</f>
        <v>industry-elec-and-hydrogen.html</v>
      </c>
    </row>
    <row r="1275" spans="1:18" s="2" customFormat="1" x14ac:dyDescent="0.3">
      <c r="A1275" s="254" t="str">
        <f>IF(ISBLANK(INDEX('Policy Characteristics'!A:A,MATCH($C1275,'Policy Characteristics'!$C:$C,0))),"",INDEX('Policy Characteristics'!A:A,MATCH($C1275,'Policy Characteristics'!$C:$C,0)))</f>
        <v>Industry</v>
      </c>
      <c r="B1275" s="262" t="str">
        <f>IF(ISBLANK(INDEX('Policy Characteristics'!B:B,MATCH($C1275,'Policy Characteristics'!$C:$C,0))),"",INDEX('Policy Characteristics'!B:B,MATCH($C1275,'Policy Characteristics'!$C:$C,0)))</f>
        <v>Hydrogen Combustion</v>
      </c>
      <c r="C1275" s="254" t="str">
        <f t="shared" si="46"/>
        <v>Fraction of Eligible Industrial Energy Use Shifted to Hydrogen</v>
      </c>
      <c r="D1275" s="6" t="s">
        <v>3084</v>
      </c>
      <c r="E1275" s="1" t="s">
        <v>3521</v>
      </c>
      <c r="F1275" t="s">
        <v>3087</v>
      </c>
      <c r="G1275" s="45" t="s">
        <v>3528</v>
      </c>
      <c r="H1275" s="43">
        <v>2224</v>
      </c>
      <c r="I1275" s="324" t="s">
        <v>44</v>
      </c>
      <c r="J1275" s="255" t="str">
        <f>IF(ISBLANK(INDEX('Policy Characteristics'!D:D,MATCH($C1275,'Policy Characteristics'!$C:$C,0))),"",INDEX('Policy Characteristics'!D:D,MATCH($C1275,'Policy Characteristics'!$C:$C,0)))</f>
        <v>Hydrogen Combustion</v>
      </c>
      <c r="K1275" s="254" t="str">
        <f>IF(ISBLANK(INDEX('Policy Characteristics'!E:E,MATCH($C1275,'Policy Characteristics'!$C:$C,0))),"",INDEX('Policy Characteristics'!E:E,MATCH($C1275,'Policy Characteristics'!$C:$C,0)))</f>
        <v>indst shift to hydrogen</v>
      </c>
      <c r="L1275" s="261">
        <f>IF(ISBLANK(INDEX('Policy Characteristics'!F:F,MATCH($C1275,'Policy Characteristics'!$C:$C,0))),"",INDEX('Policy Characteristics'!F:F,MATCH($C1275,'Policy Characteristics'!$C:$C,0)))</f>
        <v>0</v>
      </c>
      <c r="M1275" s="261">
        <f>IF(ISBLANK(INDEX('Policy Characteristics'!G:G,MATCH($C1275,'Policy Characteristics'!$C:$C,0))),"",INDEX('Policy Characteristics'!G:G,MATCH($C1275,'Policy Characteristics'!$C:$C,0)))</f>
        <v>1</v>
      </c>
      <c r="N1275" s="261">
        <f>IF(ISBLANK(INDEX('Policy Characteristics'!H:H,MATCH($C1275,'Policy Characteristics'!$C:$C,0))),"",INDEX('Policy Characteristics'!H:H,MATCH($C1275,'Policy Characteristics'!$C:$C,0)))</f>
        <v>0.01</v>
      </c>
      <c r="O1275" s="254" t="str">
        <f>IF(ISBLANK(INDEX('Policy Characteristics'!I:I,MATCH($C1275,'Policy Characteristics'!$C:$C,0))),"",INDEX('Policy Characteristics'!I:I,MATCH($C1275,'Policy Characteristics'!$C:$C,0)))</f>
        <v>% of fuel shifted</v>
      </c>
      <c r="P1275" s="254"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4" t="str">
        <f>IF(ISBLANK(INDEX('Policy Characteristics'!K:K,MATCH($C1275,'Policy Characteristics'!$C:$C,0))),"",INDEX('Policy Characteristics'!K:K,MATCH($C1275,'Policy Characteristics'!$C:$C,0)))</f>
        <v>industry-ag-main.html#fuel-switching</v>
      </c>
      <c r="R1275" s="254" t="str">
        <f>IF(ISBLANK(INDEX('Policy Characteristics'!L:L,MATCH($C1275,'Policy Characteristics'!$C:$C,0))),"",INDEX('Policy Characteristics'!L:L,MATCH($C1275,'Policy Characteristics'!$C:$C,0)))</f>
        <v>industry-elec-and-hydrogen.html</v>
      </c>
    </row>
    <row r="1276" spans="1:18" s="2" customFormat="1" x14ac:dyDescent="0.3">
      <c r="A1276" s="254" t="str">
        <f>IF(ISBLANK(INDEX('Policy Characteristics'!A:A,MATCH($C1276,'Policy Characteristics'!$C:$C,0))),"",INDEX('Policy Characteristics'!A:A,MATCH($C1276,'Policy Characteristics'!$C:$C,0)))</f>
        <v>Industry</v>
      </c>
      <c r="B1276" s="262" t="str">
        <f>IF(ISBLANK(INDEX('Policy Characteristics'!B:B,MATCH($C1276,'Policy Characteristics'!$C:$C,0))),"",INDEX('Policy Characteristics'!B:B,MATCH($C1276,'Policy Characteristics'!$C:$C,0)))</f>
        <v>Hydrogen Combustion</v>
      </c>
      <c r="C1276" s="254" t="str">
        <f t="shared" si="46"/>
        <v>Fraction of Eligible Industrial Energy Use Shifted to Hydrogen</v>
      </c>
      <c r="D1276" s="6" t="s">
        <v>3084</v>
      </c>
      <c r="E1276" s="1" t="s">
        <v>3671</v>
      </c>
      <c r="F1276" t="s">
        <v>3087</v>
      </c>
      <c r="G1276" s="45" t="s">
        <v>3671</v>
      </c>
      <c r="H1276" s="43">
        <v>2225</v>
      </c>
      <c r="I1276" s="324" t="s">
        <v>44</v>
      </c>
      <c r="J1276" s="255" t="str">
        <f>IF(ISBLANK(INDEX('Policy Characteristics'!D:D,MATCH($C1276,'Policy Characteristics'!$C:$C,0))),"",INDEX('Policy Characteristics'!D:D,MATCH($C1276,'Policy Characteristics'!$C:$C,0)))</f>
        <v>Hydrogen Combustion</v>
      </c>
      <c r="K1276" s="254" t="str">
        <f>IF(ISBLANK(INDEX('Policy Characteristics'!E:E,MATCH($C1276,'Policy Characteristics'!$C:$C,0))),"",INDEX('Policy Characteristics'!E:E,MATCH($C1276,'Policy Characteristics'!$C:$C,0)))</f>
        <v>indst shift to hydrogen</v>
      </c>
      <c r="L1276" s="261">
        <f>IF(ISBLANK(INDEX('Policy Characteristics'!F:F,MATCH($C1276,'Policy Characteristics'!$C:$C,0))),"",INDEX('Policy Characteristics'!F:F,MATCH($C1276,'Policy Characteristics'!$C:$C,0)))</f>
        <v>0</v>
      </c>
      <c r="M1276" s="261">
        <f>IF(ISBLANK(INDEX('Policy Characteristics'!G:G,MATCH($C1276,'Policy Characteristics'!$C:$C,0))),"",INDEX('Policy Characteristics'!G:G,MATCH($C1276,'Policy Characteristics'!$C:$C,0)))</f>
        <v>1</v>
      </c>
      <c r="N1276" s="261">
        <f>IF(ISBLANK(INDEX('Policy Characteristics'!H:H,MATCH($C1276,'Policy Characteristics'!$C:$C,0))),"",INDEX('Policy Characteristics'!H:H,MATCH($C1276,'Policy Characteristics'!$C:$C,0)))</f>
        <v>0.01</v>
      </c>
      <c r="O1276" s="254" t="str">
        <f>IF(ISBLANK(INDEX('Policy Characteristics'!I:I,MATCH($C1276,'Policy Characteristics'!$C:$C,0))),"",INDEX('Policy Characteristics'!I:I,MATCH($C1276,'Policy Characteristics'!$C:$C,0)))</f>
        <v>% of fuel shifted</v>
      </c>
      <c r="P1276" s="254"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4" t="str">
        <f>IF(ISBLANK(INDEX('Policy Characteristics'!K:K,MATCH($C1276,'Policy Characteristics'!$C:$C,0))),"",INDEX('Policy Characteristics'!K:K,MATCH($C1276,'Policy Characteristics'!$C:$C,0)))</f>
        <v>industry-ag-main.html#fuel-switching</v>
      </c>
      <c r="R1276" s="254" t="str">
        <f>IF(ISBLANK(INDEX('Policy Characteristics'!L:L,MATCH($C1276,'Policy Characteristics'!$C:$C,0))),"",INDEX('Policy Characteristics'!L:L,MATCH($C1276,'Policy Characteristics'!$C:$C,0)))</f>
        <v>industry-elec-and-hydrogen.html</v>
      </c>
    </row>
    <row r="1277" spans="1:18" s="2" customFormat="1" x14ac:dyDescent="0.3">
      <c r="A1277" s="254" t="str">
        <f>IF(ISBLANK(INDEX('Policy Characteristics'!A:A,MATCH($C1277,'Policy Characteristics'!$C:$C,0))),"",INDEX('Policy Characteristics'!A:A,MATCH($C1277,'Policy Characteristics'!$C:$C,0)))</f>
        <v>Industry</v>
      </c>
      <c r="B1277" s="262" t="str">
        <f>IF(ISBLANK(INDEX('Policy Characteristics'!B:B,MATCH($C1277,'Policy Characteristics'!$C:$C,0))),"",INDEX('Policy Characteristics'!B:B,MATCH($C1277,'Policy Characteristics'!$C:$C,0)))</f>
        <v>Hydrogen Combustion</v>
      </c>
      <c r="C1277" s="254" t="str">
        <f t="shared" si="46"/>
        <v>Fraction of Eligible Industrial Energy Use Shifted to Hydrogen</v>
      </c>
      <c r="D1277" s="6" t="s">
        <v>3085</v>
      </c>
      <c r="E1277" s="1" t="s">
        <v>3515</v>
      </c>
      <c r="F1277" t="s">
        <v>3046</v>
      </c>
      <c r="G1277" s="45" t="s">
        <v>3522</v>
      </c>
      <c r="H1277" s="43">
        <v>2226</v>
      </c>
      <c r="I1277" s="324" t="s">
        <v>44</v>
      </c>
      <c r="J1277" s="255" t="str">
        <f>IF(ISBLANK(INDEX('Policy Characteristics'!D:D,MATCH($C1277,'Policy Characteristics'!$C:$C,0))),"",INDEX('Policy Characteristics'!D:D,MATCH($C1277,'Policy Characteristics'!$C:$C,0)))</f>
        <v>Hydrogen Combustion</v>
      </c>
      <c r="K1277" s="254" t="str">
        <f>IF(ISBLANK(INDEX('Policy Characteristics'!E:E,MATCH($C1277,'Policy Characteristics'!$C:$C,0))),"",INDEX('Policy Characteristics'!E:E,MATCH($C1277,'Policy Characteristics'!$C:$C,0)))</f>
        <v>indst shift to hydrogen</v>
      </c>
      <c r="L1277" s="261">
        <f>IF(ISBLANK(INDEX('Policy Characteristics'!F:F,MATCH($C1277,'Policy Characteristics'!$C:$C,0))),"",INDEX('Policy Characteristics'!F:F,MATCH($C1277,'Policy Characteristics'!$C:$C,0)))</f>
        <v>0</v>
      </c>
      <c r="M1277" s="261">
        <f>IF(ISBLANK(INDEX('Policy Characteristics'!G:G,MATCH($C1277,'Policy Characteristics'!$C:$C,0))),"",INDEX('Policy Characteristics'!G:G,MATCH($C1277,'Policy Characteristics'!$C:$C,0)))</f>
        <v>1</v>
      </c>
      <c r="N1277" s="261">
        <f>IF(ISBLANK(INDEX('Policy Characteristics'!H:H,MATCH($C1277,'Policy Characteristics'!$C:$C,0))),"",INDEX('Policy Characteristics'!H:H,MATCH($C1277,'Policy Characteristics'!$C:$C,0)))</f>
        <v>0.01</v>
      </c>
      <c r="O1277" s="254" t="str">
        <f>IF(ISBLANK(INDEX('Policy Characteristics'!I:I,MATCH($C1277,'Policy Characteristics'!$C:$C,0))),"",INDEX('Policy Characteristics'!I:I,MATCH($C1277,'Policy Characteristics'!$C:$C,0)))</f>
        <v>% of fuel shifted</v>
      </c>
      <c r="P1277" s="254"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4" t="str">
        <f>IF(ISBLANK(INDEX('Policy Characteristics'!K:K,MATCH($C1277,'Policy Characteristics'!$C:$C,0))),"",INDEX('Policy Characteristics'!K:K,MATCH($C1277,'Policy Characteristics'!$C:$C,0)))</f>
        <v>industry-ag-main.html#fuel-switching</v>
      </c>
      <c r="R1277" s="254" t="str">
        <f>IF(ISBLANK(INDEX('Policy Characteristics'!L:L,MATCH($C1277,'Policy Characteristics'!$C:$C,0))),"",INDEX('Policy Characteristics'!L:L,MATCH($C1277,'Policy Characteristics'!$C:$C,0)))</f>
        <v>industry-elec-and-hydrogen.html</v>
      </c>
    </row>
    <row r="1278" spans="1:18" s="2" customFormat="1" x14ac:dyDescent="0.3">
      <c r="A1278" s="254" t="str">
        <f>IF(ISBLANK(INDEX('Policy Characteristics'!A:A,MATCH($C1278,'Policy Characteristics'!$C:$C,0))),"",INDEX('Policy Characteristics'!A:A,MATCH($C1278,'Policy Characteristics'!$C:$C,0)))</f>
        <v>Industry</v>
      </c>
      <c r="B1278" s="262" t="str">
        <f>IF(ISBLANK(INDEX('Policy Characteristics'!B:B,MATCH($C1278,'Policy Characteristics'!$C:$C,0))),"",INDEX('Policy Characteristics'!B:B,MATCH($C1278,'Policy Characteristics'!$C:$C,0)))</f>
        <v>Hydrogen Combustion</v>
      </c>
      <c r="C1278" s="254" t="str">
        <f t="shared" si="46"/>
        <v>Fraction of Eligible Industrial Energy Use Shifted to Hydrogen</v>
      </c>
      <c r="D1278" s="6" t="s">
        <v>3085</v>
      </c>
      <c r="E1278" s="1" t="s">
        <v>3516</v>
      </c>
      <c r="F1278" t="s">
        <v>3046</v>
      </c>
      <c r="G1278" s="45" t="s">
        <v>3523</v>
      </c>
      <c r="H1278" s="43">
        <v>2227</v>
      </c>
      <c r="I1278" s="324" t="s">
        <v>43</v>
      </c>
      <c r="J1278" s="255" t="str">
        <f>IF(ISBLANK(INDEX('Policy Characteristics'!D:D,MATCH($C1278,'Policy Characteristics'!$C:$C,0))),"",INDEX('Policy Characteristics'!D:D,MATCH($C1278,'Policy Characteristics'!$C:$C,0)))</f>
        <v>Hydrogen Combustion</v>
      </c>
      <c r="K1278" s="254" t="str">
        <f>IF(ISBLANK(INDEX('Policy Characteristics'!E:E,MATCH($C1278,'Policy Characteristics'!$C:$C,0))),"",INDEX('Policy Characteristics'!E:E,MATCH($C1278,'Policy Characteristics'!$C:$C,0)))</f>
        <v>indst shift to hydrogen</v>
      </c>
      <c r="L1278" s="261">
        <f>IF(ISBLANK(INDEX('Policy Characteristics'!F:F,MATCH($C1278,'Policy Characteristics'!$C:$C,0))),"",INDEX('Policy Characteristics'!F:F,MATCH($C1278,'Policy Characteristics'!$C:$C,0)))</f>
        <v>0</v>
      </c>
      <c r="M1278" s="261">
        <f>IF(ISBLANK(INDEX('Policy Characteristics'!G:G,MATCH($C1278,'Policy Characteristics'!$C:$C,0))),"",INDEX('Policy Characteristics'!G:G,MATCH($C1278,'Policy Characteristics'!$C:$C,0)))</f>
        <v>1</v>
      </c>
      <c r="N1278" s="261">
        <f>IF(ISBLANK(INDEX('Policy Characteristics'!H:H,MATCH($C1278,'Policy Characteristics'!$C:$C,0))),"",INDEX('Policy Characteristics'!H:H,MATCH($C1278,'Policy Characteristics'!$C:$C,0)))</f>
        <v>0.01</v>
      </c>
      <c r="O1278" s="254" t="str">
        <f>IF(ISBLANK(INDEX('Policy Characteristics'!I:I,MATCH($C1278,'Policy Characteristics'!$C:$C,0))),"",INDEX('Policy Characteristics'!I:I,MATCH($C1278,'Policy Characteristics'!$C:$C,0)))</f>
        <v>% of fuel shifted</v>
      </c>
      <c r="P1278" s="254"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4" t="str">
        <f>IF(ISBLANK(INDEX('Policy Characteristics'!K:K,MATCH($C1278,'Policy Characteristics'!$C:$C,0))),"",INDEX('Policy Characteristics'!K:K,MATCH($C1278,'Policy Characteristics'!$C:$C,0)))</f>
        <v>industry-ag-main.html#fuel-switching</v>
      </c>
      <c r="R1278" s="254" t="str">
        <f>IF(ISBLANK(INDEX('Policy Characteristics'!L:L,MATCH($C1278,'Policy Characteristics'!$C:$C,0))),"",INDEX('Policy Characteristics'!L:L,MATCH($C1278,'Policy Characteristics'!$C:$C,0)))</f>
        <v>industry-elec-and-hydrogen.html</v>
      </c>
    </row>
    <row r="1279" spans="1:18" s="2" customFormat="1" x14ac:dyDescent="0.3">
      <c r="A1279" s="254" t="str">
        <f>IF(ISBLANK(INDEX('Policy Characteristics'!A:A,MATCH($C1279,'Policy Characteristics'!$C:$C,0))),"",INDEX('Policy Characteristics'!A:A,MATCH($C1279,'Policy Characteristics'!$C:$C,0)))</f>
        <v>Industry</v>
      </c>
      <c r="B1279" s="262" t="str">
        <f>IF(ISBLANK(INDEX('Policy Characteristics'!B:B,MATCH($C1279,'Policy Characteristics'!$C:$C,0))),"",INDEX('Policy Characteristics'!B:B,MATCH($C1279,'Policy Characteristics'!$C:$C,0)))</f>
        <v>Hydrogen Combustion</v>
      </c>
      <c r="C1279" s="254" t="str">
        <f t="shared" ref="C1279:C1284" si="47">C$1085</f>
        <v>Fraction of Eligible Industrial Energy Use Shifted to Hydrogen</v>
      </c>
      <c r="D1279" s="6" t="s">
        <v>3085</v>
      </c>
      <c r="E1279" s="1" t="s">
        <v>3517</v>
      </c>
      <c r="F1279" t="s">
        <v>3046</v>
      </c>
      <c r="G1279" s="45" t="s">
        <v>3524</v>
      </c>
      <c r="H1279" s="43">
        <v>2228</v>
      </c>
      <c r="I1279" s="324" t="s">
        <v>44</v>
      </c>
      <c r="J1279" s="255" t="str">
        <f>IF(ISBLANK(INDEX('Policy Characteristics'!D:D,MATCH($C1279,'Policy Characteristics'!$C:$C,0))),"",INDEX('Policy Characteristics'!D:D,MATCH($C1279,'Policy Characteristics'!$C:$C,0)))</f>
        <v>Hydrogen Combustion</v>
      </c>
      <c r="K1279" s="254" t="str">
        <f>IF(ISBLANK(INDEX('Policy Characteristics'!E:E,MATCH($C1279,'Policy Characteristics'!$C:$C,0))),"",INDEX('Policy Characteristics'!E:E,MATCH($C1279,'Policy Characteristics'!$C:$C,0)))</f>
        <v>indst shift to hydrogen</v>
      </c>
      <c r="L1279" s="261">
        <f>IF(ISBLANK(INDEX('Policy Characteristics'!F:F,MATCH($C1279,'Policy Characteristics'!$C:$C,0))),"",INDEX('Policy Characteristics'!F:F,MATCH($C1279,'Policy Characteristics'!$C:$C,0)))</f>
        <v>0</v>
      </c>
      <c r="M1279" s="261">
        <f>IF(ISBLANK(INDEX('Policy Characteristics'!G:G,MATCH($C1279,'Policy Characteristics'!$C:$C,0))),"",INDEX('Policy Characteristics'!G:G,MATCH($C1279,'Policy Characteristics'!$C:$C,0)))</f>
        <v>1</v>
      </c>
      <c r="N1279" s="261">
        <f>IF(ISBLANK(INDEX('Policy Characteristics'!H:H,MATCH($C1279,'Policy Characteristics'!$C:$C,0))),"",INDEX('Policy Characteristics'!H:H,MATCH($C1279,'Policy Characteristics'!$C:$C,0)))</f>
        <v>0.01</v>
      </c>
      <c r="O1279" s="254" t="str">
        <f>IF(ISBLANK(INDEX('Policy Characteristics'!I:I,MATCH($C1279,'Policy Characteristics'!$C:$C,0))),"",INDEX('Policy Characteristics'!I:I,MATCH($C1279,'Policy Characteristics'!$C:$C,0)))</f>
        <v>% of fuel shifted</v>
      </c>
      <c r="P1279" s="254"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4" t="str">
        <f>IF(ISBLANK(INDEX('Policy Characteristics'!K:K,MATCH($C1279,'Policy Characteristics'!$C:$C,0))),"",INDEX('Policy Characteristics'!K:K,MATCH($C1279,'Policy Characteristics'!$C:$C,0)))</f>
        <v>industry-ag-main.html#fuel-switching</v>
      </c>
      <c r="R1279" s="254" t="str">
        <f>IF(ISBLANK(INDEX('Policy Characteristics'!L:L,MATCH($C1279,'Policy Characteristics'!$C:$C,0))),"",INDEX('Policy Characteristics'!L:L,MATCH($C1279,'Policy Characteristics'!$C:$C,0)))</f>
        <v>industry-elec-and-hydrogen.html</v>
      </c>
    </row>
    <row r="1280" spans="1:18" s="2" customFormat="1" x14ac:dyDescent="0.3">
      <c r="A1280" s="254" t="str">
        <f>IF(ISBLANK(INDEX('Policy Characteristics'!A:A,MATCH($C1280,'Policy Characteristics'!$C:$C,0))),"",INDEX('Policy Characteristics'!A:A,MATCH($C1280,'Policy Characteristics'!$C:$C,0)))</f>
        <v>Industry</v>
      </c>
      <c r="B1280" s="262" t="str">
        <f>IF(ISBLANK(INDEX('Policy Characteristics'!B:B,MATCH($C1280,'Policy Characteristics'!$C:$C,0))),"",INDEX('Policy Characteristics'!B:B,MATCH($C1280,'Policy Characteristics'!$C:$C,0)))</f>
        <v>Hydrogen Combustion</v>
      </c>
      <c r="C1280" s="254" t="str">
        <f t="shared" si="47"/>
        <v>Fraction of Eligible Industrial Energy Use Shifted to Hydrogen</v>
      </c>
      <c r="D1280" s="6" t="s">
        <v>3085</v>
      </c>
      <c r="E1280" s="1" t="s">
        <v>3518</v>
      </c>
      <c r="F1280" t="s">
        <v>3046</v>
      </c>
      <c r="G1280" s="45" t="s">
        <v>3525</v>
      </c>
      <c r="H1280" s="43">
        <v>2229</v>
      </c>
      <c r="I1280" s="324" t="s">
        <v>44</v>
      </c>
      <c r="J1280" s="255" t="str">
        <f>IF(ISBLANK(INDEX('Policy Characteristics'!D:D,MATCH($C1280,'Policy Characteristics'!$C:$C,0))),"",INDEX('Policy Characteristics'!D:D,MATCH($C1280,'Policy Characteristics'!$C:$C,0)))</f>
        <v>Hydrogen Combustion</v>
      </c>
      <c r="K1280" s="254" t="str">
        <f>IF(ISBLANK(INDEX('Policy Characteristics'!E:E,MATCH($C1280,'Policy Characteristics'!$C:$C,0))),"",INDEX('Policy Characteristics'!E:E,MATCH($C1280,'Policy Characteristics'!$C:$C,0)))</f>
        <v>indst shift to hydrogen</v>
      </c>
      <c r="L1280" s="261">
        <f>IF(ISBLANK(INDEX('Policy Characteristics'!F:F,MATCH($C1280,'Policy Characteristics'!$C:$C,0))),"",INDEX('Policy Characteristics'!F:F,MATCH($C1280,'Policy Characteristics'!$C:$C,0)))</f>
        <v>0</v>
      </c>
      <c r="M1280" s="261">
        <f>IF(ISBLANK(INDEX('Policy Characteristics'!G:G,MATCH($C1280,'Policy Characteristics'!$C:$C,0))),"",INDEX('Policy Characteristics'!G:G,MATCH($C1280,'Policy Characteristics'!$C:$C,0)))</f>
        <v>1</v>
      </c>
      <c r="N1280" s="261">
        <f>IF(ISBLANK(INDEX('Policy Characteristics'!H:H,MATCH($C1280,'Policy Characteristics'!$C:$C,0))),"",INDEX('Policy Characteristics'!H:H,MATCH($C1280,'Policy Characteristics'!$C:$C,0)))</f>
        <v>0.01</v>
      </c>
      <c r="O1280" s="254" t="str">
        <f>IF(ISBLANK(INDEX('Policy Characteristics'!I:I,MATCH($C1280,'Policy Characteristics'!$C:$C,0))),"",INDEX('Policy Characteristics'!I:I,MATCH($C1280,'Policy Characteristics'!$C:$C,0)))</f>
        <v>% of fuel shifted</v>
      </c>
      <c r="P1280" s="254"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4" t="str">
        <f>IF(ISBLANK(INDEX('Policy Characteristics'!K:K,MATCH($C1280,'Policy Characteristics'!$C:$C,0))),"",INDEX('Policy Characteristics'!K:K,MATCH($C1280,'Policy Characteristics'!$C:$C,0)))</f>
        <v>industry-ag-main.html#fuel-switching</v>
      </c>
      <c r="R1280" s="254" t="str">
        <f>IF(ISBLANK(INDEX('Policy Characteristics'!L:L,MATCH($C1280,'Policy Characteristics'!$C:$C,0))),"",INDEX('Policy Characteristics'!L:L,MATCH($C1280,'Policy Characteristics'!$C:$C,0)))</f>
        <v>industry-elec-and-hydrogen.html</v>
      </c>
    </row>
    <row r="1281" spans="1:18" s="2" customFormat="1" x14ac:dyDescent="0.3">
      <c r="A1281" s="254" t="str">
        <f>IF(ISBLANK(INDEX('Policy Characteristics'!A:A,MATCH($C1281,'Policy Characteristics'!$C:$C,0))),"",INDEX('Policy Characteristics'!A:A,MATCH($C1281,'Policy Characteristics'!$C:$C,0)))</f>
        <v>Industry</v>
      </c>
      <c r="B1281" s="262" t="str">
        <f>IF(ISBLANK(INDEX('Policy Characteristics'!B:B,MATCH($C1281,'Policy Characteristics'!$C:$C,0))),"",INDEX('Policy Characteristics'!B:B,MATCH($C1281,'Policy Characteristics'!$C:$C,0)))</f>
        <v>Hydrogen Combustion</v>
      </c>
      <c r="C1281" s="254" t="str">
        <f t="shared" si="47"/>
        <v>Fraction of Eligible Industrial Energy Use Shifted to Hydrogen</v>
      </c>
      <c r="D1281" s="6" t="s">
        <v>3085</v>
      </c>
      <c r="E1281" s="1" t="s">
        <v>3519</v>
      </c>
      <c r="F1281" t="s">
        <v>3046</v>
      </c>
      <c r="G1281" s="45" t="s">
        <v>3526</v>
      </c>
      <c r="H1281" s="43">
        <v>2230</v>
      </c>
      <c r="I1281" s="324" t="s">
        <v>44</v>
      </c>
      <c r="J1281" s="255" t="str">
        <f>IF(ISBLANK(INDEX('Policy Characteristics'!D:D,MATCH($C1281,'Policy Characteristics'!$C:$C,0))),"",INDEX('Policy Characteristics'!D:D,MATCH($C1281,'Policy Characteristics'!$C:$C,0)))</f>
        <v>Hydrogen Combustion</v>
      </c>
      <c r="K1281" s="254" t="str">
        <f>IF(ISBLANK(INDEX('Policy Characteristics'!E:E,MATCH($C1281,'Policy Characteristics'!$C:$C,0))),"",INDEX('Policy Characteristics'!E:E,MATCH($C1281,'Policy Characteristics'!$C:$C,0)))</f>
        <v>indst shift to hydrogen</v>
      </c>
      <c r="L1281" s="261">
        <f>IF(ISBLANK(INDEX('Policy Characteristics'!F:F,MATCH($C1281,'Policy Characteristics'!$C:$C,0))),"",INDEX('Policy Characteristics'!F:F,MATCH($C1281,'Policy Characteristics'!$C:$C,0)))</f>
        <v>0</v>
      </c>
      <c r="M1281" s="261">
        <f>IF(ISBLANK(INDEX('Policy Characteristics'!G:G,MATCH($C1281,'Policy Characteristics'!$C:$C,0))),"",INDEX('Policy Characteristics'!G:G,MATCH($C1281,'Policy Characteristics'!$C:$C,0)))</f>
        <v>1</v>
      </c>
      <c r="N1281" s="261">
        <f>IF(ISBLANK(INDEX('Policy Characteristics'!H:H,MATCH($C1281,'Policy Characteristics'!$C:$C,0))),"",INDEX('Policy Characteristics'!H:H,MATCH($C1281,'Policy Characteristics'!$C:$C,0)))</f>
        <v>0.01</v>
      </c>
      <c r="O1281" s="254" t="str">
        <f>IF(ISBLANK(INDEX('Policy Characteristics'!I:I,MATCH($C1281,'Policy Characteristics'!$C:$C,0))),"",INDEX('Policy Characteristics'!I:I,MATCH($C1281,'Policy Characteristics'!$C:$C,0)))</f>
        <v>% of fuel shifted</v>
      </c>
      <c r="P1281" s="254"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4" t="str">
        <f>IF(ISBLANK(INDEX('Policy Characteristics'!K:K,MATCH($C1281,'Policy Characteristics'!$C:$C,0))),"",INDEX('Policy Characteristics'!K:K,MATCH($C1281,'Policy Characteristics'!$C:$C,0)))</f>
        <v>industry-ag-main.html#fuel-switching</v>
      </c>
      <c r="R1281" s="254" t="str">
        <f>IF(ISBLANK(INDEX('Policy Characteristics'!L:L,MATCH($C1281,'Policy Characteristics'!$C:$C,0))),"",INDEX('Policy Characteristics'!L:L,MATCH($C1281,'Policy Characteristics'!$C:$C,0)))</f>
        <v>industry-elec-and-hydrogen.html</v>
      </c>
    </row>
    <row r="1282" spans="1:18" s="2" customFormat="1" x14ac:dyDescent="0.3">
      <c r="A1282" s="254" t="str">
        <f>IF(ISBLANK(INDEX('Policy Characteristics'!A:A,MATCH($C1282,'Policy Characteristics'!$C:$C,0))),"",INDEX('Policy Characteristics'!A:A,MATCH($C1282,'Policy Characteristics'!$C:$C,0)))</f>
        <v>Industry</v>
      </c>
      <c r="B1282" s="262" t="str">
        <f>IF(ISBLANK(INDEX('Policy Characteristics'!B:B,MATCH($C1282,'Policy Characteristics'!$C:$C,0))),"",INDEX('Policy Characteristics'!B:B,MATCH($C1282,'Policy Characteristics'!$C:$C,0)))</f>
        <v>Hydrogen Combustion</v>
      </c>
      <c r="C1282" s="254" t="str">
        <f t="shared" si="47"/>
        <v>Fraction of Eligible Industrial Energy Use Shifted to Hydrogen</v>
      </c>
      <c r="D1282" s="6" t="s">
        <v>3085</v>
      </c>
      <c r="E1282" s="1" t="s">
        <v>3520</v>
      </c>
      <c r="F1282" t="s">
        <v>3046</v>
      </c>
      <c r="G1282" s="45" t="s">
        <v>3527</v>
      </c>
      <c r="H1282" s="43">
        <v>2231</v>
      </c>
      <c r="I1282" s="324" t="s">
        <v>44</v>
      </c>
      <c r="J1282" s="255" t="str">
        <f>IF(ISBLANK(INDEX('Policy Characteristics'!D:D,MATCH($C1282,'Policy Characteristics'!$C:$C,0))),"",INDEX('Policy Characteristics'!D:D,MATCH($C1282,'Policy Characteristics'!$C:$C,0)))</f>
        <v>Hydrogen Combustion</v>
      </c>
      <c r="K1282" s="254" t="str">
        <f>IF(ISBLANK(INDEX('Policy Characteristics'!E:E,MATCH($C1282,'Policy Characteristics'!$C:$C,0))),"",INDEX('Policy Characteristics'!E:E,MATCH($C1282,'Policy Characteristics'!$C:$C,0)))</f>
        <v>indst shift to hydrogen</v>
      </c>
      <c r="L1282" s="261">
        <f>IF(ISBLANK(INDEX('Policy Characteristics'!F:F,MATCH($C1282,'Policy Characteristics'!$C:$C,0))),"",INDEX('Policy Characteristics'!F:F,MATCH($C1282,'Policy Characteristics'!$C:$C,0)))</f>
        <v>0</v>
      </c>
      <c r="M1282" s="261">
        <f>IF(ISBLANK(INDEX('Policy Characteristics'!G:G,MATCH($C1282,'Policy Characteristics'!$C:$C,0))),"",INDEX('Policy Characteristics'!G:G,MATCH($C1282,'Policy Characteristics'!$C:$C,0)))</f>
        <v>1</v>
      </c>
      <c r="N1282" s="261">
        <f>IF(ISBLANK(INDEX('Policy Characteristics'!H:H,MATCH($C1282,'Policy Characteristics'!$C:$C,0))),"",INDEX('Policy Characteristics'!H:H,MATCH($C1282,'Policy Characteristics'!$C:$C,0)))</f>
        <v>0.01</v>
      </c>
      <c r="O1282" s="254" t="str">
        <f>IF(ISBLANK(INDEX('Policy Characteristics'!I:I,MATCH($C1282,'Policy Characteristics'!$C:$C,0))),"",INDEX('Policy Characteristics'!I:I,MATCH($C1282,'Policy Characteristics'!$C:$C,0)))</f>
        <v>% of fuel shifted</v>
      </c>
      <c r="P1282" s="254"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4" t="str">
        <f>IF(ISBLANK(INDEX('Policy Characteristics'!K:K,MATCH($C1282,'Policy Characteristics'!$C:$C,0))),"",INDEX('Policy Characteristics'!K:K,MATCH($C1282,'Policy Characteristics'!$C:$C,0)))</f>
        <v>industry-ag-main.html#fuel-switching</v>
      </c>
      <c r="R1282" s="254" t="str">
        <f>IF(ISBLANK(INDEX('Policy Characteristics'!L:L,MATCH($C1282,'Policy Characteristics'!$C:$C,0))),"",INDEX('Policy Characteristics'!L:L,MATCH($C1282,'Policy Characteristics'!$C:$C,0)))</f>
        <v>industry-elec-and-hydrogen.html</v>
      </c>
    </row>
    <row r="1283" spans="1:18" s="2" customFormat="1" x14ac:dyDescent="0.3">
      <c r="A1283" s="254" t="str">
        <f>IF(ISBLANK(INDEX('Policy Characteristics'!A:A,MATCH($C1283,'Policy Characteristics'!$C:$C,0))),"",INDEX('Policy Characteristics'!A:A,MATCH($C1283,'Policy Characteristics'!$C:$C,0)))</f>
        <v>Industry</v>
      </c>
      <c r="B1283" s="262" t="str">
        <f>IF(ISBLANK(INDEX('Policy Characteristics'!B:B,MATCH($C1283,'Policy Characteristics'!$C:$C,0))),"",INDEX('Policy Characteristics'!B:B,MATCH($C1283,'Policy Characteristics'!$C:$C,0)))</f>
        <v>Hydrogen Combustion</v>
      </c>
      <c r="C1283" s="254" t="str">
        <f t="shared" si="47"/>
        <v>Fraction of Eligible Industrial Energy Use Shifted to Hydrogen</v>
      </c>
      <c r="D1283" s="6" t="s">
        <v>3085</v>
      </c>
      <c r="E1283" s="1" t="s">
        <v>3521</v>
      </c>
      <c r="F1283" t="s">
        <v>3046</v>
      </c>
      <c r="G1283" s="45" t="s">
        <v>3528</v>
      </c>
      <c r="H1283" s="43">
        <v>2232</v>
      </c>
      <c r="I1283" s="324" t="s">
        <v>44</v>
      </c>
      <c r="J1283" s="255" t="str">
        <f>IF(ISBLANK(INDEX('Policy Characteristics'!D:D,MATCH($C1283,'Policy Characteristics'!$C:$C,0))),"",INDEX('Policy Characteristics'!D:D,MATCH($C1283,'Policy Characteristics'!$C:$C,0)))</f>
        <v>Hydrogen Combustion</v>
      </c>
      <c r="K1283" s="254" t="str">
        <f>IF(ISBLANK(INDEX('Policy Characteristics'!E:E,MATCH($C1283,'Policy Characteristics'!$C:$C,0))),"",INDEX('Policy Characteristics'!E:E,MATCH($C1283,'Policy Characteristics'!$C:$C,0)))</f>
        <v>indst shift to hydrogen</v>
      </c>
      <c r="L1283" s="261">
        <f>IF(ISBLANK(INDEX('Policy Characteristics'!F:F,MATCH($C1283,'Policy Characteristics'!$C:$C,0))),"",INDEX('Policy Characteristics'!F:F,MATCH($C1283,'Policy Characteristics'!$C:$C,0)))</f>
        <v>0</v>
      </c>
      <c r="M1283" s="261">
        <f>IF(ISBLANK(INDEX('Policy Characteristics'!G:G,MATCH($C1283,'Policy Characteristics'!$C:$C,0))),"",INDEX('Policy Characteristics'!G:G,MATCH($C1283,'Policy Characteristics'!$C:$C,0)))</f>
        <v>1</v>
      </c>
      <c r="N1283" s="261">
        <f>IF(ISBLANK(INDEX('Policy Characteristics'!H:H,MATCH($C1283,'Policy Characteristics'!$C:$C,0))),"",INDEX('Policy Characteristics'!H:H,MATCH($C1283,'Policy Characteristics'!$C:$C,0)))</f>
        <v>0.01</v>
      </c>
      <c r="O1283" s="254" t="str">
        <f>IF(ISBLANK(INDEX('Policy Characteristics'!I:I,MATCH($C1283,'Policy Characteristics'!$C:$C,0))),"",INDEX('Policy Characteristics'!I:I,MATCH($C1283,'Policy Characteristics'!$C:$C,0)))</f>
        <v>% of fuel shifted</v>
      </c>
      <c r="P1283" s="254"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4" t="str">
        <f>IF(ISBLANK(INDEX('Policy Characteristics'!K:K,MATCH($C1283,'Policy Characteristics'!$C:$C,0))),"",INDEX('Policy Characteristics'!K:K,MATCH($C1283,'Policy Characteristics'!$C:$C,0)))</f>
        <v>industry-ag-main.html#fuel-switching</v>
      </c>
      <c r="R1283" s="254" t="str">
        <f>IF(ISBLANK(INDEX('Policy Characteristics'!L:L,MATCH($C1283,'Policy Characteristics'!$C:$C,0))),"",INDEX('Policy Characteristics'!L:L,MATCH($C1283,'Policy Characteristics'!$C:$C,0)))</f>
        <v>industry-elec-and-hydrogen.html</v>
      </c>
    </row>
    <row r="1284" spans="1:18" s="2" customFormat="1" x14ac:dyDescent="0.3">
      <c r="A1284" s="254" t="str">
        <f>IF(ISBLANK(INDEX('Policy Characteristics'!A:A,MATCH($C1284,'Policy Characteristics'!$C:$C,0))),"",INDEX('Policy Characteristics'!A:A,MATCH($C1284,'Policy Characteristics'!$C:$C,0)))</f>
        <v>Industry</v>
      </c>
      <c r="B1284" s="262" t="str">
        <f>IF(ISBLANK(INDEX('Policy Characteristics'!B:B,MATCH($C1284,'Policy Characteristics'!$C:$C,0))),"",INDEX('Policy Characteristics'!B:B,MATCH($C1284,'Policy Characteristics'!$C:$C,0)))</f>
        <v>Hydrogen Combustion</v>
      </c>
      <c r="C1284" s="254" t="str">
        <f t="shared" si="47"/>
        <v>Fraction of Eligible Industrial Energy Use Shifted to Hydrogen</v>
      </c>
      <c r="D1284" s="6" t="s">
        <v>3085</v>
      </c>
      <c r="E1284" s="1" t="s">
        <v>3671</v>
      </c>
      <c r="F1284" t="s">
        <v>3046</v>
      </c>
      <c r="G1284" s="45" t="s">
        <v>3671</v>
      </c>
      <c r="H1284" s="43">
        <v>2233</v>
      </c>
      <c r="I1284" s="324" t="s">
        <v>44</v>
      </c>
      <c r="J1284" s="255" t="str">
        <f>IF(ISBLANK(INDEX('Policy Characteristics'!D:D,MATCH($C1284,'Policy Characteristics'!$C:$C,0))),"",INDEX('Policy Characteristics'!D:D,MATCH($C1284,'Policy Characteristics'!$C:$C,0)))</f>
        <v>Hydrogen Combustion</v>
      </c>
      <c r="K1284" s="254" t="str">
        <f>IF(ISBLANK(INDEX('Policy Characteristics'!E:E,MATCH($C1284,'Policy Characteristics'!$C:$C,0))),"",INDEX('Policy Characteristics'!E:E,MATCH($C1284,'Policy Characteristics'!$C:$C,0)))</f>
        <v>indst shift to hydrogen</v>
      </c>
      <c r="L1284" s="261">
        <f>IF(ISBLANK(INDEX('Policy Characteristics'!F:F,MATCH($C1284,'Policy Characteristics'!$C:$C,0))),"",INDEX('Policy Characteristics'!F:F,MATCH($C1284,'Policy Characteristics'!$C:$C,0)))</f>
        <v>0</v>
      </c>
      <c r="M1284" s="261">
        <f>IF(ISBLANK(INDEX('Policy Characteristics'!G:G,MATCH($C1284,'Policy Characteristics'!$C:$C,0))),"",INDEX('Policy Characteristics'!G:G,MATCH($C1284,'Policy Characteristics'!$C:$C,0)))</f>
        <v>1</v>
      </c>
      <c r="N1284" s="261">
        <f>IF(ISBLANK(INDEX('Policy Characteristics'!H:H,MATCH($C1284,'Policy Characteristics'!$C:$C,0))),"",INDEX('Policy Characteristics'!H:H,MATCH($C1284,'Policy Characteristics'!$C:$C,0)))</f>
        <v>0.01</v>
      </c>
      <c r="O1284" s="254" t="str">
        <f>IF(ISBLANK(INDEX('Policy Characteristics'!I:I,MATCH($C1284,'Policy Characteristics'!$C:$C,0))),"",INDEX('Policy Characteristics'!I:I,MATCH($C1284,'Policy Characteristics'!$C:$C,0)))</f>
        <v>% of fuel shifted</v>
      </c>
      <c r="P1284" s="254"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4" t="str">
        <f>IF(ISBLANK(INDEX('Policy Characteristics'!K:K,MATCH($C1284,'Policy Characteristics'!$C:$C,0))),"",INDEX('Policy Characteristics'!K:K,MATCH($C1284,'Policy Characteristics'!$C:$C,0)))</f>
        <v>industry-ag-main.html#fuel-switching</v>
      </c>
      <c r="R1284" s="254" t="str">
        <f>IF(ISBLANK(INDEX('Policy Characteristics'!L:L,MATCH($C1284,'Policy Characteristics'!$C:$C,0))),"",INDEX('Policy Characteristics'!L:L,MATCH($C1284,'Policy Characteristics'!$C:$C,0)))</f>
        <v>industry-elec-and-hydrogen.html</v>
      </c>
    </row>
    <row r="1285" spans="1:18" s="4" customFormat="1" x14ac:dyDescent="0.3">
      <c r="A1285" s="254" t="str">
        <f>IF(ISBLANK(INDEX('Policy Characteristics'!A:A,MATCH($C1285,'Policy Characteristics'!$C:$C,0))),"",INDEX('Policy Characteristics'!A:A,MATCH($C1285,'Policy Characteristics'!$C:$C,0)))</f>
        <v>Industry</v>
      </c>
      <c r="B1285" s="262" t="str">
        <f>IF(ISBLANK(INDEX('Policy Characteristics'!B:B,MATCH($C1285,'Policy Characteristics'!$C:$C,0))),"",INDEX('Policy Characteristics'!B:B,MATCH($C1285,'Policy Characteristics'!$C:$C,0)))</f>
        <v>Improved System Design</v>
      </c>
      <c r="C1285" t="s">
        <v>284</v>
      </c>
      <c r="D1285" s="45"/>
      <c r="E1285" s="45"/>
      <c r="F1285" s="45"/>
      <c r="G1285" s="45"/>
      <c r="H1285" s="43">
        <v>54</v>
      </c>
      <c r="I1285" s="324" t="s">
        <v>43</v>
      </c>
      <c r="J1285" s="255" t="str">
        <f>IF(ISBLANK(INDEX('Policy Characteristics'!D:D,MATCH($C1285,'Policy Characteristics'!$C:$C,0))),"",INDEX('Policy Characteristics'!D:D,MATCH($C1285,'Policy Characteristics'!$C:$C,0)))</f>
        <v>Improved System Design</v>
      </c>
      <c r="K1285" s="254" t="str">
        <f>IF(ISBLANK(INDEX('Policy Characteristics'!E:E,MATCH($C1285,'Policy Characteristics'!$C:$C,0))),"",INDEX('Policy Characteristics'!E:E,MATCH($C1285,'Policy Characteristics'!$C:$C,0)))</f>
        <v>indst system integration</v>
      </c>
      <c r="L1285" s="261">
        <f>IF(ISBLANK(INDEX('Policy Characteristics'!F:F,MATCH($C1285,'Policy Characteristics'!$C:$C,0))),"",INDEX('Policy Characteristics'!F:F,MATCH($C1285,'Policy Characteristics'!$C:$C,0)))</f>
        <v>0</v>
      </c>
      <c r="M1285" s="261">
        <f>IF(ISBLANK(INDEX('Policy Characteristics'!G:G,MATCH($C1285,'Policy Characteristics'!$C:$C,0))),"",INDEX('Policy Characteristics'!G:G,MATCH($C1285,'Policy Characteristics'!$C:$C,0)))</f>
        <v>1</v>
      </c>
      <c r="N1285" s="261">
        <f>IF(ISBLANK(INDEX('Policy Characteristics'!H:H,MATCH($C1285,'Policy Characteristics'!$C:$C,0))),"",INDEX('Policy Characteristics'!H:H,MATCH($C1285,'Policy Characteristics'!$C:$C,0)))</f>
        <v>0.01</v>
      </c>
      <c r="O1285" s="254" t="str">
        <f>IF(ISBLANK(INDEX('Policy Characteristics'!I:I,MATCH($C1285,'Policy Characteristics'!$C:$C,0))),"",INDEX('Policy Characteristics'!I:I,MATCH($C1285,'Policy Characteristics'!$C:$C,0)))</f>
        <v>% of potential achieved</v>
      </c>
      <c r="P1285" s="254" t="str">
        <f>IF(ISBLANK(INDEX('Policy Characteristics'!J:J,MATCH($C1285,'Policy Characteristics'!$C:$C,0))),"",INDEX('Policy Characteristics'!J:J,MATCH($C1285,'Policy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285" s="254" t="str">
        <f>IF(ISBLANK(INDEX('Policy Characteristics'!K:K,MATCH($C1285,'Policy Characteristics'!$C:$C,0))),"",INDEX('Policy Characteristics'!K:K,MATCH($C1285,'Policy Characteristics'!$C:$C,0)))</f>
        <v>industry-ag-main.html#system-integ</v>
      </c>
      <c r="R1285" s="254" t="str">
        <f>IF(ISBLANK(INDEX('Policy Characteristics'!L:L,MATCH($C1285,'Policy Characteristics'!$C:$C,0))),"",INDEX('Policy Characteristics'!L:L,MATCH($C1285,'Policy Characteristics'!$C:$C,0)))</f>
        <v>improved-system-design.html</v>
      </c>
    </row>
    <row r="1286" spans="1:18" s="4" customFormat="1" x14ac:dyDescent="0.3">
      <c r="A1286" s="254" t="str">
        <f>IF(ISBLANK(INDEX('Policy Characteristics'!A:A,MATCH($C1286,'Policy Characteristics'!$C:$C,0))),"",INDEX('Policy Characteristics'!A:A,MATCH($C1286,'Policy Characteristics'!$C:$C,0)))</f>
        <v>Industry</v>
      </c>
      <c r="B1286" s="262" t="str">
        <f>IF(ISBLANK(INDEX('Policy Characteristics'!B:B,MATCH($C1286,'Policy Characteristics'!$C:$C,0))),"",INDEX('Policy Characteristics'!B:B,MATCH($C1286,'Policy Characteristics'!$C:$C,0)))</f>
        <v>Industry Energy Efficiency Standards</v>
      </c>
      <c r="C1286" t="s">
        <v>283</v>
      </c>
      <c r="D1286" s="45" t="s">
        <v>3061</v>
      </c>
      <c r="E1286" s="45" t="s">
        <v>2399</v>
      </c>
      <c r="F1286" t="s">
        <v>3086</v>
      </c>
      <c r="G1286" s="45" t="s">
        <v>2405</v>
      </c>
      <c r="H1286" s="43">
        <v>958</v>
      </c>
      <c r="I1286" s="324" t="s">
        <v>43</v>
      </c>
      <c r="J1286" s="255" t="str">
        <f>IF(ISBLANK(INDEX('Policy Characteristics'!D:D,MATCH($C1286,'Policy Characteristics'!$C:$C,0))),"",INDEX('Policy Characteristics'!D:D,MATCH($C1286,'Policy Characteristics'!$C:$C,0)))</f>
        <v>Industry Energy Efficiency Standards</v>
      </c>
      <c r="K1286" s="254" t="str">
        <f>IF(ISBLANK(INDEX('Policy Characteristics'!E:E,MATCH($C1286,'Policy Characteristics'!$C:$C,0))),"",INDEX('Policy Characteristics'!E:E,MATCH($C1286,'Policy Characteristics'!$C:$C,0)))</f>
        <v>indst efficiency standards</v>
      </c>
      <c r="L1286" s="261">
        <f>IF(ISBLANK(INDEX('Policy Characteristics'!F:F,MATCH($C1286,'Policy Characteristics'!$C:$C,0))),"",INDEX('Policy Characteristics'!F:F,MATCH($C1286,'Policy Characteristics'!$C:$C,0)))</f>
        <v>0</v>
      </c>
      <c r="M1286" s="261">
        <f>IF(ISBLANK(INDEX('Policy Characteristics'!G:G,MATCH($C1286,'Policy Characteristics'!$C:$C,0))),"",INDEX('Policy Characteristics'!G:G,MATCH($C1286,'Policy Characteristics'!$C:$C,0)))</f>
        <v>0.25</v>
      </c>
      <c r="N1286" s="261">
        <f>IF(ISBLANK(INDEX('Policy Characteristics'!H:H,MATCH($C1286,'Policy Characteristics'!$C:$C,0))),"",INDEX('Policy Characteristics'!H:H,MATCH($C1286,'Policy Characteristics'!$C:$C,0)))</f>
        <v>0.01</v>
      </c>
      <c r="O1286" s="254" t="str">
        <f>IF(ISBLANK(INDEX('Policy Characteristics'!I:I,MATCH($C1286,'Policy Characteristics'!$C:$C,0))),"",INDEX('Policy Characteristics'!I:I,MATCH($C1286,'Policy Characteristics'!$C:$C,0)))</f>
        <v>% reduction in energy use</v>
      </c>
      <c r="P1286" s="254" t="str">
        <f>IF(ISBLANK(INDEX('Policy Characteristics'!J:J,MATCH($C1286,'Policy Characteristics'!$C:$C,0))),"",INDEX('Policy Characteristics'!J:J,MATCH($C1286,'Policy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6" s="254" t="str">
        <f>IF(ISBLANK(INDEX('Policy Characteristics'!K:K,MATCH($C1286,'Policy Characteristics'!$C:$C,0))),"",INDEX('Policy Characteristics'!K:K,MATCH($C1286,'Policy Characteristics'!$C:$C,0)))</f>
        <v>industry-ag-main.html#eff-stds</v>
      </c>
      <c r="R1286" s="254" t="str">
        <f>IF(ISBLANK(INDEX('Policy Characteristics'!L:L,MATCH($C1286,'Policy Characteristics'!$C:$C,0))),"",INDEX('Policy Characteristics'!L:L,MATCH($C1286,'Policy Characteristics'!$C:$C,0)))</f>
        <v>industry-energy-efficiency-standards.html</v>
      </c>
    </row>
    <row r="1287" spans="1:18" s="4" customFormat="1" x14ac:dyDescent="0.3">
      <c r="A1287" s="254" t="str">
        <f>IF(ISBLANK(INDEX('Policy Characteristics'!A:A,MATCH($C1287,'Policy Characteristics'!$C:$C,0))),"",INDEX('Policy Characteristics'!A:A,MATCH($C1287,'Policy Characteristics'!$C:$C,0)))</f>
        <v>Industry</v>
      </c>
      <c r="B1287" s="262" t="str">
        <f>IF(ISBLANK(INDEX('Policy Characteristics'!B:B,MATCH($C1287,'Policy Characteristics'!$C:$C,0))),"",INDEX('Policy Characteristics'!B:B,MATCH($C1287,'Policy Characteristics'!$C:$C,0)))</f>
        <v>Industry Energy Efficiency Standards</v>
      </c>
      <c r="C1287" s="254" t="str">
        <f t="shared" ref="C1287:C1350" si="48">C$1286</f>
        <v>Percentage Improvement in Eqpt Efficiency Standards above BAU</v>
      </c>
      <c r="D1287" s="45" t="s">
        <v>3061</v>
      </c>
      <c r="E1287" s="45" t="s">
        <v>2400</v>
      </c>
      <c r="F1287" t="s">
        <v>3086</v>
      </c>
      <c r="G1287" s="45" t="s">
        <v>2408</v>
      </c>
      <c r="H1287" s="43">
        <v>959</v>
      </c>
      <c r="I1287" s="324" t="s">
        <v>44</v>
      </c>
      <c r="J1287" s="255" t="str">
        <f>IF(ISBLANK(INDEX('Policy Characteristics'!D:D,MATCH($C1287,'Policy Characteristics'!$C:$C,0))),"",INDEX('Policy Characteristics'!D:D,MATCH($C1287,'Policy Characteristics'!$C:$C,0)))</f>
        <v>Industry Energy Efficiency Standards</v>
      </c>
      <c r="K1287" s="254" t="str">
        <f>IF(ISBLANK(INDEX('Policy Characteristics'!E:E,MATCH($C1287,'Policy Characteristics'!$C:$C,0))),"",INDEX('Policy Characteristics'!E:E,MATCH($C1287,'Policy Characteristics'!$C:$C,0)))</f>
        <v>indst efficiency standards</v>
      </c>
      <c r="L1287" s="261">
        <f>IF(ISBLANK(INDEX('Policy Characteristics'!F:F,MATCH($C1287,'Policy Characteristics'!$C:$C,0))),"",INDEX('Policy Characteristics'!F:F,MATCH($C1287,'Policy Characteristics'!$C:$C,0)))</f>
        <v>0</v>
      </c>
      <c r="M1287" s="261">
        <f>IF(ISBLANK(INDEX('Policy Characteristics'!G:G,MATCH($C1287,'Policy Characteristics'!$C:$C,0))),"",INDEX('Policy Characteristics'!G:G,MATCH($C1287,'Policy Characteristics'!$C:$C,0)))</f>
        <v>0.25</v>
      </c>
      <c r="N1287" s="261">
        <f>IF(ISBLANK(INDEX('Policy Characteristics'!H:H,MATCH($C1287,'Policy Characteristics'!$C:$C,0))),"",INDEX('Policy Characteristics'!H:H,MATCH($C1287,'Policy Characteristics'!$C:$C,0)))</f>
        <v>0.01</v>
      </c>
      <c r="O1287" s="254" t="str">
        <f>IF(ISBLANK(INDEX('Policy Characteristics'!I:I,MATCH($C1287,'Policy Characteristics'!$C:$C,0))),"",INDEX('Policy Characteristics'!I:I,MATCH($C1287,'Policy Characteristics'!$C:$C,0)))</f>
        <v>% reduction in energy use</v>
      </c>
      <c r="P1287" s="254" t="str">
        <f>IF(ISBLANK(INDEX('Policy Characteristics'!J:J,MATCH($C1287,'Policy Characteristics'!$C:$C,0))),"",INDEX('Policy Characteristics'!J:J,MATCH($C1287,'Policy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7" s="254" t="str">
        <f>IF(ISBLANK(INDEX('Policy Characteristics'!K:K,MATCH($C1287,'Policy Characteristics'!$C:$C,0))),"",INDEX('Policy Characteristics'!K:K,MATCH($C1287,'Policy Characteristics'!$C:$C,0)))</f>
        <v>industry-ag-main.html#eff-stds</v>
      </c>
      <c r="R1287" s="254" t="str">
        <f>IF(ISBLANK(INDEX('Policy Characteristics'!L:L,MATCH($C1287,'Policy Characteristics'!$C:$C,0))),"",INDEX('Policy Characteristics'!L:L,MATCH($C1287,'Policy Characteristics'!$C:$C,0)))</f>
        <v>industry-energy-efficiency-standards.html</v>
      </c>
    </row>
    <row r="1288" spans="1:18" s="4" customFormat="1" x14ac:dyDescent="0.3">
      <c r="A1288" s="254" t="str">
        <f>IF(ISBLANK(INDEX('Policy Characteristics'!A:A,MATCH($C1288,'Policy Characteristics'!$C:$C,0))),"",INDEX('Policy Characteristics'!A:A,MATCH($C1288,'Policy Characteristics'!$C:$C,0)))</f>
        <v>Industry</v>
      </c>
      <c r="B1288" s="262" t="str">
        <f>IF(ISBLANK(INDEX('Policy Characteristics'!B:B,MATCH($C1288,'Policy Characteristics'!$C:$C,0))),"",INDEX('Policy Characteristics'!B:B,MATCH($C1288,'Policy Characteristics'!$C:$C,0)))</f>
        <v>Industry Energy Efficiency Standards</v>
      </c>
      <c r="C1288" s="254" t="str">
        <f t="shared" si="48"/>
        <v>Percentage Improvement in Eqpt Efficiency Standards above BAU</v>
      </c>
      <c r="D1288" s="45" t="s">
        <v>3061</v>
      </c>
      <c r="E1288" s="45" t="s">
        <v>2401</v>
      </c>
      <c r="F1288" t="s">
        <v>3086</v>
      </c>
      <c r="G1288" s="45" t="s">
        <v>2409</v>
      </c>
      <c r="H1288" s="43">
        <v>960</v>
      </c>
      <c r="I1288" s="324" t="s">
        <v>43</v>
      </c>
      <c r="J1288" s="255" t="str">
        <f>IF(ISBLANK(INDEX('Policy Characteristics'!D:D,MATCH($C1288,'Policy Characteristics'!$C:$C,0))),"",INDEX('Policy Characteristics'!D:D,MATCH($C1288,'Policy Characteristics'!$C:$C,0)))</f>
        <v>Industry Energy Efficiency Standards</v>
      </c>
      <c r="K1288" s="254" t="str">
        <f>IF(ISBLANK(INDEX('Policy Characteristics'!E:E,MATCH($C1288,'Policy Characteristics'!$C:$C,0))),"",INDEX('Policy Characteristics'!E:E,MATCH($C1288,'Policy Characteristics'!$C:$C,0)))</f>
        <v>indst efficiency standards</v>
      </c>
      <c r="L1288" s="261">
        <f>IF(ISBLANK(INDEX('Policy Characteristics'!F:F,MATCH($C1288,'Policy Characteristics'!$C:$C,0))),"",INDEX('Policy Characteristics'!F:F,MATCH($C1288,'Policy Characteristics'!$C:$C,0)))</f>
        <v>0</v>
      </c>
      <c r="M1288" s="261">
        <f>IF(ISBLANK(INDEX('Policy Characteristics'!G:G,MATCH($C1288,'Policy Characteristics'!$C:$C,0))),"",INDEX('Policy Characteristics'!G:G,MATCH($C1288,'Policy Characteristics'!$C:$C,0)))</f>
        <v>0.25</v>
      </c>
      <c r="N1288" s="261">
        <f>IF(ISBLANK(INDEX('Policy Characteristics'!H:H,MATCH($C1288,'Policy Characteristics'!$C:$C,0))),"",INDEX('Policy Characteristics'!H:H,MATCH($C1288,'Policy Characteristics'!$C:$C,0)))</f>
        <v>0.01</v>
      </c>
      <c r="O1288" s="254" t="str">
        <f>IF(ISBLANK(INDEX('Policy Characteristics'!I:I,MATCH($C1288,'Policy Characteristics'!$C:$C,0))),"",INDEX('Policy Characteristics'!I:I,MATCH($C1288,'Policy Characteristics'!$C:$C,0)))</f>
        <v>% reduction in energy use</v>
      </c>
      <c r="P1288" s="254" t="str">
        <f>IF(ISBLANK(INDEX('Policy Characteristics'!J:J,MATCH($C1288,'Policy Characteristics'!$C:$C,0))),"",INDEX('Policy Characteristics'!J:J,MATCH($C1288,'Policy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8" s="254" t="str">
        <f>IF(ISBLANK(INDEX('Policy Characteristics'!K:K,MATCH($C1288,'Policy Characteristics'!$C:$C,0))),"",INDEX('Policy Characteristics'!K:K,MATCH($C1288,'Policy Characteristics'!$C:$C,0)))</f>
        <v>industry-ag-main.html#eff-stds</v>
      </c>
      <c r="R1288" s="254" t="str">
        <f>IF(ISBLANK(INDEX('Policy Characteristics'!L:L,MATCH($C1288,'Policy Characteristics'!$C:$C,0))),"",INDEX('Policy Characteristics'!L:L,MATCH($C1288,'Policy Characteristics'!$C:$C,0)))</f>
        <v>industry-energy-efficiency-standards.html</v>
      </c>
    </row>
    <row r="1289" spans="1:18" s="4" customFormat="1" x14ac:dyDescent="0.3">
      <c r="A1289" s="254" t="str">
        <f>IF(ISBLANK(INDEX('Policy Characteristics'!A:A,MATCH($C1289,'Policy Characteristics'!$C:$C,0))),"",INDEX('Policy Characteristics'!A:A,MATCH($C1289,'Policy Characteristics'!$C:$C,0)))</f>
        <v>Industry</v>
      </c>
      <c r="B1289" s="262" t="str">
        <f>IF(ISBLANK(INDEX('Policy Characteristics'!B:B,MATCH($C1289,'Policy Characteristics'!$C:$C,0))),"",INDEX('Policy Characteristics'!B:B,MATCH($C1289,'Policy Characteristics'!$C:$C,0)))</f>
        <v>Industry Energy Efficiency Standards</v>
      </c>
      <c r="C1289" s="254" t="str">
        <f t="shared" si="48"/>
        <v>Percentage Improvement in Eqpt Efficiency Standards above BAU</v>
      </c>
      <c r="D1289" s="45" t="s">
        <v>3061</v>
      </c>
      <c r="E1289" s="45" t="s">
        <v>2402</v>
      </c>
      <c r="F1289" t="s">
        <v>3086</v>
      </c>
      <c r="G1289" s="45" t="s">
        <v>2406</v>
      </c>
      <c r="H1289" s="43">
        <v>961</v>
      </c>
      <c r="I1289" s="324" t="s">
        <v>44</v>
      </c>
      <c r="J1289" s="255" t="str">
        <f>IF(ISBLANK(INDEX('Policy Characteristics'!D:D,MATCH($C1289,'Policy Characteristics'!$C:$C,0))),"",INDEX('Policy Characteristics'!D:D,MATCH($C1289,'Policy Characteristics'!$C:$C,0)))</f>
        <v>Industry Energy Efficiency Standards</v>
      </c>
      <c r="K1289" s="254" t="str">
        <f>IF(ISBLANK(INDEX('Policy Characteristics'!E:E,MATCH($C1289,'Policy Characteristics'!$C:$C,0))),"",INDEX('Policy Characteristics'!E:E,MATCH($C1289,'Policy Characteristics'!$C:$C,0)))</f>
        <v>indst efficiency standards</v>
      </c>
      <c r="L1289" s="261">
        <f>IF(ISBLANK(INDEX('Policy Characteristics'!F:F,MATCH($C1289,'Policy Characteristics'!$C:$C,0))),"",INDEX('Policy Characteristics'!F:F,MATCH($C1289,'Policy Characteristics'!$C:$C,0)))</f>
        <v>0</v>
      </c>
      <c r="M1289" s="261">
        <f>IF(ISBLANK(INDEX('Policy Characteristics'!G:G,MATCH($C1289,'Policy Characteristics'!$C:$C,0))),"",INDEX('Policy Characteristics'!G:G,MATCH($C1289,'Policy Characteristics'!$C:$C,0)))</f>
        <v>0.25</v>
      </c>
      <c r="N1289" s="261">
        <f>IF(ISBLANK(INDEX('Policy Characteristics'!H:H,MATCH($C1289,'Policy Characteristics'!$C:$C,0))),"",INDEX('Policy Characteristics'!H:H,MATCH($C1289,'Policy Characteristics'!$C:$C,0)))</f>
        <v>0.01</v>
      </c>
      <c r="O1289" s="254" t="str">
        <f>IF(ISBLANK(INDEX('Policy Characteristics'!I:I,MATCH($C1289,'Policy Characteristics'!$C:$C,0))),"",INDEX('Policy Characteristics'!I:I,MATCH($C1289,'Policy Characteristics'!$C:$C,0)))</f>
        <v>% reduction in energy use</v>
      </c>
      <c r="P1289" s="254" t="str">
        <f>IF(ISBLANK(INDEX('Policy Characteristics'!J:J,MATCH($C1289,'Policy Characteristics'!$C:$C,0))),"",INDEX('Policy Characteristics'!J:J,MATCH($C1289,'Policy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89" s="254" t="str">
        <f>IF(ISBLANK(INDEX('Policy Characteristics'!K:K,MATCH($C1289,'Policy Characteristics'!$C:$C,0))),"",INDEX('Policy Characteristics'!K:K,MATCH($C1289,'Policy Characteristics'!$C:$C,0)))</f>
        <v>industry-ag-main.html#eff-stds</v>
      </c>
      <c r="R1289" s="254" t="str">
        <f>IF(ISBLANK(INDEX('Policy Characteristics'!L:L,MATCH($C1289,'Policy Characteristics'!$C:$C,0))),"",INDEX('Policy Characteristics'!L:L,MATCH($C1289,'Policy Characteristics'!$C:$C,0)))</f>
        <v>industry-energy-efficiency-standards.html</v>
      </c>
    </row>
    <row r="1290" spans="1:18" s="4" customFormat="1" x14ac:dyDescent="0.3">
      <c r="A1290" s="254" t="str">
        <f>IF(ISBLANK(INDEX('Policy Characteristics'!A:A,MATCH($C1290,'Policy Characteristics'!$C:$C,0))),"",INDEX('Policy Characteristics'!A:A,MATCH($C1290,'Policy Characteristics'!$C:$C,0)))</f>
        <v>Industry</v>
      </c>
      <c r="B1290" s="262" t="str">
        <f>IF(ISBLANK(INDEX('Policy Characteristics'!B:B,MATCH($C1290,'Policy Characteristics'!$C:$C,0))),"",INDEX('Policy Characteristics'!B:B,MATCH($C1290,'Policy Characteristics'!$C:$C,0)))</f>
        <v>Industry Energy Efficiency Standards</v>
      </c>
      <c r="C1290" s="254" t="str">
        <f t="shared" si="48"/>
        <v>Percentage Improvement in Eqpt Efficiency Standards above BAU</v>
      </c>
      <c r="D1290" s="45" t="s">
        <v>3061</v>
      </c>
      <c r="E1290" s="45" t="s">
        <v>2403</v>
      </c>
      <c r="F1290" t="s">
        <v>3086</v>
      </c>
      <c r="G1290" s="45" t="s">
        <v>2407</v>
      </c>
      <c r="H1290" s="43">
        <v>962</v>
      </c>
      <c r="I1290" s="324" t="s">
        <v>43</v>
      </c>
      <c r="J1290" s="255" t="str">
        <f>IF(ISBLANK(INDEX('Policy Characteristics'!D:D,MATCH($C1290,'Policy Characteristics'!$C:$C,0))),"",INDEX('Policy Characteristics'!D:D,MATCH($C1290,'Policy Characteristics'!$C:$C,0)))</f>
        <v>Industry Energy Efficiency Standards</v>
      </c>
      <c r="K1290" s="254" t="str">
        <f>IF(ISBLANK(INDEX('Policy Characteristics'!E:E,MATCH($C1290,'Policy Characteristics'!$C:$C,0))),"",INDEX('Policy Characteristics'!E:E,MATCH($C1290,'Policy Characteristics'!$C:$C,0)))</f>
        <v>indst efficiency standards</v>
      </c>
      <c r="L1290" s="261">
        <f>IF(ISBLANK(INDEX('Policy Characteristics'!F:F,MATCH($C1290,'Policy Characteristics'!$C:$C,0))),"",INDEX('Policy Characteristics'!F:F,MATCH($C1290,'Policy Characteristics'!$C:$C,0)))</f>
        <v>0</v>
      </c>
      <c r="M1290" s="261">
        <f>IF(ISBLANK(INDEX('Policy Characteristics'!G:G,MATCH($C1290,'Policy Characteristics'!$C:$C,0))),"",INDEX('Policy Characteristics'!G:G,MATCH($C1290,'Policy Characteristics'!$C:$C,0)))</f>
        <v>0.25</v>
      </c>
      <c r="N1290" s="261">
        <f>IF(ISBLANK(INDEX('Policy Characteristics'!H:H,MATCH($C1290,'Policy Characteristics'!$C:$C,0))),"",INDEX('Policy Characteristics'!H:H,MATCH($C1290,'Policy Characteristics'!$C:$C,0)))</f>
        <v>0.01</v>
      </c>
      <c r="O1290" s="254" t="str">
        <f>IF(ISBLANK(INDEX('Policy Characteristics'!I:I,MATCH($C1290,'Policy Characteristics'!$C:$C,0))),"",INDEX('Policy Characteristics'!I:I,MATCH($C1290,'Policy Characteristics'!$C:$C,0)))</f>
        <v>% reduction in energy use</v>
      </c>
      <c r="P1290" s="254" t="str">
        <f>IF(ISBLANK(INDEX('Policy Characteristics'!J:J,MATCH($C1290,'Policy Characteristics'!$C:$C,0))),"",INDEX('Policy Characteristics'!J:J,MATCH($C1290,'Policy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0" s="254" t="str">
        <f>IF(ISBLANK(INDEX('Policy Characteristics'!K:K,MATCH($C1290,'Policy Characteristics'!$C:$C,0))),"",INDEX('Policy Characteristics'!K:K,MATCH($C1290,'Policy Characteristics'!$C:$C,0)))</f>
        <v>industry-ag-main.html#eff-stds</v>
      </c>
      <c r="R1290" s="254" t="str">
        <f>IF(ISBLANK(INDEX('Policy Characteristics'!L:L,MATCH($C1290,'Policy Characteristics'!$C:$C,0))),"",INDEX('Policy Characteristics'!L:L,MATCH($C1290,'Policy Characteristics'!$C:$C,0)))</f>
        <v>industry-energy-efficiency-standards.html</v>
      </c>
    </row>
    <row r="1291" spans="1:18" s="4" customFormat="1" x14ac:dyDescent="0.3">
      <c r="A1291" s="254" t="str">
        <f>IF(ISBLANK(INDEX('Policy Characteristics'!A:A,MATCH($C1291,'Policy Characteristics'!$C:$C,0))),"",INDEX('Policy Characteristics'!A:A,MATCH($C1291,'Policy Characteristics'!$C:$C,0)))</f>
        <v>Industry</v>
      </c>
      <c r="B1291" s="262" t="str">
        <f>IF(ISBLANK(INDEX('Policy Characteristics'!B:B,MATCH($C1291,'Policy Characteristics'!$C:$C,0))),"",INDEX('Policy Characteristics'!B:B,MATCH($C1291,'Policy Characteristics'!$C:$C,0)))</f>
        <v>Industry Energy Efficiency Standards</v>
      </c>
      <c r="C1291" s="254" t="str">
        <f t="shared" si="48"/>
        <v>Percentage Improvement in Eqpt Efficiency Standards above BAU</v>
      </c>
      <c r="D1291" s="45" t="s">
        <v>3061</v>
      </c>
      <c r="E1291" s="45" t="s">
        <v>2404</v>
      </c>
      <c r="F1291" t="s">
        <v>3086</v>
      </c>
      <c r="G1291" s="45" t="s">
        <v>2410</v>
      </c>
      <c r="H1291" s="43">
        <v>963</v>
      </c>
      <c r="I1291" s="324" t="s">
        <v>44</v>
      </c>
      <c r="J1291" s="255" t="str">
        <f>IF(ISBLANK(INDEX('Policy Characteristics'!D:D,MATCH($C1291,'Policy Characteristics'!$C:$C,0))),"",INDEX('Policy Characteristics'!D:D,MATCH($C1291,'Policy Characteristics'!$C:$C,0)))</f>
        <v>Industry Energy Efficiency Standards</v>
      </c>
      <c r="K1291" s="254" t="str">
        <f>IF(ISBLANK(INDEX('Policy Characteristics'!E:E,MATCH($C1291,'Policy Characteristics'!$C:$C,0))),"",INDEX('Policy Characteristics'!E:E,MATCH($C1291,'Policy Characteristics'!$C:$C,0)))</f>
        <v>indst efficiency standards</v>
      </c>
      <c r="L1291" s="261">
        <f>IF(ISBLANK(INDEX('Policy Characteristics'!F:F,MATCH($C1291,'Policy Characteristics'!$C:$C,0))),"",INDEX('Policy Characteristics'!F:F,MATCH($C1291,'Policy Characteristics'!$C:$C,0)))</f>
        <v>0</v>
      </c>
      <c r="M1291" s="261">
        <f>IF(ISBLANK(INDEX('Policy Characteristics'!G:G,MATCH($C1291,'Policy Characteristics'!$C:$C,0))),"",INDEX('Policy Characteristics'!G:G,MATCH($C1291,'Policy Characteristics'!$C:$C,0)))</f>
        <v>0.25</v>
      </c>
      <c r="N1291" s="261">
        <f>IF(ISBLANK(INDEX('Policy Characteristics'!H:H,MATCH($C1291,'Policy Characteristics'!$C:$C,0))),"",INDEX('Policy Characteristics'!H:H,MATCH($C1291,'Policy Characteristics'!$C:$C,0)))</f>
        <v>0.01</v>
      </c>
      <c r="O1291" s="254" t="str">
        <f>IF(ISBLANK(INDEX('Policy Characteristics'!I:I,MATCH($C1291,'Policy Characteristics'!$C:$C,0))),"",INDEX('Policy Characteristics'!I:I,MATCH($C1291,'Policy Characteristics'!$C:$C,0)))</f>
        <v>% reduction in energy use</v>
      </c>
      <c r="P1291" s="254" t="str">
        <f>IF(ISBLANK(INDEX('Policy Characteristics'!J:J,MATCH($C1291,'Policy Characteristics'!$C:$C,0))),"",INDEX('Policy Characteristics'!J:J,MATCH($C1291,'Policy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1" s="254" t="str">
        <f>IF(ISBLANK(INDEX('Policy Characteristics'!K:K,MATCH($C1291,'Policy Characteristics'!$C:$C,0))),"",INDEX('Policy Characteristics'!K:K,MATCH($C1291,'Policy Characteristics'!$C:$C,0)))</f>
        <v>industry-ag-main.html#eff-stds</v>
      </c>
      <c r="R1291" s="254" t="str">
        <f>IF(ISBLANK(INDEX('Policy Characteristics'!L:L,MATCH($C1291,'Policy Characteristics'!$C:$C,0))),"",INDEX('Policy Characteristics'!L:L,MATCH($C1291,'Policy Characteristics'!$C:$C,0)))</f>
        <v>industry-energy-efficiency-standards.html</v>
      </c>
    </row>
    <row r="1292" spans="1:18" x14ac:dyDescent="0.3">
      <c r="A1292" s="254" t="str">
        <f>IF(ISBLANK(INDEX('Policy Characteristics'!A:A,MATCH($C1292,'Policy Characteristics'!$C:$C,0))),"",INDEX('Policy Characteristics'!A:A,MATCH($C1292,'Policy Characteristics'!$C:$C,0)))</f>
        <v>Industry</v>
      </c>
      <c r="B1292" s="262" t="str">
        <f>IF(ISBLANK(INDEX('Policy Characteristics'!B:B,MATCH($C1292,'Policy Characteristics'!$C:$C,0))),"",INDEX('Policy Characteristics'!B:B,MATCH($C1292,'Policy Characteristics'!$C:$C,0)))</f>
        <v>Industry Energy Efficiency Standards</v>
      </c>
      <c r="C1292" s="254" t="str">
        <f t="shared" si="48"/>
        <v>Percentage Improvement in Eqpt Efficiency Standards above BAU</v>
      </c>
      <c r="D1292" s="45" t="s">
        <v>3061</v>
      </c>
      <c r="E1292" s="45" t="s">
        <v>2706</v>
      </c>
      <c r="F1292" t="s">
        <v>3086</v>
      </c>
      <c r="G1292" s="45" t="s">
        <v>2709</v>
      </c>
      <c r="H1292" s="43">
        <v>964</v>
      </c>
      <c r="I1292" s="324" t="s">
        <v>44</v>
      </c>
      <c r="J1292" s="255" t="str">
        <f>IF(ISBLANK(INDEX('Policy Characteristics'!D:D,MATCH($C1292,'Policy Characteristics'!$C:$C,0))),"",INDEX('Policy Characteristics'!D:D,MATCH($C1292,'Policy Characteristics'!$C:$C,0)))</f>
        <v>Industry Energy Efficiency Standards</v>
      </c>
      <c r="K1292" s="254" t="str">
        <f>IF(ISBLANK(INDEX('Policy Characteristics'!E:E,MATCH($C1292,'Policy Characteristics'!$C:$C,0))),"",INDEX('Policy Characteristics'!E:E,MATCH($C1292,'Policy Characteristics'!$C:$C,0)))</f>
        <v>indst efficiency standards</v>
      </c>
      <c r="L1292" s="261">
        <f>IF(ISBLANK(INDEX('Policy Characteristics'!F:F,MATCH($C1292,'Policy Characteristics'!$C:$C,0))),"",INDEX('Policy Characteristics'!F:F,MATCH($C1292,'Policy Characteristics'!$C:$C,0)))</f>
        <v>0</v>
      </c>
      <c r="M1292" s="261">
        <f>IF(ISBLANK(INDEX('Policy Characteristics'!G:G,MATCH($C1292,'Policy Characteristics'!$C:$C,0))),"",INDEX('Policy Characteristics'!G:G,MATCH($C1292,'Policy Characteristics'!$C:$C,0)))</f>
        <v>0.25</v>
      </c>
      <c r="N1292" s="261">
        <f>IF(ISBLANK(INDEX('Policy Characteristics'!H:H,MATCH($C1292,'Policy Characteristics'!$C:$C,0))),"",INDEX('Policy Characteristics'!H:H,MATCH($C1292,'Policy Characteristics'!$C:$C,0)))</f>
        <v>0.01</v>
      </c>
      <c r="O1292" s="254" t="str">
        <f>IF(ISBLANK(INDEX('Policy Characteristics'!I:I,MATCH($C1292,'Policy Characteristics'!$C:$C,0))),"",INDEX('Policy Characteristics'!I:I,MATCH($C1292,'Policy Characteristics'!$C:$C,0)))</f>
        <v>% reduction in energy use</v>
      </c>
      <c r="P1292" s="254" t="str">
        <f>IF(ISBLANK(INDEX('Policy Characteristics'!J:J,MATCH($C1292,'Policy Characteristics'!$C:$C,0))),"",INDEX('Policy Characteristics'!J:J,MATCH($C1292,'Policy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2" s="254" t="str">
        <f>IF(ISBLANK(INDEX('Policy Characteristics'!K:K,MATCH($C1292,'Policy Characteristics'!$C:$C,0))),"",INDEX('Policy Characteristics'!K:K,MATCH($C1292,'Policy Characteristics'!$C:$C,0)))</f>
        <v>industry-ag-main.html#eff-stds</v>
      </c>
      <c r="R1292" s="254" t="str">
        <f>IF(ISBLANK(INDEX('Policy Characteristics'!L:L,MATCH($C1292,'Policy Characteristics'!$C:$C,0))),"",INDEX('Policy Characteristics'!L:L,MATCH($C1292,'Policy Characteristics'!$C:$C,0)))</f>
        <v>industry-energy-efficiency-standards.html</v>
      </c>
    </row>
    <row r="1293" spans="1:18" s="4" customFormat="1" x14ac:dyDescent="0.3">
      <c r="A1293" s="254" t="str">
        <f>IF(ISBLANK(INDEX('Policy Characteristics'!A:A,MATCH($C1293,'Policy Characteristics'!$C:$C,0))),"",INDEX('Policy Characteristics'!A:A,MATCH($C1293,'Policy Characteristics'!$C:$C,0)))</f>
        <v>Industry</v>
      </c>
      <c r="B1293" s="262" t="str">
        <f>IF(ISBLANK(INDEX('Policy Characteristics'!B:B,MATCH($C1293,'Policy Characteristics'!$C:$C,0))),"",INDEX('Policy Characteristics'!B:B,MATCH($C1293,'Policy Characteristics'!$C:$C,0)))</f>
        <v>Industry Energy Efficiency Standards</v>
      </c>
      <c r="C1293" s="254" t="str">
        <f t="shared" si="48"/>
        <v>Percentage Improvement in Eqpt Efficiency Standards above BAU</v>
      </c>
      <c r="D1293" s="45" t="s">
        <v>3061</v>
      </c>
      <c r="E1293" s="45" t="s">
        <v>2707</v>
      </c>
      <c r="F1293" t="s">
        <v>3086</v>
      </c>
      <c r="G1293" s="45" t="s">
        <v>2711</v>
      </c>
      <c r="H1293" s="43">
        <v>965</v>
      </c>
      <c r="I1293" s="324" t="s">
        <v>43</v>
      </c>
      <c r="J1293" s="255" t="str">
        <f>IF(ISBLANK(INDEX('Policy Characteristics'!D:D,MATCH($C1293,'Policy Characteristics'!$C:$C,0))),"",INDEX('Policy Characteristics'!D:D,MATCH($C1293,'Policy Characteristics'!$C:$C,0)))</f>
        <v>Industry Energy Efficiency Standards</v>
      </c>
      <c r="K1293" s="254" t="str">
        <f>IF(ISBLANK(INDEX('Policy Characteristics'!E:E,MATCH($C1293,'Policy Characteristics'!$C:$C,0))),"",INDEX('Policy Characteristics'!E:E,MATCH($C1293,'Policy Characteristics'!$C:$C,0)))</f>
        <v>indst efficiency standards</v>
      </c>
      <c r="L1293" s="261">
        <f>IF(ISBLANK(INDEX('Policy Characteristics'!F:F,MATCH($C1293,'Policy Characteristics'!$C:$C,0))),"",INDEX('Policy Characteristics'!F:F,MATCH($C1293,'Policy Characteristics'!$C:$C,0)))</f>
        <v>0</v>
      </c>
      <c r="M1293" s="261">
        <f>IF(ISBLANK(INDEX('Policy Characteristics'!G:G,MATCH($C1293,'Policy Characteristics'!$C:$C,0))),"",INDEX('Policy Characteristics'!G:G,MATCH($C1293,'Policy Characteristics'!$C:$C,0)))</f>
        <v>0.25</v>
      </c>
      <c r="N1293" s="261">
        <f>IF(ISBLANK(INDEX('Policy Characteristics'!H:H,MATCH($C1293,'Policy Characteristics'!$C:$C,0))),"",INDEX('Policy Characteristics'!H:H,MATCH($C1293,'Policy Characteristics'!$C:$C,0)))</f>
        <v>0.01</v>
      </c>
      <c r="O1293" s="254" t="str">
        <f>IF(ISBLANK(INDEX('Policy Characteristics'!I:I,MATCH($C1293,'Policy Characteristics'!$C:$C,0))),"",INDEX('Policy Characteristics'!I:I,MATCH($C1293,'Policy Characteristics'!$C:$C,0)))</f>
        <v>% reduction in energy use</v>
      </c>
      <c r="P1293" s="254" t="str">
        <f>IF(ISBLANK(INDEX('Policy Characteristics'!J:J,MATCH($C1293,'Policy Characteristics'!$C:$C,0))),"",INDEX('Policy Characteristics'!J:J,MATCH($C1293,'Policy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3" s="254" t="str">
        <f>IF(ISBLANK(INDEX('Policy Characteristics'!K:K,MATCH($C1293,'Policy Characteristics'!$C:$C,0))),"",INDEX('Policy Characteristics'!K:K,MATCH($C1293,'Policy Characteristics'!$C:$C,0)))</f>
        <v>industry-ag-main.html#eff-stds</v>
      </c>
      <c r="R1293" s="254" t="str">
        <f>IF(ISBLANK(INDEX('Policy Characteristics'!L:L,MATCH($C1293,'Policy Characteristics'!$C:$C,0))),"",INDEX('Policy Characteristics'!L:L,MATCH($C1293,'Policy Characteristics'!$C:$C,0)))</f>
        <v>industry-energy-efficiency-standards.html</v>
      </c>
    </row>
    <row r="1294" spans="1:18" s="4" customFormat="1" x14ac:dyDescent="0.3">
      <c r="A1294" s="254" t="str">
        <f>IF(ISBLANK(INDEX('Policy Characteristics'!A:A,MATCH($C1294,'Policy Characteristics'!$C:$C,0))),"",INDEX('Policy Characteristics'!A:A,MATCH($C1294,'Policy Characteristics'!$C:$C,0)))</f>
        <v>Industry</v>
      </c>
      <c r="B1294" s="262" t="str">
        <f>IF(ISBLANK(INDEX('Policy Characteristics'!B:B,MATCH($C1294,'Policy Characteristics'!$C:$C,0))),"",INDEX('Policy Characteristics'!B:B,MATCH($C1294,'Policy Characteristics'!$C:$C,0)))</f>
        <v>Industry Energy Efficiency Standards</v>
      </c>
      <c r="C1294" s="254" t="str">
        <f t="shared" si="48"/>
        <v>Percentage Improvement in Eqpt Efficiency Standards above BAU</v>
      </c>
      <c r="D1294" s="45" t="s">
        <v>3061</v>
      </c>
      <c r="E1294" s="45" t="s">
        <v>2708</v>
      </c>
      <c r="F1294" t="s">
        <v>3086</v>
      </c>
      <c r="G1294" s="45" t="s">
        <v>2712</v>
      </c>
      <c r="H1294" s="43">
        <v>966</v>
      </c>
      <c r="I1294" s="324" t="s">
        <v>43</v>
      </c>
      <c r="J1294" s="255" t="str">
        <f>IF(ISBLANK(INDEX('Policy Characteristics'!D:D,MATCH($C1294,'Policy Characteristics'!$C:$C,0))),"",INDEX('Policy Characteristics'!D:D,MATCH($C1294,'Policy Characteristics'!$C:$C,0)))</f>
        <v>Industry Energy Efficiency Standards</v>
      </c>
      <c r="K1294" s="254" t="str">
        <f>IF(ISBLANK(INDEX('Policy Characteristics'!E:E,MATCH($C1294,'Policy Characteristics'!$C:$C,0))),"",INDEX('Policy Characteristics'!E:E,MATCH($C1294,'Policy Characteristics'!$C:$C,0)))</f>
        <v>indst efficiency standards</v>
      </c>
      <c r="L1294" s="261">
        <f>IF(ISBLANK(INDEX('Policy Characteristics'!F:F,MATCH($C1294,'Policy Characteristics'!$C:$C,0))),"",INDEX('Policy Characteristics'!F:F,MATCH($C1294,'Policy Characteristics'!$C:$C,0)))</f>
        <v>0</v>
      </c>
      <c r="M1294" s="261">
        <f>IF(ISBLANK(INDEX('Policy Characteristics'!G:G,MATCH($C1294,'Policy Characteristics'!$C:$C,0))),"",INDEX('Policy Characteristics'!G:G,MATCH($C1294,'Policy Characteristics'!$C:$C,0)))</f>
        <v>0.25</v>
      </c>
      <c r="N1294" s="261">
        <f>IF(ISBLANK(INDEX('Policy Characteristics'!H:H,MATCH($C1294,'Policy Characteristics'!$C:$C,0))),"",INDEX('Policy Characteristics'!H:H,MATCH($C1294,'Policy Characteristics'!$C:$C,0)))</f>
        <v>0.01</v>
      </c>
      <c r="O1294" s="254" t="str">
        <f>IF(ISBLANK(INDEX('Policy Characteristics'!I:I,MATCH($C1294,'Policy Characteristics'!$C:$C,0))),"",INDEX('Policy Characteristics'!I:I,MATCH($C1294,'Policy Characteristics'!$C:$C,0)))</f>
        <v>% reduction in energy use</v>
      </c>
      <c r="P1294" s="254" t="str">
        <f>IF(ISBLANK(INDEX('Policy Characteristics'!J:J,MATCH($C1294,'Policy Characteristics'!$C:$C,0))),"",INDEX('Policy Characteristics'!J:J,MATCH($C1294,'Policy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4" s="254" t="str">
        <f>IF(ISBLANK(INDEX('Policy Characteristics'!K:K,MATCH($C1294,'Policy Characteristics'!$C:$C,0))),"",INDEX('Policy Characteristics'!K:K,MATCH($C1294,'Policy Characteristics'!$C:$C,0)))</f>
        <v>industry-ag-main.html#eff-stds</v>
      </c>
      <c r="R1294" s="254" t="str">
        <f>IF(ISBLANK(INDEX('Policy Characteristics'!L:L,MATCH($C1294,'Policy Characteristics'!$C:$C,0))),"",INDEX('Policy Characteristics'!L:L,MATCH($C1294,'Policy Characteristics'!$C:$C,0)))</f>
        <v>industry-energy-efficiency-standards.html</v>
      </c>
    </row>
    <row r="1295" spans="1:18" s="4" customFormat="1" x14ac:dyDescent="0.3">
      <c r="A1295" s="254" t="str">
        <f>IF(ISBLANK(INDEX('Policy Characteristics'!A:A,MATCH($C1295,'Policy Characteristics'!$C:$C,0))),"",INDEX('Policy Characteristics'!A:A,MATCH($C1295,'Policy Characteristics'!$C:$C,0)))</f>
        <v>Industry</v>
      </c>
      <c r="B1295" s="262" t="str">
        <f>IF(ISBLANK(INDEX('Policy Characteristics'!B:B,MATCH($C1295,'Policy Characteristics'!$C:$C,0))),"",INDEX('Policy Characteristics'!B:B,MATCH($C1295,'Policy Characteristics'!$C:$C,0)))</f>
        <v>Industry Energy Efficiency Standards</v>
      </c>
      <c r="C1295" s="254" t="str">
        <f t="shared" si="48"/>
        <v>Percentage Improvement in Eqpt Efficiency Standards above BAU</v>
      </c>
      <c r="D1295" s="45" t="s">
        <v>3061</v>
      </c>
      <c r="E1295" s="45" t="s">
        <v>2705</v>
      </c>
      <c r="F1295" t="s">
        <v>3086</v>
      </c>
      <c r="G1295" s="45" t="s">
        <v>2710</v>
      </c>
      <c r="H1295" s="43">
        <v>967</v>
      </c>
      <c r="I1295" s="324" t="s">
        <v>44</v>
      </c>
      <c r="J1295" s="255" t="str">
        <f>IF(ISBLANK(INDEX('Policy Characteristics'!D:D,MATCH($C1295,'Policy Characteristics'!$C:$C,0))),"",INDEX('Policy Characteristics'!D:D,MATCH($C1295,'Policy Characteristics'!$C:$C,0)))</f>
        <v>Industry Energy Efficiency Standards</v>
      </c>
      <c r="K1295" s="254" t="str">
        <f>IF(ISBLANK(INDEX('Policy Characteristics'!E:E,MATCH($C1295,'Policy Characteristics'!$C:$C,0))),"",INDEX('Policy Characteristics'!E:E,MATCH($C1295,'Policy Characteristics'!$C:$C,0)))</f>
        <v>indst efficiency standards</v>
      </c>
      <c r="L1295" s="261">
        <f>IF(ISBLANK(INDEX('Policy Characteristics'!F:F,MATCH($C1295,'Policy Characteristics'!$C:$C,0))),"",INDEX('Policy Characteristics'!F:F,MATCH($C1295,'Policy Characteristics'!$C:$C,0)))</f>
        <v>0</v>
      </c>
      <c r="M1295" s="261">
        <f>IF(ISBLANK(INDEX('Policy Characteristics'!G:G,MATCH($C1295,'Policy Characteristics'!$C:$C,0))),"",INDEX('Policy Characteristics'!G:G,MATCH($C1295,'Policy Characteristics'!$C:$C,0)))</f>
        <v>0.25</v>
      </c>
      <c r="N1295" s="261">
        <f>IF(ISBLANK(INDEX('Policy Characteristics'!H:H,MATCH($C1295,'Policy Characteristics'!$C:$C,0))),"",INDEX('Policy Characteristics'!H:H,MATCH($C1295,'Policy Characteristics'!$C:$C,0)))</f>
        <v>0.01</v>
      </c>
      <c r="O1295" s="254" t="str">
        <f>IF(ISBLANK(INDEX('Policy Characteristics'!I:I,MATCH($C1295,'Policy Characteristics'!$C:$C,0))),"",INDEX('Policy Characteristics'!I:I,MATCH($C1295,'Policy Characteristics'!$C:$C,0)))</f>
        <v>% reduction in energy use</v>
      </c>
      <c r="P1295" s="254" t="str">
        <f>IF(ISBLANK(INDEX('Policy Characteristics'!J:J,MATCH($C1295,'Policy Characteristics'!$C:$C,0))),"",INDEX('Policy Characteristics'!J:J,MATCH($C1295,'Policy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5" s="254" t="str">
        <f>IF(ISBLANK(INDEX('Policy Characteristics'!K:K,MATCH($C1295,'Policy Characteristics'!$C:$C,0))),"",INDEX('Policy Characteristics'!K:K,MATCH($C1295,'Policy Characteristics'!$C:$C,0)))</f>
        <v>industry-ag-main.html#eff-stds</v>
      </c>
      <c r="R1295" s="254" t="str">
        <f>IF(ISBLANK(INDEX('Policy Characteristics'!L:L,MATCH($C1295,'Policy Characteristics'!$C:$C,0))),"",INDEX('Policy Characteristics'!L:L,MATCH($C1295,'Policy Characteristics'!$C:$C,0)))</f>
        <v>industry-energy-efficiency-standards.html</v>
      </c>
    </row>
    <row r="1296" spans="1:18" s="4" customFormat="1" x14ac:dyDescent="0.3">
      <c r="A1296" s="254" t="str">
        <f>IF(ISBLANK(INDEX('Policy Characteristics'!A:A,MATCH($C1296,'Policy Characteristics'!$C:$C,0))),"",INDEX('Policy Characteristics'!A:A,MATCH($C1296,'Policy Characteristics'!$C:$C,0)))</f>
        <v>Industry</v>
      </c>
      <c r="B1296" s="262" t="str">
        <f>IF(ISBLANK(INDEX('Policy Characteristics'!B:B,MATCH($C1296,'Policy Characteristics'!$C:$C,0))),"",INDEX('Policy Characteristics'!B:B,MATCH($C1296,'Policy Characteristics'!$C:$C,0)))</f>
        <v>Industry Energy Efficiency Standards</v>
      </c>
      <c r="C1296" s="254" t="str">
        <f t="shared" si="48"/>
        <v>Percentage Improvement in Eqpt Efficiency Standards above BAU</v>
      </c>
      <c r="D1296" s="6" t="s">
        <v>3062</v>
      </c>
      <c r="E1296" s="45" t="s">
        <v>2399</v>
      </c>
      <c r="F1296" t="s">
        <v>2759</v>
      </c>
      <c r="G1296" s="45" t="s">
        <v>2405</v>
      </c>
      <c r="H1296" s="43">
        <v>968</v>
      </c>
      <c r="I1296" s="324" t="s">
        <v>43</v>
      </c>
      <c r="J1296" s="255" t="str">
        <f>IF(ISBLANK(INDEX('Policy Characteristics'!D:D,MATCH($C1296,'Policy Characteristics'!$C:$C,0))),"",INDEX('Policy Characteristics'!D:D,MATCH($C1296,'Policy Characteristics'!$C:$C,0)))</f>
        <v>Industry Energy Efficiency Standards</v>
      </c>
      <c r="K1296" s="254" t="str">
        <f>IF(ISBLANK(INDEX('Policy Characteristics'!E:E,MATCH($C1296,'Policy Characteristics'!$C:$C,0))),"",INDEX('Policy Characteristics'!E:E,MATCH($C1296,'Policy Characteristics'!$C:$C,0)))</f>
        <v>indst efficiency standards</v>
      </c>
      <c r="L1296" s="261">
        <f>IF(ISBLANK(INDEX('Policy Characteristics'!F:F,MATCH($C1296,'Policy Characteristics'!$C:$C,0))),"",INDEX('Policy Characteristics'!F:F,MATCH($C1296,'Policy Characteristics'!$C:$C,0)))</f>
        <v>0</v>
      </c>
      <c r="M1296" s="261">
        <f>IF(ISBLANK(INDEX('Policy Characteristics'!G:G,MATCH($C1296,'Policy Characteristics'!$C:$C,0))),"",INDEX('Policy Characteristics'!G:G,MATCH($C1296,'Policy Characteristics'!$C:$C,0)))</f>
        <v>0.25</v>
      </c>
      <c r="N1296" s="261">
        <f>IF(ISBLANK(INDEX('Policy Characteristics'!H:H,MATCH($C1296,'Policy Characteristics'!$C:$C,0))),"",INDEX('Policy Characteristics'!H:H,MATCH($C1296,'Policy Characteristics'!$C:$C,0)))</f>
        <v>0.01</v>
      </c>
      <c r="O1296" s="254" t="str">
        <f>IF(ISBLANK(INDEX('Policy Characteristics'!I:I,MATCH($C1296,'Policy Characteristics'!$C:$C,0))),"",INDEX('Policy Characteristics'!I:I,MATCH($C1296,'Policy Characteristics'!$C:$C,0)))</f>
        <v>% reduction in energy use</v>
      </c>
      <c r="P1296" s="254" t="str">
        <f>IF(ISBLANK(INDEX('Policy Characteristics'!J:J,MATCH($C1296,'Policy Characteristics'!$C:$C,0))),"",INDEX('Policy Characteristics'!J:J,MATCH($C1296,'Policy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6" s="254" t="str">
        <f>IF(ISBLANK(INDEX('Policy Characteristics'!K:K,MATCH($C1296,'Policy Characteristics'!$C:$C,0))),"",INDEX('Policy Characteristics'!K:K,MATCH($C1296,'Policy Characteristics'!$C:$C,0)))</f>
        <v>industry-ag-main.html#eff-stds</v>
      </c>
      <c r="R1296" s="254" t="str">
        <f>IF(ISBLANK(INDEX('Policy Characteristics'!L:L,MATCH($C1296,'Policy Characteristics'!$C:$C,0))),"",INDEX('Policy Characteristics'!L:L,MATCH($C1296,'Policy Characteristics'!$C:$C,0)))</f>
        <v>industry-energy-efficiency-standards.html</v>
      </c>
    </row>
    <row r="1297" spans="1:18" s="4" customFormat="1" x14ac:dyDescent="0.3">
      <c r="A1297" s="254" t="str">
        <f>IF(ISBLANK(INDEX('Policy Characteristics'!A:A,MATCH($C1297,'Policy Characteristics'!$C:$C,0))),"",INDEX('Policy Characteristics'!A:A,MATCH($C1297,'Policy Characteristics'!$C:$C,0)))</f>
        <v>Industry</v>
      </c>
      <c r="B1297" s="262" t="str">
        <f>IF(ISBLANK(INDEX('Policy Characteristics'!B:B,MATCH($C1297,'Policy Characteristics'!$C:$C,0))),"",INDEX('Policy Characteristics'!B:B,MATCH($C1297,'Policy Characteristics'!$C:$C,0)))</f>
        <v>Industry Energy Efficiency Standards</v>
      </c>
      <c r="C1297" s="254" t="str">
        <f t="shared" si="48"/>
        <v>Percentage Improvement in Eqpt Efficiency Standards above BAU</v>
      </c>
      <c r="D1297" s="6" t="s">
        <v>3062</v>
      </c>
      <c r="E1297" s="45" t="s">
        <v>2400</v>
      </c>
      <c r="F1297" t="s">
        <v>2759</v>
      </c>
      <c r="G1297" s="45" t="s">
        <v>2408</v>
      </c>
      <c r="H1297" s="43">
        <v>969</v>
      </c>
      <c r="I1297" s="324" t="s">
        <v>43</v>
      </c>
      <c r="J1297" s="255" t="str">
        <f>IF(ISBLANK(INDEX('Policy Characteristics'!D:D,MATCH($C1297,'Policy Characteristics'!$C:$C,0))),"",INDEX('Policy Characteristics'!D:D,MATCH($C1297,'Policy Characteristics'!$C:$C,0)))</f>
        <v>Industry Energy Efficiency Standards</v>
      </c>
      <c r="K1297" s="254" t="str">
        <f>IF(ISBLANK(INDEX('Policy Characteristics'!E:E,MATCH($C1297,'Policy Characteristics'!$C:$C,0))),"",INDEX('Policy Characteristics'!E:E,MATCH($C1297,'Policy Characteristics'!$C:$C,0)))</f>
        <v>indst efficiency standards</v>
      </c>
      <c r="L1297" s="261">
        <f>IF(ISBLANK(INDEX('Policy Characteristics'!F:F,MATCH($C1297,'Policy Characteristics'!$C:$C,0))),"",INDEX('Policy Characteristics'!F:F,MATCH($C1297,'Policy Characteristics'!$C:$C,0)))</f>
        <v>0</v>
      </c>
      <c r="M1297" s="261">
        <f>IF(ISBLANK(INDEX('Policy Characteristics'!G:G,MATCH($C1297,'Policy Characteristics'!$C:$C,0))),"",INDEX('Policy Characteristics'!G:G,MATCH($C1297,'Policy Characteristics'!$C:$C,0)))</f>
        <v>0.25</v>
      </c>
      <c r="N1297" s="261">
        <f>IF(ISBLANK(INDEX('Policy Characteristics'!H:H,MATCH($C1297,'Policy Characteristics'!$C:$C,0))),"",INDEX('Policy Characteristics'!H:H,MATCH($C1297,'Policy Characteristics'!$C:$C,0)))</f>
        <v>0.01</v>
      </c>
      <c r="O1297" s="254" t="str">
        <f>IF(ISBLANK(INDEX('Policy Characteristics'!I:I,MATCH($C1297,'Policy Characteristics'!$C:$C,0))),"",INDEX('Policy Characteristics'!I:I,MATCH($C1297,'Policy Characteristics'!$C:$C,0)))</f>
        <v>% reduction in energy use</v>
      </c>
      <c r="P1297" s="254" t="str">
        <f>IF(ISBLANK(INDEX('Policy Characteristics'!J:J,MATCH($C1297,'Policy Characteristics'!$C:$C,0))),"",INDEX('Policy Characteristics'!J:J,MATCH($C1297,'Policy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7" s="254" t="str">
        <f>IF(ISBLANK(INDEX('Policy Characteristics'!K:K,MATCH($C1297,'Policy Characteristics'!$C:$C,0))),"",INDEX('Policy Characteristics'!K:K,MATCH($C1297,'Policy Characteristics'!$C:$C,0)))</f>
        <v>industry-ag-main.html#eff-stds</v>
      </c>
      <c r="R1297" s="254" t="str">
        <f>IF(ISBLANK(INDEX('Policy Characteristics'!L:L,MATCH($C1297,'Policy Characteristics'!$C:$C,0))),"",INDEX('Policy Characteristics'!L:L,MATCH($C1297,'Policy Characteristics'!$C:$C,0)))</f>
        <v>industry-energy-efficiency-standards.html</v>
      </c>
    </row>
    <row r="1298" spans="1:18" s="4" customFormat="1" x14ac:dyDescent="0.3">
      <c r="A1298" s="254" t="str">
        <f>IF(ISBLANK(INDEX('Policy Characteristics'!A:A,MATCH($C1298,'Policy Characteristics'!$C:$C,0))),"",INDEX('Policy Characteristics'!A:A,MATCH($C1298,'Policy Characteristics'!$C:$C,0)))</f>
        <v>Industry</v>
      </c>
      <c r="B1298" s="262" t="str">
        <f>IF(ISBLANK(INDEX('Policy Characteristics'!B:B,MATCH($C1298,'Policy Characteristics'!$C:$C,0))),"",INDEX('Policy Characteristics'!B:B,MATCH($C1298,'Policy Characteristics'!$C:$C,0)))</f>
        <v>Industry Energy Efficiency Standards</v>
      </c>
      <c r="C1298" s="254" t="str">
        <f t="shared" si="48"/>
        <v>Percentage Improvement in Eqpt Efficiency Standards above BAU</v>
      </c>
      <c r="D1298" s="6" t="s">
        <v>3062</v>
      </c>
      <c r="E1298" s="45" t="s">
        <v>2401</v>
      </c>
      <c r="F1298" t="s">
        <v>2759</v>
      </c>
      <c r="G1298" s="45" t="s">
        <v>2409</v>
      </c>
      <c r="H1298" s="43">
        <v>970</v>
      </c>
      <c r="I1298" s="324" t="s">
        <v>43</v>
      </c>
      <c r="J1298" s="255" t="str">
        <f>IF(ISBLANK(INDEX('Policy Characteristics'!D:D,MATCH($C1298,'Policy Characteristics'!$C:$C,0))),"",INDEX('Policy Characteristics'!D:D,MATCH($C1298,'Policy Characteristics'!$C:$C,0)))</f>
        <v>Industry Energy Efficiency Standards</v>
      </c>
      <c r="K1298" s="254" t="str">
        <f>IF(ISBLANK(INDEX('Policy Characteristics'!E:E,MATCH($C1298,'Policy Characteristics'!$C:$C,0))),"",INDEX('Policy Characteristics'!E:E,MATCH($C1298,'Policy Characteristics'!$C:$C,0)))</f>
        <v>indst efficiency standards</v>
      </c>
      <c r="L1298" s="261">
        <f>IF(ISBLANK(INDEX('Policy Characteristics'!F:F,MATCH($C1298,'Policy Characteristics'!$C:$C,0))),"",INDEX('Policy Characteristics'!F:F,MATCH($C1298,'Policy Characteristics'!$C:$C,0)))</f>
        <v>0</v>
      </c>
      <c r="M1298" s="261">
        <f>IF(ISBLANK(INDEX('Policy Characteristics'!G:G,MATCH($C1298,'Policy Characteristics'!$C:$C,0))),"",INDEX('Policy Characteristics'!G:G,MATCH($C1298,'Policy Characteristics'!$C:$C,0)))</f>
        <v>0.25</v>
      </c>
      <c r="N1298" s="261">
        <f>IF(ISBLANK(INDEX('Policy Characteristics'!H:H,MATCH($C1298,'Policy Characteristics'!$C:$C,0))),"",INDEX('Policy Characteristics'!H:H,MATCH($C1298,'Policy Characteristics'!$C:$C,0)))</f>
        <v>0.01</v>
      </c>
      <c r="O1298" s="254" t="str">
        <f>IF(ISBLANK(INDEX('Policy Characteristics'!I:I,MATCH($C1298,'Policy Characteristics'!$C:$C,0))),"",INDEX('Policy Characteristics'!I:I,MATCH($C1298,'Policy Characteristics'!$C:$C,0)))</f>
        <v>% reduction in energy use</v>
      </c>
      <c r="P1298" s="254" t="str">
        <f>IF(ISBLANK(INDEX('Policy Characteristics'!J:J,MATCH($C1298,'Policy Characteristics'!$C:$C,0))),"",INDEX('Policy Characteristics'!J:J,MATCH($C1298,'Policy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8" s="254" t="str">
        <f>IF(ISBLANK(INDEX('Policy Characteristics'!K:K,MATCH($C1298,'Policy Characteristics'!$C:$C,0))),"",INDEX('Policy Characteristics'!K:K,MATCH($C1298,'Policy Characteristics'!$C:$C,0)))</f>
        <v>industry-ag-main.html#eff-stds</v>
      </c>
      <c r="R1298" s="254" t="str">
        <f>IF(ISBLANK(INDEX('Policy Characteristics'!L:L,MATCH($C1298,'Policy Characteristics'!$C:$C,0))),"",INDEX('Policy Characteristics'!L:L,MATCH($C1298,'Policy Characteristics'!$C:$C,0)))</f>
        <v>industry-energy-efficiency-standards.html</v>
      </c>
    </row>
    <row r="1299" spans="1:18" s="4" customFormat="1" x14ac:dyDescent="0.3">
      <c r="A1299" s="254" t="str">
        <f>IF(ISBLANK(INDEX('Policy Characteristics'!A:A,MATCH($C1299,'Policy Characteristics'!$C:$C,0))),"",INDEX('Policy Characteristics'!A:A,MATCH($C1299,'Policy Characteristics'!$C:$C,0)))</f>
        <v>Industry</v>
      </c>
      <c r="B1299" s="262" t="str">
        <f>IF(ISBLANK(INDEX('Policy Characteristics'!B:B,MATCH($C1299,'Policy Characteristics'!$C:$C,0))),"",INDEX('Policy Characteristics'!B:B,MATCH($C1299,'Policy Characteristics'!$C:$C,0)))</f>
        <v>Industry Energy Efficiency Standards</v>
      </c>
      <c r="C1299" s="254" t="str">
        <f t="shared" si="48"/>
        <v>Percentage Improvement in Eqpt Efficiency Standards above BAU</v>
      </c>
      <c r="D1299" s="6" t="s">
        <v>3062</v>
      </c>
      <c r="E1299" s="45" t="s">
        <v>2402</v>
      </c>
      <c r="F1299" t="s">
        <v>2759</v>
      </c>
      <c r="G1299" s="45" t="s">
        <v>2406</v>
      </c>
      <c r="H1299" s="43">
        <v>971</v>
      </c>
      <c r="I1299" s="324" t="s">
        <v>44</v>
      </c>
      <c r="J1299" s="255" t="str">
        <f>IF(ISBLANK(INDEX('Policy Characteristics'!D:D,MATCH($C1299,'Policy Characteristics'!$C:$C,0))),"",INDEX('Policy Characteristics'!D:D,MATCH($C1299,'Policy Characteristics'!$C:$C,0)))</f>
        <v>Industry Energy Efficiency Standards</v>
      </c>
      <c r="K1299" s="254" t="str">
        <f>IF(ISBLANK(INDEX('Policy Characteristics'!E:E,MATCH($C1299,'Policy Characteristics'!$C:$C,0))),"",INDEX('Policy Characteristics'!E:E,MATCH($C1299,'Policy Characteristics'!$C:$C,0)))</f>
        <v>indst efficiency standards</v>
      </c>
      <c r="L1299" s="261">
        <f>IF(ISBLANK(INDEX('Policy Characteristics'!F:F,MATCH($C1299,'Policy Characteristics'!$C:$C,0))),"",INDEX('Policy Characteristics'!F:F,MATCH($C1299,'Policy Characteristics'!$C:$C,0)))</f>
        <v>0</v>
      </c>
      <c r="M1299" s="261">
        <f>IF(ISBLANK(INDEX('Policy Characteristics'!G:G,MATCH($C1299,'Policy Characteristics'!$C:$C,0))),"",INDEX('Policy Characteristics'!G:G,MATCH($C1299,'Policy Characteristics'!$C:$C,0)))</f>
        <v>0.25</v>
      </c>
      <c r="N1299" s="261">
        <f>IF(ISBLANK(INDEX('Policy Characteristics'!H:H,MATCH($C1299,'Policy Characteristics'!$C:$C,0))),"",INDEX('Policy Characteristics'!H:H,MATCH($C1299,'Policy Characteristics'!$C:$C,0)))</f>
        <v>0.01</v>
      </c>
      <c r="O1299" s="254" t="str">
        <f>IF(ISBLANK(INDEX('Policy Characteristics'!I:I,MATCH($C1299,'Policy Characteristics'!$C:$C,0))),"",INDEX('Policy Characteristics'!I:I,MATCH($C1299,'Policy Characteristics'!$C:$C,0)))</f>
        <v>% reduction in energy use</v>
      </c>
      <c r="P1299" s="254" t="str">
        <f>IF(ISBLANK(INDEX('Policy Characteristics'!J:J,MATCH($C1299,'Policy Characteristics'!$C:$C,0))),"",INDEX('Policy Characteristics'!J:J,MATCH($C1299,'Policy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299" s="254" t="str">
        <f>IF(ISBLANK(INDEX('Policy Characteristics'!K:K,MATCH($C1299,'Policy Characteristics'!$C:$C,0))),"",INDEX('Policy Characteristics'!K:K,MATCH($C1299,'Policy Characteristics'!$C:$C,0)))</f>
        <v>industry-ag-main.html#eff-stds</v>
      </c>
      <c r="R1299" s="254" t="str">
        <f>IF(ISBLANK(INDEX('Policy Characteristics'!L:L,MATCH($C1299,'Policy Characteristics'!$C:$C,0))),"",INDEX('Policy Characteristics'!L:L,MATCH($C1299,'Policy Characteristics'!$C:$C,0)))</f>
        <v>industry-energy-efficiency-standards.html</v>
      </c>
    </row>
    <row r="1300" spans="1:18" s="4" customFormat="1" x14ac:dyDescent="0.3">
      <c r="A1300" s="254" t="str">
        <f>IF(ISBLANK(INDEX('Policy Characteristics'!A:A,MATCH($C1300,'Policy Characteristics'!$C:$C,0))),"",INDEX('Policy Characteristics'!A:A,MATCH($C1300,'Policy Characteristics'!$C:$C,0)))</f>
        <v>Industry</v>
      </c>
      <c r="B1300" s="262" t="str">
        <f>IF(ISBLANK(INDEX('Policy Characteristics'!B:B,MATCH($C1300,'Policy Characteristics'!$C:$C,0))),"",INDEX('Policy Characteristics'!B:B,MATCH($C1300,'Policy Characteristics'!$C:$C,0)))</f>
        <v>Industry Energy Efficiency Standards</v>
      </c>
      <c r="C1300" s="254" t="str">
        <f t="shared" si="48"/>
        <v>Percentage Improvement in Eqpt Efficiency Standards above BAU</v>
      </c>
      <c r="D1300" s="6" t="s">
        <v>3062</v>
      </c>
      <c r="E1300" s="45" t="s">
        <v>2403</v>
      </c>
      <c r="F1300" t="s">
        <v>2759</v>
      </c>
      <c r="G1300" s="45" t="s">
        <v>2407</v>
      </c>
      <c r="H1300" s="43">
        <v>972</v>
      </c>
      <c r="I1300" s="324" t="s">
        <v>43</v>
      </c>
      <c r="J1300" s="255" t="str">
        <f>IF(ISBLANK(INDEX('Policy Characteristics'!D:D,MATCH($C1300,'Policy Characteristics'!$C:$C,0))),"",INDEX('Policy Characteristics'!D:D,MATCH($C1300,'Policy Characteristics'!$C:$C,0)))</f>
        <v>Industry Energy Efficiency Standards</v>
      </c>
      <c r="K1300" s="254" t="str">
        <f>IF(ISBLANK(INDEX('Policy Characteristics'!E:E,MATCH($C1300,'Policy Characteristics'!$C:$C,0))),"",INDEX('Policy Characteristics'!E:E,MATCH($C1300,'Policy Characteristics'!$C:$C,0)))</f>
        <v>indst efficiency standards</v>
      </c>
      <c r="L1300" s="261">
        <f>IF(ISBLANK(INDEX('Policy Characteristics'!F:F,MATCH($C1300,'Policy Characteristics'!$C:$C,0))),"",INDEX('Policy Characteristics'!F:F,MATCH($C1300,'Policy Characteristics'!$C:$C,0)))</f>
        <v>0</v>
      </c>
      <c r="M1300" s="261">
        <f>IF(ISBLANK(INDEX('Policy Characteristics'!G:G,MATCH($C1300,'Policy Characteristics'!$C:$C,0))),"",INDEX('Policy Characteristics'!G:G,MATCH($C1300,'Policy Characteristics'!$C:$C,0)))</f>
        <v>0.25</v>
      </c>
      <c r="N1300" s="261">
        <f>IF(ISBLANK(INDEX('Policy Characteristics'!H:H,MATCH($C1300,'Policy Characteristics'!$C:$C,0))),"",INDEX('Policy Characteristics'!H:H,MATCH($C1300,'Policy Characteristics'!$C:$C,0)))</f>
        <v>0.01</v>
      </c>
      <c r="O1300" s="254" t="str">
        <f>IF(ISBLANK(INDEX('Policy Characteristics'!I:I,MATCH($C1300,'Policy Characteristics'!$C:$C,0))),"",INDEX('Policy Characteristics'!I:I,MATCH($C1300,'Policy Characteristics'!$C:$C,0)))</f>
        <v>% reduction in energy use</v>
      </c>
      <c r="P1300" s="254" t="str">
        <f>IF(ISBLANK(INDEX('Policy Characteristics'!J:J,MATCH($C1300,'Policy Characteristics'!$C:$C,0))),"",INDEX('Policy Characteristics'!J:J,MATCH($C1300,'Policy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0" s="254" t="str">
        <f>IF(ISBLANK(INDEX('Policy Characteristics'!K:K,MATCH($C1300,'Policy Characteristics'!$C:$C,0))),"",INDEX('Policy Characteristics'!K:K,MATCH($C1300,'Policy Characteristics'!$C:$C,0)))</f>
        <v>industry-ag-main.html#eff-stds</v>
      </c>
      <c r="R1300" s="254" t="str">
        <f>IF(ISBLANK(INDEX('Policy Characteristics'!L:L,MATCH($C1300,'Policy Characteristics'!$C:$C,0))),"",INDEX('Policy Characteristics'!L:L,MATCH($C1300,'Policy Characteristics'!$C:$C,0)))</f>
        <v>industry-energy-efficiency-standards.html</v>
      </c>
    </row>
    <row r="1301" spans="1:18" s="4" customFormat="1" x14ac:dyDescent="0.3">
      <c r="A1301" s="254" t="str">
        <f>IF(ISBLANK(INDEX('Policy Characteristics'!A:A,MATCH($C1301,'Policy Characteristics'!$C:$C,0))),"",INDEX('Policy Characteristics'!A:A,MATCH($C1301,'Policy Characteristics'!$C:$C,0)))</f>
        <v>Industry</v>
      </c>
      <c r="B1301" s="262" t="str">
        <f>IF(ISBLANK(INDEX('Policy Characteristics'!B:B,MATCH($C1301,'Policy Characteristics'!$C:$C,0))),"",INDEX('Policy Characteristics'!B:B,MATCH($C1301,'Policy Characteristics'!$C:$C,0)))</f>
        <v>Industry Energy Efficiency Standards</v>
      </c>
      <c r="C1301" s="254" t="str">
        <f t="shared" si="48"/>
        <v>Percentage Improvement in Eqpt Efficiency Standards above BAU</v>
      </c>
      <c r="D1301" s="6" t="s">
        <v>3062</v>
      </c>
      <c r="E1301" s="45" t="s">
        <v>2404</v>
      </c>
      <c r="F1301" t="s">
        <v>2759</v>
      </c>
      <c r="G1301" s="45" t="s">
        <v>2410</v>
      </c>
      <c r="H1301" s="43">
        <v>973</v>
      </c>
      <c r="I1301" s="324" t="s">
        <v>44</v>
      </c>
      <c r="J1301" s="255" t="str">
        <f>IF(ISBLANK(INDEX('Policy Characteristics'!D:D,MATCH($C1301,'Policy Characteristics'!$C:$C,0))),"",INDEX('Policy Characteristics'!D:D,MATCH($C1301,'Policy Characteristics'!$C:$C,0)))</f>
        <v>Industry Energy Efficiency Standards</v>
      </c>
      <c r="K1301" s="254" t="str">
        <f>IF(ISBLANK(INDEX('Policy Characteristics'!E:E,MATCH($C1301,'Policy Characteristics'!$C:$C,0))),"",INDEX('Policy Characteristics'!E:E,MATCH($C1301,'Policy Characteristics'!$C:$C,0)))</f>
        <v>indst efficiency standards</v>
      </c>
      <c r="L1301" s="261">
        <f>IF(ISBLANK(INDEX('Policy Characteristics'!F:F,MATCH($C1301,'Policy Characteristics'!$C:$C,0))),"",INDEX('Policy Characteristics'!F:F,MATCH($C1301,'Policy Characteristics'!$C:$C,0)))</f>
        <v>0</v>
      </c>
      <c r="M1301" s="261">
        <f>IF(ISBLANK(INDEX('Policy Characteristics'!G:G,MATCH($C1301,'Policy Characteristics'!$C:$C,0))),"",INDEX('Policy Characteristics'!G:G,MATCH($C1301,'Policy Characteristics'!$C:$C,0)))</f>
        <v>0.25</v>
      </c>
      <c r="N1301" s="261">
        <f>IF(ISBLANK(INDEX('Policy Characteristics'!H:H,MATCH($C1301,'Policy Characteristics'!$C:$C,0))),"",INDEX('Policy Characteristics'!H:H,MATCH($C1301,'Policy Characteristics'!$C:$C,0)))</f>
        <v>0.01</v>
      </c>
      <c r="O1301" s="254" t="str">
        <f>IF(ISBLANK(INDEX('Policy Characteristics'!I:I,MATCH($C1301,'Policy Characteristics'!$C:$C,0))),"",INDEX('Policy Characteristics'!I:I,MATCH($C1301,'Policy Characteristics'!$C:$C,0)))</f>
        <v>% reduction in energy use</v>
      </c>
      <c r="P1301" s="254" t="str">
        <f>IF(ISBLANK(INDEX('Policy Characteristics'!J:J,MATCH($C1301,'Policy Characteristics'!$C:$C,0))),"",INDEX('Policy Characteristics'!J:J,MATCH($C1301,'Policy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1" s="254" t="str">
        <f>IF(ISBLANK(INDEX('Policy Characteristics'!K:K,MATCH($C1301,'Policy Characteristics'!$C:$C,0))),"",INDEX('Policy Characteristics'!K:K,MATCH($C1301,'Policy Characteristics'!$C:$C,0)))</f>
        <v>industry-ag-main.html#eff-stds</v>
      </c>
      <c r="R1301" s="254" t="str">
        <f>IF(ISBLANK(INDEX('Policy Characteristics'!L:L,MATCH($C1301,'Policy Characteristics'!$C:$C,0))),"",INDEX('Policy Characteristics'!L:L,MATCH($C1301,'Policy Characteristics'!$C:$C,0)))</f>
        <v>industry-energy-efficiency-standards.html</v>
      </c>
    </row>
    <row r="1302" spans="1:18" s="4" customFormat="1" x14ac:dyDescent="0.3">
      <c r="A1302" s="254" t="str">
        <f>IF(ISBLANK(INDEX('Policy Characteristics'!A:A,MATCH($C1302,'Policy Characteristics'!$C:$C,0))),"",INDEX('Policy Characteristics'!A:A,MATCH($C1302,'Policy Characteristics'!$C:$C,0)))</f>
        <v>Industry</v>
      </c>
      <c r="B1302" s="262" t="str">
        <f>IF(ISBLANK(INDEX('Policy Characteristics'!B:B,MATCH($C1302,'Policy Characteristics'!$C:$C,0))),"",INDEX('Policy Characteristics'!B:B,MATCH($C1302,'Policy Characteristics'!$C:$C,0)))</f>
        <v>Industry Energy Efficiency Standards</v>
      </c>
      <c r="C1302" s="254" t="str">
        <f t="shared" si="48"/>
        <v>Percentage Improvement in Eqpt Efficiency Standards above BAU</v>
      </c>
      <c r="D1302" s="6" t="s">
        <v>3062</v>
      </c>
      <c r="E1302" s="45" t="s">
        <v>2706</v>
      </c>
      <c r="F1302" t="s">
        <v>2759</v>
      </c>
      <c r="G1302" s="45" t="s">
        <v>2709</v>
      </c>
      <c r="H1302" s="43">
        <v>974</v>
      </c>
      <c r="I1302" s="324" t="s">
        <v>44</v>
      </c>
      <c r="J1302" s="255" t="str">
        <f>IF(ISBLANK(INDEX('Policy Characteristics'!D:D,MATCH($C1302,'Policy Characteristics'!$C:$C,0))),"",INDEX('Policy Characteristics'!D:D,MATCH($C1302,'Policy Characteristics'!$C:$C,0)))</f>
        <v>Industry Energy Efficiency Standards</v>
      </c>
      <c r="K1302" s="254" t="str">
        <f>IF(ISBLANK(INDEX('Policy Characteristics'!E:E,MATCH($C1302,'Policy Characteristics'!$C:$C,0))),"",INDEX('Policy Characteristics'!E:E,MATCH($C1302,'Policy Characteristics'!$C:$C,0)))</f>
        <v>indst efficiency standards</v>
      </c>
      <c r="L1302" s="261">
        <f>IF(ISBLANK(INDEX('Policy Characteristics'!F:F,MATCH($C1302,'Policy Characteristics'!$C:$C,0))),"",INDEX('Policy Characteristics'!F:F,MATCH($C1302,'Policy Characteristics'!$C:$C,0)))</f>
        <v>0</v>
      </c>
      <c r="M1302" s="261">
        <f>IF(ISBLANK(INDEX('Policy Characteristics'!G:G,MATCH($C1302,'Policy Characteristics'!$C:$C,0))),"",INDEX('Policy Characteristics'!G:G,MATCH($C1302,'Policy Characteristics'!$C:$C,0)))</f>
        <v>0.25</v>
      </c>
      <c r="N1302" s="261">
        <f>IF(ISBLANK(INDEX('Policy Characteristics'!H:H,MATCH($C1302,'Policy Characteristics'!$C:$C,0))),"",INDEX('Policy Characteristics'!H:H,MATCH($C1302,'Policy Characteristics'!$C:$C,0)))</f>
        <v>0.01</v>
      </c>
      <c r="O1302" s="254" t="str">
        <f>IF(ISBLANK(INDEX('Policy Characteristics'!I:I,MATCH($C1302,'Policy Characteristics'!$C:$C,0))),"",INDEX('Policy Characteristics'!I:I,MATCH($C1302,'Policy Characteristics'!$C:$C,0)))</f>
        <v>% reduction in energy use</v>
      </c>
      <c r="P1302" s="254" t="str">
        <f>IF(ISBLANK(INDEX('Policy Characteristics'!J:J,MATCH($C1302,'Policy Characteristics'!$C:$C,0))),"",INDEX('Policy Characteristics'!J:J,MATCH($C1302,'Policy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2" s="254" t="str">
        <f>IF(ISBLANK(INDEX('Policy Characteristics'!K:K,MATCH($C1302,'Policy Characteristics'!$C:$C,0))),"",INDEX('Policy Characteristics'!K:K,MATCH($C1302,'Policy Characteristics'!$C:$C,0)))</f>
        <v>industry-ag-main.html#eff-stds</v>
      </c>
      <c r="R1302" s="254" t="str">
        <f>IF(ISBLANK(INDEX('Policy Characteristics'!L:L,MATCH($C1302,'Policy Characteristics'!$C:$C,0))),"",INDEX('Policy Characteristics'!L:L,MATCH($C1302,'Policy Characteristics'!$C:$C,0)))</f>
        <v>industry-energy-efficiency-standards.html</v>
      </c>
    </row>
    <row r="1303" spans="1:18" s="4" customFormat="1" x14ac:dyDescent="0.3">
      <c r="A1303" s="254" t="str">
        <f>IF(ISBLANK(INDEX('Policy Characteristics'!A:A,MATCH($C1303,'Policy Characteristics'!$C:$C,0))),"",INDEX('Policy Characteristics'!A:A,MATCH($C1303,'Policy Characteristics'!$C:$C,0)))</f>
        <v>Industry</v>
      </c>
      <c r="B1303" s="262" t="str">
        <f>IF(ISBLANK(INDEX('Policy Characteristics'!B:B,MATCH($C1303,'Policy Characteristics'!$C:$C,0))),"",INDEX('Policy Characteristics'!B:B,MATCH($C1303,'Policy Characteristics'!$C:$C,0)))</f>
        <v>Industry Energy Efficiency Standards</v>
      </c>
      <c r="C1303" s="254" t="str">
        <f t="shared" si="48"/>
        <v>Percentage Improvement in Eqpt Efficiency Standards above BAU</v>
      </c>
      <c r="D1303" s="6" t="s">
        <v>3062</v>
      </c>
      <c r="E1303" s="45" t="s">
        <v>2707</v>
      </c>
      <c r="F1303" t="s">
        <v>2759</v>
      </c>
      <c r="G1303" s="45" t="s">
        <v>2711</v>
      </c>
      <c r="H1303" s="43">
        <v>975</v>
      </c>
      <c r="I1303" s="324" t="s">
        <v>43</v>
      </c>
      <c r="J1303" s="255" t="str">
        <f>IF(ISBLANK(INDEX('Policy Characteristics'!D:D,MATCH($C1303,'Policy Characteristics'!$C:$C,0))),"",INDEX('Policy Characteristics'!D:D,MATCH($C1303,'Policy Characteristics'!$C:$C,0)))</f>
        <v>Industry Energy Efficiency Standards</v>
      </c>
      <c r="K1303" s="254" t="str">
        <f>IF(ISBLANK(INDEX('Policy Characteristics'!E:E,MATCH($C1303,'Policy Characteristics'!$C:$C,0))),"",INDEX('Policy Characteristics'!E:E,MATCH($C1303,'Policy Characteristics'!$C:$C,0)))</f>
        <v>indst efficiency standards</v>
      </c>
      <c r="L1303" s="261">
        <f>IF(ISBLANK(INDEX('Policy Characteristics'!F:F,MATCH($C1303,'Policy Characteristics'!$C:$C,0))),"",INDEX('Policy Characteristics'!F:F,MATCH($C1303,'Policy Characteristics'!$C:$C,0)))</f>
        <v>0</v>
      </c>
      <c r="M1303" s="261">
        <f>IF(ISBLANK(INDEX('Policy Characteristics'!G:G,MATCH($C1303,'Policy Characteristics'!$C:$C,0))),"",INDEX('Policy Characteristics'!G:G,MATCH($C1303,'Policy Characteristics'!$C:$C,0)))</f>
        <v>0.25</v>
      </c>
      <c r="N1303" s="261">
        <f>IF(ISBLANK(INDEX('Policy Characteristics'!H:H,MATCH($C1303,'Policy Characteristics'!$C:$C,0))),"",INDEX('Policy Characteristics'!H:H,MATCH($C1303,'Policy Characteristics'!$C:$C,0)))</f>
        <v>0.01</v>
      </c>
      <c r="O1303" s="254" t="str">
        <f>IF(ISBLANK(INDEX('Policy Characteristics'!I:I,MATCH($C1303,'Policy Characteristics'!$C:$C,0))),"",INDEX('Policy Characteristics'!I:I,MATCH($C1303,'Policy Characteristics'!$C:$C,0)))</f>
        <v>% reduction in energy use</v>
      </c>
      <c r="P1303" s="254" t="str">
        <f>IF(ISBLANK(INDEX('Policy Characteristics'!J:J,MATCH($C1303,'Policy Characteristics'!$C:$C,0))),"",INDEX('Policy Characteristics'!J:J,MATCH($C1303,'Policy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3" s="254" t="str">
        <f>IF(ISBLANK(INDEX('Policy Characteristics'!K:K,MATCH($C1303,'Policy Characteristics'!$C:$C,0))),"",INDEX('Policy Characteristics'!K:K,MATCH($C1303,'Policy Characteristics'!$C:$C,0)))</f>
        <v>industry-ag-main.html#eff-stds</v>
      </c>
      <c r="R1303" s="254" t="str">
        <f>IF(ISBLANK(INDEX('Policy Characteristics'!L:L,MATCH($C1303,'Policy Characteristics'!$C:$C,0))),"",INDEX('Policy Characteristics'!L:L,MATCH($C1303,'Policy Characteristics'!$C:$C,0)))</f>
        <v>industry-energy-efficiency-standards.html</v>
      </c>
    </row>
    <row r="1304" spans="1:18" s="4" customFormat="1" x14ac:dyDescent="0.3">
      <c r="A1304" s="254" t="str">
        <f>IF(ISBLANK(INDEX('Policy Characteristics'!A:A,MATCH($C1304,'Policy Characteristics'!$C:$C,0))),"",INDEX('Policy Characteristics'!A:A,MATCH($C1304,'Policy Characteristics'!$C:$C,0)))</f>
        <v>Industry</v>
      </c>
      <c r="B1304" s="262" t="str">
        <f>IF(ISBLANK(INDEX('Policy Characteristics'!B:B,MATCH($C1304,'Policy Characteristics'!$C:$C,0))),"",INDEX('Policy Characteristics'!B:B,MATCH($C1304,'Policy Characteristics'!$C:$C,0)))</f>
        <v>Industry Energy Efficiency Standards</v>
      </c>
      <c r="C1304" s="254" t="str">
        <f t="shared" si="48"/>
        <v>Percentage Improvement in Eqpt Efficiency Standards above BAU</v>
      </c>
      <c r="D1304" s="6" t="s">
        <v>3062</v>
      </c>
      <c r="E1304" s="45" t="s">
        <v>2708</v>
      </c>
      <c r="F1304" t="s">
        <v>2759</v>
      </c>
      <c r="G1304" s="45" t="s">
        <v>2712</v>
      </c>
      <c r="H1304" s="43">
        <v>976</v>
      </c>
      <c r="I1304" s="324" t="s">
        <v>44</v>
      </c>
      <c r="J1304" s="255" t="str">
        <f>IF(ISBLANK(INDEX('Policy Characteristics'!D:D,MATCH($C1304,'Policy Characteristics'!$C:$C,0))),"",INDEX('Policy Characteristics'!D:D,MATCH($C1304,'Policy Characteristics'!$C:$C,0)))</f>
        <v>Industry Energy Efficiency Standards</v>
      </c>
      <c r="K1304" s="254" t="str">
        <f>IF(ISBLANK(INDEX('Policy Characteristics'!E:E,MATCH($C1304,'Policy Characteristics'!$C:$C,0))),"",INDEX('Policy Characteristics'!E:E,MATCH($C1304,'Policy Characteristics'!$C:$C,0)))</f>
        <v>indst efficiency standards</v>
      </c>
      <c r="L1304" s="261">
        <f>IF(ISBLANK(INDEX('Policy Characteristics'!F:F,MATCH($C1304,'Policy Characteristics'!$C:$C,0))),"",INDEX('Policy Characteristics'!F:F,MATCH($C1304,'Policy Characteristics'!$C:$C,0)))</f>
        <v>0</v>
      </c>
      <c r="M1304" s="261">
        <f>IF(ISBLANK(INDEX('Policy Characteristics'!G:G,MATCH($C1304,'Policy Characteristics'!$C:$C,0))),"",INDEX('Policy Characteristics'!G:G,MATCH($C1304,'Policy Characteristics'!$C:$C,0)))</f>
        <v>0.25</v>
      </c>
      <c r="N1304" s="261">
        <f>IF(ISBLANK(INDEX('Policy Characteristics'!H:H,MATCH($C1304,'Policy Characteristics'!$C:$C,0))),"",INDEX('Policy Characteristics'!H:H,MATCH($C1304,'Policy Characteristics'!$C:$C,0)))</f>
        <v>0.01</v>
      </c>
      <c r="O1304" s="254" t="str">
        <f>IF(ISBLANK(INDEX('Policy Characteristics'!I:I,MATCH($C1304,'Policy Characteristics'!$C:$C,0))),"",INDEX('Policy Characteristics'!I:I,MATCH($C1304,'Policy Characteristics'!$C:$C,0)))</f>
        <v>% reduction in energy use</v>
      </c>
      <c r="P1304" s="254" t="str">
        <f>IF(ISBLANK(INDEX('Policy Characteristics'!J:J,MATCH($C1304,'Policy Characteristics'!$C:$C,0))),"",INDEX('Policy Characteristics'!J:J,MATCH($C1304,'Policy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4" s="254" t="str">
        <f>IF(ISBLANK(INDEX('Policy Characteristics'!K:K,MATCH($C1304,'Policy Characteristics'!$C:$C,0))),"",INDEX('Policy Characteristics'!K:K,MATCH($C1304,'Policy Characteristics'!$C:$C,0)))</f>
        <v>industry-ag-main.html#eff-stds</v>
      </c>
      <c r="R1304" s="254" t="str">
        <f>IF(ISBLANK(INDEX('Policy Characteristics'!L:L,MATCH($C1304,'Policy Characteristics'!$C:$C,0))),"",INDEX('Policy Characteristics'!L:L,MATCH($C1304,'Policy Characteristics'!$C:$C,0)))</f>
        <v>industry-energy-efficiency-standards.html</v>
      </c>
    </row>
    <row r="1305" spans="1:18" s="4" customFormat="1" x14ac:dyDescent="0.3">
      <c r="A1305" s="254" t="str">
        <f>IF(ISBLANK(INDEX('Policy Characteristics'!A:A,MATCH($C1305,'Policy Characteristics'!$C:$C,0))),"",INDEX('Policy Characteristics'!A:A,MATCH($C1305,'Policy Characteristics'!$C:$C,0)))</f>
        <v>Industry</v>
      </c>
      <c r="B1305" s="262" t="str">
        <f>IF(ISBLANK(INDEX('Policy Characteristics'!B:B,MATCH($C1305,'Policy Characteristics'!$C:$C,0))),"",INDEX('Policy Characteristics'!B:B,MATCH($C1305,'Policy Characteristics'!$C:$C,0)))</f>
        <v>Industry Energy Efficiency Standards</v>
      </c>
      <c r="C1305" s="254" t="str">
        <f t="shared" si="48"/>
        <v>Percentage Improvement in Eqpt Efficiency Standards above BAU</v>
      </c>
      <c r="D1305" s="6" t="s">
        <v>3062</v>
      </c>
      <c r="E1305" s="45" t="s">
        <v>2705</v>
      </c>
      <c r="F1305" t="s">
        <v>2759</v>
      </c>
      <c r="G1305" s="45" t="s">
        <v>2710</v>
      </c>
      <c r="H1305" s="43">
        <v>977</v>
      </c>
      <c r="I1305" s="324" t="s">
        <v>44</v>
      </c>
      <c r="J1305" s="255" t="str">
        <f>IF(ISBLANK(INDEX('Policy Characteristics'!D:D,MATCH($C1305,'Policy Characteristics'!$C:$C,0))),"",INDEX('Policy Characteristics'!D:D,MATCH($C1305,'Policy Characteristics'!$C:$C,0)))</f>
        <v>Industry Energy Efficiency Standards</v>
      </c>
      <c r="K1305" s="254" t="str">
        <f>IF(ISBLANK(INDEX('Policy Characteristics'!E:E,MATCH($C1305,'Policy Characteristics'!$C:$C,0))),"",INDEX('Policy Characteristics'!E:E,MATCH($C1305,'Policy Characteristics'!$C:$C,0)))</f>
        <v>indst efficiency standards</v>
      </c>
      <c r="L1305" s="261">
        <f>IF(ISBLANK(INDEX('Policy Characteristics'!F:F,MATCH($C1305,'Policy Characteristics'!$C:$C,0))),"",INDEX('Policy Characteristics'!F:F,MATCH($C1305,'Policy Characteristics'!$C:$C,0)))</f>
        <v>0</v>
      </c>
      <c r="M1305" s="261">
        <f>IF(ISBLANK(INDEX('Policy Characteristics'!G:G,MATCH($C1305,'Policy Characteristics'!$C:$C,0))),"",INDEX('Policy Characteristics'!G:G,MATCH($C1305,'Policy Characteristics'!$C:$C,0)))</f>
        <v>0.25</v>
      </c>
      <c r="N1305" s="261">
        <f>IF(ISBLANK(INDEX('Policy Characteristics'!H:H,MATCH($C1305,'Policy Characteristics'!$C:$C,0))),"",INDEX('Policy Characteristics'!H:H,MATCH($C1305,'Policy Characteristics'!$C:$C,0)))</f>
        <v>0.01</v>
      </c>
      <c r="O1305" s="254" t="str">
        <f>IF(ISBLANK(INDEX('Policy Characteristics'!I:I,MATCH($C1305,'Policy Characteristics'!$C:$C,0))),"",INDEX('Policy Characteristics'!I:I,MATCH($C1305,'Policy Characteristics'!$C:$C,0)))</f>
        <v>% reduction in energy use</v>
      </c>
      <c r="P1305" s="254" t="str">
        <f>IF(ISBLANK(INDEX('Policy Characteristics'!J:J,MATCH($C1305,'Policy Characteristics'!$C:$C,0))),"",INDEX('Policy Characteristics'!J:J,MATCH($C1305,'Policy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5" s="254" t="str">
        <f>IF(ISBLANK(INDEX('Policy Characteristics'!K:K,MATCH($C1305,'Policy Characteristics'!$C:$C,0))),"",INDEX('Policy Characteristics'!K:K,MATCH($C1305,'Policy Characteristics'!$C:$C,0)))</f>
        <v>industry-ag-main.html#eff-stds</v>
      </c>
      <c r="R1305" s="254" t="str">
        <f>IF(ISBLANK(INDEX('Policy Characteristics'!L:L,MATCH($C1305,'Policy Characteristics'!$C:$C,0))),"",INDEX('Policy Characteristics'!L:L,MATCH($C1305,'Policy Characteristics'!$C:$C,0)))</f>
        <v>industry-energy-efficiency-standards.html</v>
      </c>
    </row>
    <row r="1306" spans="1:18" s="4" customFormat="1" x14ac:dyDescent="0.3">
      <c r="A1306" s="254" t="str">
        <f>IF(ISBLANK(INDEX('Policy Characteristics'!A:A,MATCH($C1306,'Policy Characteristics'!$C:$C,0))),"",INDEX('Policy Characteristics'!A:A,MATCH($C1306,'Policy Characteristics'!$C:$C,0)))</f>
        <v>Industry</v>
      </c>
      <c r="B1306" s="262" t="str">
        <f>IF(ISBLANK(INDEX('Policy Characteristics'!B:B,MATCH($C1306,'Policy Characteristics'!$C:$C,0))),"",INDEX('Policy Characteristics'!B:B,MATCH($C1306,'Policy Characteristics'!$C:$C,0)))</f>
        <v>Industry Energy Efficiency Standards</v>
      </c>
      <c r="C1306" s="254" t="str">
        <f t="shared" si="48"/>
        <v>Percentage Improvement in Eqpt Efficiency Standards above BAU</v>
      </c>
      <c r="D1306" s="6" t="s">
        <v>3063</v>
      </c>
      <c r="E1306" s="45" t="s">
        <v>2399</v>
      </c>
      <c r="F1306" t="s">
        <v>3027</v>
      </c>
      <c r="G1306" s="45" t="s">
        <v>2405</v>
      </c>
      <c r="H1306" s="43">
        <v>978</v>
      </c>
      <c r="I1306" s="324" t="s">
        <v>43</v>
      </c>
      <c r="J1306" s="255" t="str">
        <f>IF(ISBLANK(INDEX('Policy Characteristics'!D:D,MATCH($C1306,'Policy Characteristics'!$C:$C,0))),"",INDEX('Policy Characteristics'!D:D,MATCH($C1306,'Policy Characteristics'!$C:$C,0)))</f>
        <v>Industry Energy Efficiency Standards</v>
      </c>
      <c r="K1306" s="254" t="str">
        <f>IF(ISBLANK(INDEX('Policy Characteristics'!E:E,MATCH($C1306,'Policy Characteristics'!$C:$C,0))),"",INDEX('Policy Characteristics'!E:E,MATCH($C1306,'Policy Characteristics'!$C:$C,0)))</f>
        <v>indst efficiency standards</v>
      </c>
      <c r="L1306" s="261">
        <f>IF(ISBLANK(INDEX('Policy Characteristics'!F:F,MATCH($C1306,'Policy Characteristics'!$C:$C,0))),"",INDEX('Policy Characteristics'!F:F,MATCH($C1306,'Policy Characteristics'!$C:$C,0)))</f>
        <v>0</v>
      </c>
      <c r="M1306" s="261">
        <f>IF(ISBLANK(INDEX('Policy Characteristics'!G:G,MATCH($C1306,'Policy Characteristics'!$C:$C,0))),"",INDEX('Policy Characteristics'!G:G,MATCH($C1306,'Policy Characteristics'!$C:$C,0)))</f>
        <v>0.25</v>
      </c>
      <c r="N1306" s="261">
        <f>IF(ISBLANK(INDEX('Policy Characteristics'!H:H,MATCH($C1306,'Policy Characteristics'!$C:$C,0))),"",INDEX('Policy Characteristics'!H:H,MATCH($C1306,'Policy Characteristics'!$C:$C,0)))</f>
        <v>0.01</v>
      </c>
      <c r="O1306" s="254" t="str">
        <f>IF(ISBLANK(INDEX('Policy Characteristics'!I:I,MATCH($C1306,'Policy Characteristics'!$C:$C,0))),"",INDEX('Policy Characteristics'!I:I,MATCH($C1306,'Policy Characteristics'!$C:$C,0)))</f>
        <v>% reduction in energy use</v>
      </c>
      <c r="P1306" s="254" t="str">
        <f>IF(ISBLANK(INDEX('Policy Characteristics'!J:J,MATCH($C1306,'Policy Characteristics'!$C:$C,0))),"",INDEX('Policy Characteristics'!J:J,MATCH($C1306,'Policy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6" s="254" t="str">
        <f>IF(ISBLANK(INDEX('Policy Characteristics'!K:K,MATCH($C1306,'Policy Characteristics'!$C:$C,0))),"",INDEX('Policy Characteristics'!K:K,MATCH($C1306,'Policy Characteristics'!$C:$C,0)))</f>
        <v>industry-ag-main.html#eff-stds</v>
      </c>
      <c r="R1306" s="254" t="str">
        <f>IF(ISBLANK(INDEX('Policy Characteristics'!L:L,MATCH($C1306,'Policy Characteristics'!$C:$C,0))),"",INDEX('Policy Characteristics'!L:L,MATCH($C1306,'Policy Characteristics'!$C:$C,0)))</f>
        <v>industry-energy-efficiency-standards.html</v>
      </c>
    </row>
    <row r="1307" spans="1:18" s="4" customFormat="1" x14ac:dyDescent="0.3">
      <c r="A1307" s="254" t="str">
        <f>IF(ISBLANK(INDEX('Policy Characteristics'!A:A,MATCH($C1307,'Policy Characteristics'!$C:$C,0))),"",INDEX('Policy Characteristics'!A:A,MATCH($C1307,'Policy Characteristics'!$C:$C,0)))</f>
        <v>Industry</v>
      </c>
      <c r="B1307" s="262" t="str">
        <f>IF(ISBLANK(INDEX('Policy Characteristics'!B:B,MATCH($C1307,'Policy Characteristics'!$C:$C,0))),"",INDEX('Policy Characteristics'!B:B,MATCH($C1307,'Policy Characteristics'!$C:$C,0)))</f>
        <v>Industry Energy Efficiency Standards</v>
      </c>
      <c r="C1307" s="254" t="str">
        <f t="shared" si="48"/>
        <v>Percentage Improvement in Eqpt Efficiency Standards above BAU</v>
      </c>
      <c r="D1307" s="6" t="s">
        <v>3063</v>
      </c>
      <c r="E1307" s="45" t="s">
        <v>2400</v>
      </c>
      <c r="F1307" t="s">
        <v>3027</v>
      </c>
      <c r="G1307" s="45" t="s">
        <v>2408</v>
      </c>
      <c r="H1307" s="43">
        <v>979</v>
      </c>
      <c r="I1307" s="324" t="s">
        <v>44</v>
      </c>
      <c r="J1307" s="255" t="str">
        <f>IF(ISBLANK(INDEX('Policy Characteristics'!D:D,MATCH($C1307,'Policy Characteristics'!$C:$C,0))),"",INDEX('Policy Characteristics'!D:D,MATCH($C1307,'Policy Characteristics'!$C:$C,0)))</f>
        <v>Industry Energy Efficiency Standards</v>
      </c>
      <c r="K1307" s="254" t="str">
        <f>IF(ISBLANK(INDEX('Policy Characteristics'!E:E,MATCH($C1307,'Policy Characteristics'!$C:$C,0))),"",INDEX('Policy Characteristics'!E:E,MATCH($C1307,'Policy Characteristics'!$C:$C,0)))</f>
        <v>indst efficiency standards</v>
      </c>
      <c r="L1307" s="261">
        <f>IF(ISBLANK(INDEX('Policy Characteristics'!F:F,MATCH($C1307,'Policy Characteristics'!$C:$C,0))),"",INDEX('Policy Characteristics'!F:F,MATCH($C1307,'Policy Characteristics'!$C:$C,0)))</f>
        <v>0</v>
      </c>
      <c r="M1307" s="261">
        <f>IF(ISBLANK(INDEX('Policy Characteristics'!G:G,MATCH($C1307,'Policy Characteristics'!$C:$C,0))),"",INDEX('Policy Characteristics'!G:G,MATCH($C1307,'Policy Characteristics'!$C:$C,0)))</f>
        <v>0.25</v>
      </c>
      <c r="N1307" s="261">
        <f>IF(ISBLANK(INDEX('Policy Characteristics'!H:H,MATCH($C1307,'Policy Characteristics'!$C:$C,0))),"",INDEX('Policy Characteristics'!H:H,MATCH($C1307,'Policy Characteristics'!$C:$C,0)))</f>
        <v>0.01</v>
      </c>
      <c r="O1307" s="254" t="str">
        <f>IF(ISBLANK(INDEX('Policy Characteristics'!I:I,MATCH($C1307,'Policy Characteristics'!$C:$C,0))),"",INDEX('Policy Characteristics'!I:I,MATCH($C1307,'Policy Characteristics'!$C:$C,0)))</f>
        <v>% reduction in energy use</v>
      </c>
      <c r="P1307" s="254" t="str">
        <f>IF(ISBLANK(INDEX('Policy Characteristics'!J:J,MATCH($C1307,'Policy Characteristics'!$C:$C,0))),"",INDEX('Policy Characteristics'!J:J,MATCH($C1307,'Policy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7" s="254" t="str">
        <f>IF(ISBLANK(INDEX('Policy Characteristics'!K:K,MATCH($C1307,'Policy Characteristics'!$C:$C,0))),"",INDEX('Policy Characteristics'!K:K,MATCH($C1307,'Policy Characteristics'!$C:$C,0)))</f>
        <v>industry-ag-main.html#eff-stds</v>
      </c>
      <c r="R1307" s="254" t="str">
        <f>IF(ISBLANK(INDEX('Policy Characteristics'!L:L,MATCH($C1307,'Policy Characteristics'!$C:$C,0))),"",INDEX('Policy Characteristics'!L:L,MATCH($C1307,'Policy Characteristics'!$C:$C,0)))</f>
        <v>industry-energy-efficiency-standards.html</v>
      </c>
    </row>
    <row r="1308" spans="1:18" s="4" customFormat="1" x14ac:dyDescent="0.3">
      <c r="A1308" s="254" t="str">
        <f>IF(ISBLANK(INDEX('Policy Characteristics'!A:A,MATCH($C1308,'Policy Characteristics'!$C:$C,0))),"",INDEX('Policy Characteristics'!A:A,MATCH($C1308,'Policy Characteristics'!$C:$C,0)))</f>
        <v>Industry</v>
      </c>
      <c r="B1308" s="262" t="str">
        <f>IF(ISBLANK(INDEX('Policy Characteristics'!B:B,MATCH($C1308,'Policy Characteristics'!$C:$C,0))),"",INDEX('Policy Characteristics'!B:B,MATCH($C1308,'Policy Characteristics'!$C:$C,0)))</f>
        <v>Industry Energy Efficiency Standards</v>
      </c>
      <c r="C1308" s="254" t="str">
        <f t="shared" si="48"/>
        <v>Percentage Improvement in Eqpt Efficiency Standards above BAU</v>
      </c>
      <c r="D1308" s="6" t="s">
        <v>3063</v>
      </c>
      <c r="E1308" s="45" t="s">
        <v>2401</v>
      </c>
      <c r="F1308" t="s">
        <v>3027</v>
      </c>
      <c r="G1308" s="45" t="s">
        <v>2409</v>
      </c>
      <c r="H1308" s="43">
        <v>980</v>
      </c>
      <c r="I1308" s="324" t="s">
        <v>43</v>
      </c>
      <c r="J1308" s="255" t="str">
        <f>IF(ISBLANK(INDEX('Policy Characteristics'!D:D,MATCH($C1308,'Policy Characteristics'!$C:$C,0))),"",INDEX('Policy Characteristics'!D:D,MATCH($C1308,'Policy Characteristics'!$C:$C,0)))</f>
        <v>Industry Energy Efficiency Standards</v>
      </c>
      <c r="K1308" s="254" t="str">
        <f>IF(ISBLANK(INDEX('Policy Characteristics'!E:E,MATCH($C1308,'Policy Characteristics'!$C:$C,0))),"",INDEX('Policy Characteristics'!E:E,MATCH($C1308,'Policy Characteristics'!$C:$C,0)))</f>
        <v>indst efficiency standards</v>
      </c>
      <c r="L1308" s="261">
        <f>IF(ISBLANK(INDEX('Policy Characteristics'!F:F,MATCH($C1308,'Policy Characteristics'!$C:$C,0))),"",INDEX('Policy Characteristics'!F:F,MATCH($C1308,'Policy Characteristics'!$C:$C,0)))</f>
        <v>0</v>
      </c>
      <c r="M1308" s="261">
        <f>IF(ISBLANK(INDEX('Policy Characteristics'!G:G,MATCH($C1308,'Policy Characteristics'!$C:$C,0))),"",INDEX('Policy Characteristics'!G:G,MATCH($C1308,'Policy Characteristics'!$C:$C,0)))</f>
        <v>0.25</v>
      </c>
      <c r="N1308" s="261">
        <f>IF(ISBLANK(INDEX('Policy Characteristics'!H:H,MATCH($C1308,'Policy Characteristics'!$C:$C,0))),"",INDEX('Policy Characteristics'!H:H,MATCH($C1308,'Policy Characteristics'!$C:$C,0)))</f>
        <v>0.01</v>
      </c>
      <c r="O1308" s="254" t="str">
        <f>IF(ISBLANK(INDEX('Policy Characteristics'!I:I,MATCH($C1308,'Policy Characteristics'!$C:$C,0))),"",INDEX('Policy Characteristics'!I:I,MATCH($C1308,'Policy Characteristics'!$C:$C,0)))</f>
        <v>% reduction in energy use</v>
      </c>
      <c r="P1308" s="254" t="str">
        <f>IF(ISBLANK(INDEX('Policy Characteristics'!J:J,MATCH($C1308,'Policy Characteristics'!$C:$C,0))),"",INDEX('Policy Characteristics'!J:J,MATCH($C1308,'Policy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8" s="254" t="str">
        <f>IF(ISBLANK(INDEX('Policy Characteristics'!K:K,MATCH($C1308,'Policy Characteristics'!$C:$C,0))),"",INDEX('Policy Characteristics'!K:K,MATCH($C1308,'Policy Characteristics'!$C:$C,0)))</f>
        <v>industry-ag-main.html#eff-stds</v>
      </c>
      <c r="R1308" s="254" t="str">
        <f>IF(ISBLANK(INDEX('Policy Characteristics'!L:L,MATCH($C1308,'Policy Characteristics'!$C:$C,0))),"",INDEX('Policy Characteristics'!L:L,MATCH($C1308,'Policy Characteristics'!$C:$C,0)))</f>
        <v>industry-energy-efficiency-standards.html</v>
      </c>
    </row>
    <row r="1309" spans="1:18" s="4" customFormat="1" x14ac:dyDescent="0.3">
      <c r="A1309" s="254" t="str">
        <f>IF(ISBLANK(INDEX('Policy Characteristics'!A:A,MATCH($C1309,'Policy Characteristics'!$C:$C,0))),"",INDEX('Policy Characteristics'!A:A,MATCH($C1309,'Policy Characteristics'!$C:$C,0)))</f>
        <v>Industry</v>
      </c>
      <c r="B1309" s="262" t="str">
        <f>IF(ISBLANK(INDEX('Policy Characteristics'!B:B,MATCH($C1309,'Policy Characteristics'!$C:$C,0))),"",INDEX('Policy Characteristics'!B:B,MATCH($C1309,'Policy Characteristics'!$C:$C,0)))</f>
        <v>Industry Energy Efficiency Standards</v>
      </c>
      <c r="C1309" s="254" t="str">
        <f t="shared" si="48"/>
        <v>Percentage Improvement in Eqpt Efficiency Standards above BAU</v>
      </c>
      <c r="D1309" s="6" t="s">
        <v>3063</v>
      </c>
      <c r="E1309" s="45" t="s">
        <v>2402</v>
      </c>
      <c r="F1309" t="s">
        <v>3027</v>
      </c>
      <c r="G1309" s="45" t="s">
        <v>2406</v>
      </c>
      <c r="H1309" s="43">
        <v>981</v>
      </c>
      <c r="I1309" s="324" t="s">
        <v>44</v>
      </c>
      <c r="J1309" s="255" t="str">
        <f>IF(ISBLANK(INDEX('Policy Characteristics'!D:D,MATCH($C1309,'Policy Characteristics'!$C:$C,0))),"",INDEX('Policy Characteristics'!D:D,MATCH($C1309,'Policy Characteristics'!$C:$C,0)))</f>
        <v>Industry Energy Efficiency Standards</v>
      </c>
      <c r="K1309" s="254" t="str">
        <f>IF(ISBLANK(INDEX('Policy Characteristics'!E:E,MATCH($C1309,'Policy Characteristics'!$C:$C,0))),"",INDEX('Policy Characteristics'!E:E,MATCH($C1309,'Policy Characteristics'!$C:$C,0)))</f>
        <v>indst efficiency standards</v>
      </c>
      <c r="L1309" s="261">
        <f>IF(ISBLANK(INDEX('Policy Characteristics'!F:F,MATCH($C1309,'Policy Characteristics'!$C:$C,0))),"",INDEX('Policy Characteristics'!F:F,MATCH($C1309,'Policy Characteristics'!$C:$C,0)))</f>
        <v>0</v>
      </c>
      <c r="M1309" s="261">
        <f>IF(ISBLANK(INDEX('Policy Characteristics'!G:G,MATCH($C1309,'Policy Characteristics'!$C:$C,0))),"",INDEX('Policy Characteristics'!G:G,MATCH($C1309,'Policy Characteristics'!$C:$C,0)))</f>
        <v>0.25</v>
      </c>
      <c r="N1309" s="261">
        <f>IF(ISBLANK(INDEX('Policy Characteristics'!H:H,MATCH($C1309,'Policy Characteristics'!$C:$C,0))),"",INDEX('Policy Characteristics'!H:H,MATCH($C1309,'Policy Characteristics'!$C:$C,0)))</f>
        <v>0.01</v>
      </c>
      <c r="O1309" s="254" t="str">
        <f>IF(ISBLANK(INDEX('Policy Characteristics'!I:I,MATCH($C1309,'Policy Characteristics'!$C:$C,0))),"",INDEX('Policy Characteristics'!I:I,MATCH($C1309,'Policy Characteristics'!$C:$C,0)))</f>
        <v>% reduction in energy use</v>
      </c>
      <c r="P1309" s="254" t="str">
        <f>IF(ISBLANK(INDEX('Policy Characteristics'!J:J,MATCH($C1309,'Policy Characteristics'!$C:$C,0))),"",INDEX('Policy Characteristics'!J:J,MATCH($C1309,'Policy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09" s="254" t="str">
        <f>IF(ISBLANK(INDEX('Policy Characteristics'!K:K,MATCH($C1309,'Policy Characteristics'!$C:$C,0))),"",INDEX('Policy Characteristics'!K:K,MATCH($C1309,'Policy Characteristics'!$C:$C,0)))</f>
        <v>industry-ag-main.html#eff-stds</v>
      </c>
      <c r="R1309" s="254" t="str">
        <f>IF(ISBLANK(INDEX('Policy Characteristics'!L:L,MATCH($C1309,'Policy Characteristics'!$C:$C,0))),"",INDEX('Policy Characteristics'!L:L,MATCH($C1309,'Policy Characteristics'!$C:$C,0)))</f>
        <v>industry-energy-efficiency-standards.html</v>
      </c>
    </row>
    <row r="1310" spans="1:18" s="4" customFormat="1" x14ac:dyDescent="0.3">
      <c r="A1310" s="254" t="str">
        <f>IF(ISBLANK(INDEX('Policy Characteristics'!A:A,MATCH($C1310,'Policy Characteristics'!$C:$C,0))),"",INDEX('Policy Characteristics'!A:A,MATCH($C1310,'Policy Characteristics'!$C:$C,0)))</f>
        <v>Industry</v>
      </c>
      <c r="B1310" s="262" t="str">
        <f>IF(ISBLANK(INDEX('Policy Characteristics'!B:B,MATCH($C1310,'Policy Characteristics'!$C:$C,0))),"",INDEX('Policy Characteristics'!B:B,MATCH($C1310,'Policy Characteristics'!$C:$C,0)))</f>
        <v>Industry Energy Efficiency Standards</v>
      </c>
      <c r="C1310" s="254" t="str">
        <f t="shared" si="48"/>
        <v>Percentage Improvement in Eqpt Efficiency Standards above BAU</v>
      </c>
      <c r="D1310" s="6" t="s">
        <v>3063</v>
      </c>
      <c r="E1310" s="45" t="s">
        <v>2403</v>
      </c>
      <c r="F1310" t="s">
        <v>3027</v>
      </c>
      <c r="G1310" s="45" t="s">
        <v>2407</v>
      </c>
      <c r="H1310" s="43">
        <v>982</v>
      </c>
      <c r="I1310" s="324" t="s">
        <v>43</v>
      </c>
      <c r="J1310" s="255" t="str">
        <f>IF(ISBLANK(INDEX('Policy Characteristics'!D:D,MATCH($C1310,'Policy Characteristics'!$C:$C,0))),"",INDEX('Policy Characteristics'!D:D,MATCH($C1310,'Policy Characteristics'!$C:$C,0)))</f>
        <v>Industry Energy Efficiency Standards</v>
      </c>
      <c r="K1310" s="254" t="str">
        <f>IF(ISBLANK(INDEX('Policy Characteristics'!E:E,MATCH($C1310,'Policy Characteristics'!$C:$C,0))),"",INDEX('Policy Characteristics'!E:E,MATCH($C1310,'Policy Characteristics'!$C:$C,0)))</f>
        <v>indst efficiency standards</v>
      </c>
      <c r="L1310" s="261">
        <f>IF(ISBLANK(INDEX('Policy Characteristics'!F:F,MATCH($C1310,'Policy Characteristics'!$C:$C,0))),"",INDEX('Policy Characteristics'!F:F,MATCH($C1310,'Policy Characteristics'!$C:$C,0)))</f>
        <v>0</v>
      </c>
      <c r="M1310" s="261">
        <f>IF(ISBLANK(INDEX('Policy Characteristics'!G:G,MATCH($C1310,'Policy Characteristics'!$C:$C,0))),"",INDEX('Policy Characteristics'!G:G,MATCH($C1310,'Policy Characteristics'!$C:$C,0)))</f>
        <v>0.25</v>
      </c>
      <c r="N1310" s="261">
        <f>IF(ISBLANK(INDEX('Policy Characteristics'!H:H,MATCH($C1310,'Policy Characteristics'!$C:$C,0))),"",INDEX('Policy Characteristics'!H:H,MATCH($C1310,'Policy Characteristics'!$C:$C,0)))</f>
        <v>0.01</v>
      </c>
      <c r="O1310" s="254" t="str">
        <f>IF(ISBLANK(INDEX('Policy Characteristics'!I:I,MATCH($C1310,'Policy Characteristics'!$C:$C,0))),"",INDEX('Policy Characteristics'!I:I,MATCH($C1310,'Policy Characteristics'!$C:$C,0)))</f>
        <v>% reduction in energy use</v>
      </c>
      <c r="P1310" s="254" t="str">
        <f>IF(ISBLANK(INDEX('Policy Characteristics'!J:J,MATCH($C1310,'Policy Characteristics'!$C:$C,0))),"",INDEX('Policy Characteristics'!J:J,MATCH($C1310,'Policy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0" s="254" t="str">
        <f>IF(ISBLANK(INDEX('Policy Characteristics'!K:K,MATCH($C1310,'Policy Characteristics'!$C:$C,0))),"",INDEX('Policy Characteristics'!K:K,MATCH($C1310,'Policy Characteristics'!$C:$C,0)))</f>
        <v>industry-ag-main.html#eff-stds</v>
      </c>
      <c r="R1310" s="254" t="str">
        <f>IF(ISBLANK(INDEX('Policy Characteristics'!L:L,MATCH($C1310,'Policy Characteristics'!$C:$C,0))),"",INDEX('Policy Characteristics'!L:L,MATCH($C1310,'Policy Characteristics'!$C:$C,0)))</f>
        <v>industry-energy-efficiency-standards.html</v>
      </c>
    </row>
    <row r="1311" spans="1:18" s="4" customFormat="1" x14ac:dyDescent="0.3">
      <c r="A1311" s="254" t="str">
        <f>IF(ISBLANK(INDEX('Policy Characteristics'!A:A,MATCH($C1311,'Policy Characteristics'!$C:$C,0))),"",INDEX('Policy Characteristics'!A:A,MATCH($C1311,'Policy Characteristics'!$C:$C,0)))</f>
        <v>Industry</v>
      </c>
      <c r="B1311" s="262" t="str">
        <f>IF(ISBLANK(INDEX('Policy Characteristics'!B:B,MATCH($C1311,'Policy Characteristics'!$C:$C,0))),"",INDEX('Policy Characteristics'!B:B,MATCH($C1311,'Policy Characteristics'!$C:$C,0)))</f>
        <v>Industry Energy Efficiency Standards</v>
      </c>
      <c r="C1311" s="254" t="str">
        <f t="shared" si="48"/>
        <v>Percentage Improvement in Eqpt Efficiency Standards above BAU</v>
      </c>
      <c r="D1311" s="6" t="s">
        <v>3063</v>
      </c>
      <c r="E1311" s="45" t="s">
        <v>2404</v>
      </c>
      <c r="F1311" t="s">
        <v>3027</v>
      </c>
      <c r="G1311" s="45" t="s">
        <v>2410</v>
      </c>
      <c r="H1311" s="43">
        <v>983</v>
      </c>
      <c r="I1311" s="324" t="s">
        <v>44</v>
      </c>
      <c r="J1311" s="255" t="str">
        <f>IF(ISBLANK(INDEX('Policy Characteristics'!D:D,MATCH($C1311,'Policy Characteristics'!$C:$C,0))),"",INDEX('Policy Characteristics'!D:D,MATCH($C1311,'Policy Characteristics'!$C:$C,0)))</f>
        <v>Industry Energy Efficiency Standards</v>
      </c>
      <c r="K1311" s="254" t="str">
        <f>IF(ISBLANK(INDEX('Policy Characteristics'!E:E,MATCH($C1311,'Policy Characteristics'!$C:$C,0))),"",INDEX('Policy Characteristics'!E:E,MATCH($C1311,'Policy Characteristics'!$C:$C,0)))</f>
        <v>indst efficiency standards</v>
      </c>
      <c r="L1311" s="261">
        <f>IF(ISBLANK(INDEX('Policy Characteristics'!F:F,MATCH($C1311,'Policy Characteristics'!$C:$C,0))),"",INDEX('Policy Characteristics'!F:F,MATCH($C1311,'Policy Characteristics'!$C:$C,0)))</f>
        <v>0</v>
      </c>
      <c r="M1311" s="261">
        <f>IF(ISBLANK(INDEX('Policy Characteristics'!G:G,MATCH($C1311,'Policy Characteristics'!$C:$C,0))),"",INDEX('Policy Characteristics'!G:G,MATCH($C1311,'Policy Characteristics'!$C:$C,0)))</f>
        <v>0.25</v>
      </c>
      <c r="N1311" s="261">
        <f>IF(ISBLANK(INDEX('Policy Characteristics'!H:H,MATCH($C1311,'Policy Characteristics'!$C:$C,0))),"",INDEX('Policy Characteristics'!H:H,MATCH($C1311,'Policy Characteristics'!$C:$C,0)))</f>
        <v>0.01</v>
      </c>
      <c r="O1311" s="254" t="str">
        <f>IF(ISBLANK(INDEX('Policy Characteristics'!I:I,MATCH($C1311,'Policy Characteristics'!$C:$C,0))),"",INDEX('Policy Characteristics'!I:I,MATCH($C1311,'Policy Characteristics'!$C:$C,0)))</f>
        <v>% reduction in energy use</v>
      </c>
      <c r="P1311" s="254" t="str">
        <f>IF(ISBLANK(INDEX('Policy Characteristics'!J:J,MATCH($C1311,'Policy Characteristics'!$C:$C,0))),"",INDEX('Policy Characteristics'!J:J,MATCH($C1311,'Policy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1" s="254" t="str">
        <f>IF(ISBLANK(INDEX('Policy Characteristics'!K:K,MATCH($C1311,'Policy Characteristics'!$C:$C,0))),"",INDEX('Policy Characteristics'!K:K,MATCH($C1311,'Policy Characteristics'!$C:$C,0)))</f>
        <v>industry-ag-main.html#eff-stds</v>
      </c>
      <c r="R1311" s="254" t="str">
        <f>IF(ISBLANK(INDEX('Policy Characteristics'!L:L,MATCH($C1311,'Policy Characteristics'!$C:$C,0))),"",INDEX('Policy Characteristics'!L:L,MATCH($C1311,'Policy Characteristics'!$C:$C,0)))</f>
        <v>industry-energy-efficiency-standards.html</v>
      </c>
    </row>
    <row r="1312" spans="1:18" s="4" customFormat="1" x14ac:dyDescent="0.3">
      <c r="A1312" s="254" t="str">
        <f>IF(ISBLANK(INDEX('Policy Characteristics'!A:A,MATCH($C1312,'Policy Characteristics'!$C:$C,0))),"",INDEX('Policy Characteristics'!A:A,MATCH($C1312,'Policy Characteristics'!$C:$C,0)))</f>
        <v>Industry</v>
      </c>
      <c r="B1312" s="262" t="str">
        <f>IF(ISBLANK(INDEX('Policy Characteristics'!B:B,MATCH($C1312,'Policy Characteristics'!$C:$C,0))),"",INDEX('Policy Characteristics'!B:B,MATCH($C1312,'Policy Characteristics'!$C:$C,0)))</f>
        <v>Industry Energy Efficiency Standards</v>
      </c>
      <c r="C1312" s="254" t="str">
        <f t="shared" si="48"/>
        <v>Percentage Improvement in Eqpt Efficiency Standards above BAU</v>
      </c>
      <c r="D1312" s="6" t="s">
        <v>3063</v>
      </c>
      <c r="E1312" s="45" t="s">
        <v>2706</v>
      </c>
      <c r="F1312" t="s">
        <v>3027</v>
      </c>
      <c r="G1312" s="45" t="s">
        <v>2709</v>
      </c>
      <c r="H1312" s="43">
        <v>984</v>
      </c>
      <c r="I1312" s="324" t="s">
        <v>44</v>
      </c>
      <c r="J1312" s="255" t="str">
        <f>IF(ISBLANK(INDEX('Policy Characteristics'!D:D,MATCH($C1312,'Policy Characteristics'!$C:$C,0))),"",INDEX('Policy Characteristics'!D:D,MATCH($C1312,'Policy Characteristics'!$C:$C,0)))</f>
        <v>Industry Energy Efficiency Standards</v>
      </c>
      <c r="K1312" s="254" t="str">
        <f>IF(ISBLANK(INDEX('Policy Characteristics'!E:E,MATCH($C1312,'Policy Characteristics'!$C:$C,0))),"",INDEX('Policy Characteristics'!E:E,MATCH($C1312,'Policy Characteristics'!$C:$C,0)))</f>
        <v>indst efficiency standards</v>
      </c>
      <c r="L1312" s="261">
        <f>IF(ISBLANK(INDEX('Policy Characteristics'!F:F,MATCH($C1312,'Policy Characteristics'!$C:$C,0))),"",INDEX('Policy Characteristics'!F:F,MATCH($C1312,'Policy Characteristics'!$C:$C,0)))</f>
        <v>0</v>
      </c>
      <c r="M1312" s="261">
        <f>IF(ISBLANK(INDEX('Policy Characteristics'!G:G,MATCH($C1312,'Policy Characteristics'!$C:$C,0))),"",INDEX('Policy Characteristics'!G:G,MATCH($C1312,'Policy Characteristics'!$C:$C,0)))</f>
        <v>0.25</v>
      </c>
      <c r="N1312" s="261">
        <f>IF(ISBLANK(INDEX('Policy Characteristics'!H:H,MATCH($C1312,'Policy Characteristics'!$C:$C,0))),"",INDEX('Policy Characteristics'!H:H,MATCH($C1312,'Policy Characteristics'!$C:$C,0)))</f>
        <v>0.01</v>
      </c>
      <c r="O1312" s="254" t="str">
        <f>IF(ISBLANK(INDEX('Policy Characteristics'!I:I,MATCH($C1312,'Policy Characteristics'!$C:$C,0))),"",INDEX('Policy Characteristics'!I:I,MATCH($C1312,'Policy Characteristics'!$C:$C,0)))</f>
        <v>% reduction in energy use</v>
      </c>
      <c r="P1312" s="254" t="str">
        <f>IF(ISBLANK(INDEX('Policy Characteristics'!J:J,MATCH($C1312,'Policy Characteristics'!$C:$C,0))),"",INDEX('Policy Characteristics'!J:J,MATCH($C1312,'Policy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2" s="254" t="str">
        <f>IF(ISBLANK(INDEX('Policy Characteristics'!K:K,MATCH($C1312,'Policy Characteristics'!$C:$C,0))),"",INDEX('Policy Characteristics'!K:K,MATCH($C1312,'Policy Characteristics'!$C:$C,0)))</f>
        <v>industry-ag-main.html#eff-stds</v>
      </c>
      <c r="R1312" s="254" t="str">
        <f>IF(ISBLANK(INDEX('Policy Characteristics'!L:L,MATCH($C1312,'Policy Characteristics'!$C:$C,0))),"",INDEX('Policy Characteristics'!L:L,MATCH($C1312,'Policy Characteristics'!$C:$C,0)))</f>
        <v>industry-energy-efficiency-standards.html</v>
      </c>
    </row>
    <row r="1313" spans="1:18" s="4" customFormat="1" x14ac:dyDescent="0.3">
      <c r="A1313" s="254" t="str">
        <f>IF(ISBLANK(INDEX('Policy Characteristics'!A:A,MATCH($C1313,'Policy Characteristics'!$C:$C,0))),"",INDEX('Policy Characteristics'!A:A,MATCH($C1313,'Policy Characteristics'!$C:$C,0)))</f>
        <v>Industry</v>
      </c>
      <c r="B1313" s="262" t="str">
        <f>IF(ISBLANK(INDEX('Policy Characteristics'!B:B,MATCH($C1313,'Policy Characteristics'!$C:$C,0))),"",INDEX('Policy Characteristics'!B:B,MATCH($C1313,'Policy Characteristics'!$C:$C,0)))</f>
        <v>Industry Energy Efficiency Standards</v>
      </c>
      <c r="C1313" s="254" t="str">
        <f t="shared" si="48"/>
        <v>Percentage Improvement in Eqpt Efficiency Standards above BAU</v>
      </c>
      <c r="D1313" s="6" t="s">
        <v>3063</v>
      </c>
      <c r="E1313" s="45" t="s">
        <v>2707</v>
      </c>
      <c r="F1313" t="s">
        <v>3027</v>
      </c>
      <c r="G1313" s="45" t="s">
        <v>2711</v>
      </c>
      <c r="H1313" s="43">
        <v>985</v>
      </c>
      <c r="I1313" s="324" t="s">
        <v>43</v>
      </c>
      <c r="J1313" s="255" t="str">
        <f>IF(ISBLANK(INDEX('Policy Characteristics'!D:D,MATCH($C1313,'Policy Characteristics'!$C:$C,0))),"",INDEX('Policy Characteristics'!D:D,MATCH($C1313,'Policy Characteristics'!$C:$C,0)))</f>
        <v>Industry Energy Efficiency Standards</v>
      </c>
      <c r="K1313" s="254" t="str">
        <f>IF(ISBLANK(INDEX('Policy Characteristics'!E:E,MATCH($C1313,'Policy Characteristics'!$C:$C,0))),"",INDEX('Policy Characteristics'!E:E,MATCH($C1313,'Policy Characteristics'!$C:$C,0)))</f>
        <v>indst efficiency standards</v>
      </c>
      <c r="L1313" s="261">
        <f>IF(ISBLANK(INDEX('Policy Characteristics'!F:F,MATCH($C1313,'Policy Characteristics'!$C:$C,0))),"",INDEX('Policy Characteristics'!F:F,MATCH($C1313,'Policy Characteristics'!$C:$C,0)))</f>
        <v>0</v>
      </c>
      <c r="M1313" s="261">
        <f>IF(ISBLANK(INDEX('Policy Characteristics'!G:G,MATCH($C1313,'Policy Characteristics'!$C:$C,0))),"",INDEX('Policy Characteristics'!G:G,MATCH($C1313,'Policy Characteristics'!$C:$C,0)))</f>
        <v>0.25</v>
      </c>
      <c r="N1313" s="261">
        <f>IF(ISBLANK(INDEX('Policy Characteristics'!H:H,MATCH($C1313,'Policy Characteristics'!$C:$C,0))),"",INDEX('Policy Characteristics'!H:H,MATCH($C1313,'Policy Characteristics'!$C:$C,0)))</f>
        <v>0.01</v>
      </c>
      <c r="O1313" s="254" t="str">
        <f>IF(ISBLANK(INDEX('Policy Characteristics'!I:I,MATCH($C1313,'Policy Characteristics'!$C:$C,0))),"",INDEX('Policy Characteristics'!I:I,MATCH($C1313,'Policy Characteristics'!$C:$C,0)))</f>
        <v>% reduction in energy use</v>
      </c>
      <c r="P1313" s="254" t="str">
        <f>IF(ISBLANK(INDEX('Policy Characteristics'!J:J,MATCH($C1313,'Policy Characteristics'!$C:$C,0))),"",INDEX('Policy Characteristics'!J:J,MATCH($C1313,'Policy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3" s="254" t="str">
        <f>IF(ISBLANK(INDEX('Policy Characteristics'!K:K,MATCH($C1313,'Policy Characteristics'!$C:$C,0))),"",INDEX('Policy Characteristics'!K:K,MATCH($C1313,'Policy Characteristics'!$C:$C,0)))</f>
        <v>industry-ag-main.html#eff-stds</v>
      </c>
      <c r="R1313" s="254" t="str">
        <f>IF(ISBLANK(INDEX('Policy Characteristics'!L:L,MATCH($C1313,'Policy Characteristics'!$C:$C,0))),"",INDEX('Policy Characteristics'!L:L,MATCH($C1313,'Policy Characteristics'!$C:$C,0)))</f>
        <v>industry-energy-efficiency-standards.html</v>
      </c>
    </row>
    <row r="1314" spans="1:18" s="4" customFormat="1" x14ac:dyDescent="0.3">
      <c r="A1314" s="254" t="str">
        <f>IF(ISBLANK(INDEX('Policy Characteristics'!A:A,MATCH($C1314,'Policy Characteristics'!$C:$C,0))),"",INDEX('Policy Characteristics'!A:A,MATCH($C1314,'Policy Characteristics'!$C:$C,0)))</f>
        <v>Industry</v>
      </c>
      <c r="B1314" s="262" t="str">
        <f>IF(ISBLANK(INDEX('Policy Characteristics'!B:B,MATCH($C1314,'Policy Characteristics'!$C:$C,0))),"",INDEX('Policy Characteristics'!B:B,MATCH($C1314,'Policy Characteristics'!$C:$C,0)))</f>
        <v>Industry Energy Efficiency Standards</v>
      </c>
      <c r="C1314" s="254" t="str">
        <f t="shared" si="48"/>
        <v>Percentage Improvement in Eqpt Efficiency Standards above BAU</v>
      </c>
      <c r="D1314" s="6" t="s">
        <v>3063</v>
      </c>
      <c r="E1314" s="45" t="s">
        <v>2708</v>
      </c>
      <c r="F1314" t="s">
        <v>3027</v>
      </c>
      <c r="G1314" s="45" t="s">
        <v>2712</v>
      </c>
      <c r="H1314" s="43">
        <v>986</v>
      </c>
      <c r="I1314" s="324" t="s">
        <v>44</v>
      </c>
      <c r="J1314" s="255" t="str">
        <f>IF(ISBLANK(INDEX('Policy Characteristics'!D:D,MATCH($C1314,'Policy Characteristics'!$C:$C,0))),"",INDEX('Policy Characteristics'!D:D,MATCH($C1314,'Policy Characteristics'!$C:$C,0)))</f>
        <v>Industry Energy Efficiency Standards</v>
      </c>
      <c r="K1314" s="254" t="str">
        <f>IF(ISBLANK(INDEX('Policy Characteristics'!E:E,MATCH($C1314,'Policy Characteristics'!$C:$C,0))),"",INDEX('Policy Characteristics'!E:E,MATCH($C1314,'Policy Characteristics'!$C:$C,0)))</f>
        <v>indst efficiency standards</v>
      </c>
      <c r="L1314" s="261">
        <f>IF(ISBLANK(INDEX('Policy Characteristics'!F:F,MATCH($C1314,'Policy Characteristics'!$C:$C,0))),"",INDEX('Policy Characteristics'!F:F,MATCH($C1314,'Policy Characteristics'!$C:$C,0)))</f>
        <v>0</v>
      </c>
      <c r="M1314" s="261">
        <f>IF(ISBLANK(INDEX('Policy Characteristics'!G:G,MATCH($C1314,'Policy Characteristics'!$C:$C,0))),"",INDEX('Policy Characteristics'!G:G,MATCH($C1314,'Policy Characteristics'!$C:$C,0)))</f>
        <v>0.25</v>
      </c>
      <c r="N1314" s="261">
        <f>IF(ISBLANK(INDEX('Policy Characteristics'!H:H,MATCH($C1314,'Policy Characteristics'!$C:$C,0))),"",INDEX('Policy Characteristics'!H:H,MATCH($C1314,'Policy Characteristics'!$C:$C,0)))</f>
        <v>0.01</v>
      </c>
      <c r="O1314" s="254" t="str">
        <f>IF(ISBLANK(INDEX('Policy Characteristics'!I:I,MATCH($C1314,'Policy Characteristics'!$C:$C,0))),"",INDEX('Policy Characteristics'!I:I,MATCH($C1314,'Policy Characteristics'!$C:$C,0)))</f>
        <v>% reduction in energy use</v>
      </c>
      <c r="P1314" s="254" t="str">
        <f>IF(ISBLANK(INDEX('Policy Characteristics'!J:J,MATCH($C1314,'Policy Characteristics'!$C:$C,0))),"",INDEX('Policy Characteristics'!J:J,MATCH($C1314,'Policy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4" s="254" t="str">
        <f>IF(ISBLANK(INDEX('Policy Characteristics'!K:K,MATCH($C1314,'Policy Characteristics'!$C:$C,0))),"",INDEX('Policy Characteristics'!K:K,MATCH($C1314,'Policy Characteristics'!$C:$C,0)))</f>
        <v>industry-ag-main.html#eff-stds</v>
      </c>
      <c r="R1314" s="254" t="str">
        <f>IF(ISBLANK(INDEX('Policy Characteristics'!L:L,MATCH($C1314,'Policy Characteristics'!$C:$C,0))),"",INDEX('Policy Characteristics'!L:L,MATCH($C1314,'Policy Characteristics'!$C:$C,0)))</f>
        <v>industry-energy-efficiency-standards.html</v>
      </c>
    </row>
    <row r="1315" spans="1:18" s="4" customFormat="1" x14ac:dyDescent="0.3">
      <c r="A1315" s="254" t="str">
        <f>IF(ISBLANK(INDEX('Policy Characteristics'!A:A,MATCH($C1315,'Policy Characteristics'!$C:$C,0))),"",INDEX('Policy Characteristics'!A:A,MATCH($C1315,'Policy Characteristics'!$C:$C,0)))</f>
        <v>Industry</v>
      </c>
      <c r="B1315" s="262" t="str">
        <f>IF(ISBLANK(INDEX('Policy Characteristics'!B:B,MATCH($C1315,'Policy Characteristics'!$C:$C,0))),"",INDEX('Policy Characteristics'!B:B,MATCH($C1315,'Policy Characteristics'!$C:$C,0)))</f>
        <v>Industry Energy Efficiency Standards</v>
      </c>
      <c r="C1315" s="254" t="str">
        <f t="shared" si="48"/>
        <v>Percentage Improvement in Eqpt Efficiency Standards above BAU</v>
      </c>
      <c r="D1315" s="6" t="s">
        <v>3063</v>
      </c>
      <c r="E1315" s="45" t="s">
        <v>2705</v>
      </c>
      <c r="F1315" t="s">
        <v>3027</v>
      </c>
      <c r="G1315" s="45" t="s">
        <v>2710</v>
      </c>
      <c r="H1315" s="43">
        <v>987</v>
      </c>
      <c r="I1315" s="324" t="s">
        <v>44</v>
      </c>
      <c r="J1315" s="255" t="str">
        <f>IF(ISBLANK(INDEX('Policy Characteristics'!D:D,MATCH($C1315,'Policy Characteristics'!$C:$C,0))),"",INDEX('Policy Characteristics'!D:D,MATCH($C1315,'Policy Characteristics'!$C:$C,0)))</f>
        <v>Industry Energy Efficiency Standards</v>
      </c>
      <c r="K1315" s="254" t="str">
        <f>IF(ISBLANK(INDEX('Policy Characteristics'!E:E,MATCH($C1315,'Policy Characteristics'!$C:$C,0))),"",INDEX('Policy Characteristics'!E:E,MATCH($C1315,'Policy Characteristics'!$C:$C,0)))</f>
        <v>indst efficiency standards</v>
      </c>
      <c r="L1315" s="261">
        <f>IF(ISBLANK(INDEX('Policy Characteristics'!F:F,MATCH($C1315,'Policy Characteristics'!$C:$C,0))),"",INDEX('Policy Characteristics'!F:F,MATCH($C1315,'Policy Characteristics'!$C:$C,0)))</f>
        <v>0</v>
      </c>
      <c r="M1315" s="261">
        <f>IF(ISBLANK(INDEX('Policy Characteristics'!G:G,MATCH($C1315,'Policy Characteristics'!$C:$C,0))),"",INDEX('Policy Characteristics'!G:G,MATCH($C1315,'Policy Characteristics'!$C:$C,0)))</f>
        <v>0.25</v>
      </c>
      <c r="N1315" s="261">
        <f>IF(ISBLANK(INDEX('Policy Characteristics'!H:H,MATCH($C1315,'Policy Characteristics'!$C:$C,0))),"",INDEX('Policy Characteristics'!H:H,MATCH($C1315,'Policy Characteristics'!$C:$C,0)))</f>
        <v>0.01</v>
      </c>
      <c r="O1315" s="254" t="str">
        <f>IF(ISBLANK(INDEX('Policy Characteristics'!I:I,MATCH($C1315,'Policy Characteristics'!$C:$C,0))),"",INDEX('Policy Characteristics'!I:I,MATCH($C1315,'Policy Characteristics'!$C:$C,0)))</f>
        <v>% reduction in energy use</v>
      </c>
      <c r="P1315" s="254" t="str">
        <f>IF(ISBLANK(INDEX('Policy Characteristics'!J:J,MATCH($C1315,'Policy Characteristics'!$C:$C,0))),"",INDEX('Policy Characteristics'!J:J,MATCH($C1315,'Policy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5" s="254" t="str">
        <f>IF(ISBLANK(INDEX('Policy Characteristics'!K:K,MATCH($C1315,'Policy Characteristics'!$C:$C,0))),"",INDEX('Policy Characteristics'!K:K,MATCH($C1315,'Policy Characteristics'!$C:$C,0)))</f>
        <v>industry-ag-main.html#eff-stds</v>
      </c>
      <c r="R1315" s="254" t="str">
        <f>IF(ISBLANK(INDEX('Policy Characteristics'!L:L,MATCH($C1315,'Policy Characteristics'!$C:$C,0))),"",INDEX('Policy Characteristics'!L:L,MATCH($C1315,'Policy Characteristics'!$C:$C,0)))</f>
        <v>industry-energy-efficiency-standards.html</v>
      </c>
    </row>
    <row r="1316" spans="1:18" s="4" customFormat="1" x14ac:dyDescent="0.3">
      <c r="A1316" s="254" t="str">
        <f>IF(ISBLANK(INDEX('Policy Characteristics'!A:A,MATCH($C1316,'Policy Characteristics'!$C:$C,0))),"",INDEX('Policy Characteristics'!A:A,MATCH($C1316,'Policy Characteristics'!$C:$C,0)))</f>
        <v>Industry</v>
      </c>
      <c r="B1316" s="262" t="str">
        <f>IF(ISBLANK(INDEX('Policy Characteristics'!B:B,MATCH($C1316,'Policy Characteristics'!$C:$C,0))),"",INDEX('Policy Characteristics'!B:B,MATCH($C1316,'Policy Characteristics'!$C:$C,0)))</f>
        <v>Industry Energy Efficiency Standards</v>
      </c>
      <c r="C1316" s="254" t="str">
        <f t="shared" si="48"/>
        <v>Percentage Improvement in Eqpt Efficiency Standards above BAU</v>
      </c>
      <c r="D1316" s="6" t="s">
        <v>3064</v>
      </c>
      <c r="E1316" s="45" t="s">
        <v>2399</v>
      </c>
      <c r="F1316" t="s">
        <v>3028</v>
      </c>
      <c r="G1316" s="45" t="s">
        <v>2405</v>
      </c>
      <c r="H1316" s="43">
        <v>988</v>
      </c>
      <c r="I1316" s="324" t="s">
        <v>43</v>
      </c>
      <c r="J1316" s="255" t="str">
        <f>IF(ISBLANK(INDEX('Policy Characteristics'!D:D,MATCH($C1316,'Policy Characteristics'!$C:$C,0))),"",INDEX('Policy Characteristics'!D:D,MATCH($C1316,'Policy Characteristics'!$C:$C,0)))</f>
        <v>Industry Energy Efficiency Standards</v>
      </c>
      <c r="K1316" s="254" t="str">
        <f>IF(ISBLANK(INDEX('Policy Characteristics'!E:E,MATCH($C1316,'Policy Characteristics'!$C:$C,0))),"",INDEX('Policy Characteristics'!E:E,MATCH($C1316,'Policy Characteristics'!$C:$C,0)))</f>
        <v>indst efficiency standards</v>
      </c>
      <c r="L1316" s="261">
        <f>IF(ISBLANK(INDEX('Policy Characteristics'!F:F,MATCH($C1316,'Policy Characteristics'!$C:$C,0))),"",INDEX('Policy Characteristics'!F:F,MATCH($C1316,'Policy Characteristics'!$C:$C,0)))</f>
        <v>0</v>
      </c>
      <c r="M1316" s="261">
        <f>IF(ISBLANK(INDEX('Policy Characteristics'!G:G,MATCH($C1316,'Policy Characteristics'!$C:$C,0))),"",INDEX('Policy Characteristics'!G:G,MATCH($C1316,'Policy Characteristics'!$C:$C,0)))</f>
        <v>0.25</v>
      </c>
      <c r="N1316" s="261">
        <f>IF(ISBLANK(INDEX('Policy Characteristics'!H:H,MATCH($C1316,'Policy Characteristics'!$C:$C,0))),"",INDEX('Policy Characteristics'!H:H,MATCH($C1316,'Policy Characteristics'!$C:$C,0)))</f>
        <v>0.01</v>
      </c>
      <c r="O1316" s="254" t="str">
        <f>IF(ISBLANK(INDEX('Policy Characteristics'!I:I,MATCH($C1316,'Policy Characteristics'!$C:$C,0))),"",INDEX('Policy Characteristics'!I:I,MATCH($C1316,'Policy Characteristics'!$C:$C,0)))</f>
        <v>% reduction in energy use</v>
      </c>
      <c r="P1316" s="254"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4" t="str">
        <f>IF(ISBLANK(INDEX('Policy Characteristics'!K:K,MATCH($C1316,'Policy Characteristics'!$C:$C,0))),"",INDEX('Policy Characteristics'!K:K,MATCH($C1316,'Policy Characteristics'!$C:$C,0)))</f>
        <v>industry-ag-main.html#eff-stds</v>
      </c>
      <c r="R1316" s="254" t="str">
        <f>IF(ISBLANK(INDEX('Policy Characteristics'!L:L,MATCH($C1316,'Policy Characteristics'!$C:$C,0))),"",INDEX('Policy Characteristics'!L:L,MATCH($C1316,'Policy Characteristics'!$C:$C,0)))</f>
        <v>industry-energy-efficiency-standards.html</v>
      </c>
    </row>
    <row r="1317" spans="1:18" s="4" customFormat="1" x14ac:dyDescent="0.3">
      <c r="A1317" s="254" t="str">
        <f>IF(ISBLANK(INDEX('Policy Characteristics'!A:A,MATCH($C1317,'Policy Characteristics'!$C:$C,0))),"",INDEX('Policy Characteristics'!A:A,MATCH($C1317,'Policy Characteristics'!$C:$C,0)))</f>
        <v>Industry</v>
      </c>
      <c r="B1317" s="262" t="str">
        <f>IF(ISBLANK(INDEX('Policy Characteristics'!B:B,MATCH($C1317,'Policy Characteristics'!$C:$C,0))),"",INDEX('Policy Characteristics'!B:B,MATCH($C1317,'Policy Characteristics'!$C:$C,0)))</f>
        <v>Industry Energy Efficiency Standards</v>
      </c>
      <c r="C1317" s="254" t="str">
        <f t="shared" si="48"/>
        <v>Percentage Improvement in Eqpt Efficiency Standards above BAU</v>
      </c>
      <c r="D1317" s="6" t="s">
        <v>3064</v>
      </c>
      <c r="E1317" s="45" t="s">
        <v>2400</v>
      </c>
      <c r="F1317" t="s">
        <v>3028</v>
      </c>
      <c r="G1317" s="45" t="s">
        <v>2408</v>
      </c>
      <c r="H1317" s="43">
        <v>989</v>
      </c>
      <c r="I1317" s="324" t="s">
        <v>44</v>
      </c>
      <c r="J1317" s="255" t="str">
        <f>IF(ISBLANK(INDEX('Policy Characteristics'!D:D,MATCH($C1317,'Policy Characteristics'!$C:$C,0))),"",INDEX('Policy Characteristics'!D:D,MATCH($C1317,'Policy Characteristics'!$C:$C,0)))</f>
        <v>Industry Energy Efficiency Standards</v>
      </c>
      <c r="K1317" s="254" t="str">
        <f>IF(ISBLANK(INDEX('Policy Characteristics'!E:E,MATCH($C1317,'Policy Characteristics'!$C:$C,0))),"",INDEX('Policy Characteristics'!E:E,MATCH($C1317,'Policy Characteristics'!$C:$C,0)))</f>
        <v>indst efficiency standards</v>
      </c>
      <c r="L1317" s="261">
        <f>IF(ISBLANK(INDEX('Policy Characteristics'!F:F,MATCH($C1317,'Policy Characteristics'!$C:$C,0))),"",INDEX('Policy Characteristics'!F:F,MATCH($C1317,'Policy Characteristics'!$C:$C,0)))</f>
        <v>0</v>
      </c>
      <c r="M1317" s="261">
        <f>IF(ISBLANK(INDEX('Policy Characteristics'!G:G,MATCH($C1317,'Policy Characteristics'!$C:$C,0))),"",INDEX('Policy Characteristics'!G:G,MATCH($C1317,'Policy Characteristics'!$C:$C,0)))</f>
        <v>0.25</v>
      </c>
      <c r="N1317" s="261">
        <f>IF(ISBLANK(INDEX('Policy Characteristics'!H:H,MATCH($C1317,'Policy Characteristics'!$C:$C,0))),"",INDEX('Policy Characteristics'!H:H,MATCH($C1317,'Policy Characteristics'!$C:$C,0)))</f>
        <v>0.01</v>
      </c>
      <c r="O1317" s="254" t="str">
        <f>IF(ISBLANK(INDEX('Policy Characteristics'!I:I,MATCH($C1317,'Policy Characteristics'!$C:$C,0))),"",INDEX('Policy Characteristics'!I:I,MATCH($C1317,'Policy Characteristics'!$C:$C,0)))</f>
        <v>% reduction in energy use</v>
      </c>
      <c r="P1317" s="254"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4" t="str">
        <f>IF(ISBLANK(INDEX('Policy Characteristics'!K:K,MATCH($C1317,'Policy Characteristics'!$C:$C,0))),"",INDEX('Policy Characteristics'!K:K,MATCH($C1317,'Policy Characteristics'!$C:$C,0)))</f>
        <v>industry-ag-main.html#eff-stds</v>
      </c>
      <c r="R1317" s="254" t="str">
        <f>IF(ISBLANK(INDEX('Policy Characteristics'!L:L,MATCH($C1317,'Policy Characteristics'!$C:$C,0))),"",INDEX('Policy Characteristics'!L:L,MATCH($C1317,'Policy Characteristics'!$C:$C,0)))</f>
        <v>industry-energy-efficiency-standards.html</v>
      </c>
    </row>
    <row r="1318" spans="1:18" s="4" customFormat="1" x14ac:dyDescent="0.3">
      <c r="A1318" s="254" t="str">
        <f>IF(ISBLANK(INDEX('Policy Characteristics'!A:A,MATCH($C1318,'Policy Characteristics'!$C:$C,0))),"",INDEX('Policy Characteristics'!A:A,MATCH($C1318,'Policy Characteristics'!$C:$C,0)))</f>
        <v>Industry</v>
      </c>
      <c r="B1318" s="262" t="str">
        <f>IF(ISBLANK(INDEX('Policy Characteristics'!B:B,MATCH($C1318,'Policy Characteristics'!$C:$C,0))),"",INDEX('Policy Characteristics'!B:B,MATCH($C1318,'Policy Characteristics'!$C:$C,0)))</f>
        <v>Industry Energy Efficiency Standards</v>
      </c>
      <c r="C1318" s="254" t="str">
        <f t="shared" si="48"/>
        <v>Percentage Improvement in Eqpt Efficiency Standards above BAU</v>
      </c>
      <c r="D1318" s="6" t="s">
        <v>3064</v>
      </c>
      <c r="E1318" s="45" t="s">
        <v>2401</v>
      </c>
      <c r="F1318" t="s">
        <v>3028</v>
      </c>
      <c r="G1318" s="45" t="s">
        <v>2409</v>
      </c>
      <c r="H1318" s="43">
        <v>990</v>
      </c>
      <c r="I1318" s="324" t="s">
        <v>43</v>
      </c>
      <c r="J1318" s="255" t="str">
        <f>IF(ISBLANK(INDEX('Policy Characteristics'!D:D,MATCH($C1318,'Policy Characteristics'!$C:$C,0))),"",INDEX('Policy Characteristics'!D:D,MATCH($C1318,'Policy Characteristics'!$C:$C,0)))</f>
        <v>Industry Energy Efficiency Standards</v>
      </c>
      <c r="K1318" s="254" t="str">
        <f>IF(ISBLANK(INDEX('Policy Characteristics'!E:E,MATCH($C1318,'Policy Characteristics'!$C:$C,0))),"",INDEX('Policy Characteristics'!E:E,MATCH($C1318,'Policy Characteristics'!$C:$C,0)))</f>
        <v>indst efficiency standards</v>
      </c>
      <c r="L1318" s="261">
        <f>IF(ISBLANK(INDEX('Policy Characteristics'!F:F,MATCH($C1318,'Policy Characteristics'!$C:$C,0))),"",INDEX('Policy Characteristics'!F:F,MATCH($C1318,'Policy Characteristics'!$C:$C,0)))</f>
        <v>0</v>
      </c>
      <c r="M1318" s="261">
        <f>IF(ISBLANK(INDEX('Policy Characteristics'!G:G,MATCH($C1318,'Policy Characteristics'!$C:$C,0))),"",INDEX('Policy Characteristics'!G:G,MATCH($C1318,'Policy Characteristics'!$C:$C,0)))</f>
        <v>0.25</v>
      </c>
      <c r="N1318" s="261">
        <f>IF(ISBLANK(INDEX('Policy Characteristics'!H:H,MATCH($C1318,'Policy Characteristics'!$C:$C,0))),"",INDEX('Policy Characteristics'!H:H,MATCH($C1318,'Policy Characteristics'!$C:$C,0)))</f>
        <v>0.01</v>
      </c>
      <c r="O1318" s="254" t="str">
        <f>IF(ISBLANK(INDEX('Policy Characteristics'!I:I,MATCH($C1318,'Policy Characteristics'!$C:$C,0))),"",INDEX('Policy Characteristics'!I:I,MATCH($C1318,'Policy Characteristics'!$C:$C,0)))</f>
        <v>% reduction in energy use</v>
      </c>
      <c r="P1318" s="254"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4" t="str">
        <f>IF(ISBLANK(INDEX('Policy Characteristics'!K:K,MATCH($C1318,'Policy Characteristics'!$C:$C,0))),"",INDEX('Policy Characteristics'!K:K,MATCH($C1318,'Policy Characteristics'!$C:$C,0)))</f>
        <v>industry-ag-main.html#eff-stds</v>
      </c>
      <c r="R1318" s="254" t="str">
        <f>IF(ISBLANK(INDEX('Policy Characteristics'!L:L,MATCH($C1318,'Policy Characteristics'!$C:$C,0))),"",INDEX('Policy Characteristics'!L:L,MATCH($C1318,'Policy Characteristics'!$C:$C,0)))</f>
        <v>industry-energy-efficiency-standards.html</v>
      </c>
    </row>
    <row r="1319" spans="1:18" s="4" customFormat="1" x14ac:dyDescent="0.3">
      <c r="A1319" s="254" t="str">
        <f>IF(ISBLANK(INDEX('Policy Characteristics'!A:A,MATCH($C1319,'Policy Characteristics'!$C:$C,0))),"",INDEX('Policy Characteristics'!A:A,MATCH($C1319,'Policy Characteristics'!$C:$C,0)))</f>
        <v>Industry</v>
      </c>
      <c r="B1319" s="262" t="str">
        <f>IF(ISBLANK(INDEX('Policy Characteristics'!B:B,MATCH($C1319,'Policy Characteristics'!$C:$C,0))),"",INDEX('Policy Characteristics'!B:B,MATCH($C1319,'Policy Characteristics'!$C:$C,0)))</f>
        <v>Industry Energy Efficiency Standards</v>
      </c>
      <c r="C1319" s="254" t="str">
        <f t="shared" si="48"/>
        <v>Percentage Improvement in Eqpt Efficiency Standards above BAU</v>
      </c>
      <c r="D1319" s="6" t="s">
        <v>3064</v>
      </c>
      <c r="E1319" s="45" t="s">
        <v>2402</v>
      </c>
      <c r="F1319" t="s">
        <v>3028</v>
      </c>
      <c r="G1319" s="45" t="s">
        <v>2406</v>
      </c>
      <c r="H1319" s="43">
        <v>991</v>
      </c>
      <c r="I1319" s="324" t="s">
        <v>44</v>
      </c>
      <c r="J1319" s="255" t="str">
        <f>IF(ISBLANK(INDEX('Policy Characteristics'!D:D,MATCH($C1319,'Policy Characteristics'!$C:$C,0))),"",INDEX('Policy Characteristics'!D:D,MATCH($C1319,'Policy Characteristics'!$C:$C,0)))</f>
        <v>Industry Energy Efficiency Standards</v>
      </c>
      <c r="K1319" s="254" t="str">
        <f>IF(ISBLANK(INDEX('Policy Characteristics'!E:E,MATCH($C1319,'Policy Characteristics'!$C:$C,0))),"",INDEX('Policy Characteristics'!E:E,MATCH($C1319,'Policy Characteristics'!$C:$C,0)))</f>
        <v>indst efficiency standards</v>
      </c>
      <c r="L1319" s="261">
        <f>IF(ISBLANK(INDEX('Policy Characteristics'!F:F,MATCH($C1319,'Policy Characteristics'!$C:$C,0))),"",INDEX('Policy Characteristics'!F:F,MATCH($C1319,'Policy Characteristics'!$C:$C,0)))</f>
        <v>0</v>
      </c>
      <c r="M1319" s="261">
        <f>IF(ISBLANK(INDEX('Policy Characteristics'!G:G,MATCH($C1319,'Policy Characteristics'!$C:$C,0))),"",INDEX('Policy Characteristics'!G:G,MATCH($C1319,'Policy Characteristics'!$C:$C,0)))</f>
        <v>0.25</v>
      </c>
      <c r="N1319" s="261">
        <f>IF(ISBLANK(INDEX('Policy Characteristics'!H:H,MATCH($C1319,'Policy Characteristics'!$C:$C,0))),"",INDEX('Policy Characteristics'!H:H,MATCH($C1319,'Policy Characteristics'!$C:$C,0)))</f>
        <v>0.01</v>
      </c>
      <c r="O1319" s="254" t="str">
        <f>IF(ISBLANK(INDEX('Policy Characteristics'!I:I,MATCH($C1319,'Policy Characteristics'!$C:$C,0))),"",INDEX('Policy Characteristics'!I:I,MATCH($C1319,'Policy Characteristics'!$C:$C,0)))</f>
        <v>% reduction in energy use</v>
      </c>
      <c r="P1319" s="254"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4" t="str">
        <f>IF(ISBLANK(INDEX('Policy Characteristics'!K:K,MATCH($C1319,'Policy Characteristics'!$C:$C,0))),"",INDEX('Policy Characteristics'!K:K,MATCH($C1319,'Policy Characteristics'!$C:$C,0)))</f>
        <v>industry-ag-main.html#eff-stds</v>
      </c>
      <c r="R1319" s="254" t="str">
        <f>IF(ISBLANK(INDEX('Policy Characteristics'!L:L,MATCH($C1319,'Policy Characteristics'!$C:$C,0))),"",INDEX('Policy Characteristics'!L:L,MATCH($C1319,'Policy Characteristics'!$C:$C,0)))</f>
        <v>industry-energy-efficiency-standards.html</v>
      </c>
    </row>
    <row r="1320" spans="1:18" s="4" customFormat="1" x14ac:dyDescent="0.3">
      <c r="A1320" s="254" t="str">
        <f>IF(ISBLANK(INDEX('Policy Characteristics'!A:A,MATCH($C1320,'Policy Characteristics'!$C:$C,0))),"",INDEX('Policy Characteristics'!A:A,MATCH($C1320,'Policy Characteristics'!$C:$C,0)))</f>
        <v>Industry</v>
      </c>
      <c r="B1320" s="262" t="str">
        <f>IF(ISBLANK(INDEX('Policy Characteristics'!B:B,MATCH($C1320,'Policy Characteristics'!$C:$C,0))),"",INDEX('Policy Characteristics'!B:B,MATCH($C1320,'Policy Characteristics'!$C:$C,0)))</f>
        <v>Industry Energy Efficiency Standards</v>
      </c>
      <c r="C1320" s="254" t="str">
        <f t="shared" si="48"/>
        <v>Percentage Improvement in Eqpt Efficiency Standards above BAU</v>
      </c>
      <c r="D1320" s="6" t="s">
        <v>3064</v>
      </c>
      <c r="E1320" s="45" t="s">
        <v>2403</v>
      </c>
      <c r="F1320" t="s">
        <v>3028</v>
      </c>
      <c r="G1320" s="45" t="s">
        <v>2407</v>
      </c>
      <c r="H1320" s="43">
        <v>992</v>
      </c>
      <c r="I1320" s="324" t="s">
        <v>43</v>
      </c>
      <c r="J1320" s="255" t="str">
        <f>IF(ISBLANK(INDEX('Policy Characteristics'!D:D,MATCH($C1320,'Policy Characteristics'!$C:$C,0))),"",INDEX('Policy Characteristics'!D:D,MATCH($C1320,'Policy Characteristics'!$C:$C,0)))</f>
        <v>Industry Energy Efficiency Standards</v>
      </c>
      <c r="K1320" s="254" t="str">
        <f>IF(ISBLANK(INDEX('Policy Characteristics'!E:E,MATCH($C1320,'Policy Characteristics'!$C:$C,0))),"",INDEX('Policy Characteristics'!E:E,MATCH($C1320,'Policy Characteristics'!$C:$C,0)))</f>
        <v>indst efficiency standards</v>
      </c>
      <c r="L1320" s="261">
        <f>IF(ISBLANK(INDEX('Policy Characteristics'!F:F,MATCH($C1320,'Policy Characteristics'!$C:$C,0))),"",INDEX('Policy Characteristics'!F:F,MATCH($C1320,'Policy Characteristics'!$C:$C,0)))</f>
        <v>0</v>
      </c>
      <c r="M1320" s="261">
        <f>IF(ISBLANK(INDEX('Policy Characteristics'!G:G,MATCH($C1320,'Policy Characteristics'!$C:$C,0))),"",INDEX('Policy Characteristics'!G:G,MATCH($C1320,'Policy Characteristics'!$C:$C,0)))</f>
        <v>0.25</v>
      </c>
      <c r="N1320" s="261">
        <f>IF(ISBLANK(INDEX('Policy Characteristics'!H:H,MATCH($C1320,'Policy Characteristics'!$C:$C,0))),"",INDEX('Policy Characteristics'!H:H,MATCH($C1320,'Policy Characteristics'!$C:$C,0)))</f>
        <v>0.01</v>
      </c>
      <c r="O1320" s="254" t="str">
        <f>IF(ISBLANK(INDEX('Policy Characteristics'!I:I,MATCH($C1320,'Policy Characteristics'!$C:$C,0))),"",INDEX('Policy Characteristics'!I:I,MATCH($C1320,'Policy Characteristics'!$C:$C,0)))</f>
        <v>% reduction in energy use</v>
      </c>
      <c r="P1320" s="254"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4" t="str">
        <f>IF(ISBLANK(INDEX('Policy Characteristics'!K:K,MATCH($C1320,'Policy Characteristics'!$C:$C,0))),"",INDEX('Policy Characteristics'!K:K,MATCH($C1320,'Policy Characteristics'!$C:$C,0)))</f>
        <v>industry-ag-main.html#eff-stds</v>
      </c>
      <c r="R1320" s="254" t="str">
        <f>IF(ISBLANK(INDEX('Policy Characteristics'!L:L,MATCH($C1320,'Policy Characteristics'!$C:$C,0))),"",INDEX('Policy Characteristics'!L:L,MATCH($C1320,'Policy Characteristics'!$C:$C,0)))</f>
        <v>industry-energy-efficiency-standards.html</v>
      </c>
    </row>
    <row r="1321" spans="1:18" s="4" customFormat="1" x14ac:dyDescent="0.3">
      <c r="A1321" s="254" t="str">
        <f>IF(ISBLANK(INDEX('Policy Characteristics'!A:A,MATCH($C1321,'Policy Characteristics'!$C:$C,0))),"",INDEX('Policy Characteristics'!A:A,MATCH($C1321,'Policy Characteristics'!$C:$C,0)))</f>
        <v>Industry</v>
      </c>
      <c r="B1321" s="262" t="str">
        <f>IF(ISBLANK(INDEX('Policy Characteristics'!B:B,MATCH($C1321,'Policy Characteristics'!$C:$C,0))),"",INDEX('Policy Characteristics'!B:B,MATCH($C1321,'Policy Characteristics'!$C:$C,0)))</f>
        <v>Industry Energy Efficiency Standards</v>
      </c>
      <c r="C1321" s="254" t="str">
        <f t="shared" si="48"/>
        <v>Percentage Improvement in Eqpt Efficiency Standards above BAU</v>
      </c>
      <c r="D1321" s="6" t="s">
        <v>3064</v>
      </c>
      <c r="E1321" s="45" t="s">
        <v>2404</v>
      </c>
      <c r="F1321" t="s">
        <v>3028</v>
      </c>
      <c r="G1321" s="45" t="s">
        <v>2410</v>
      </c>
      <c r="H1321" s="43">
        <v>993</v>
      </c>
      <c r="I1321" s="324" t="s">
        <v>44</v>
      </c>
      <c r="J1321" s="255" t="str">
        <f>IF(ISBLANK(INDEX('Policy Characteristics'!D:D,MATCH($C1321,'Policy Characteristics'!$C:$C,0))),"",INDEX('Policy Characteristics'!D:D,MATCH($C1321,'Policy Characteristics'!$C:$C,0)))</f>
        <v>Industry Energy Efficiency Standards</v>
      </c>
      <c r="K1321" s="254" t="str">
        <f>IF(ISBLANK(INDEX('Policy Characteristics'!E:E,MATCH($C1321,'Policy Characteristics'!$C:$C,0))),"",INDEX('Policy Characteristics'!E:E,MATCH($C1321,'Policy Characteristics'!$C:$C,0)))</f>
        <v>indst efficiency standards</v>
      </c>
      <c r="L1321" s="261">
        <f>IF(ISBLANK(INDEX('Policy Characteristics'!F:F,MATCH($C1321,'Policy Characteristics'!$C:$C,0))),"",INDEX('Policy Characteristics'!F:F,MATCH($C1321,'Policy Characteristics'!$C:$C,0)))</f>
        <v>0</v>
      </c>
      <c r="M1321" s="261">
        <f>IF(ISBLANK(INDEX('Policy Characteristics'!G:G,MATCH($C1321,'Policy Characteristics'!$C:$C,0))),"",INDEX('Policy Characteristics'!G:G,MATCH($C1321,'Policy Characteristics'!$C:$C,0)))</f>
        <v>0.25</v>
      </c>
      <c r="N1321" s="261">
        <f>IF(ISBLANK(INDEX('Policy Characteristics'!H:H,MATCH($C1321,'Policy Characteristics'!$C:$C,0))),"",INDEX('Policy Characteristics'!H:H,MATCH($C1321,'Policy Characteristics'!$C:$C,0)))</f>
        <v>0.01</v>
      </c>
      <c r="O1321" s="254" t="str">
        <f>IF(ISBLANK(INDEX('Policy Characteristics'!I:I,MATCH($C1321,'Policy Characteristics'!$C:$C,0))),"",INDEX('Policy Characteristics'!I:I,MATCH($C1321,'Policy Characteristics'!$C:$C,0)))</f>
        <v>% reduction in energy use</v>
      </c>
      <c r="P1321" s="254"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4" t="str">
        <f>IF(ISBLANK(INDEX('Policy Characteristics'!K:K,MATCH($C1321,'Policy Characteristics'!$C:$C,0))),"",INDEX('Policy Characteristics'!K:K,MATCH($C1321,'Policy Characteristics'!$C:$C,0)))</f>
        <v>industry-ag-main.html#eff-stds</v>
      </c>
      <c r="R1321" s="254" t="str">
        <f>IF(ISBLANK(INDEX('Policy Characteristics'!L:L,MATCH($C1321,'Policy Characteristics'!$C:$C,0))),"",INDEX('Policy Characteristics'!L:L,MATCH($C1321,'Policy Characteristics'!$C:$C,0)))</f>
        <v>industry-energy-efficiency-standards.html</v>
      </c>
    </row>
    <row r="1322" spans="1:18" s="4" customFormat="1" x14ac:dyDescent="0.3">
      <c r="A1322" s="254" t="str">
        <f>IF(ISBLANK(INDEX('Policy Characteristics'!A:A,MATCH($C1322,'Policy Characteristics'!$C:$C,0))),"",INDEX('Policy Characteristics'!A:A,MATCH($C1322,'Policy Characteristics'!$C:$C,0)))</f>
        <v>Industry</v>
      </c>
      <c r="B1322" s="262" t="str">
        <f>IF(ISBLANK(INDEX('Policy Characteristics'!B:B,MATCH($C1322,'Policy Characteristics'!$C:$C,0))),"",INDEX('Policy Characteristics'!B:B,MATCH($C1322,'Policy Characteristics'!$C:$C,0)))</f>
        <v>Industry Energy Efficiency Standards</v>
      </c>
      <c r="C1322" s="254" t="str">
        <f t="shared" si="48"/>
        <v>Percentage Improvement in Eqpt Efficiency Standards above BAU</v>
      </c>
      <c r="D1322" s="6" t="s">
        <v>3064</v>
      </c>
      <c r="E1322" s="45" t="s">
        <v>2706</v>
      </c>
      <c r="F1322" t="s">
        <v>3028</v>
      </c>
      <c r="G1322" s="45" t="s">
        <v>2709</v>
      </c>
      <c r="H1322" s="43">
        <v>994</v>
      </c>
      <c r="I1322" s="324" t="s">
        <v>44</v>
      </c>
      <c r="J1322" s="255" t="str">
        <f>IF(ISBLANK(INDEX('Policy Characteristics'!D:D,MATCH($C1322,'Policy Characteristics'!$C:$C,0))),"",INDEX('Policy Characteristics'!D:D,MATCH($C1322,'Policy Characteristics'!$C:$C,0)))</f>
        <v>Industry Energy Efficiency Standards</v>
      </c>
      <c r="K1322" s="254" t="str">
        <f>IF(ISBLANK(INDEX('Policy Characteristics'!E:E,MATCH($C1322,'Policy Characteristics'!$C:$C,0))),"",INDEX('Policy Characteristics'!E:E,MATCH($C1322,'Policy Characteristics'!$C:$C,0)))</f>
        <v>indst efficiency standards</v>
      </c>
      <c r="L1322" s="261">
        <f>IF(ISBLANK(INDEX('Policy Characteristics'!F:F,MATCH($C1322,'Policy Characteristics'!$C:$C,0))),"",INDEX('Policy Characteristics'!F:F,MATCH($C1322,'Policy Characteristics'!$C:$C,0)))</f>
        <v>0</v>
      </c>
      <c r="M1322" s="261">
        <f>IF(ISBLANK(INDEX('Policy Characteristics'!G:G,MATCH($C1322,'Policy Characteristics'!$C:$C,0))),"",INDEX('Policy Characteristics'!G:G,MATCH($C1322,'Policy Characteristics'!$C:$C,0)))</f>
        <v>0.25</v>
      </c>
      <c r="N1322" s="261">
        <f>IF(ISBLANK(INDEX('Policy Characteristics'!H:H,MATCH($C1322,'Policy Characteristics'!$C:$C,0))),"",INDEX('Policy Characteristics'!H:H,MATCH($C1322,'Policy Characteristics'!$C:$C,0)))</f>
        <v>0.01</v>
      </c>
      <c r="O1322" s="254" t="str">
        <f>IF(ISBLANK(INDEX('Policy Characteristics'!I:I,MATCH($C1322,'Policy Characteristics'!$C:$C,0))),"",INDEX('Policy Characteristics'!I:I,MATCH($C1322,'Policy Characteristics'!$C:$C,0)))</f>
        <v>% reduction in energy use</v>
      </c>
      <c r="P1322" s="254"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4" t="str">
        <f>IF(ISBLANK(INDEX('Policy Characteristics'!K:K,MATCH($C1322,'Policy Characteristics'!$C:$C,0))),"",INDEX('Policy Characteristics'!K:K,MATCH($C1322,'Policy Characteristics'!$C:$C,0)))</f>
        <v>industry-ag-main.html#eff-stds</v>
      </c>
      <c r="R1322" s="254" t="str">
        <f>IF(ISBLANK(INDEX('Policy Characteristics'!L:L,MATCH($C1322,'Policy Characteristics'!$C:$C,0))),"",INDEX('Policy Characteristics'!L:L,MATCH($C1322,'Policy Characteristics'!$C:$C,0)))</f>
        <v>industry-energy-efficiency-standards.html</v>
      </c>
    </row>
    <row r="1323" spans="1:18" s="4" customFormat="1" x14ac:dyDescent="0.3">
      <c r="A1323" s="254" t="str">
        <f>IF(ISBLANK(INDEX('Policy Characteristics'!A:A,MATCH($C1323,'Policy Characteristics'!$C:$C,0))),"",INDEX('Policy Characteristics'!A:A,MATCH($C1323,'Policy Characteristics'!$C:$C,0)))</f>
        <v>Industry</v>
      </c>
      <c r="B1323" s="262" t="str">
        <f>IF(ISBLANK(INDEX('Policy Characteristics'!B:B,MATCH($C1323,'Policy Characteristics'!$C:$C,0))),"",INDEX('Policy Characteristics'!B:B,MATCH($C1323,'Policy Characteristics'!$C:$C,0)))</f>
        <v>Industry Energy Efficiency Standards</v>
      </c>
      <c r="C1323" s="254" t="str">
        <f t="shared" si="48"/>
        <v>Percentage Improvement in Eqpt Efficiency Standards above BAU</v>
      </c>
      <c r="D1323" s="6" t="s">
        <v>3064</v>
      </c>
      <c r="E1323" s="45" t="s">
        <v>2707</v>
      </c>
      <c r="F1323" t="s">
        <v>3028</v>
      </c>
      <c r="G1323" s="45" t="s">
        <v>2711</v>
      </c>
      <c r="H1323" s="43">
        <v>995</v>
      </c>
      <c r="I1323" s="324" t="s">
        <v>43</v>
      </c>
      <c r="J1323" s="255" t="str">
        <f>IF(ISBLANK(INDEX('Policy Characteristics'!D:D,MATCH($C1323,'Policy Characteristics'!$C:$C,0))),"",INDEX('Policy Characteristics'!D:D,MATCH($C1323,'Policy Characteristics'!$C:$C,0)))</f>
        <v>Industry Energy Efficiency Standards</v>
      </c>
      <c r="K1323" s="254" t="str">
        <f>IF(ISBLANK(INDEX('Policy Characteristics'!E:E,MATCH($C1323,'Policy Characteristics'!$C:$C,0))),"",INDEX('Policy Characteristics'!E:E,MATCH($C1323,'Policy Characteristics'!$C:$C,0)))</f>
        <v>indst efficiency standards</v>
      </c>
      <c r="L1323" s="261">
        <f>IF(ISBLANK(INDEX('Policy Characteristics'!F:F,MATCH($C1323,'Policy Characteristics'!$C:$C,0))),"",INDEX('Policy Characteristics'!F:F,MATCH($C1323,'Policy Characteristics'!$C:$C,0)))</f>
        <v>0</v>
      </c>
      <c r="M1323" s="261">
        <f>IF(ISBLANK(INDEX('Policy Characteristics'!G:G,MATCH($C1323,'Policy Characteristics'!$C:$C,0))),"",INDEX('Policy Characteristics'!G:G,MATCH($C1323,'Policy Characteristics'!$C:$C,0)))</f>
        <v>0.25</v>
      </c>
      <c r="N1323" s="261">
        <f>IF(ISBLANK(INDEX('Policy Characteristics'!H:H,MATCH($C1323,'Policy Characteristics'!$C:$C,0))),"",INDEX('Policy Characteristics'!H:H,MATCH($C1323,'Policy Characteristics'!$C:$C,0)))</f>
        <v>0.01</v>
      </c>
      <c r="O1323" s="254" t="str">
        <f>IF(ISBLANK(INDEX('Policy Characteristics'!I:I,MATCH($C1323,'Policy Characteristics'!$C:$C,0))),"",INDEX('Policy Characteristics'!I:I,MATCH($C1323,'Policy Characteristics'!$C:$C,0)))</f>
        <v>% reduction in energy use</v>
      </c>
      <c r="P1323" s="254"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4" t="str">
        <f>IF(ISBLANK(INDEX('Policy Characteristics'!K:K,MATCH($C1323,'Policy Characteristics'!$C:$C,0))),"",INDEX('Policy Characteristics'!K:K,MATCH($C1323,'Policy Characteristics'!$C:$C,0)))</f>
        <v>industry-ag-main.html#eff-stds</v>
      </c>
      <c r="R1323" s="254" t="str">
        <f>IF(ISBLANK(INDEX('Policy Characteristics'!L:L,MATCH($C1323,'Policy Characteristics'!$C:$C,0))),"",INDEX('Policy Characteristics'!L:L,MATCH($C1323,'Policy Characteristics'!$C:$C,0)))</f>
        <v>industry-energy-efficiency-standards.html</v>
      </c>
    </row>
    <row r="1324" spans="1:18" s="4" customFormat="1" x14ac:dyDescent="0.3">
      <c r="A1324" s="254" t="str">
        <f>IF(ISBLANK(INDEX('Policy Characteristics'!A:A,MATCH($C1324,'Policy Characteristics'!$C:$C,0))),"",INDEX('Policy Characteristics'!A:A,MATCH($C1324,'Policy Characteristics'!$C:$C,0)))</f>
        <v>Industry</v>
      </c>
      <c r="B1324" s="262" t="str">
        <f>IF(ISBLANK(INDEX('Policy Characteristics'!B:B,MATCH($C1324,'Policy Characteristics'!$C:$C,0))),"",INDEX('Policy Characteristics'!B:B,MATCH($C1324,'Policy Characteristics'!$C:$C,0)))</f>
        <v>Industry Energy Efficiency Standards</v>
      </c>
      <c r="C1324" s="254" t="str">
        <f t="shared" si="48"/>
        <v>Percentage Improvement in Eqpt Efficiency Standards above BAU</v>
      </c>
      <c r="D1324" s="6" t="s">
        <v>3064</v>
      </c>
      <c r="E1324" s="45" t="s">
        <v>2708</v>
      </c>
      <c r="F1324" t="s">
        <v>3028</v>
      </c>
      <c r="G1324" s="45" t="s">
        <v>2712</v>
      </c>
      <c r="H1324" s="43">
        <v>996</v>
      </c>
      <c r="I1324" s="324" t="s">
        <v>44</v>
      </c>
      <c r="J1324" s="255" t="str">
        <f>IF(ISBLANK(INDEX('Policy Characteristics'!D:D,MATCH($C1324,'Policy Characteristics'!$C:$C,0))),"",INDEX('Policy Characteristics'!D:D,MATCH($C1324,'Policy Characteristics'!$C:$C,0)))</f>
        <v>Industry Energy Efficiency Standards</v>
      </c>
      <c r="K1324" s="254" t="str">
        <f>IF(ISBLANK(INDEX('Policy Characteristics'!E:E,MATCH($C1324,'Policy Characteristics'!$C:$C,0))),"",INDEX('Policy Characteristics'!E:E,MATCH($C1324,'Policy Characteristics'!$C:$C,0)))</f>
        <v>indst efficiency standards</v>
      </c>
      <c r="L1324" s="261">
        <f>IF(ISBLANK(INDEX('Policy Characteristics'!F:F,MATCH($C1324,'Policy Characteristics'!$C:$C,0))),"",INDEX('Policy Characteristics'!F:F,MATCH($C1324,'Policy Characteristics'!$C:$C,0)))</f>
        <v>0</v>
      </c>
      <c r="M1324" s="261">
        <f>IF(ISBLANK(INDEX('Policy Characteristics'!G:G,MATCH($C1324,'Policy Characteristics'!$C:$C,0))),"",INDEX('Policy Characteristics'!G:G,MATCH($C1324,'Policy Characteristics'!$C:$C,0)))</f>
        <v>0.25</v>
      </c>
      <c r="N1324" s="261">
        <f>IF(ISBLANK(INDEX('Policy Characteristics'!H:H,MATCH($C1324,'Policy Characteristics'!$C:$C,0))),"",INDEX('Policy Characteristics'!H:H,MATCH($C1324,'Policy Characteristics'!$C:$C,0)))</f>
        <v>0.01</v>
      </c>
      <c r="O1324" s="254" t="str">
        <f>IF(ISBLANK(INDEX('Policy Characteristics'!I:I,MATCH($C1324,'Policy Characteristics'!$C:$C,0))),"",INDEX('Policy Characteristics'!I:I,MATCH($C1324,'Policy Characteristics'!$C:$C,0)))</f>
        <v>% reduction in energy use</v>
      </c>
      <c r="P1324" s="254"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4" t="str">
        <f>IF(ISBLANK(INDEX('Policy Characteristics'!K:K,MATCH($C1324,'Policy Characteristics'!$C:$C,0))),"",INDEX('Policy Characteristics'!K:K,MATCH($C1324,'Policy Characteristics'!$C:$C,0)))</f>
        <v>industry-ag-main.html#eff-stds</v>
      </c>
      <c r="R1324" s="254" t="str">
        <f>IF(ISBLANK(INDEX('Policy Characteristics'!L:L,MATCH($C1324,'Policy Characteristics'!$C:$C,0))),"",INDEX('Policy Characteristics'!L:L,MATCH($C1324,'Policy Characteristics'!$C:$C,0)))</f>
        <v>industry-energy-efficiency-standards.html</v>
      </c>
    </row>
    <row r="1325" spans="1:18" s="4" customFormat="1" x14ac:dyDescent="0.3">
      <c r="A1325" s="254" t="str">
        <f>IF(ISBLANK(INDEX('Policy Characteristics'!A:A,MATCH($C1325,'Policy Characteristics'!$C:$C,0))),"",INDEX('Policy Characteristics'!A:A,MATCH($C1325,'Policy Characteristics'!$C:$C,0)))</f>
        <v>Industry</v>
      </c>
      <c r="B1325" s="262" t="str">
        <f>IF(ISBLANK(INDEX('Policy Characteristics'!B:B,MATCH($C1325,'Policy Characteristics'!$C:$C,0))),"",INDEX('Policy Characteristics'!B:B,MATCH($C1325,'Policy Characteristics'!$C:$C,0)))</f>
        <v>Industry Energy Efficiency Standards</v>
      </c>
      <c r="C1325" s="254" t="str">
        <f t="shared" si="48"/>
        <v>Percentage Improvement in Eqpt Efficiency Standards above BAU</v>
      </c>
      <c r="D1325" s="6" t="s">
        <v>3064</v>
      </c>
      <c r="E1325" s="45" t="s">
        <v>2705</v>
      </c>
      <c r="F1325" t="s">
        <v>3028</v>
      </c>
      <c r="G1325" s="45" t="s">
        <v>2710</v>
      </c>
      <c r="H1325" s="43">
        <v>997</v>
      </c>
      <c r="I1325" s="324" t="s">
        <v>44</v>
      </c>
      <c r="J1325" s="255" t="str">
        <f>IF(ISBLANK(INDEX('Policy Characteristics'!D:D,MATCH($C1325,'Policy Characteristics'!$C:$C,0))),"",INDEX('Policy Characteristics'!D:D,MATCH($C1325,'Policy Characteristics'!$C:$C,0)))</f>
        <v>Industry Energy Efficiency Standards</v>
      </c>
      <c r="K1325" s="254" t="str">
        <f>IF(ISBLANK(INDEX('Policy Characteristics'!E:E,MATCH($C1325,'Policy Characteristics'!$C:$C,0))),"",INDEX('Policy Characteristics'!E:E,MATCH($C1325,'Policy Characteristics'!$C:$C,0)))</f>
        <v>indst efficiency standards</v>
      </c>
      <c r="L1325" s="261">
        <f>IF(ISBLANK(INDEX('Policy Characteristics'!F:F,MATCH($C1325,'Policy Characteristics'!$C:$C,0))),"",INDEX('Policy Characteristics'!F:F,MATCH($C1325,'Policy Characteristics'!$C:$C,0)))</f>
        <v>0</v>
      </c>
      <c r="M1325" s="261">
        <f>IF(ISBLANK(INDEX('Policy Characteristics'!G:G,MATCH($C1325,'Policy Characteristics'!$C:$C,0))),"",INDEX('Policy Characteristics'!G:G,MATCH($C1325,'Policy Characteristics'!$C:$C,0)))</f>
        <v>0.25</v>
      </c>
      <c r="N1325" s="261">
        <f>IF(ISBLANK(INDEX('Policy Characteristics'!H:H,MATCH($C1325,'Policy Characteristics'!$C:$C,0))),"",INDEX('Policy Characteristics'!H:H,MATCH($C1325,'Policy Characteristics'!$C:$C,0)))</f>
        <v>0.01</v>
      </c>
      <c r="O1325" s="254" t="str">
        <f>IF(ISBLANK(INDEX('Policy Characteristics'!I:I,MATCH($C1325,'Policy Characteristics'!$C:$C,0))),"",INDEX('Policy Characteristics'!I:I,MATCH($C1325,'Policy Characteristics'!$C:$C,0)))</f>
        <v>% reduction in energy use</v>
      </c>
      <c r="P1325" s="254"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4" t="str">
        <f>IF(ISBLANK(INDEX('Policy Characteristics'!K:K,MATCH($C1325,'Policy Characteristics'!$C:$C,0))),"",INDEX('Policy Characteristics'!K:K,MATCH($C1325,'Policy Characteristics'!$C:$C,0)))</f>
        <v>industry-ag-main.html#eff-stds</v>
      </c>
      <c r="R1325" s="254" t="str">
        <f>IF(ISBLANK(INDEX('Policy Characteristics'!L:L,MATCH($C1325,'Policy Characteristics'!$C:$C,0))),"",INDEX('Policy Characteristics'!L:L,MATCH($C1325,'Policy Characteristics'!$C:$C,0)))</f>
        <v>industry-energy-efficiency-standards.html</v>
      </c>
    </row>
    <row r="1326" spans="1:18" s="4" customFormat="1" x14ac:dyDescent="0.3">
      <c r="A1326" s="254" t="str">
        <f>IF(ISBLANK(INDEX('Policy Characteristics'!A:A,MATCH($C1326,'Policy Characteristics'!$C:$C,0))),"",INDEX('Policy Characteristics'!A:A,MATCH($C1326,'Policy Characteristics'!$C:$C,0)))</f>
        <v>Industry</v>
      </c>
      <c r="B1326" s="262" t="str">
        <f>IF(ISBLANK(INDEX('Policy Characteristics'!B:B,MATCH($C1326,'Policy Characteristics'!$C:$C,0))),"",INDEX('Policy Characteristics'!B:B,MATCH($C1326,'Policy Characteristics'!$C:$C,0)))</f>
        <v>Industry Energy Efficiency Standards</v>
      </c>
      <c r="C1326" s="254" t="str">
        <f t="shared" si="48"/>
        <v>Percentage Improvement in Eqpt Efficiency Standards above BAU</v>
      </c>
      <c r="D1326" s="6" t="s">
        <v>3065</v>
      </c>
      <c r="E1326" s="45" t="s">
        <v>2399</v>
      </c>
      <c r="F1326" t="s">
        <v>3029</v>
      </c>
      <c r="G1326" s="45" t="s">
        <v>2405</v>
      </c>
      <c r="H1326" s="43">
        <v>998</v>
      </c>
      <c r="I1326" s="324" t="s">
        <v>43</v>
      </c>
      <c r="J1326" s="255" t="str">
        <f>IF(ISBLANK(INDEX('Policy Characteristics'!D:D,MATCH($C1326,'Policy Characteristics'!$C:$C,0))),"",INDEX('Policy Characteristics'!D:D,MATCH($C1326,'Policy Characteristics'!$C:$C,0)))</f>
        <v>Industry Energy Efficiency Standards</v>
      </c>
      <c r="K1326" s="254" t="str">
        <f>IF(ISBLANK(INDEX('Policy Characteristics'!E:E,MATCH($C1326,'Policy Characteristics'!$C:$C,0))),"",INDEX('Policy Characteristics'!E:E,MATCH($C1326,'Policy Characteristics'!$C:$C,0)))</f>
        <v>indst efficiency standards</v>
      </c>
      <c r="L1326" s="261">
        <f>IF(ISBLANK(INDEX('Policy Characteristics'!F:F,MATCH($C1326,'Policy Characteristics'!$C:$C,0))),"",INDEX('Policy Characteristics'!F:F,MATCH($C1326,'Policy Characteristics'!$C:$C,0)))</f>
        <v>0</v>
      </c>
      <c r="M1326" s="261">
        <f>IF(ISBLANK(INDEX('Policy Characteristics'!G:G,MATCH($C1326,'Policy Characteristics'!$C:$C,0))),"",INDEX('Policy Characteristics'!G:G,MATCH($C1326,'Policy Characteristics'!$C:$C,0)))</f>
        <v>0.25</v>
      </c>
      <c r="N1326" s="261">
        <f>IF(ISBLANK(INDEX('Policy Characteristics'!H:H,MATCH($C1326,'Policy Characteristics'!$C:$C,0))),"",INDEX('Policy Characteristics'!H:H,MATCH($C1326,'Policy Characteristics'!$C:$C,0)))</f>
        <v>0.01</v>
      </c>
      <c r="O1326" s="254" t="str">
        <f>IF(ISBLANK(INDEX('Policy Characteristics'!I:I,MATCH($C1326,'Policy Characteristics'!$C:$C,0))),"",INDEX('Policy Characteristics'!I:I,MATCH($C1326,'Policy Characteristics'!$C:$C,0)))</f>
        <v>% reduction in energy use</v>
      </c>
      <c r="P1326" s="254"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4" t="str">
        <f>IF(ISBLANK(INDEX('Policy Characteristics'!K:K,MATCH($C1326,'Policy Characteristics'!$C:$C,0))),"",INDEX('Policy Characteristics'!K:K,MATCH($C1326,'Policy Characteristics'!$C:$C,0)))</f>
        <v>industry-ag-main.html#eff-stds</v>
      </c>
      <c r="R1326" s="254" t="str">
        <f>IF(ISBLANK(INDEX('Policy Characteristics'!L:L,MATCH($C1326,'Policy Characteristics'!$C:$C,0))),"",INDEX('Policy Characteristics'!L:L,MATCH($C1326,'Policy Characteristics'!$C:$C,0)))</f>
        <v>industry-energy-efficiency-standards.html</v>
      </c>
    </row>
    <row r="1327" spans="1:18" s="4" customFormat="1" x14ac:dyDescent="0.3">
      <c r="A1327" s="254" t="str">
        <f>IF(ISBLANK(INDEX('Policy Characteristics'!A:A,MATCH($C1327,'Policy Characteristics'!$C:$C,0))),"",INDEX('Policy Characteristics'!A:A,MATCH($C1327,'Policy Characteristics'!$C:$C,0)))</f>
        <v>Industry</v>
      </c>
      <c r="B1327" s="262" t="str">
        <f>IF(ISBLANK(INDEX('Policy Characteristics'!B:B,MATCH($C1327,'Policy Characteristics'!$C:$C,0))),"",INDEX('Policy Characteristics'!B:B,MATCH($C1327,'Policy Characteristics'!$C:$C,0)))</f>
        <v>Industry Energy Efficiency Standards</v>
      </c>
      <c r="C1327" s="254" t="str">
        <f t="shared" si="48"/>
        <v>Percentage Improvement in Eqpt Efficiency Standards above BAU</v>
      </c>
      <c r="D1327" s="6" t="s">
        <v>3065</v>
      </c>
      <c r="E1327" s="45" t="s">
        <v>2400</v>
      </c>
      <c r="F1327" t="s">
        <v>3029</v>
      </c>
      <c r="G1327" s="45" t="s">
        <v>2408</v>
      </c>
      <c r="H1327" s="43">
        <v>999</v>
      </c>
      <c r="I1327" s="324" t="s">
        <v>43</v>
      </c>
      <c r="J1327" s="255" t="str">
        <f>IF(ISBLANK(INDEX('Policy Characteristics'!D:D,MATCH($C1327,'Policy Characteristics'!$C:$C,0))),"",INDEX('Policy Characteristics'!D:D,MATCH($C1327,'Policy Characteristics'!$C:$C,0)))</f>
        <v>Industry Energy Efficiency Standards</v>
      </c>
      <c r="K1327" s="254" t="str">
        <f>IF(ISBLANK(INDEX('Policy Characteristics'!E:E,MATCH($C1327,'Policy Characteristics'!$C:$C,0))),"",INDEX('Policy Characteristics'!E:E,MATCH($C1327,'Policy Characteristics'!$C:$C,0)))</f>
        <v>indst efficiency standards</v>
      </c>
      <c r="L1327" s="261">
        <f>IF(ISBLANK(INDEX('Policy Characteristics'!F:F,MATCH($C1327,'Policy Characteristics'!$C:$C,0))),"",INDEX('Policy Characteristics'!F:F,MATCH($C1327,'Policy Characteristics'!$C:$C,0)))</f>
        <v>0</v>
      </c>
      <c r="M1327" s="261">
        <f>IF(ISBLANK(INDEX('Policy Characteristics'!G:G,MATCH($C1327,'Policy Characteristics'!$C:$C,0))),"",INDEX('Policy Characteristics'!G:G,MATCH($C1327,'Policy Characteristics'!$C:$C,0)))</f>
        <v>0.25</v>
      </c>
      <c r="N1327" s="261">
        <f>IF(ISBLANK(INDEX('Policy Characteristics'!H:H,MATCH($C1327,'Policy Characteristics'!$C:$C,0))),"",INDEX('Policy Characteristics'!H:H,MATCH($C1327,'Policy Characteristics'!$C:$C,0)))</f>
        <v>0.01</v>
      </c>
      <c r="O1327" s="254" t="str">
        <f>IF(ISBLANK(INDEX('Policy Characteristics'!I:I,MATCH($C1327,'Policy Characteristics'!$C:$C,0))),"",INDEX('Policy Characteristics'!I:I,MATCH($C1327,'Policy Characteristics'!$C:$C,0)))</f>
        <v>% reduction in energy use</v>
      </c>
      <c r="P1327" s="254"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4" t="str">
        <f>IF(ISBLANK(INDEX('Policy Characteristics'!K:K,MATCH($C1327,'Policy Characteristics'!$C:$C,0))),"",INDEX('Policy Characteristics'!K:K,MATCH($C1327,'Policy Characteristics'!$C:$C,0)))</f>
        <v>industry-ag-main.html#eff-stds</v>
      </c>
      <c r="R1327" s="254" t="str">
        <f>IF(ISBLANK(INDEX('Policy Characteristics'!L:L,MATCH($C1327,'Policy Characteristics'!$C:$C,0))),"",INDEX('Policy Characteristics'!L:L,MATCH($C1327,'Policy Characteristics'!$C:$C,0)))</f>
        <v>industry-energy-efficiency-standards.html</v>
      </c>
    </row>
    <row r="1328" spans="1:18" s="4" customFormat="1" x14ac:dyDescent="0.3">
      <c r="A1328" s="254" t="str">
        <f>IF(ISBLANK(INDEX('Policy Characteristics'!A:A,MATCH($C1328,'Policy Characteristics'!$C:$C,0))),"",INDEX('Policy Characteristics'!A:A,MATCH($C1328,'Policy Characteristics'!$C:$C,0)))</f>
        <v>Industry</v>
      </c>
      <c r="B1328" s="262" t="str">
        <f>IF(ISBLANK(INDEX('Policy Characteristics'!B:B,MATCH($C1328,'Policy Characteristics'!$C:$C,0))),"",INDEX('Policy Characteristics'!B:B,MATCH($C1328,'Policy Characteristics'!$C:$C,0)))</f>
        <v>Industry Energy Efficiency Standards</v>
      </c>
      <c r="C1328" s="254" t="str">
        <f t="shared" si="48"/>
        <v>Percentage Improvement in Eqpt Efficiency Standards above BAU</v>
      </c>
      <c r="D1328" s="6" t="s">
        <v>3065</v>
      </c>
      <c r="E1328" s="45" t="s">
        <v>2401</v>
      </c>
      <c r="F1328" t="s">
        <v>3029</v>
      </c>
      <c r="G1328" s="45" t="s">
        <v>2409</v>
      </c>
      <c r="H1328" s="43">
        <v>1000</v>
      </c>
      <c r="I1328" s="324" t="s">
        <v>43</v>
      </c>
      <c r="J1328" s="255" t="str">
        <f>IF(ISBLANK(INDEX('Policy Characteristics'!D:D,MATCH($C1328,'Policy Characteristics'!$C:$C,0))),"",INDEX('Policy Characteristics'!D:D,MATCH($C1328,'Policy Characteristics'!$C:$C,0)))</f>
        <v>Industry Energy Efficiency Standards</v>
      </c>
      <c r="K1328" s="254" t="str">
        <f>IF(ISBLANK(INDEX('Policy Characteristics'!E:E,MATCH($C1328,'Policy Characteristics'!$C:$C,0))),"",INDEX('Policy Characteristics'!E:E,MATCH($C1328,'Policy Characteristics'!$C:$C,0)))</f>
        <v>indst efficiency standards</v>
      </c>
      <c r="L1328" s="261">
        <f>IF(ISBLANK(INDEX('Policy Characteristics'!F:F,MATCH($C1328,'Policy Characteristics'!$C:$C,0))),"",INDEX('Policy Characteristics'!F:F,MATCH($C1328,'Policy Characteristics'!$C:$C,0)))</f>
        <v>0</v>
      </c>
      <c r="M1328" s="261">
        <f>IF(ISBLANK(INDEX('Policy Characteristics'!G:G,MATCH($C1328,'Policy Characteristics'!$C:$C,0))),"",INDEX('Policy Characteristics'!G:G,MATCH($C1328,'Policy Characteristics'!$C:$C,0)))</f>
        <v>0.25</v>
      </c>
      <c r="N1328" s="261">
        <f>IF(ISBLANK(INDEX('Policy Characteristics'!H:H,MATCH($C1328,'Policy Characteristics'!$C:$C,0))),"",INDEX('Policy Characteristics'!H:H,MATCH($C1328,'Policy Characteristics'!$C:$C,0)))</f>
        <v>0.01</v>
      </c>
      <c r="O1328" s="254" t="str">
        <f>IF(ISBLANK(INDEX('Policy Characteristics'!I:I,MATCH($C1328,'Policy Characteristics'!$C:$C,0))),"",INDEX('Policy Characteristics'!I:I,MATCH($C1328,'Policy Characteristics'!$C:$C,0)))</f>
        <v>% reduction in energy use</v>
      </c>
      <c r="P1328" s="254"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4" t="str">
        <f>IF(ISBLANK(INDEX('Policy Characteristics'!K:K,MATCH($C1328,'Policy Characteristics'!$C:$C,0))),"",INDEX('Policy Characteristics'!K:K,MATCH($C1328,'Policy Characteristics'!$C:$C,0)))</f>
        <v>industry-ag-main.html#eff-stds</v>
      </c>
      <c r="R1328" s="254" t="str">
        <f>IF(ISBLANK(INDEX('Policy Characteristics'!L:L,MATCH($C1328,'Policy Characteristics'!$C:$C,0))),"",INDEX('Policy Characteristics'!L:L,MATCH($C1328,'Policy Characteristics'!$C:$C,0)))</f>
        <v>industry-energy-efficiency-standards.html</v>
      </c>
    </row>
    <row r="1329" spans="1:18" s="4" customFormat="1" x14ac:dyDescent="0.3">
      <c r="A1329" s="254" t="str">
        <f>IF(ISBLANK(INDEX('Policy Characteristics'!A:A,MATCH($C1329,'Policy Characteristics'!$C:$C,0))),"",INDEX('Policy Characteristics'!A:A,MATCH($C1329,'Policy Characteristics'!$C:$C,0)))</f>
        <v>Industry</v>
      </c>
      <c r="B1329" s="262" t="str">
        <f>IF(ISBLANK(INDEX('Policy Characteristics'!B:B,MATCH($C1329,'Policy Characteristics'!$C:$C,0))),"",INDEX('Policy Characteristics'!B:B,MATCH($C1329,'Policy Characteristics'!$C:$C,0)))</f>
        <v>Industry Energy Efficiency Standards</v>
      </c>
      <c r="C1329" s="254" t="str">
        <f t="shared" si="48"/>
        <v>Percentage Improvement in Eqpt Efficiency Standards above BAU</v>
      </c>
      <c r="D1329" s="6" t="s">
        <v>3065</v>
      </c>
      <c r="E1329" s="45" t="s">
        <v>2402</v>
      </c>
      <c r="F1329" t="s">
        <v>3029</v>
      </c>
      <c r="G1329" s="45" t="s">
        <v>2406</v>
      </c>
      <c r="H1329" s="43">
        <v>1001</v>
      </c>
      <c r="I1329" s="324" t="s">
        <v>44</v>
      </c>
      <c r="J1329" s="255" t="str">
        <f>IF(ISBLANK(INDEX('Policy Characteristics'!D:D,MATCH($C1329,'Policy Characteristics'!$C:$C,0))),"",INDEX('Policy Characteristics'!D:D,MATCH($C1329,'Policy Characteristics'!$C:$C,0)))</f>
        <v>Industry Energy Efficiency Standards</v>
      </c>
      <c r="K1329" s="254" t="str">
        <f>IF(ISBLANK(INDEX('Policy Characteristics'!E:E,MATCH($C1329,'Policy Characteristics'!$C:$C,0))),"",INDEX('Policy Characteristics'!E:E,MATCH($C1329,'Policy Characteristics'!$C:$C,0)))</f>
        <v>indst efficiency standards</v>
      </c>
      <c r="L1329" s="261">
        <f>IF(ISBLANK(INDEX('Policy Characteristics'!F:F,MATCH($C1329,'Policy Characteristics'!$C:$C,0))),"",INDEX('Policy Characteristics'!F:F,MATCH($C1329,'Policy Characteristics'!$C:$C,0)))</f>
        <v>0</v>
      </c>
      <c r="M1329" s="261">
        <f>IF(ISBLANK(INDEX('Policy Characteristics'!G:G,MATCH($C1329,'Policy Characteristics'!$C:$C,0))),"",INDEX('Policy Characteristics'!G:G,MATCH($C1329,'Policy Characteristics'!$C:$C,0)))</f>
        <v>0.25</v>
      </c>
      <c r="N1329" s="261">
        <f>IF(ISBLANK(INDEX('Policy Characteristics'!H:H,MATCH($C1329,'Policy Characteristics'!$C:$C,0))),"",INDEX('Policy Characteristics'!H:H,MATCH($C1329,'Policy Characteristics'!$C:$C,0)))</f>
        <v>0.01</v>
      </c>
      <c r="O1329" s="254" t="str">
        <f>IF(ISBLANK(INDEX('Policy Characteristics'!I:I,MATCH($C1329,'Policy Characteristics'!$C:$C,0))),"",INDEX('Policy Characteristics'!I:I,MATCH($C1329,'Policy Characteristics'!$C:$C,0)))</f>
        <v>% reduction in energy use</v>
      </c>
      <c r="P1329" s="254"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4" t="str">
        <f>IF(ISBLANK(INDEX('Policy Characteristics'!K:K,MATCH($C1329,'Policy Characteristics'!$C:$C,0))),"",INDEX('Policy Characteristics'!K:K,MATCH($C1329,'Policy Characteristics'!$C:$C,0)))</f>
        <v>industry-ag-main.html#eff-stds</v>
      </c>
      <c r="R1329" s="254" t="str">
        <f>IF(ISBLANK(INDEX('Policy Characteristics'!L:L,MATCH($C1329,'Policy Characteristics'!$C:$C,0))),"",INDEX('Policy Characteristics'!L:L,MATCH($C1329,'Policy Characteristics'!$C:$C,0)))</f>
        <v>industry-energy-efficiency-standards.html</v>
      </c>
    </row>
    <row r="1330" spans="1:18" s="4" customFormat="1" x14ac:dyDescent="0.3">
      <c r="A1330" s="254" t="str">
        <f>IF(ISBLANK(INDEX('Policy Characteristics'!A:A,MATCH($C1330,'Policy Characteristics'!$C:$C,0))),"",INDEX('Policy Characteristics'!A:A,MATCH($C1330,'Policy Characteristics'!$C:$C,0)))</f>
        <v>Industry</v>
      </c>
      <c r="B1330" s="262" t="str">
        <f>IF(ISBLANK(INDEX('Policy Characteristics'!B:B,MATCH($C1330,'Policy Characteristics'!$C:$C,0))),"",INDEX('Policy Characteristics'!B:B,MATCH($C1330,'Policy Characteristics'!$C:$C,0)))</f>
        <v>Industry Energy Efficiency Standards</v>
      </c>
      <c r="C1330" s="254" t="str">
        <f t="shared" si="48"/>
        <v>Percentage Improvement in Eqpt Efficiency Standards above BAU</v>
      </c>
      <c r="D1330" s="6" t="s">
        <v>3065</v>
      </c>
      <c r="E1330" s="45" t="s">
        <v>2403</v>
      </c>
      <c r="F1330" t="s">
        <v>3029</v>
      </c>
      <c r="G1330" s="45" t="s">
        <v>2407</v>
      </c>
      <c r="H1330" s="43">
        <v>1002</v>
      </c>
      <c r="I1330" s="324" t="s">
        <v>43</v>
      </c>
      <c r="J1330" s="255" t="str">
        <f>IF(ISBLANK(INDEX('Policy Characteristics'!D:D,MATCH($C1330,'Policy Characteristics'!$C:$C,0))),"",INDEX('Policy Characteristics'!D:D,MATCH($C1330,'Policy Characteristics'!$C:$C,0)))</f>
        <v>Industry Energy Efficiency Standards</v>
      </c>
      <c r="K1330" s="254" t="str">
        <f>IF(ISBLANK(INDEX('Policy Characteristics'!E:E,MATCH($C1330,'Policy Characteristics'!$C:$C,0))),"",INDEX('Policy Characteristics'!E:E,MATCH($C1330,'Policy Characteristics'!$C:$C,0)))</f>
        <v>indst efficiency standards</v>
      </c>
      <c r="L1330" s="261">
        <f>IF(ISBLANK(INDEX('Policy Characteristics'!F:F,MATCH($C1330,'Policy Characteristics'!$C:$C,0))),"",INDEX('Policy Characteristics'!F:F,MATCH($C1330,'Policy Characteristics'!$C:$C,0)))</f>
        <v>0</v>
      </c>
      <c r="M1330" s="261">
        <f>IF(ISBLANK(INDEX('Policy Characteristics'!G:G,MATCH($C1330,'Policy Characteristics'!$C:$C,0))),"",INDEX('Policy Characteristics'!G:G,MATCH($C1330,'Policy Characteristics'!$C:$C,0)))</f>
        <v>0.25</v>
      </c>
      <c r="N1330" s="261">
        <f>IF(ISBLANK(INDEX('Policy Characteristics'!H:H,MATCH($C1330,'Policy Characteristics'!$C:$C,0))),"",INDEX('Policy Characteristics'!H:H,MATCH($C1330,'Policy Characteristics'!$C:$C,0)))</f>
        <v>0.01</v>
      </c>
      <c r="O1330" s="254" t="str">
        <f>IF(ISBLANK(INDEX('Policy Characteristics'!I:I,MATCH($C1330,'Policy Characteristics'!$C:$C,0))),"",INDEX('Policy Characteristics'!I:I,MATCH($C1330,'Policy Characteristics'!$C:$C,0)))</f>
        <v>% reduction in energy use</v>
      </c>
      <c r="P1330" s="254"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4" t="str">
        <f>IF(ISBLANK(INDEX('Policy Characteristics'!K:K,MATCH($C1330,'Policy Characteristics'!$C:$C,0))),"",INDEX('Policy Characteristics'!K:K,MATCH($C1330,'Policy Characteristics'!$C:$C,0)))</f>
        <v>industry-ag-main.html#eff-stds</v>
      </c>
      <c r="R1330" s="254" t="str">
        <f>IF(ISBLANK(INDEX('Policy Characteristics'!L:L,MATCH($C1330,'Policy Characteristics'!$C:$C,0))),"",INDEX('Policy Characteristics'!L:L,MATCH($C1330,'Policy Characteristics'!$C:$C,0)))</f>
        <v>industry-energy-efficiency-standards.html</v>
      </c>
    </row>
    <row r="1331" spans="1:18" s="4" customFormat="1" x14ac:dyDescent="0.3">
      <c r="A1331" s="254" t="str">
        <f>IF(ISBLANK(INDEX('Policy Characteristics'!A:A,MATCH($C1331,'Policy Characteristics'!$C:$C,0))),"",INDEX('Policy Characteristics'!A:A,MATCH($C1331,'Policy Characteristics'!$C:$C,0)))</f>
        <v>Industry</v>
      </c>
      <c r="B1331" s="262" t="str">
        <f>IF(ISBLANK(INDEX('Policy Characteristics'!B:B,MATCH($C1331,'Policy Characteristics'!$C:$C,0))),"",INDEX('Policy Characteristics'!B:B,MATCH($C1331,'Policy Characteristics'!$C:$C,0)))</f>
        <v>Industry Energy Efficiency Standards</v>
      </c>
      <c r="C1331" s="254" t="str">
        <f t="shared" si="48"/>
        <v>Percentage Improvement in Eqpt Efficiency Standards above BAU</v>
      </c>
      <c r="D1331" s="6" t="s">
        <v>3065</v>
      </c>
      <c r="E1331" s="45" t="s">
        <v>2404</v>
      </c>
      <c r="F1331" t="s">
        <v>3029</v>
      </c>
      <c r="G1331" s="45" t="s">
        <v>2410</v>
      </c>
      <c r="H1331" s="43">
        <v>1003</v>
      </c>
      <c r="I1331" s="324" t="s">
        <v>44</v>
      </c>
      <c r="J1331" s="255" t="str">
        <f>IF(ISBLANK(INDEX('Policy Characteristics'!D:D,MATCH($C1331,'Policy Characteristics'!$C:$C,0))),"",INDEX('Policy Characteristics'!D:D,MATCH($C1331,'Policy Characteristics'!$C:$C,0)))</f>
        <v>Industry Energy Efficiency Standards</v>
      </c>
      <c r="K1331" s="254" t="str">
        <f>IF(ISBLANK(INDEX('Policy Characteristics'!E:E,MATCH($C1331,'Policy Characteristics'!$C:$C,0))),"",INDEX('Policy Characteristics'!E:E,MATCH($C1331,'Policy Characteristics'!$C:$C,0)))</f>
        <v>indst efficiency standards</v>
      </c>
      <c r="L1331" s="261">
        <f>IF(ISBLANK(INDEX('Policy Characteristics'!F:F,MATCH($C1331,'Policy Characteristics'!$C:$C,0))),"",INDEX('Policy Characteristics'!F:F,MATCH($C1331,'Policy Characteristics'!$C:$C,0)))</f>
        <v>0</v>
      </c>
      <c r="M1331" s="261">
        <f>IF(ISBLANK(INDEX('Policy Characteristics'!G:G,MATCH($C1331,'Policy Characteristics'!$C:$C,0))),"",INDEX('Policy Characteristics'!G:G,MATCH($C1331,'Policy Characteristics'!$C:$C,0)))</f>
        <v>0.25</v>
      </c>
      <c r="N1331" s="261">
        <f>IF(ISBLANK(INDEX('Policy Characteristics'!H:H,MATCH($C1331,'Policy Characteristics'!$C:$C,0))),"",INDEX('Policy Characteristics'!H:H,MATCH($C1331,'Policy Characteristics'!$C:$C,0)))</f>
        <v>0.01</v>
      </c>
      <c r="O1331" s="254" t="str">
        <f>IF(ISBLANK(INDEX('Policy Characteristics'!I:I,MATCH($C1331,'Policy Characteristics'!$C:$C,0))),"",INDEX('Policy Characteristics'!I:I,MATCH($C1331,'Policy Characteristics'!$C:$C,0)))</f>
        <v>% reduction in energy use</v>
      </c>
      <c r="P1331" s="254"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4" t="str">
        <f>IF(ISBLANK(INDEX('Policy Characteristics'!K:K,MATCH($C1331,'Policy Characteristics'!$C:$C,0))),"",INDEX('Policy Characteristics'!K:K,MATCH($C1331,'Policy Characteristics'!$C:$C,0)))</f>
        <v>industry-ag-main.html#eff-stds</v>
      </c>
      <c r="R1331" s="254" t="str">
        <f>IF(ISBLANK(INDEX('Policy Characteristics'!L:L,MATCH($C1331,'Policy Characteristics'!$C:$C,0))),"",INDEX('Policy Characteristics'!L:L,MATCH($C1331,'Policy Characteristics'!$C:$C,0)))</f>
        <v>industry-energy-efficiency-standards.html</v>
      </c>
    </row>
    <row r="1332" spans="1:18" s="4" customFormat="1" x14ac:dyDescent="0.3">
      <c r="A1332" s="254" t="str">
        <f>IF(ISBLANK(INDEX('Policy Characteristics'!A:A,MATCH($C1332,'Policy Characteristics'!$C:$C,0))),"",INDEX('Policy Characteristics'!A:A,MATCH($C1332,'Policy Characteristics'!$C:$C,0)))</f>
        <v>Industry</v>
      </c>
      <c r="B1332" s="262" t="str">
        <f>IF(ISBLANK(INDEX('Policy Characteristics'!B:B,MATCH($C1332,'Policy Characteristics'!$C:$C,0))),"",INDEX('Policy Characteristics'!B:B,MATCH($C1332,'Policy Characteristics'!$C:$C,0)))</f>
        <v>Industry Energy Efficiency Standards</v>
      </c>
      <c r="C1332" s="254" t="str">
        <f t="shared" si="48"/>
        <v>Percentage Improvement in Eqpt Efficiency Standards above BAU</v>
      </c>
      <c r="D1332" s="6" t="s">
        <v>3065</v>
      </c>
      <c r="E1332" s="45" t="s">
        <v>2706</v>
      </c>
      <c r="F1332" t="s">
        <v>3029</v>
      </c>
      <c r="G1332" s="45" t="s">
        <v>2709</v>
      </c>
      <c r="H1332" s="43">
        <v>1004</v>
      </c>
      <c r="I1332" s="324" t="s">
        <v>44</v>
      </c>
      <c r="J1332" s="255" t="str">
        <f>IF(ISBLANK(INDEX('Policy Characteristics'!D:D,MATCH($C1332,'Policy Characteristics'!$C:$C,0))),"",INDEX('Policy Characteristics'!D:D,MATCH($C1332,'Policy Characteristics'!$C:$C,0)))</f>
        <v>Industry Energy Efficiency Standards</v>
      </c>
      <c r="K1332" s="254" t="str">
        <f>IF(ISBLANK(INDEX('Policy Characteristics'!E:E,MATCH($C1332,'Policy Characteristics'!$C:$C,0))),"",INDEX('Policy Characteristics'!E:E,MATCH($C1332,'Policy Characteristics'!$C:$C,0)))</f>
        <v>indst efficiency standards</v>
      </c>
      <c r="L1332" s="261">
        <f>IF(ISBLANK(INDEX('Policy Characteristics'!F:F,MATCH($C1332,'Policy Characteristics'!$C:$C,0))),"",INDEX('Policy Characteristics'!F:F,MATCH($C1332,'Policy Characteristics'!$C:$C,0)))</f>
        <v>0</v>
      </c>
      <c r="M1332" s="261">
        <f>IF(ISBLANK(INDEX('Policy Characteristics'!G:G,MATCH($C1332,'Policy Characteristics'!$C:$C,0))),"",INDEX('Policy Characteristics'!G:G,MATCH($C1332,'Policy Characteristics'!$C:$C,0)))</f>
        <v>0.25</v>
      </c>
      <c r="N1332" s="261">
        <f>IF(ISBLANK(INDEX('Policy Characteristics'!H:H,MATCH($C1332,'Policy Characteristics'!$C:$C,0))),"",INDEX('Policy Characteristics'!H:H,MATCH($C1332,'Policy Characteristics'!$C:$C,0)))</f>
        <v>0.01</v>
      </c>
      <c r="O1332" s="254" t="str">
        <f>IF(ISBLANK(INDEX('Policy Characteristics'!I:I,MATCH($C1332,'Policy Characteristics'!$C:$C,0))),"",INDEX('Policy Characteristics'!I:I,MATCH($C1332,'Policy Characteristics'!$C:$C,0)))</f>
        <v>% reduction in energy use</v>
      </c>
      <c r="P1332" s="254"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4" t="str">
        <f>IF(ISBLANK(INDEX('Policy Characteristics'!K:K,MATCH($C1332,'Policy Characteristics'!$C:$C,0))),"",INDEX('Policy Characteristics'!K:K,MATCH($C1332,'Policy Characteristics'!$C:$C,0)))</f>
        <v>industry-ag-main.html#eff-stds</v>
      </c>
      <c r="R1332" s="254" t="str">
        <f>IF(ISBLANK(INDEX('Policy Characteristics'!L:L,MATCH($C1332,'Policy Characteristics'!$C:$C,0))),"",INDEX('Policy Characteristics'!L:L,MATCH($C1332,'Policy Characteristics'!$C:$C,0)))</f>
        <v>industry-energy-efficiency-standards.html</v>
      </c>
    </row>
    <row r="1333" spans="1:18" s="4" customFormat="1" x14ac:dyDescent="0.3">
      <c r="A1333" s="254" t="str">
        <f>IF(ISBLANK(INDEX('Policy Characteristics'!A:A,MATCH($C1333,'Policy Characteristics'!$C:$C,0))),"",INDEX('Policy Characteristics'!A:A,MATCH($C1333,'Policy Characteristics'!$C:$C,0)))</f>
        <v>Industry</v>
      </c>
      <c r="B1333" s="262" t="str">
        <f>IF(ISBLANK(INDEX('Policy Characteristics'!B:B,MATCH($C1333,'Policy Characteristics'!$C:$C,0))),"",INDEX('Policy Characteristics'!B:B,MATCH($C1333,'Policy Characteristics'!$C:$C,0)))</f>
        <v>Industry Energy Efficiency Standards</v>
      </c>
      <c r="C1333" s="254" t="str">
        <f t="shared" si="48"/>
        <v>Percentage Improvement in Eqpt Efficiency Standards above BAU</v>
      </c>
      <c r="D1333" s="6" t="s">
        <v>3065</v>
      </c>
      <c r="E1333" s="45" t="s">
        <v>2707</v>
      </c>
      <c r="F1333" t="s">
        <v>3029</v>
      </c>
      <c r="G1333" s="45" t="s">
        <v>2711</v>
      </c>
      <c r="H1333" s="43">
        <v>1005</v>
      </c>
      <c r="I1333" s="324" t="s">
        <v>43</v>
      </c>
      <c r="J1333" s="255" t="str">
        <f>IF(ISBLANK(INDEX('Policy Characteristics'!D:D,MATCH($C1333,'Policy Characteristics'!$C:$C,0))),"",INDEX('Policy Characteristics'!D:D,MATCH($C1333,'Policy Characteristics'!$C:$C,0)))</f>
        <v>Industry Energy Efficiency Standards</v>
      </c>
      <c r="K1333" s="254" t="str">
        <f>IF(ISBLANK(INDEX('Policy Characteristics'!E:E,MATCH($C1333,'Policy Characteristics'!$C:$C,0))),"",INDEX('Policy Characteristics'!E:E,MATCH($C1333,'Policy Characteristics'!$C:$C,0)))</f>
        <v>indst efficiency standards</v>
      </c>
      <c r="L1333" s="261">
        <f>IF(ISBLANK(INDEX('Policy Characteristics'!F:F,MATCH($C1333,'Policy Characteristics'!$C:$C,0))),"",INDEX('Policy Characteristics'!F:F,MATCH($C1333,'Policy Characteristics'!$C:$C,0)))</f>
        <v>0</v>
      </c>
      <c r="M1333" s="261">
        <f>IF(ISBLANK(INDEX('Policy Characteristics'!G:G,MATCH($C1333,'Policy Characteristics'!$C:$C,0))),"",INDEX('Policy Characteristics'!G:G,MATCH($C1333,'Policy Characteristics'!$C:$C,0)))</f>
        <v>0.25</v>
      </c>
      <c r="N1333" s="261">
        <f>IF(ISBLANK(INDEX('Policy Characteristics'!H:H,MATCH($C1333,'Policy Characteristics'!$C:$C,0))),"",INDEX('Policy Characteristics'!H:H,MATCH($C1333,'Policy Characteristics'!$C:$C,0)))</f>
        <v>0.01</v>
      </c>
      <c r="O1333" s="254" t="str">
        <f>IF(ISBLANK(INDEX('Policy Characteristics'!I:I,MATCH($C1333,'Policy Characteristics'!$C:$C,0))),"",INDEX('Policy Characteristics'!I:I,MATCH($C1333,'Policy Characteristics'!$C:$C,0)))</f>
        <v>% reduction in energy use</v>
      </c>
      <c r="P1333" s="254"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4" t="str">
        <f>IF(ISBLANK(INDEX('Policy Characteristics'!K:K,MATCH($C1333,'Policy Characteristics'!$C:$C,0))),"",INDEX('Policy Characteristics'!K:K,MATCH($C1333,'Policy Characteristics'!$C:$C,0)))</f>
        <v>industry-ag-main.html#eff-stds</v>
      </c>
      <c r="R1333" s="254" t="str">
        <f>IF(ISBLANK(INDEX('Policy Characteristics'!L:L,MATCH($C1333,'Policy Characteristics'!$C:$C,0))),"",INDEX('Policy Characteristics'!L:L,MATCH($C1333,'Policy Characteristics'!$C:$C,0)))</f>
        <v>industry-energy-efficiency-standards.html</v>
      </c>
    </row>
    <row r="1334" spans="1:18" s="4" customFormat="1" x14ac:dyDescent="0.3">
      <c r="A1334" s="254" t="str">
        <f>IF(ISBLANK(INDEX('Policy Characteristics'!A:A,MATCH($C1334,'Policy Characteristics'!$C:$C,0))),"",INDEX('Policy Characteristics'!A:A,MATCH($C1334,'Policy Characteristics'!$C:$C,0)))</f>
        <v>Industry</v>
      </c>
      <c r="B1334" s="262" t="str">
        <f>IF(ISBLANK(INDEX('Policy Characteristics'!B:B,MATCH($C1334,'Policy Characteristics'!$C:$C,0))),"",INDEX('Policy Characteristics'!B:B,MATCH($C1334,'Policy Characteristics'!$C:$C,0)))</f>
        <v>Industry Energy Efficiency Standards</v>
      </c>
      <c r="C1334" s="254" t="str">
        <f t="shared" si="48"/>
        <v>Percentage Improvement in Eqpt Efficiency Standards above BAU</v>
      </c>
      <c r="D1334" s="6" t="s">
        <v>3065</v>
      </c>
      <c r="E1334" s="45" t="s">
        <v>2708</v>
      </c>
      <c r="F1334" t="s">
        <v>3029</v>
      </c>
      <c r="G1334" s="45" t="s">
        <v>2712</v>
      </c>
      <c r="H1334" s="43">
        <v>1006</v>
      </c>
      <c r="I1334" s="324" t="s">
        <v>43</v>
      </c>
      <c r="J1334" s="255" t="str">
        <f>IF(ISBLANK(INDEX('Policy Characteristics'!D:D,MATCH($C1334,'Policy Characteristics'!$C:$C,0))),"",INDEX('Policy Characteristics'!D:D,MATCH($C1334,'Policy Characteristics'!$C:$C,0)))</f>
        <v>Industry Energy Efficiency Standards</v>
      </c>
      <c r="K1334" s="254" t="str">
        <f>IF(ISBLANK(INDEX('Policy Characteristics'!E:E,MATCH($C1334,'Policy Characteristics'!$C:$C,0))),"",INDEX('Policy Characteristics'!E:E,MATCH($C1334,'Policy Characteristics'!$C:$C,0)))</f>
        <v>indst efficiency standards</v>
      </c>
      <c r="L1334" s="261">
        <f>IF(ISBLANK(INDEX('Policy Characteristics'!F:F,MATCH($C1334,'Policy Characteristics'!$C:$C,0))),"",INDEX('Policy Characteristics'!F:F,MATCH($C1334,'Policy Characteristics'!$C:$C,0)))</f>
        <v>0</v>
      </c>
      <c r="M1334" s="261">
        <f>IF(ISBLANK(INDEX('Policy Characteristics'!G:G,MATCH($C1334,'Policy Characteristics'!$C:$C,0))),"",INDEX('Policy Characteristics'!G:G,MATCH($C1334,'Policy Characteristics'!$C:$C,0)))</f>
        <v>0.25</v>
      </c>
      <c r="N1334" s="261">
        <f>IF(ISBLANK(INDEX('Policy Characteristics'!H:H,MATCH($C1334,'Policy Characteristics'!$C:$C,0))),"",INDEX('Policy Characteristics'!H:H,MATCH($C1334,'Policy Characteristics'!$C:$C,0)))</f>
        <v>0.01</v>
      </c>
      <c r="O1334" s="254" t="str">
        <f>IF(ISBLANK(INDEX('Policy Characteristics'!I:I,MATCH($C1334,'Policy Characteristics'!$C:$C,0))),"",INDEX('Policy Characteristics'!I:I,MATCH($C1334,'Policy Characteristics'!$C:$C,0)))</f>
        <v>% reduction in energy use</v>
      </c>
      <c r="P1334" s="254"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4" t="str">
        <f>IF(ISBLANK(INDEX('Policy Characteristics'!K:K,MATCH($C1334,'Policy Characteristics'!$C:$C,0))),"",INDEX('Policy Characteristics'!K:K,MATCH($C1334,'Policy Characteristics'!$C:$C,0)))</f>
        <v>industry-ag-main.html#eff-stds</v>
      </c>
      <c r="R1334" s="254" t="str">
        <f>IF(ISBLANK(INDEX('Policy Characteristics'!L:L,MATCH($C1334,'Policy Characteristics'!$C:$C,0))),"",INDEX('Policy Characteristics'!L:L,MATCH($C1334,'Policy Characteristics'!$C:$C,0)))</f>
        <v>industry-energy-efficiency-standards.html</v>
      </c>
    </row>
    <row r="1335" spans="1:18" s="4" customFormat="1" x14ac:dyDescent="0.3">
      <c r="A1335" s="254" t="str">
        <f>IF(ISBLANK(INDEX('Policy Characteristics'!A:A,MATCH($C1335,'Policy Characteristics'!$C:$C,0))),"",INDEX('Policy Characteristics'!A:A,MATCH($C1335,'Policy Characteristics'!$C:$C,0)))</f>
        <v>Industry</v>
      </c>
      <c r="B1335" s="262" t="str">
        <f>IF(ISBLANK(INDEX('Policy Characteristics'!B:B,MATCH($C1335,'Policy Characteristics'!$C:$C,0))),"",INDEX('Policy Characteristics'!B:B,MATCH($C1335,'Policy Characteristics'!$C:$C,0)))</f>
        <v>Industry Energy Efficiency Standards</v>
      </c>
      <c r="C1335" s="254" t="str">
        <f t="shared" si="48"/>
        <v>Percentage Improvement in Eqpt Efficiency Standards above BAU</v>
      </c>
      <c r="D1335" s="6" t="s">
        <v>3065</v>
      </c>
      <c r="E1335" s="45" t="s">
        <v>2705</v>
      </c>
      <c r="F1335" t="s">
        <v>3029</v>
      </c>
      <c r="G1335" s="45" t="s">
        <v>2710</v>
      </c>
      <c r="H1335" s="43">
        <v>1007</v>
      </c>
      <c r="I1335" s="324" t="s">
        <v>44</v>
      </c>
      <c r="J1335" s="255" t="str">
        <f>IF(ISBLANK(INDEX('Policy Characteristics'!D:D,MATCH($C1335,'Policy Characteristics'!$C:$C,0))),"",INDEX('Policy Characteristics'!D:D,MATCH($C1335,'Policy Characteristics'!$C:$C,0)))</f>
        <v>Industry Energy Efficiency Standards</v>
      </c>
      <c r="K1335" s="254" t="str">
        <f>IF(ISBLANK(INDEX('Policy Characteristics'!E:E,MATCH($C1335,'Policy Characteristics'!$C:$C,0))),"",INDEX('Policy Characteristics'!E:E,MATCH($C1335,'Policy Characteristics'!$C:$C,0)))</f>
        <v>indst efficiency standards</v>
      </c>
      <c r="L1335" s="261">
        <f>IF(ISBLANK(INDEX('Policy Characteristics'!F:F,MATCH($C1335,'Policy Characteristics'!$C:$C,0))),"",INDEX('Policy Characteristics'!F:F,MATCH($C1335,'Policy Characteristics'!$C:$C,0)))</f>
        <v>0</v>
      </c>
      <c r="M1335" s="261">
        <f>IF(ISBLANK(INDEX('Policy Characteristics'!G:G,MATCH($C1335,'Policy Characteristics'!$C:$C,0))),"",INDEX('Policy Characteristics'!G:G,MATCH($C1335,'Policy Characteristics'!$C:$C,0)))</f>
        <v>0.25</v>
      </c>
      <c r="N1335" s="261">
        <f>IF(ISBLANK(INDEX('Policy Characteristics'!H:H,MATCH($C1335,'Policy Characteristics'!$C:$C,0))),"",INDEX('Policy Characteristics'!H:H,MATCH($C1335,'Policy Characteristics'!$C:$C,0)))</f>
        <v>0.01</v>
      </c>
      <c r="O1335" s="254" t="str">
        <f>IF(ISBLANK(INDEX('Policy Characteristics'!I:I,MATCH($C1335,'Policy Characteristics'!$C:$C,0))),"",INDEX('Policy Characteristics'!I:I,MATCH($C1335,'Policy Characteristics'!$C:$C,0)))</f>
        <v>% reduction in energy use</v>
      </c>
      <c r="P1335" s="254"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4" t="str">
        <f>IF(ISBLANK(INDEX('Policy Characteristics'!K:K,MATCH($C1335,'Policy Characteristics'!$C:$C,0))),"",INDEX('Policy Characteristics'!K:K,MATCH($C1335,'Policy Characteristics'!$C:$C,0)))</f>
        <v>industry-ag-main.html#eff-stds</v>
      </c>
      <c r="R1335" s="254" t="str">
        <f>IF(ISBLANK(INDEX('Policy Characteristics'!L:L,MATCH($C1335,'Policy Characteristics'!$C:$C,0))),"",INDEX('Policy Characteristics'!L:L,MATCH($C1335,'Policy Characteristics'!$C:$C,0)))</f>
        <v>industry-energy-efficiency-standards.html</v>
      </c>
    </row>
    <row r="1336" spans="1:18" s="4" customFormat="1" x14ac:dyDescent="0.3">
      <c r="A1336" s="254" t="str">
        <f>IF(ISBLANK(INDEX('Policy Characteristics'!A:A,MATCH($C1336,'Policy Characteristics'!$C:$C,0))),"",INDEX('Policy Characteristics'!A:A,MATCH($C1336,'Policy Characteristics'!$C:$C,0)))</f>
        <v>Industry</v>
      </c>
      <c r="B1336" s="262" t="str">
        <f>IF(ISBLANK(INDEX('Policy Characteristics'!B:B,MATCH($C1336,'Policy Characteristics'!$C:$C,0))),"",INDEX('Policy Characteristics'!B:B,MATCH($C1336,'Policy Characteristics'!$C:$C,0)))</f>
        <v>Industry Energy Efficiency Standards</v>
      </c>
      <c r="C1336" s="254" t="str">
        <f t="shared" si="48"/>
        <v>Percentage Improvement in Eqpt Efficiency Standards above BAU</v>
      </c>
      <c r="D1336" s="6" t="s">
        <v>3066</v>
      </c>
      <c r="E1336" s="45" t="s">
        <v>2399</v>
      </c>
      <c r="F1336" t="s">
        <v>3030</v>
      </c>
      <c r="G1336" s="45" t="s">
        <v>2405</v>
      </c>
      <c r="H1336" s="43">
        <v>1008</v>
      </c>
      <c r="I1336" s="324" t="s">
        <v>43</v>
      </c>
      <c r="J1336" s="255" t="str">
        <f>IF(ISBLANK(INDEX('Policy Characteristics'!D:D,MATCH($C1336,'Policy Characteristics'!$C:$C,0))),"",INDEX('Policy Characteristics'!D:D,MATCH($C1336,'Policy Characteristics'!$C:$C,0)))</f>
        <v>Industry Energy Efficiency Standards</v>
      </c>
      <c r="K1336" s="254" t="str">
        <f>IF(ISBLANK(INDEX('Policy Characteristics'!E:E,MATCH($C1336,'Policy Characteristics'!$C:$C,0))),"",INDEX('Policy Characteristics'!E:E,MATCH($C1336,'Policy Characteristics'!$C:$C,0)))</f>
        <v>indst efficiency standards</v>
      </c>
      <c r="L1336" s="261">
        <f>IF(ISBLANK(INDEX('Policy Characteristics'!F:F,MATCH($C1336,'Policy Characteristics'!$C:$C,0))),"",INDEX('Policy Characteristics'!F:F,MATCH($C1336,'Policy Characteristics'!$C:$C,0)))</f>
        <v>0</v>
      </c>
      <c r="M1336" s="261">
        <f>IF(ISBLANK(INDEX('Policy Characteristics'!G:G,MATCH($C1336,'Policy Characteristics'!$C:$C,0))),"",INDEX('Policy Characteristics'!G:G,MATCH($C1336,'Policy Characteristics'!$C:$C,0)))</f>
        <v>0.25</v>
      </c>
      <c r="N1336" s="261">
        <f>IF(ISBLANK(INDEX('Policy Characteristics'!H:H,MATCH($C1336,'Policy Characteristics'!$C:$C,0))),"",INDEX('Policy Characteristics'!H:H,MATCH($C1336,'Policy Characteristics'!$C:$C,0)))</f>
        <v>0.01</v>
      </c>
      <c r="O1336" s="254" t="str">
        <f>IF(ISBLANK(INDEX('Policy Characteristics'!I:I,MATCH($C1336,'Policy Characteristics'!$C:$C,0))),"",INDEX('Policy Characteristics'!I:I,MATCH($C1336,'Policy Characteristics'!$C:$C,0)))</f>
        <v>% reduction in energy use</v>
      </c>
      <c r="P1336" s="254"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4" t="str">
        <f>IF(ISBLANK(INDEX('Policy Characteristics'!K:K,MATCH($C1336,'Policy Characteristics'!$C:$C,0))),"",INDEX('Policy Characteristics'!K:K,MATCH($C1336,'Policy Characteristics'!$C:$C,0)))</f>
        <v>industry-ag-main.html#eff-stds</v>
      </c>
      <c r="R1336" s="254" t="str">
        <f>IF(ISBLANK(INDEX('Policy Characteristics'!L:L,MATCH($C1336,'Policy Characteristics'!$C:$C,0))),"",INDEX('Policy Characteristics'!L:L,MATCH($C1336,'Policy Characteristics'!$C:$C,0)))</f>
        <v>industry-energy-efficiency-standards.html</v>
      </c>
    </row>
    <row r="1337" spans="1:18" s="4" customFormat="1" x14ac:dyDescent="0.3">
      <c r="A1337" s="254" t="str">
        <f>IF(ISBLANK(INDEX('Policy Characteristics'!A:A,MATCH($C1337,'Policy Characteristics'!$C:$C,0))),"",INDEX('Policy Characteristics'!A:A,MATCH($C1337,'Policy Characteristics'!$C:$C,0)))</f>
        <v>Industry</v>
      </c>
      <c r="B1337" s="262" t="str">
        <f>IF(ISBLANK(INDEX('Policy Characteristics'!B:B,MATCH($C1337,'Policy Characteristics'!$C:$C,0))),"",INDEX('Policy Characteristics'!B:B,MATCH($C1337,'Policy Characteristics'!$C:$C,0)))</f>
        <v>Industry Energy Efficiency Standards</v>
      </c>
      <c r="C1337" s="254" t="str">
        <f t="shared" si="48"/>
        <v>Percentage Improvement in Eqpt Efficiency Standards above BAU</v>
      </c>
      <c r="D1337" s="6" t="s">
        <v>3066</v>
      </c>
      <c r="E1337" s="45" t="s">
        <v>2400</v>
      </c>
      <c r="F1337" t="s">
        <v>3030</v>
      </c>
      <c r="G1337" s="45" t="s">
        <v>2408</v>
      </c>
      <c r="H1337" s="43">
        <v>1009</v>
      </c>
      <c r="I1337" s="324" t="s">
        <v>43</v>
      </c>
      <c r="J1337" s="255" t="str">
        <f>IF(ISBLANK(INDEX('Policy Characteristics'!D:D,MATCH($C1337,'Policy Characteristics'!$C:$C,0))),"",INDEX('Policy Characteristics'!D:D,MATCH($C1337,'Policy Characteristics'!$C:$C,0)))</f>
        <v>Industry Energy Efficiency Standards</v>
      </c>
      <c r="K1337" s="254" t="str">
        <f>IF(ISBLANK(INDEX('Policy Characteristics'!E:E,MATCH($C1337,'Policy Characteristics'!$C:$C,0))),"",INDEX('Policy Characteristics'!E:E,MATCH($C1337,'Policy Characteristics'!$C:$C,0)))</f>
        <v>indst efficiency standards</v>
      </c>
      <c r="L1337" s="261">
        <f>IF(ISBLANK(INDEX('Policy Characteristics'!F:F,MATCH($C1337,'Policy Characteristics'!$C:$C,0))),"",INDEX('Policy Characteristics'!F:F,MATCH($C1337,'Policy Characteristics'!$C:$C,0)))</f>
        <v>0</v>
      </c>
      <c r="M1337" s="261">
        <f>IF(ISBLANK(INDEX('Policy Characteristics'!G:G,MATCH($C1337,'Policy Characteristics'!$C:$C,0))),"",INDEX('Policy Characteristics'!G:G,MATCH($C1337,'Policy Characteristics'!$C:$C,0)))</f>
        <v>0.25</v>
      </c>
      <c r="N1337" s="261">
        <f>IF(ISBLANK(INDEX('Policy Characteristics'!H:H,MATCH($C1337,'Policy Characteristics'!$C:$C,0))),"",INDEX('Policy Characteristics'!H:H,MATCH($C1337,'Policy Characteristics'!$C:$C,0)))</f>
        <v>0.01</v>
      </c>
      <c r="O1337" s="254" t="str">
        <f>IF(ISBLANK(INDEX('Policy Characteristics'!I:I,MATCH($C1337,'Policy Characteristics'!$C:$C,0))),"",INDEX('Policy Characteristics'!I:I,MATCH($C1337,'Policy Characteristics'!$C:$C,0)))</f>
        <v>% reduction in energy use</v>
      </c>
      <c r="P1337" s="254"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4" t="str">
        <f>IF(ISBLANK(INDEX('Policy Characteristics'!K:K,MATCH($C1337,'Policy Characteristics'!$C:$C,0))),"",INDEX('Policy Characteristics'!K:K,MATCH($C1337,'Policy Characteristics'!$C:$C,0)))</f>
        <v>industry-ag-main.html#eff-stds</v>
      </c>
      <c r="R1337" s="254" t="str">
        <f>IF(ISBLANK(INDEX('Policy Characteristics'!L:L,MATCH($C1337,'Policy Characteristics'!$C:$C,0))),"",INDEX('Policy Characteristics'!L:L,MATCH($C1337,'Policy Characteristics'!$C:$C,0)))</f>
        <v>industry-energy-efficiency-standards.html</v>
      </c>
    </row>
    <row r="1338" spans="1:18" s="4" customFormat="1" x14ac:dyDescent="0.3">
      <c r="A1338" s="254" t="str">
        <f>IF(ISBLANK(INDEX('Policy Characteristics'!A:A,MATCH($C1338,'Policy Characteristics'!$C:$C,0))),"",INDEX('Policy Characteristics'!A:A,MATCH($C1338,'Policy Characteristics'!$C:$C,0)))</f>
        <v>Industry</v>
      </c>
      <c r="B1338" s="262" t="str">
        <f>IF(ISBLANK(INDEX('Policy Characteristics'!B:B,MATCH($C1338,'Policy Characteristics'!$C:$C,0))),"",INDEX('Policy Characteristics'!B:B,MATCH($C1338,'Policy Characteristics'!$C:$C,0)))</f>
        <v>Industry Energy Efficiency Standards</v>
      </c>
      <c r="C1338" s="254" t="str">
        <f t="shared" si="48"/>
        <v>Percentage Improvement in Eqpt Efficiency Standards above BAU</v>
      </c>
      <c r="D1338" s="6" t="s">
        <v>3066</v>
      </c>
      <c r="E1338" s="45" t="s">
        <v>2401</v>
      </c>
      <c r="F1338" t="s">
        <v>3030</v>
      </c>
      <c r="G1338" s="45" t="s">
        <v>2409</v>
      </c>
      <c r="H1338" s="43">
        <v>1010</v>
      </c>
      <c r="I1338" s="324" t="s">
        <v>43</v>
      </c>
      <c r="J1338" s="255" t="str">
        <f>IF(ISBLANK(INDEX('Policy Characteristics'!D:D,MATCH($C1338,'Policy Characteristics'!$C:$C,0))),"",INDEX('Policy Characteristics'!D:D,MATCH($C1338,'Policy Characteristics'!$C:$C,0)))</f>
        <v>Industry Energy Efficiency Standards</v>
      </c>
      <c r="K1338" s="254" t="str">
        <f>IF(ISBLANK(INDEX('Policy Characteristics'!E:E,MATCH($C1338,'Policy Characteristics'!$C:$C,0))),"",INDEX('Policy Characteristics'!E:E,MATCH($C1338,'Policy Characteristics'!$C:$C,0)))</f>
        <v>indst efficiency standards</v>
      </c>
      <c r="L1338" s="261">
        <f>IF(ISBLANK(INDEX('Policy Characteristics'!F:F,MATCH($C1338,'Policy Characteristics'!$C:$C,0))),"",INDEX('Policy Characteristics'!F:F,MATCH($C1338,'Policy Characteristics'!$C:$C,0)))</f>
        <v>0</v>
      </c>
      <c r="M1338" s="261">
        <f>IF(ISBLANK(INDEX('Policy Characteristics'!G:G,MATCH($C1338,'Policy Characteristics'!$C:$C,0))),"",INDEX('Policy Characteristics'!G:G,MATCH($C1338,'Policy Characteristics'!$C:$C,0)))</f>
        <v>0.25</v>
      </c>
      <c r="N1338" s="261">
        <f>IF(ISBLANK(INDEX('Policy Characteristics'!H:H,MATCH($C1338,'Policy Characteristics'!$C:$C,0))),"",INDEX('Policy Characteristics'!H:H,MATCH($C1338,'Policy Characteristics'!$C:$C,0)))</f>
        <v>0.01</v>
      </c>
      <c r="O1338" s="254" t="str">
        <f>IF(ISBLANK(INDEX('Policy Characteristics'!I:I,MATCH($C1338,'Policy Characteristics'!$C:$C,0))),"",INDEX('Policy Characteristics'!I:I,MATCH($C1338,'Policy Characteristics'!$C:$C,0)))</f>
        <v>% reduction in energy use</v>
      </c>
      <c r="P1338" s="254"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4" t="str">
        <f>IF(ISBLANK(INDEX('Policy Characteristics'!K:K,MATCH($C1338,'Policy Characteristics'!$C:$C,0))),"",INDEX('Policy Characteristics'!K:K,MATCH($C1338,'Policy Characteristics'!$C:$C,0)))</f>
        <v>industry-ag-main.html#eff-stds</v>
      </c>
      <c r="R1338" s="254" t="str">
        <f>IF(ISBLANK(INDEX('Policy Characteristics'!L:L,MATCH($C1338,'Policy Characteristics'!$C:$C,0))),"",INDEX('Policy Characteristics'!L:L,MATCH($C1338,'Policy Characteristics'!$C:$C,0)))</f>
        <v>industry-energy-efficiency-standards.html</v>
      </c>
    </row>
    <row r="1339" spans="1:18" s="4" customFormat="1" x14ac:dyDescent="0.3">
      <c r="A1339" s="254" t="str">
        <f>IF(ISBLANK(INDEX('Policy Characteristics'!A:A,MATCH($C1339,'Policy Characteristics'!$C:$C,0))),"",INDEX('Policy Characteristics'!A:A,MATCH($C1339,'Policy Characteristics'!$C:$C,0)))</f>
        <v>Industry</v>
      </c>
      <c r="B1339" s="262" t="str">
        <f>IF(ISBLANK(INDEX('Policy Characteristics'!B:B,MATCH($C1339,'Policy Characteristics'!$C:$C,0))),"",INDEX('Policy Characteristics'!B:B,MATCH($C1339,'Policy Characteristics'!$C:$C,0)))</f>
        <v>Industry Energy Efficiency Standards</v>
      </c>
      <c r="C1339" s="254" t="str">
        <f t="shared" si="48"/>
        <v>Percentage Improvement in Eqpt Efficiency Standards above BAU</v>
      </c>
      <c r="D1339" s="6" t="s">
        <v>3066</v>
      </c>
      <c r="E1339" s="45" t="s">
        <v>2402</v>
      </c>
      <c r="F1339" t="s">
        <v>3030</v>
      </c>
      <c r="G1339" s="45" t="s">
        <v>2406</v>
      </c>
      <c r="H1339" s="43">
        <v>1011</v>
      </c>
      <c r="I1339" s="324" t="s">
        <v>44</v>
      </c>
      <c r="J1339" s="255" t="str">
        <f>IF(ISBLANK(INDEX('Policy Characteristics'!D:D,MATCH($C1339,'Policy Characteristics'!$C:$C,0))),"",INDEX('Policy Characteristics'!D:D,MATCH($C1339,'Policy Characteristics'!$C:$C,0)))</f>
        <v>Industry Energy Efficiency Standards</v>
      </c>
      <c r="K1339" s="254" t="str">
        <f>IF(ISBLANK(INDEX('Policy Characteristics'!E:E,MATCH($C1339,'Policy Characteristics'!$C:$C,0))),"",INDEX('Policy Characteristics'!E:E,MATCH($C1339,'Policy Characteristics'!$C:$C,0)))</f>
        <v>indst efficiency standards</v>
      </c>
      <c r="L1339" s="261">
        <f>IF(ISBLANK(INDEX('Policy Characteristics'!F:F,MATCH($C1339,'Policy Characteristics'!$C:$C,0))),"",INDEX('Policy Characteristics'!F:F,MATCH($C1339,'Policy Characteristics'!$C:$C,0)))</f>
        <v>0</v>
      </c>
      <c r="M1339" s="261">
        <f>IF(ISBLANK(INDEX('Policy Characteristics'!G:G,MATCH($C1339,'Policy Characteristics'!$C:$C,0))),"",INDEX('Policy Characteristics'!G:G,MATCH($C1339,'Policy Characteristics'!$C:$C,0)))</f>
        <v>0.25</v>
      </c>
      <c r="N1339" s="261">
        <f>IF(ISBLANK(INDEX('Policy Characteristics'!H:H,MATCH($C1339,'Policy Characteristics'!$C:$C,0))),"",INDEX('Policy Characteristics'!H:H,MATCH($C1339,'Policy Characteristics'!$C:$C,0)))</f>
        <v>0.01</v>
      </c>
      <c r="O1339" s="254" t="str">
        <f>IF(ISBLANK(INDEX('Policy Characteristics'!I:I,MATCH($C1339,'Policy Characteristics'!$C:$C,0))),"",INDEX('Policy Characteristics'!I:I,MATCH($C1339,'Policy Characteristics'!$C:$C,0)))</f>
        <v>% reduction in energy use</v>
      </c>
      <c r="P1339" s="254"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4" t="str">
        <f>IF(ISBLANK(INDEX('Policy Characteristics'!K:K,MATCH($C1339,'Policy Characteristics'!$C:$C,0))),"",INDEX('Policy Characteristics'!K:K,MATCH($C1339,'Policy Characteristics'!$C:$C,0)))</f>
        <v>industry-ag-main.html#eff-stds</v>
      </c>
      <c r="R1339" s="254" t="str">
        <f>IF(ISBLANK(INDEX('Policy Characteristics'!L:L,MATCH($C1339,'Policy Characteristics'!$C:$C,0))),"",INDEX('Policy Characteristics'!L:L,MATCH($C1339,'Policy Characteristics'!$C:$C,0)))</f>
        <v>industry-energy-efficiency-standards.html</v>
      </c>
    </row>
    <row r="1340" spans="1:18" s="4" customFormat="1" x14ac:dyDescent="0.3">
      <c r="A1340" s="254" t="str">
        <f>IF(ISBLANK(INDEX('Policy Characteristics'!A:A,MATCH($C1340,'Policy Characteristics'!$C:$C,0))),"",INDEX('Policy Characteristics'!A:A,MATCH($C1340,'Policy Characteristics'!$C:$C,0)))</f>
        <v>Industry</v>
      </c>
      <c r="B1340" s="262" t="str">
        <f>IF(ISBLANK(INDEX('Policy Characteristics'!B:B,MATCH($C1340,'Policy Characteristics'!$C:$C,0))),"",INDEX('Policy Characteristics'!B:B,MATCH($C1340,'Policy Characteristics'!$C:$C,0)))</f>
        <v>Industry Energy Efficiency Standards</v>
      </c>
      <c r="C1340" s="254" t="str">
        <f t="shared" si="48"/>
        <v>Percentage Improvement in Eqpt Efficiency Standards above BAU</v>
      </c>
      <c r="D1340" s="6" t="s">
        <v>3066</v>
      </c>
      <c r="E1340" s="45" t="s">
        <v>2403</v>
      </c>
      <c r="F1340" t="s">
        <v>3030</v>
      </c>
      <c r="G1340" s="45" t="s">
        <v>2407</v>
      </c>
      <c r="H1340" s="43">
        <v>1012</v>
      </c>
      <c r="I1340" s="324" t="s">
        <v>43</v>
      </c>
      <c r="J1340" s="255" t="str">
        <f>IF(ISBLANK(INDEX('Policy Characteristics'!D:D,MATCH($C1340,'Policy Characteristics'!$C:$C,0))),"",INDEX('Policy Characteristics'!D:D,MATCH($C1340,'Policy Characteristics'!$C:$C,0)))</f>
        <v>Industry Energy Efficiency Standards</v>
      </c>
      <c r="K1340" s="254" t="str">
        <f>IF(ISBLANK(INDEX('Policy Characteristics'!E:E,MATCH($C1340,'Policy Characteristics'!$C:$C,0))),"",INDEX('Policy Characteristics'!E:E,MATCH($C1340,'Policy Characteristics'!$C:$C,0)))</f>
        <v>indst efficiency standards</v>
      </c>
      <c r="L1340" s="261">
        <f>IF(ISBLANK(INDEX('Policy Characteristics'!F:F,MATCH($C1340,'Policy Characteristics'!$C:$C,0))),"",INDEX('Policy Characteristics'!F:F,MATCH($C1340,'Policy Characteristics'!$C:$C,0)))</f>
        <v>0</v>
      </c>
      <c r="M1340" s="261">
        <f>IF(ISBLANK(INDEX('Policy Characteristics'!G:G,MATCH($C1340,'Policy Characteristics'!$C:$C,0))),"",INDEX('Policy Characteristics'!G:G,MATCH($C1340,'Policy Characteristics'!$C:$C,0)))</f>
        <v>0.25</v>
      </c>
      <c r="N1340" s="261">
        <f>IF(ISBLANK(INDEX('Policy Characteristics'!H:H,MATCH($C1340,'Policy Characteristics'!$C:$C,0))),"",INDEX('Policy Characteristics'!H:H,MATCH($C1340,'Policy Characteristics'!$C:$C,0)))</f>
        <v>0.01</v>
      </c>
      <c r="O1340" s="254" t="str">
        <f>IF(ISBLANK(INDEX('Policy Characteristics'!I:I,MATCH($C1340,'Policy Characteristics'!$C:$C,0))),"",INDEX('Policy Characteristics'!I:I,MATCH($C1340,'Policy Characteristics'!$C:$C,0)))</f>
        <v>% reduction in energy use</v>
      </c>
      <c r="P1340" s="254"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4" t="str">
        <f>IF(ISBLANK(INDEX('Policy Characteristics'!K:K,MATCH($C1340,'Policy Characteristics'!$C:$C,0))),"",INDEX('Policy Characteristics'!K:K,MATCH($C1340,'Policy Characteristics'!$C:$C,0)))</f>
        <v>industry-ag-main.html#eff-stds</v>
      </c>
      <c r="R1340" s="254" t="str">
        <f>IF(ISBLANK(INDEX('Policy Characteristics'!L:L,MATCH($C1340,'Policy Characteristics'!$C:$C,0))),"",INDEX('Policy Characteristics'!L:L,MATCH($C1340,'Policy Characteristics'!$C:$C,0)))</f>
        <v>industry-energy-efficiency-standards.html</v>
      </c>
    </row>
    <row r="1341" spans="1:18" s="4" customFormat="1" x14ac:dyDescent="0.3">
      <c r="A1341" s="254" t="str">
        <f>IF(ISBLANK(INDEX('Policy Characteristics'!A:A,MATCH($C1341,'Policy Characteristics'!$C:$C,0))),"",INDEX('Policy Characteristics'!A:A,MATCH($C1341,'Policy Characteristics'!$C:$C,0)))</f>
        <v>Industry</v>
      </c>
      <c r="B1341" s="262" t="str">
        <f>IF(ISBLANK(INDEX('Policy Characteristics'!B:B,MATCH($C1341,'Policy Characteristics'!$C:$C,0))),"",INDEX('Policy Characteristics'!B:B,MATCH($C1341,'Policy Characteristics'!$C:$C,0)))</f>
        <v>Industry Energy Efficiency Standards</v>
      </c>
      <c r="C1341" s="254" t="str">
        <f t="shared" si="48"/>
        <v>Percentage Improvement in Eqpt Efficiency Standards above BAU</v>
      </c>
      <c r="D1341" s="6" t="s">
        <v>3066</v>
      </c>
      <c r="E1341" s="45" t="s">
        <v>2404</v>
      </c>
      <c r="F1341" t="s">
        <v>3030</v>
      </c>
      <c r="G1341" s="45" t="s">
        <v>2410</v>
      </c>
      <c r="H1341" s="43">
        <v>1013</v>
      </c>
      <c r="I1341" s="324" t="s">
        <v>44</v>
      </c>
      <c r="J1341" s="255" t="str">
        <f>IF(ISBLANK(INDEX('Policy Characteristics'!D:D,MATCH($C1341,'Policy Characteristics'!$C:$C,0))),"",INDEX('Policy Characteristics'!D:D,MATCH($C1341,'Policy Characteristics'!$C:$C,0)))</f>
        <v>Industry Energy Efficiency Standards</v>
      </c>
      <c r="K1341" s="254" t="str">
        <f>IF(ISBLANK(INDEX('Policy Characteristics'!E:E,MATCH($C1341,'Policy Characteristics'!$C:$C,0))),"",INDEX('Policy Characteristics'!E:E,MATCH($C1341,'Policy Characteristics'!$C:$C,0)))</f>
        <v>indst efficiency standards</v>
      </c>
      <c r="L1341" s="261">
        <f>IF(ISBLANK(INDEX('Policy Characteristics'!F:F,MATCH($C1341,'Policy Characteristics'!$C:$C,0))),"",INDEX('Policy Characteristics'!F:F,MATCH($C1341,'Policy Characteristics'!$C:$C,0)))</f>
        <v>0</v>
      </c>
      <c r="M1341" s="261">
        <f>IF(ISBLANK(INDEX('Policy Characteristics'!G:G,MATCH($C1341,'Policy Characteristics'!$C:$C,0))),"",INDEX('Policy Characteristics'!G:G,MATCH($C1341,'Policy Characteristics'!$C:$C,0)))</f>
        <v>0.25</v>
      </c>
      <c r="N1341" s="261">
        <f>IF(ISBLANK(INDEX('Policy Characteristics'!H:H,MATCH($C1341,'Policy Characteristics'!$C:$C,0))),"",INDEX('Policy Characteristics'!H:H,MATCH($C1341,'Policy Characteristics'!$C:$C,0)))</f>
        <v>0.01</v>
      </c>
      <c r="O1341" s="254" t="str">
        <f>IF(ISBLANK(INDEX('Policy Characteristics'!I:I,MATCH($C1341,'Policy Characteristics'!$C:$C,0))),"",INDEX('Policy Characteristics'!I:I,MATCH($C1341,'Policy Characteristics'!$C:$C,0)))</f>
        <v>% reduction in energy use</v>
      </c>
      <c r="P1341" s="254"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4" t="str">
        <f>IF(ISBLANK(INDEX('Policy Characteristics'!K:K,MATCH($C1341,'Policy Characteristics'!$C:$C,0))),"",INDEX('Policy Characteristics'!K:K,MATCH($C1341,'Policy Characteristics'!$C:$C,0)))</f>
        <v>industry-ag-main.html#eff-stds</v>
      </c>
      <c r="R1341" s="254" t="str">
        <f>IF(ISBLANK(INDEX('Policy Characteristics'!L:L,MATCH($C1341,'Policy Characteristics'!$C:$C,0))),"",INDEX('Policy Characteristics'!L:L,MATCH($C1341,'Policy Characteristics'!$C:$C,0)))</f>
        <v>industry-energy-efficiency-standards.html</v>
      </c>
    </row>
    <row r="1342" spans="1:18" s="4" customFormat="1" x14ac:dyDescent="0.3">
      <c r="A1342" s="254" t="str">
        <f>IF(ISBLANK(INDEX('Policy Characteristics'!A:A,MATCH($C1342,'Policy Characteristics'!$C:$C,0))),"",INDEX('Policy Characteristics'!A:A,MATCH($C1342,'Policy Characteristics'!$C:$C,0)))</f>
        <v>Industry</v>
      </c>
      <c r="B1342" s="262" t="str">
        <f>IF(ISBLANK(INDEX('Policy Characteristics'!B:B,MATCH($C1342,'Policy Characteristics'!$C:$C,0))),"",INDEX('Policy Characteristics'!B:B,MATCH($C1342,'Policy Characteristics'!$C:$C,0)))</f>
        <v>Industry Energy Efficiency Standards</v>
      </c>
      <c r="C1342" s="254" t="str">
        <f t="shared" si="48"/>
        <v>Percentage Improvement in Eqpt Efficiency Standards above BAU</v>
      </c>
      <c r="D1342" s="6" t="s">
        <v>3066</v>
      </c>
      <c r="E1342" s="45" t="s">
        <v>2706</v>
      </c>
      <c r="F1342" t="s">
        <v>3030</v>
      </c>
      <c r="G1342" s="45" t="s">
        <v>2709</v>
      </c>
      <c r="H1342" s="43">
        <v>1014</v>
      </c>
      <c r="I1342" s="324" t="s">
        <v>44</v>
      </c>
      <c r="J1342" s="255" t="str">
        <f>IF(ISBLANK(INDEX('Policy Characteristics'!D:D,MATCH($C1342,'Policy Characteristics'!$C:$C,0))),"",INDEX('Policy Characteristics'!D:D,MATCH($C1342,'Policy Characteristics'!$C:$C,0)))</f>
        <v>Industry Energy Efficiency Standards</v>
      </c>
      <c r="K1342" s="254" t="str">
        <f>IF(ISBLANK(INDEX('Policy Characteristics'!E:E,MATCH($C1342,'Policy Characteristics'!$C:$C,0))),"",INDEX('Policy Characteristics'!E:E,MATCH($C1342,'Policy Characteristics'!$C:$C,0)))</f>
        <v>indst efficiency standards</v>
      </c>
      <c r="L1342" s="261">
        <f>IF(ISBLANK(INDEX('Policy Characteristics'!F:F,MATCH($C1342,'Policy Characteristics'!$C:$C,0))),"",INDEX('Policy Characteristics'!F:F,MATCH($C1342,'Policy Characteristics'!$C:$C,0)))</f>
        <v>0</v>
      </c>
      <c r="M1342" s="261">
        <f>IF(ISBLANK(INDEX('Policy Characteristics'!G:G,MATCH($C1342,'Policy Characteristics'!$C:$C,0))),"",INDEX('Policy Characteristics'!G:G,MATCH($C1342,'Policy Characteristics'!$C:$C,0)))</f>
        <v>0.25</v>
      </c>
      <c r="N1342" s="261">
        <f>IF(ISBLANK(INDEX('Policy Characteristics'!H:H,MATCH($C1342,'Policy Characteristics'!$C:$C,0))),"",INDEX('Policy Characteristics'!H:H,MATCH($C1342,'Policy Characteristics'!$C:$C,0)))</f>
        <v>0.01</v>
      </c>
      <c r="O1342" s="254" t="str">
        <f>IF(ISBLANK(INDEX('Policy Characteristics'!I:I,MATCH($C1342,'Policy Characteristics'!$C:$C,0))),"",INDEX('Policy Characteristics'!I:I,MATCH($C1342,'Policy Characteristics'!$C:$C,0)))</f>
        <v>% reduction in energy use</v>
      </c>
      <c r="P1342" s="254"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4" t="str">
        <f>IF(ISBLANK(INDEX('Policy Characteristics'!K:K,MATCH($C1342,'Policy Characteristics'!$C:$C,0))),"",INDEX('Policy Characteristics'!K:K,MATCH($C1342,'Policy Characteristics'!$C:$C,0)))</f>
        <v>industry-ag-main.html#eff-stds</v>
      </c>
      <c r="R1342" s="254" t="str">
        <f>IF(ISBLANK(INDEX('Policy Characteristics'!L:L,MATCH($C1342,'Policy Characteristics'!$C:$C,0))),"",INDEX('Policy Characteristics'!L:L,MATCH($C1342,'Policy Characteristics'!$C:$C,0)))</f>
        <v>industry-energy-efficiency-standards.html</v>
      </c>
    </row>
    <row r="1343" spans="1:18" s="4" customFormat="1" x14ac:dyDescent="0.3">
      <c r="A1343" s="254" t="str">
        <f>IF(ISBLANK(INDEX('Policy Characteristics'!A:A,MATCH($C1343,'Policy Characteristics'!$C:$C,0))),"",INDEX('Policy Characteristics'!A:A,MATCH($C1343,'Policy Characteristics'!$C:$C,0)))</f>
        <v>Industry</v>
      </c>
      <c r="B1343" s="262" t="str">
        <f>IF(ISBLANK(INDEX('Policy Characteristics'!B:B,MATCH($C1343,'Policy Characteristics'!$C:$C,0))),"",INDEX('Policy Characteristics'!B:B,MATCH($C1343,'Policy Characteristics'!$C:$C,0)))</f>
        <v>Industry Energy Efficiency Standards</v>
      </c>
      <c r="C1343" s="254" t="str">
        <f t="shared" si="48"/>
        <v>Percentage Improvement in Eqpt Efficiency Standards above BAU</v>
      </c>
      <c r="D1343" s="6" t="s">
        <v>3066</v>
      </c>
      <c r="E1343" s="45" t="s">
        <v>2707</v>
      </c>
      <c r="F1343" t="s">
        <v>3030</v>
      </c>
      <c r="G1343" s="45" t="s">
        <v>2711</v>
      </c>
      <c r="H1343" s="43">
        <v>1015</v>
      </c>
      <c r="I1343" s="324" t="s">
        <v>43</v>
      </c>
      <c r="J1343" s="255" t="str">
        <f>IF(ISBLANK(INDEX('Policy Characteristics'!D:D,MATCH($C1343,'Policy Characteristics'!$C:$C,0))),"",INDEX('Policy Characteristics'!D:D,MATCH($C1343,'Policy Characteristics'!$C:$C,0)))</f>
        <v>Industry Energy Efficiency Standards</v>
      </c>
      <c r="K1343" s="254" t="str">
        <f>IF(ISBLANK(INDEX('Policy Characteristics'!E:E,MATCH($C1343,'Policy Characteristics'!$C:$C,0))),"",INDEX('Policy Characteristics'!E:E,MATCH($C1343,'Policy Characteristics'!$C:$C,0)))</f>
        <v>indst efficiency standards</v>
      </c>
      <c r="L1343" s="261">
        <f>IF(ISBLANK(INDEX('Policy Characteristics'!F:F,MATCH($C1343,'Policy Characteristics'!$C:$C,0))),"",INDEX('Policy Characteristics'!F:F,MATCH($C1343,'Policy Characteristics'!$C:$C,0)))</f>
        <v>0</v>
      </c>
      <c r="M1343" s="261">
        <f>IF(ISBLANK(INDEX('Policy Characteristics'!G:G,MATCH($C1343,'Policy Characteristics'!$C:$C,0))),"",INDEX('Policy Characteristics'!G:G,MATCH($C1343,'Policy Characteristics'!$C:$C,0)))</f>
        <v>0.25</v>
      </c>
      <c r="N1343" s="261">
        <f>IF(ISBLANK(INDEX('Policy Characteristics'!H:H,MATCH($C1343,'Policy Characteristics'!$C:$C,0))),"",INDEX('Policy Characteristics'!H:H,MATCH($C1343,'Policy Characteristics'!$C:$C,0)))</f>
        <v>0.01</v>
      </c>
      <c r="O1343" s="254" t="str">
        <f>IF(ISBLANK(INDEX('Policy Characteristics'!I:I,MATCH($C1343,'Policy Characteristics'!$C:$C,0))),"",INDEX('Policy Characteristics'!I:I,MATCH($C1343,'Policy Characteristics'!$C:$C,0)))</f>
        <v>% reduction in energy use</v>
      </c>
      <c r="P1343" s="254"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4" t="str">
        <f>IF(ISBLANK(INDEX('Policy Characteristics'!K:K,MATCH($C1343,'Policy Characteristics'!$C:$C,0))),"",INDEX('Policy Characteristics'!K:K,MATCH($C1343,'Policy Characteristics'!$C:$C,0)))</f>
        <v>industry-ag-main.html#eff-stds</v>
      </c>
      <c r="R1343" s="254" t="str">
        <f>IF(ISBLANK(INDEX('Policy Characteristics'!L:L,MATCH($C1343,'Policy Characteristics'!$C:$C,0))),"",INDEX('Policy Characteristics'!L:L,MATCH($C1343,'Policy Characteristics'!$C:$C,0)))</f>
        <v>industry-energy-efficiency-standards.html</v>
      </c>
    </row>
    <row r="1344" spans="1:18" s="4" customFormat="1" x14ac:dyDescent="0.3">
      <c r="A1344" s="254" t="str">
        <f>IF(ISBLANK(INDEX('Policy Characteristics'!A:A,MATCH($C1344,'Policy Characteristics'!$C:$C,0))),"",INDEX('Policy Characteristics'!A:A,MATCH($C1344,'Policy Characteristics'!$C:$C,0)))</f>
        <v>Industry</v>
      </c>
      <c r="B1344" s="262" t="str">
        <f>IF(ISBLANK(INDEX('Policy Characteristics'!B:B,MATCH($C1344,'Policy Characteristics'!$C:$C,0))),"",INDEX('Policy Characteristics'!B:B,MATCH($C1344,'Policy Characteristics'!$C:$C,0)))</f>
        <v>Industry Energy Efficiency Standards</v>
      </c>
      <c r="C1344" s="254" t="str">
        <f t="shared" si="48"/>
        <v>Percentage Improvement in Eqpt Efficiency Standards above BAU</v>
      </c>
      <c r="D1344" s="6" t="s">
        <v>3066</v>
      </c>
      <c r="E1344" s="45" t="s">
        <v>2708</v>
      </c>
      <c r="F1344" t="s">
        <v>3030</v>
      </c>
      <c r="G1344" s="45" t="s">
        <v>2712</v>
      </c>
      <c r="H1344" s="43">
        <v>1016</v>
      </c>
      <c r="I1344" s="324" t="s">
        <v>43</v>
      </c>
      <c r="J1344" s="255" t="str">
        <f>IF(ISBLANK(INDEX('Policy Characteristics'!D:D,MATCH($C1344,'Policy Characteristics'!$C:$C,0))),"",INDEX('Policy Characteristics'!D:D,MATCH($C1344,'Policy Characteristics'!$C:$C,0)))</f>
        <v>Industry Energy Efficiency Standards</v>
      </c>
      <c r="K1344" s="254" t="str">
        <f>IF(ISBLANK(INDEX('Policy Characteristics'!E:E,MATCH($C1344,'Policy Characteristics'!$C:$C,0))),"",INDEX('Policy Characteristics'!E:E,MATCH($C1344,'Policy Characteristics'!$C:$C,0)))</f>
        <v>indst efficiency standards</v>
      </c>
      <c r="L1344" s="261">
        <f>IF(ISBLANK(INDEX('Policy Characteristics'!F:F,MATCH($C1344,'Policy Characteristics'!$C:$C,0))),"",INDEX('Policy Characteristics'!F:F,MATCH($C1344,'Policy Characteristics'!$C:$C,0)))</f>
        <v>0</v>
      </c>
      <c r="M1344" s="261">
        <f>IF(ISBLANK(INDEX('Policy Characteristics'!G:G,MATCH($C1344,'Policy Characteristics'!$C:$C,0))),"",INDEX('Policy Characteristics'!G:G,MATCH($C1344,'Policy Characteristics'!$C:$C,0)))</f>
        <v>0.25</v>
      </c>
      <c r="N1344" s="261">
        <f>IF(ISBLANK(INDEX('Policy Characteristics'!H:H,MATCH($C1344,'Policy Characteristics'!$C:$C,0))),"",INDEX('Policy Characteristics'!H:H,MATCH($C1344,'Policy Characteristics'!$C:$C,0)))</f>
        <v>0.01</v>
      </c>
      <c r="O1344" s="254" t="str">
        <f>IF(ISBLANK(INDEX('Policy Characteristics'!I:I,MATCH($C1344,'Policy Characteristics'!$C:$C,0))),"",INDEX('Policy Characteristics'!I:I,MATCH($C1344,'Policy Characteristics'!$C:$C,0)))</f>
        <v>% reduction in energy use</v>
      </c>
      <c r="P1344" s="254"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4" t="str">
        <f>IF(ISBLANK(INDEX('Policy Characteristics'!K:K,MATCH($C1344,'Policy Characteristics'!$C:$C,0))),"",INDEX('Policy Characteristics'!K:K,MATCH($C1344,'Policy Characteristics'!$C:$C,0)))</f>
        <v>industry-ag-main.html#eff-stds</v>
      </c>
      <c r="R1344" s="254" t="str">
        <f>IF(ISBLANK(INDEX('Policy Characteristics'!L:L,MATCH($C1344,'Policy Characteristics'!$C:$C,0))),"",INDEX('Policy Characteristics'!L:L,MATCH($C1344,'Policy Characteristics'!$C:$C,0)))</f>
        <v>industry-energy-efficiency-standards.html</v>
      </c>
    </row>
    <row r="1345" spans="1:18" s="4" customFormat="1" x14ac:dyDescent="0.3">
      <c r="A1345" s="254" t="str">
        <f>IF(ISBLANK(INDEX('Policy Characteristics'!A:A,MATCH($C1345,'Policy Characteristics'!$C:$C,0))),"",INDEX('Policy Characteristics'!A:A,MATCH($C1345,'Policy Characteristics'!$C:$C,0)))</f>
        <v>Industry</v>
      </c>
      <c r="B1345" s="262" t="str">
        <f>IF(ISBLANK(INDEX('Policy Characteristics'!B:B,MATCH($C1345,'Policy Characteristics'!$C:$C,0))),"",INDEX('Policy Characteristics'!B:B,MATCH($C1345,'Policy Characteristics'!$C:$C,0)))</f>
        <v>Industry Energy Efficiency Standards</v>
      </c>
      <c r="C1345" s="254" t="str">
        <f t="shared" si="48"/>
        <v>Percentage Improvement in Eqpt Efficiency Standards above BAU</v>
      </c>
      <c r="D1345" s="6" t="s">
        <v>3066</v>
      </c>
      <c r="E1345" s="45" t="s">
        <v>2705</v>
      </c>
      <c r="F1345" t="s">
        <v>3030</v>
      </c>
      <c r="G1345" s="45" t="s">
        <v>2710</v>
      </c>
      <c r="H1345" s="43">
        <v>1017</v>
      </c>
      <c r="I1345" s="324" t="s">
        <v>44</v>
      </c>
      <c r="J1345" s="255" t="str">
        <f>IF(ISBLANK(INDEX('Policy Characteristics'!D:D,MATCH($C1345,'Policy Characteristics'!$C:$C,0))),"",INDEX('Policy Characteristics'!D:D,MATCH($C1345,'Policy Characteristics'!$C:$C,0)))</f>
        <v>Industry Energy Efficiency Standards</v>
      </c>
      <c r="K1345" s="254" t="str">
        <f>IF(ISBLANK(INDEX('Policy Characteristics'!E:E,MATCH($C1345,'Policy Characteristics'!$C:$C,0))),"",INDEX('Policy Characteristics'!E:E,MATCH($C1345,'Policy Characteristics'!$C:$C,0)))</f>
        <v>indst efficiency standards</v>
      </c>
      <c r="L1345" s="261">
        <f>IF(ISBLANK(INDEX('Policy Characteristics'!F:F,MATCH($C1345,'Policy Characteristics'!$C:$C,0))),"",INDEX('Policy Characteristics'!F:F,MATCH($C1345,'Policy Characteristics'!$C:$C,0)))</f>
        <v>0</v>
      </c>
      <c r="M1345" s="261">
        <f>IF(ISBLANK(INDEX('Policy Characteristics'!G:G,MATCH($C1345,'Policy Characteristics'!$C:$C,0))),"",INDEX('Policy Characteristics'!G:G,MATCH($C1345,'Policy Characteristics'!$C:$C,0)))</f>
        <v>0.25</v>
      </c>
      <c r="N1345" s="261">
        <f>IF(ISBLANK(INDEX('Policy Characteristics'!H:H,MATCH($C1345,'Policy Characteristics'!$C:$C,0))),"",INDEX('Policy Characteristics'!H:H,MATCH($C1345,'Policy Characteristics'!$C:$C,0)))</f>
        <v>0.01</v>
      </c>
      <c r="O1345" s="254" t="str">
        <f>IF(ISBLANK(INDEX('Policy Characteristics'!I:I,MATCH($C1345,'Policy Characteristics'!$C:$C,0))),"",INDEX('Policy Characteristics'!I:I,MATCH($C1345,'Policy Characteristics'!$C:$C,0)))</f>
        <v>% reduction in energy use</v>
      </c>
      <c r="P1345" s="254"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4" t="str">
        <f>IF(ISBLANK(INDEX('Policy Characteristics'!K:K,MATCH($C1345,'Policy Characteristics'!$C:$C,0))),"",INDEX('Policy Characteristics'!K:K,MATCH($C1345,'Policy Characteristics'!$C:$C,0)))</f>
        <v>industry-ag-main.html#eff-stds</v>
      </c>
      <c r="R1345" s="254" t="str">
        <f>IF(ISBLANK(INDEX('Policy Characteristics'!L:L,MATCH($C1345,'Policy Characteristics'!$C:$C,0))),"",INDEX('Policy Characteristics'!L:L,MATCH($C1345,'Policy Characteristics'!$C:$C,0)))</f>
        <v>industry-energy-efficiency-standards.html</v>
      </c>
    </row>
    <row r="1346" spans="1:18" s="4" customFormat="1" x14ac:dyDescent="0.3">
      <c r="A1346" s="254" t="str">
        <f>IF(ISBLANK(INDEX('Policy Characteristics'!A:A,MATCH($C1346,'Policy Characteristics'!$C:$C,0))),"",INDEX('Policy Characteristics'!A:A,MATCH($C1346,'Policy Characteristics'!$C:$C,0)))</f>
        <v>Industry</v>
      </c>
      <c r="B1346" s="262" t="str">
        <f>IF(ISBLANK(INDEX('Policy Characteristics'!B:B,MATCH($C1346,'Policy Characteristics'!$C:$C,0))),"",INDEX('Policy Characteristics'!B:B,MATCH($C1346,'Policy Characteristics'!$C:$C,0)))</f>
        <v>Industry Energy Efficiency Standards</v>
      </c>
      <c r="C1346" s="254" t="str">
        <f t="shared" si="48"/>
        <v>Percentage Improvement in Eqpt Efficiency Standards above BAU</v>
      </c>
      <c r="D1346" s="6" t="s">
        <v>3067</v>
      </c>
      <c r="E1346" s="45" t="s">
        <v>2399</v>
      </c>
      <c r="F1346" t="s">
        <v>3031</v>
      </c>
      <c r="G1346" s="45" t="s">
        <v>2405</v>
      </c>
      <c r="H1346" s="43">
        <v>1018</v>
      </c>
      <c r="I1346" s="324" t="s">
        <v>43</v>
      </c>
      <c r="J1346" s="255" t="str">
        <f>IF(ISBLANK(INDEX('Policy Characteristics'!D:D,MATCH($C1346,'Policy Characteristics'!$C:$C,0))),"",INDEX('Policy Characteristics'!D:D,MATCH($C1346,'Policy Characteristics'!$C:$C,0)))</f>
        <v>Industry Energy Efficiency Standards</v>
      </c>
      <c r="K1346" s="254" t="str">
        <f>IF(ISBLANK(INDEX('Policy Characteristics'!E:E,MATCH($C1346,'Policy Characteristics'!$C:$C,0))),"",INDEX('Policy Characteristics'!E:E,MATCH($C1346,'Policy Characteristics'!$C:$C,0)))</f>
        <v>indst efficiency standards</v>
      </c>
      <c r="L1346" s="261">
        <f>IF(ISBLANK(INDEX('Policy Characteristics'!F:F,MATCH($C1346,'Policy Characteristics'!$C:$C,0))),"",INDEX('Policy Characteristics'!F:F,MATCH($C1346,'Policy Characteristics'!$C:$C,0)))</f>
        <v>0</v>
      </c>
      <c r="M1346" s="261">
        <f>IF(ISBLANK(INDEX('Policy Characteristics'!G:G,MATCH($C1346,'Policy Characteristics'!$C:$C,0))),"",INDEX('Policy Characteristics'!G:G,MATCH($C1346,'Policy Characteristics'!$C:$C,0)))</f>
        <v>0.25</v>
      </c>
      <c r="N1346" s="261">
        <f>IF(ISBLANK(INDEX('Policy Characteristics'!H:H,MATCH($C1346,'Policy Characteristics'!$C:$C,0))),"",INDEX('Policy Characteristics'!H:H,MATCH($C1346,'Policy Characteristics'!$C:$C,0)))</f>
        <v>0.01</v>
      </c>
      <c r="O1346" s="254" t="str">
        <f>IF(ISBLANK(INDEX('Policy Characteristics'!I:I,MATCH($C1346,'Policy Characteristics'!$C:$C,0))),"",INDEX('Policy Characteristics'!I:I,MATCH($C1346,'Policy Characteristics'!$C:$C,0)))</f>
        <v>% reduction in energy use</v>
      </c>
      <c r="P1346" s="254"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4" t="str">
        <f>IF(ISBLANK(INDEX('Policy Characteristics'!K:K,MATCH($C1346,'Policy Characteristics'!$C:$C,0))),"",INDEX('Policy Characteristics'!K:K,MATCH($C1346,'Policy Characteristics'!$C:$C,0)))</f>
        <v>industry-ag-main.html#eff-stds</v>
      </c>
      <c r="R1346" s="254" t="str">
        <f>IF(ISBLANK(INDEX('Policy Characteristics'!L:L,MATCH($C1346,'Policy Characteristics'!$C:$C,0))),"",INDEX('Policy Characteristics'!L:L,MATCH($C1346,'Policy Characteristics'!$C:$C,0)))</f>
        <v>industry-energy-efficiency-standards.html</v>
      </c>
    </row>
    <row r="1347" spans="1:18" s="4" customFormat="1" x14ac:dyDescent="0.3">
      <c r="A1347" s="254" t="str">
        <f>IF(ISBLANK(INDEX('Policy Characteristics'!A:A,MATCH($C1347,'Policy Characteristics'!$C:$C,0))),"",INDEX('Policy Characteristics'!A:A,MATCH($C1347,'Policy Characteristics'!$C:$C,0)))</f>
        <v>Industry</v>
      </c>
      <c r="B1347" s="262" t="str">
        <f>IF(ISBLANK(INDEX('Policy Characteristics'!B:B,MATCH($C1347,'Policy Characteristics'!$C:$C,0))),"",INDEX('Policy Characteristics'!B:B,MATCH($C1347,'Policy Characteristics'!$C:$C,0)))</f>
        <v>Industry Energy Efficiency Standards</v>
      </c>
      <c r="C1347" s="254" t="str">
        <f t="shared" si="48"/>
        <v>Percentage Improvement in Eqpt Efficiency Standards above BAU</v>
      </c>
      <c r="D1347" s="6" t="s">
        <v>3067</v>
      </c>
      <c r="E1347" s="45" t="s">
        <v>2400</v>
      </c>
      <c r="F1347" t="s">
        <v>3031</v>
      </c>
      <c r="G1347" s="45" t="s">
        <v>2408</v>
      </c>
      <c r="H1347" s="43">
        <v>1019</v>
      </c>
      <c r="I1347" s="324" t="s">
        <v>43</v>
      </c>
      <c r="J1347" s="255" t="str">
        <f>IF(ISBLANK(INDEX('Policy Characteristics'!D:D,MATCH($C1347,'Policy Characteristics'!$C:$C,0))),"",INDEX('Policy Characteristics'!D:D,MATCH($C1347,'Policy Characteristics'!$C:$C,0)))</f>
        <v>Industry Energy Efficiency Standards</v>
      </c>
      <c r="K1347" s="254" t="str">
        <f>IF(ISBLANK(INDEX('Policy Characteristics'!E:E,MATCH($C1347,'Policy Characteristics'!$C:$C,0))),"",INDEX('Policy Characteristics'!E:E,MATCH($C1347,'Policy Characteristics'!$C:$C,0)))</f>
        <v>indst efficiency standards</v>
      </c>
      <c r="L1347" s="261">
        <f>IF(ISBLANK(INDEX('Policy Characteristics'!F:F,MATCH($C1347,'Policy Characteristics'!$C:$C,0))),"",INDEX('Policy Characteristics'!F:F,MATCH($C1347,'Policy Characteristics'!$C:$C,0)))</f>
        <v>0</v>
      </c>
      <c r="M1347" s="261">
        <f>IF(ISBLANK(INDEX('Policy Characteristics'!G:G,MATCH($C1347,'Policy Characteristics'!$C:$C,0))),"",INDEX('Policy Characteristics'!G:G,MATCH($C1347,'Policy Characteristics'!$C:$C,0)))</f>
        <v>0.25</v>
      </c>
      <c r="N1347" s="261">
        <f>IF(ISBLANK(INDEX('Policy Characteristics'!H:H,MATCH($C1347,'Policy Characteristics'!$C:$C,0))),"",INDEX('Policy Characteristics'!H:H,MATCH($C1347,'Policy Characteristics'!$C:$C,0)))</f>
        <v>0.01</v>
      </c>
      <c r="O1347" s="254" t="str">
        <f>IF(ISBLANK(INDEX('Policy Characteristics'!I:I,MATCH($C1347,'Policy Characteristics'!$C:$C,0))),"",INDEX('Policy Characteristics'!I:I,MATCH($C1347,'Policy Characteristics'!$C:$C,0)))</f>
        <v>% reduction in energy use</v>
      </c>
      <c r="P1347" s="254"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4" t="str">
        <f>IF(ISBLANK(INDEX('Policy Characteristics'!K:K,MATCH($C1347,'Policy Characteristics'!$C:$C,0))),"",INDEX('Policy Characteristics'!K:K,MATCH($C1347,'Policy Characteristics'!$C:$C,0)))</f>
        <v>industry-ag-main.html#eff-stds</v>
      </c>
      <c r="R1347" s="254" t="str">
        <f>IF(ISBLANK(INDEX('Policy Characteristics'!L:L,MATCH($C1347,'Policy Characteristics'!$C:$C,0))),"",INDEX('Policy Characteristics'!L:L,MATCH($C1347,'Policy Characteristics'!$C:$C,0)))</f>
        <v>industry-energy-efficiency-standards.html</v>
      </c>
    </row>
    <row r="1348" spans="1:18" s="4" customFormat="1" x14ac:dyDescent="0.3">
      <c r="A1348" s="254" t="str">
        <f>IF(ISBLANK(INDEX('Policy Characteristics'!A:A,MATCH($C1348,'Policy Characteristics'!$C:$C,0))),"",INDEX('Policy Characteristics'!A:A,MATCH($C1348,'Policy Characteristics'!$C:$C,0)))</f>
        <v>Industry</v>
      </c>
      <c r="B1348" s="262" t="str">
        <f>IF(ISBLANK(INDEX('Policy Characteristics'!B:B,MATCH($C1348,'Policy Characteristics'!$C:$C,0))),"",INDEX('Policy Characteristics'!B:B,MATCH($C1348,'Policy Characteristics'!$C:$C,0)))</f>
        <v>Industry Energy Efficiency Standards</v>
      </c>
      <c r="C1348" s="254" t="str">
        <f t="shared" si="48"/>
        <v>Percentage Improvement in Eqpt Efficiency Standards above BAU</v>
      </c>
      <c r="D1348" s="6" t="s">
        <v>3067</v>
      </c>
      <c r="E1348" s="45" t="s">
        <v>2401</v>
      </c>
      <c r="F1348" t="s">
        <v>3031</v>
      </c>
      <c r="G1348" s="45" t="s">
        <v>2409</v>
      </c>
      <c r="H1348" s="43">
        <v>1020</v>
      </c>
      <c r="I1348" s="324" t="s">
        <v>43</v>
      </c>
      <c r="J1348" s="255" t="str">
        <f>IF(ISBLANK(INDEX('Policy Characteristics'!D:D,MATCH($C1348,'Policy Characteristics'!$C:$C,0))),"",INDEX('Policy Characteristics'!D:D,MATCH($C1348,'Policy Characteristics'!$C:$C,0)))</f>
        <v>Industry Energy Efficiency Standards</v>
      </c>
      <c r="K1348" s="254" t="str">
        <f>IF(ISBLANK(INDEX('Policy Characteristics'!E:E,MATCH($C1348,'Policy Characteristics'!$C:$C,0))),"",INDEX('Policy Characteristics'!E:E,MATCH($C1348,'Policy Characteristics'!$C:$C,0)))</f>
        <v>indst efficiency standards</v>
      </c>
      <c r="L1348" s="261">
        <f>IF(ISBLANK(INDEX('Policy Characteristics'!F:F,MATCH($C1348,'Policy Characteristics'!$C:$C,0))),"",INDEX('Policy Characteristics'!F:F,MATCH($C1348,'Policy Characteristics'!$C:$C,0)))</f>
        <v>0</v>
      </c>
      <c r="M1348" s="261">
        <f>IF(ISBLANK(INDEX('Policy Characteristics'!G:G,MATCH($C1348,'Policy Characteristics'!$C:$C,0))),"",INDEX('Policy Characteristics'!G:G,MATCH($C1348,'Policy Characteristics'!$C:$C,0)))</f>
        <v>0.25</v>
      </c>
      <c r="N1348" s="261">
        <f>IF(ISBLANK(INDEX('Policy Characteristics'!H:H,MATCH($C1348,'Policy Characteristics'!$C:$C,0))),"",INDEX('Policy Characteristics'!H:H,MATCH($C1348,'Policy Characteristics'!$C:$C,0)))</f>
        <v>0.01</v>
      </c>
      <c r="O1348" s="254" t="str">
        <f>IF(ISBLANK(INDEX('Policy Characteristics'!I:I,MATCH($C1348,'Policy Characteristics'!$C:$C,0))),"",INDEX('Policy Characteristics'!I:I,MATCH($C1348,'Policy Characteristics'!$C:$C,0)))</f>
        <v>% reduction in energy use</v>
      </c>
      <c r="P1348" s="254"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4" t="str">
        <f>IF(ISBLANK(INDEX('Policy Characteristics'!K:K,MATCH($C1348,'Policy Characteristics'!$C:$C,0))),"",INDEX('Policy Characteristics'!K:K,MATCH($C1348,'Policy Characteristics'!$C:$C,0)))</f>
        <v>industry-ag-main.html#eff-stds</v>
      </c>
      <c r="R1348" s="254" t="str">
        <f>IF(ISBLANK(INDEX('Policy Characteristics'!L:L,MATCH($C1348,'Policy Characteristics'!$C:$C,0))),"",INDEX('Policy Characteristics'!L:L,MATCH($C1348,'Policy Characteristics'!$C:$C,0)))</f>
        <v>industry-energy-efficiency-standards.html</v>
      </c>
    </row>
    <row r="1349" spans="1:18" s="4" customFormat="1" x14ac:dyDescent="0.3">
      <c r="A1349" s="254" t="str">
        <f>IF(ISBLANK(INDEX('Policy Characteristics'!A:A,MATCH($C1349,'Policy Characteristics'!$C:$C,0))),"",INDEX('Policy Characteristics'!A:A,MATCH($C1349,'Policy Characteristics'!$C:$C,0)))</f>
        <v>Industry</v>
      </c>
      <c r="B1349" s="262" t="str">
        <f>IF(ISBLANK(INDEX('Policy Characteristics'!B:B,MATCH($C1349,'Policy Characteristics'!$C:$C,0))),"",INDEX('Policy Characteristics'!B:B,MATCH($C1349,'Policy Characteristics'!$C:$C,0)))</f>
        <v>Industry Energy Efficiency Standards</v>
      </c>
      <c r="C1349" s="254" t="str">
        <f t="shared" si="48"/>
        <v>Percentage Improvement in Eqpt Efficiency Standards above BAU</v>
      </c>
      <c r="D1349" s="6" t="s">
        <v>3067</v>
      </c>
      <c r="E1349" s="45" t="s">
        <v>2402</v>
      </c>
      <c r="F1349" t="s">
        <v>3031</v>
      </c>
      <c r="G1349" s="45" t="s">
        <v>2406</v>
      </c>
      <c r="H1349" s="43">
        <v>1021</v>
      </c>
      <c r="I1349" s="324" t="s">
        <v>44</v>
      </c>
      <c r="J1349" s="255" t="str">
        <f>IF(ISBLANK(INDEX('Policy Characteristics'!D:D,MATCH($C1349,'Policy Characteristics'!$C:$C,0))),"",INDEX('Policy Characteristics'!D:D,MATCH($C1349,'Policy Characteristics'!$C:$C,0)))</f>
        <v>Industry Energy Efficiency Standards</v>
      </c>
      <c r="K1349" s="254" t="str">
        <f>IF(ISBLANK(INDEX('Policy Characteristics'!E:E,MATCH($C1349,'Policy Characteristics'!$C:$C,0))),"",INDEX('Policy Characteristics'!E:E,MATCH($C1349,'Policy Characteristics'!$C:$C,0)))</f>
        <v>indst efficiency standards</v>
      </c>
      <c r="L1349" s="261">
        <f>IF(ISBLANK(INDEX('Policy Characteristics'!F:F,MATCH($C1349,'Policy Characteristics'!$C:$C,0))),"",INDEX('Policy Characteristics'!F:F,MATCH($C1349,'Policy Characteristics'!$C:$C,0)))</f>
        <v>0</v>
      </c>
      <c r="M1349" s="261">
        <f>IF(ISBLANK(INDEX('Policy Characteristics'!G:G,MATCH($C1349,'Policy Characteristics'!$C:$C,0))),"",INDEX('Policy Characteristics'!G:G,MATCH($C1349,'Policy Characteristics'!$C:$C,0)))</f>
        <v>0.25</v>
      </c>
      <c r="N1349" s="261">
        <f>IF(ISBLANK(INDEX('Policy Characteristics'!H:H,MATCH($C1349,'Policy Characteristics'!$C:$C,0))),"",INDEX('Policy Characteristics'!H:H,MATCH($C1349,'Policy Characteristics'!$C:$C,0)))</f>
        <v>0.01</v>
      </c>
      <c r="O1349" s="254" t="str">
        <f>IF(ISBLANK(INDEX('Policy Characteristics'!I:I,MATCH($C1349,'Policy Characteristics'!$C:$C,0))),"",INDEX('Policy Characteristics'!I:I,MATCH($C1349,'Policy Characteristics'!$C:$C,0)))</f>
        <v>% reduction in energy use</v>
      </c>
      <c r="P1349" s="254"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4" t="str">
        <f>IF(ISBLANK(INDEX('Policy Characteristics'!K:K,MATCH($C1349,'Policy Characteristics'!$C:$C,0))),"",INDEX('Policy Characteristics'!K:K,MATCH($C1349,'Policy Characteristics'!$C:$C,0)))</f>
        <v>industry-ag-main.html#eff-stds</v>
      </c>
      <c r="R1349" s="254" t="str">
        <f>IF(ISBLANK(INDEX('Policy Characteristics'!L:L,MATCH($C1349,'Policy Characteristics'!$C:$C,0))),"",INDEX('Policy Characteristics'!L:L,MATCH($C1349,'Policy Characteristics'!$C:$C,0)))</f>
        <v>industry-energy-efficiency-standards.html</v>
      </c>
    </row>
    <row r="1350" spans="1:18" s="4" customFormat="1" x14ac:dyDescent="0.3">
      <c r="A1350" s="254" t="str">
        <f>IF(ISBLANK(INDEX('Policy Characteristics'!A:A,MATCH($C1350,'Policy Characteristics'!$C:$C,0))),"",INDEX('Policy Characteristics'!A:A,MATCH($C1350,'Policy Characteristics'!$C:$C,0)))</f>
        <v>Industry</v>
      </c>
      <c r="B1350" s="262" t="str">
        <f>IF(ISBLANK(INDEX('Policy Characteristics'!B:B,MATCH($C1350,'Policy Characteristics'!$C:$C,0))),"",INDEX('Policy Characteristics'!B:B,MATCH($C1350,'Policy Characteristics'!$C:$C,0)))</f>
        <v>Industry Energy Efficiency Standards</v>
      </c>
      <c r="C1350" s="254" t="str">
        <f t="shared" si="48"/>
        <v>Percentage Improvement in Eqpt Efficiency Standards above BAU</v>
      </c>
      <c r="D1350" s="6" t="s">
        <v>3067</v>
      </c>
      <c r="E1350" s="45" t="s">
        <v>2403</v>
      </c>
      <c r="F1350" t="s">
        <v>3031</v>
      </c>
      <c r="G1350" s="45" t="s">
        <v>2407</v>
      </c>
      <c r="H1350" s="43">
        <v>1022</v>
      </c>
      <c r="I1350" s="324" t="s">
        <v>43</v>
      </c>
      <c r="J1350" s="255" t="str">
        <f>IF(ISBLANK(INDEX('Policy Characteristics'!D:D,MATCH($C1350,'Policy Characteristics'!$C:$C,0))),"",INDEX('Policy Characteristics'!D:D,MATCH($C1350,'Policy Characteristics'!$C:$C,0)))</f>
        <v>Industry Energy Efficiency Standards</v>
      </c>
      <c r="K1350" s="254" t="str">
        <f>IF(ISBLANK(INDEX('Policy Characteristics'!E:E,MATCH($C1350,'Policy Characteristics'!$C:$C,0))),"",INDEX('Policy Characteristics'!E:E,MATCH($C1350,'Policy Characteristics'!$C:$C,0)))</f>
        <v>indst efficiency standards</v>
      </c>
      <c r="L1350" s="261">
        <f>IF(ISBLANK(INDEX('Policy Characteristics'!F:F,MATCH($C1350,'Policy Characteristics'!$C:$C,0))),"",INDEX('Policy Characteristics'!F:F,MATCH($C1350,'Policy Characteristics'!$C:$C,0)))</f>
        <v>0</v>
      </c>
      <c r="M1350" s="261">
        <f>IF(ISBLANK(INDEX('Policy Characteristics'!G:G,MATCH($C1350,'Policy Characteristics'!$C:$C,0))),"",INDEX('Policy Characteristics'!G:G,MATCH($C1350,'Policy Characteristics'!$C:$C,0)))</f>
        <v>0.25</v>
      </c>
      <c r="N1350" s="261">
        <f>IF(ISBLANK(INDEX('Policy Characteristics'!H:H,MATCH($C1350,'Policy Characteristics'!$C:$C,0))),"",INDEX('Policy Characteristics'!H:H,MATCH($C1350,'Policy Characteristics'!$C:$C,0)))</f>
        <v>0.01</v>
      </c>
      <c r="O1350" s="254" t="str">
        <f>IF(ISBLANK(INDEX('Policy Characteristics'!I:I,MATCH($C1350,'Policy Characteristics'!$C:$C,0))),"",INDEX('Policy Characteristics'!I:I,MATCH($C1350,'Policy Characteristics'!$C:$C,0)))</f>
        <v>% reduction in energy use</v>
      </c>
      <c r="P1350" s="254"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4" t="str">
        <f>IF(ISBLANK(INDEX('Policy Characteristics'!K:K,MATCH($C1350,'Policy Characteristics'!$C:$C,0))),"",INDEX('Policy Characteristics'!K:K,MATCH($C1350,'Policy Characteristics'!$C:$C,0)))</f>
        <v>industry-ag-main.html#eff-stds</v>
      </c>
      <c r="R1350" s="254" t="str">
        <f>IF(ISBLANK(INDEX('Policy Characteristics'!L:L,MATCH($C1350,'Policy Characteristics'!$C:$C,0))),"",INDEX('Policy Characteristics'!L:L,MATCH($C1350,'Policy Characteristics'!$C:$C,0)))</f>
        <v>industry-energy-efficiency-standards.html</v>
      </c>
    </row>
    <row r="1351" spans="1:18" s="4" customFormat="1" x14ac:dyDescent="0.3">
      <c r="A1351" s="254" t="str">
        <f>IF(ISBLANK(INDEX('Policy Characteristics'!A:A,MATCH($C1351,'Policy Characteristics'!$C:$C,0))),"",INDEX('Policy Characteristics'!A:A,MATCH($C1351,'Policy Characteristics'!$C:$C,0)))</f>
        <v>Industry</v>
      </c>
      <c r="B1351" s="262" t="str">
        <f>IF(ISBLANK(INDEX('Policy Characteristics'!B:B,MATCH($C1351,'Policy Characteristics'!$C:$C,0))),"",INDEX('Policy Characteristics'!B:B,MATCH($C1351,'Policy Characteristics'!$C:$C,0)))</f>
        <v>Industry Energy Efficiency Standards</v>
      </c>
      <c r="C1351" s="254" t="str">
        <f t="shared" ref="C1351:C1414" si="49">C$1286</f>
        <v>Percentage Improvement in Eqpt Efficiency Standards above BAU</v>
      </c>
      <c r="D1351" s="6" t="s">
        <v>3067</v>
      </c>
      <c r="E1351" s="45" t="s">
        <v>2404</v>
      </c>
      <c r="F1351" t="s">
        <v>3031</v>
      </c>
      <c r="G1351" s="45" t="s">
        <v>2410</v>
      </c>
      <c r="H1351" s="43">
        <v>1023</v>
      </c>
      <c r="I1351" s="324" t="s">
        <v>44</v>
      </c>
      <c r="J1351" s="255" t="str">
        <f>IF(ISBLANK(INDEX('Policy Characteristics'!D:D,MATCH($C1351,'Policy Characteristics'!$C:$C,0))),"",INDEX('Policy Characteristics'!D:D,MATCH($C1351,'Policy Characteristics'!$C:$C,0)))</f>
        <v>Industry Energy Efficiency Standards</v>
      </c>
      <c r="K1351" s="254" t="str">
        <f>IF(ISBLANK(INDEX('Policy Characteristics'!E:E,MATCH($C1351,'Policy Characteristics'!$C:$C,0))),"",INDEX('Policy Characteristics'!E:E,MATCH($C1351,'Policy Characteristics'!$C:$C,0)))</f>
        <v>indst efficiency standards</v>
      </c>
      <c r="L1351" s="261">
        <f>IF(ISBLANK(INDEX('Policy Characteristics'!F:F,MATCH($C1351,'Policy Characteristics'!$C:$C,0))),"",INDEX('Policy Characteristics'!F:F,MATCH($C1351,'Policy Characteristics'!$C:$C,0)))</f>
        <v>0</v>
      </c>
      <c r="M1351" s="261">
        <f>IF(ISBLANK(INDEX('Policy Characteristics'!G:G,MATCH($C1351,'Policy Characteristics'!$C:$C,0))),"",INDEX('Policy Characteristics'!G:G,MATCH($C1351,'Policy Characteristics'!$C:$C,0)))</f>
        <v>0.25</v>
      </c>
      <c r="N1351" s="261">
        <f>IF(ISBLANK(INDEX('Policy Characteristics'!H:H,MATCH($C1351,'Policy Characteristics'!$C:$C,0))),"",INDEX('Policy Characteristics'!H:H,MATCH($C1351,'Policy Characteristics'!$C:$C,0)))</f>
        <v>0.01</v>
      </c>
      <c r="O1351" s="254" t="str">
        <f>IF(ISBLANK(INDEX('Policy Characteristics'!I:I,MATCH($C1351,'Policy Characteristics'!$C:$C,0))),"",INDEX('Policy Characteristics'!I:I,MATCH($C1351,'Policy Characteristics'!$C:$C,0)))</f>
        <v>% reduction in energy use</v>
      </c>
      <c r="P1351" s="254"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4" t="str">
        <f>IF(ISBLANK(INDEX('Policy Characteristics'!K:K,MATCH($C1351,'Policy Characteristics'!$C:$C,0))),"",INDEX('Policy Characteristics'!K:K,MATCH($C1351,'Policy Characteristics'!$C:$C,0)))</f>
        <v>industry-ag-main.html#eff-stds</v>
      </c>
      <c r="R1351" s="254" t="str">
        <f>IF(ISBLANK(INDEX('Policy Characteristics'!L:L,MATCH($C1351,'Policy Characteristics'!$C:$C,0))),"",INDEX('Policy Characteristics'!L:L,MATCH($C1351,'Policy Characteristics'!$C:$C,0)))</f>
        <v>industry-energy-efficiency-standards.html</v>
      </c>
    </row>
    <row r="1352" spans="1:18" s="4" customFormat="1" x14ac:dyDescent="0.3">
      <c r="A1352" s="254" t="str">
        <f>IF(ISBLANK(INDEX('Policy Characteristics'!A:A,MATCH($C1352,'Policy Characteristics'!$C:$C,0))),"",INDEX('Policy Characteristics'!A:A,MATCH($C1352,'Policy Characteristics'!$C:$C,0)))</f>
        <v>Industry</v>
      </c>
      <c r="B1352" s="262" t="str">
        <f>IF(ISBLANK(INDEX('Policy Characteristics'!B:B,MATCH($C1352,'Policy Characteristics'!$C:$C,0))),"",INDEX('Policy Characteristics'!B:B,MATCH($C1352,'Policy Characteristics'!$C:$C,0)))</f>
        <v>Industry Energy Efficiency Standards</v>
      </c>
      <c r="C1352" s="254" t="str">
        <f t="shared" si="49"/>
        <v>Percentage Improvement in Eqpt Efficiency Standards above BAU</v>
      </c>
      <c r="D1352" s="6" t="s">
        <v>3067</v>
      </c>
      <c r="E1352" s="45" t="s">
        <v>2706</v>
      </c>
      <c r="F1352" t="s">
        <v>3031</v>
      </c>
      <c r="G1352" s="45" t="s">
        <v>2709</v>
      </c>
      <c r="H1352" s="43">
        <v>1024</v>
      </c>
      <c r="I1352" s="324" t="s">
        <v>44</v>
      </c>
      <c r="J1352" s="255" t="str">
        <f>IF(ISBLANK(INDEX('Policy Characteristics'!D:D,MATCH($C1352,'Policy Characteristics'!$C:$C,0))),"",INDEX('Policy Characteristics'!D:D,MATCH($C1352,'Policy Characteristics'!$C:$C,0)))</f>
        <v>Industry Energy Efficiency Standards</v>
      </c>
      <c r="K1352" s="254" t="str">
        <f>IF(ISBLANK(INDEX('Policy Characteristics'!E:E,MATCH($C1352,'Policy Characteristics'!$C:$C,0))),"",INDEX('Policy Characteristics'!E:E,MATCH($C1352,'Policy Characteristics'!$C:$C,0)))</f>
        <v>indst efficiency standards</v>
      </c>
      <c r="L1352" s="261">
        <f>IF(ISBLANK(INDEX('Policy Characteristics'!F:F,MATCH($C1352,'Policy Characteristics'!$C:$C,0))),"",INDEX('Policy Characteristics'!F:F,MATCH($C1352,'Policy Characteristics'!$C:$C,0)))</f>
        <v>0</v>
      </c>
      <c r="M1352" s="261">
        <f>IF(ISBLANK(INDEX('Policy Characteristics'!G:G,MATCH($C1352,'Policy Characteristics'!$C:$C,0))),"",INDEX('Policy Characteristics'!G:G,MATCH($C1352,'Policy Characteristics'!$C:$C,0)))</f>
        <v>0.25</v>
      </c>
      <c r="N1352" s="261">
        <f>IF(ISBLANK(INDEX('Policy Characteristics'!H:H,MATCH($C1352,'Policy Characteristics'!$C:$C,0))),"",INDEX('Policy Characteristics'!H:H,MATCH($C1352,'Policy Characteristics'!$C:$C,0)))</f>
        <v>0.01</v>
      </c>
      <c r="O1352" s="254" t="str">
        <f>IF(ISBLANK(INDEX('Policy Characteristics'!I:I,MATCH($C1352,'Policy Characteristics'!$C:$C,0))),"",INDEX('Policy Characteristics'!I:I,MATCH($C1352,'Policy Characteristics'!$C:$C,0)))</f>
        <v>% reduction in energy use</v>
      </c>
      <c r="P1352" s="254"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4" t="str">
        <f>IF(ISBLANK(INDEX('Policy Characteristics'!K:K,MATCH($C1352,'Policy Characteristics'!$C:$C,0))),"",INDEX('Policy Characteristics'!K:K,MATCH($C1352,'Policy Characteristics'!$C:$C,0)))</f>
        <v>industry-ag-main.html#eff-stds</v>
      </c>
      <c r="R1352" s="254" t="str">
        <f>IF(ISBLANK(INDEX('Policy Characteristics'!L:L,MATCH($C1352,'Policy Characteristics'!$C:$C,0))),"",INDEX('Policy Characteristics'!L:L,MATCH($C1352,'Policy Characteristics'!$C:$C,0)))</f>
        <v>industry-energy-efficiency-standards.html</v>
      </c>
    </row>
    <row r="1353" spans="1:18" s="4" customFormat="1" x14ac:dyDescent="0.3">
      <c r="A1353" s="254" t="str">
        <f>IF(ISBLANK(INDEX('Policy Characteristics'!A:A,MATCH($C1353,'Policy Characteristics'!$C:$C,0))),"",INDEX('Policy Characteristics'!A:A,MATCH($C1353,'Policy Characteristics'!$C:$C,0)))</f>
        <v>Industry</v>
      </c>
      <c r="B1353" s="262" t="str">
        <f>IF(ISBLANK(INDEX('Policy Characteristics'!B:B,MATCH($C1353,'Policy Characteristics'!$C:$C,0))),"",INDEX('Policy Characteristics'!B:B,MATCH($C1353,'Policy Characteristics'!$C:$C,0)))</f>
        <v>Industry Energy Efficiency Standards</v>
      </c>
      <c r="C1353" s="254" t="str">
        <f t="shared" si="49"/>
        <v>Percentage Improvement in Eqpt Efficiency Standards above BAU</v>
      </c>
      <c r="D1353" s="6" t="s">
        <v>3067</v>
      </c>
      <c r="E1353" s="45" t="s">
        <v>2707</v>
      </c>
      <c r="F1353" t="s">
        <v>3031</v>
      </c>
      <c r="G1353" s="45" t="s">
        <v>2711</v>
      </c>
      <c r="H1353" s="43">
        <v>1025</v>
      </c>
      <c r="I1353" s="324" t="s">
        <v>43</v>
      </c>
      <c r="J1353" s="255" t="str">
        <f>IF(ISBLANK(INDEX('Policy Characteristics'!D:D,MATCH($C1353,'Policy Characteristics'!$C:$C,0))),"",INDEX('Policy Characteristics'!D:D,MATCH($C1353,'Policy Characteristics'!$C:$C,0)))</f>
        <v>Industry Energy Efficiency Standards</v>
      </c>
      <c r="K1353" s="254" t="str">
        <f>IF(ISBLANK(INDEX('Policy Characteristics'!E:E,MATCH($C1353,'Policy Characteristics'!$C:$C,0))),"",INDEX('Policy Characteristics'!E:E,MATCH($C1353,'Policy Characteristics'!$C:$C,0)))</f>
        <v>indst efficiency standards</v>
      </c>
      <c r="L1353" s="261">
        <f>IF(ISBLANK(INDEX('Policy Characteristics'!F:F,MATCH($C1353,'Policy Characteristics'!$C:$C,0))),"",INDEX('Policy Characteristics'!F:F,MATCH($C1353,'Policy Characteristics'!$C:$C,0)))</f>
        <v>0</v>
      </c>
      <c r="M1353" s="261">
        <f>IF(ISBLANK(INDEX('Policy Characteristics'!G:G,MATCH($C1353,'Policy Characteristics'!$C:$C,0))),"",INDEX('Policy Characteristics'!G:G,MATCH($C1353,'Policy Characteristics'!$C:$C,0)))</f>
        <v>0.25</v>
      </c>
      <c r="N1353" s="261">
        <f>IF(ISBLANK(INDEX('Policy Characteristics'!H:H,MATCH($C1353,'Policy Characteristics'!$C:$C,0))),"",INDEX('Policy Characteristics'!H:H,MATCH($C1353,'Policy Characteristics'!$C:$C,0)))</f>
        <v>0.01</v>
      </c>
      <c r="O1353" s="254" t="str">
        <f>IF(ISBLANK(INDEX('Policy Characteristics'!I:I,MATCH($C1353,'Policy Characteristics'!$C:$C,0))),"",INDEX('Policy Characteristics'!I:I,MATCH($C1353,'Policy Characteristics'!$C:$C,0)))</f>
        <v>% reduction in energy use</v>
      </c>
      <c r="P1353" s="254"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4" t="str">
        <f>IF(ISBLANK(INDEX('Policy Characteristics'!K:K,MATCH($C1353,'Policy Characteristics'!$C:$C,0))),"",INDEX('Policy Characteristics'!K:K,MATCH($C1353,'Policy Characteristics'!$C:$C,0)))</f>
        <v>industry-ag-main.html#eff-stds</v>
      </c>
      <c r="R1353" s="254" t="str">
        <f>IF(ISBLANK(INDEX('Policy Characteristics'!L:L,MATCH($C1353,'Policy Characteristics'!$C:$C,0))),"",INDEX('Policy Characteristics'!L:L,MATCH($C1353,'Policy Characteristics'!$C:$C,0)))</f>
        <v>industry-energy-efficiency-standards.html</v>
      </c>
    </row>
    <row r="1354" spans="1:18" s="4" customFormat="1" x14ac:dyDescent="0.3">
      <c r="A1354" s="254" t="str">
        <f>IF(ISBLANK(INDEX('Policy Characteristics'!A:A,MATCH($C1354,'Policy Characteristics'!$C:$C,0))),"",INDEX('Policy Characteristics'!A:A,MATCH($C1354,'Policy Characteristics'!$C:$C,0)))</f>
        <v>Industry</v>
      </c>
      <c r="B1354" s="262" t="str">
        <f>IF(ISBLANK(INDEX('Policy Characteristics'!B:B,MATCH($C1354,'Policy Characteristics'!$C:$C,0))),"",INDEX('Policy Characteristics'!B:B,MATCH($C1354,'Policy Characteristics'!$C:$C,0)))</f>
        <v>Industry Energy Efficiency Standards</v>
      </c>
      <c r="C1354" s="254" t="str">
        <f t="shared" si="49"/>
        <v>Percentage Improvement in Eqpt Efficiency Standards above BAU</v>
      </c>
      <c r="D1354" s="6" t="s">
        <v>3067</v>
      </c>
      <c r="E1354" s="45" t="s">
        <v>2708</v>
      </c>
      <c r="F1354" t="s">
        <v>3031</v>
      </c>
      <c r="G1354" s="45" t="s">
        <v>2712</v>
      </c>
      <c r="H1354" s="43">
        <v>1026</v>
      </c>
      <c r="I1354" s="324" t="s">
        <v>43</v>
      </c>
      <c r="J1354" s="255" t="str">
        <f>IF(ISBLANK(INDEX('Policy Characteristics'!D:D,MATCH($C1354,'Policy Characteristics'!$C:$C,0))),"",INDEX('Policy Characteristics'!D:D,MATCH($C1354,'Policy Characteristics'!$C:$C,0)))</f>
        <v>Industry Energy Efficiency Standards</v>
      </c>
      <c r="K1354" s="254" t="str">
        <f>IF(ISBLANK(INDEX('Policy Characteristics'!E:E,MATCH($C1354,'Policy Characteristics'!$C:$C,0))),"",INDEX('Policy Characteristics'!E:E,MATCH($C1354,'Policy Characteristics'!$C:$C,0)))</f>
        <v>indst efficiency standards</v>
      </c>
      <c r="L1354" s="261">
        <f>IF(ISBLANK(INDEX('Policy Characteristics'!F:F,MATCH($C1354,'Policy Characteristics'!$C:$C,0))),"",INDEX('Policy Characteristics'!F:F,MATCH($C1354,'Policy Characteristics'!$C:$C,0)))</f>
        <v>0</v>
      </c>
      <c r="M1354" s="261">
        <f>IF(ISBLANK(INDEX('Policy Characteristics'!G:G,MATCH($C1354,'Policy Characteristics'!$C:$C,0))),"",INDEX('Policy Characteristics'!G:G,MATCH($C1354,'Policy Characteristics'!$C:$C,0)))</f>
        <v>0.25</v>
      </c>
      <c r="N1354" s="261">
        <f>IF(ISBLANK(INDEX('Policy Characteristics'!H:H,MATCH($C1354,'Policy Characteristics'!$C:$C,0))),"",INDEX('Policy Characteristics'!H:H,MATCH($C1354,'Policy Characteristics'!$C:$C,0)))</f>
        <v>0.01</v>
      </c>
      <c r="O1354" s="254" t="str">
        <f>IF(ISBLANK(INDEX('Policy Characteristics'!I:I,MATCH($C1354,'Policy Characteristics'!$C:$C,0))),"",INDEX('Policy Characteristics'!I:I,MATCH($C1354,'Policy Characteristics'!$C:$C,0)))</f>
        <v>% reduction in energy use</v>
      </c>
      <c r="P1354" s="254"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4" t="str">
        <f>IF(ISBLANK(INDEX('Policy Characteristics'!K:K,MATCH($C1354,'Policy Characteristics'!$C:$C,0))),"",INDEX('Policy Characteristics'!K:K,MATCH($C1354,'Policy Characteristics'!$C:$C,0)))</f>
        <v>industry-ag-main.html#eff-stds</v>
      </c>
      <c r="R1354" s="254" t="str">
        <f>IF(ISBLANK(INDEX('Policy Characteristics'!L:L,MATCH($C1354,'Policy Characteristics'!$C:$C,0))),"",INDEX('Policy Characteristics'!L:L,MATCH($C1354,'Policy Characteristics'!$C:$C,0)))</f>
        <v>industry-energy-efficiency-standards.html</v>
      </c>
    </row>
    <row r="1355" spans="1:18" s="4" customFormat="1" x14ac:dyDescent="0.3">
      <c r="A1355" s="254" t="str">
        <f>IF(ISBLANK(INDEX('Policy Characteristics'!A:A,MATCH($C1355,'Policy Characteristics'!$C:$C,0))),"",INDEX('Policy Characteristics'!A:A,MATCH($C1355,'Policy Characteristics'!$C:$C,0)))</f>
        <v>Industry</v>
      </c>
      <c r="B1355" s="262" t="str">
        <f>IF(ISBLANK(INDEX('Policy Characteristics'!B:B,MATCH($C1355,'Policy Characteristics'!$C:$C,0))),"",INDEX('Policy Characteristics'!B:B,MATCH($C1355,'Policy Characteristics'!$C:$C,0)))</f>
        <v>Industry Energy Efficiency Standards</v>
      </c>
      <c r="C1355" s="254" t="str">
        <f t="shared" si="49"/>
        <v>Percentage Improvement in Eqpt Efficiency Standards above BAU</v>
      </c>
      <c r="D1355" s="6" t="s">
        <v>3067</v>
      </c>
      <c r="E1355" s="45" t="s">
        <v>2705</v>
      </c>
      <c r="F1355" t="s">
        <v>3031</v>
      </c>
      <c r="G1355" s="45" t="s">
        <v>2710</v>
      </c>
      <c r="H1355" s="43">
        <v>1027</v>
      </c>
      <c r="I1355" s="324" t="s">
        <v>44</v>
      </c>
      <c r="J1355" s="255" t="str">
        <f>IF(ISBLANK(INDEX('Policy Characteristics'!D:D,MATCH($C1355,'Policy Characteristics'!$C:$C,0))),"",INDEX('Policy Characteristics'!D:D,MATCH($C1355,'Policy Characteristics'!$C:$C,0)))</f>
        <v>Industry Energy Efficiency Standards</v>
      </c>
      <c r="K1355" s="254" t="str">
        <f>IF(ISBLANK(INDEX('Policy Characteristics'!E:E,MATCH($C1355,'Policy Characteristics'!$C:$C,0))),"",INDEX('Policy Characteristics'!E:E,MATCH($C1355,'Policy Characteristics'!$C:$C,0)))</f>
        <v>indst efficiency standards</v>
      </c>
      <c r="L1355" s="261">
        <f>IF(ISBLANK(INDEX('Policy Characteristics'!F:F,MATCH($C1355,'Policy Characteristics'!$C:$C,0))),"",INDEX('Policy Characteristics'!F:F,MATCH($C1355,'Policy Characteristics'!$C:$C,0)))</f>
        <v>0</v>
      </c>
      <c r="M1355" s="261">
        <f>IF(ISBLANK(INDEX('Policy Characteristics'!G:G,MATCH($C1355,'Policy Characteristics'!$C:$C,0))),"",INDEX('Policy Characteristics'!G:G,MATCH($C1355,'Policy Characteristics'!$C:$C,0)))</f>
        <v>0.25</v>
      </c>
      <c r="N1355" s="261">
        <f>IF(ISBLANK(INDEX('Policy Characteristics'!H:H,MATCH($C1355,'Policy Characteristics'!$C:$C,0))),"",INDEX('Policy Characteristics'!H:H,MATCH($C1355,'Policy Characteristics'!$C:$C,0)))</f>
        <v>0.01</v>
      </c>
      <c r="O1355" s="254" t="str">
        <f>IF(ISBLANK(INDEX('Policy Characteristics'!I:I,MATCH($C1355,'Policy Characteristics'!$C:$C,0))),"",INDEX('Policy Characteristics'!I:I,MATCH($C1355,'Policy Characteristics'!$C:$C,0)))</f>
        <v>% reduction in energy use</v>
      </c>
      <c r="P1355" s="254"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4" t="str">
        <f>IF(ISBLANK(INDEX('Policy Characteristics'!K:K,MATCH($C1355,'Policy Characteristics'!$C:$C,0))),"",INDEX('Policy Characteristics'!K:K,MATCH($C1355,'Policy Characteristics'!$C:$C,0)))</f>
        <v>industry-ag-main.html#eff-stds</v>
      </c>
      <c r="R1355" s="254" t="str">
        <f>IF(ISBLANK(INDEX('Policy Characteristics'!L:L,MATCH($C1355,'Policy Characteristics'!$C:$C,0))),"",INDEX('Policy Characteristics'!L:L,MATCH($C1355,'Policy Characteristics'!$C:$C,0)))</f>
        <v>industry-energy-efficiency-standards.html</v>
      </c>
    </row>
    <row r="1356" spans="1:18" s="4" customFormat="1" x14ac:dyDescent="0.3">
      <c r="A1356" s="254" t="str">
        <f>IF(ISBLANK(INDEX('Policy Characteristics'!A:A,MATCH($C1356,'Policy Characteristics'!$C:$C,0))),"",INDEX('Policy Characteristics'!A:A,MATCH($C1356,'Policy Characteristics'!$C:$C,0)))</f>
        <v>Industry</v>
      </c>
      <c r="B1356" s="262" t="str">
        <f>IF(ISBLANK(INDEX('Policy Characteristics'!B:B,MATCH($C1356,'Policy Characteristics'!$C:$C,0))),"",INDEX('Policy Characteristics'!B:B,MATCH($C1356,'Policy Characteristics'!$C:$C,0)))</f>
        <v>Industry Energy Efficiency Standards</v>
      </c>
      <c r="C1356" s="254" t="str">
        <f t="shared" si="49"/>
        <v>Percentage Improvement in Eqpt Efficiency Standards above BAU</v>
      </c>
      <c r="D1356" s="6" t="s">
        <v>3068</v>
      </c>
      <c r="E1356" s="45" t="s">
        <v>2399</v>
      </c>
      <c r="F1356" t="s">
        <v>3032</v>
      </c>
      <c r="G1356" s="45" t="s">
        <v>2405</v>
      </c>
      <c r="H1356" s="43">
        <v>1028</v>
      </c>
      <c r="I1356" s="324" t="s">
        <v>43</v>
      </c>
      <c r="J1356" s="255" t="str">
        <f>IF(ISBLANK(INDEX('Policy Characteristics'!D:D,MATCH($C1356,'Policy Characteristics'!$C:$C,0))),"",INDEX('Policy Characteristics'!D:D,MATCH($C1356,'Policy Characteristics'!$C:$C,0)))</f>
        <v>Industry Energy Efficiency Standards</v>
      </c>
      <c r="K1356" s="254" t="str">
        <f>IF(ISBLANK(INDEX('Policy Characteristics'!E:E,MATCH($C1356,'Policy Characteristics'!$C:$C,0))),"",INDEX('Policy Characteristics'!E:E,MATCH($C1356,'Policy Characteristics'!$C:$C,0)))</f>
        <v>indst efficiency standards</v>
      </c>
      <c r="L1356" s="261">
        <f>IF(ISBLANK(INDEX('Policy Characteristics'!F:F,MATCH($C1356,'Policy Characteristics'!$C:$C,0))),"",INDEX('Policy Characteristics'!F:F,MATCH($C1356,'Policy Characteristics'!$C:$C,0)))</f>
        <v>0</v>
      </c>
      <c r="M1356" s="261">
        <f>IF(ISBLANK(INDEX('Policy Characteristics'!G:G,MATCH($C1356,'Policy Characteristics'!$C:$C,0))),"",INDEX('Policy Characteristics'!G:G,MATCH($C1356,'Policy Characteristics'!$C:$C,0)))</f>
        <v>0.25</v>
      </c>
      <c r="N1356" s="261">
        <f>IF(ISBLANK(INDEX('Policy Characteristics'!H:H,MATCH($C1356,'Policy Characteristics'!$C:$C,0))),"",INDEX('Policy Characteristics'!H:H,MATCH($C1356,'Policy Characteristics'!$C:$C,0)))</f>
        <v>0.01</v>
      </c>
      <c r="O1356" s="254" t="str">
        <f>IF(ISBLANK(INDEX('Policy Characteristics'!I:I,MATCH($C1356,'Policy Characteristics'!$C:$C,0))),"",INDEX('Policy Characteristics'!I:I,MATCH($C1356,'Policy Characteristics'!$C:$C,0)))</f>
        <v>% reduction in energy use</v>
      </c>
      <c r="P1356" s="254"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4" t="str">
        <f>IF(ISBLANK(INDEX('Policy Characteristics'!K:K,MATCH($C1356,'Policy Characteristics'!$C:$C,0))),"",INDEX('Policy Characteristics'!K:K,MATCH($C1356,'Policy Characteristics'!$C:$C,0)))</f>
        <v>industry-ag-main.html#eff-stds</v>
      </c>
      <c r="R1356" s="254" t="str">
        <f>IF(ISBLANK(INDEX('Policy Characteristics'!L:L,MATCH($C1356,'Policy Characteristics'!$C:$C,0))),"",INDEX('Policy Characteristics'!L:L,MATCH($C1356,'Policy Characteristics'!$C:$C,0)))</f>
        <v>industry-energy-efficiency-standards.html</v>
      </c>
    </row>
    <row r="1357" spans="1:18" s="4" customFormat="1" x14ac:dyDescent="0.3">
      <c r="A1357" s="254" t="str">
        <f>IF(ISBLANK(INDEX('Policy Characteristics'!A:A,MATCH($C1357,'Policy Characteristics'!$C:$C,0))),"",INDEX('Policy Characteristics'!A:A,MATCH($C1357,'Policy Characteristics'!$C:$C,0)))</f>
        <v>Industry</v>
      </c>
      <c r="B1357" s="262" t="str">
        <f>IF(ISBLANK(INDEX('Policy Characteristics'!B:B,MATCH($C1357,'Policy Characteristics'!$C:$C,0))),"",INDEX('Policy Characteristics'!B:B,MATCH($C1357,'Policy Characteristics'!$C:$C,0)))</f>
        <v>Industry Energy Efficiency Standards</v>
      </c>
      <c r="C1357" s="254" t="str">
        <f t="shared" si="49"/>
        <v>Percentage Improvement in Eqpt Efficiency Standards above BAU</v>
      </c>
      <c r="D1357" s="6" t="s">
        <v>3068</v>
      </c>
      <c r="E1357" s="45" t="s">
        <v>2400</v>
      </c>
      <c r="F1357" t="s">
        <v>3032</v>
      </c>
      <c r="G1357" s="45" t="s">
        <v>2408</v>
      </c>
      <c r="H1357" s="43">
        <v>1029</v>
      </c>
      <c r="I1357" s="324" t="s">
        <v>43</v>
      </c>
      <c r="J1357" s="255" t="str">
        <f>IF(ISBLANK(INDEX('Policy Characteristics'!D:D,MATCH($C1357,'Policy Characteristics'!$C:$C,0))),"",INDEX('Policy Characteristics'!D:D,MATCH($C1357,'Policy Characteristics'!$C:$C,0)))</f>
        <v>Industry Energy Efficiency Standards</v>
      </c>
      <c r="K1357" s="254" t="str">
        <f>IF(ISBLANK(INDEX('Policy Characteristics'!E:E,MATCH($C1357,'Policy Characteristics'!$C:$C,0))),"",INDEX('Policy Characteristics'!E:E,MATCH($C1357,'Policy Characteristics'!$C:$C,0)))</f>
        <v>indst efficiency standards</v>
      </c>
      <c r="L1357" s="261">
        <f>IF(ISBLANK(INDEX('Policy Characteristics'!F:F,MATCH($C1357,'Policy Characteristics'!$C:$C,0))),"",INDEX('Policy Characteristics'!F:F,MATCH($C1357,'Policy Characteristics'!$C:$C,0)))</f>
        <v>0</v>
      </c>
      <c r="M1357" s="261">
        <f>IF(ISBLANK(INDEX('Policy Characteristics'!G:G,MATCH($C1357,'Policy Characteristics'!$C:$C,0))),"",INDEX('Policy Characteristics'!G:G,MATCH($C1357,'Policy Characteristics'!$C:$C,0)))</f>
        <v>0.25</v>
      </c>
      <c r="N1357" s="261">
        <f>IF(ISBLANK(INDEX('Policy Characteristics'!H:H,MATCH($C1357,'Policy Characteristics'!$C:$C,0))),"",INDEX('Policy Characteristics'!H:H,MATCH($C1357,'Policy Characteristics'!$C:$C,0)))</f>
        <v>0.01</v>
      </c>
      <c r="O1357" s="254" t="str">
        <f>IF(ISBLANK(INDEX('Policy Characteristics'!I:I,MATCH($C1357,'Policy Characteristics'!$C:$C,0))),"",INDEX('Policy Characteristics'!I:I,MATCH($C1357,'Policy Characteristics'!$C:$C,0)))</f>
        <v>% reduction in energy use</v>
      </c>
      <c r="P1357" s="254"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4" t="str">
        <f>IF(ISBLANK(INDEX('Policy Characteristics'!K:K,MATCH($C1357,'Policy Characteristics'!$C:$C,0))),"",INDEX('Policy Characteristics'!K:K,MATCH($C1357,'Policy Characteristics'!$C:$C,0)))</f>
        <v>industry-ag-main.html#eff-stds</v>
      </c>
      <c r="R1357" s="254" t="str">
        <f>IF(ISBLANK(INDEX('Policy Characteristics'!L:L,MATCH($C1357,'Policy Characteristics'!$C:$C,0))),"",INDEX('Policy Characteristics'!L:L,MATCH($C1357,'Policy Characteristics'!$C:$C,0)))</f>
        <v>industry-energy-efficiency-standards.html</v>
      </c>
    </row>
    <row r="1358" spans="1:18" s="4" customFormat="1" x14ac:dyDescent="0.3">
      <c r="A1358" s="254" t="str">
        <f>IF(ISBLANK(INDEX('Policy Characteristics'!A:A,MATCH($C1358,'Policy Characteristics'!$C:$C,0))),"",INDEX('Policy Characteristics'!A:A,MATCH($C1358,'Policy Characteristics'!$C:$C,0)))</f>
        <v>Industry</v>
      </c>
      <c r="B1358" s="262" t="str">
        <f>IF(ISBLANK(INDEX('Policy Characteristics'!B:B,MATCH($C1358,'Policy Characteristics'!$C:$C,0))),"",INDEX('Policy Characteristics'!B:B,MATCH($C1358,'Policy Characteristics'!$C:$C,0)))</f>
        <v>Industry Energy Efficiency Standards</v>
      </c>
      <c r="C1358" s="254" t="str">
        <f t="shared" si="49"/>
        <v>Percentage Improvement in Eqpt Efficiency Standards above BAU</v>
      </c>
      <c r="D1358" s="6" t="s">
        <v>3068</v>
      </c>
      <c r="E1358" s="45" t="s">
        <v>2401</v>
      </c>
      <c r="F1358" t="s">
        <v>3032</v>
      </c>
      <c r="G1358" s="45" t="s">
        <v>2409</v>
      </c>
      <c r="H1358" s="43">
        <v>1030</v>
      </c>
      <c r="I1358" s="324" t="s">
        <v>43</v>
      </c>
      <c r="J1358" s="255" t="str">
        <f>IF(ISBLANK(INDEX('Policy Characteristics'!D:D,MATCH($C1358,'Policy Characteristics'!$C:$C,0))),"",INDEX('Policy Characteristics'!D:D,MATCH($C1358,'Policy Characteristics'!$C:$C,0)))</f>
        <v>Industry Energy Efficiency Standards</v>
      </c>
      <c r="K1358" s="254" t="str">
        <f>IF(ISBLANK(INDEX('Policy Characteristics'!E:E,MATCH($C1358,'Policy Characteristics'!$C:$C,0))),"",INDEX('Policy Characteristics'!E:E,MATCH($C1358,'Policy Characteristics'!$C:$C,0)))</f>
        <v>indst efficiency standards</v>
      </c>
      <c r="L1358" s="261">
        <f>IF(ISBLANK(INDEX('Policy Characteristics'!F:F,MATCH($C1358,'Policy Characteristics'!$C:$C,0))),"",INDEX('Policy Characteristics'!F:F,MATCH($C1358,'Policy Characteristics'!$C:$C,0)))</f>
        <v>0</v>
      </c>
      <c r="M1358" s="261">
        <f>IF(ISBLANK(INDEX('Policy Characteristics'!G:G,MATCH($C1358,'Policy Characteristics'!$C:$C,0))),"",INDEX('Policy Characteristics'!G:G,MATCH($C1358,'Policy Characteristics'!$C:$C,0)))</f>
        <v>0.25</v>
      </c>
      <c r="N1358" s="261">
        <f>IF(ISBLANK(INDEX('Policy Characteristics'!H:H,MATCH($C1358,'Policy Characteristics'!$C:$C,0))),"",INDEX('Policy Characteristics'!H:H,MATCH($C1358,'Policy Characteristics'!$C:$C,0)))</f>
        <v>0.01</v>
      </c>
      <c r="O1358" s="254" t="str">
        <f>IF(ISBLANK(INDEX('Policy Characteristics'!I:I,MATCH($C1358,'Policy Characteristics'!$C:$C,0))),"",INDEX('Policy Characteristics'!I:I,MATCH($C1358,'Policy Characteristics'!$C:$C,0)))</f>
        <v>% reduction in energy use</v>
      </c>
      <c r="P1358" s="254"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4" t="str">
        <f>IF(ISBLANK(INDEX('Policy Characteristics'!K:K,MATCH($C1358,'Policy Characteristics'!$C:$C,0))),"",INDEX('Policy Characteristics'!K:K,MATCH($C1358,'Policy Characteristics'!$C:$C,0)))</f>
        <v>industry-ag-main.html#eff-stds</v>
      </c>
      <c r="R1358" s="254" t="str">
        <f>IF(ISBLANK(INDEX('Policy Characteristics'!L:L,MATCH($C1358,'Policy Characteristics'!$C:$C,0))),"",INDEX('Policy Characteristics'!L:L,MATCH($C1358,'Policy Characteristics'!$C:$C,0)))</f>
        <v>industry-energy-efficiency-standards.html</v>
      </c>
    </row>
    <row r="1359" spans="1:18" s="4" customFormat="1" x14ac:dyDescent="0.3">
      <c r="A1359" s="254" t="str">
        <f>IF(ISBLANK(INDEX('Policy Characteristics'!A:A,MATCH($C1359,'Policy Characteristics'!$C:$C,0))),"",INDEX('Policy Characteristics'!A:A,MATCH($C1359,'Policy Characteristics'!$C:$C,0)))</f>
        <v>Industry</v>
      </c>
      <c r="B1359" s="262" t="str">
        <f>IF(ISBLANK(INDEX('Policy Characteristics'!B:B,MATCH($C1359,'Policy Characteristics'!$C:$C,0))),"",INDEX('Policy Characteristics'!B:B,MATCH($C1359,'Policy Characteristics'!$C:$C,0)))</f>
        <v>Industry Energy Efficiency Standards</v>
      </c>
      <c r="C1359" s="254" t="str">
        <f t="shared" si="49"/>
        <v>Percentage Improvement in Eqpt Efficiency Standards above BAU</v>
      </c>
      <c r="D1359" s="6" t="s">
        <v>3068</v>
      </c>
      <c r="E1359" s="45" t="s">
        <v>2402</v>
      </c>
      <c r="F1359" t="s">
        <v>3032</v>
      </c>
      <c r="G1359" s="45" t="s">
        <v>2406</v>
      </c>
      <c r="H1359" s="43">
        <v>1031</v>
      </c>
      <c r="I1359" s="324" t="s">
        <v>44</v>
      </c>
      <c r="J1359" s="255" t="str">
        <f>IF(ISBLANK(INDEX('Policy Characteristics'!D:D,MATCH($C1359,'Policy Characteristics'!$C:$C,0))),"",INDEX('Policy Characteristics'!D:D,MATCH($C1359,'Policy Characteristics'!$C:$C,0)))</f>
        <v>Industry Energy Efficiency Standards</v>
      </c>
      <c r="K1359" s="254" t="str">
        <f>IF(ISBLANK(INDEX('Policy Characteristics'!E:E,MATCH($C1359,'Policy Characteristics'!$C:$C,0))),"",INDEX('Policy Characteristics'!E:E,MATCH($C1359,'Policy Characteristics'!$C:$C,0)))</f>
        <v>indst efficiency standards</v>
      </c>
      <c r="L1359" s="261">
        <f>IF(ISBLANK(INDEX('Policy Characteristics'!F:F,MATCH($C1359,'Policy Characteristics'!$C:$C,0))),"",INDEX('Policy Characteristics'!F:F,MATCH($C1359,'Policy Characteristics'!$C:$C,0)))</f>
        <v>0</v>
      </c>
      <c r="M1359" s="261">
        <f>IF(ISBLANK(INDEX('Policy Characteristics'!G:G,MATCH($C1359,'Policy Characteristics'!$C:$C,0))),"",INDEX('Policy Characteristics'!G:G,MATCH($C1359,'Policy Characteristics'!$C:$C,0)))</f>
        <v>0.25</v>
      </c>
      <c r="N1359" s="261">
        <f>IF(ISBLANK(INDEX('Policy Characteristics'!H:H,MATCH($C1359,'Policy Characteristics'!$C:$C,0))),"",INDEX('Policy Characteristics'!H:H,MATCH($C1359,'Policy Characteristics'!$C:$C,0)))</f>
        <v>0.01</v>
      </c>
      <c r="O1359" s="254" t="str">
        <f>IF(ISBLANK(INDEX('Policy Characteristics'!I:I,MATCH($C1359,'Policy Characteristics'!$C:$C,0))),"",INDEX('Policy Characteristics'!I:I,MATCH($C1359,'Policy Characteristics'!$C:$C,0)))</f>
        <v>% reduction in energy use</v>
      </c>
      <c r="P1359" s="254"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4" t="str">
        <f>IF(ISBLANK(INDEX('Policy Characteristics'!K:K,MATCH($C1359,'Policy Characteristics'!$C:$C,0))),"",INDEX('Policy Characteristics'!K:K,MATCH($C1359,'Policy Characteristics'!$C:$C,0)))</f>
        <v>industry-ag-main.html#eff-stds</v>
      </c>
      <c r="R1359" s="254" t="str">
        <f>IF(ISBLANK(INDEX('Policy Characteristics'!L:L,MATCH($C1359,'Policy Characteristics'!$C:$C,0))),"",INDEX('Policy Characteristics'!L:L,MATCH($C1359,'Policy Characteristics'!$C:$C,0)))</f>
        <v>industry-energy-efficiency-standards.html</v>
      </c>
    </row>
    <row r="1360" spans="1:18" s="4" customFormat="1" x14ac:dyDescent="0.3">
      <c r="A1360" s="254" t="str">
        <f>IF(ISBLANK(INDEX('Policy Characteristics'!A:A,MATCH($C1360,'Policy Characteristics'!$C:$C,0))),"",INDEX('Policy Characteristics'!A:A,MATCH($C1360,'Policy Characteristics'!$C:$C,0)))</f>
        <v>Industry</v>
      </c>
      <c r="B1360" s="262" t="str">
        <f>IF(ISBLANK(INDEX('Policy Characteristics'!B:B,MATCH($C1360,'Policy Characteristics'!$C:$C,0))),"",INDEX('Policy Characteristics'!B:B,MATCH($C1360,'Policy Characteristics'!$C:$C,0)))</f>
        <v>Industry Energy Efficiency Standards</v>
      </c>
      <c r="C1360" s="254" t="str">
        <f t="shared" si="49"/>
        <v>Percentage Improvement in Eqpt Efficiency Standards above BAU</v>
      </c>
      <c r="D1360" s="6" t="s">
        <v>3068</v>
      </c>
      <c r="E1360" s="45" t="s">
        <v>2403</v>
      </c>
      <c r="F1360" t="s">
        <v>3032</v>
      </c>
      <c r="G1360" s="45" t="s">
        <v>2407</v>
      </c>
      <c r="H1360" s="43">
        <v>1032</v>
      </c>
      <c r="I1360" s="324" t="s">
        <v>43</v>
      </c>
      <c r="J1360" s="255" t="str">
        <f>IF(ISBLANK(INDEX('Policy Characteristics'!D:D,MATCH($C1360,'Policy Characteristics'!$C:$C,0))),"",INDEX('Policy Characteristics'!D:D,MATCH($C1360,'Policy Characteristics'!$C:$C,0)))</f>
        <v>Industry Energy Efficiency Standards</v>
      </c>
      <c r="K1360" s="254" t="str">
        <f>IF(ISBLANK(INDEX('Policy Characteristics'!E:E,MATCH($C1360,'Policy Characteristics'!$C:$C,0))),"",INDEX('Policy Characteristics'!E:E,MATCH($C1360,'Policy Characteristics'!$C:$C,0)))</f>
        <v>indst efficiency standards</v>
      </c>
      <c r="L1360" s="261">
        <f>IF(ISBLANK(INDEX('Policy Characteristics'!F:F,MATCH($C1360,'Policy Characteristics'!$C:$C,0))),"",INDEX('Policy Characteristics'!F:F,MATCH($C1360,'Policy Characteristics'!$C:$C,0)))</f>
        <v>0</v>
      </c>
      <c r="M1360" s="261">
        <f>IF(ISBLANK(INDEX('Policy Characteristics'!G:G,MATCH($C1360,'Policy Characteristics'!$C:$C,0))),"",INDEX('Policy Characteristics'!G:G,MATCH($C1360,'Policy Characteristics'!$C:$C,0)))</f>
        <v>0.25</v>
      </c>
      <c r="N1360" s="261">
        <f>IF(ISBLANK(INDEX('Policy Characteristics'!H:H,MATCH($C1360,'Policy Characteristics'!$C:$C,0))),"",INDEX('Policy Characteristics'!H:H,MATCH($C1360,'Policy Characteristics'!$C:$C,0)))</f>
        <v>0.01</v>
      </c>
      <c r="O1360" s="254" t="str">
        <f>IF(ISBLANK(INDEX('Policy Characteristics'!I:I,MATCH($C1360,'Policy Characteristics'!$C:$C,0))),"",INDEX('Policy Characteristics'!I:I,MATCH($C1360,'Policy Characteristics'!$C:$C,0)))</f>
        <v>% reduction in energy use</v>
      </c>
      <c r="P1360" s="254"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4" t="str">
        <f>IF(ISBLANK(INDEX('Policy Characteristics'!K:K,MATCH($C1360,'Policy Characteristics'!$C:$C,0))),"",INDEX('Policy Characteristics'!K:K,MATCH($C1360,'Policy Characteristics'!$C:$C,0)))</f>
        <v>industry-ag-main.html#eff-stds</v>
      </c>
      <c r="R1360" s="254" t="str">
        <f>IF(ISBLANK(INDEX('Policy Characteristics'!L:L,MATCH($C1360,'Policy Characteristics'!$C:$C,0))),"",INDEX('Policy Characteristics'!L:L,MATCH($C1360,'Policy Characteristics'!$C:$C,0)))</f>
        <v>industry-energy-efficiency-standards.html</v>
      </c>
    </row>
    <row r="1361" spans="1:18" s="4" customFormat="1" x14ac:dyDescent="0.3">
      <c r="A1361" s="254" t="str">
        <f>IF(ISBLANK(INDEX('Policy Characteristics'!A:A,MATCH($C1361,'Policy Characteristics'!$C:$C,0))),"",INDEX('Policy Characteristics'!A:A,MATCH($C1361,'Policy Characteristics'!$C:$C,0)))</f>
        <v>Industry</v>
      </c>
      <c r="B1361" s="262" t="str">
        <f>IF(ISBLANK(INDEX('Policy Characteristics'!B:B,MATCH($C1361,'Policy Characteristics'!$C:$C,0))),"",INDEX('Policy Characteristics'!B:B,MATCH($C1361,'Policy Characteristics'!$C:$C,0)))</f>
        <v>Industry Energy Efficiency Standards</v>
      </c>
      <c r="C1361" s="254" t="str">
        <f t="shared" si="49"/>
        <v>Percentage Improvement in Eqpt Efficiency Standards above BAU</v>
      </c>
      <c r="D1361" s="6" t="s">
        <v>3068</v>
      </c>
      <c r="E1361" s="45" t="s">
        <v>2404</v>
      </c>
      <c r="F1361" t="s">
        <v>3032</v>
      </c>
      <c r="G1361" s="45" t="s">
        <v>2410</v>
      </c>
      <c r="H1361" s="43">
        <v>1033</v>
      </c>
      <c r="I1361" s="324" t="s">
        <v>44</v>
      </c>
      <c r="J1361" s="255" t="str">
        <f>IF(ISBLANK(INDEX('Policy Characteristics'!D:D,MATCH($C1361,'Policy Characteristics'!$C:$C,0))),"",INDEX('Policy Characteristics'!D:D,MATCH($C1361,'Policy Characteristics'!$C:$C,0)))</f>
        <v>Industry Energy Efficiency Standards</v>
      </c>
      <c r="K1361" s="254" t="str">
        <f>IF(ISBLANK(INDEX('Policy Characteristics'!E:E,MATCH($C1361,'Policy Characteristics'!$C:$C,0))),"",INDEX('Policy Characteristics'!E:E,MATCH($C1361,'Policy Characteristics'!$C:$C,0)))</f>
        <v>indst efficiency standards</v>
      </c>
      <c r="L1361" s="261">
        <f>IF(ISBLANK(INDEX('Policy Characteristics'!F:F,MATCH($C1361,'Policy Characteristics'!$C:$C,0))),"",INDEX('Policy Characteristics'!F:F,MATCH($C1361,'Policy Characteristics'!$C:$C,0)))</f>
        <v>0</v>
      </c>
      <c r="M1361" s="261">
        <f>IF(ISBLANK(INDEX('Policy Characteristics'!G:G,MATCH($C1361,'Policy Characteristics'!$C:$C,0))),"",INDEX('Policy Characteristics'!G:G,MATCH($C1361,'Policy Characteristics'!$C:$C,0)))</f>
        <v>0.25</v>
      </c>
      <c r="N1361" s="261">
        <f>IF(ISBLANK(INDEX('Policy Characteristics'!H:H,MATCH($C1361,'Policy Characteristics'!$C:$C,0))),"",INDEX('Policy Characteristics'!H:H,MATCH($C1361,'Policy Characteristics'!$C:$C,0)))</f>
        <v>0.01</v>
      </c>
      <c r="O1361" s="254" t="str">
        <f>IF(ISBLANK(INDEX('Policy Characteristics'!I:I,MATCH($C1361,'Policy Characteristics'!$C:$C,0))),"",INDEX('Policy Characteristics'!I:I,MATCH($C1361,'Policy Characteristics'!$C:$C,0)))</f>
        <v>% reduction in energy use</v>
      </c>
      <c r="P1361" s="254"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4" t="str">
        <f>IF(ISBLANK(INDEX('Policy Characteristics'!K:K,MATCH($C1361,'Policy Characteristics'!$C:$C,0))),"",INDEX('Policy Characteristics'!K:K,MATCH($C1361,'Policy Characteristics'!$C:$C,0)))</f>
        <v>industry-ag-main.html#eff-stds</v>
      </c>
      <c r="R1361" s="254" t="str">
        <f>IF(ISBLANK(INDEX('Policy Characteristics'!L:L,MATCH($C1361,'Policy Characteristics'!$C:$C,0))),"",INDEX('Policy Characteristics'!L:L,MATCH($C1361,'Policy Characteristics'!$C:$C,0)))</f>
        <v>industry-energy-efficiency-standards.html</v>
      </c>
    </row>
    <row r="1362" spans="1:18" s="4" customFormat="1" x14ac:dyDescent="0.3">
      <c r="A1362" s="254" t="str">
        <f>IF(ISBLANK(INDEX('Policy Characteristics'!A:A,MATCH($C1362,'Policy Characteristics'!$C:$C,0))),"",INDEX('Policy Characteristics'!A:A,MATCH($C1362,'Policy Characteristics'!$C:$C,0)))</f>
        <v>Industry</v>
      </c>
      <c r="B1362" s="262" t="str">
        <f>IF(ISBLANK(INDEX('Policy Characteristics'!B:B,MATCH($C1362,'Policy Characteristics'!$C:$C,0))),"",INDEX('Policy Characteristics'!B:B,MATCH($C1362,'Policy Characteristics'!$C:$C,0)))</f>
        <v>Industry Energy Efficiency Standards</v>
      </c>
      <c r="C1362" s="254" t="str">
        <f t="shared" si="49"/>
        <v>Percentage Improvement in Eqpt Efficiency Standards above BAU</v>
      </c>
      <c r="D1362" s="6" t="s">
        <v>3068</v>
      </c>
      <c r="E1362" s="45" t="s">
        <v>2706</v>
      </c>
      <c r="F1362" t="s">
        <v>3032</v>
      </c>
      <c r="G1362" s="45" t="s">
        <v>2709</v>
      </c>
      <c r="H1362" s="43">
        <v>1034</v>
      </c>
      <c r="I1362" s="324" t="s">
        <v>44</v>
      </c>
      <c r="J1362" s="255" t="str">
        <f>IF(ISBLANK(INDEX('Policy Characteristics'!D:D,MATCH($C1362,'Policy Characteristics'!$C:$C,0))),"",INDEX('Policy Characteristics'!D:D,MATCH($C1362,'Policy Characteristics'!$C:$C,0)))</f>
        <v>Industry Energy Efficiency Standards</v>
      </c>
      <c r="K1362" s="254" t="str">
        <f>IF(ISBLANK(INDEX('Policy Characteristics'!E:E,MATCH($C1362,'Policy Characteristics'!$C:$C,0))),"",INDEX('Policy Characteristics'!E:E,MATCH($C1362,'Policy Characteristics'!$C:$C,0)))</f>
        <v>indst efficiency standards</v>
      </c>
      <c r="L1362" s="261">
        <f>IF(ISBLANK(INDEX('Policy Characteristics'!F:F,MATCH($C1362,'Policy Characteristics'!$C:$C,0))),"",INDEX('Policy Characteristics'!F:F,MATCH($C1362,'Policy Characteristics'!$C:$C,0)))</f>
        <v>0</v>
      </c>
      <c r="M1362" s="261">
        <f>IF(ISBLANK(INDEX('Policy Characteristics'!G:G,MATCH($C1362,'Policy Characteristics'!$C:$C,0))),"",INDEX('Policy Characteristics'!G:G,MATCH($C1362,'Policy Characteristics'!$C:$C,0)))</f>
        <v>0.25</v>
      </c>
      <c r="N1362" s="261">
        <f>IF(ISBLANK(INDEX('Policy Characteristics'!H:H,MATCH($C1362,'Policy Characteristics'!$C:$C,0))),"",INDEX('Policy Characteristics'!H:H,MATCH($C1362,'Policy Characteristics'!$C:$C,0)))</f>
        <v>0.01</v>
      </c>
      <c r="O1362" s="254" t="str">
        <f>IF(ISBLANK(INDEX('Policy Characteristics'!I:I,MATCH($C1362,'Policy Characteristics'!$C:$C,0))),"",INDEX('Policy Characteristics'!I:I,MATCH($C1362,'Policy Characteristics'!$C:$C,0)))</f>
        <v>% reduction in energy use</v>
      </c>
      <c r="P1362" s="254"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4" t="str">
        <f>IF(ISBLANK(INDEX('Policy Characteristics'!K:K,MATCH($C1362,'Policy Characteristics'!$C:$C,0))),"",INDEX('Policy Characteristics'!K:K,MATCH($C1362,'Policy Characteristics'!$C:$C,0)))</f>
        <v>industry-ag-main.html#eff-stds</v>
      </c>
      <c r="R1362" s="254" t="str">
        <f>IF(ISBLANK(INDEX('Policy Characteristics'!L:L,MATCH($C1362,'Policy Characteristics'!$C:$C,0))),"",INDEX('Policy Characteristics'!L:L,MATCH($C1362,'Policy Characteristics'!$C:$C,0)))</f>
        <v>industry-energy-efficiency-standards.html</v>
      </c>
    </row>
    <row r="1363" spans="1:18" s="4" customFormat="1" x14ac:dyDescent="0.3">
      <c r="A1363" s="254" t="str">
        <f>IF(ISBLANK(INDEX('Policy Characteristics'!A:A,MATCH($C1363,'Policy Characteristics'!$C:$C,0))),"",INDEX('Policy Characteristics'!A:A,MATCH($C1363,'Policy Characteristics'!$C:$C,0)))</f>
        <v>Industry</v>
      </c>
      <c r="B1363" s="262" t="str">
        <f>IF(ISBLANK(INDEX('Policy Characteristics'!B:B,MATCH($C1363,'Policy Characteristics'!$C:$C,0))),"",INDEX('Policy Characteristics'!B:B,MATCH($C1363,'Policy Characteristics'!$C:$C,0)))</f>
        <v>Industry Energy Efficiency Standards</v>
      </c>
      <c r="C1363" s="254" t="str">
        <f t="shared" si="49"/>
        <v>Percentage Improvement in Eqpt Efficiency Standards above BAU</v>
      </c>
      <c r="D1363" s="6" t="s">
        <v>3068</v>
      </c>
      <c r="E1363" s="45" t="s">
        <v>2707</v>
      </c>
      <c r="F1363" t="s">
        <v>3032</v>
      </c>
      <c r="G1363" s="45" t="s">
        <v>2711</v>
      </c>
      <c r="H1363" s="43">
        <v>1035</v>
      </c>
      <c r="I1363" s="324" t="s">
        <v>43</v>
      </c>
      <c r="J1363" s="255" t="str">
        <f>IF(ISBLANK(INDEX('Policy Characteristics'!D:D,MATCH($C1363,'Policy Characteristics'!$C:$C,0))),"",INDEX('Policy Characteristics'!D:D,MATCH($C1363,'Policy Characteristics'!$C:$C,0)))</f>
        <v>Industry Energy Efficiency Standards</v>
      </c>
      <c r="K1363" s="254" t="str">
        <f>IF(ISBLANK(INDEX('Policy Characteristics'!E:E,MATCH($C1363,'Policy Characteristics'!$C:$C,0))),"",INDEX('Policy Characteristics'!E:E,MATCH($C1363,'Policy Characteristics'!$C:$C,0)))</f>
        <v>indst efficiency standards</v>
      </c>
      <c r="L1363" s="261">
        <f>IF(ISBLANK(INDEX('Policy Characteristics'!F:F,MATCH($C1363,'Policy Characteristics'!$C:$C,0))),"",INDEX('Policy Characteristics'!F:F,MATCH($C1363,'Policy Characteristics'!$C:$C,0)))</f>
        <v>0</v>
      </c>
      <c r="M1363" s="261">
        <f>IF(ISBLANK(INDEX('Policy Characteristics'!G:G,MATCH($C1363,'Policy Characteristics'!$C:$C,0))),"",INDEX('Policy Characteristics'!G:G,MATCH($C1363,'Policy Characteristics'!$C:$C,0)))</f>
        <v>0.25</v>
      </c>
      <c r="N1363" s="261">
        <f>IF(ISBLANK(INDEX('Policy Characteristics'!H:H,MATCH($C1363,'Policy Characteristics'!$C:$C,0))),"",INDEX('Policy Characteristics'!H:H,MATCH($C1363,'Policy Characteristics'!$C:$C,0)))</f>
        <v>0.01</v>
      </c>
      <c r="O1363" s="254" t="str">
        <f>IF(ISBLANK(INDEX('Policy Characteristics'!I:I,MATCH($C1363,'Policy Characteristics'!$C:$C,0))),"",INDEX('Policy Characteristics'!I:I,MATCH($C1363,'Policy Characteristics'!$C:$C,0)))</f>
        <v>% reduction in energy use</v>
      </c>
      <c r="P1363" s="254"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4" t="str">
        <f>IF(ISBLANK(INDEX('Policy Characteristics'!K:K,MATCH($C1363,'Policy Characteristics'!$C:$C,0))),"",INDEX('Policy Characteristics'!K:K,MATCH($C1363,'Policy Characteristics'!$C:$C,0)))</f>
        <v>industry-ag-main.html#eff-stds</v>
      </c>
      <c r="R1363" s="254" t="str">
        <f>IF(ISBLANK(INDEX('Policy Characteristics'!L:L,MATCH($C1363,'Policy Characteristics'!$C:$C,0))),"",INDEX('Policy Characteristics'!L:L,MATCH($C1363,'Policy Characteristics'!$C:$C,0)))</f>
        <v>industry-energy-efficiency-standards.html</v>
      </c>
    </row>
    <row r="1364" spans="1:18" s="4" customFormat="1" x14ac:dyDescent="0.3">
      <c r="A1364" s="254" t="str">
        <f>IF(ISBLANK(INDEX('Policy Characteristics'!A:A,MATCH($C1364,'Policy Characteristics'!$C:$C,0))),"",INDEX('Policy Characteristics'!A:A,MATCH($C1364,'Policy Characteristics'!$C:$C,0)))</f>
        <v>Industry</v>
      </c>
      <c r="B1364" s="262" t="str">
        <f>IF(ISBLANK(INDEX('Policy Characteristics'!B:B,MATCH($C1364,'Policy Characteristics'!$C:$C,0))),"",INDEX('Policy Characteristics'!B:B,MATCH($C1364,'Policy Characteristics'!$C:$C,0)))</f>
        <v>Industry Energy Efficiency Standards</v>
      </c>
      <c r="C1364" s="254" t="str">
        <f t="shared" si="49"/>
        <v>Percentage Improvement in Eqpt Efficiency Standards above BAU</v>
      </c>
      <c r="D1364" s="6" t="s">
        <v>3068</v>
      </c>
      <c r="E1364" s="45" t="s">
        <v>2708</v>
      </c>
      <c r="F1364" t="s">
        <v>3032</v>
      </c>
      <c r="G1364" s="45" t="s">
        <v>2712</v>
      </c>
      <c r="H1364" s="43">
        <v>1036</v>
      </c>
      <c r="I1364" s="324" t="s">
        <v>43</v>
      </c>
      <c r="J1364" s="255" t="str">
        <f>IF(ISBLANK(INDEX('Policy Characteristics'!D:D,MATCH($C1364,'Policy Characteristics'!$C:$C,0))),"",INDEX('Policy Characteristics'!D:D,MATCH($C1364,'Policy Characteristics'!$C:$C,0)))</f>
        <v>Industry Energy Efficiency Standards</v>
      </c>
      <c r="K1364" s="254" t="str">
        <f>IF(ISBLANK(INDEX('Policy Characteristics'!E:E,MATCH($C1364,'Policy Characteristics'!$C:$C,0))),"",INDEX('Policy Characteristics'!E:E,MATCH($C1364,'Policy Characteristics'!$C:$C,0)))</f>
        <v>indst efficiency standards</v>
      </c>
      <c r="L1364" s="261">
        <f>IF(ISBLANK(INDEX('Policy Characteristics'!F:F,MATCH($C1364,'Policy Characteristics'!$C:$C,0))),"",INDEX('Policy Characteristics'!F:F,MATCH($C1364,'Policy Characteristics'!$C:$C,0)))</f>
        <v>0</v>
      </c>
      <c r="M1364" s="261">
        <f>IF(ISBLANK(INDEX('Policy Characteristics'!G:G,MATCH($C1364,'Policy Characteristics'!$C:$C,0))),"",INDEX('Policy Characteristics'!G:G,MATCH($C1364,'Policy Characteristics'!$C:$C,0)))</f>
        <v>0.25</v>
      </c>
      <c r="N1364" s="261">
        <f>IF(ISBLANK(INDEX('Policy Characteristics'!H:H,MATCH($C1364,'Policy Characteristics'!$C:$C,0))),"",INDEX('Policy Characteristics'!H:H,MATCH($C1364,'Policy Characteristics'!$C:$C,0)))</f>
        <v>0.01</v>
      </c>
      <c r="O1364" s="254" t="str">
        <f>IF(ISBLANK(INDEX('Policy Characteristics'!I:I,MATCH($C1364,'Policy Characteristics'!$C:$C,0))),"",INDEX('Policy Characteristics'!I:I,MATCH($C1364,'Policy Characteristics'!$C:$C,0)))</f>
        <v>% reduction in energy use</v>
      </c>
      <c r="P1364" s="254"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4" t="str">
        <f>IF(ISBLANK(INDEX('Policy Characteristics'!K:K,MATCH($C1364,'Policy Characteristics'!$C:$C,0))),"",INDEX('Policy Characteristics'!K:K,MATCH($C1364,'Policy Characteristics'!$C:$C,0)))</f>
        <v>industry-ag-main.html#eff-stds</v>
      </c>
      <c r="R1364" s="254" t="str">
        <f>IF(ISBLANK(INDEX('Policy Characteristics'!L:L,MATCH($C1364,'Policy Characteristics'!$C:$C,0))),"",INDEX('Policy Characteristics'!L:L,MATCH($C1364,'Policy Characteristics'!$C:$C,0)))</f>
        <v>industry-energy-efficiency-standards.html</v>
      </c>
    </row>
    <row r="1365" spans="1:18" s="4" customFormat="1" x14ac:dyDescent="0.3">
      <c r="A1365" s="254" t="str">
        <f>IF(ISBLANK(INDEX('Policy Characteristics'!A:A,MATCH($C1365,'Policy Characteristics'!$C:$C,0))),"",INDEX('Policy Characteristics'!A:A,MATCH($C1365,'Policy Characteristics'!$C:$C,0)))</f>
        <v>Industry</v>
      </c>
      <c r="B1365" s="262" t="str">
        <f>IF(ISBLANK(INDEX('Policy Characteristics'!B:B,MATCH($C1365,'Policy Characteristics'!$C:$C,0))),"",INDEX('Policy Characteristics'!B:B,MATCH($C1365,'Policy Characteristics'!$C:$C,0)))</f>
        <v>Industry Energy Efficiency Standards</v>
      </c>
      <c r="C1365" s="254" t="str">
        <f t="shared" si="49"/>
        <v>Percentage Improvement in Eqpt Efficiency Standards above BAU</v>
      </c>
      <c r="D1365" s="6" t="s">
        <v>3068</v>
      </c>
      <c r="E1365" s="45" t="s">
        <v>2705</v>
      </c>
      <c r="F1365" t="s">
        <v>3032</v>
      </c>
      <c r="G1365" s="45" t="s">
        <v>2710</v>
      </c>
      <c r="H1365" s="43">
        <v>1037</v>
      </c>
      <c r="I1365" s="324" t="s">
        <v>44</v>
      </c>
      <c r="J1365" s="255" t="str">
        <f>IF(ISBLANK(INDEX('Policy Characteristics'!D:D,MATCH($C1365,'Policy Characteristics'!$C:$C,0))),"",INDEX('Policy Characteristics'!D:D,MATCH($C1365,'Policy Characteristics'!$C:$C,0)))</f>
        <v>Industry Energy Efficiency Standards</v>
      </c>
      <c r="K1365" s="254" t="str">
        <f>IF(ISBLANK(INDEX('Policy Characteristics'!E:E,MATCH($C1365,'Policy Characteristics'!$C:$C,0))),"",INDEX('Policy Characteristics'!E:E,MATCH($C1365,'Policy Characteristics'!$C:$C,0)))</f>
        <v>indst efficiency standards</v>
      </c>
      <c r="L1365" s="261">
        <f>IF(ISBLANK(INDEX('Policy Characteristics'!F:F,MATCH($C1365,'Policy Characteristics'!$C:$C,0))),"",INDEX('Policy Characteristics'!F:F,MATCH($C1365,'Policy Characteristics'!$C:$C,0)))</f>
        <v>0</v>
      </c>
      <c r="M1365" s="261">
        <f>IF(ISBLANK(INDEX('Policy Characteristics'!G:G,MATCH($C1365,'Policy Characteristics'!$C:$C,0))),"",INDEX('Policy Characteristics'!G:G,MATCH($C1365,'Policy Characteristics'!$C:$C,0)))</f>
        <v>0.25</v>
      </c>
      <c r="N1365" s="261">
        <f>IF(ISBLANK(INDEX('Policy Characteristics'!H:H,MATCH($C1365,'Policy Characteristics'!$C:$C,0))),"",INDEX('Policy Characteristics'!H:H,MATCH($C1365,'Policy Characteristics'!$C:$C,0)))</f>
        <v>0.01</v>
      </c>
      <c r="O1365" s="254" t="str">
        <f>IF(ISBLANK(INDEX('Policy Characteristics'!I:I,MATCH($C1365,'Policy Characteristics'!$C:$C,0))),"",INDEX('Policy Characteristics'!I:I,MATCH($C1365,'Policy Characteristics'!$C:$C,0)))</f>
        <v>% reduction in energy use</v>
      </c>
      <c r="P1365" s="254"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4" t="str">
        <f>IF(ISBLANK(INDEX('Policy Characteristics'!K:K,MATCH($C1365,'Policy Characteristics'!$C:$C,0))),"",INDEX('Policy Characteristics'!K:K,MATCH($C1365,'Policy Characteristics'!$C:$C,0)))</f>
        <v>industry-ag-main.html#eff-stds</v>
      </c>
      <c r="R1365" s="254" t="str">
        <f>IF(ISBLANK(INDEX('Policy Characteristics'!L:L,MATCH($C1365,'Policy Characteristics'!$C:$C,0))),"",INDEX('Policy Characteristics'!L:L,MATCH($C1365,'Policy Characteristics'!$C:$C,0)))</f>
        <v>industry-energy-efficiency-standards.html</v>
      </c>
    </row>
    <row r="1366" spans="1:18" s="4" customFormat="1" x14ac:dyDescent="0.3">
      <c r="A1366" s="254" t="str">
        <f>IF(ISBLANK(INDEX('Policy Characteristics'!A:A,MATCH($C1366,'Policy Characteristics'!$C:$C,0))),"",INDEX('Policy Characteristics'!A:A,MATCH($C1366,'Policy Characteristics'!$C:$C,0)))</f>
        <v>Industry</v>
      </c>
      <c r="B1366" s="262" t="str">
        <f>IF(ISBLANK(INDEX('Policy Characteristics'!B:B,MATCH($C1366,'Policy Characteristics'!$C:$C,0))),"",INDEX('Policy Characteristics'!B:B,MATCH($C1366,'Policy Characteristics'!$C:$C,0)))</f>
        <v>Industry Energy Efficiency Standards</v>
      </c>
      <c r="C1366" s="254" t="str">
        <f t="shared" si="49"/>
        <v>Percentage Improvement in Eqpt Efficiency Standards above BAU</v>
      </c>
      <c r="D1366" s="6" t="s">
        <v>3069</v>
      </c>
      <c r="E1366" s="45" t="s">
        <v>2399</v>
      </c>
      <c r="F1366" t="s">
        <v>3033</v>
      </c>
      <c r="G1366" s="45" t="s">
        <v>2405</v>
      </c>
      <c r="H1366" s="43">
        <v>1038</v>
      </c>
      <c r="I1366" s="324" t="s">
        <v>43</v>
      </c>
      <c r="J1366" s="255" t="str">
        <f>IF(ISBLANK(INDEX('Policy Characteristics'!D:D,MATCH($C1366,'Policy Characteristics'!$C:$C,0))),"",INDEX('Policy Characteristics'!D:D,MATCH($C1366,'Policy Characteristics'!$C:$C,0)))</f>
        <v>Industry Energy Efficiency Standards</v>
      </c>
      <c r="K1366" s="254" t="str">
        <f>IF(ISBLANK(INDEX('Policy Characteristics'!E:E,MATCH($C1366,'Policy Characteristics'!$C:$C,0))),"",INDEX('Policy Characteristics'!E:E,MATCH($C1366,'Policy Characteristics'!$C:$C,0)))</f>
        <v>indst efficiency standards</v>
      </c>
      <c r="L1366" s="261">
        <f>IF(ISBLANK(INDEX('Policy Characteristics'!F:F,MATCH($C1366,'Policy Characteristics'!$C:$C,0))),"",INDEX('Policy Characteristics'!F:F,MATCH($C1366,'Policy Characteristics'!$C:$C,0)))</f>
        <v>0</v>
      </c>
      <c r="M1366" s="261">
        <f>IF(ISBLANK(INDEX('Policy Characteristics'!G:G,MATCH($C1366,'Policy Characteristics'!$C:$C,0))),"",INDEX('Policy Characteristics'!G:G,MATCH($C1366,'Policy Characteristics'!$C:$C,0)))</f>
        <v>0.25</v>
      </c>
      <c r="N1366" s="261">
        <f>IF(ISBLANK(INDEX('Policy Characteristics'!H:H,MATCH($C1366,'Policy Characteristics'!$C:$C,0))),"",INDEX('Policy Characteristics'!H:H,MATCH($C1366,'Policy Characteristics'!$C:$C,0)))</f>
        <v>0.01</v>
      </c>
      <c r="O1366" s="254" t="str">
        <f>IF(ISBLANK(INDEX('Policy Characteristics'!I:I,MATCH($C1366,'Policy Characteristics'!$C:$C,0))),"",INDEX('Policy Characteristics'!I:I,MATCH($C1366,'Policy Characteristics'!$C:$C,0)))</f>
        <v>% reduction in energy use</v>
      </c>
      <c r="P1366" s="254"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4" t="str">
        <f>IF(ISBLANK(INDEX('Policy Characteristics'!K:K,MATCH($C1366,'Policy Characteristics'!$C:$C,0))),"",INDEX('Policy Characteristics'!K:K,MATCH($C1366,'Policy Characteristics'!$C:$C,0)))</f>
        <v>industry-ag-main.html#eff-stds</v>
      </c>
      <c r="R1366" s="254" t="str">
        <f>IF(ISBLANK(INDEX('Policy Characteristics'!L:L,MATCH($C1366,'Policy Characteristics'!$C:$C,0))),"",INDEX('Policy Characteristics'!L:L,MATCH($C1366,'Policy Characteristics'!$C:$C,0)))</f>
        <v>industry-energy-efficiency-standards.html</v>
      </c>
    </row>
    <row r="1367" spans="1:18" s="4" customFormat="1" x14ac:dyDescent="0.3">
      <c r="A1367" s="254" t="str">
        <f>IF(ISBLANK(INDEX('Policy Characteristics'!A:A,MATCH($C1367,'Policy Characteristics'!$C:$C,0))),"",INDEX('Policy Characteristics'!A:A,MATCH($C1367,'Policy Characteristics'!$C:$C,0)))</f>
        <v>Industry</v>
      </c>
      <c r="B1367" s="262" t="str">
        <f>IF(ISBLANK(INDEX('Policy Characteristics'!B:B,MATCH($C1367,'Policy Characteristics'!$C:$C,0))),"",INDEX('Policy Characteristics'!B:B,MATCH($C1367,'Policy Characteristics'!$C:$C,0)))</f>
        <v>Industry Energy Efficiency Standards</v>
      </c>
      <c r="C1367" s="254" t="str">
        <f t="shared" si="49"/>
        <v>Percentage Improvement in Eqpt Efficiency Standards above BAU</v>
      </c>
      <c r="D1367" s="6" t="s">
        <v>3069</v>
      </c>
      <c r="E1367" s="45" t="s">
        <v>2400</v>
      </c>
      <c r="F1367" t="s">
        <v>3033</v>
      </c>
      <c r="G1367" s="45" t="s">
        <v>2408</v>
      </c>
      <c r="H1367" s="43">
        <v>1039</v>
      </c>
      <c r="I1367" s="324" t="s">
        <v>43</v>
      </c>
      <c r="J1367" s="255" t="str">
        <f>IF(ISBLANK(INDEX('Policy Characteristics'!D:D,MATCH($C1367,'Policy Characteristics'!$C:$C,0))),"",INDEX('Policy Characteristics'!D:D,MATCH($C1367,'Policy Characteristics'!$C:$C,0)))</f>
        <v>Industry Energy Efficiency Standards</v>
      </c>
      <c r="K1367" s="254" t="str">
        <f>IF(ISBLANK(INDEX('Policy Characteristics'!E:E,MATCH($C1367,'Policy Characteristics'!$C:$C,0))),"",INDEX('Policy Characteristics'!E:E,MATCH($C1367,'Policy Characteristics'!$C:$C,0)))</f>
        <v>indst efficiency standards</v>
      </c>
      <c r="L1367" s="261">
        <f>IF(ISBLANK(INDEX('Policy Characteristics'!F:F,MATCH($C1367,'Policy Characteristics'!$C:$C,0))),"",INDEX('Policy Characteristics'!F:F,MATCH($C1367,'Policy Characteristics'!$C:$C,0)))</f>
        <v>0</v>
      </c>
      <c r="M1367" s="261">
        <f>IF(ISBLANK(INDEX('Policy Characteristics'!G:G,MATCH($C1367,'Policy Characteristics'!$C:$C,0))),"",INDEX('Policy Characteristics'!G:G,MATCH($C1367,'Policy Characteristics'!$C:$C,0)))</f>
        <v>0.25</v>
      </c>
      <c r="N1367" s="261">
        <f>IF(ISBLANK(INDEX('Policy Characteristics'!H:H,MATCH($C1367,'Policy Characteristics'!$C:$C,0))),"",INDEX('Policy Characteristics'!H:H,MATCH($C1367,'Policy Characteristics'!$C:$C,0)))</f>
        <v>0.01</v>
      </c>
      <c r="O1367" s="254" t="str">
        <f>IF(ISBLANK(INDEX('Policy Characteristics'!I:I,MATCH($C1367,'Policy Characteristics'!$C:$C,0))),"",INDEX('Policy Characteristics'!I:I,MATCH($C1367,'Policy Characteristics'!$C:$C,0)))</f>
        <v>% reduction in energy use</v>
      </c>
      <c r="P1367" s="254"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4" t="str">
        <f>IF(ISBLANK(INDEX('Policy Characteristics'!K:K,MATCH($C1367,'Policy Characteristics'!$C:$C,0))),"",INDEX('Policy Characteristics'!K:K,MATCH($C1367,'Policy Characteristics'!$C:$C,0)))</f>
        <v>industry-ag-main.html#eff-stds</v>
      </c>
      <c r="R1367" s="254" t="str">
        <f>IF(ISBLANK(INDEX('Policy Characteristics'!L:L,MATCH($C1367,'Policy Characteristics'!$C:$C,0))),"",INDEX('Policy Characteristics'!L:L,MATCH($C1367,'Policy Characteristics'!$C:$C,0)))</f>
        <v>industry-energy-efficiency-standards.html</v>
      </c>
    </row>
    <row r="1368" spans="1:18" s="4" customFormat="1" x14ac:dyDescent="0.3">
      <c r="A1368" s="254" t="str">
        <f>IF(ISBLANK(INDEX('Policy Characteristics'!A:A,MATCH($C1368,'Policy Characteristics'!$C:$C,0))),"",INDEX('Policy Characteristics'!A:A,MATCH($C1368,'Policy Characteristics'!$C:$C,0)))</f>
        <v>Industry</v>
      </c>
      <c r="B1368" s="262" t="str">
        <f>IF(ISBLANK(INDEX('Policy Characteristics'!B:B,MATCH($C1368,'Policy Characteristics'!$C:$C,0))),"",INDEX('Policy Characteristics'!B:B,MATCH($C1368,'Policy Characteristics'!$C:$C,0)))</f>
        <v>Industry Energy Efficiency Standards</v>
      </c>
      <c r="C1368" s="254" t="str">
        <f t="shared" si="49"/>
        <v>Percentage Improvement in Eqpt Efficiency Standards above BAU</v>
      </c>
      <c r="D1368" s="6" t="s">
        <v>3069</v>
      </c>
      <c r="E1368" s="45" t="s">
        <v>2401</v>
      </c>
      <c r="F1368" t="s">
        <v>3033</v>
      </c>
      <c r="G1368" s="45" t="s">
        <v>2409</v>
      </c>
      <c r="H1368" s="43">
        <v>1040</v>
      </c>
      <c r="I1368" s="324" t="s">
        <v>43</v>
      </c>
      <c r="J1368" s="255" t="str">
        <f>IF(ISBLANK(INDEX('Policy Characteristics'!D:D,MATCH($C1368,'Policy Characteristics'!$C:$C,0))),"",INDEX('Policy Characteristics'!D:D,MATCH($C1368,'Policy Characteristics'!$C:$C,0)))</f>
        <v>Industry Energy Efficiency Standards</v>
      </c>
      <c r="K1368" s="254" t="str">
        <f>IF(ISBLANK(INDEX('Policy Characteristics'!E:E,MATCH($C1368,'Policy Characteristics'!$C:$C,0))),"",INDEX('Policy Characteristics'!E:E,MATCH($C1368,'Policy Characteristics'!$C:$C,0)))</f>
        <v>indst efficiency standards</v>
      </c>
      <c r="L1368" s="261">
        <f>IF(ISBLANK(INDEX('Policy Characteristics'!F:F,MATCH($C1368,'Policy Characteristics'!$C:$C,0))),"",INDEX('Policy Characteristics'!F:F,MATCH($C1368,'Policy Characteristics'!$C:$C,0)))</f>
        <v>0</v>
      </c>
      <c r="M1368" s="261">
        <f>IF(ISBLANK(INDEX('Policy Characteristics'!G:G,MATCH($C1368,'Policy Characteristics'!$C:$C,0))),"",INDEX('Policy Characteristics'!G:G,MATCH($C1368,'Policy Characteristics'!$C:$C,0)))</f>
        <v>0.25</v>
      </c>
      <c r="N1368" s="261">
        <f>IF(ISBLANK(INDEX('Policy Characteristics'!H:H,MATCH($C1368,'Policy Characteristics'!$C:$C,0))),"",INDEX('Policy Characteristics'!H:H,MATCH($C1368,'Policy Characteristics'!$C:$C,0)))</f>
        <v>0.01</v>
      </c>
      <c r="O1368" s="254" t="str">
        <f>IF(ISBLANK(INDEX('Policy Characteristics'!I:I,MATCH($C1368,'Policy Characteristics'!$C:$C,0))),"",INDEX('Policy Characteristics'!I:I,MATCH($C1368,'Policy Characteristics'!$C:$C,0)))</f>
        <v>% reduction in energy use</v>
      </c>
      <c r="P1368" s="254"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4" t="str">
        <f>IF(ISBLANK(INDEX('Policy Characteristics'!K:K,MATCH($C1368,'Policy Characteristics'!$C:$C,0))),"",INDEX('Policy Characteristics'!K:K,MATCH($C1368,'Policy Characteristics'!$C:$C,0)))</f>
        <v>industry-ag-main.html#eff-stds</v>
      </c>
      <c r="R1368" s="254" t="str">
        <f>IF(ISBLANK(INDEX('Policy Characteristics'!L:L,MATCH($C1368,'Policy Characteristics'!$C:$C,0))),"",INDEX('Policy Characteristics'!L:L,MATCH($C1368,'Policy Characteristics'!$C:$C,0)))</f>
        <v>industry-energy-efficiency-standards.html</v>
      </c>
    </row>
    <row r="1369" spans="1:18" s="4" customFormat="1" x14ac:dyDescent="0.3">
      <c r="A1369" s="254" t="str">
        <f>IF(ISBLANK(INDEX('Policy Characteristics'!A:A,MATCH($C1369,'Policy Characteristics'!$C:$C,0))),"",INDEX('Policy Characteristics'!A:A,MATCH($C1369,'Policy Characteristics'!$C:$C,0)))</f>
        <v>Industry</v>
      </c>
      <c r="B1369" s="262" t="str">
        <f>IF(ISBLANK(INDEX('Policy Characteristics'!B:B,MATCH($C1369,'Policy Characteristics'!$C:$C,0))),"",INDEX('Policy Characteristics'!B:B,MATCH($C1369,'Policy Characteristics'!$C:$C,0)))</f>
        <v>Industry Energy Efficiency Standards</v>
      </c>
      <c r="C1369" s="254" t="str">
        <f t="shared" si="49"/>
        <v>Percentage Improvement in Eqpt Efficiency Standards above BAU</v>
      </c>
      <c r="D1369" s="6" t="s">
        <v>3069</v>
      </c>
      <c r="E1369" s="45" t="s">
        <v>2402</v>
      </c>
      <c r="F1369" t="s">
        <v>3033</v>
      </c>
      <c r="G1369" s="45" t="s">
        <v>2406</v>
      </c>
      <c r="H1369" s="43">
        <v>1041</v>
      </c>
      <c r="I1369" s="324" t="s">
        <v>43</v>
      </c>
      <c r="J1369" s="255" t="str">
        <f>IF(ISBLANK(INDEX('Policy Characteristics'!D:D,MATCH($C1369,'Policy Characteristics'!$C:$C,0))),"",INDEX('Policy Characteristics'!D:D,MATCH($C1369,'Policy Characteristics'!$C:$C,0)))</f>
        <v>Industry Energy Efficiency Standards</v>
      </c>
      <c r="K1369" s="254" t="str">
        <f>IF(ISBLANK(INDEX('Policy Characteristics'!E:E,MATCH($C1369,'Policy Characteristics'!$C:$C,0))),"",INDEX('Policy Characteristics'!E:E,MATCH($C1369,'Policy Characteristics'!$C:$C,0)))</f>
        <v>indst efficiency standards</v>
      </c>
      <c r="L1369" s="261">
        <f>IF(ISBLANK(INDEX('Policy Characteristics'!F:F,MATCH($C1369,'Policy Characteristics'!$C:$C,0))),"",INDEX('Policy Characteristics'!F:F,MATCH($C1369,'Policy Characteristics'!$C:$C,0)))</f>
        <v>0</v>
      </c>
      <c r="M1369" s="261">
        <f>IF(ISBLANK(INDEX('Policy Characteristics'!G:G,MATCH($C1369,'Policy Characteristics'!$C:$C,0))),"",INDEX('Policy Characteristics'!G:G,MATCH($C1369,'Policy Characteristics'!$C:$C,0)))</f>
        <v>0.25</v>
      </c>
      <c r="N1369" s="261">
        <f>IF(ISBLANK(INDEX('Policy Characteristics'!H:H,MATCH($C1369,'Policy Characteristics'!$C:$C,0))),"",INDEX('Policy Characteristics'!H:H,MATCH($C1369,'Policy Characteristics'!$C:$C,0)))</f>
        <v>0.01</v>
      </c>
      <c r="O1369" s="254" t="str">
        <f>IF(ISBLANK(INDEX('Policy Characteristics'!I:I,MATCH($C1369,'Policy Characteristics'!$C:$C,0))),"",INDEX('Policy Characteristics'!I:I,MATCH($C1369,'Policy Characteristics'!$C:$C,0)))</f>
        <v>% reduction in energy use</v>
      </c>
      <c r="P1369" s="254"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4" t="str">
        <f>IF(ISBLANK(INDEX('Policy Characteristics'!K:K,MATCH($C1369,'Policy Characteristics'!$C:$C,0))),"",INDEX('Policy Characteristics'!K:K,MATCH($C1369,'Policy Characteristics'!$C:$C,0)))</f>
        <v>industry-ag-main.html#eff-stds</v>
      </c>
      <c r="R1369" s="254" t="str">
        <f>IF(ISBLANK(INDEX('Policy Characteristics'!L:L,MATCH($C1369,'Policy Characteristics'!$C:$C,0))),"",INDEX('Policy Characteristics'!L:L,MATCH($C1369,'Policy Characteristics'!$C:$C,0)))</f>
        <v>industry-energy-efficiency-standards.html</v>
      </c>
    </row>
    <row r="1370" spans="1:18" s="4" customFormat="1" x14ac:dyDescent="0.3">
      <c r="A1370" s="254" t="str">
        <f>IF(ISBLANK(INDEX('Policy Characteristics'!A:A,MATCH($C1370,'Policy Characteristics'!$C:$C,0))),"",INDEX('Policy Characteristics'!A:A,MATCH($C1370,'Policy Characteristics'!$C:$C,0)))</f>
        <v>Industry</v>
      </c>
      <c r="B1370" s="262" t="str">
        <f>IF(ISBLANK(INDEX('Policy Characteristics'!B:B,MATCH($C1370,'Policy Characteristics'!$C:$C,0))),"",INDEX('Policy Characteristics'!B:B,MATCH($C1370,'Policy Characteristics'!$C:$C,0)))</f>
        <v>Industry Energy Efficiency Standards</v>
      </c>
      <c r="C1370" s="254" t="str">
        <f t="shared" si="49"/>
        <v>Percentage Improvement in Eqpt Efficiency Standards above BAU</v>
      </c>
      <c r="D1370" s="6" t="s">
        <v>3069</v>
      </c>
      <c r="E1370" s="45" t="s">
        <v>2403</v>
      </c>
      <c r="F1370" t="s">
        <v>3033</v>
      </c>
      <c r="G1370" s="45" t="s">
        <v>2407</v>
      </c>
      <c r="H1370" s="43">
        <v>1042</v>
      </c>
      <c r="I1370" s="324" t="s">
        <v>44</v>
      </c>
      <c r="J1370" s="255" t="str">
        <f>IF(ISBLANK(INDEX('Policy Characteristics'!D:D,MATCH($C1370,'Policy Characteristics'!$C:$C,0))),"",INDEX('Policy Characteristics'!D:D,MATCH($C1370,'Policy Characteristics'!$C:$C,0)))</f>
        <v>Industry Energy Efficiency Standards</v>
      </c>
      <c r="K1370" s="254" t="str">
        <f>IF(ISBLANK(INDEX('Policy Characteristics'!E:E,MATCH($C1370,'Policy Characteristics'!$C:$C,0))),"",INDEX('Policy Characteristics'!E:E,MATCH($C1370,'Policy Characteristics'!$C:$C,0)))</f>
        <v>indst efficiency standards</v>
      </c>
      <c r="L1370" s="261">
        <f>IF(ISBLANK(INDEX('Policy Characteristics'!F:F,MATCH($C1370,'Policy Characteristics'!$C:$C,0))),"",INDEX('Policy Characteristics'!F:F,MATCH($C1370,'Policy Characteristics'!$C:$C,0)))</f>
        <v>0</v>
      </c>
      <c r="M1370" s="261">
        <f>IF(ISBLANK(INDEX('Policy Characteristics'!G:G,MATCH($C1370,'Policy Characteristics'!$C:$C,0))),"",INDEX('Policy Characteristics'!G:G,MATCH($C1370,'Policy Characteristics'!$C:$C,0)))</f>
        <v>0.25</v>
      </c>
      <c r="N1370" s="261">
        <f>IF(ISBLANK(INDEX('Policy Characteristics'!H:H,MATCH($C1370,'Policy Characteristics'!$C:$C,0))),"",INDEX('Policy Characteristics'!H:H,MATCH($C1370,'Policy Characteristics'!$C:$C,0)))</f>
        <v>0.01</v>
      </c>
      <c r="O1370" s="254" t="str">
        <f>IF(ISBLANK(INDEX('Policy Characteristics'!I:I,MATCH($C1370,'Policy Characteristics'!$C:$C,0))),"",INDEX('Policy Characteristics'!I:I,MATCH($C1370,'Policy Characteristics'!$C:$C,0)))</f>
        <v>% reduction in energy use</v>
      </c>
      <c r="P1370" s="254"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4" t="str">
        <f>IF(ISBLANK(INDEX('Policy Characteristics'!K:K,MATCH($C1370,'Policy Characteristics'!$C:$C,0))),"",INDEX('Policy Characteristics'!K:K,MATCH($C1370,'Policy Characteristics'!$C:$C,0)))</f>
        <v>industry-ag-main.html#eff-stds</v>
      </c>
      <c r="R1370" s="254" t="str">
        <f>IF(ISBLANK(INDEX('Policy Characteristics'!L:L,MATCH($C1370,'Policy Characteristics'!$C:$C,0))),"",INDEX('Policy Characteristics'!L:L,MATCH($C1370,'Policy Characteristics'!$C:$C,0)))</f>
        <v>industry-energy-efficiency-standards.html</v>
      </c>
    </row>
    <row r="1371" spans="1:18" s="4" customFormat="1" x14ac:dyDescent="0.3">
      <c r="A1371" s="254" t="str">
        <f>IF(ISBLANK(INDEX('Policy Characteristics'!A:A,MATCH($C1371,'Policy Characteristics'!$C:$C,0))),"",INDEX('Policy Characteristics'!A:A,MATCH($C1371,'Policy Characteristics'!$C:$C,0)))</f>
        <v>Industry</v>
      </c>
      <c r="B1371" s="262" t="str">
        <f>IF(ISBLANK(INDEX('Policy Characteristics'!B:B,MATCH($C1371,'Policy Characteristics'!$C:$C,0))),"",INDEX('Policy Characteristics'!B:B,MATCH($C1371,'Policy Characteristics'!$C:$C,0)))</f>
        <v>Industry Energy Efficiency Standards</v>
      </c>
      <c r="C1371" s="254" t="str">
        <f t="shared" si="49"/>
        <v>Percentage Improvement in Eqpt Efficiency Standards above BAU</v>
      </c>
      <c r="D1371" s="6" t="s">
        <v>3069</v>
      </c>
      <c r="E1371" s="45" t="s">
        <v>2404</v>
      </c>
      <c r="F1371" t="s">
        <v>3033</v>
      </c>
      <c r="G1371" s="45" t="s">
        <v>2410</v>
      </c>
      <c r="H1371" s="43">
        <v>1043</v>
      </c>
      <c r="I1371" s="324" t="s">
        <v>44</v>
      </c>
      <c r="J1371" s="255" t="str">
        <f>IF(ISBLANK(INDEX('Policy Characteristics'!D:D,MATCH($C1371,'Policy Characteristics'!$C:$C,0))),"",INDEX('Policy Characteristics'!D:D,MATCH($C1371,'Policy Characteristics'!$C:$C,0)))</f>
        <v>Industry Energy Efficiency Standards</v>
      </c>
      <c r="K1371" s="254" t="str">
        <f>IF(ISBLANK(INDEX('Policy Characteristics'!E:E,MATCH($C1371,'Policy Characteristics'!$C:$C,0))),"",INDEX('Policy Characteristics'!E:E,MATCH($C1371,'Policy Characteristics'!$C:$C,0)))</f>
        <v>indst efficiency standards</v>
      </c>
      <c r="L1371" s="261">
        <f>IF(ISBLANK(INDEX('Policy Characteristics'!F:F,MATCH($C1371,'Policy Characteristics'!$C:$C,0))),"",INDEX('Policy Characteristics'!F:F,MATCH($C1371,'Policy Characteristics'!$C:$C,0)))</f>
        <v>0</v>
      </c>
      <c r="M1371" s="261">
        <f>IF(ISBLANK(INDEX('Policy Characteristics'!G:G,MATCH($C1371,'Policy Characteristics'!$C:$C,0))),"",INDEX('Policy Characteristics'!G:G,MATCH($C1371,'Policy Characteristics'!$C:$C,0)))</f>
        <v>0.25</v>
      </c>
      <c r="N1371" s="261">
        <f>IF(ISBLANK(INDEX('Policy Characteristics'!H:H,MATCH($C1371,'Policy Characteristics'!$C:$C,0))),"",INDEX('Policy Characteristics'!H:H,MATCH($C1371,'Policy Characteristics'!$C:$C,0)))</f>
        <v>0.01</v>
      </c>
      <c r="O1371" s="254" t="str">
        <f>IF(ISBLANK(INDEX('Policy Characteristics'!I:I,MATCH($C1371,'Policy Characteristics'!$C:$C,0))),"",INDEX('Policy Characteristics'!I:I,MATCH($C1371,'Policy Characteristics'!$C:$C,0)))</f>
        <v>% reduction in energy use</v>
      </c>
      <c r="P1371" s="254"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4" t="str">
        <f>IF(ISBLANK(INDEX('Policy Characteristics'!K:K,MATCH($C1371,'Policy Characteristics'!$C:$C,0))),"",INDEX('Policy Characteristics'!K:K,MATCH($C1371,'Policy Characteristics'!$C:$C,0)))</f>
        <v>industry-ag-main.html#eff-stds</v>
      </c>
      <c r="R1371" s="254" t="str">
        <f>IF(ISBLANK(INDEX('Policy Characteristics'!L:L,MATCH($C1371,'Policy Characteristics'!$C:$C,0))),"",INDEX('Policy Characteristics'!L:L,MATCH($C1371,'Policy Characteristics'!$C:$C,0)))</f>
        <v>industry-energy-efficiency-standards.html</v>
      </c>
    </row>
    <row r="1372" spans="1:18" s="4" customFormat="1" x14ac:dyDescent="0.3">
      <c r="A1372" s="254" t="str">
        <f>IF(ISBLANK(INDEX('Policy Characteristics'!A:A,MATCH($C1372,'Policy Characteristics'!$C:$C,0))),"",INDEX('Policy Characteristics'!A:A,MATCH($C1372,'Policy Characteristics'!$C:$C,0)))</f>
        <v>Industry</v>
      </c>
      <c r="B1372" s="262" t="str">
        <f>IF(ISBLANK(INDEX('Policy Characteristics'!B:B,MATCH($C1372,'Policy Characteristics'!$C:$C,0))),"",INDEX('Policy Characteristics'!B:B,MATCH($C1372,'Policy Characteristics'!$C:$C,0)))</f>
        <v>Industry Energy Efficiency Standards</v>
      </c>
      <c r="C1372" s="254" t="str">
        <f t="shared" si="49"/>
        <v>Percentage Improvement in Eqpt Efficiency Standards above BAU</v>
      </c>
      <c r="D1372" s="6" t="s">
        <v>3069</v>
      </c>
      <c r="E1372" s="45" t="s">
        <v>2706</v>
      </c>
      <c r="F1372" t="s">
        <v>3033</v>
      </c>
      <c r="G1372" s="45" t="s">
        <v>2709</v>
      </c>
      <c r="H1372" s="43">
        <v>1044</v>
      </c>
      <c r="I1372" s="324" t="s">
        <v>43</v>
      </c>
      <c r="J1372" s="255" t="str">
        <f>IF(ISBLANK(INDEX('Policy Characteristics'!D:D,MATCH($C1372,'Policy Characteristics'!$C:$C,0))),"",INDEX('Policy Characteristics'!D:D,MATCH($C1372,'Policy Characteristics'!$C:$C,0)))</f>
        <v>Industry Energy Efficiency Standards</v>
      </c>
      <c r="K1372" s="254" t="str">
        <f>IF(ISBLANK(INDEX('Policy Characteristics'!E:E,MATCH($C1372,'Policy Characteristics'!$C:$C,0))),"",INDEX('Policy Characteristics'!E:E,MATCH($C1372,'Policy Characteristics'!$C:$C,0)))</f>
        <v>indst efficiency standards</v>
      </c>
      <c r="L1372" s="261">
        <f>IF(ISBLANK(INDEX('Policy Characteristics'!F:F,MATCH($C1372,'Policy Characteristics'!$C:$C,0))),"",INDEX('Policy Characteristics'!F:F,MATCH($C1372,'Policy Characteristics'!$C:$C,0)))</f>
        <v>0</v>
      </c>
      <c r="M1372" s="261">
        <f>IF(ISBLANK(INDEX('Policy Characteristics'!G:G,MATCH($C1372,'Policy Characteristics'!$C:$C,0))),"",INDEX('Policy Characteristics'!G:G,MATCH($C1372,'Policy Characteristics'!$C:$C,0)))</f>
        <v>0.25</v>
      </c>
      <c r="N1372" s="261">
        <f>IF(ISBLANK(INDEX('Policy Characteristics'!H:H,MATCH($C1372,'Policy Characteristics'!$C:$C,0))),"",INDEX('Policy Characteristics'!H:H,MATCH($C1372,'Policy Characteristics'!$C:$C,0)))</f>
        <v>0.01</v>
      </c>
      <c r="O1372" s="254" t="str">
        <f>IF(ISBLANK(INDEX('Policy Characteristics'!I:I,MATCH($C1372,'Policy Characteristics'!$C:$C,0))),"",INDEX('Policy Characteristics'!I:I,MATCH($C1372,'Policy Characteristics'!$C:$C,0)))</f>
        <v>% reduction in energy use</v>
      </c>
      <c r="P1372" s="254"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4" t="str">
        <f>IF(ISBLANK(INDEX('Policy Characteristics'!K:K,MATCH($C1372,'Policy Characteristics'!$C:$C,0))),"",INDEX('Policy Characteristics'!K:K,MATCH($C1372,'Policy Characteristics'!$C:$C,0)))</f>
        <v>industry-ag-main.html#eff-stds</v>
      </c>
      <c r="R1372" s="254" t="str">
        <f>IF(ISBLANK(INDEX('Policy Characteristics'!L:L,MATCH($C1372,'Policy Characteristics'!$C:$C,0))),"",INDEX('Policy Characteristics'!L:L,MATCH($C1372,'Policy Characteristics'!$C:$C,0)))</f>
        <v>industry-energy-efficiency-standards.html</v>
      </c>
    </row>
    <row r="1373" spans="1:18" s="4" customFormat="1" x14ac:dyDescent="0.3">
      <c r="A1373" s="254" t="str">
        <f>IF(ISBLANK(INDEX('Policy Characteristics'!A:A,MATCH($C1373,'Policy Characteristics'!$C:$C,0))),"",INDEX('Policy Characteristics'!A:A,MATCH($C1373,'Policy Characteristics'!$C:$C,0)))</f>
        <v>Industry</v>
      </c>
      <c r="B1373" s="262" t="str">
        <f>IF(ISBLANK(INDEX('Policy Characteristics'!B:B,MATCH($C1373,'Policy Characteristics'!$C:$C,0))),"",INDEX('Policy Characteristics'!B:B,MATCH($C1373,'Policy Characteristics'!$C:$C,0)))</f>
        <v>Industry Energy Efficiency Standards</v>
      </c>
      <c r="C1373" s="254" t="str">
        <f t="shared" si="49"/>
        <v>Percentage Improvement in Eqpt Efficiency Standards above BAU</v>
      </c>
      <c r="D1373" s="6" t="s">
        <v>3069</v>
      </c>
      <c r="E1373" s="45" t="s">
        <v>2707</v>
      </c>
      <c r="F1373" t="s">
        <v>3033</v>
      </c>
      <c r="G1373" s="45" t="s">
        <v>2711</v>
      </c>
      <c r="H1373" s="43">
        <v>1045</v>
      </c>
      <c r="I1373" s="324" t="s">
        <v>44</v>
      </c>
      <c r="J1373" s="255" t="str">
        <f>IF(ISBLANK(INDEX('Policy Characteristics'!D:D,MATCH($C1373,'Policy Characteristics'!$C:$C,0))),"",INDEX('Policy Characteristics'!D:D,MATCH($C1373,'Policy Characteristics'!$C:$C,0)))</f>
        <v>Industry Energy Efficiency Standards</v>
      </c>
      <c r="K1373" s="254" t="str">
        <f>IF(ISBLANK(INDEX('Policy Characteristics'!E:E,MATCH($C1373,'Policy Characteristics'!$C:$C,0))),"",INDEX('Policy Characteristics'!E:E,MATCH($C1373,'Policy Characteristics'!$C:$C,0)))</f>
        <v>indst efficiency standards</v>
      </c>
      <c r="L1373" s="261">
        <f>IF(ISBLANK(INDEX('Policy Characteristics'!F:F,MATCH($C1373,'Policy Characteristics'!$C:$C,0))),"",INDEX('Policy Characteristics'!F:F,MATCH($C1373,'Policy Characteristics'!$C:$C,0)))</f>
        <v>0</v>
      </c>
      <c r="M1373" s="261">
        <f>IF(ISBLANK(INDEX('Policy Characteristics'!G:G,MATCH($C1373,'Policy Characteristics'!$C:$C,0))),"",INDEX('Policy Characteristics'!G:G,MATCH($C1373,'Policy Characteristics'!$C:$C,0)))</f>
        <v>0.25</v>
      </c>
      <c r="N1373" s="261">
        <f>IF(ISBLANK(INDEX('Policy Characteristics'!H:H,MATCH($C1373,'Policy Characteristics'!$C:$C,0))),"",INDEX('Policy Characteristics'!H:H,MATCH($C1373,'Policy Characteristics'!$C:$C,0)))</f>
        <v>0.01</v>
      </c>
      <c r="O1373" s="254" t="str">
        <f>IF(ISBLANK(INDEX('Policy Characteristics'!I:I,MATCH($C1373,'Policy Characteristics'!$C:$C,0))),"",INDEX('Policy Characteristics'!I:I,MATCH($C1373,'Policy Characteristics'!$C:$C,0)))</f>
        <v>% reduction in energy use</v>
      </c>
      <c r="P1373" s="254"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4" t="str">
        <f>IF(ISBLANK(INDEX('Policy Characteristics'!K:K,MATCH($C1373,'Policy Characteristics'!$C:$C,0))),"",INDEX('Policy Characteristics'!K:K,MATCH($C1373,'Policy Characteristics'!$C:$C,0)))</f>
        <v>industry-ag-main.html#eff-stds</v>
      </c>
      <c r="R1373" s="254" t="str">
        <f>IF(ISBLANK(INDEX('Policy Characteristics'!L:L,MATCH($C1373,'Policy Characteristics'!$C:$C,0))),"",INDEX('Policy Characteristics'!L:L,MATCH($C1373,'Policy Characteristics'!$C:$C,0)))</f>
        <v>industry-energy-efficiency-standards.html</v>
      </c>
    </row>
    <row r="1374" spans="1:18" s="4" customFormat="1" x14ac:dyDescent="0.3">
      <c r="A1374" s="254" t="str">
        <f>IF(ISBLANK(INDEX('Policy Characteristics'!A:A,MATCH($C1374,'Policy Characteristics'!$C:$C,0))),"",INDEX('Policy Characteristics'!A:A,MATCH($C1374,'Policy Characteristics'!$C:$C,0)))</f>
        <v>Industry</v>
      </c>
      <c r="B1374" s="262" t="str">
        <f>IF(ISBLANK(INDEX('Policy Characteristics'!B:B,MATCH($C1374,'Policy Characteristics'!$C:$C,0))),"",INDEX('Policy Characteristics'!B:B,MATCH($C1374,'Policy Characteristics'!$C:$C,0)))</f>
        <v>Industry Energy Efficiency Standards</v>
      </c>
      <c r="C1374" s="254" t="str">
        <f t="shared" si="49"/>
        <v>Percentage Improvement in Eqpt Efficiency Standards above BAU</v>
      </c>
      <c r="D1374" s="6" t="s">
        <v>3069</v>
      </c>
      <c r="E1374" s="45" t="s">
        <v>2708</v>
      </c>
      <c r="F1374" t="s">
        <v>3033</v>
      </c>
      <c r="G1374" s="45" t="s">
        <v>2712</v>
      </c>
      <c r="H1374" s="43">
        <v>1046</v>
      </c>
      <c r="I1374" s="324" t="s">
        <v>44</v>
      </c>
      <c r="J1374" s="255" t="str">
        <f>IF(ISBLANK(INDEX('Policy Characteristics'!D:D,MATCH($C1374,'Policy Characteristics'!$C:$C,0))),"",INDEX('Policy Characteristics'!D:D,MATCH($C1374,'Policy Characteristics'!$C:$C,0)))</f>
        <v>Industry Energy Efficiency Standards</v>
      </c>
      <c r="K1374" s="254" t="str">
        <f>IF(ISBLANK(INDEX('Policy Characteristics'!E:E,MATCH($C1374,'Policy Characteristics'!$C:$C,0))),"",INDEX('Policy Characteristics'!E:E,MATCH($C1374,'Policy Characteristics'!$C:$C,0)))</f>
        <v>indst efficiency standards</v>
      </c>
      <c r="L1374" s="261">
        <f>IF(ISBLANK(INDEX('Policy Characteristics'!F:F,MATCH($C1374,'Policy Characteristics'!$C:$C,0))),"",INDEX('Policy Characteristics'!F:F,MATCH($C1374,'Policy Characteristics'!$C:$C,0)))</f>
        <v>0</v>
      </c>
      <c r="M1374" s="261">
        <f>IF(ISBLANK(INDEX('Policy Characteristics'!G:G,MATCH($C1374,'Policy Characteristics'!$C:$C,0))),"",INDEX('Policy Characteristics'!G:G,MATCH($C1374,'Policy Characteristics'!$C:$C,0)))</f>
        <v>0.25</v>
      </c>
      <c r="N1374" s="261">
        <f>IF(ISBLANK(INDEX('Policy Characteristics'!H:H,MATCH($C1374,'Policy Characteristics'!$C:$C,0))),"",INDEX('Policy Characteristics'!H:H,MATCH($C1374,'Policy Characteristics'!$C:$C,0)))</f>
        <v>0.01</v>
      </c>
      <c r="O1374" s="254" t="str">
        <f>IF(ISBLANK(INDEX('Policy Characteristics'!I:I,MATCH($C1374,'Policy Characteristics'!$C:$C,0))),"",INDEX('Policy Characteristics'!I:I,MATCH($C1374,'Policy Characteristics'!$C:$C,0)))</f>
        <v>% reduction in energy use</v>
      </c>
      <c r="P1374" s="254"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4" t="str">
        <f>IF(ISBLANK(INDEX('Policy Characteristics'!K:K,MATCH($C1374,'Policy Characteristics'!$C:$C,0))),"",INDEX('Policy Characteristics'!K:K,MATCH($C1374,'Policy Characteristics'!$C:$C,0)))</f>
        <v>industry-ag-main.html#eff-stds</v>
      </c>
      <c r="R1374" s="254" t="str">
        <f>IF(ISBLANK(INDEX('Policy Characteristics'!L:L,MATCH($C1374,'Policy Characteristics'!$C:$C,0))),"",INDEX('Policy Characteristics'!L:L,MATCH($C1374,'Policy Characteristics'!$C:$C,0)))</f>
        <v>industry-energy-efficiency-standards.html</v>
      </c>
    </row>
    <row r="1375" spans="1:18" s="4" customFormat="1" x14ac:dyDescent="0.3">
      <c r="A1375" s="254" t="str">
        <f>IF(ISBLANK(INDEX('Policy Characteristics'!A:A,MATCH($C1375,'Policy Characteristics'!$C:$C,0))),"",INDEX('Policy Characteristics'!A:A,MATCH($C1375,'Policy Characteristics'!$C:$C,0)))</f>
        <v>Industry</v>
      </c>
      <c r="B1375" s="262" t="str">
        <f>IF(ISBLANK(INDEX('Policy Characteristics'!B:B,MATCH($C1375,'Policy Characteristics'!$C:$C,0))),"",INDEX('Policy Characteristics'!B:B,MATCH($C1375,'Policy Characteristics'!$C:$C,0)))</f>
        <v>Industry Energy Efficiency Standards</v>
      </c>
      <c r="C1375" s="254" t="str">
        <f t="shared" si="49"/>
        <v>Percentage Improvement in Eqpt Efficiency Standards above BAU</v>
      </c>
      <c r="D1375" s="6" t="s">
        <v>3069</v>
      </c>
      <c r="E1375" s="45" t="s">
        <v>2705</v>
      </c>
      <c r="F1375" t="s">
        <v>3033</v>
      </c>
      <c r="G1375" s="45" t="s">
        <v>2710</v>
      </c>
      <c r="H1375" s="43">
        <v>1047</v>
      </c>
      <c r="I1375" s="324" t="s">
        <v>44</v>
      </c>
      <c r="J1375" s="255" t="str">
        <f>IF(ISBLANK(INDEX('Policy Characteristics'!D:D,MATCH($C1375,'Policy Characteristics'!$C:$C,0))),"",INDEX('Policy Characteristics'!D:D,MATCH($C1375,'Policy Characteristics'!$C:$C,0)))</f>
        <v>Industry Energy Efficiency Standards</v>
      </c>
      <c r="K1375" s="254" t="str">
        <f>IF(ISBLANK(INDEX('Policy Characteristics'!E:E,MATCH($C1375,'Policy Characteristics'!$C:$C,0))),"",INDEX('Policy Characteristics'!E:E,MATCH($C1375,'Policy Characteristics'!$C:$C,0)))</f>
        <v>indst efficiency standards</v>
      </c>
      <c r="L1375" s="261">
        <f>IF(ISBLANK(INDEX('Policy Characteristics'!F:F,MATCH($C1375,'Policy Characteristics'!$C:$C,0))),"",INDEX('Policy Characteristics'!F:F,MATCH($C1375,'Policy Characteristics'!$C:$C,0)))</f>
        <v>0</v>
      </c>
      <c r="M1375" s="261">
        <f>IF(ISBLANK(INDEX('Policy Characteristics'!G:G,MATCH($C1375,'Policy Characteristics'!$C:$C,0))),"",INDEX('Policy Characteristics'!G:G,MATCH($C1375,'Policy Characteristics'!$C:$C,0)))</f>
        <v>0.25</v>
      </c>
      <c r="N1375" s="261">
        <f>IF(ISBLANK(INDEX('Policy Characteristics'!H:H,MATCH($C1375,'Policy Characteristics'!$C:$C,0))),"",INDEX('Policy Characteristics'!H:H,MATCH($C1375,'Policy Characteristics'!$C:$C,0)))</f>
        <v>0.01</v>
      </c>
      <c r="O1375" s="254" t="str">
        <f>IF(ISBLANK(INDEX('Policy Characteristics'!I:I,MATCH($C1375,'Policy Characteristics'!$C:$C,0))),"",INDEX('Policy Characteristics'!I:I,MATCH($C1375,'Policy Characteristics'!$C:$C,0)))</f>
        <v>% reduction in energy use</v>
      </c>
      <c r="P1375" s="254"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4" t="str">
        <f>IF(ISBLANK(INDEX('Policy Characteristics'!K:K,MATCH($C1375,'Policy Characteristics'!$C:$C,0))),"",INDEX('Policy Characteristics'!K:K,MATCH($C1375,'Policy Characteristics'!$C:$C,0)))</f>
        <v>industry-ag-main.html#eff-stds</v>
      </c>
      <c r="R1375" s="254" t="str">
        <f>IF(ISBLANK(INDEX('Policy Characteristics'!L:L,MATCH($C1375,'Policy Characteristics'!$C:$C,0))),"",INDEX('Policy Characteristics'!L:L,MATCH($C1375,'Policy Characteristics'!$C:$C,0)))</f>
        <v>industry-energy-efficiency-standards.html</v>
      </c>
    </row>
    <row r="1376" spans="1:18" s="4" customFormat="1" x14ac:dyDescent="0.3">
      <c r="A1376" s="254" t="str">
        <f>IF(ISBLANK(INDEX('Policy Characteristics'!A:A,MATCH($C1376,'Policy Characteristics'!$C:$C,0))),"",INDEX('Policy Characteristics'!A:A,MATCH($C1376,'Policy Characteristics'!$C:$C,0)))</f>
        <v>Industry</v>
      </c>
      <c r="B1376" s="262" t="str">
        <f>IF(ISBLANK(INDEX('Policy Characteristics'!B:B,MATCH($C1376,'Policy Characteristics'!$C:$C,0))),"",INDEX('Policy Characteristics'!B:B,MATCH($C1376,'Policy Characteristics'!$C:$C,0)))</f>
        <v>Industry Energy Efficiency Standards</v>
      </c>
      <c r="C1376" s="254" t="str">
        <f t="shared" si="49"/>
        <v>Percentage Improvement in Eqpt Efficiency Standards above BAU</v>
      </c>
      <c r="D1376" s="6" t="s">
        <v>3070</v>
      </c>
      <c r="E1376" s="45" t="s">
        <v>2399</v>
      </c>
      <c r="F1376" t="s">
        <v>2579</v>
      </c>
      <c r="G1376" s="45" t="s">
        <v>2405</v>
      </c>
      <c r="H1376" s="43">
        <v>1048</v>
      </c>
      <c r="I1376" s="324" t="s">
        <v>43</v>
      </c>
      <c r="J1376" s="255" t="str">
        <f>IF(ISBLANK(INDEX('Policy Characteristics'!D:D,MATCH($C1376,'Policy Characteristics'!$C:$C,0))),"",INDEX('Policy Characteristics'!D:D,MATCH($C1376,'Policy Characteristics'!$C:$C,0)))</f>
        <v>Industry Energy Efficiency Standards</v>
      </c>
      <c r="K1376" s="254" t="str">
        <f>IF(ISBLANK(INDEX('Policy Characteristics'!E:E,MATCH($C1376,'Policy Characteristics'!$C:$C,0))),"",INDEX('Policy Characteristics'!E:E,MATCH($C1376,'Policy Characteristics'!$C:$C,0)))</f>
        <v>indst efficiency standards</v>
      </c>
      <c r="L1376" s="261">
        <f>IF(ISBLANK(INDEX('Policy Characteristics'!F:F,MATCH($C1376,'Policy Characteristics'!$C:$C,0))),"",INDEX('Policy Characteristics'!F:F,MATCH($C1376,'Policy Characteristics'!$C:$C,0)))</f>
        <v>0</v>
      </c>
      <c r="M1376" s="261">
        <f>IF(ISBLANK(INDEX('Policy Characteristics'!G:G,MATCH($C1376,'Policy Characteristics'!$C:$C,0))),"",INDEX('Policy Characteristics'!G:G,MATCH($C1376,'Policy Characteristics'!$C:$C,0)))</f>
        <v>0.25</v>
      </c>
      <c r="N1376" s="261">
        <f>IF(ISBLANK(INDEX('Policy Characteristics'!H:H,MATCH($C1376,'Policy Characteristics'!$C:$C,0))),"",INDEX('Policy Characteristics'!H:H,MATCH($C1376,'Policy Characteristics'!$C:$C,0)))</f>
        <v>0.01</v>
      </c>
      <c r="O1376" s="254" t="str">
        <f>IF(ISBLANK(INDEX('Policy Characteristics'!I:I,MATCH($C1376,'Policy Characteristics'!$C:$C,0))),"",INDEX('Policy Characteristics'!I:I,MATCH($C1376,'Policy Characteristics'!$C:$C,0)))</f>
        <v>% reduction in energy use</v>
      </c>
      <c r="P1376" s="254"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4" t="str">
        <f>IF(ISBLANK(INDEX('Policy Characteristics'!K:K,MATCH($C1376,'Policy Characteristics'!$C:$C,0))),"",INDEX('Policy Characteristics'!K:K,MATCH($C1376,'Policy Characteristics'!$C:$C,0)))</f>
        <v>industry-ag-main.html#eff-stds</v>
      </c>
      <c r="R1376" s="254" t="str">
        <f>IF(ISBLANK(INDEX('Policy Characteristics'!L:L,MATCH($C1376,'Policy Characteristics'!$C:$C,0))),"",INDEX('Policy Characteristics'!L:L,MATCH($C1376,'Policy Characteristics'!$C:$C,0)))</f>
        <v>industry-energy-efficiency-standards.html</v>
      </c>
    </row>
    <row r="1377" spans="1:18" s="4" customFormat="1" x14ac:dyDescent="0.3">
      <c r="A1377" s="254" t="str">
        <f>IF(ISBLANK(INDEX('Policy Characteristics'!A:A,MATCH($C1377,'Policy Characteristics'!$C:$C,0))),"",INDEX('Policy Characteristics'!A:A,MATCH($C1377,'Policy Characteristics'!$C:$C,0)))</f>
        <v>Industry</v>
      </c>
      <c r="B1377" s="262" t="str">
        <f>IF(ISBLANK(INDEX('Policy Characteristics'!B:B,MATCH($C1377,'Policy Characteristics'!$C:$C,0))),"",INDEX('Policy Characteristics'!B:B,MATCH($C1377,'Policy Characteristics'!$C:$C,0)))</f>
        <v>Industry Energy Efficiency Standards</v>
      </c>
      <c r="C1377" s="254" t="str">
        <f t="shared" si="49"/>
        <v>Percentage Improvement in Eqpt Efficiency Standards above BAU</v>
      </c>
      <c r="D1377" s="6" t="s">
        <v>3070</v>
      </c>
      <c r="E1377" s="45" t="s">
        <v>2400</v>
      </c>
      <c r="F1377" t="s">
        <v>2579</v>
      </c>
      <c r="G1377" s="45" t="s">
        <v>2408</v>
      </c>
      <c r="H1377" s="43">
        <v>1049</v>
      </c>
      <c r="I1377" s="324" t="s">
        <v>43</v>
      </c>
      <c r="J1377" s="255" t="str">
        <f>IF(ISBLANK(INDEX('Policy Characteristics'!D:D,MATCH($C1377,'Policy Characteristics'!$C:$C,0))),"",INDEX('Policy Characteristics'!D:D,MATCH($C1377,'Policy Characteristics'!$C:$C,0)))</f>
        <v>Industry Energy Efficiency Standards</v>
      </c>
      <c r="K1377" s="254" t="str">
        <f>IF(ISBLANK(INDEX('Policy Characteristics'!E:E,MATCH($C1377,'Policy Characteristics'!$C:$C,0))),"",INDEX('Policy Characteristics'!E:E,MATCH($C1377,'Policy Characteristics'!$C:$C,0)))</f>
        <v>indst efficiency standards</v>
      </c>
      <c r="L1377" s="261">
        <f>IF(ISBLANK(INDEX('Policy Characteristics'!F:F,MATCH($C1377,'Policy Characteristics'!$C:$C,0))),"",INDEX('Policy Characteristics'!F:F,MATCH($C1377,'Policy Characteristics'!$C:$C,0)))</f>
        <v>0</v>
      </c>
      <c r="M1377" s="261">
        <f>IF(ISBLANK(INDEX('Policy Characteristics'!G:G,MATCH($C1377,'Policy Characteristics'!$C:$C,0))),"",INDEX('Policy Characteristics'!G:G,MATCH($C1377,'Policy Characteristics'!$C:$C,0)))</f>
        <v>0.25</v>
      </c>
      <c r="N1377" s="261">
        <f>IF(ISBLANK(INDEX('Policy Characteristics'!H:H,MATCH($C1377,'Policy Characteristics'!$C:$C,0))),"",INDEX('Policy Characteristics'!H:H,MATCH($C1377,'Policy Characteristics'!$C:$C,0)))</f>
        <v>0.01</v>
      </c>
      <c r="O1377" s="254" t="str">
        <f>IF(ISBLANK(INDEX('Policy Characteristics'!I:I,MATCH($C1377,'Policy Characteristics'!$C:$C,0))),"",INDEX('Policy Characteristics'!I:I,MATCH($C1377,'Policy Characteristics'!$C:$C,0)))</f>
        <v>% reduction in energy use</v>
      </c>
      <c r="P1377" s="254"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4" t="str">
        <f>IF(ISBLANK(INDEX('Policy Characteristics'!K:K,MATCH($C1377,'Policy Characteristics'!$C:$C,0))),"",INDEX('Policy Characteristics'!K:K,MATCH($C1377,'Policy Characteristics'!$C:$C,0)))</f>
        <v>industry-ag-main.html#eff-stds</v>
      </c>
      <c r="R1377" s="254" t="str">
        <f>IF(ISBLANK(INDEX('Policy Characteristics'!L:L,MATCH($C1377,'Policy Characteristics'!$C:$C,0))),"",INDEX('Policy Characteristics'!L:L,MATCH($C1377,'Policy Characteristics'!$C:$C,0)))</f>
        <v>industry-energy-efficiency-standards.html</v>
      </c>
    </row>
    <row r="1378" spans="1:18" s="4" customFormat="1" x14ac:dyDescent="0.3">
      <c r="A1378" s="254" t="str">
        <f>IF(ISBLANK(INDEX('Policy Characteristics'!A:A,MATCH($C1378,'Policy Characteristics'!$C:$C,0))),"",INDEX('Policy Characteristics'!A:A,MATCH($C1378,'Policy Characteristics'!$C:$C,0)))</f>
        <v>Industry</v>
      </c>
      <c r="B1378" s="262" t="str">
        <f>IF(ISBLANK(INDEX('Policy Characteristics'!B:B,MATCH($C1378,'Policy Characteristics'!$C:$C,0))),"",INDEX('Policy Characteristics'!B:B,MATCH($C1378,'Policy Characteristics'!$C:$C,0)))</f>
        <v>Industry Energy Efficiency Standards</v>
      </c>
      <c r="C1378" s="254" t="str">
        <f t="shared" si="49"/>
        <v>Percentage Improvement in Eqpt Efficiency Standards above BAU</v>
      </c>
      <c r="D1378" s="6" t="s">
        <v>3070</v>
      </c>
      <c r="E1378" s="45" t="s">
        <v>2401</v>
      </c>
      <c r="F1378" t="s">
        <v>2579</v>
      </c>
      <c r="G1378" s="45" t="s">
        <v>2409</v>
      </c>
      <c r="H1378" s="43">
        <v>1050</v>
      </c>
      <c r="I1378" s="324" t="s">
        <v>43</v>
      </c>
      <c r="J1378" s="255" t="str">
        <f>IF(ISBLANK(INDEX('Policy Characteristics'!D:D,MATCH($C1378,'Policy Characteristics'!$C:$C,0))),"",INDEX('Policy Characteristics'!D:D,MATCH($C1378,'Policy Characteristics'!$C:$C,0)))</f>
        <v>Industry Energy Efficiency Standards</v>
      </c>
      <c r="K1378" s="254" t="str">
        <f>IF(ISBLANK(INDEX('Policy Characteristics'!E:E,MATCH($C1378,'Policy Characteristics'!$C:$C,0))),"",INDEX('Policy Characteristics'!E:E,MATCH($C1378,'Policy Characteristics'!$C:$C,0)))</f>
        <v>indst efficiency standards</v>
      </c>
      <c r="L1378" s="261">
        <f>IF(ISBLANK(INDEX('Policy Characteristics'!F:F,MATCH($C1378,'Policy Characteristics'!$C:$C,0))),"",INDEX('Policy Characteristics'!F:F,MATCH($C1378,'Policy Characteristics'!$C:$C,0)))</f>
        <v>0</v>
      </c>
      <c r="M1378" s="261">
        <f>IF(ISBLANK(INDEX('Policy Characteristics'!G:G,MATCH($C1378,'Policy Characteristics'!$C:$C,0))),"",INDEX('Policy Characteristics'!G:G,MATCH($C1378,'Policy Characteristics'!$C:$C,0)))</f>
        <v>0.25</v>
      </c>
      <c r="N1378" s="261">
        <f>IF(ISBLANK(INDEX('Policy Characteristics'!H:H,MATCH($C1378,'Policy Characteristics'!$C:$C,0))),"",INDEX('Policy Characteristics'!H:H,MATCH($C1378,'Policy Characteristics'!$C:$C,0)))</f>
        <v>0.01</v>
      </c>
      <c r="O1378" s="254" t="str">
        <f>IF(ISBLANK(INDEX('Policy Characteristics'!I:I,MATCH($C1378,'Policy Characteristics'!$C:$C,0))),"",INDEX('Policy Characteristics'!I:I,MATCH($C1378,'Policy Characteristics'!$C:$C,0)))</f>
        <v>% reduction in energy use</v>
      </c>
      <c r="P1378" s="254"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4" t="str">
        <f>IF(ISBLANK(INDEX('Policy Characteristics'!K:K,MATCH($C1378,'Policy Characteristics'!$C:$C,0))),"",INDEX('Policy Characteristics'!K:K,MATCH($C1378,'Policy Characteristics'!$C:$C,0)))</f>
        <v>industry-ag-main.html#eff-stds</v>
      </c>
      <c r="R1378" s="254" t="str">
        <f>IF(ISBLANK(INDEX('Policy Characteristics'!L:L,MATCH($C1378,'Policy Characteristics'!$C:$C,0))),"",INDEX('Policy Characteristics'!L:L,MATCH($C1378,'Policy Characteristics'!$C:$C,0)))</f>
        <v>industry-energy-efficiency-standards.html</v>
      </c>
    </row>
    <row r="1379" spans="1:18" s="4" customFormat="1" x14ac:dyDescent="0.3">
      <c r="A1379" s="254" t="str">
        <f>IF(ISBLANK(INDEX('Policy Characteristics'!A:A,MATCH($C1379,'Policy Characteristics'!$C:$C,0))),"",INDEX('Policy Characteristics'!A:A,MATCH($C1379,'Policy Characteristics'!$C:$C,0)))</f>
        <v>Industry</v>
      </c>
      <c r="B1379" s="262" t="str">
        <f>IF(ISBLANK(INDEX('Policy Characteristics'!B:B,MATCH($C1379,'Policy Characteristics'!$C:$C,0))),"",INDEX('Policy Characteristics'!B:B,MATCH($C1379,'Policy Characteristics'!$C:$C,0)))</f>
        <v>Industry Energy Efficiency Standards</v>
      </c>
      <c r="C1379" s="254" t="str">
        <f t="shared" si="49"/>
        <v>Percentage Improvement in Eqpt Efficiency Standards above BAU</v>
      </c>
      <c r="D1379" s="6" t="s">
        <v>3070</v>
      </c>
      <c r="E1379" s="45" t="s">
        <v>2402</v>
      </c>
      <c r="F1379" t="s">
        <v>2579</v>
      </c>
      <c r="G1379" s="45" t="s">
        <v>2406</v>
      </c>
      <c r="H1379" s="43">
        <v>1051</v>
      </c>
      <c r="I1379" s="324" t="s">
        <v>44</v>
      </c>
      <c r="J1379" s="255" t="str">
        <f>IF(ISBLANK(INDEX('Policy Characteristics'!D:D,MATCH($C1379,'Policy Characteristics'!$C:$C,0))),"",INDEX('Policy Characteristics'!D:D,MATCH($C1379,'Policy Characteristics'!$C:$C,0)))</f>
        <v>Industry Energy Efficiency Standards</v>
      </c>
      <c r="K1379" s="254" t="str">
        <f>IF(ISBLANK(INDEX('Policy Characteristics'!E:E,MATCH($C1379,'Policy Characteristics'!$C:$C,0))),"",INDEX('Policy Characteristics'!E:E,MATCH($C1379,'Policy Characteristics'!$C:$C,0)))</f>
        <v>indst efficiency standards</v>
      </c>
      <c r="L1379" s="261">
        <f>IF(ISBLANK(INDEX('Policy Characteristics'!F:F,MATCH($C1379,'Policy Characteristics'!$C:$C,0))),"",INDEX('Policy Characteristics'!F:F,MATCH($C1379,'Policy Characteristics'!$C:$C,0)))</f>
        <v>0</v>
      </c>
      <c r="M1379" s="261">
        <f>IF(ISBLANK(INDEX('Policy Characteristics'!G:G,MATCH($C1379,'Policy Characteristics'!$C:$C,0))),"",INDEX('Policy Characteristics'!G:G,MATCH($C1379,'Policy Characteristics'!$C:$C,0)))</f>
        <v>0.25</v>
      </c>
      <c r="N1379" s="261">
        <f>IF(ISBLANK(INDEX('Policy Characteristics'!H:H,MATCH($C1379,'Policy Characteristics'!$C:$C,0))),"",INDEX('Policy Characteristics'!H:H,MATCH($C1379,'Policy Characteristics'!$C:$C,0)))</f>
        <v>0.01</v>
      </c>
      <c r="O1379" s="254" t="str">
        <f>IF(ISBLANK(INDEX('Policy Characteristics'!I:I,MATCH($C1379,'Policy Characteristics'!$C:$C,0))),"",INDEX('Policy Characteristics'!I:I,MATCH($C1379,'Policy Characteristics'!$C:$C,0)))</f>
        <v>% reduction in energy use</v>
      </c>
      <c r="P1379" s="254"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4" t="str">
        <f>IF(ISBLANK(INDEX('Policy Characteristics'!K:K,MATCH($C1379,'Policy Characteristics'!$C:$C,0))),"",INDEX('Policy Characteristics'!K:K,MATCH($C1379,'Policy Characteristics'!$C:$C,0)))</f>
        <v>industry-ag-main.html#eff-stds</v>
      </c>
      <c r="R1379" s="254" t="str">
        <f>IF(ISBLANK(INDEX('Policy Characteristics'!L:L,MATCH($C1379,'Policy Characteristics'!$C:$C,0))),"",INDEX('Policy Characteristics'!L:L,MATCH($C1379,'Policy Characteristics'!$C:$C,0)))</f>
        <v>industry-energy-efficiency-standards.html</v>
      </c>
    </row>
    <row r="1380" spans="1:18" s="4" customFormat="1" x14ac:dyDescent="0.3">
      <c r="A1380" s="254" t="str">
        <f>IF(ISBLANK(INDEX('Policy Characteristics'!A:A,MATCH($C1380,'Policy Characteristics'!$C:$C,0))),"",INDEX('Policy Characteristics'!A:A,MATCH($C1380,'Policy Characteristics'!$C:$C,0)))</f>
        <v>Industry</v>
      </c>
      <c r="B1380" s="262" t="str">
        <f>IF(ISBLANK(INDEX('Policy Characteristics'!B:B,MATCH($C1380,'Policy Characteristics'!$C:$C,0))),"",INDEX('Policy Characteristics'!B:B,MATCH($C1380,'Policy Characteristics'!$C:$C,0)))</f>
        <v>Industry Energy Efficiency Standards</v>
      </c>
      <c r="C1380" s="254" t="str">
        <f t="shared" si="49"/>
        <v>Percentage Improvement in Eqpt Efficiency Standards above BAU</v>
      </c>
      <c r="D1380" s="6" t="s">
        <v>3070</v>
      </c>
      <c r="E1380" s="45" t="s">
        <v>2403</v>
      </c>
      <c r="F1380" t="s">
        <v>2579</v>
      </c>
      <c r="G1380" s="45" t="s">
        <v>2407</v>
      </c>
      <c r="H1380" s="43">
        <v>1052</v>
      </c>
      <c r="I1380" s="324" t="s">
        <v>43</v>
      </c>
      <c r="J1380" s="255" t="str">
        <f>IF(ISBLANK(INDEX('Policy Characteristics'!D:D,MATCH($C1380,'Policy Characteristics'!$C:$C,0))),"",INDEX('Policy Characteristics'!D:D,MATCH($C1380,'Policy Characteristics'!$C:$C,0)))</f>
        <v>Industry Energy Efficiency Standards</v>
      </c>
      <c r="K1380" s="254" t="str">
        <f>IF(ISBLANK(INDEX('Policy Characteristics'!E:E,MATCH($C1380,'Policy Characteristics'!$C:$C,0))),"",INDEX('Policy Characteristics'!E:E,MATCH($C1380,'Policy Characteristics'!$C:$C,0)))</f>
        <v>indst efficiency standards</v>
      </c>
      <c r="L1380" s="261">
        <f>IF(ISBLANK(INDEX('Policy Characteristics'!F:F,MATCH($C1380,'Policy Characteristics'!$C:$C,0))),"",INDEX('Policy Characteristics'!F:F,MATCH($C1380,'Policy Characteristics'!$C:$C,0)))</f>
        <v>0</v>
      </c>
      <c r="M1380" s="261">
        <f>IF(ISBLANK(INDEX('Policy Characteristics'!G:G,MATCH($C1380,'Policy Characteristics'!$C:$C,0))),"",INDEX('Policy Characteristics'!G:G,MATCH($C1380,'Policy Characteristics'!$C:$C,0)))</f>
        <v>0.25</v>
      </c>
      <c r="N1380" s="261">
        <f>IF(ISBLANK(INDEX('Policy Characteristics'!H:H,MATCH($C1380,'Policy Characteristics'!$C:$C,0))),"",INDEX('Policy Characteristics'!H:H,MATCH($C1380,'Policy Characteristics'!$C:$C,0)))</f>
        <v>0.01</v>
      </c>
      <c r="O1380" s="254" t="str">
        <f>IF(ISBLANK(INDEX('Policy Characteristics'!I:I,MATCH($C1380,'Policy Characteristics'!$C:$C,0))),"",INDEX('Policy Characteristics'!I:I,MATCH($C1380,'Policy Characteristics'!$C:$C,0)))</f>
        <v>% reduction in energy use</v>
      </c>
      <c r="P1380" s="254"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4" t="str">
        <f>IF(ISBLANK(INDEX('Policy Characteristics'!K:K,MATCH($C1380,'Policy Characteristics'!$C:$C,0))),"",INDEX('Policy Characteristics'!K:K,MATCH($C1380,'Policy Characteristics'!$C:$C,0)))</f>
        <v>industry-ag-main.html#eff-stds</v>
      </c>
      <c r="R1380" s="254" t="str">
        <f>IF(ISBLANK(INDEX('Policy Characteristics'!L:L,MATCH($C1380,'Policy Characteristics'!$C:$C,0))),"",INDEX('Policy Characteristics'!L:L,MATCH($C1380,'Policy Characteristics'!$C:$C,0)))</f>
        <v>industry-energy-efficiency-standards.html</v>
      </c>
    </row>
    <row r="1381" spans="1:18" s="4" customFormat="1" x14ac:dyDescent="0.3">
      <c r="A1381" s="254" t="str">
        <f>IF(ISBLANK(INDEX('Policy Characteristics'!A:A,MATCH($C1381,'Policy Characteristics'!$C:$C,0))),"",INDEX('Policy Characteristics'!A:A,MATCH($C1381,'Policy Characteristics'!$C:$C,0)))</f>
        <v>Industry</v>
      </c>
      <c r="B1381" s="262" t="str">
        <f>IF(ISBLANK(INDEX('Policy Characteristics'!B:B,MATCH($C1381,'Policy Characteristics'!$C:$C,0))),"",INDEX('Policy Characteristics'!B:B,MATCH($C1381,'Policy Characteristics'!$C:$C,0)))</f>
        <v>Industry Energy Efficiency Standards</v>
      </c>
      <c r="C1381" s="254" t="str">
        <f t="shared" si="49"/>
        <v>Percentage Improvement in Eqpt Efficiency Standards above BAU</v>
      </c>
      <c r="D1381" s="6" t="s">
        <v>3070</v>
      </c>
      <c r="E1381" s="45" t="s">
        <v>2404</v>
      </c>
      <c r="F1381" t="s">
        <v>2579</v>
      </c>
      <c r="G1381" s="45" t="s">
        <v>2410</v>
      </c>
      <c r="H1381" s="43">
        <v>1053</v>
      </c>
      <c r="I1381" s="324" t="s">
        <v>44</v>
      </c>
      <c r="J1381" s="255" t="str">
        <f>IF(ISBLANK(INDEX('Policy Characteristics'!D:D,MATCH($C1381,'Policy Characteristics'!$C:$C,0))),"",INDEX('Policy Characteristics'!D:D,MATCH($C1381,'Policy Characteristics'!$C:$C,0)))</f>
        <v>Industry Energy Efficiency Standards</v>
      </c>
      <c r="K1381" s="254" t="str">
        <f>IF(ISBLANK(INDEX('Policy Characteristics'!E:E,MATCH($C1381,'Policy Characteristics'!$C:$C,0))),"",INDEX('Policy Characteristics'!E:E,MATCH($C1381,'Policy Characteristics'!$C:$C,0)))</f>
        <v>indst efficiency standards</v>
      </c>
      <c r="L1381" s="261">
        <f>IF(ISBLANK(INDEX('Policy Characteristics'!F:F,MATCH($C1381,'Policy Characteristics'!$C:$C,0))),"",INDEX('Policy Characteristics'!F:F,MATCH($C1381,'Policy Characteristics'!$C:$C,0)))</f>
        <v>0</v>
      </c>
      <c r="M1381" s="261">
        <f>IF(ISBLANK(INDEX('Policy Characteristics'!G:G,MATCH($C1381,'Policy Characteristics'!$C:$C,0))),"",INDEX('Policy Characteristics'!G:G,MATCH($C1381,'Policy Characteristics'!$C:$C,0)))</f>
        <v>0.25</v>
      </c>
      <c r="N1381" s="261">
        <f>IF(ISBLANK(INDEX('Policy Characteristics'!H:H,MATCH($C1381,'Policy Characteristics'!$C:$C,0))),"",INDEX('Policy Characteristics'!H:H,MATCH($C1381,'Policy Characteristics'!$C:$C,0)))</f>
        <v>0.01</v>
      </c>
      <c r="O1381" s="254" t="str">
        <f>IF(ISBLANK(INDEX('Policy Characteristics'!I:I,MATCH($C1381,'Policy Characteristics'!$C:$C,0))),"",INDEX('Policy Characteristics'!I:I,MATCH($C1381,'Policy Characteristics'!$C:$C,0)))</f>
        <v>% reduction in energy use</v>
      </c>
      <c r="P1381" s="254"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4" t="str">
        <f>IF(ISBLANK(INDEX('Policy Characteristics'!K:K,MATCH($C1381,'Policy Characteristics'!$C:$C,0))),"",INDEX('Policy Characteristics'!K:K,MATCH($C1381,'Policy Characteristics'!$C:$C,0)))</f>
        <v>industry-ag-main.html#eff-stds</v>
      </c>
      <c r="R1381" s="254" t="str">
        <f>IF(ISBLANK(INDEX('Policy Characteristics'!L:L,MATCH($C1381,'Policy Characteristics'!$C:$C,0))),"",INDEX('Policy Characteristics'!L:L,MATCH($C1381,'Policy Characteristics'!$C:$C,0)))</f>
        <v>industry-energy-efficiency-standards.html</v>
      </c>
    </row>
    <row r="1382" spans="1:18" s="4" customFormat="1" x14ac:dyDescent="0.3">
      <c r="A1382" s="254" t="str">
        <f>IF(ISBLANK(INDEX('Policy Characteristics'!A:A,MATCH($C1382,'Policy Characteristics'!$C:$C,0))),"",INDEX('Policy Characteristics'!A:A,MATCH($C1382,'Policy Characteristics'!$C:$C,0)))</f>
        <v>Industry</v>
      </c>
      <c r="B1382" s="262" t="str">
        <f>IF(ISBLANK(INDEX('Policy Characteristics'!B:B,MATCH($C1382,'Policy Characteristics'!$C:$C,0))),"",INDEX('Policy Characteristics'!B:B,MATCH($C1382,'Policy Characteristics'!$C:$C,0)))</f>
        <v>Industry Energy Efficiency Standards</v>
      </c>
      <c r="C1382" s="254" t="str">
        <f t="shared" si="49"/>
        <v>Percentage Improvement in Eqpt Efficiency Standards above BAU</v>
      </c>
      <c r="D1382" s="6" t="s">
        <v>3070</v>
      </c>
      <c r="E1382" s="45" t="s">
        <v>2706</v>
      </c>
      <c r="F1382" t="s">
        <v>2579</v>
      </c>
      <c r="G1382" s="45" t="s">
        <v>2709</v>
      </c>
      <c r="H1382" s="43">
        <v>1054</v>
      </c>
      <c r="I1382" s="324" t="s">
        <v>44</v>
      </c>
      <c r="J1382" s="255" t="str">
        <f>IF(ISBLANK(INDEX('Policy Characteristics'!D:D,MATCH($C1382,'Policy Characteristics'!$C:$C,0))),"",INDEX('Policy Characteristics'!D:D,MATCH($C1382,'Policy Characteristics'!$C:$C,0)))</f>
        <v>Industry Energy Efficiency Standards</v>
      </c>
      <c r="K1382" s="254" t="str">
        <f>IF(ISBLANK(INDEX('Policy Characteristics'!E:E,MATCH($C1382,'Policy Characteristics'!$C:$C,0))),"",INDEX('Policy Characteristics'!E:E,MATCH($C1382,'Policy Characteristics'!$C:$C,0)))</f>
        <v>indst efficiency standards</v>
      </c>
      <c r="L1382" s="261">
        <f>IF(ISBLANK(INDEX('Policy Characteristics'!F:F,MATCH($C1382,'Policy Characteristics'!$C:$C,0))),"",INDEX('Policy Characteristics'!F:F,MATCH($C1382,'Policy Characteristics'!$C:$C,0)))</f>
        <v>0</v>
      </c>
      <c r="M1382" s="261">
        <f>IF(ISBLANK(INDEX('Policy Characteristics'!G:G,MATCH($C1382,'Policy Characteristics'!$C:$C,0))),"",INDEX('Policy Characteristics'!G:G,MATCH($C1382,'Policy Characteristics'!$C:$C,0)))</f>
        <v>0.25</v>
      </c>
      <c r="N1382" s="261">
        <f>IF(ISBLANK(INDEX('Policy Characteristics'!H:H,MATCH($C1382,'Policy Characteristics'!$C:$C,0))),"",INDEX('Policy Characteristics'!H:H,MATCH($C1382,'Policy Characteristics'!$C:$C,0)))</f>
        <v>0.01</v>
      </c>
      <c r="O1382" s="254" t="str">
        <f>IF(ISBLANK(INDEX('Policy Characteristics'!I:I,MATCH($C1382,'Policy Characteristics'!$C:$C,0))),"",INDEX('Policy Characteristics'!I:I,MATCH($C1382,'Policy Characteristics'!$C:$C,0)))</f>
        <v>% reduction in energy use</v>
      </c>
      <c r="P1382" s="254"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4" t="str">
        <f>IF(ISBLANK(INDEX('Policy Characteristics'!K:K,MATCH($C1382,'Policy Characteristics'!$C:$C,0))),"",INDEX('Policy Characteristics'!K:K,MATCH($C1382,'Policy Characteristics'!$C:$C,0)))</f>
        <v>industry-ag-main.html#eff-stds</v>
      </c>
      <c r="R1382" s="254" t="str">
        <f>IF(ISBLANK(INDEX('Policy Characteristics'!L:L,MATCH($C1382,'Policy Characteristics'!$C:$C,0))),"",INDEX('Policy Characteristics'!L:L,MATCH($C1382,'Policy Characteristics'!$C:$C,0)))</f>
        <v>industry-energy-efficiency-standards.html</v>
      </c>
    </row>
    <row r="1383" spans="1:18" s="4" customFormat="1" x14ac:dyDescent="0.3">
      <c r="A1383" s="254" t="str">
        <f>IF(ISBLANK(INDEX('Policy Characteristics'!A:A,MATCH($C1383,'Policy Characteristics'!$C:$C,0))),"",INDEX('Policy Characteristics'!A:A,MATCH($C1383,'Policy Characteristics'!$C:$C,0)))</f>
        <v>Industry</v>
      </c>
      <c r="B1383" s="262" t="str">
        <f>IF(ISBLANK(INDEX('Policy Characteristics'!B:B,MATCH($C1383,'Policy Characteristics'!$C:$C,0))),"",INDEX('Policy Characteristics'!B:B,MATCH($C1383,'Policy Characteristics'!$C:$C,0)))</f>
        <v>Industry Energy Efficiency Standards</v>
      </c>
      <c r="C1383" s="254" t="str">
        <f t="shared" si="49"/>
        <v>Percentage Improvement in Eqpt Efficiency Standards above BAU</v>
      </c>
      <c r="D1383" s="6" t="s">
        <v>3070</v>
      </c>
      <c r="E1383" s="45" t="s">
        <v>2707</v>
      </c>
      <c r="F1383" t="s">
        <v>2579</v>
      </c>
      <c r="G1383" s="45" t="s">
        <v>2711</v>
      </c>
      <c r="H1383" s="43">
        <v>1055</v>
      </c>
      <c r="I1383" s="324" t="s">
        <v>43</v>
      </c>
      <c r="J1383" s="255" t="str">
        <f>IF(ISBLANK(INDEX('Policy Characteristics'!D:D,MATCH($C1383,'Policy Characteristics'!$C:$C,0))),"",INDEX('Policy Characteristics'!D:D,MATCH($C1383,'Policy Characteristics'!$C:$C,0)))</f>
        <v>Industry Energy Efficiency Standards</v>
      </c>
      <c r="K1383" s="254" t="str">
        <f>IF(ISBLANK(INDEX('Policy Characteristics'!E:E,MATCH($C1383,'Policy Characteristics'!$C:$C,0))),"",INDEX('Policy Characteristics'!E:E,MATCH($C1383,'Policy Characteristics'!$C:$C,0)))</f>
        <v>indst efficiency standards</v>
      </c>
      <c r="L1383" s="261">
        <f>IF(ISBLANK(INDEX('Policy Characteristics'!F:F,MATCH($C1383,'Policy Characteristics'!$C:$C,0))),"",INDEX('Policy Characteristics'!F:F,MATCH($C1383,'Policy Characteristics'!$C:$C,0)))</f>
        <v>0</v>
      </c>
      <c r="M1383" s="261">
        <f>IF(ISBLANK(INDEX('Policy Characteristics'!G:G,MATCH($C1383,'Policy Characteristics'!$C:$C,0))),"",INDEX('Policy Characteristics'!G:G,MATCH($C1383,'Policy Characteristics'!$C:$C,0)))</f>
        <v>0.25</v>
      </c>
      <c r="N1383" s="261">
        <f>IF(ISBLANK(INDEX('Policy Characteristics'!H:H,MATCH($C1383,'Policy Characteristics'!$C:$C,0))),"",INDEX('Policy Characteristics'!H:H,MATCH($C1383,'Policy Characteristics'!$C:$C,0)))</f>
        <v>0.01</v>
      </c>
      <c r="O1383" s="254" t="str">
        <f>IF(ISBLANK(INDEX('Policy Characteristics'!I:I,MATCH($C1383,'Policy Characteristics'!$C:$C,0))),"",INDEX('Policy Characteristics'!I:I,MATCH($C1383,'Policy Characteristics'!$C:$C,0)))</f>
        <v>% reduction in energy use</v>
      </c>
      <c r="P1383" s="254"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4" t="str">
        <f>IF(ISBLANK(INDEX('Policy Characteristics'!K:K,MATCH($C1383,'Policy Characteristics'!$C:$C,0))),"",INDEX('Policy Characteristics'!K:K,MATCH($C1383,'Policy Characteristics'!$C:$C,0)))</f>
        <v>industry-ag-main.html#eff-stds</v>
      </c>
      <c r="R1383" s="254" t="str">
        <f>IF(ISBLANK(INDEX('Policy Characteristics'!L:L,MATCH($C1383,'Policy Characteristics'!$C:$C,0))),"",INDEX('Policy Characteristics'!L:L,MATCH($C1383,'Policy Characteristics'!$C:$C,0)))</f>
        <v>industry-energy-efficiency-standards.html</v>
      </c>
    </row>
    <row r="1384" spans="1:18" s="4" customFormat="1" x14ac:dyDescent="0.3">
      <c r="A1384" s="254" t="str">
        <f>IF(ISBLANK(INDEX('Policy Characteristics'!A:A,MATCH($C1384,'Policy Characteristics'!$C:$C,0))),"",INDEX('Policy Characteristics'!A:A,MATCH($C1384,'Policy Characteristics'!$C:$C,0)))</f>
        <v>Industry</v>
      </c>
      <c r="B1384" s="262" t="str">
        <f>IF(ISBLANK(INDEX('Policy Characteristics'!B:B,MATCH($C1384,'Policy Characteristics'!$C:$C,0))),"",INDEX('Policy Characteristics'!B:B,MATCH($C1384,'Policy Characteristics'!$C:$C,0)))</f>
        <v>Industry Energy Efficiency Standards</v>
      </c>
      <c r="C1384" s="254" t="str">
        <f t="shared" si="49"/>
        <v>Percentage Improvement in Eqpt Efficiency Standards above BAU</v>
      </c>
      <c r="D1384" s="6" t="s">
        <v>3070</v>
      </c>
      <c r="E1384" s="45" t="s">
        <v>2708</v>
      </c>
      <c r="F1384" t="s">
        <v>2579</v>
      </c>
      <c r="G1384" s="45" t="s">
        <v>2712</v>
      </c>
      <c r="H1384" s="43">
        <v>1056</v>
      </c>
      <c r="I1384" s="324" t="s">
        <v>43</v>
      </c>
      <c r="J1384" s="255" t="str">
        <f>IF(ISBLANK(INDEX('Policy Characteristics'!D:D,MATCH($C1384,'Policy Characteristics'!$C:$C,0))),"",INDEX('Policy Characteristics'!D:D,MATCH($C1384,'Policy Characteristics'!$C:$C,0)))</f>
        <v>Industry Energy Efficiency Standards</v>
      </c>
      <c r="K1384" s="254" t="str">
        <f>IF(ISBLANK(INDEX('Policy Characteristics'!E:E,MATCH($C1384,'Policy Characteristics'!$C:$C,0))),"",INDEX('Policy Characteristics'!E:E,MATCH($C1384,'Policy Characteristics'!$C:$C,0)))</f>
        <v>indst efficiency standards</v>
      </c>
      <c r="L1384" s="261">
        <f>IF(ISBLANK(INDEX('Policy Characteristics'!F:F,MATCH($C1384,'Policy Characteristics'!$C:$C,0))),"",INDEX('Policy Characteristics'!F:F,MATCH($C1384,'Policy Characteristics'!$C:$C,0)))</f>
        <v>0</v>
      </c>
      <c r="M1384" s="261">
        <f>IF(ISBLANK(INDEX('Policy Characteristics'!G:G,MATCH($C1384,'Policy Characteristics'!$C:$C,0))),"",INDEX('Policy Characteristics'!G:G,MATCH($C1384,'Policy Characteristics'!$C:$C,0)))</f>
        <v>0.25</v>
      </c>
      <c r="N1384" s="261">
        <f>IF(ISBLANK(INDEX('Policy Characteristics'!H:H,MATCH($C1384,'Policy Characteristics'!$C:$C,0))),"",INDEX('Policy Characteristics'!H:H,MATCH($C1384,'Policy Characteristics'!$C:$C,0)))</f>
        <v>0.01</v>
      </c>
      <c r="O1384" s="254" t="str">
        <f>IF(ISBLANK(INDEX('Policy Characteristics'!I:I,MATCH($C1384,'Policy Characteristics'!$C:$C,0))),"",INDEX('Policy Characteristics'!I:I,MATCH($C1384,'Policy Characteristics'!$C:$C,0)))</f>
        <v>% reduction in energy use</v>
      </c>
      <c r="P1384" s="254"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4" t="str">
        <f>IF(ISBLANK(INDEX('Policy Characteristics'!K:K,MATCH($C1384,'Policy Characteristics'!$C:$C,0))),"",INDEX('Policy Characteristics'!K:K,MATCH($C1384,'Policy Characteristics'!$C:$C,0)))</f>
        <v>industry-ag-main.html#eff-stds</v>
      </c>
      <c r="R1384" s="254" t="str">
        <f>IF(ISBLANK(INDEX('Policy Characteristics'!L:L,MATCH($C1384,'Policy Characteristics'!$C:$C,0))),"",INDEX('Policy Characteristics'!L:L,MATCH($C1384,'Policy Characteristics'!$C:$C,0)))</f>
        <v>industry-energy-efficiency-standards.html</v>
      </c>
    </row>
    <row r="1385" spans="1:18" s="4" customFormat="1" x14ac:dyDescent="0.3">
      <c r="A1385" s="254" t="str">
        <f>IF(ISBLANK(INDEX('Policy Characteristics'!A:A,MATCH($C1385,'Policy Characteristics'!$C:$C,0))),"",INDEX('Policy Characteristics'!A:A,MATCH($C1385,'Policy Characteristics'!$C:$C,0)))</f>
        <v>Industry</v>
      </c>
      <c r="B1385" s="262" t="str">
        <f>IF(ISBLANK(INDEX('Policy Characteristics'!B:B,MATCH($C1385,'Policy Characteristics'!$C:$C,0))),"",INDEX('Policy Characteristics'!B:B,MATCH($C1385,'Policy Characteristics'!$C:$C,0)))</f>
        <v>Industry Energy Efficiency Standards</v>
      </c>
      <c r="C1385" s="254" t="str">
        <f t="shared" si="49"/>
        <v>Percentage Improvement in Eqpt Efficiency Standards above BAU</v>
      </c>
      <c r="D1385" s="6" t="s">
        <v>3070</v>
      </c>
      <c r="E1385" s="45" t="s">
        <v>2705</v>
      </c>
      <c r="F1385" t="s">
        <v>2579</v>
      </c>
      <c r="G1385" s="45" t="s">
        <v>2710</v>
      </c>
      <c r="H1385" s="43">
        <v>1057</v>
      </c>
      <c r="I1385" s="324" t="s">
        <v>44</v>
      </c>
      <c r="J1385" s="255" t="str">
        <f>IF(ISBLANK(INDEX('Policy Characteristics'!D:D,MATCH($C1385,'Policy Characteristics'!$C:$C,0))),"",INDEX('Policy Characteristics'!D:D,MATCH($C1385,'Policy Characteristics'!$C:$C,0)))</f>
        <v>Industry Energy Efficiency Standards</v>
      </c>
      <c r="K1385" s="254" t="str">
        <f>IF(ISBLANK(INDEX('Policy Characteristics'!E:E,MATCH($C1385,'Policy Characteristics'!$C:$C,0))),"",INDEX('Policy Characteristics'!E:E,MATCH($C1385,'Policy Characteristics'!$C:$C,0)))</f>
        <v>indst efficiency standards</v>
      </c>
      <c r="L1385" s="261">
        <f>IF(ISBLANK(INDEX('Policy Characteristics'!F:F,MATCH($C1385,'Policy Characteristics'!$C:$C,0))),"",INDEX('Policy Characteristics'!F:F,MATCH($C1385,'Policy Characteristics'!$C:$C,0)))</f>
        <v>0</v>
      </c>
      <c r="M1385" s="261">
        <f>IF(ISBLANK(INDEX('Policy Characteristics'!G:G,MATCH($C1385,'Policy Characteristics'!$C:$C,0))),"",INDEX('Policy Characteristics'!G:G,MATCH($C1385,'Policy Characteristics'!$C:$C,0)))</f>
        <v>0.25</v>
      </c>
      <c r="N1385" s="261">
        <f>IF(ISBLANK(INDEX('Policy Characteristics'!H:H,MATCH($C1385,'Policy Characteristics'!$C:$C,0))),"",INDEX('Policy Characteristics'!H:H,MATCH($C1385,'Policy Characteristics'!$C:$C,0)))</f>
        <v>0.01</v>
      </c>
      <c r="O1385" s="254" t="str">
        <f>IF(ISBLANK(INDEX('Policy Characteristics'!I:I,MATCH($C1385,'Policy Characteristics'!$C:$C,0))),"",INDEX('Policy Characteristics'!I:I,MATCH($C1385,'Policy Characteristics'!$C:$C,0)))</f>
        <v>% reduction in energy use</v>
      </c>
      <c r="P1385" s="254"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4" t="str">
        <f>IF(ISBLANK(INDEX('Policy Characteristics'!K:K,MATCH($C1385,'Policy Characteristics'!$C:$C,0))),"",INDEX('Policy Characteristics'!K:K,MATCH($C1385,'Policy Characteristics'!$C:$C,0)))</f>
        <v>industry-ag-main.html#eff-stds</v>
      </c>
      <c r="R1385" s="254" t="str">
        <f>IF(ISBLANK(INDEX('Policy Characteristics'!L:L,MATCH($C1385,'Policy Characteristics'!$C:$C,0))),"",INDEX('Policy Characteristics'!L:L,MATCH($C1385,'Policy Characteristics'!$C:$C,0)))</f>
        <v>industry-energy-efficiency-standards.html</v>
      </c>
    </row>
    <row r="1386" spans="1:18" s="4" customFormat="1" x14ac:dyDescent="0.3">
      <c r="A1386" s="254" t="str">
        <f>IF(ISBLANK(INDEX('Policy Characteristics'!A:A,MATCH($C1386,'Policy Characteristics'!$C:$C,0))),"",INDEX('Policy Characteristics'!A:A,MATCH($C1386,'Policy Characteristics'!$C:$C,0)))</f>
        <v>Industry</v>
      </c>
      <c r="B1386" s="262" t="str">
        <f>IF(ISBLANK(INDEX('Policy Characteristics'!B:B,MATCH($C1386,'Policy Characteristics'!$C:$C,0))),"",INDEX('Policy Characteristics'!B:B,MATCH($C1386,'Policy Characteristics'!$C:$C,0)))</f>
        <v>Industry Energy Efficiency Standards</v>
      </c>
      <c r="C1386" s="254" t="str">
        <f t="shared" si="49"/>
        <v>Percentage Improvement in Eqpt Efficiency Standards above BAU</v>
      </c>
      <c r="D1386" s="6" t="s">
        <v>3071</v>
      </c>
      <c r="E1386" s="45" t="s">
        <v>2399</v>
      </c>
      <c r="F1386" t="s">
        <v>3034</v>
      </c>
      <c r="G1386" s="45" t="s">
        <v>2405</v>
      </c>
      <c r="H1386" s="43">
        <v>1058</v>
      </c>
      <c r="I1386" s="324" t="s">
        <v>43</v>
      </c>
      <c r="J1386" s="255" t="str">
        <f>IF(ISBLANK(INDEX('Policy Characteristics'!D:D,MATCH($C1386,'Policy Characteristics'!$C:$C,0))),"",INDEX('Policy Characteristics'!D:D,MATCH($C1386,'Policy Characteristics'!$C:$C,0)))</f>
        <v>Industry Energy Efficiency Standards</v>
      </c>
      <c r="K1386" s="254" t="str">
        <f>IF(ISBLANK(INDEX('Policy Characteristics'!E:E,MATCH($C1386,'Policy Characteristics'!$C:$C,0))),"",INDEX('Policy Characteristics'!E:E,MATCH($C1386,'Policy Characteristics'!$C:$C,0)))</f>
        <v>indst efficiency standards</v>
      </c>
      <c r="L1386" s="261">
        <f>IF(ISBLANK(INDEX('Policy Characteristics'!F:F,MATCH($C1386,'Policy Characteristics'!$C:$C,0))),"",INDEX('Policy Characteristics'!F:F,MATCH($C1386,'Policy Characteristics'!$C:$C,0)))</f>
        <v>0</v>
      </c>
      <c r="M1386" s="261">
        <f>IF(ISBLANK(INDEX('Policy Characteristics'!G:G,MATCH($C1386,'Policy Characteristics'!$C:$C,0))),"",INDEX('Policy Characteristics'!G:G,MATCH($C1386,'Policy Characteristics'!$C:$C,0)))</f>
        <v>0.25</v>
      </c>
      <c r="N1386" s="261">
        <f>IF(ISBLANK(INDEX('Policy Characteristics'!H:H,MATCH($C1386,'Policy Characteristics'!$C:$C,0))),"",INDEX('Policy Characteristics'!H:H,MATCH($C1386,'Policy Characteristics'!$C:$C,0)))</f>
        <v>0.01</v>
      </c>
      <c r="O1386" s="254" t="str">
        <f>IF(ISBLANK(INDEX('Policy Characteristics'!I:I,MATCH($C1386,'Policy Characteristics'!$C:$C,0))),"",INDEX('Policy Characteristics'!I:I,MATCH($C1386,'Policy Characteristics'!$C:$C,0)))</f>
        <v>% reduction in energy use</v>
      </c>
      <c r="P1386" s="254"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4" t="str">
        <f>IF(ISBLANK(INDEX('Policy Characteristics'!K:K,MATCH($C1386,'Policy Characteristics'!$C:$C,0))),"",INDEX('Policy Characteristics'!K:K,MATCH($C1386,'Policy Characteristics'!$C:$C,0)))</f>
        <v>industry-ag-main.html#eff-stds</v>
      </c>
      <c r="R1386" s="254" t="str">
        <f>IF(ISBLANK(INDEX('Policy Characteristics'!L:L,MATCH($C1386,'Policy Characteristics'!$C:$C,0))),"",INDEX('Policy Characteristics'!L:L,MATCH($C1386,'Policy Characteristics'!$C:$C,0)))</f>
        <v>industry-energy-efficiency-standards.html</v>
      </c>
    </row>
    <row r="1387" spans="1:18" s="4" customFormat="1" x14ac:dyDescent="0.3">
      <c r="A1387" s="254" t="str">
        <f>IF(ISBLANK(INDEX('Policy Characteristics'!A:A,MATCH($C1387,'Policy Characteristics'!$C:$C,0))),"",INDEX('Policy Characteristics'!A:A,MATCH($C1387,'Policy Characteristics'!$C:$C,0)))</f>
        <v>Industry</v>
      </c>
      <c r="B1387" s="262" t="str">
        <f>IF(ISBLANK(INDEX('Policy Characteristics'!B:B,MATCH($C1387,'Policy Characteristics'!$C:$C,0))),"",INDEX('Policy Characteristics'!B:B,MATCH($C1387,'Policy Characteristics'!$C:$C,0)))</f>
        <v>Industry Energy Efficiency Standards</v>
      </c>
      <c r="C1387" s="254" t="str">
        <f t="shared" si="49"/>
        <v>Percentage Improvement in Eqpt Efficiency Standards above BAU</v>
      </c>
      <c r="D1387" s="6" t="s">
        <v>3071</v>
      </c>
      <c r="E1387" s="45" t="s">
        <v>2400</v>
      </c>
      <c r="F1387" t="s">
        <v>3034</v>
      </c>
      <c r="G1387" s="45" t="s">
        <v>2408</v>
      </c>
      <c r="H1387" s="43">
        <v>1059</v>
      </c>
      <c r="I1387" s="324" t="s">
        <v>43</v>
      </c>
      <c r="J1387" s="255" t="str">
        <f>IF(ISBLANK(INDEX('Policy Characteristics'!D:D,MATCH($C1387,'Policy Characteristics'!$C:$C,0))),"",INDEX('Policy Characteristics'!D:D,MATCH($C1387,'Policy Characteristics'!$C:$C,0)))</f>
        <v>Industry Energy Efficiency Standards</v>
      </c>
      <c r="K1387" s="254" t="str">
        <f>IF(ISBLANK(INDEX('Policy Characteristics'!E:E,MATCH($C1387,'Policy Characteristics'!$C:$C,0))),"",INDEX('Policy Characteristics'!E:E,MATCH($C1387,'Policy Characteristics'!$C:$C,0)))</f>
        <v>indst efficiency standards</v>
      </c>
      <c r="L1387" s="261">
        <f>IF(ISBLANK(INDEX('Policy Characteristics'!F:F,MATCH($C1387,'Policy Characteristics'!$C:$C,0))),"",INDEX('Policy Characteristics'!F:F,MATCH($C1387,'Policy Characteristics'!$C:$C,0)))</f>
        <v>0</v>
      </c>
      <c r="M1387" s="261">
        <f>IF(ISBLANK(INDEX('Policy Characteristics'!G:G,MATCH($C1387,'Policy Characteristics'!$C:$C,0))),"",INDEX('Policy Characteristics'!G:G,MATCH($C1387,'Policy Characteristics'!$C:$C,0)))</f>
        <v>0.25</v>
      </c>
      <c r="N1387" s="261">
        <f>IF(ISBLANK(INDEX('Policy Characteristics'!H:H,MATCH($C1387,'Policy Characteristics'!$C:$C,0))),"",INDEX('Policy Characteristics'!H:H,MATCH($C1387,'Policy Characteristics'!$C:$C,0)))</f>
        <v>0.01</v>
      </c>
      <c r="O1387" s="254" t="str">
        <f>IF(ISBLANK(INDEX('Policy Characteristics'!I:I,MATCH($C1387,'Policy Characteristics'!$C:$C,0))),"",INDEX('Policy Characteristics'!I:I,MATCH($C1387,'Policy Characteristics'!$C:$C,0)))</f>
        <v>% reduction in energy use</v>
      </c>
      <c r="P1387" s="254"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4" t="str">
        <f>IF(ISBLANK(INDEX('Policy Characteristics'!K:K,MATCH($C1387,'Policy Characteristics'!$C:$C,0))),"",INDEX('Policy Characteristics'!K:K,MATCH($C1387,'Policy Characteristics'!$C:$C,0)))</f>
        <v>industry-ag-main.html#eff-stds</v>
      </c>
      <c r="R1387" s="254" t="str">
        <f>IF(ISBLANK(INDEX('Policy Characteristics'!L:L,MATCH($C1387,'Policy Characteristics'!$C:$C,0))),"",INDEX('Policy Characteristics'!L:L,MATCH($C1387,'Policy Characteristics'!$C:$C,0)))</f>
        <v>industry-energy-efficiency-standards.html</v>
      </c>
    </row>
    <row r="1388" spans="1:18" s="4" customFormat="1" x14ac:dyDescent="0.3">
      <c r="A1388" s="254" t="str">
        <f>IF(ISBLANK(INDEX('Policy Characteristics'!A:A,MATCH($C1388,'Policy Characteristics'!$C:$C,0))),"",INDEX('Policy Characteristics'!A:A,MATCH($C1388,'Policy Characteristics'!$C:$C,0)))</f>
        <v>Industry</v>
      </c>
      <c r="B1388" s="262" t="str">
        <f>IF(ISBLANK(INDEX('Policy Characteristics'!B:B,MATCH($C1388,'Policy Characteristics'!$C:$C,0))),"",INDEX('Policy Characteristics'!B:B,MATCH($C1388,'Policy Characteristics'!$C:$C,0)))</f>
        <v>Industry Energy Efficiency Standards</v>
      </c>
      <c r="C1388" s="254" t="str">
        <f t="shared" si="49"/>
        <v>Percentage Improvement in Eqpt Efficiency Standards above BAU</v>
      </c>
      <c r="D1388" s="6" t="s">
        <v>3071</v>
      </c>
      <c r="E1388" s="45" t="s">
        <v>2401</v>
      </c>
      <c r="F1388" t="s">
        <v>3034</v>
      </c>
      <c r="G1388" s="45" t="s">
        <v>2409</v>
      </c>
      <c r="H1388" s="43">
        <v>1060</v>
      </c>
      <c r="I1388" s="324" t="s">
        <v>43</v>
      </c>
      <c r="J1388" s="255" t="str">
        <f>IF(ISBLANK(INDEX('Policy Characteristics'!D:D,MATCH($C1388,'Policy Characteristics'!$C:$C,0))),"",INDEX('Policy Characteristics'!D:D,MATCH($C1388,'Policy Characteristics'!$C:$C,0)))</f>
        <v>Industry Energy Efficiency Standards</v>
      </c>
      <c r="K1388" s="254" t="str">
        <f>IF(ISBLANK(INDEX('Policy Characteristics'!E:E,MATCH($C1388,'Policy Characteristics'!$C:$C,0))),"",INDEX('Policy Characteristics'!E:E,MATCH($C1388,'Policy Characteristics'!$C:$C,0)))</f>
        <v>indst efficiency standards</v>
      </c>
      <c r="L1388" s="261">
        <f>IF(ISBLANK(INDEX('Policy Characteristics'!F:F,MATCH($C1388,'Policy Characteristics'!$C:$C,0))),"",INDEX('Policy Characteristics'!F:F,MATCH($C1388,'Policy Characteristics'!$C:$C,0)))</f>
        <v>0</v>
      </c>
      <c r="M1388" s="261">
        <f>IF(ISBLANK(INDEX('Policy Characteristics'!G:G,MATCH($C1388,'Policy Characteristics'!$C:$C,0))),"",INDEX('Policy Characteristics'!G:G,MATCH($C1388,'Policy Characteristics'!$C:$C,0)))</f>
        <v>0.25</v>
      </c>
      <c r="N1388" s="261">
        <f>IF(ISBLANK(INDEX('Policy Characteristics'!H:H,MATCH($C1388,'Policy Characteristics'!$C:$C,0))),"",INDEX('Policy Characteristics'!H:H,MATCH($C1388,'Policy Characteristics'!$C:$C,0)))</f>
        <v>0.01</v>
      </c>
      <c r="O1388" s="254" t="str">
        <f>IF(ISBLANK(INDEX('Policy Characteristics'!I:I,MATCH($C1388,'Policy Characteristics'!$C:$C,0))),"",INDEX('Policy Characteristics'!I:I,MATCH($C1388,'Policy Characteristics'!$C:$C,0)))</f>
        <v>% reduction in energy use</v>
      </c>
      <c r="P1388" s="254"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4" t="str">
        <f>IF(ISBLANK(INDEX('Policy Characteristics'!K:K,MATCH($C1388,'Policy Characteristics'!$C:$C,0))),"",INDEX('Policy Characteristics'!K:K,MATCH($C1388,'Policy Characteristics'!$C:$C,0)))</f>
        <v>industry-ag-main.html#eff-stds</v>
      </c>
      <c r="R1388" s="254" t="str">
        <f>IF(ISBLANK(INDEX('Policy Characteristics'!L:L,MATCH($C1388,'Policy Characteristics'!$C:$C,0))),"",INDEX('Policy Characteristics'!L:L,MATCH($C1388,'Policy Characteristics'!$C:$C,0)))</f>
        <v>industry-energy-efficiency-standards.html</v>
      </c>
    </row>
    <row r="1389" spans="1:18" s="4" customFormat="1" x14ac:dyDescent="0.3">
      <c r="A1389" s="254" t="str">
        <f>IF(ISBLANK(INDEX('Policy Characteristics'!A:A,MATCH($C1389,'Policy Characteristics'!$C:$C,0))),"",INDEX('Policy Characteristics'!A:A,MATCH($C1389,'Policy Characteristics'!$C:$C,0)))</f>
        <v>Industry</v>
      </c>
      <c r="B1389" s="262" t="str">
        <f>IF(ISBLANK(INDEX('Policy Characteristics'!B:B,MATCH($C1389,'Policy Characteristics'!$C:$C,0))),"",INDEX('Policy Characteristics'!B:B,MATCH($C1389,'Policy Characteristics'!$C:$C,0)))</f>
        <v>Industry Energy Efficiency Standards</v>
      </c>
      <c r="C1389" s="254" t="str">
        <f t="shared" si="49"/>
        <v>Percentage Improvement in Eqpt Efficiency Standards above BAU</v>
      </c>
      <c r="D1389" s="6" t="s">
        <v>3071</v>
      </c>
      <c r="E1389" s="45" t="s">
        <v>2402</v>
      </c>
      <c r="F1389" t="s">
        <v>3034</v>
      </c>
      <c r="G1389" s="45" t="s">
        <v>2406</v>
      </c>
      <c r="H1389" s="43">
        <v>1061</v>
      </c>
      <c r="I1389" s="324" t="s">
        <v>44</v>
      </c>
      <c r="J1389" s="255" t="str">
        <f>IF(ISBLANK(INDEX('Policy Characteristics'!D:D,MATCH($C1389,'Policy Characteristics'!$C:$C,0))),"",INDEX('Policy Characteristics'!D:D,MATCH($C1389,'Policy Characteristics'!$C:$C,0)))</f>
        <v>Industry Energy Efficiency Standards</v>
      </c>
      <c r="K1389" s="254" t="str">
        <f>IF(ISBLANK(INDEX('Policy Characteristics'!E:E,MATCH($C1389,'Policy Characteristics'!$C:$C,0))),"",INDEX('Policy Characteristics'!E:E,MATCH($C1389,'Policy Characteristics'!$C:$C,0)))</f>
        <v>indst efficiency standards</v>
      </c>
      <c r="L1389" s="261">
        <f>IF(ISBLANK(INDEX('Policy Characteristics'!F:F,MATCH($C1389,'Policy Characteristics'!$C:$C,0))),"",INDEX('Policy Characteristics'!F:F,MATCH($C1389,'Policy Characteristics'!$C:$C,0)))</f>
        <v>0</v>
      </c>
      <c r="M1389" s="261">
        <f>IF(ISBLANK(INDEX('Policy Characteristics'!G:G,MATCH($C1389,'Policy Characteristics'!$C:$C,0))),"",INDEX('Policy Characteristics'!G:G,MATCH($C1389,'Policy Characteristics'!$C:$C,0)))</f>
        <v>0.25</v>
      </c>
      <c r="N1389" s="261">
        <f>IF(ISBLANK(INDEX('Policy Characteristics'!H:H,MATCH($C1389,'Policy Characteristics'!$C:$C,0))),"",INDEX('Policy Characteristics'!H:H,MATCH($C1389,'Policy Characteristics'!$C:$C,0)))</f>
        <v>0.01</v>
      </c>
      <c r="O1389" s="254" t="str">
        <f>IF(ISBLANK(INDEX('Policy Characteristics'!I:I,MATCH($C1389,'Policy Characteristics'!$C:$C,0))),"",INDEX('Policy Characteristics'!I:I,MATCH($C1389,'Policy Characteristics'!$C:$C,0)))</f>
        <v>% reduction in energy use</v>
      </c>
      <c r="P1389" s="254"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4" t="str">
        <f>IF(ISBLANK(INDEX('Policy Characteristics'!K:K,MATCH($C1389,'Policy Characteristics'!$C:$C,0))),"",INDEX('Policy Characteristics'!K:K,MATCH($C1389,'Policy Characteristics'!$C:$C,0)))</f>
        <v>industry-ag-main.html#eff-stds</v>
      </c>
      <c r="R1389" s="254" t="str">
        <f>IF(ISBLANK(INDEX('Policy Characteristics'!L:L,MATCH($C1389,'Policy Characteristics'!$C:$C,0))),"",INDEX('Policy Characteristics'!L:L,MATCH($C1389,'Policy Characteristics'!$C:$C,0)))</f>
        <v>industry-energy-efficiency-standards.html</v>
      </c>
    </row>
    <row r="1390" spans="1:18" s="4" customFormat="1" x14ac:dyDescent="0.3">
      <c r="A1390" s="254" t="str">
        <f>IF(ISBLANK(INDEX('Policy Characteristics'!A:A,MATCH($C1390,'Policy Characteristics'!$C:$C,0))),"",INDEX('Policy Characteristics'!A:A,MATCH($C1390,'Policy Characteristics'!$C:$C,0)))</f>
        <v>Industry</v>
      </c>
      <c r="B1390" s="262" t="str">
        <f>IF(ISBLANK(INDEX('Policy Characteristics'!B:B,MATCH($C1390,'Policy Characteristics'!$C:$C,0))),"",INDEX('Policy Characteristics'!B:B,MATCH($C1390,'Policy Characteristics'!$C:$C,0)))</f>
        <v>Industry Energy Efficiency Standards</v>
      </c>
      <c r="C1390" s="254" t="str">
        <f t="shared" si="49"/>
        <v>Percentage Improvement in Eqpt Efficiency Standards above BAU</v>
      </c>
      <c r="D1390" s="6" t="s">
        <v>3071</v>
      </c>
      <c r="E1390" s="45" t="s">
        <v>2403</v>
      </c>
      <c r="F1390" t="s">
        <v>3034</v>
      </c>
      <c r="G1390" s="45" t="s">
        <v>2407</v>
      </c>
      <c r="H1390" s="43">
        <v>1062</v>
      </c>
      <c r="I1390" s="324" t="s">
        <v>43</v>
      </c>
      <c r="J1390" s="255" t="str">
        <f>IF(ISBLANK(INDEX('Policy Characteristics'!D:D,MATCH($C1390,'Policy Characteristics'!$C:$C,0))),"",INDEX('Policy Characteristics'!D:D,MATCH($C1390,'Policy Characteristics'!$C:$C,0)))</f>
        <v>Industry Energy Efficiency Standards</v>
      </c>
      <c r="K1390" s="254" t="str">
        <f>IF(ISBLANK(INDEX('Policy Characteristics'!E:E,MATCH($C1390,'Policy Characteristics'!$C:$C,0))),"",INDEX('Policy Characteristics'!E:E,MATCH($C1390,'Policy Characteristics'!$C:$C,0)))</f>
        <v>indst efficiency standards</v>
      </c>
      <c r="L1390" s="261">
        <f>IF(ISBLANK(INDEX('Policy Characteristics'!F:F,MATCH($C1390,'Policy Characteristics'!$C:$C,0))),"",INDEX('Policy Characteristics'!F:F,MATCH($C1390,'Policy Characteristics'!$C:$C,0)))</f>
        <v>0</v>
      </c>
      <c r="M1390" s="261">
        <f>IF(ISBLANK(INDEX('Policy Characteristics'!G:G,MATCH($C1390,'Policy Characteristics'!$C:$C,0))),"",INDEX('Policy Characteristics'!G:G,MATCH($C1390,'Policy Characteristics'!$C:$C,0)))</f>
        <v>0.25</v>
      </c>
      <c r="N1390" s="261">
        <f>IF(ISBLANK(INDEX('Policy Characteristics'!H:H,MATCH($C1390,'Policy Characteristics'!$C:$C,0))),"",INDEX('Policy Characteristics'!H:H,MATCH($C1390,'Policy Characteristics'!$C:$C,0)))</f>
        <v>0.01</v>
      </c>
      <c r="O1390" s="254" t="str">
        <f>IF(ISBLANK(INDEX('Policy Characteristics'!I:I,MATCH($C1390,'Policy Characteristics'!$C:$C,0))),"",INDEX('Policy Characteristics'!I:I,MATCH($C1390,'Policy Characteristics'!$C:$C,0)))</f>
        <v>% reduction in energy use</v>
      </c>
      <c r="P1390" s="254"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4" t="str">
        <f>IF(ISBLANK(INDEX('Policy Characteristics'!K:K,MATCH($C1390,'Policy Characteristics'!$C:$C,0))),"",INDEX('Policy Characteristics'!K:K,MATCH($C1390,'Policy Characteristics'!$C:$C,0)))</f>
        <v>industry-ag-main.html#eff-stds</v>
      </c>
      <c r="R1390" s="254" t="str">
        <f>IF(ISBLANK(INDEX('Policy Characteristics'!L:L,MATCH($C1390,'Policy Characteristics'!$C:$C,0))),"",INDEX('Policy Characteristics'!L:L,MATCH($C1390,'Policy Characteristics'!$C:$C,0)))</f>
        <v>industry-energy-efficiency-standards.html</v>
      </c>
    </row>
    <row r="1391" spans="1:18" s="4" customFormat="1" x14ac:dyDescent="0.3">
      <c r="A1391" s="254" t="str">
        <f>IF(ISBLANK(INDEX('Policy Characteristics'!A:A,MATCH($C1391,'Policy Characteristics'!$C:$C,0))),"",INDEX('Policy Characteristics'!A:A,MATCH($C1391,'Policy Characteristics'!$C:$C,0)))</f>
        <v>Industry</v>
      </c>
      <c r="B1391" s="262" t="str">
        <f>IF(ISBLANK(INDEX('Policy Characteristics'!B:B,MATCH($C1391,'Policy Characteristics'!$C:$C,0))),"",INDEX('Policy Characteristics'!B:B,MATCH($C1391,'Policy Characteristics'!$C:$C,0)))</f>
        <v>Industry Energy Efficiency Standards</v>
      </c>
      <c r="C1391" s="254" t="str">
        <f t="shared" si="49"/>
        <v>Percentage Improvement in Eqpt Efficiency Standards above BAU</v>
      </c>
      <c r="D1391" s="6" t="s">
        <v>3071</v>
      </c>
      <c r="E1391" s="45" t="s">
        <v>2404</v>
      </c>
      <c r="F1391" t="s">
        <v>3034</v>
      </c>
      <c r="G1391" s="45" t="s">
        <v>2410</v>
      </c>
      <c r="H1391" s="43">
        <v>1063</v>
      </c>
      <c r="I1391" s="324" t="s">
        <v>44</v>
      </c>
      <c r="J1391" s="255" t="str">
        <f>IF(ISBLANK(INDEX('Policy Characteristics'!D:D,MATCH($C1391,'Policy Characteristics'!$C:$C,0))),"",INDEX('Policy Characteristics'!D:D,MATCH($C1391,'Policy Characteristics'!$C:$C,0)))</f>
        <v>Industry Energy Efficiency Standards</v>
      </c>
      <c r="K1391" s="254" t="str">
        <f>IF(ISBLANK(INDEX('Policy Characteristics'!E:E,MATCH($C1391,'Policy Characteristics'!$C:$C,0))),"",INDEX('Policy Characteristics'!E:E,MATCH($C1391,'Policy Characteristics'!$C:$C,0)))</f>
        <v>indst efficiency standards</v>
      </c>
      <c r="L1391" s="261">
        <f>IF(ISBLANK(INDEX('Policy Characteristics'!F:F,MATCH($C1391,'Policy Characteristics'!$C:$C,0))),"",INDEX('Policy Characteristics'!F:F,MATCH($C1391,'Policy Characteristics'!$C:$C,0)))</f>
        <v>0</v>
      </c>
      <c r="M1391" s="261">
        <f>IF(ISBLANK(INDEX('Policy Characteristics'!G:G,MATCH($C1391,'Policy Characteristics'!$C:$C,0))),"",INDEX('Policy Characteristics'!G:G,MATCH($C1391,'Policy Characteristics'!$C:$C,0)))</f>
        <v>0.25</v>
      </c>
      <c r="N1391" s="261">
        <f>IF(ISBLANK(INDEX('Policy Characteristics'!H:H,MATCH($C1391,'Policy Characteristics'!$C:$C,0))),"",INDEX('Policy Characteristics'!H:H,MATCH($C1391,'Policy Characteristics'!$C:$C,0)))</f>
        <v>0.01</v>
      </c>
      <c r="O1391" s="254" t="str">
        <f>IF(ISBLANK(INDEX('Policy Characteristics'!I:I,MATCH($C1391,'Policy Characteristics'!$C:$C,0))),"",INDEX('Policy Characteristics'!I:I,MATCH($C1391,'Policy Characteristics'!$C:$C,0)))</f>
        <v>% reduction in energy use</v>
      </c>
      <c r="P1391" s="254"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4" t="str">
        <f>IF(ISBLANK(INDEX('Policy Characteristics'!K:K,MATCH($C1391,'Policy Characteristics'!$C:$C,0))),"",INDEX('Policy Characteristics'!K:K,MATCH($C1391,'Policy Characteristics'!$C:$C,0)))</f>
        <v>industry-ag-main.html#eff-stds</v>
      </c>
      <c r="R1391" s="254" t="str">
        <f>IF(ISBLANK(INDEX('Policy Characteristics'!L:L,MATCH($C1391,'Policy Characteristics'!$C:$C,0))),"",INDEX('Policy Characteristics'!L:L,MATCH($C1391,'Policy Characteristics'!$C:$C,0)))</f>
        <v>industry-energy-efficiency-standards.html</v>
      </c>
    </row>
    <row r="1392" spans="1:18" s="4" customFormat="1" x14ac:dyDescent="0.3">
      <c r="A1392" s="254" t="str">
        <f>IF(ISBLANK(INDEX('Policy Characteristics'!A:A,MATCH($C1392,'Policy Characteristics'!$C:$C,0))),"",INDEX('Policy Characteristics'!A:A,MATCH($C1392,'Policy Characteristics'!$C:$C,0)))</f>
        <v>Industry</v>
      </c>
      <c r="B1392" s="262" t="str">
        <f>IF(ISBLANK(INDEX('Policy Characteristics'!B:B,MATCH($C1392,'Policy Characteristics'!$C:$C,0))),"",INDEX('Policy Characteristics'!B:B,MATCH($C1392,'Policy Characteristics'!$C:$C,0)))</f>
        <v>Industry Energy Efficiency Standards</v>
      </c>
      <c r="C1392" s="254" t="str">
        <f t="shared" si="49"/>
        <v>Percentage Improvement in Eqpt Efficiency Standards above BAU</v>
      </c>
      <c r="D1392" s="6" t="s">
        <v>3071</v>
      </c>
      <c r="E1392" s="45" t="s">
        <v>2706</v>
      </c>
      <c r="F1392" t="s">
        <v>3034</v>
      </c>
      <c r="G1392" s="45" t="s">
        <v>2709</v>
      </c>
      <c r="H1392" s="43">
        <v>1064</v>
      </c>
      <c r="I1392" s="324" t="s">
        <v>44</v>
      </c>
      <c r="J1392" s="255" t="str">
        <f>IF(ISBLANK(INDEX('Policy Characteristics'!D:D,MATCH($C1392,'Policy Characteristics'!$C:$C,0))),"",INDEX('Policy Characteristics'!D:D,MATCH($C1392,'Policy Characteristics'!$C:$C,0)))</f>
        <v>Industry Energy Efficiency Standards</v>
      </c>
      <c r="K1392" s="254" t="str">
        <f>IF(ISBLANK(INDEX('Policy Characteristics'!E:E,MATCH($C1392,'Policy Characteristics'!$C:$C,0))),"",INDEX('Policy Characteristics'!E:E,MATCH($C1392,'Policy Characteristics'!$C:$C,0)))</f>
        <v>indst efficiency standards</v>
      </c>
      <c r="L1392" s="261">
        <f>IF(ISBLANK(INDEX('Policy Characteristics'!F:F,MATCH($C1392,'Policy Characteristics'!$C:$C,0))),"",INDEX('Policy Characteristics'!F:F,MATCH($C1392,'Policy Characteristics'!$C:$C,0)))</f>
        <v>0</v>
      </c>
      <c r="M1392" s="261">
        <f>IF(ISBLANK(INDEX('Policy Characteristics'!G:G,MATCH($C1392,'Policy Characteristics'!$C:$C,0))),"",INDEX('Policy Characteristics'!G:G,MATCH($C1392,'Policy Characteristics'!$C:$C,0)))</f>
        <v>0.25</v>
      </c>
      <c r="N1392" s="261">
        <f>IF(ISBLANK(INDEX('Policy Characteristics'!H:H,MATCH($C1392,'Policy Characteristics'!$C:$C,0))),"",INDEX('Policy Characteristics'!H:H,MATCH($C1392,'Policy Characteristics'!$C:$C,0)))</f>
        <v>0.01</v>
      </c>
      <c r="O1392" s="254" t="str">
        <f>IF(ISBLANK(INDEX('Policy Characteristics'!I:I,MATCH($C1392,'Policy Characteristics'!$C:$C,0))),"",INDEX('Policy Characteristics'!I:I,MATCH($C1392,'Policy Characteristics'!$C:$C,0)))</f>
        <v>% reduction in energy use</v>
      </c>
      <c r="P1392" s="254"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4" t="str">
        <f>IF(ISBLANK(INDEX('Policy Characteristics'!K:K,MATCH($C1392,'Policy Characteristics'!$C:$C,0))),"",INDEX('Policy Characteristics'!K:K,MATCH($C1392,'Policy Characteristics'!$C:$C,0)))</f>
        <v>industry-ag-main.html#eff-stds</v>
      </c>
      <c r="R1392" s="254" t="str">
        <f>IF(ISBLANK(INDEX('Policy Characteristics'!L:L,MATCH($C1392,'Policy Characteristics'!$C:$C,0))),"",INDEX('Policy Characteristics'!L:L,MATCH($C1392,'Policy Characteristics'!$C:$C,0)))</f>
        <v>industry-energy-efficiency-standards.html</v>
      </c>
    </row>
    <row r="1393" spans="1:18" s="4" customFormat="1" x14ac:dyDescent="0.3">
      <c r="A1393" s="254" t="str">
        <f>IF(ISBLANK(INDEX('Policy Characteristics'!A:A,MATCH($C1393,'Policy Characteristics'!$C:$C,0))),"",INDEX('Policy Characteristics'!A:A,MATCH($C1393,'Policy Characteristics'!$C:$C,0)))</f>
        <v>Industry</v>
      </c>
      <c r="B1393" s="262" t="str">
        <f>IF(ISBLANK(INDEX('Policy Characteristics'!B:B,MATCH($C1393,'Policy Characteristics'!$C:$C,0))),"",INDEX('Policy Characteristics'!B:B,MATCH($C1393,'Policy Characteristics'!$C:$C,0)))</f>
        <v>Industry Energy Efficiency Standards</v>
      </c>
      <c r="C1393" s="254" t="str">
        <f t="shared" si="49"/>
        <v>Percentage Improvement in Eqpt Efficiency Standards above BAU</v>
      </c>
      <c r="D1393" s="6" t="s">
        <v>3071</v>
      </c>
      <c r="E1393" s="45" t="s">
        <v>2707</v>
      </c>
      <c r="F1393" t="s">
        <v>3034</v>
      </c>
      <c r="G1393" s="45" t="s">
        <v>2711</v>
      </c>
      <c r="H1393" s="43">
        <v>1065</v>
      </c>
      <c r="I1393" s="324" t="s">
        <v>44</v>
      </c>
      <c r="J1393" s="255" t="str">
        <f>IF(ISBLANK(INDEX('Policy Characteristics'!D:D,MATCH($C1393,'Policy Characteristics'!$C:$C,0))),"",INDEX('Policy Characteristics'!D:D,MATCH($C1393,'Policy Characteristics'!$C:$C,0)))</f>
        <v>Industry Energy Efficiency Standards</v>
      </c>
      <c r="K1393" s="254" t="str">
        <f>IF(ISBLANK(INDEX('Policy Characteristics'!E:E,MATCH($C1393,'Policy Characteristics'!$C:$C,0))),"",INDEX('Policy Characteristics'!E:E,MATCH($C1393,'Policy Characteristics'!$C:$C,0)))</f>
        <v>indst efficiency standards</v>
      </c>
      <c r="L1393" s="261">
        <f>IF(ISBLANK(INDEX('Policy Characteristics'!F:F,MATCH($C1393,'Policy Characteristics'!$C:$C,0))),"",INDEX('Policy Characteristics'!F:F,MATCH($C1393,'Policy Characteristics'!$C:$C,0)))</f>
        <v>0</v>
      </c>
      <c r="M1393" s="261">
        <f>IF(ISBLANK(INDEX('Policy Characteristics'!G:G,MATCH($C1393,'Policy Characteristics'!$C:$C,0))),"",INDEX('Policy Characteristics'!G:G,MATCH($C1393,'Policy Characteristics'!$C:$C,0)))</f>
        <v>0.25</v>
      </c>
      <c r="N1393" s="261">
        <f>IF(ISBLANK(INDEX('Policy Characteristics'!H:H,MATCH($C1393,'Policy Characteristics'!$C:$C,0))),"",INDEX('Policy Characteristics'!H:H,MATCH($C1393,'Policy Characteristics'!$C:$C,0)))</f>
        <v>0.01</v>
      </c>
      <c r="O1393" s="254" t="str">
        <f>IF(ISBLANK(INDEX('Policy Characteristics'!I:I,MATCH($C1393,'Policy Characteristics'!$C:$C,0))),"",INDEX('Policy Characteristics'!I:I,MATCH($C1393,'Policy Characteristics'!$C:$C,0)))</f>
        <v>% reduction in energy use</v>
      </c>
      <c r="P1393" s="254"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4" t="str">
        <f>IF(ISBLANK(INDEX('Policy Characteristics'!K:K,MATCH($C1393,'Policy Characteristics'!$C:$C,0))),"",INDEX('Policy Characteristics'!K:K,MATCH($C1393,'Policy Characteristics'!$C:$C,0)))</f>
        <v>industry-ag-main.html#eff-stds</v>
      </c>
      <c r="R1393" s="254" t="str">
        <f>IF(ISBLANK(INDEX('Policy Characteristics'!L:L,MATCH($C1393,'Policy Characteristics'!$C:$C,0))),"",INDEX('Policy Characteristics'!L:L,MATCH($C1393,'Policy Characteristics'!$C:$C,0)))</f>
        <v>industry-energy-efficiency-standards.html</v>
      </c>
    </row>
    <row r="1394" spans="1:18" s="4" customFormat="1" x14ac:dyDescent="0.3">
      <c r="A1394" s="254" t="str">
        <f>IF(ISBLANK(INDEX('Policy Characteristics'!A:A,MATCH($C1394,'Policy Characteristics'!$C:$C,0))),"",INDEX('Policy Characteristics'!A:A,MATCH($C1394,'Policy Characteristics'!$C:$C,0)))</f>
        <v>Industry</v>
      </c>
      <c r="B1394" s="262" t="str">
        <f>IF(ISBLANK(INDEX('Policy Characteristics'!B:B,MATCH($C1394,'Policy Characteristics'!$C:$C,0))),"",INDEX('Policy Characteristics'!B:B,MATCH($C1394,'Policy Characteristics'!$C:$C,0)))</f>
        <v>Industry Energy Efficiency Standards</v>
      </c>
      <c r="C1394" s="254" t="str">
        <f t="shared" si="49"/>
        <v>Percentage Improvement in Eqpt Efficiency Standards above BAU</v>
      </c>
      <c r="D1394" s="6" t="s">
        <v>3071</v>
      </c>
      <c r="E1394" s="45" t="s">
        <v>2708</v>
      </c>
      <c r="F1394" t="s">
        <v>3034</v>
      </c>
      <c r="G1394" s="45" t="s">
        <v>2712</v>
      </c>
      <c r="H1394" s="43">
        <v>1066</v>
      </c>
      <c r="I1394" s="324" t="s">
        <v>43</v>
      </c>
      <c r="J1394" s="255" t="str">
        <f>IF(ISBLANK(INDEX('Policy Characteristics'!D:D,MATCH($C1394,'Policy Characteristics'!$C:$C,0))),"",INDEX('Policy Characteristics'!D:D,MATCH($C1394,'Policy Characteristics'!$C:$C,0)))</f>
        <v>Industry Energy Efficiency Standards</v>
      </c>
      <c r="K1394" s="254" t="str">
        <f>IF(ISBLANK(INDEX('Policy Characteristics'!E:E,MATCH($C1394,'Policy Characteristics'!$C:$C,0))),"",INDEX('Policy Characteristics'!E:E,MATCH($C1394,'Policy Characteristics'!$C:$C,0)))</f>
        <v>indst efficiency standards</v>
      </c>
      <c r="L1394" s="261">
        <f>IF(ISBLANK(INDEX('Policy Characteristics'!F:F,MATCH($C1394,'Policy Characteristics'!$C:$C,0))),"",INDEX('Policy Characteristics'!F:F,MATCH($C1394,'Policy Characteristics'!$C:$C,0)))</f>
        <v>0</v>
      </c>
      <c r="M1394" s="261">
        <f>IF(ISBLANK(INDEX('Policy Characteristics'!G:G,MATCH($C1394,'Policy Characteristics'!$C:$C,0))),"",INDEX('Policy Characteristics'!G:G,MATCH($C1394,'Policy Characteristics'!$C:$C,0)))</f>
        <v>0.25</v>
      </c>
      <c r="N1394" s="261">
        <f>IF(ISBLANK(INDEX('Policy Characteristics'!H:H,MATCH($C1394,'Policy Characteristics'!$C:$C,0))),"",INDEX('Policy Characteristics'!H:H,MATCH($C1394,'Policy Characteristics'!$C:$C,0)))</f>
        <v>0.01</v>
      </c>
      <c r="O1394" s="254" t="str">
        <f>IF(ISBLANK(INDEX('Policy Characteristics'!I:I,MATCH($C1394,'Policy Characteristics'!$C:$C,0))),"",INDEX('Policy Characteristics'!I:I,MATCH($C1394,'Policy Characteristics'!$C:$C,0)))</f>
        <v>% reduction in energy use</v>
      </c>
      <c r="P1394" s="254"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4" t="str">
        <f>IF(ISBLANK(INDEX('Policy Characteristics'!K:K,MATCH($C1394,'Policy Characteristics'!$C:$C,0))),"",INDEX('Policy Characteristics'!K:K,MATCH($C1394,'Policy Characteristics'!$C:$C,0)))</f>
        <v>industry-ag-main.html#eff-stds</v>
      </c>
      <c r="R1394" s="254" t="str">
        <f>IF(ISBLANK(INDEX('Policy Characteristics'!L:L,MATCH($C1394,'Policy Characteristics'!$C:$C,0))),"",INDEX('Policy Characteristics'!L:L,MATCH($C1394,'Policy Characteristics'!$C:$C,0)))</f>
        <v>industry-energy-efficiency-standards.html</v>
      </c>
    </row>
    <row r="1395" spans="1:18" s="4" customFormat="1" x14ac:dyDescent="0.3">
      <c r="A1395" s="254" t="str">
        <f>IF(ISBLANK(INDEX('Policy Characteristics'!A:A,MATCH($C1395,'Policy Characteristics'!$C:$C,0))),"",INDEX('Policy Characteristics'!A:A,MATCH($C1395,'Policy Characteristics'!$C:$C,0)))</f>
        <v>Industry</v>
      </c>
      <c r="B1395" s="262" t="str">
        <f>IF(ISBLANK(INDEX('Policy Characteristics'!B:B,MATCH($C1395,'Policy Characteristics'!$C:$C,0))),"",INDEX('Policy Characteristics'!B:B,MATCH($C1395,'Policy Characteristics'!$C:$C,0)))</f>
        <v>Industry Energy Efficiency Standards</v>
      </c>
      <c r="C1395" s="254" t="str">
        <f t="shared" si="49"/>
        <v>Percentage Improvement in Eqpt Efficiency Standards above BAU</v>
      </c>
      <c r="D1395" s="6" t="s">
        <v>3071</v>
      </c>
      <c r="E1395" s="45" t="s">
        <v>2705</v>
      </c>
      <c r="F1395" t="s">
        <v>3034</v>
      </c>
      <c r="G1395" s="45" t="s">
        <v>2710</v>
      </c>
      <c r="H1395" s="43">
        <v>1067</v>
      </c>
      <c r="I1395" s="324" t="s">
        <v>44</v>
      </c>
      <c r="J1395" s="255" t="str">
        <f>IF(ISBLANK(INDEX('Policy Characteristics'!D:D,MATCH($C1395,'Policy Characteristics'!$C:$C,0))),"",INDEX('Policy Characteristics'!D:D,MATCH($C1395,'Policy Characteristics'!$C:$C,0)))</f>
        <v>Industry Energy Efficiency Standards</v>
      </c>
      <c r="K1395" s="254" t="str">
        <f>IF(ISBLANK(INDEX('Policy Characteristics'!E:E,MATCH($C1395,'Policy Characteristics'!$C:$C,0))),"",INDEX('Policy Characteristics'!E:E,MATCH($C1395,'Policy Characteristics'!$C:$C,0)))</f>
        <v>indst efficiency standards</v>
      </c>
      <c r="L1395" s="261">
        <f>IF(ISBLANK(INDEX('Policy Characteristics'!F:F,MATCH($C1395,'Policy Characteristics'!$C:$C,0))),"",INDEX('Policy Characteristics'!F:F,MATCH($C1395,'Policy Characteristics'!$C:$C,0)))</f>
        <v>0</v>
      </c>
      <c r="M1395" s="261">
        <f>IF(ISBLANK(INDEX('Policy Characteristics'!G:G,MATCH($C1395,'Policy Characteristics'!$C:$C,0))),"",INDEX('Policy Characteristics'!G:G,MATCH($C1395,'Policy Characteristics'!$C:$C,0)))</f>
        <v>0.25</v>
      </c>
      <c r="N1395" s="261">
        <f>IF(ISBLANK(INDEX('Policy Characteristics'!H:H,MATCH($C1395,'Policy Characteristics'!$C:$C,0))),"",INDEX('Policy Characteristics'!H:H,MATCH($C1395,'Policy Characteristics'!$C:$C,0)))</f>
        <v>0.01</v>
      </c>
      <c r="O1395" s="254" t="str">
        <f>IF(ISBLANK(INDEX('Policy Characteristics'!I:I,MATCH($C1395,'Policy Characteristics'!$C:$C,0))),"",INDEX('Policy Characteristics'!I:I,MATCH($C1395,'Policy Characteristics'!$C:$C,0)))</f>
        <v>% reduction in energy use</v>
      </c>
      <c r="P1395" s="254"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4" t="str">
        <f>IF(ISBLANK(INDEX('Policy Characteristics'!K:K,MATCH($C1395,'Policy Characteristics'!$C:$C,0))),"",INDEX('Policy Characteristics'!K:K,MATCH($C1395,'Policy Characteristics'!$C:$C,0)))</f>
        <v>industry-ag-main.html#eff-stds</v>
      </c>
      <c r="R1395" s="254" t="str">
        <f>IF(ISBLANK(INDEX('Policy Characteristics'!L:L,MATCH($C1395,'Policy Characteristics'!$C:$C,0))),"",INDEX('Policy Characteristics'!L:L,MATCH($C1395,'Policy Characteristics'!$C:$C,0)))</f>
        <v>industry-energy-efficiency-standards.html</v>
      </c>
    </row>
    <row r="1396" spans="1:18" s="4" customFormat="1" x14ac:dyDescent="0.3">
      <c r="A1396" s="254" t="str">
        <f>IF(ISBLANK(INDEX('Policy Characteristics'!A:A,MATCH($C1396,'Policy Characteristics'!$C:$C,0))),"",INDEX('Policy Characteristics'!A:A,MATCH($C1396,'Policy Characteristics'!$C:$C,0)))</f>
        <v>Industry</v>
      </c>
      <c r="B1396" s="262" t="str">
        <f>IF(ISBLANK(INDEX('Policy Characteristics'!B:B,MATCH($C1396,'Policy Characteristics'!$C:$C,0))),"",INDEX('Policy Characteristics'!B:B,MATCH($C1396,'Policy Characteristics'!$C:$C,0)))</f>
        <v>Industry Energy Efficiency Standards</v>
      </c>
      <c r="C1396" s="254" t="str">
        <f t="shared" si="49"/>
        <v>Percentage Improvement in Eqpt Efficiency Standards above BAU</v>
      </c>
      <c r="D1396" s="6" t="s">
        <v>3072</v>
      </c>
      <c r="E1396" s="45" t="s">
        <v>2399</v>
      </c>
      <c r="F1396" t="s">
        <v>3035</v>
      </c>
      <c r="G1396" s="45" t="s">
        <v>2405</v>
      </c>
      <c r="H1396" s="43">
        <v>1068</v>
      </c>
      <c r="I1396" s="324" t="s">
        <v>43</v>
      </c>
      <c r="J1396" s="255" t="str">
        <f>IF(ISBLANK(INDEX('Policy Characteristics'!D:D,MATCH($C1396,'Policy Characteristics'!$C:$C,0))),"",INDEX('Policy Characteristics'!D:D,MATCH($C1396,'Policy Characteristics'!$C:$C,0)))</f>
        <v>Industry Energy Efficiency Standards</v>
      </c>
      <c r="K1396" s="254" t="str">
        <f>IF(ISBLANK(INDEX('Policy Characteristics'!E:E,MATCH($C1396,'Policy Characteristics'!$C:$C,0))),"",INDEX('Policy Characteristics'!E:E,MATCH($C1396,'Policy Characteristics'!$C:$C,0)))</f>
        <v>indst efficiency standards</v>
      </c>
      <c r="L1396" s="261">
        <f>IF(ISBLANK(INDEX('Policy Characteristics'!F:F,MATCH($C1396,'Policy Characteristics'!$C:$C,0))),"",INDEX('Policy Characteristics'!F:F,MATCH($C1396,'Policy Characteristics'!$C:$C,0)))</f>
        <v>0</v>
      </c>
      <c r="M1396" s="261">
        <f>IF(ISBLANK(INDEX('Policy Characteristics'!G:G,MATCH($C1396,'Policy Characteristics'!$C:$C,0))),"",INDEX('Policy Characteristics'!G:G,MATCH($C1396,'Policy Characteristics'!$C:$C,0)))</f>
        <v>0.25</v>
      </c>
      <c r="N1396" s="261">
        <f>IF(ISBLANK(INDEX('Policy Characteristics'!H:H,MATCH($C1396,'Policy Characteristics'!$C:$C,0))),"",INDEX('Policy Characteristics'!H:H,MATCH($C1396,'Policy Characteristics'!$C:$C,0)))</f>
        <v>0.01</v>
      </c>
      <c r="O1396" s="254" t="str">
        <f>IF(ISBLANK(INDEX('Policy Characteristics'!I:I,MATCH($C1396,'Policy Characteristics'!$C:$C,0))),"",INDEX('Policy Characteristics'!I:I,MATCH($C1396,'Policy Characteristics'!$C:$C,0)))</f>
        <v>% reduction in energy use</v>
      </c>
      <c r="P1396" s="254"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4" t="str">
        <f>IF(ISBLANK(INDEX('Policy Characteristics'!K:K,MATCH($C1396,'Policy Characteristics'!$C:$C,0))),"",INDEX('Policy Characteristics'!K:K,MATCH($C1396,'Policy Characteristics'!$C:$C,0)))</f>
        <v>industry-ag-main.html#eff-stds</v>
      </c>
      <c r="R1396" s="254" t="str">
        <f>IF(ISBLANK(INDEX('Policy Characteristics'!L:L,MATCH($C1396,'Policy Characteristics'!$C:$C,0))),"",INDEX('Policy Characteristics'!L:L,MATCH($C1396,'Policy Characteristics'!$C:$C,0)))</f>
        <v>industry-energy-efficiency-standards.html</v>
      </c>
    </row>
    <row r="1397" spans="1:18" s="4" customFormat="1" x14ac:dyDescent="0.3">
      <c r="A1397" s="254" t="str">
        <f>IF(ISBLANK(INDEX('Policy Characteristics'!A:A,MATCH($C1397,'Policy Characteristics'!$C:$C,0))),"",INDEX('Policy Characteristics'!A:A,MATCH($C1397,'Policy Characteristics'!$C:$C,0)))</f>
        <v>Industry</v>
      </c>
      <c r="B1397" s="262" t="str">
        <f>IF(ISBLANK(INDEX('Policy Characteristics'!B:B,MATCH($C1397,'Policy Characteristics'!$C:$C,0))),"",INDEX('Policy Characteristics'!B:B,MATCH($C1397,'Policy Characteristics'!$C:$C,0)))</f>
        <v>Industry Energy Efficiency Standards</v>
      </c>
      <c r="C1397" s="254" t="str">
        <f t="shared" si="49"/>
        <v>Percentage Improvement in Eqpt Efficiency Standards above BAU</v>
      </c>
      <c r="D1397" s="6" t="s">
        <v>3072</v>
      </c>
      <c r="E1397" s="45" t="s">
        <v>2400</v>
      </c>
      <c r="F1397" t="s">
        <v>3035</v>
      </c>
      <c r="G1397" s="45" t="s">
        <v>2408</v>
      </c>
      <c r="H1397" s="43">
        <v>1069</v>
      </c>
      <c r="I1397" s="324" t="s">
        <v>44</v>
      </c>
      <c r="J1397" s="255" t="str">
        <f>IF(ISBLANK(INDEX('Policy Characteristics'!D:D,MATCH($C1397,'Policy Characteristics'!$C:$C,0))),"",INDEX('Policy Characteristics'!D:D,MATCH($C1397,'Policy Characteristics'!$C:$C,0)))</f>
        <v>Industry Energy Efficiency Standards</v>
      </c>
      <c r="K1397" s="254" t="str">
        <f>IF(ISBLANK(INDEX('Policy Characteristics'!E:E,MATCH($C1397,'Policy Characteristics'!$C:$C,0))),"",INDEX('Policy Characteristics'!E:E,MATCH($C1397,'Policy Characteristics'!$C:$C,0)))</f>
        <v>indst efficiency standards</v>
      </c>
      <c r="L1397" s="261">
        <f>IF(ISBLANK(INDEX('Policy Characteristics'!F:F,MATCH($C1397,'Policy Characteristics'!$C:$C,0))),"",INDEX('Policy Characteristics'!F:F,MATCH($C1397,'Policy Characteristics'!$C:$C,0)))</f>
        <v>0</v>
      </c>
      <c r="M1397" s="261">
        <f>IF(ISBLANK(INDEX('Policy Characteristics'!G:G,MATCH($C1397,'Policy Characteristics'!$C:$C,0))),"",INDEX('Policy Characteristics'!G:G,MATCH($C1397,'Policy Characteristics'!$C:$C,0)))</f>
        <v>0.25</v>
      </c>
      <c r="N1397" s="261">
        <f>IF(ISBLANK(INDEX('Policy Characteristics'!H:H,MATCH($C1397,'Policy Characteristics'!$C:$C,0))),"",INDEX('Policy Characteristics'!H:H,MATCH($C1397,'Policy Characteristics'!$C:$C,0)))</f>
        <v>0.01</v>
      </c>
      <c r="O1397" s="254" t="str">
        <f>IF(ISBLANK(INDEX('Policy Characteristics'!I:I,MATCH($C1397,'Policy Characteristics'!$C:$C,0))),"",INDEX('Policy Characteristics'!I:I,MATCH($C1397,'Policy Characteristics'!$C:$C,0)))</f>
        <v>% reduction in energy use</v>
      </c>
      <c r="P1397" s="254"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4" t="str">
        <f>IF(ISBLANK(INDEX('Policy Characteristics'!K:K,MATCH($C1397,'Policy Characteristics'!$C:$C,0))),"",INDEX('Policy Characteristics'!K:K,MATCH($C1397,'Policy Characteristics'!$C:$C,0)))</f>
        <v>industry-ag-main.html#eff-stds</v>
      </c>
      <c r="R1397" s="254" t="str">
        <f>IF(ISBLANK(INDEX('Policy Characteristics'!L:L,MATCH($C1397,'Policy Characteristics'!$C:$C,0))),"",INDEX('Policy Characteristics'!L:L,MATCH($C1397,'Policy Characteristics'!$C:$C,0)))</f>
        <v>industry-energy-efficiency-standards.html</v>
      </c>
    </row>
    <row r="1398" spans="1:18" s="4" customFormat="1" x14ac:dyDescent="0.3">
      <c r="A1398" s="254" t="str">
        <f>IF(ISBLANK(INDEX('Policy Characteristics'!A:A,MATCH($C1398,'Policy Characteristics'!$C:$C,0))),"",INDEX('Policy Characteristics'!A:A,MATCH($C1398,'Policy Characteristics'!$C:$C,0)))</f>
        <v>Industry</v>
      </c>
      <c r="B1398" s="262" t="str">
        <f>IF(ISBLANK(INDEX('Policy Characteristics'!B:B,MATCH($C1398,'Policy Characteristics'!$C:$C,0))),"",INDEX('Policy Characteristics'!B:B,MATCH($C1398,'Policy Characteristics'!$C:$C,0)))</f>
        <v>Industry Energy Efficiency Standards</v>
      </c>
      <c r="C1398" s="254" t="str">
        <f t="shared" si="49"/>
        <v>Percentage Improvement in Eqpt Efficiency Standards above BAU</v>
      </c>
      <c r="D1398" s="6" t="s">
        <v>3072</v>
      </c>
      <c r="E1398" s="45" t="s">
        <v>2401</v>
      </c>
      <c r="F1398" t="s">
        <v>3035</v>
      </c>
      <c r="G1398" s="45" t="s">
        <v>2409</v>
      </c>
      <c r="H1398" s="43">
        <v>1070</v>
      </c>
      <c r="I1398" s="324" t="s">
        <v>43</v>
      </c>
      <c r="J1398" s="255" t="str">
        <f>IF(ISBLANK(INDEX('Policy Characteristics'!D:D,MATCH($C1398,'Policy Characteristics'!$C:$C,0))),"",INDEX('Policy Characteristics'!D:D,MATCH($C1398,'Policy Characteristics'!$C:$C,0)))</f>
        <v>Industry Energy Efficiency Standards</v>
      </c>
      <c r="K1398" s="254" t="str">
        <f>IF(ISBLANK(INDEX('Policy Characteristics'!E:E,MATCH($C1398,'Policy Characteristics'!$C:$C,0))),"",INDEX('Policy Characteristics'!E:E,MATCH($C1398,'Policy Characteristics'!$C:$C,0)))</f>
        <v>indst efficiency standards</v>
      </c>
      <c r="L1398" s="261">
        <f>IF(ISBLANK(INDEX('Policy Characteristics'!F:F,MATCH($C1398,'Policy Characteristics'!$C:$C,0))),"",INDEX('Policy Characteristics'!F:F,MATCH($C1398,'Policy Characteristics'!$C:$C,0)))</f>
        <v>0</v>
      </c>
      <c r="M1398" s="261">
        <f>IF(ISBLANK(INDEX('Policy Characteristics'!G:G,MATCH($C1398,'Policy Characteristics'!$C:$C,0))),"",INDEX('Policy Characteristics'!G:G,MATCH($C1398,'Policy Characteristics'!$C:$C,0)))</f>
        <v>0.25</v>
      </c>
      <c r="N1398" s="261">
        <f>IF(ISBLANK(INDEX('Policy Characteristics'!H:H,MATCH($C1398,'Policy Characteristics'!$C:$C,0))),"",INDEX('Policy Characteristics'!H:H,MATCH($C1398,'Policy Characteristics'!$C:$C,0)))</f>
        <v>0.01</v>
      </c>
      <c r="O1398" s="254" t="str">
        <f>IF(ISBLANK(INDEX('Policy Characteristics'!I:I,MATCH($C1398,'Policy Characteristics'!$C:$C,0))),"",INDEX('Policy Characteristics'!I:I,MATCH($C1398,'Policy Characteristics'!$C:$C,0)))</f>
        <v>% reduction in energy use</v>
      </c>
      <c r="P1398" s="254"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4" t="str">
        <f>IF(ISBLANK(INDEX('Policy Characteristics'!K:K,MATCH($C1398,'Policy Characteristics'!$C:$C,0))),"",INDEX('Policy Characteristics'!K:K,MATCH($C1398,'Policy Characteristics'!$C:$C,0)))</f>
        <v>industry-ag-main.html#eff-stds</v>
      </c>
      <c r="R1398" s="254" t="str">
        <f>IF(ISBLANK(INDEX('Policy Characteristics'!L:L,MATCH($C1398,'Policy Characteristics'!$C:$C,0))),"",INDEX('Policy Characteristics'!L:L,MATCH($C1398,'Policy Characteristics'!$C:$C,0)))</f>
        <v>industry-energy-efficiency-standards.html</v>
      </c>
    </row>
    <row r="1399" spans="1:18" s="4" customFormat="1" x14ac:dyDescent="0.3">
      <c r="A1399" s="254" t="str">
        <f>IF(ISBLANK(INDEX('Policy Characteristics'!A:A,MATCH($C1399,'Policy Characteristics'!$C:$C,0))),"",INDEX('Policy Characteristics'!A:A,MATCH($C1399,'Policy Characteristics'!$C:$C,0)))</f>
        <v>Industry</v>
      </c>
      <c r="B1399" s="262" t="str">
        <f>IF(ISBLANK(INDEX('Policy Characteristics'!B:B,MATCH($C1399,'Policy Characteristics'!$C:$C,0))),"",INDEX('Policy Characteristics'!B:B,MATCH($C1399,'Policy Characteristics'!$C:$C,0)))</f>
        <v>Industry Energy Efficiency Standards</v>
      </c>
      <c r="C1399" s="254" t="str">
        <f t="shared" si="49"/>
        <v>Percentage Improvement in Eqpt Efficiency Standards above BAU</v>
      </c>
      <c r="D1399" s="6" t="s">
        <v>3072</v>
      </c>
      <c r="E1399" s="45" t="s">
        <v>2402</v>
      </c>
      <c r="F1399" t="s">
        <v>3035</v>
      </c>
      <c r="G1399" s="45" t="s">
        <v>2406</v>
      </c>
      <c r="H1399" s="43">
        <v>1071</v>
      </c>
      <c r="I1399" s="324" t="s">
        <v>44</v>
      </c>
      <c r="J1399" s="255" t="str">
        <f>IF(ISBLANK(INDEX('Policy Characteristics'!D:D,MATCH($C1399,'Policy Characteristics'!$C:$C,0))),"",INDEX('Policy Characteristics'!D:D,MATCH($C1399,'Policy Characteristics'!$C:$C,0)))</f>
        <v>Industry Energy Efficiency Standards</v>
      </c>
      <c r="K1399" s="254" t="str">
        <f>IF(ISBLANK(INDEX('Policy Characteristics'!E:E,MATCH($C1399,'Policy Characteristics'!$C:$C,0))),"",INDEX('Policy Characteristics'!E:E,MATCH($C1399,'Policy Characteristics'!$C:$C,0)))</f>
        <v>indst efficiency standards</v>
      </c>
      <c r="L1399" s="261">
        <f>IF(ISBLANK(INDEX('Policy Characteristics'!F:F,MATCH($C1399,'Policy Characteristics'!$C:$C,0))),"",INDEX('Policy Characteristics'!F:F,MATCH($C1399,'Policy Characteristics'!$C:$C,0)))</f>
        <v>0</v>
      </c>
      <c r="M1399" s="261">
        <f>IF(ISBLANK(INDEX('Policy Characteristics'!G:G,MATCH($C1399,'Policy Characteristics'!$C:$C,0))),"",INDEX('Policy Characteristics'!G:G,MATCH($C1399,'Policy Characteristics'!$C:$C,0)))</f>
        <v>0.25</v>
      </c>
      <c r="N1399" s="261">
        <f>IF(ISBLANK(INDEX('Policy Characteristics'!H:H,MATCH($C1399,'Policy Characteristics'!$C:$C,0))),"",INDEX('Policy Characteristics'!H:H,MATCH($C1399,'Policy Characteristics'!$C:$C,0)))</f>
        <v>0.01</v>
      </c>
      <c r="O1399" s="254" t="str">
        <f>IF(ISBLANK(INDEX('Policy Characteristics'!I:I,MATCH($C1399,'Policy Characteristics'!$C:$C,0))),"",INDEX('Policy Characteristics'!I:I,MATCH($C1399,'Policy Characteristics'!$C:$C,0)))</f>
        <v>% reduction in energy use</v>
      </c>
      <c r="P1399" s="254"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4" t="str">
        <f>IF(ISBLANK(INDEX('Policy Characteristics'!K:K,MATCH($C1399,'Policy Characteristics'!$C:$C,0))),"",INDEX('Policy Characteristics'!K:K,MATCH($C1399,'Policy Characteristics'!$C:$C,0)))</f>
        <v>industry-ag-main.html#eff-stds</v>
      </c>
      <c r="R1399" s="254" t="str">
        <f>IF(ISBLANK(INDEX('Policy Characteristics'!L:L,MATCH($C1399,'Policy Characteristics'!$C:$C,0))),"",INDEX('Policy Characteristics'!L:L,MATCH($C1399,'Policy Characteristics'!$C:$C,0)))</f>
        <v>industry-energy-efficiency-standards.html</v>
      </c>
    </row>
    <row r="1400" spans="1:18" s="4" customFormat="1" x14ac:dyDescent="0.3">
      <c r="A1400" s="254" t="str">
        <f>IF(ISBLANK(INDEX('Policy Characteristics'!A:A,MATCH($C1400,'Policy Characteristics'!$C:$C,0))),"",INDEX('Policy Characteristics'!A:A,MATCH($C1400,'Policy Characteristics'!$C:$C,0)))</f>
        <v>Industry</v>
      </c>
      <c r="B1400" s="262" t="str">
        <f>IF(ISBLANK(INDEX('Policy Characteristics'!B:B,MATCH($C1400,'Policy Characteristics'!$C:$C,0))),"",INDEX('Policy Characteristics'!B:B,MATCH($C1400,'Policy Characteristics'!$C:$C,0)))</f>
        <v>Industry Energy Efficiency Standards</v>
      </c>
      <c r="C1400" s="254" t="str">
        <f t="shared" si="49"/>
        <v>Percentage Improvement in Eqpt Efficiency Standards above BAU</v>
      </c>
      <c r="D1400" s="6" t="s">
        <v>3072</v>
      </c>
      <c r="E1400" s="45" t="s">
        <v>2403</v>
      </c>
      <c r="F1400" t="s">
        <v>3035</v>
      </c>
      <c r="G1400" s="45" t="s">
        <v>2407</v>
      </c>
      <c r="H1400" s="43">
        <v>1072</v>
      </c>
      <c r="I1400" s="324" t="s">
        <v>43</v>
      </c>
      <c r="J1400" s="255" t="str">
        <f>IF(ISBLANK(INDEX('Policy Characteristics'!D:D,MATCH($C1400,'Policy Characteristics'!$C:$C,0))),"",INDEX('Policy Characteristics'!D:D,MATCH($C1400,'Policy Characteristics'!$C:$C,0)))</f>
        <v>Industry Energy Efficiency Standards</v>
      </c>
      <c r="K1400" s="254" t="str">
        <f>IF(ISBLANK(INDEX('Policy Characteristics'!E:E,MATCH($C1400,'Policy Characteristics'!$C:$C,0))),"",INDEX('Policy Characteristics'!E:E,MATCH($C1400,'Policy Characteristics'!$C:$C,0)))</f>
        <v>indst efficiency standards</v>
      </c>
      <c r="L1400" s="261">
        <f>IF(ISBLANK(INDEX('Policy Characteristics'!F:F,MATCH($C1400,'Policy Characteristics'!$C:$C,0))),"",INDEX('Policy Characteristics'!F:F,MATCH($C1400,'Policy Characteristics'!$C:$C,0)))</f>
        <v>0</v>
      </c>
      <c r="M1400" s="261">
        <f>IF(ISBLANK(INDEX('Policy Characteristics'!G:G,MATCH($C1400,'Policy Characteristics'!$C:$C,0))),"",INDEX('Policy Characteristics'!G:G,MATCH($C1400,'Policy Characteristics'!$C:$C,0)))</f>
        <v>0.25</v>
      </c>
      <c r="N1400" s="261">
        <f>IF(ISBLANK(INDEX('Policy Characteristics'!H:H,MATCH($C1400,'Policy Characteristics'!$C:$C,0))),"",INDEX('Policy Characteristics'!H:H,MATCH($C1400,'Policy Characteristics'!$C:$C,0)))</f>
        <v>0.01</v>
      </c>
      <c r="O1400" s="254" t="str">
        <f>IF(ISBLANK(INDEX('Policy Characteristics'!I:I,MATCH($C1400,'Policy Characteristics'!$C:$C,0))),"",INDEX('Policy Characteristics'!I:I,MATCH($C1400,'Policy Characteristics'!$C:$C,0)))</f>
        <v>% reduction in energy use</v>
      </c>
      <c r="P1400" s="254"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4" t="str">
        <f>IF(ISBLANK(INDEX('Policy Characteristics'!K:K,MATCH($C1400,'Policy Characteristics'!$C:$C,0))),"",INDEX('Policy Characteristics'!K:K,MATCH($C1400,'Policy Characteristics'!$C:$C,0)))</f>
        <v>industry-ag-main.html#eff-stds</v>
      </c>
      <c r="R1400" s="254" t="str">
        <f>IF(ISBLANK(INDEX('Policy Characteristics'!L:L,MATCH($C1400,'Policy Characteristics'!$C:$C,0))),"",INDEX('Policy Characteristics'!L:L,MATCH($C1400,'Policy Characteristics'!$C:$C,0)))</f>
        <v>industry-energy-efficiency-standards.html</v>
      </c>
    </row>
    <row r="1401" spans="1:18" s="4" customFormat="1" x14ac:dyDescent="0.3">
      <c r="A1401" s="254" t="str">
        <f>IF(ISBLANK(INDEX('Policy Characteristics'!A:A,MATCH($C1401,'Policy Characteristics'!$C:$C,0))),"",INDEX('Policy Characteristics'!A:A,MATCH($C1401,'Policy Characteristics'!$C:$C,0)))</f>
        <v>Industry</v>
      </c>
      <c r="B1401" s="262" t="str">
        <f>IF(ISBLANK(INDEX('Policy Characteristics'!B:B,MATCH($C1401,'Policy Characteristics'!$C:$C,0))),"",INDEX('Policy Characteristics'!B:B,MATCH($C1401,'Policy Characteristics'!$C:$C,0)))</f>
        <v>Industry Energy Efficiency Standards</v>
      </c>
      <c r="C1401" s="254" t="str">
        <f t="shared" si="49"/>
        <v>Percentage Improvement in Eqpt Efficiency Standards above BAU</v>
      </c>
      <c r="D1401" s="6" t="s">
        <v>3072</v>
      </c>
      <c r="E1401" s="45" t="s">
        <v>2404</v>
      </c>
      <c r="F1401" t="s">
        <v>3035</v>
      </c>
      <c r="G1401" s="45" t="s">
        <v>2410</v>
      </c>
      <c r="H1401" s="43">
        <v>1073</v>
      </c>
      <c r="I1401" s="324" t="s">
        <v>44</v>
      </c>
      <c r="J1401" s="255" t="str">
        <f>IF(ISBLANK(INDEX('Policy Characteristics'!D:D,MATCH($C1401,'Policy Characteristics'!$C:$C,0))),"",INDEX('Policy Characteristics'!D:D,MATCH($C1401,'Policy Characteristics'!$C:$C,0)))</f>
        <v>Industry Energy Efficiency Standards</v>
      </c>
      <c r="K1401" s="254" t="str">
        <f>IF(ISBLANK(INDEX('Policy Characteristics'!E:E,MATCH($C1401,'Policy Characteristics'!$C:$C,0))),"",INDEX('Policy Characteristics'!E:E,MATCH($C1401,'Policy Characteristics'!$C:$C,0)))</f>
        <v>indst efficiency standards</v>
      </c>
      <c r="L1401" s="261">
        <f>IF(ISBLANK(INDEX('Policy Characteristics'!F:F,MATCH($C1401,'Policy Characteristics'!$C:$C,0))),"",INDEX('Policy Characteristics'!F:F,MATCH($C1401,'Policy Characteristics'!$C:$C,0)))</f>
        <v>0</v>
      </c>
      <c r="M1401" s="261">
        <f>IF(ISBLANK(INDEX('Policy Characteristics'!G:G,MATCH($C1401,'Policy Characteristics'!$C:$C,0))),"",INDEX('Policy Characteristics'!G:G,MATCH($C1401,'Policy Characteristics'!$C:$C,0)))</f>
        <v>0.25</v>
      </c>
      <c r="N1401" s="261">
        <f>IF(ISBLANK(INDEX('Policy Characteristics'!H:H,MATCH($C1401,'Policy Characteristics'!$C:$C,0))),"",INDEX('Policy Characteristics'!H:H,MATCH($C1401,'Policy Characteristics'!$C:$C,0)))</f>
        <v>0.01</v>
      </c>
      <c r="O1401" s="254" t="str">
        <f>IF(ISBLANK(INDEX('Policy Characteristics'!I:I,MATCH($C1401,'Policy Characteristics'!$C:$C,0))),"",INDEX('Policy Characteristics'!I:I,MATCH($C1401,'Policy Characteristics'!$C:$C,0)))</f>
        <v>% reduction in energy use</v>
      </c>
      <c r="P1401" s="254"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4" t="str">
        <f>IF(ISBLANK(INDEX('Policy Characteristics'!K:K,MATCH($C1401,'Policy Characteristics'!$C:$C,0))),"",INDEX('Policy Characteristics'!K:K,MATCH($C1401,'Policy Characteristics'!$C:$C,0)))</f>
        <v>industry-ag-main.html#eff-stds</v>
      </c>
      <c r="R1401" s="254" t="str">
        <f>IF(ISBLANK(INDEX('Policy Characteristics'!L:L,MATCH($C1401,'Policy Characteristics'!$C:$C,0))),"",INDEX('Policy Characteristics'!L:L,MATCH($C1401,'Policy Characteristics'!$C:$C,0)))</f>
        <v>industry-energy-efficiency-standards.html</v>
      </c>
    </row>
    <row r="1402" spans="1:18" s="4" customFormat="1" x14ac:dyDescent="0.3">
      <c r="A1402" s="254" t="str">
        <f>IF(ISBLANK(INDEX('Policy Characteristics'!A:A,MATCH($C1402,'Policy Characteristics'!$C:$C,0))),"",INDEX('Policy Characteristics'!A:A,MATCH($C1402,'Policy Characteristics'!$C:$C,0)))</f>
        <v>Industry</v>
      </c>
      <c r="B1402" s="262" t="str">
        <f>IF(ISBLANK(INDEX('Policy Characteristics'!B:B,MATCH($C1402,'Policy Characteristics'!$C:$C,0))),"",INDEX('Policy Characteristics'!B:B,MATCH($C1402,'Policy Characteristics'!$C:$C,0)))</f>
        <v>Industry Energy Efficiency Standards</v>
      </c>
      <c r="C1402" s="254" t="str">
        <f t="shared" si="49"/>
        <v>Percentage Improvement in Eqpt Efficiency Standards above BAU</v>
      </c>
      <c r="D1402" s="6" t="s">
        <v>3072</v>
      </c>
      <c r="E1402" s="45" t="s">
        <v>2706</v>
      </c>
      <c r="F1402" t="s">
        <v>3035</v>
      </c>
      <c r="G1402" s="45" t="s">
        <v>2709</v>
      </c>
      <c r="H1402" s="43">
        <v>1074</v>
      </c>
      <c r="I1402" s="324" t="s">
        <v>44</v>
      </c>
      <c r="J1402" s="255" t="str">
        <f>IF(ISBLANK(INDEX('Policy Characteristics'!D:D,MATCH($C1402,'Policy Characteristics'!$C:$C,0))),"",INDEX('Policy Characteristics'!D:D,MATCH($C1402,'Policy Characteristics'!$C:$C,0)))</f>
        <v>Industry Energy Efficiency Standards</v>
      </c>
      <c r="K1402" s="254" t="str">
        <f>IF(ISBLANK(INDEX('Policy Characteristics'!E:E,MATCH($C1402,'Policy Characteristics'!$C:$C,0))),"",INDEX('Policy Characteristics'!E:E,MATCH($C1402,'Policy Characteristics'!$C:$C,0)))</f>
        <v>indst efficiency standards</v>
      </c>
      <c r="L1402" s="261">
        <f>IF(ISBLANK(INDEX('Policy Characteristics'!F:F,MATCH($C1402,'Policy Characteristics'!$C:$C,0))),"",INDEX('Policy Characteristics'!F:F,MATCH($C1402,'Policy Characteristics'!$C:$C,0)))</f>
        <v>0</v>
      </c>
      <c r="M1402" s="261">
        <f>IF(ISBLANK(INDEX('Policy Characteristics'!G:G,MATCH($C1402,'Policy Characteristics'!$C:$C,0))),"",INDEX('Policy Characteristics'!G:G,MATCH($C1402,'Policy Characteristics'!$C:$C,0)))</f>
        <v>0.25</v>
      </c>
      <c r="N1402" s="261">
        <f>IF(ISBLANK(INDEX('Policy Characteristics'!H:H,MATCH($C1402,'Policy Characteristics'!$C:$C,0))),"",INDEX('Policy Characteristics'!H:H,MATCH($C1402,'Policy Characteristics'!$C:$C,0)))</f>
        <v>0.01</v>
      </c>
      <c r="O1402" s="254" t="str">
        <f>IF(ISBLANK(INDEX('Policy Characteristics'!I:I,MATCH($C1402,'Policy Characteristics'!$C:$C,0))),"",INDEX('Policy Characteristics'!I:I,MATCH($C1402,'Policy Characteristics'!$C:$C,0)))</f>
        <v>% reduction in energy use</v>
      </c>
      <c r="P1402" s="254"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4" t="str">
        <f>IF(ISBLANK(INDEX('Policy Characteristics'!K:K,MATCH($C1402,'Policy Characteristics'!$C:$C,0))),"",INDEX('Policy Characteristics'!K:K,MATCH($C1402,'Policy Characteristics'!$C:$C,0)))</f>
        <v>industry-ag-main.html#eff-stds</v>
      </c>
      <c r="R1402" s="254" t="str">
        <f>IF(ISBLANK(INDEX('Policy Characteristics'!L:L,MATCH($C1402,'Policy Characteristics'!$C:$C,0))),"",INDEX('Policy Characteristics'!L:L,MATCH($C1402,'Policy Characteristics'!$C:$C,0)))</f>
        <v>industry-energy-efficiency-standards.html</v>
      </c>
    </row>
    <row r="1403" spans="1:18" s="4" customFormat="1" x14ac:dyDescent="0.3">
      <c r="A1403" s="254" t="str">
        <f>IF(ISBLANK(INDEX('Policy Characteristics'!A:A,MATCH($C1403,'Policy Characteristics'!$C:$C,0))),"",INDEX('Policy Characteristics'!A:A,MATCH($C1403,'Policy Characteristics'!$C:$C,0)))</f>
        <v>Industry</v>
      </c>
      <c r="B1403" s="262" t="str">
        <f>IF(ISBLANK(INDEX('Policy Characteristics'!B:B,MATCH($C1403,'Policy Characteristics'!$C:$C,0))),"",INDEX('Policy Characteristics'!B:B,MATCH($C1403,'Policy Characteristics'!$C:$C,0)))</f>
        <v>Industry Energy Efficiency Standards</v>
      </c>
      <c r="C1403" s="254" t="str">
        <f t="shared" si="49"/>
        <v>Percentage Improvement in Eqpt Efficiency Standards above BAU</v>
      </c>
      <c r="D1403" s="6" t="s">
        <v>3072</v>
      </c>
      <c r="E1403" s="45" t="s">
        <v>2707</v>
      </c>
      <c r="F1403" t="s">
        <v>3035</v>
      </c>
      <c r="G1403" s="45" t="s">
        <v>2711</v>
      </c>
      <c r="H1403" s="43">
        <v>1075</v>
      </c>
      <c r="I1403" s="324" t="s">
        <v>44</v>
      </c>
      <c r="J1403" s="255" t="str">
        <f>IF(ISBLANK(INDEX('Policy Characteristics'!D:D,MATCH($C1403,'Policy Characteristics'!$C:$C,0))),"",INDEX('Policy Characteristics'!D:D,MATCH($C1403,'Policy Characteristics'!$C:$C,0)))</f>
        <v>Industry Energy Efficiency Standards</v>
      </c>
      <c r="K1403" s="254" t="str">
        <f>IF(ISBLANK(INDEX('Policy Characteristics'!E:E,MATCH($C1403,'Policy Characteristics'!$C:$C,0))),"",INDEX('Policy Characteristics'!E:E,MATCH($C1403,'Policy Characteristics'!$C:$C,0)))</f>
        <v>indst efficiency standards</v>
      </c>
      <c r="L1403" s="261">
        <f>IF(ISBLANK(INDEX('Policy Characteristics'!F:F,MATCH($C1403,'Policy Characteristics'!$C:$C,0))),"",INDEX('Policy Characteristics'!F:F,MATCH($C1403,'Policy Characteristics'!$C:$C,0)))</f>
        <v>0</v>
      </c>
      <c r="M1403" s="261">
        <f>IF(ISBLANK(INDEX('Policy Characteristics'!G:G,MATCH($C1403,'Policy Characteristics'!$C:$C,0))),"",INDEX('Policy Characteristics'!G:G,MATCH($C1403,'Policy Characteristics'!$C:$C,0)))</f>
        <v>0.25</v>
      </c>
      <c r="N1403" s="261">
        <f>IF(ISBLANK(INDEX('Policy Characteristics'!H:H,MATCH($C1403,'Policy Characteristics'!$C:$C,0))),"",INDEX('Policy Characteristics'!H:H,MATCH($C1403,'Policy Characteristics'!$C:$C,0)))</f>
        <v>0.01</v>
      </c>
      <c r="O1403" s="254" t="str">
        <f>IF(ISBLANK(INDEX('Policy Characteristics'!I:I,MATCH($C1403,'Policy Characteristics'!$C:$C,0))),"",INDEX('Policy Characteristics'!I:I,MATCH($C1403,'Policy Characteristics'!$C:$C,0)))</f>
        <v>% reduction in energy use</v>
      </c>
      <c r="P1403" s="254"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4" t="str">
        <f>IF(ISBLANK(INDEX('Policy Characteristics'!K:K,MATCH($C1403,'Policy Characteristics'!$C:$C,0))),"",INDEX('Policy Characteristics'!K:K,MATCH($C1403,'Policy Characteristics'!$C:$C,0)))</f>
        <v>industry-ag-main.html#eff-stds</v>
      </c>
      <c r="R1403" s="254" t="str">
        <f>IF(ISBLANK(INDEX('Policy Characteristics'!L:L,MATCH($C1403,'Policy Characteristics'!$C:$C,0))),"",INDEX('Policy Characteristics'!L:L,MATCH($C1403,'Policy Characteristics'!$C:$C,0)))</f>
        <v>industry-energy-efficiency-standards.html</v>
      </c>
    </row>
    <row r="1404" spans="1:18" s="4" customFormat="1" x14ac:dyDescent="0.3">
      <c r="A1404" s="254" t="str">
        <f>IF(ISBLANK(INDEX('Policy Characteristics'!A:A,MATCH($C1404,'Policy Characteristics'!$C:$C,0))),"",INDEX('Policy Characteristics'!A:A,MATCH($C1404,'Policy Characteristics'!$C:$C,0)))</f>
        <v>Industry</v>
      </c>
      <c r="B1404" s="262" t="str">
        <f>IF(ISBLANK(INDEX('Policy Characteristics'!B:B,MATCH($C1404,'Policy Characteristics'!$C:$C,0))),"",INDEX('Policy Characteristics'!B:B,MATCH($C1404,'Policy Characteristics'!$C:$C,0)))</f>
        <v>Industry Energy Efficiency Standards</v>
      </c>
      <c r="C1404" s="254" t="str">
        <f t="shared" si="49"/>
        <v>Percentage Improvement in Eqpt Efficiency Standards above BAU</v>
      </c>
      <c r="D1404" s="6" t="s">
        <v>3072</v>
      </c>
      <c r="E1404" s="45" t="s">
        <v>2708</v>
      </c>
      <c r="F1404" t="s">
        <v>3035</v>
      </c>
      <c r="G1404" s="45" t="s">
        <v>2712</v>
      </c>
      <c r="H1404" s="43">
        <v>1076</v>
      </c>
      <c r="I1404" s="324" t="s">
        <v>43</v>
      </c>
      <c r="J1404" s="255" t="str">
        <f>IF(ISBLANK(INDEX('Policy Characteristics'!D:D,MATCH($C1404,'Policy Characteristics'!$C:$C,0))),"",INDEX('Policy Characteristics'!D:D,MATCH($C1404,'Policy Characteristics'!$C:$C,0)))</f>
        <v>Industry Energy Efficiency Standards</v>
      </c>
      <c r="K1404" s="254" t="str">
        <f>IF(ISBLANK(INDEX('Policy Characteristics'!E:E,MATCH($C1404,'Policy Characteristics'!$C:$C,0))),"",INDEX('Policy Characteristics'!E:E,MATCH($C1404,'Policy Characteristics'!$C:$C,0)))</f>
        <v>indst efficiency standards</v>
      </c>
      <c r="L1404" s="261">
        <f>IF(ISBLANK(INDEX('Policy Characteristics'!F:F,MATCH($C1404,'Policy Characteristics'!$C:$C,0))),"",INDEX('Policy Characteristics'!F:F,MATCH($C1404,'Policy Characteristics'!$C:$C,0)))</f>
        <v>0</v>
      </c>
      <c r="M1404" s="261">
        <f>IF(ISBLANK(INDEX('Policy Characteristics'!G:G,MATCH($C1404,'Policy Characteristics'!$C:$C,0))),"",INDEX('Policy Characteristics'!G:G,MATCH($C1404,'Policy Characteristics'!$C:$C,0)))</f>
        <v>0.25</v>
      </c>
      <c r="N1404" s="261">
        <f>IF(ISBLANK(INDEX('Policy Characteristics'!H:H,MATCH($C1404,'Policy Characteristics'!$C:$C,0))),"",INDEX('Policy Characteristics'!H:H,MATCH($C1404,'Policy Characteristics'!$C:$C,0)))</f>
        <v>0.01</v>
      </c>
      <c r="O1404" s="254" t="str">
        <f>IF(ISBLANK(INDEX('Policy Characteristics'!I:I,MATCH($C1404,'Policy Characteristics'!$C:$C,0))),"",INDEX('Policy Characteristics'!I:I,MATCH($C1404,'Policy Characteristics'!$C:$C,0)))</f>
        <v>% reduction in energy use</v>
      </c>
      <c r="P1404" s="254"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4" t="str">
        <f>IF(ISBLANK(INDEX('Policy Characteristics'!K:K,MATCH($C1404,'Policy Characteristics'!$C:$C,0))),"",INDEX('Policy Characteristics'!K:K,MATCH($C1404,'Policy Characteristics'!$C:$C,0)))</f>
        <v>industry-ag-main.html#eff-stds</v>
      </c>
      <c r="R1404" s="254" t="str">
        <f>IF(ISBLANK(INDEX('Policy Characteristics'!L:L,MATCH($C1404,'Policy Characteristics'!$C:$C,0))),"",INDEX('Policy Characteristics'!L:L,MATCH($C1404,'Policy Characteristics'!$C:$C,0)))</f>
        <v>industry-energy-efficiency-standards.html</v>
      </c>
    </row>
    <row r="1405" spans="1:18" s="4" customFormat="1" x14ac:dyDescent="0.3">
      <c r="A1405" s="254" t="str">
        <f>IF(ISBLANK(INDEX('Policy Characteristics'!A:A,MATCH($C1405,'Policy Characteristics'!$C:$C,0))),"",INDEX('Policy Characteristics'!A:A,MATCH($C1405,'Policy Characteristics'!$C:$C,0)))</f>
        <v>Industry</v>
      </c>
      <c r="B1405" s="262" t="str">
        <f>IF(ISBLANK(INDEX('Policy Characteristics'!B:B,MATCH($C1405,'Policy Characteristics'!$C:$C,0))),"",INDEX('Policy Characteristics'!B:B,MATCH($C1405,'Policy Characteristics'!$C:$C,0)))</f>
        <v>Industry Energy Efficiency Standards</v>
      </c>
      <c r="C1405" s="254" t="str">
        <f t="shared" si="49"/>
        <v>Percentage Improvement in Eqpt Efficiency Standards above BAU</v>
      </c>
      <c r="D1405" s="6" t="s">
        <v>3072</v>
      </c>
      <c r="E1405" s="45" t="s">
        <v>2705</v>
      </c>
      <c r="F1405" t="s">
        <v>3035</v>
      </c>
      <c r="G1405" s="45" t="s">
        <v>2710</v>
      </c>
      <c r="H1405" s="43">
        <v>1077</v>
      </c>
      <c r="I1405" s="324" t="s">
        <v>44</v>
      </c>
      <c r="J1405" s="255" t="str">
        <f>IF(ISBLANK(INDEX('Policy Characteristics'!D:D,MATCH($C1405,'Policy Characteristics'!$C:$C,0))),"",INDEX('Policy Characteristics'!D:D,MATCH($C1405,'Policy Characteristics'!$C:$C,0)))</f>
        <v>Industry Energy Efficiency Standards</v>
      </c>
      <c r="K1405" s="254" t="str">
        <f>IF(ISBLANK(INDEX('Policy Characteristics'!E:E,MATCH($C1405,'Policy Characteristics'!$C:$C,0))),"",INDEX('Policy Characteristics'!E:E,MATCH($C1405,'Policy Characteristics'!$C:$C,0)))</f>
        <v>indst efficiency standards</v>
      </c>
      <c r="L1405" s="261">
        <f>IF(ISBLANK(INDEX('Policy Characteristics'!F:F,MATCH($C1405,'Policy Characteristics'!$C:$C,0))),"",INDEX('Policy Characteristics'!F:F,MATCH($C1405,'Policy Characteristics'!$C:$C,0)))</f>
        <v>0</v>
      </c>
      <c r="M1405" s="261">
        <f>IF(ISBLANK(INDEX('Policy Characteristics'!G:G,MATCH($C1405,'Policy Characteristics'!$C:$C,0))),"",INDEX('Policy Characteristics'!G:G,MATCH($C1405,'Policy Characteristics'!$C:$C,0)))</f>
        <v>0.25</v>
      </c>
      <c r="N1405" s="261">
        <f>IF(ISBLANK(INDEX('Policy Characteristics'!H:H,MATCH($C1405,'Policy Characteristics'!$C:$C,0))),"",INDEX('Policy Characteristics'!H:H,MATCH($C1405,'Policy Characteristics'!$C:$C,0)))</f>
        <v>0.01</v>
      </c>
      <c r="O1405" s="254" t="str">
        <f>IF(ISBLANK(INDEX('Policy Characteristics'!I:I,MATCH($C1405,'Policy Characteristics'!$C:$C,0))),"",INDEX('Policy Characteristics'!I:I,MATCH($C1405,'Policy Characteristics'!$C:$C,0)))</f>
        <v>% reduction in energy use</v>
      </c>
      <c r="P1405" s="254"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4" t="str">
        <f>IF(ISBLANK(INDEX('Policy Characteristics'!K:K,MATCH($C1405,'Policy Characteristics'!$C:$C,0))),"",INDEX('Policy Characteristics'!K:K,MATCH($C1405,'Policy Characteristics'!$C:$C,0)))</f>
        <v>industry-ag-main.html#eff-stds</v>
      </c>
      <c r="R1405" s="254" t="str">
        <f>IF(ISBLANK(INDEX('Policy Characteristics'!L:L,MATCH($C1405,'Policy Characteristics'!$C:$C,0))),"",INDEX('Policy Characteristics'!L:L,MATCH($C1405,'Policy Characteristics'!$C:$C,0)))</f>
        <v>industry-energy-efficiency-standards.html</v>
      </c>
    </row>
    <row r="1406" spans="1:18" s="4" customFormat="1" x14ac:dyDescent="0.3">
      <c r="A1406" s="254" t="str">
        <f>IF(ISBLANK(INDEX('Policy Characteristics'!A:A,MATCH($C1406,'Policy Characteristics'!$C:$C,0))),"",INDEX('Policy Characteristics'!A:A,MATCH($C1406,'Policy Characteristics'!$C:$C,0)))</f>
        <v>Industry</v>
      </c>
      <c r="B1406" s="262" t="str">
        <f>IF(ISBLANK(INDEX('Policy Characteristics'!B:B,MATCH($C1406,'Policy Characteristics'!$C:$C,0))),"",INDEX('Policy Characteristics'!B:B,MATCH($C1406,'Policy Characteristics'!$C:$C,0)))</f>
        <v>Industry Energy Efficiency Standards</v>
      </c>
      <c r="C1406" s="254" t="str">
        <f t="shared" si="49"/>
        <v>Percentage Improvement in Eqpt Efficiency Standards above BAU</v>
      </c>
      <c r="D1406" s="6" t="s">
        <v>3073</v>
      </c>
      <c r="E1406" s="45" t="s">
        <v>2399</v>
      </c>
      <c r="F1406" t="s">
        <v>3036</v>
      </c>
      <c r="G1406" s="45" t="s">
        <v>2405</v>
      </c>
      <c r="H1406" s="43">
        <v>1078</v>
      </c>
      <c r="I1406" s="324" t="s">
        <v>43</v>
      </c>
      <c r="J1406" s="255" t="str">
        <f>IF(ISBLANK(INDEX('Policy Characteristics'!D:D,MATCH($C1406,'Policy Characteristics'!$C:$C,0))),"",INDEX('Policy Characteristics'!D:D,MATCH($C1406,'Policy Characteristics'!$C:$C,0)))</f>
        <v>Industry Energy Efficiency Standards</v>
      </c>
      <c r="K1406" s="254" t="str">
        <f>IF(ISBLANK(INDEX('Policy Characteristics'!E:E,MATCH($C1406,'Policy Characteristics'!$C:$C,0))),"",INDEX('Policy Characteristics'!E:E,MATCH($C1406,'Policy Characteristics'!$C:$C,0)))</f>
        <v>indst efficiency standards</v>
      </c>
      <c r="L1406" s="261">
        <f>IF(ISBLANK(INDEX('Policy Characteristics'!F:F,MATCH($C1406,'Policy Characteristics'!$C:$C,0))),"",INDEX('Policy Characteristics'!F:F,MATCH($C1406,'Policy Characteristics'!$C:$C,0)))</f>
        <v>0</v>
      </c>
      <c r="M1406" s="261">
        <f>IF(ISBLANK(INDEX('Policy Characteristics'!G:G,MATCH($C1406,'Policy Characteristics'!$C:$C,0))),"",INDEX('Policy Characteristics'!G:G,MATCH($C1406,'Policy Characteristics'!$C:$C,0)))</f>
        <v>0.25</v>
      </c>
      <c r="N1406" s="261">
        <f>IF(ISBLANK(INDEX('Policy Characteristics'!H:H,MATCH($C1406,'Policy Characteristics'!$C:$C,0))),"",INDEX('Policy Characteristics'!H:H,MATCH($C1406,'Policy Characteristics'!$C:$C,0)))</f>
        <v>0.01</v>
      </c>
      <c r="O1406" s="254" t="str">
        <f>IF(ISBLANK(INDEX('Policy Characteristics'!I:I,MATCH($C1406,'Policy Characteristics'!$C:$C,0))),"",INDEX('Policy Characteristics'!I:I,MATCH($C1406,'Policy Characteristics'!$C:$C,0)))</f>
        <v>% reduction in energy use</v>
      </c>
      <c r="P1406" s="254"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4" t="str">
        <f>IF(ISBLANK(INDEX('Policy Characteristics'!K:K,MATCH($C1406,'Policy Characteristics'!$C:$C,0))),"",INDEX('Policy Characteristics'!K:K,MATCH($C1406,'Policy Characteristics'!$C:$C,0)))</f>
        <v>industry-ag-main.html#eff-stds</v>
      </c>
      <c r="R1406" s="254" t="str">
        <f>IF(ISBLANK(INDEX('Policy Characteristics'!L:L,MATCH($C1406,'Policy Characteristics'!$C:$C,0))),"",INDEX('Policy Characteristics'!L:L,MATCH($C1406,'Policy Characteristics'!$C:$C,0)))</f>
        <v>industry-energy-efficiency-standards.html</v>
      </c>
    </row>
    <row r="1407" spans="1:18" s="4" customFormat="1" x14ac:dyDescent="0.3">
      <c r="A1407" s="254" t="str">
        <f>IF(ISBLANK(INDEX('Policy Characteristics'!A:A,MATCH($C1407,'Policy Characteristics'!$C:$C,0))),"",INDEX('Policy Characteristics'!A:A,MATCH($C1407,'Policy Characteristics'!$C:$C,0)))</f>
        <v>Industry</v>
      </c>
      <c r="B1407" s="262" t="str">
        <f>IF(ISBLANK(INDEX('Policy Characteristics'!B:B,MATCH($C1407,'Policy Characteristics'!$C:$C,0))),"",INDEX('Policy Characteristics'!B:B,MATCH($C1407,'Policy Characteristics'!$C:$C,0)))</f>
        <v>Industry Energy Efficiency Standards</v>
      </c>
      <c r="C1407" s="254" t="str">
        <f t="shared" si="49"/>
        <v>Percentage Improvement in Eqpt Efficiency Standards above BAU</v>
      </c>
      <c r="D1407" s="6" t="s">
        <v>3073</v>
      </c>
      <c r="E1407" s="45" t="s">
        <v>2400</v>
      </c>
      <c r="F1407" t="s">
        <v>3036</v>
      </c>
      <c r="G1407" s="45" t="s">
        <v>2408</v>
      </c>
      <c r="H1407" s="43">
        <v>1079</v>
      </c>
      <c r="I1407" s="324" t="s">
        <v>43</v>
      </c>
      <c r="J1407" s="255" t="str">
        <f>IF(ISBLANK(INDEX('Policy Characteristics'!D:D,MATCH($C1407,'Policy Characteristics'!$C:$C,0))),"",INDEX('Policy Characteristics'!D:D,MATCH($C1407,'Policy Characteristics'!$C:$C,0)))</f>
        <v>Industry Energy Efficiency Standards</v>
      </c>
      <c r="K1407" s="254" t="str">
        <f>IF(ISBLANK(INDEX('Policy Characteristics'!E:E,MATCH($C1407,'Policy Characteristics'!$C:$C,0))),"",INDEX('Policy Characteristics'!E:E,MATCH($C1407,'Policy Characteristics'!$C:$C,0)))</f>
        <v>indst efficiency standards</v>
      </c>
      <c r="L1407" s="261">
        <f>IF(ISBLANK(INDEX('Policy Characteristics'!F:F,MATCH($C1407,'Policy Characteristics'!$C:$C,0))),"",INDEX('Policy Characteristics'!F:F,MATCH($C1407,'Policy Characteristics'!$C:$C,0)))</f>
        <v>0</v>
      </c>
      <c r="M1407" s="261">
        <f>IF(ISBLANK(INDEX('Policy Characteristics'!G:G,MATCH($C1407,'Policy Characteristics'!$C:$C,0))),"",INDEX('Policy Characteristics'!G:G,MATCH($C1407,'Policy Characteristics'!$C:$C,0)))</f>
        <v>0.25</v>
      </c>
      <c r="N1407" s="261">
        <f>IF(ISBLANK(INDEX('Policy Characteristics'!H:H,MATCH($C1407,'Policy Characteristics'!$C:$C,0))),"",INDEX('Policy Characteristics'!H:H,MATCH($C1407,'Policy Characteristics'!$C:$C,0)))</f>
        <v>0.01</v>
      </c>
      <c r="O1407" s="254" t="str">
        <f>IF(ISBLANK(INDEX('Policy Characteristics'!I:I,MATCH($C1407,'Policy Characteristics'!$C:$C,0))),"",INDEX('Policy Characteristics'!I:I,MATCH($C1407,'Policy Characteristics'!$C:$C,0)))</f>
        <v>% reduction in energy use</v>
      </c>
      <c r="P1407" s="254"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4" t="str">
        <f>IF(ISBLANK(INDEX('Policy Characteristics'!K:K,MATCH($C1407,'Policy Characteristics'!$C:$C,0))),"",INDEX('Policy Characteristics'!K:K,MATCH($C1407,'Policy Characteristics'!$C:$C,0)))</f>
        <v>industry-ag-main.html#eff-stds</v>
      </c>
      <c r="R1407" s="254" t="str">
        <f>IF(ISBLANK(INDEX('Policy Characteristics'!L:L,MATCH($C1407,'Policy Characteristics'!$C:$C,0))),"",INDEX('Policy Characteristics'!L:L,MATCH($C1407,'Policy Characteristics'!$C:$C,0)))</f>
        <v>industry-energy-efficiency-standards.html</v>
      </c>
    </row>
    <row r="1408" spans="1:18" s="4" customFormat="1" x14ac:dyDescent="0.3">
      <c r="A1408" s="254" t="str">
        <f>IF(ISBLANK(INDEX('Policy Characteristics'!A:A,MATCH($C1408,'Policy Characteristics'!$C:$C,0))),"",INDEX('Policy Characteristics'!A:A,MATCH($C1408,'Policy Characteristics'!$C:$C,0)))</f>
        <v>Industry</v>
      </c>
      <c r="B1408" s="262" t="str">
        <f>IF(ISBLANK(INDEX('Policy Characteristics'!B:B,MATCH($C1408,'Policy Characteristics'!$C:$C,0))),"",INDEX('Policy Characteristics'!B:B,MATCH($C1408,'Policy Characteristics'!$C:$C,0)))</f>
        <v>Industry Energy Efficiency Standards</v>
      </c>
      <c r="C1408" s="254" t="str">
        <f t="shared" si="49"/>
        <v>Percentage Improvement in Eqpt Efficiency Standards above BAU</v>
      </c>
      <c r="D1408" s="6" t="s">
        <v>3073</v>
      </c>
      <c r="E1408" s="45" t="s">
        <v>2401</v>
      </c>
      <c r="F1408" t="s">
        <v>3036</v>
      </c>
      <c r="G1408" s="45" t="s">
        <v>2409</v>
      </c>
      <c r="H1408" s="43">
        <v>1080</v>
      </c>
      <c r="I1408" s="324" t="s">
        <v>43</v>
      </c>
      <c r="J1408" s="255" t="str">
        <f>IF(ISBLANK(INDEX('Policy Characteristics'!D:D,MATCH($C1408,'Policy Characteristics'!$C:$C,0))),"",INDEX('Policy Characteristics'!D:D,MATCH($C1408,'Policy Characteristics'!$C:$C,0)))</f>
        <v>Industry Energy Efficiency Standards</v>
      </c>
      <c r="K1408" s="254" t="str">
        <f>IF(ISBLANK(INDEX('Policy Characteristics'!E:E,MATCH($C1408,'Policy Characteristics'!$C:$C,0))),"",INDEX('Policy Characteristics'!E:E,MATCH($C1408,'Policy Characteristics'!$C:$C,0)))</f>
        <v>indst efficiency standards</v>
      </c>
      <c r="L1408" s="261">
        <f>IF(ISBLANK(INDEX('Policy Characteristics'!F:F,MATCH($C1408,'Policy Characteristics'!$C:$C,0))),"",INDEX('Policy Characteristics'!F:F,MATCH($C1408,'Policy Characteristics'!$C:$C,0)))</f>
        <v>0</v>
      </c>
      <c r="M1408" s="261">
        <f>IF(ISBLANK(INDEX('Policy Characteristics'!G:G,MATCH($C1408,'Policy Characteristics'!$C:$C,0))),"",INDEX('Policy Characteristics'!G:G,MATCH($C1408,'Policy Characteristics'!$C:$C,0)))</f>
        <v>0.25</v>
      </c>
      <c r="N1408" s="261">
        <f>IF(ISBLANK(INDEX('Policy Characteristics'!H:H,MATCH($C1408,'Policy Characteristics'!$C:$C,0))),"",INDEX('Policy Characteristics'!H:H,MATCH($C1408,'Policy Characteristics'!$C:$C,0)))</f>
        <v>0.01</v>
      </c>
      <c r="O1408" s="254" t="str">
        <f>IF(ISBLANK(INDEX('Policy Characteristics'!I:I,MATCH($C1408,'Policy Characteristics'!$C:$C,0))),"",INDEX('Policy Characteristics'!I:I,MATCH($C1408,'Policy Characteristics'!$C:$C,0)))</f>
        <v>% reduction in energy use</v>
      </c>
      <c r="P1408" s="254"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4" t="str">
        <f>IF(ISBLANK(INDEX('Policy Characteristics'!K:K,MATCH($C1408,'Policy Characteristics'!$C:$C,0))),"",INDEX('Policy Characteristics'!K:K,MATCH($C1408,'Policy Characteristics'!$C:$C,0)))</f>
        <v>industry-ag-main.html#eff-stds</v>
      </c>
      <c r="R1408" s="254" t="str">
        <f>IF(ISBLANK(INDEX('Policy Characteristics'!L:L,MATCH($C1408,'Policy Characteristics'!$C:$C,0))),"",INDEX('Policy Characteristics'!L:L,MATCH($C1408,'Policy Characteristics'!$C:$C,0)))</f>
        <v>industry-energy-efficiency-standards.html</v>
      </c>
    </row>
    <row r="1409" spans="1:18" s="4" customFormat="1" x14ac:dyDescent="0.3">
      <c r="A1409" s="254" t="str">
        <f>IF(ISBLANK(INDEX('Policy Characteristics'!A:A,MATCH($C1409,'Policy Characteristics'!$C:$C,0))),"",INDEX('Policy Characteristics'!A:A,MATCH($C1409,'Policy Characteristics'!$C:$C,0)))</f>
        <v>Industry</v>
      </c>
      <c r="B1409" s="262" t="str">
        <f>IF(ISBLANK(INDEX('Policy Characteristics'!B:B,MATCH($C1409,'Policy Characteristics'!$C:$C,0))),"",INDEX('Policy Characteristics'!B:B,MATCH($C1409,'Policy Characteristics'!$C:$C,0)))</f>
        <v>Industry Energy Efficiency Standards</v>
      </c>
      <c r="C1409" s="254" t="str">
        <f t="shared" si="49"/>
        <v>Percentage Improvement in Eqpt Efficiency Standards above BAU</v>
      </c>
      <c r="D1409" s="6" t="s">
        <v>3073</v>
      </c>
      <c r="E1409" s="45" t="s">
        <v>2402</v>
      </c>
      <c r="F1409" t="s">
        <v>3036</v>
      </c>
      <c r="G1409" s="45" t="s">
        <v>2406</v>
      </c>
      <c r="H1409" s="43">
        <v>1081</v>
      </c>
      <c r="I1409" s="324" t="s">
        <v>44</v>
      </c>
      <c r="J1409" s="255" t="str">
        <f>IF(ISBLANK(INDEX('Policy Characteristics'!D:D,MATCH($C1409,'Policy Characteristics'!$C:$C,0))),"",INDEX('Policy Characteristics'!D:D,MATCH($C1409,'Policy Characteristics'!$C:$C,0)))</f>
        <v>Industry Energy Efficiency Standards</v>
      </c>
      <c r="K1409" s="254" t="str">
        <f>IF(ISBLANK(INDEX('Policy Characteristics'!E:E,MATCH($C1409,'Policy Characteristics'!$C:$C,0))),"",INDEX('Policy Characteristics'!E:E,MATCH($C1409,'Policy Characteristics'!$C:$C,0)))</f>
        <v>indst efficiency standards</v>
      </c>
      <c r="L1409" s="261">
        <f>IF(ISBLANK(INDEX('Policy Characteristics'!F:F,MATCH($C1409,'Policy Characteristics'!$C:$C,0))),"",INDEX('Policy Characteristics'!F:F,MATCH($C1409,'Policy Characteristics'!$C:$C,0)))</f>
        <v>0</v>
      </c>
      <c r="M1409" s="261">
        <f>IF(ISBLANK(INDEX('Policy Characteristics'!G:G,MATCH($C1409,'Policy Characteristics'!$C:$C,0))),"",INDEX('Policy Characteristics'!G:G,MATCH($C1409,'Policy Characteristics'!$C:$C,0)))</f>
        <v>0.25</v>
      </c>
      <c r="N1409" s="261">
        <f>IF(ISBLANK(INDEX('Policy Characteristics'!H:H,MATCH($C1409,'Policy Characteristics'!$C:$C,0))),"",INDEX('Policy Characteristics'!H:H,MATCH($C1409,'Policy Characteristics'!$C:$C,0)))</f>
        <v>0.01</v>
      </c>
      <c r="O1409" s="254" t="str">
        <f>IF(ISBLANK(INDEX('Policy Characteristics'!I:I,MATCH($C1409,'Policy Characteristics'!$C:$C,0))),"",INDEX('Policy Characteristics'!I:I,MATCH($C1409,'Policy Characteristics'!$C:$C,0)))</f>
        <v>% reduction in energy use</v>
      </c>
      <c r="P1409" s="254"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4" t="str">
        <f>IF(ISBLANK(INDEX('Policy Characteristics'!K:K,MATCH($C1409,'Policy Characteristics'!$C:$C,0))),"",INDEX('Policy Characteristics'!K:K,MATCH($C1409,'Policy Characteristics'!$C:$C,0)))</f>
        <v>industry-ag-main.html#eff-stds</v>
      </c>
      <c r="R1409" s="254" t="str">
        <f>IF(ISBLANK(INDEX('Policy Characteristics'!L:L,MATCH($C1409,'Policy Characteristics'!$C:$C,0))),"",INDEX('Policy Characteristics'!L:L,MATCH($C1409,'Policy Characteristics'!$C:$C,0)))</f>
        <v>industry-energy-efficiency-standards.html</v>
      </c>
    </row>
    <row r="1410" spans="1:18" s="4" customFormat="1" x14ac:dyDescent="0.3">
      <c r="A1410" s="254" t="str">
        <f>IF(ISBLANK(INDEX('Policy Characteristics'!A:A,MATCH($C1410,'Policy Characteristics'!$C:$C,0))),"",INDEX('Policy Characteristics'!A:A,MATCH($C1410,'Policy Characteristics'!$C:$C,0)))</f>
        <v>Industry</v>
      </c>
      <c r="B1410" s="262" t="str">
        <f>IF(ISBLANK(INDEX('Policy Characteristics'!B:B,MATCH($C1410,'Policy Characteristics'!$C:$C,0))),"",INDEX('Policy Characteristics'!B:B,MATCH($C1410,'Policy Characteristics'!$C:$C,0)))</f>
        <v>Industry Energy Efficiency Standards</v>
      </c>
      <c r="C1410" s="254" t="str">
        <f t="shared" si="49"/>
        <v>Percentage Improvement in Eqpt Efficiency Standards above BAU</v>
      </c>
      <c r="D1410" s="6" t="s">
        <v>3073</v>
      </c>
      <c r="E1410" s="45" t="s">
        <v>2403</v>
      </c>
      <c r="F1410" t="s">
        <v>3036</v>
      </c>
      <c r="G1410" s="45" t="s">
        <v>2407</v>
      </c>
      <c r="H1410" s="43">
        <v>1082</v>
      </c>
      <c r="I1410" s="324" t="s">
        <v>43</v>
      </c>
      <c r="J1410" s="255" t="str">
        <f>IF(ISBLANK(INDEX('Policy Characteristics'!D:D,MATCH($C1410,'Policy Characteristics'!$C:$C,0))),"",INDEX('Policy Characteristics'!D:D,MATCH($C1410,'Policy Characteristics'!$C:$C,0)))</f>
        <v>Industry Energy Efficiency Standards</v>
      </c>
      <c r="K1410" s="254" t="str">
        <f>IF(ISBLANK(INDEX('Policy Characteristics'!E:E,MATCH($C1410,'Policy Characteristics'!$C:$C,0))),"",INDEX('Policy Characteristics'!E:E,MATCH($C1410,'Policy Characteristics'!$C:$C,0)))</f>
        <v>indst efficiency standards</v>
      </c>
      <c r="L1410" s="261">
        <f>IF(ISBLANK(INDEX('Policy Characteristics'!F:F,MATCH($C1410,'Policy Characteristics'!$C:$C,0))),"",INDEX('Policy Characteristics'!F:F,MATCH($C1410,'Policy Characteristics'!$C:$C,0)))</f>
        <v>0</v>
      </c>
      <c r="M1410" s="261">
        <f>IF(ISBLANK(INDEX('Policy Characteristics'!G:G,MATCH($C1410,'Policy Characteristics'!$C:$C,0))),"",INDEX('Policy Characteristics'!G:G,MATCH($C1410,'Policy Characteristics'!$C:$C,0)))</f>
        <v>0.25</v>
      </c>
      <c r="N1410" s="261">
        <f>IF(ISBLANK(INDEX('Policy Characteristics'!H:H,MATCH($C1410,'Policy Characteristics'!$C:$C,0))),"",INDEX('Policy Characteristics'!H:H,MATCH($C1410,'Policy Characteristics'!$C:$C,0)))</f>
        <v>0.01</v>
      </c>
      <c r="O1410" s="254" t="str">
        <f>IF(ISBLANK(INDEX('Policy Characteristics'!I:I,MATCH($C1410,'Policy Characteristics'!$C:$C,0))),"",INDEX('Policy Characteristics'!I:I,MATCH($C1410,'Policy Characteristics'!$C:$C,0)))</f>
        <v>% reduction in energy use</v>
      </c>
      <c r="P1410" s="254"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4" t="str">
        <f>IF(ISBLANK(INDEX('Policy Characteristics'!K:K,MATCH($C1410,'Policy Characteristics'!$C:$C,0))),"",INDEX('Policy Characteristics'!K:K,MATCH($C1410,'Policy Characteristics'!$C:$C,0)))</f>
        <v>industry-ag-main.html#eff-stds</v>
      </c>
      <c r="R1410" s="254" t="str">
        <f>IF(ISBLANK(INDEX('Policy Characteristics'!L:L,MATCH($C1410,'Policy Characteristics'!$C:$C,0))),"",INDEX('Policy Characteristics'!L:L,MATCH($C1410,'Policy Characteristics'!$C:$C,0)))</f>
        <v>industry-energy-efficiency-standards.html</v>
      </c>
    </row>
    <row r="1411" spans="1:18" s="4" customFormat="1" x14ac:dyDescent="0.3">
      <c r="A1411" s="254" t="str">
        <f>IF(ISBLANK(INDEX('Policy Characteristics'!A:A,MATCH($C1411,'Policy Characteristics'!$C:$C,0))),"",INDEX('Policy Characteristics'!A:A,MATCH($C1411,'Policy Characteristics'!$C:$C,0)))</f>
        <v>Industry</v>
      </c>
      <c r="B1411" s="262" t="str">
        <f>IF(ISBLANK(INDEX('Policy Characteristics'!B:B,MATCH($C1411,'Policy Characteristics'!$C:$C,0))),"",INDEX('Policy Characteristics'!B:B,MATCH($C1411,'Policy Characteristics'!$C:$C,0)))</f>
        <v>Industry Energy Efficiency Standards</v>
      </c>
      <c r="C1411" s="254" t="str">
        <f t="shared" si="49"/>
        <v>Percentage Improvement in Eqpt Efficiency Standards above BAU</v>
      </c>
      <c r="D1411" s="6" t="s">
        <v>3073</v>
      </c>
      <c r="E1411" s="45" t="s">
        <v>2404</v>
      </c>
      <c r="F1411" t="s">
        <v>3036</v>
      </c>
      <c r="G1411" s="45" t="s">
        <v>2410</v>
      </c>
      <c r="H1411" s="43">
        <v>1083</v>
      </c>
      <c r="I1411" s="324" t="s">
        <v>44</v>
      </c>
      <c r="J1411" s="255" t="str">
        <f>IF(ISBLANK(INDEX('Policy Characteristics'!D:D,MATCH($C1411,'Policy Characteristics'!$C:$C,0))),"",INDEX('Policy Characteristics'!D:D,MATCH($C1411,'Policy Characteristics'!$C:$C,0)))</f>
        <v>Industry Energy Efficiency Standards</v>
      </c>
      <c r="K1411" s="254" t="str">
        <f>IF(ISBLANK(INDEX('Policy Characteristics'!E:E,MATCH($C1411,'Policy Characteristics'!$C:$C,0))),"",INDEX('Policy Characteristics'!E:E,MATCH($C1411,'Policy Characteristics'!$C:$C,0)))</f>
        <v>indst efficiency standards</v>
      </c>
      <c r="L1411" s="261">
        <f>IF(ISBLANK(INDEX('Policy Characteristics'!F:F,MATCH($C1411,'Policy Characteristics'!$C:$C,0))),"",INDEX('Policy Characteristics'!F:F,MATCH($C1411,'Policy Characteristics'!$C:$C,0)))</f>
        <v>0</v>
      </c>
      <c r="M1411" s="261">
        <f>IF(ISBLANK(INDEX('Policy Characteristics'!G:G,MATCH($C1411,'Policy Characteristics'!$C:$C,0))),"",INDEX('Policy Characteristics'!G:G,MATCH($C1411,'Policy Characteristics'!$C:$C,0)))</f>
        <v>0.25</v>
      </c>
      <c r="N1411" s="261">
        <f>IF(ISBLANK(INDEX('Policy Characteristics'!H:H,MATCH($C1411,'Policy Characteristics'!$C:$C,0))),"",INDEX('Policy Characteristics'!H:H,MATCH($C1411,'Policy Characteristics'!$C:$C,0)))</f>
        <v>0.01</v>
      </c>
      <c r="O1411" s="254" t="str">
        <f>IF(ISBLANK(INDEX('Policy Characteristics'!I:I,MATCH($C1411,'Policy Characteristics'!$C:$C,0))),"",INDEX('Policy Characteristics'!I:I,MATCH($C1411,'Policy Characteristics'!$C:$C,0)))</f>
        <v>% reduction in energy use</v>
      </c>
      <c r="P1411" s="254"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4" t="str">
        <f>IF(ISBLANK(INDEX('Policy Characteristics'!K:K,MATCH($C1411,'Policy Characteristics'!$C:$C,0))),"",INDEX('Policy Characteristics'!K:K,MATCH($C1411,'Policy Characteristics'!$C:$C,0)))</f>
        <v>industry-ag-main.html#eff-stds</v>
      </c>
      <c r="R1411" s="254" t="str">
        <f>IF(ISBLANK(INDEX('Policy Characteristics'!L:L,MATCH($C1411,'Policy Characteristics'!$C:$C,0))),"",INDEX('Policy Characteristics'!L:L,MATCH($C1411,'Policy Characteristics'!$C:$C,0)))</f>
        <v>industry-energy-efficiency-standards.html</v>
      </c>
    </row>
    <row r="1412" spans="1:18" s="4" customFormat="1" x14ac:dyDescent="0.3">
      <c r="A1412" s="254" t="str">
        <f>IF(ISBLANK(INDEX('Policy Characteristics'!A:A,MATCH($C1412,'Policy Characteristics'!$C:$C,0))),"",INDEX('Policy Characteristics'!A:A,MATCH($C1412,'Policy Characteristics'!$C:$C,0)))</f>
        <v>Industry</v>
      </c>
      <c r="B1412" s="262" t="str">
        <f>IF(ISBLANK(INDEX('Policy Characteristics'!B:B,MATCH($C1412,'Policy Characteristics'!$C:$C,0))),"",INDEX('Policy Characteristics'!B:B,MATCH($C1412,'Policy Characteristics'!$C:$C,0)))</f>
        <v>Industry Energy Efficiency Standards</v>
      </c>
      <c r="C1412" s="254" t="str">
        <f t="shared" si="49"/>
        <v>Percentage Improvement in Eqpt Efficiency Standards above BAU</v>
      </c>
      <c r="D1412" s="6" t="s">
        <v>3073</v>
      </c>
      <c r="E1412" s="45" t="s">
        <v>2706</v>
      </c>
      <c r="F1412" t="s">
        <v>3036</v>
      </c>
      <c r="G1412" s="45" t="s">
        <v>2709</v>
      </c>
      <c r="H1412" s="43">
        <v>1084</v>
      </c>
      <c r="I1412" s="324" t="s">
        <v>44</v>
      </c>
      <c r="J1412" s="255" t="str">
        <f>IF(ISBLANK(INDEX('Policy Characteristics'!D:D,MATCH($C1412,'Policy Characteristics'!$C:$C,0))),"",INDEX('Policy Characteristics'!D:D,MATCH($C1412,'Policy Characteristics'!$C:$C,0)))</f>
        <v>Industry Energy Efficiency Standards</v>
      </c>
      <c r="K1412" s="254" t="str">
        <f>IF(ISBLANK(INDEX('Policy Characteristics'!E:E,MATCH($C1412,'Policy Characteristics'!$C:$C,0))),"",INDEX('Policy Characteristics'!E:E,MATCH($C1412,'Policy Characteristics'!$C:$C,0)))</f>
        <v>indst efficiency standards</v>
      </c>
      <c r="L1412" s="261">
        <f>IF(ISBLANK(INDEX('Policy Characteristics'!F:F,MATCH($C1412,'Policy Characteristics'!$C:$C,0))),"",INDEX('Policy Characteristics'!F:F,MATCH($C1412,'Policy Characteristics'!$C:$C,0)))</f>
        <v>0</v>
      </c>
      <c r="M1412" s="261">
        <f>IF(ISBLANK(INDEX('Policy Characteristics'!G:G,MATCH($C1412,'Policy Characteristics'!$C:$C,0))),"",INDEX('Policy Characteristics'!G:G,MATCH($C1412,'Policy Characteristics'!$C:$C,0)))</f>
        <v>0.25</v>
      </c>
      <c r="N1412" s="261">
        <f>IF(ISBLANK(INDEX('Policy Characteristics'!H:H,MATCH($C1412,'Policy Characteristics'!$C:$C,0))),"",INDEX('Policy Characteristics'!H:H,MATCH($C1412,'Policy Characteristics'!$C:$C,0)))</f>
        <v>0.01</v>
      </c>
      <c r="O1412" s="254" t="str">
        <f>IF(ISBLANK(INDEX('Policy Characteristics'!I:I,MATCH($C1412,'Policy Characteristics'!$C:$C,0))),"",INDEX('Policy Characteristics'!I:I,MATCH($C1412,'Policy Characteristics'!$C:$C,0)))</f>
        <v>% reduction in energy use</v>
      </c>
      <c r="P1412" s="254"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4" t="str">
        <f>IF(ISBLANK(INDEX('Policy Characteristics'!K:K,MATCH($C1412,'Policy Characteristics'!$C:$C,0))),"",INDEX('Policy Characteristics'!K:K,MATCH($C1412,'Policy Characteristics'!$C:$C,0)))</f>
        <v>industry-ag-main.html#eff-stds</v>
      </c>
      <c r="R1412" s="254" t="str">
        <f>IF(ISBLANK(INDEX('Policy Characteristics'!L:L,MATCH($C1412,'Policy Characteristics'!$C:$C,0))),"",INDEX('Policy Characteristics'!L:L,MATCH($C1412,'Policy Characteristics'!$C:$C,0)))</f>
        <v>industry-energy-efficiency-standards.html</v>
      </c>
    </row>
    <row r="1413" spans="1:18" s="4" customFormat="1" x14ac:dyDescent="0.3">
      <c r="A1413" s="254" t="str">
        <f>IF(ISBLANK(INDEX('Policy Characteristics'!A:A,MATCH($C1413,'Policy Characteristics'!$C:$C,0))),"",INDEX('Policy Characteristics'!A:A,MATCH($C1413,'Policy Characteristics'!$C:$C,0)))</f>
        <v>Industry</v>
      </c>
      <c r="B1413" s="262" t="str">
        <f>IF(ISBLANK(INDEX('Policy Characteristics'!B:B,MATCH($C1413,'Policy Characteristics'!$C:$C,0))),"",INDEX('Policy Characteristics'!B:B,MATCH($C1413,'Policy Characteristics'!$C:$C,0)))</f>
        <v>Industry Energy Efficiency Standards</v>
      </c>
      <c r="C1413" s="254" t="str">
        <f t="shared" si="49"/>
        <v>Percentage Improvement in Eqpt Efficiency Standards above BAU</v>
      </c>
      <c r="D1413" s="6" t="s">
        <v>3073</v>
      </c>
      <c r="E1413" s="45" t="s">
        <v>2707</v>
      </c>
      <c r="F1413" t="s">
        <v>3036</v>
      </c>
      <c r="G1413" s="45" t="s">
        <v>2711</v>
      </c>
      <c r="H1413" s="43">
        <v>1085</v>
      </c>
      <c r="I1413" s="324" t="s">
        <v>43</v>
      </c>
      <c r="J1413" s="255" t="str">
        <f>IF(ISBLANK(INDEX('Policy Characteristics'!D:D,MATCH($C1413,'Policy Characteristics'!$C:$C,0))),"",INDEX('Policy Characteristics'!D:D,MATCH($C1413,'Policy Characteristics'!$C:$C,0)))</f>
        <v>Industry Energy Efficiency Standards</v>
      </c>
      <c r="K1413" s="254" t="str">
        <f>IF(ISBLANK(INDEX('Policy Characteristics'!E:E,MATCH($C1413,'Policy Characteristics'!$C:$C,0))),"",INDEX('Policy Characteristics'!E:E,MATCH($C1413,'Policy Characteristics'!$C:$C,0)))</f>
        <v>indst efficiency standards</v>
      </c>
      <c r="L1413" s="261">
        <f>IF(ISBLANK(INDEX('Policy Characteristics'!F:F,MATCH($C1413,'Policy Characteristics'!$C:$C,0))),"",INDEX('Policy Characteristics'!F:F,MATCH($C1413,'Policy Characteristics'!$C:$C,0)))</f>
        <v>0</v>
      </c>
      <c r="M1413" s="261">
        <f>IF(ISBLANK(INDEX('Policy Characteristics'!G:G,MATCH($C1413,'Policy Characteristics'!$C:$C,0))),"",INDEX('Policy Characteristics'!G:G,MATCH($C1413,'Policy Characteristics'!$C:$C,0)))</f>
        <v>0.25</v>
      </c>
      <c r="N1413" s="261">
        <f>IF(ISBLANK(INDEX('Policy Characteristics'!H:H,MATCH($C1413,'Policy Characteristics'!$C:$C,0))),"",INDEX('Policy Characteristics'!H:H,MATCH($C1413,'Policy Characteristics'!$C:$C,0)))</f>
        <v>0.01</v>
      </c>
      <c r="O1413" s="254" t="str">
        <f>IF(ISBLANK(INDEX('Policy Characteristics'!I:I,MATCH($C1413,'Policy Characteristics'!$C:$C,0))),"",INDEX('Policy Characteristics'!I:I,MATCH($C1413,'Policy Characteristics'!$C:$C,0)))</f>
        <v>% reduction in energy use</v>
      </c>
      <c r="P1413" s="254"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4" t="str">
        <f>IF(ISBLANK(INDEX('Policy Characteristics'!K:K,MATCH($C1413,'Policy Characteristics'!$C:$C,0))),"",INDEX('Policy Characteristics'!K:K,MATCH($C1413,'Policy Characteristics'!$C:$C,0)))</f>
        <v>industry-ag-main.html#eff-stds</v>
      </c>
      <c r="R1413" s="254" t="str">
        <f>IF(ISBLANK(INDEX('Policy Characteristics'!L:L,MATCH($C1413,'Policy Characteristics'!$C:$C,0))),"",INDEX('Policy Characteristics'!L:L,MATCH($C1413,'Policy Characteristics'!$C:$C,0)))</f>
        <v>industry-energy-efficiency-standards.html</v>
      </c>
    </row>
    <row r="1414" spans="1:18" s="4" customFormat="1" x14ac:dyDescent="0.3">
      <c r="A1414" s="254" t="str">
        <f>IF(ISBLANK(INDEX('Policy Characteristics'!A:A,MATCH($C1414,'Policy Characteristics'!$C:$C,0))),"",INDEX('Policy Characteristics'!A:A,MATCH($C1414,'Policy Characteristics'!$C:$C,0)))</f>
        <v>Industry</v>
      </c>
      <c r="B1414" s="262" t="str">
        <f>IF(ISBLANK(INDEX('Policy Characteristics'!B:B,MATCH($C1414,'Policy Characteristics'!$C:$C,0))),"",INDEX('Policy Characteristics'!B:B,MATCH($C1414,'Policy Characteristics'!$C:$C,0)))</f>
        <v>Industry Energy Efficiency Standards</v>
      </c>
      <c r="C1414" s="254" t="str">
        <f t="shared" si="49"/>
        <v>Percentage Improvement in Eqpt Efficiency Standards above BAU</v>
      </c>
      <c r="D1414" s="6" t="s">
        <v>3073</v>
      </c>
      <c r="E1414" s="45" t="s">
        <v>2708</v>
      </c>
      <c r="F1414" t="s">
        <v>3036</v>
      </c>
      <c r="G1414" s="45" t="s">
        <v>2712</v>
      </c>
      <c r="H1414" s="43">
        <v>1086</v>
      </c>
      <c r="I1414" s="324" t="s">
        <v>43</v>
      </c>
      <c r="J1414" s="255" t="str">
        <f>IF(ISBLANK(INDEX('Policy Characteristics'!D:D,MATCH($C1414,'Policy Characteristics'!$C:$C,0))),"",INDEX('Policy Characteristics'!D:D,MATCH($C1414,'Policy Characteristics'!$C:$C,0)))</f>
        <v>Industry Energy Efficiency Standards</v>
      </c>
      <c r="K1414" s="254" t="str">
        <f>IF(ISBLANK(INDEX('Policy Characteristics'!E:E,MATCH($C1414,'Policy Characteristics'!$C:$C,0))),"",INDEX('Policy Characteristics'!E:E,MATCH($C1414,'Policy Characteristics'!$C:$C,0)))</f>
        <v>indst efficiency standards</v>
      </c>
      <c r="L1414" s="261">
        <f>IF(ISBLANK(INDEX('Policy Characteristics'!F:F,MATCH($C1414,'Policy Characteristics'!$C:$C,0))),"",INDEX('Policy Characteristics'!F:F,MATCH($C1414,'Policy Characteristics'!$C:$C,0)))</f>
        <v>0</v>
      </c>
      <c r="M1414" s="261">
        <f>IF(ISBLANK(INDEX('Policy Characteristics'!G:G,MATCH($C1414,'Policy Characteristics'!$C:$C,0))),"",INDEX('Policy Characteristics'!G:G,MATCH($C1414,'Policy Characteristics'!$C:$C,0)))</f>
        <v>0.25</v>
      </c>
      <c r="N1414" s="261">
        <f>IF(ISBLANK(INDEX('Policy Characteristics'!H:H,MATCH($C1414,'Policy Characteristics'!$C:$C,0))),"",INDEX('Policy Characteristics'!H:H,MATCH($C1414,'Policy Characteristics'!$C:$C,0)))</f>
        <v>0.01</v>
      </c>
      <c r="O1414" s="254" t="str">
        <f>IF(ISBLANK(INDEX('Policy Characteristics'!I:I,MATCH($C1414,'Policy Characteristics'!$C:$C,0))),"",INDEX('Policy Characteristics'!I:I,MATCH($C1414,'Policy Characteristics'!$C:$C,0)))</f>
        <v>% reduction in energy use</v>
      </c>
      <c r="P1414" s="254"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4" t="str">
        <f>IF(ISBLANK(INDEX('Policy Characteristics'!K:K,MATCH($C1414,'Policy Characteristics'!$C:$C,0))),"",INDEX('Policy Characteristics'!K:K,MATCH($C1414,'Policy Characteristics'!$C:$C,0)))</f>
        <v>industry-ag-main.html#eff-stds</v>
      </c>
      <c r="R1414" s="254" t="str">
        <f>IF(ISBLANK(INDEX('Policy Characteristics'!L:L,MATCH($C1414,'Policy Characteristics'!$C:$C,0))),"",INDEX('Policy Characteristics'!L:L,MATCH($C1414,'Policy Characteristics'!$C:$C,0)))</f>
        <v>industry-energy-efficiency-standards.html</v>
      </c>
    </row>
    <row r="1415" spans="1:18" s="4" customFormat="1" x14ac:dyDescent="0.3">
      <c r="A1415" s="254" t="str">
        <f>IF(ISBLANK(INDEX('Policy Characteristics'!A:A,MATCH($C1415,'Policy Characteristics'!$C:$C,0))),"",INDEX('Policy Characteristics'!A:A,MATCH($C1415,'Policy Characteristics'!$C:$C,0)))</f>
        <v>Industry</v>
      </c>
      <c r="B1415" s="262" t="str">
        <f>IF(ISBLANK(INDEX('Policy Characteristics'!B:B,MATCH($C1415,'Policy Characteristics'!$C:$C,0))),"",INDEX('Policy Characteristics'!B:B,MATCH($C1415,'Policy Characteristics'!$C:$C,0)))</f>
        <v>Industry Energy Efficiency Standards</v>
      </c>
      <c r="C1415" s="254" t="str">
        <f t="shared" ref="C1415:C1478" si="50">C$1286</f>
        <v>Percentage Improvement in Eqpt Efficiency Standards above BAU</v>
      </c>
      <c r="D1415" s="6" t="s">
        <v>3073</v>
      </c>
      <c r="E1415" s="45" t="s">
        <v>2705</v>
      </c>
      <c r="F1415" t="s">
        <v>3036</v>
      </c>
      <c r="G1415" s="45" t="s">
        <v>2710</v>
      </c>
      <c r="H1415" s="43">
        <v>1087</v>
      </c>
      <c r="I1415" s="324" t="s">
        <v>44</v>
      </c>
      <c r="J1415" s="255" t="str">
        <f>IF(ISBLANK(INDEX('Policy Characteristics'!D:D,MATCH($C1415,'Policy Characteristics'!$C:$C,0))),"",INDEX('Policy Characteristics'!D:D,MATCH($C1415,'Policy Characteristics'!$C:$C,0)))</f>
        <v>Industry Energy Efficiency Standards</v>
      </c>
      <c r="K1415" s="254" t="str">
        <f>IF(ISBLANK(INDEX('Policy Characteristics'!E:E,MATCH($C1415,'Policy Characteristics'!$C:$C,0))),"",INDEX('Policy Characteristics'!E:E,MATCH($C1415,'Policy Characteristics'!$C:$C,0)))</f>
        <v>indst efficiency standards</v>
      </c>
      <c r="L1415" s="261">
        <f>IF(ISBLANK(INDEX('Policy Characteristics'!F:F,MATCH($C1415,'Policy Characteristics'!$C:$C,0))),"",INDEX('Policy Characteristics'!F:F,MATCH($C1415,'Policy Characteristics'!$C:$C,0)))</f>
        <v>0</v>
      </c>
      <c r="M1415" s="261">
        <f>IF(ISBLANK(INDEX('Policy Characteristics'!G:G,MATCH($C1415,'Policy Characteristics'!$C:$C,0))),"",INDEX('Policy Characteristics'!G:G,MATCH($C1415,'Policy Characteristics'!$C:$C,0)))</f>
        <v>0.25</v>
      </c>
      <c r="N1415" s="261">
        <f>IF(ISBLANK(INDEX('Policy Characteristics'!H:H,MATCH($C1415,'Policy Characteristics'!$C:$C,0))),"",INDEX('Policy Characteristics'!H:H,MATCH($C1415,'Policy Characteristics'!$C:$C,0)))</f>
        <v>0.01</v>
      </c>
      <c r="O1415" s="254" t="str">
        <f>IF(ISBLANK(INDEX('Policy Characteristics'!I:I,MATCH($C1415,'Policy Characteristics'!$C:$C,0))),"",INDEX('Policy Characteristics'!I:I,MATCH($C1415,'Policy Characteristics'!$C:$C,0)))</f>
        <v>% reduction in energy use</v>
      </c>
      <c r="P1415" s="254"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4" t="str">
        <f>IF(ISBLANK(INDEX('Policy Characteristics'!K:K,MATCH($C1415,'Policy Characteristics'!$C:$C,0))),"",INDEX('Policy Characteristics'!K:K,MATCH($C1415,'Policy Characteristics'!$C:$C,0)))</f>
        <v>industry-ag-main.html#eff-stds</v>
      </c>
      <c r="R1415" s="254" t="str">
        <f>IF(ISBLANK(INDEX('Policy Characteristics'!L:L,MATCH($C1415,'Policy Characteristics'!$C:$C,0))),"",INDEX('Policy Characteristics'!L:L,MATCH($C1415,'Policy Characteristics'!$C:$C,0)))</f>
        <v>industry-energy-efficiency-standards.html</v>
      </c>
    </row>
    <row r="1416" spans="1:18" s="4" customFormat="1" x14ac:dyDescent="0.3">
      <c r="A1416" s="254" t="str">
        <f>IF(ISBLANK(INDEX('Policy Characteristics'!A:A,MATCH($C1416,'Policy Characteristics'!$C:$C,0))),"",INDEX('Policy Characteristics'!A:A,MATCH($C1416,'Policy Characteristics'!$C:$C,0)))</f>
        <v>Industry</v>
      </c>
      <c r="B1416" s="262" t="str">
        <f>IF(ISBLANK(INDEX('Policy Characteristics'!B:B,MATCH($C1416,'Policy Characteristics'!$C:$C,0))),"",INDEX('Policy Characteristics'!B:B,MATCH($C1416,'Policy Characteristics'!$C:$C,0)))</f>
        <v>Industry Energy Efficiency Standards</v>
      </c>
      <c r="C1416" s="254" t="str">
        <f t="shared" si="50"/>
        <v>Percentage Improvement in Eqpt Efficiency Standards above BAU</v>
      </c>
      <c r="D1416" s="6" t="s">
        <v>3074</v>
      </c>
      <c r="E1416" s="45" t="s">
        <v>2399</v>
      </c>
      <c r="F1416" t="s">
        <v>2580</v>
      </c>
      <c r="G1416" s="45" t="s">
        <v>2405</v>
      </c>
      <c r="H1416" s="43">
        <v>1088</v>
      </c>
      <c r="I1416" s="324" t="s">
        <v>43</v>
      </c>
      <c r="J1416" s="255" t="str">
        <f>IF(ISBLANK(INDEX('Policy Characteristics'!D:D,MATCH($C1416,'Policy Characteristics'!$C:$C,0))),"",INDEX('Policy Characteristics'!D:D,MATCH($C1416,'Policy Characteristics'!$C:$C,0)))</f>
        <v>Industry Energy Efficiency Standards</v>
      </c>
      <c r="K1416" s="254" t="str">
        <f>IF(ISBLANK(INDEX('Policy Characteristics'!E:E,MATCH($C1416,'Policy Characteristics'!$C:$C,0))),"",INDEX('Policy Characteristics'!E:E,MATCH($C1416,'Policy Characteristics'!$C:$C,0)))</f>
        <v>indst efficiency standards</v>
      </c>
      <c r="L1416" s="261">
        <f>IF(ISBLANK(INDEX('Policy Characteristics'!F:F,MATCH($C1416,'Policy Characteristics'!$C:$C,0))),"",INDEX('Policy Characteristics'!F:F,MATCH($C1416,'Policy Characteristics'!$C:$C,0)))</f>
        <v>0</v>
      </c>
      <c r="M1416" s="261">
        <f>IF(ISBLANK(INDEX('Policy Characteristics'!G:G,MATCH($C1416,'Policy Characteristics'!$C:$C,0))),"",INDEX('Policy Characteristics'!G:G,MATCH($C1416,'Policy Characteristics'!$C:$C,0)))</f>
        <v>0.25</v>
      </c>
      <c r="N1416" s="261">
        <f>IF(ISBLANK(INDEX('Policy Characteristics'!H:H,MATCH($C1416,'Policy Characteristics'!$C:$C,0))),"",INDEX('Policy Characteristics'!H:H,MATCH($C1416,'Policy Characteristics'!$C:$C,0)))</f>
        <v>0.01</v>
      </c>
      <c r="O1416" s="254" t="str">
        <f>IF(ISBLANK(INDEX('Policy Characteristics'!I:I,MATCH($C1416,'Policy Characteristics'!$C:$C,0))),"",INDEX('Policy Characteristics'!I:I,MATCH($C1416,'Policy Characteristics'!$C:$C,0)))</f>
        <v>% reduction in energy use</v>
      </c>
      <c r="P1416" s="254"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4" t="str">
        <f>IF(ISBLANK(INDEX('Policy Characteristics'!K:K,MATCH($C1416,'Policy Characteristics'!$C:$C,0))),"",INDEX('Policy Characteristics'!K:K,MATCH($C1416,'Policy Characteristics'!$C:$C,0)))</f>
        <v>industry-ag-main.html#eff-stds</v>
      </c>
      <c r="R1416" s="254" t="str">
        <f>IF(ISBLANK(INDEX('Policy Characteristics'!L:L,MATCH($C1416,'Policy Characteristics'!$C:$C,0))),"",INDEX('Policy Characteristics'!L:L,MATCH($C1416,'Policy Characteristics'!$C:$C,0)))</f>
        <v>industry-energy-efficiency-standards.html</v>
      </c>
    </row>
    <row r="1417" spans="1:18" s="4" customFormat="1" x14ac:dyDescent="0.3">
      <c r="A1417" s="254" t="str">
        <f>IF(ISBLANK(INDEX('Policy Characteristics'!A:A,MATCH($C1417,'Policy Characteristics'!$C:$C,0))),"",INDEX('Policy Characteristics'!A:A,MATCH($C1417,'Policy Characteristics'!$C:$C,0)))</f>
        <v>Industry</v>
      </c>
      <c r="B1417" s="262" t="str">
        <f>IF(ISBLANK(INDEX('Policy Characteristics'!B:B,MATCH($C1417,'Policy Characteristics'!$C:$C,0))),"",INDEX('Policy Characteristics'!B:B,MATCH($C1417,'Policy Characteristics'!$C:$C,0)))</f>
        <v>Industry Energy Efficiency Standards</v>
      </c>
      <c r="C1417" s="254" t="str">
        <f t="shared" si="50"/>
        <v>Percentage Improvement in Eqpt Efficiency Standards above BAU</v>
      </c>
      <c r="D1417" s="6" t="s">
        <v>3074</v>
      </c>
      <c r="E1417" s="45" t="s">
        <v>2400</v>
      </c>
      <c r="F1417" t="s">
        <v>2580</v>
      </c>
      <c r="G1417" s="45" t="s">
        <v>2408</v>
      </c>
      <c r="H1417" s="43">
        <v>1089</v>
      </c>
      <c r="I1417" s="324" t="s">
        <v>43</v>
      </c>
      <c r="J1417" s="255" t="str">
        <f>IF(ISBLANK(INDEX('Policy Characteristics'!D:D,MATCH($C1417,'Policy Characteristics'!$C:$C,0))),"",INDEX('Policy Characteristics'!D:D,MATCH($C1417,'Policy Characteristics'!$C:$C,0)))</f>
        <v>Industry Energy Efficiency Standards</v>
      </c>
      <c r="K1417" s="254" t="str">
        <f>IF(ISBLANK(INDEX('Policy Characteristics'!E:E,MATCH($C1417,'Policy Characteristics'!$C:$C,0))),"",INDEX('Policy Characteristics'!E:E,MATCH($C1417,'Policy Characteristics'!$C:$C,0)))</f>
        <v>indst efficiency standards</v>
      </c>
      <c r="L1417" s="261">
        <f>IF(ISBLANK(INDEX('Policy Characteristics'!F:F,MATCH($C1417,'Policy Characteristics'!$C:$C,0))),"",INDEX('Policy Characteristics'!F:F,MATCH($C1417,'Policy Characteristics'!$C:$C,0)))</f>
        <v>0</v>
      </c>
      <c r="M1417" s="261">
        <f>IF(ISBLANK(INDEX('Policy Characteristics'!G:G,MATCH($C1417,'Policy Characteristics'!$C:$C,0))),"",INDEX('Policy Characteristics'!G:G,MATCH($C1417,'Policy Characteristics'!$C:$C,0)))</f>
        <v>0.25</v>
      </c>
      <c r="N1417" s="261">
        <f>IF(ISBLANK(INDEX('Policy Characteristics'!H:H,MATCH($C1417,'Policy Characteristics'!$C:$C,0))),"",INDEX('Policy Characteristics'!H:H,MATCH($C1417,'Policy Characteristics'!$C:$C,0)))</f>
        <v>0.01</v>
      </c>
      <c r="O1417" s="254" t="str">
        <f>IF(ISBLANK(INDEX('Policy Characteristics'!I:I,MATCH($C1417,'Policy Characteristics'!$C:$C,0))),"",INDEX('Policy Characteristics'!I:I,MATCH($C1417,'Policy Characteristics'!$C:$C,0)))</f>
        <v>% reduction in energy use</v>
      </c>
      <c r="P1417" s="254"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4" t="str">
        <f>IF(ISBLANK(INDEX('Policy Characteristics'!K:K,MATCH($C1417,'Policy Characteristics'!$C:$C,0))),"",INDEX('Policy Characteristics'!K:K,MATCH($C1417,'Policy Characteristics'!$C:$C,0)))</f>
        <v>industry-ag-main.html#eff-stds</v>
      </c>
      <c r="R1417" s="254" t="str">
        <f>IF(ISBLANK(INDEX('Policy Characteristics'!L:L,MATCH($C1417,'Policy Characteristics'!$C:$C,0))),"",INDEX('Policy Characteristics'!L:L,MATCH($C1417,'Policy Characteristics'!$C:$C,0)))</f>
        <v>industry-energy-efficiency-standards.html</v>
      </c>
    </row>
    <row r="1418" spans="1:18" s="4" customFormat="1" x14ac:dyDescent="0.3">
      <c r="A1418" s="254" t="str">
        <f>IF(ISBLANK(INDEX('Policy Characteristics'!A:A,MATCH($C1418,'Policy Characteristics'!$C:$C,0))),"",INDEX('Policy Characteristics'!A:A,MATCH($C1418,'Policy Characteristics'!$C:$C,0)))</f>
        <v>Industry</v>
      </c>
      <c r="B1418" s="262" t="str">
        <f>IF(ISBLANK(INDEX('Policy Characteristics'!B:B,MATCH($C1418,'Policy Characteristics'!$C:$C,0))),"",INDEX('Policy Characteristics'!B:B,MATCH($C1418,'Policy Characteristics'!$C:$C,0)))</f>
        <v>Industry Energy Efficiency Standards</v>
      </c>
      <c r="C1418" s="254" t="str">
        <f t="shared" si="50"/>
        <v>Percentage Improvement in Eqpt Efficiency Standards above BAU</v>
      </c>
      <c r="D1418" s="6" t="s">
        <v>3074</v>
      </c>
      <c r="E1418" s="45" t="s">
        <v>2401</v>
      </c>
      <c r="F1418" t="s">
        <v>2580</v>
      </c>
      <c r="G1418" s="45" t="s">
        <v>2409</v>
      </c>
      <c r="H1418" s="43">
        <v>1090</v>
      </c>
      <c r="I1418" s="324" t="s">
        <v>43</v>
      </c>
      <c r="J1418" s="255" t="str">
        <f>IF(ISBLANK(INDEX('Policy Characteristics'!D:D,MATCH($C1418,'Policy Characteristics'!$C:$C,0))),"",INDEX('Policy Characteristics'!D:D,MATCH($C1418,'Policy Characteristics'!$C:$C,0)))</f>
        <v>Industry Energy Efficiency Standards</v>
      </c>
      <c r="K1418" s="254" t="str">
        <f>IF(ISBLANK(INDEX('Policy Characteristics'!E:E,MATCH($C1418,'Policy Characteristics'!$C:$C,0))),"",INDEX('Policy Characteristics'!E:E,MATCH($C1418,'Policy Characteristics'!$C:$C,0)))</f>
        <v>indst efficiency standards</v>
      </c>
      <c r="L1418" s="261">
        <f>IF(ISBLANK(INDEX('Policy Characteristics'!F:F,MATCH($C1418,'Policy Characteristics'!$C:$C,0))),"",INDEX('Policy Characteristics'!F:F,MATCH($C1418,'Policy Characteristics'!$C:$C,0)))</f>
        <v>0</v>
      </c>
      <c r="M1418" s="261">
        <f>IF(ISBLANK(INDEX('Policy Characteristics'!G:G,MATCH($C1418,'Policy Characteristics'!$C:$C,0))),"",INDEX('Policy Characteristics'!G:G,MATCH($C1418,'Policy Characteristics'!$C:$C,0)))</f>
        <v>0.25</v>
      </c>
      <c r="N1418" s="261">
        <f>IF(ISBLANK(INDEX('Policy Characteristics'!H:H,MATCH($C1418,'Policy Characteristics'!$C:$C,0))),"",INDEX('Policy Characteristics'!H:H,MATCH($C1418,'Policy Characteristics'!$C:$C,0)))</f>
        <v>0.01</v>
      </c>
      <c r="O1418" s="254" t="str">
        <f>IF(ISBLANK(INDEX('Policy Characteristics'!I:I,MATCH($C1418,'Policy Characteristics'!$C:$C,0))),"",INDEX('Policy Characteristics'!I:I,MATCH($C1418,'Policy Characteristics'!$C:$C,0)))</f>
        <v>% reduction in energy use</v>
      </c>
      <c r="P1418" s="254"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4" t="str">
        <f>IF(ISBLANK(INDEX('Policy Characteristics'!K:K,MATCH($C1418,'Policy Characteristics'!$C:$C,0))),"",INDEX('Policy Characteristics'!K:K,MATCH($C1418,'Policy Characteristics'!$C:$C,0)))</f>
        <v>industry-ag-main.html#eff-stds</v>
      </c>
      <c r="R1418" s="254" t="str">
        <f>IF(ISBLANK(INDEX('Policy Characteristics'!L:L,MATCH($C1418,'Policy Characteristics'!$C:$C,0))),"",INDEX('Policy Characteristics'!L:L,MATCH($C1418,'Policy Characteristics'!$C:$C,0)))</f>
        <v>industry-energy-efficiency-standards.html</v>
      </c>
    </row>
    <row r="1419" spans="1:18" s="4" customFormat="1" x14ac:dyDescent="0.3">
      <c r="A1419" s="254" t="str">
        <f>IF(ISBLANK(INDEX('Policy Characteristics'!A:A,MATCH($C1419,'Policy Characteristics'!$C:$C,0))),"",INDEX('Policy Characteristics'!A:A,MATCH($C1419,'Policy Characteristics'!$C:$C,0)))</f>
        <v>Industry</v>
      </c>
      <c r="B1419" s="262" t="str">
        <f>IF(ISBLANK(INDEX('Policy Characteristics'!B:B,MATCH($C1419,'Policy Characteristics'!$C:$C,0))),"",INDEX('Policy Characteristics'!B:B,MATCH($C1419,'Policy Characteristics'!$C:$C,0)))</f>
        <v>Industry Energy Efficiency Standards</v>
      </c>
      <c r="C1419" s="254" t="str">
        <f t="shared" si="50"/>
        <v>Percentage Improvement in Eqpt Efficiency Standards above BAU</v>
      </c>
      <c r="D1419" s="6" t="s">
        <v>3074</v>
      </c>
      <c r="E1419" s="45" t="s">
        <v>2402</v>
      </c>
      <c r="F1419" t="s">
        <v>2580</v>
      </c>
      <c r="G1419" s="45" t="s">
        <v>2406</v>
      </c>
      <c r="H1419" s="43">
        <v>1091</v>
      </c>
      <c r="I1419" s="324" t="s">
        <v>44</v>
      </c>
      <c r="J1419" s="255" t="str">
        <f>IF(ISBLANK(INDEX('Policy Characteristics'!D:D,MATCH($C1419,'Policy Characteristics'!$C:$C,0))),"",INDEX('Policy Characteristics'!D:D,MATCH($C1419,'Policy Characteristics'!$C:$C,0)))</f>
        <v>Industry Energy Efficiency Standards</v>
      </c>
      <c r="K1419" s="254" t="str">
        <f>IF(ISBLANK(INDEX('Policy Characteristics'!E:E,MATCH($C1419,'Policy Characteristics'!$C:$C,0))),"",INDEX('Policy Characteristics'!E:E,MATCH($C1419,'Policy Characteristics'!$C:$C,0)))</f>
        <v>indst efficiency standards</v>
      </c>
      <c r="L1419" s="261">
        <f>IF(ISBLANK(INDEX('Policy Characteristics'!F:F,MATCH($C1419,'Policy Characteristics'!$C:$C,0))),"",INDEX('Policy Characteristics'!F:F,MATCH($C1419,'Policy Characteristics'!$C:$C,0)))</f>
        <v>0</v>
      </c>
      <c r="M1419" s="261">
        <f>IF(ISBLANK(INDEX('Policy Characteristics'!G:G,MATCH($C1419,'Policy Characteristics'!$C:$C,0))),"",INDEX('Policy Characteristics'!G:G,MATCH($C1419,'Policy Characteristics'!$C:$C,0)))</f>
        <v>0.25</v>
      </c>
      <c r="N1419" s="261">
        <f>IF(ISBLANK(INDEX('Policy Characteristics'!H:H,MATCH($C1419,'Policy Characteristics'!$C:$C,0))),"",INDEX('Policy Characteristics'!H:H,MATCH($C1419,'Policy Characteristics'!$C:$C,0)))</f>
        <v>0.01</v>
      </c>
      <c r="O1419" s="254" t="str">
        <f>IF(ISBLANK(INDEX('Policy Characteristics'!I:I,MATCH($C1419,'Policy Characteristics'!$C:$C,0))),"",INDEX('Policy Characteristics'!I:I,MATCH($C1419,'Policy Characteristics'!$C:$C,0)))</f>
        <v>% reduction in energy use</v>
      </c>
      <c r="P1419" s="254"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4" t="str">
        <f>IF(ISBLANK(INDEX('Policy Characteristics'!K:K,MATCH($C1419,'Policy Characteristics'!$C:$C,0))),"",INDEX('Policy Characteristics'!K:K,MATCH($C1419,'Policy Characteristics'!$C:$C,0)))</f>
        <v>industry-ag-main.html#eff-stds</v>
      </c>
      <c r="R1419" s="254" t="str">
        <f>IF(ISBLANK(INDEX('Policy Characteristics'!L:L,MATCH($C1419,'Policy Characteristics'!$C:$C,0))),"",INDEX('Policy Characteristics'!L:L,MATCH($C1419,'Policy Characteristics'!$C:$C,0)))</f>
        <v>industry-energy-efficiency-standards.html</v>
      </c>
    </row>
    <row r="1420" spans="1:18" s="4" customFormat="1" x14ac:dyDescent="0.3">
      <c r="A1420" s="254" t="str">
        <f>IF(ISBLANK(INDEX('Policy Characteristics'!A:A,MATCH($C1420,'Policy Characteristics'!$C:$C,0))),"",INDEX('Policy Characteristics'!A:A,MATCH($C1420,'Policy Characteristics'!$C:$C,0)))</f>
        <v>Industry</v>
      </c>
      <c r="B1420" s="262" t="str">
        <f>IF(ISBLANK(INDEX('Policy Characteristics'!B:B,MATCH($C1420,'Policy Characteristics'!$C:$C,0))),"",INDEX('Policy Characteristics'!B:B,MATCH($C1420,'Policy Characteristics'!$C:$C,0)))</f>
        <v>Industry Energy Efficiency Standards</v>
      </c>
      <c r="C1420" s="254" t="str">
        <f t="shared" si="50"/>
        <v>Percentage Improvement in Eqpt Efficiency Standards above BAU</v>
      </c>
      <c r="D1420" s="6" t="s">
        <v>3074</v>
      </c>
      <c r="E1420" s="45" t="s">
        <v>2403</v>
      </c>
      <c r="F1420" t="s">
        <v>2580</v>
      </c>
      <c r="G1420" s="45" t="s">
        <v>2407</v>
      </c>
      <c r="H1420" s="43">
        <v>1092</v>
      </c>
      <c r="I1420" s="324" t="s">
        <v>43</v>
      </c>
      <c r="J1420" s="255" t="str">
        <f>IF(ISBLANK(INDEX('Policy Characteristics'!D:D,MATCH($C1420,'Policy Characteristics'!$C:$C,0))),"",INDEX('Policy Characteristics'!D:D,MATCH($C1420,'Policy Characteristics'!$C:$C,0)))</f>
        <v>Industry Energy Efficiency Standards</v>
      </c>
      <c r="K1420" s="254" t="str">
        <f>IF(ISBLANK(INDEX('Policy Characteristics'!E:E,MATCH($C1420,'Policy Characteristics'!$C:$C,0))),"",INDEX('Policy Characteristics'!E:E,MATCH($C1420,'Policy Characteristics'!$C:$C,0)))</f>
        <v>indst efficiency standards</v>
      </c>
      <c r="L1420" s="261">
        <f>IF(ISBLANK(INDEX('Policy Characteristics'!F:F,MATCH($C1420,'Policy Characteristics'!$C:$C,0))),"",INDEX('Policy Characteristics'!F:F,MATCH($C1420,'Policy Characteristics'!$C:$C,0)))</f>
        <v>0</v>
      </c>
      <c r="M1420" s="261">
        <f>IF(ISBLANK(INDEX('Policy Characteristics'!G:G,MATCH($C1420,'Policy Characteristics'!$C:$C,0))),"",INDEX('Policy Characteristics'!G:G,MATCH($C1420,'Policy Characteristics'!$C:$C,0)))</f>
        <v>0.25</v>
      </c>
      <c r="N1420" s="261">
        <f>IF(ISBLANK(INDEX('Policy Characteristics'!H:H,MATCH($C1420,'Policy Characteristics'!$C:$C,0))),"",INDEX('Policy Characteristics'!H:H,MATCH($C1420,'Policy Characteristics'!$C:$C,0)))</f>
        <v>0.01</v>
      </c>
      <c r="O1420" s="254" t="str">
        <f>IF(ISBLANK(INDEX('Policy Characteristics'!I:I,MATCH($C1420,'Policy Characteristics'!$C:$C,0))),"",INDEX('Policy Characteristics'!I:I,MATCH($C1420,'Policy Characteristics'!$C:$C,0)))</f>
        <v>% reduction in energy use</v>
      </c>
      <c r="P1420" s="254"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4" t="str">
        <f>IF(ISBLANK(INDEX('Policy Characteristics'!K:K,MATCH($C1420,'Policy Characteristics'!$C:$C,0))),"",INDEX('Policy Characteristics'!K:K,MATCH($C1420,'Policy Characteristics'!$C:$C,0)))</f>
        <v>industry-ag-main.html#eff-stds</v>
      </c>
      <c r="R1420" s="254" t="str">
        <f>IF(ISBLANK(INDEX('Policy Characteristics'!L:L,MATCH($C1420,'Policy Characteristics'!$C:$C,0))),"",INDEX('Policy Characteristics'!L:L,MATCH($C1420,'Policy Characteristics'!$C:$C,0)))</f>
        <v>industry-energy-efficiency-standards.html</v>
      </c>
    </row>
    <row r="1421" spans="1:18" s="4" customFormat="1" x14ac:dyDescent="0.3">
      <c r="A1421" s="254" t="str">
        <f>IF(ISBLANK(INDEX('Policy Characteristics'!A:A,MATCH($C1421,'Policy Characteristics'!$C:$C,0))),"",INDEX('Policy Characteristics'!A:A,MATCH($C1421,'Policy Characteristics'!$C:$C,0)))</f>
        <v>Industry</v>
      </c>
      <c r="B1421" s="262" t="str">
        <f>IF(ISBLANK(INDEX('Policy Characteristics'!B:B,MATCH($C1421,'Policy Characteristics'!$C:$C,0))),"",INDEX('Policy Characteristics'!B:B,MATCH($C1421,'Policy Characteristics'!$C:$C,0)))</f>
        <v>Industry Energy Efficiency Standards</v>
      </c>
      <c r="C1421" s="254" t="str">
        <f t="shared" si="50"/>
        <v>Percentage Improvement in Eqpt Efficiency Standards above BAU</v>
      </c>
      <c r="D1421" s="6" t="s">
        <v>3074</v>
      </c>
      <c r="E1421" s="45" t="s">
        <v>2404</v>
      </c>
      <c r="F1421" t="s">
        <v>2580</v>
      </c>
      <c r="G1421" s="45" t="s">
        <v>2410</v>
      </c>
      <c r="H1421" s="43">
        <v>1093</v>
      </c>
      <c r="I1421" s="324" t="s">
        <v>44</v>
      </c>
      <c r="J1421" s="255" t="str">
        <f>IF(ISBLANK(INDEX('Policy Characteristics'!D:D,MATCH($C1421,'Policy Characteristics'!$C:$C,0))),"",INDEX('Policy Characteristics'!D:D,MATCH($C1421,'Policy Characteristics'!$C:$C,0)))</f>
        <v>Industry Energy Efficiency Standards</v>
      </c>
      <c r="K1421" s="254" t="str">
        <f>IF(ISBLANK(INDEX('Policy Characteristics'!E:E,MATCH($C1421,'Policy Characteristics'!$C:$C,0))),"",INDEX('Policy Characteristics'!E:E,MATCH($C1421,'Policy Characteristics'!$C:$C,0)))</f>
        <v>indst efficiency standards</v>
      </c>
      <c r="L1421" s="261">
        <f>IF(ISBLANK(INDEX('Policy Characteristics'!F:F,MATCH($C1421,'Policy Characteristics'!$C:$C,0))),"",INDEX('Policy Characteristics'!F:F,MATCH($C1421,'Policy Characteristics'!$C:$C,0)))</f>
        <v>0</v>
      </c>
      <c r="M1421" s="261">
        <f>IF(ISBLANK(INDEX('Policy Characteristics'!G:G,MATCH($C1421,'Policy Characteristics'!$C:$C,0))),"",INDEX('Policy Characteristics'!G:G,MATCH($C1421,'Policy Characteristics'!$C:$C,0)))</f>
        <v>0.25</v>
      </c>
      <c r="N1421" s="261">
        <f>IF(ISBLANK(INDEX('Policy Characteristics'!H:H,MATCH($C1421,'Policy Characteristics'!$C:$C,0))),"",INDEX('Policy Characteristics'!H:H,MATCH($C1421,'Policy Characteristics'!$C:$C,0)))</f>
        <v>0.01</v>
      </c>
      <c r="O1421" s="254" t="str">
        <f>IF(ISBLANK(INDEX('Policy Characteristics'!I:I,MATCH($C1421,'Policy Characteristics'!$C:$C,0))),"",INDEX('Policy Characteristics'!I:I,MATCH($C1421,'Policy Characteristics'!$C:$C,0)))</f>
        <v>% reduction in energy use</v>
      </c>
      <c r="P1421" s="254"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4" t="str">
        <f>IF(ISBLANK(INDEX('Policy Characteristics'!K:K,MATCH($C1421,'Policy Characteristics'!$C:$C,0))),"",INDEX('Policy Characteristics'!K:K,MATCH($C1421,'Policy Characteristics'!$C:$C,0)))</f>
        <v>industry-ag-main.html#eff-stds</v>
      </c>
      <c r="R1421" s="254" t="str">
        <f>IF(ISBLANK(INDEX('Policy Characteristics'!L:L,MATCH($C1421,'Policy Characteristics'!$C:$C,0))),"",INDEX('Policy Characteristics'!L:L,MATCH($C1421,'Policy Characteristics'!$C:$C,0)))</f>
        <v>industry-energy-efficiency-standards.html</v>
      </c>
    </row>
    <row r="1422" spans="1:18" s="4" customFormat="1" x14ac:dyDescent="0.3">
      <c r="A1422" s="254" t="str">
        <f>IF(ISBLANK(INDEX('Policy Characteristics'!A:A,MATCH($C1422,'Policy Characteristics'!$C:$C,0))),"",INDEX('Policy Characteristics'!A:A,MATCH($C1422,'Policy Characteristics'!$C:$C,0)))</f>
        <v>Industry</v>
      </c>
      <c r="B1422" s="262" t="str">
        <f>IF(ISBLANK(INDEX('Policy Characteristics'!B:B,MATCH($C1422,'Policy Characteristics'!$C:$C,0))),"",INDEX('Policy Characteristics'!B:B,MATCH($C1422,'Policy Characteristics'!$C:$C,0)))</f>
        <v>Industry Energy Efficiency Standards</v>
      </c>
      <c r="C1422" s="254" t="str">
        <f t="shared" si="50"/>
        <v>Percentage Improvement in Eqpt Efficiency Standards above BAU</v>
      </c>
      <c r="D1422" s="6" t="s">
        <v>3074</v>
      </c>
      <c r="E1422" s="45" t="s">
        <v>2706</v>
      </c>
      <c r="F1422" t="s">
        <v>2580</v>
      </c>
      <c r="G1422" s="45" t="s">
        <v>2709</v>
      </c>
      <c r="H1422" s="43">
        <v>1094</v>
      </c>
      <c r="I1422" s="324" t="s">
        <v>44</v>
      </c>
      <c r="J1422" s="255" t="str">
        <f>IF(ISBLANK(INDEX('Policy Characteristics'!D:D,MATCH($C1422,'Policy Characteristics'!$C:$C,0))),"",INDEX('Policy Characteristics'!D:D,MATCH($C1422,'Policy Characteristics'!$C:$C,0)))</f>
        <v>Industry Energy Efficiency Standards</v>
      </c>
      <c r="K1422" s="254" t="str">
        <f>IF(ISBLANK(INDEX('Policy Characteristics'!E:E,MATCH($C1422,'Policy Characteristics'!$C:$C,0))),"",INDEX('Policy Characteristics'!E:E,MATCH($C1422,'Policy Characteristics'!$C:$C,0)))</f>
        <v>indst efficiency standards</v>
      </c>
      <c r="L1422" s="261">
        <f>IF(ISBLANK(INDEX('Policy Characteristics'!F:F,MATCH($C1422,'Policy Characteristics'!$C:$C,0))),"",INDEX('Policy Characteristics'!F:F,MATCH($C1422,'Policy Characteristics'!$C:$C,0)))</f>
        <v>0</v>
      </c>
      <c r="M1422" s="261">
        <f>IF(ISBLANK(INDEX('Policy Characteristics'!G:G,MATCH($C1422,'Policy Characteristics'!$C:$C,0))),"",INDEX('Policy Characteristics'!G:G,MATCH($C1422,'Policy Characteristics'!$C:$C,0)))</f>
        <v>0.25</v>
      </c>
      <c r="N1422" s="261">
        <f>IF(ISBLANK(INDEX('Policy Characteristics'!H:H,MATCH($C1422,'Policy Characteristics'!$C:$C,0))),"",INDEX('Policy Characteristics'!H:H,MATCH($C1422,'Policy Characteristics'!$C:$C,0)))</f>
        <v>0.01</v>
      </c>
      <c r="O1422" s="254" t="str">
        <f>IF(ISBLANK(INDEX('Policy Characteristics'!I:I,MATCH($C1422,'Policy Characteristics'!$C:$C,0))),"",INDEX('Policy Characteristics'!I:I,MATCH($C1422,'Policy Characteristics'!$C:$C,0)))</f>
        <v>% reduction in energy use</v>
      </c>
      <c r="P1422" s="254"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4" t="str">
        <f>IF(ISBLANK(INDEX('Policy Characteristics'!K:K,MATCH($C1422,'Policy Characteristics'!$C:$C,0))),"",INDEX('Policy Characteristics'!K:K,MATCH($C1422,'Policy Characteristics'!$C:$C,0)))</f>
        <v>industry-ag-main.html#eff-stds</v>
      </c>
      <c r="R1422" s="254" t="str">
        <f>IF(ISBLANK(INDEX('Policy Characteristics'!L:L,MATCH($C1422,'Policy Characteristics'!$C:$C,0))),"",INDEX('Policy Characteristics'!L:L,MATCH($C1422,'Policy Characteristics'!$C:$C,0)))</f>
        <v>industry-energy-efficiency-standards.html</v>
      </c>
    </row>
    <row r="1423" spans="1:18" s="4" customFormat="1" x14ac:dyDescent="0.3">
      <c r="A1423" s="254" t="str">
        <f>IF(ISBLANK(INDEX('Policy Characteristics'!A:A,MATCH($C1423,'Policy Characteristics'!$C:$C,0))),"",INDEX('Policy Characteristics'!A:A,MATCH($C1423,'Policy Characteristics'!$C:$C,0)))</f>
        <v>Industry</v>
      </c>
      <c r="B1423" s="262" t="str">
        <f>IF(ISBLANK(INDEX('Policy Characteristics'!B:B,MATCH($C1423,'Policy Characteristics'!$C:$C,0))),"",INDEX('Policy Characteristics'!B:B,MATCH($C1423,'Policy Characteristics'!$C:$C,0)))</f>
        <v>Industry Energy Efficiency Standards</v>
      </c>
      <c r="C1423" s="254" t="str">
        <f t="shared" si="50"/>
        <v>Percentage Improvement in Eqpt Efficiency Standards above BAU</v>
      </c>
      <c r="D1423" s="6" t="s">
        <v>3074</v>
      </c>
      <c r="E1423" s="45" t="s">
        <v>2707</v>
      </c>
      <c r="F1423" t="s">
        <v>2580</v>
      </c>
      <c r="G1423" s="45" t="s">
        <v>2711</v>
      </c>
      <c r="H1423" s="43">
        <v>1095</v>
      </c>
      <c r="I1423" s="324" t="s">
        <v>43</v>
      </c>
      <c r="J1423" s="255" t="str">
        <f>IF(ISBLANK(INDEX('Policy Characteristics'!D:D,MATCH($C1423,'Policy Characteristics'!$C:$C,0))),"",INDEX('Policy Characteristics'!D:D,MATCH($C1423,'Policy Characteristics'!$C:$C,0)))</f>
        <v>Industry Energy Efficiency Standards</v>
      </c>
      <c r="K1423" s="254" t="str">
        <f>IF(ISBLANK(INDEX('Policy Characteristics'!E:E,MATCH($C1423,'Policy Characteristics'!$C:$C,0))),"",INDEX('Policy Characteristics'!E:E,MATCH($C1423,'Policy Characteristics'!$C:$C,0)))</f>
        <v>indst efficiency standards</v>
      </c>
      <c r="L1423" s="261">
        <f>IF(ISBLANK(INDEX('Policy Characteristics'!F:F,MATCH($C1423,'Policy Characteristics'!$C:$C,0))),"",INDEX('Policy Characteristics'!F:F,MATCH($C1423,'Policy Characteristics'!$C:$C,0)))</f>
        <v>0</v>
      </c>
      <c r="M1423" s="261">
        <f>IF(ISBLANK(INDEX('Policy Characteristics'!G:G,MATCH($C1423,'Policy Characteristics'!$C:$C,0))),"",INDEX('Policy Characteristics'!G:G,MATCH($C1423,'Policy Characteristics'!$C:$C,0)))</f>
        <v>0.25</v>
      </c>
      <c r="N1423" s="261">
        <f>IF(ISBLANK(INDEX('Policy Characteristics'!H:H,MATCH($C1423,'Policy Characteristics'!$C:$C,0))),"",INDEX('Policy Characteristics'!H:H,MATCH($C1423,'Policy Characteristics'!$C:$C,0)))</f>
        <v>0.01</v>
      </c>
      <c r="O1423" s="254" t="str">
        <f>IF(ISBLANK(INDEX('Policy Characteristics'!I:I,MATCH($C1423,'Policy Characteristics'!$C:$C,0))),"",INDEX('Policy Characteristics'!I:I,MATCH($C1423,'Policy Characteristics'!$C:$C,0)))</f>
        <v>% reduction in energy use</v>
      </c>
      <c r="P1423" s="254"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4" t="str">
        <f>IF(ISBLANK(INDEX('Policy Characteristics'!K:K,MATCH($C1423,'Policy Characteristics'!$C:$C,0))),"",INDEX('Policy Characteristics'!K:K,MATCH($C1423,'Policy Characteristics'!$C:$C,0)))</f>
        <v>industry-ag-main.html#eff-stds</v>
      </c>
      <c r="R1423" s="254" t="str">
        <f>IF(ISBLANK(INDEX('Policy Characteristics'!L:L,MATCH($C1423,'Policy Characteristics'!$C:$C,0))),"",INDEX('Policy Characteristics'!L:L,MATCH($C1423,'Policy Characteristics'!$C:$C,0)))</f>
        <v>industry-energy-efficiency-standards.html</v>
      </c>
    </row>
    <row r="1424" spans="1:18" s="4" customFormat="1" x14ac:dyDescent="0.3">
      <c r="A1424" s="254" t="str">
        <f>IF(ISBLANK(INDEX('Policy Characteristics'!A:A,MATCH($C1424,'Policy Characteristics'!$C:$C,0))),"",INDEX('Policy Characteristics'!A:A,MATCH($C1424,'Policy Characteristics'!$C:$C,0)))</f>
        <v>Industry</v>
      </c>
      <c r="B1424" s="262" t="str">
        <f>IF(ISBLANK(INDEX('Policy Characteristics'!B:B,MATCH($C1424,'Policy Characteristics'!$C:$C,0))),"",INDEX('Policy Characteristics'!B:B,MATCH($C1424,'Policy Characteristics'!$C:$C,0)))</f>
        <v>Industry Energy Efficiency Standards</v>
      </c>
      <c r="C1424" s="254" t="str">
        <f t="shared" si="50"/>
        <v>Percentage Improvement in Eqpt Efficiency Standards above BAU</v>
      </c>
      <c r="D1424" s="6" t="s">
        <v>3074</v>
      </c>
      <c r="E1424" s="45" t="s">
        <v>2708</v>
      </c>
      <c r="F1424" t="s">
        <v>2580</v>
      </c>
      <c r="G1424" s="45" t="s">
        <v>2712</v>
      </c>
      <c r="H1424" s="43">
        <v>1096</v>
      </c>
      <c r="I1424" s="324" t="s">
        <v>43</v>
      </c>
      <c r="J1424" s="255" t="str">
        <f>IF(ISBLANK(INDEX('Policy Characteristics'!D:D,MATCH($C1424,'Policy Characteristics'!$C:$C,0))),"",INDEX('Policy Characteristics'!D:D,MATCH($C1424,'Policy Characteristics'!$C:$C,0)))</f>
        <v>Industry Energy Efficiency Standards</v>
      </c>
      <c r="K1424" s="254" t="str">
        <f>IF(ISBLANK(INDEX('Policy Characteristics'!E:E,MATCH($C1424,'Policy Characteristics'!$C:$C,0))),"",INDEX('Policy Characteristics'!E:E,MATCH($C1424,'Policy Characteristics'!$C:$C,0)))</f>
        <v>indst efficiency standards</v>
      </c>
      <c r="L1424" s="261">
        <f>IF(ISBLANK(INDEX('Policy Characteristics'!F:F,MATCH($C1424,'Policy Characteristics'!$C:$C,0))),"",INDEX('Policy Characteristics'!F:F,MATCH($C1424,'Policy Characteristics'!$C:$C,0)))</f>
        <v>0</v>
      </c>
      <c r="M1424" s="261">
        <f>IF(ISBLANK(INDEX('Policy Characteristics'!G:G,MATCH($C1424,'Policy Characteristics'!$C:$C,0))),"",INDEX('Policy Characteristics'!G:G,MATCH($C1424,'Policy Characteristics'!$C:$C,0)))</f>
        <v>0.25</v>
      </c>
      <c r="N1424" s="261">
        <f>IF(ISBLANK(INDEX('Policy Characteristics'!H:H,MATCH($C1424,'Policy Characteristics'!$C:$C,0))),"",INDEX('Policy Characteristics'!H:H,MATCH($C1424,'Policy Characteristics'!$C:$C,0)))</f>
        <v>0.01</v>
      </c>
      <c r="O1424" s="254" t="str">
        <f>IF(ISBLANK(INDEX('Policy Characteristics'!I:I,MATCH($C1424,'Policy Characteristics'!$C:$C,0))),"",INDEX('Policy Characteristics'!I:I,MATCH($C1424,'Policy Characteristics'!$C:$C,0)))</f>
        <v>% reduction in energy use</v>
      </c>
      <c r="P1424" s="254"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4" t="str">
        <f>IF(ISBLANK(INDEX('Policy Characteristics'!K:K,MATCH($C1424,'Policy Characteristics'!$C:$C,0))),"",INDEX('Policy Characteristics'!K:K,MATCH($C1424,'Policy Characteristics'!$C:$C,0)))</f>
        <v>industry-ag-main.html#eff-stds</v>
      </c>
      <c r="R1424" s="254" t="str">
        <f>IF(ISBLANK(INDEX('Policy Characteristics'!L:L,MATCH($C1424,'Policy Characteristics'!$C:$C,0))),"",INDEX('Policy Characteristics'!L:L,MATCH($C1424,'Policy Characteristics'!$C:$C,0)))</f>
        <v>industry-energy-efficiency-standards.html</v>
      </c>
    </row>
    <row r="1425" spans="1:18" s="4" customFormat="1" x14ac:dyDescent="0.3">
      <c r="A1425" s="254" t="str">
        <f>IF(ISBLANK(INDEX('Policy Characteristics'!A:A,MATCH($C1425,'Policy Characteristics'!$C:$C,0))),"",INDEX('Policy Characteristics'!A:A,MATCH($C1425,'Policy Characteristics'!$C:$C,0)))</f>
        <v>Industry</v>
      </c>
      <c r="B1425" s="262" t="str">
        <f>IF(ISBLANK(INDEX('Policy Characteristics'!B:B,MATCH($C1425,'Policy Characteristics'!$C:$C,0))),"",INDEX('Policy Characteristics'!B:B,MATCH($C1425,'Policy Characteristics'!$C:$C,0)))</f>
        <v>Industry Energy Efficiency Standards</v>
      </c>
      <c r="C1425" s="254" t="str">
        <f t="shared" si="50"/>
        <v>Percentage Improvement in Eqpt Efficiency Standards above BAU</v>
      </c>
      <c r="D1425" s="6" t="s">
        <v>3074</v>
      </c>
      <c r="E1425" s="45" t="s">
        <v>2705</v>
      </c>
      <c r="F1425" t="s">
        <v>2580</v>
      </c>
      <c r="G1425" s="45" t="s">
        <v>2710</v>
      </c>
      <c r="H1425" s="43">
        <v>1097</v>
      </c>
      <c r="I1425" s="324" t="s">
        <v>44</v>
      </c>
      <c r="J1425" s="255" t="str">
        <f>IF(ISBLANK(INDEX('Policy Characteristics'!D:D,MATCH($C1425,'Policy Characteristics'!$C:$C,0))),"",INDEX('Policy Characteristics'!D:D,MATCH($C1425,'Policy Characteristics'!$C:$C,0)))</f>
        <v>Industry Energy Efficiency Standards</v>
      </c>
      <c r="K1425" s="254" t="str">
        <f>IF(ISBLANK(INDEX('Policy Characteristics'!E:E,MATCH($C1425,'Policy Characteristics'!$C:$C,0))),"",INDEX('Policy Characteristics'!E:E,MATCH($C1425,'Policy Characteristics'!$C:$C,0)))</f>
        <v>indst efficiency standards</v>
      </c>
      <c r="L1425" s="261">
        <f>IF(ISBLANK(INDEX('Policy Characteristics'!F:F,MATCH($C1425,'Policy Characteristics'!$C:$C,0))),"",INDEX('Policy Characteristics'!F:F,MATCH($C1425,'Policy Characteristics'!$C:$C,0)))</f>
        <v>0</v>
      </c>
      <c r="M1425" s="261">
        <f>IF(ISBLANK(INDEX('Policy Characteristics'!G:G,MATCH($C1425,'Policy Characteristics'!$C:$C,0))),"",INDEX('Policy Characteristics'!G:G,MATCH($C1425,'Policy Characteristics'!$C:$C,0)))</f>
        <v>0.25</v>
      </c>
      <c r="N1425" s="261">
        <f>IF(ISBLANK(INDEX('Policy Characteristics'!H:H,MATCH($C1425,'Policy Characteristics'!$C:$C,0))),"",INDEX('Policy Characteristics'!H:H,MATCH($C1425,'Policy Characteristics'!$C:$C,0)))</f>
        <v>0.01</v>
      </c>
      <c r="O1425" s="254" t="str">
        <f>IF(ISBLANK(INDEX('Policy Characteristics'!I:I,MATCH($C1425,'Policy Characteristics'!$C:$C,0))),"",INDEX('Policy Characteristics'!I:I,MATCH($C1425,'Policy Characteristics'!$C:$C,0)))</f>
        <v>% reduction in energy use</v>
      </c>
      <c r="P1425" s="254"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4" t="str">
        <f>IF(ISBLANK(INDEX('Policy Characteristics'!K:K,MATCH($C1425,'Policy Characteristics'!$C:$C,0))),"",INDEX('Policy Characteristics'!K:K,MATCH($C1425,'Policy Characteristics'!$C:$C,0)))</f>
        <v>industry-ag-main.html#eff-stds</v>
      </c>
      <c r="R1425" s="254" t="str">
        <f>IF(ISBLANK(INDEX('Policy Characteristics'!L:L,MATCH($C1425,'Policy Characteristics'!$C:$C,0))),"",INDEX('Policy Characteristics'!L:L,MATCH($C1425,'Policy Characteristics'!$C:$C,0)))</f>
        <v>industry-energy-efficiency-standards.html</v>
      </c>
    </row>
    <row r="1426" spans="1:18" s="4" customFormat="1" x14ac:dyDescent="0.3">
      <c r="A1426" s="254" t="str">
        <f>IF(ISBLANK(INDEX('Policy Characteristics'!A:A,MATCH($C1426,'Policy Characteristics'!$C:$C,0))),"",INDEX('Policy Characteristics'!A:A,MATCH($C1426,'Policy Characteristics'!$C:$C,0)))</f>
        <v>Industry</v>
      </c>
      <c r="B1426" s="262" t="str">
        <f>IF(ISBLANK(INDEX('Policy Characteristics'!B:B,MATCH($C1426,'Policy Characteristics'!$C:$C,0))),"",INDEX('Policy Characteristics'!B:B,MATCH($C1426,'Policy Characteristics'!$C:$C,0)))</f>
        <v>Industry Energy Efficiency Standards</v>
      </c>
      <c r="C1426" s="254" t="str">
        <f t="shared" si="50"/>
        <v>Percentage Improvement in Eqpt Efficiency Standards above BAU</v>
      </c>
      <c r="D1426" s="6" t="s">
        <v>3075</v>
      </c>
      <c r="E1426" s="45" t="s">
        <v>2399</v>
      </c>
      <c r="F1426" t="s">
        <v>3037</v>
      </c>
      <c r="G1426" s="45" t="s">
        <v>2405</v>
      </c>
      <c r="H1426" s="43">
        <v>1098</v>
      </c>
      <c r="I1426" s="324" t="s">
        <v>43</v>
      </c>
      <c r="J1426" s="255" t="str">
        <f>IF(ISBLANK(INDEX('Policy Characteristics'!D:D,MATCH($C1426,'Policy Characteristics'!$C:$C,0))),"",INDEX('Policy Characteristics'!D:D,MATCH($C1426,'Policy Characteristics'!$C:$C,0)))</f>
        <v>Industry Energy Efficiency Standards</v>
      </c>
      <c r="K1426" s="254" t="str">
        <f>IF(ISBLANK(INDEX('Policy Characteristics'!E:E,MATCH($C1426,'Policy Characteristics'!$C:$C,0))),"",INDEX('Policy Characteristics'!E:E,MATCH($C1426,'Policy Characteristics'!$C:$C,0)))</f>
        <v>indst efficiency standards</v>
      </c>
      <c r="L1426" s="261">
        <f>IF(ISBLANK(INDEX('Policy Characteristics'!F:F,MATCH($C1426,'Policy Characteristics'!$C:$C,0))),"",INDEX('Policy Characteristics'!F:F,MATCH($C1426,'Policy Characteristics'!$C:$C,0)))</f>
        <v>0</v>
      </c>
      <c r="M1426" s="261">
        <f>IF(ISBLANK(INDEX('Policy Characteristics'!G:G,MATCH($C1426,'Policy Characteristics'!$C:$C,0))),"",INDEX('Policy Characteristics'!G:G,MATCH($C1426,'Policy Characteristics'!$C:$C,0)))</f>
        <v>0.25</v>
      </c>
      <c r="N1426" s="261">
        <f>IF(ISBLANK(INDEX('Policy Characteristics'!H:H,MATCH($C1426,'Policy Characteristics'!$C:$C,0))),"",INDEX('Policy Characteristics'!H:H,MATCH($C1426,'Policy Characteristics'!$C:$C,0)))</f>
        <v>0.01</v>
      </c>
      <c r="O1426" s="254" t="str">
        <f>IF(ISBLANK(INDEX('Policy Characteristics'!I:I,MATCH($C1426,'Policy Characteristics'!$C:$C,0))),"",INDEX('Policy Characteristics'!I:I,MATCH($C1426,'Policy Characteristics'!$C:$C,0)))</f>
        <v>% reduction in energy use</v>
      </c>
      <c r="P1426" s="254"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4" t="str">
        <f>IF(ISBLANK(INDEX('Policy Characteristics'!K:K,MATCH($C1426,'Policy Characteristics'!$C:$C,0))),"",INDEX('Policy Characteristics'!K:K,MATCH($C1426,'Policy Characteristics'!$C:$C,0)))</f>
        <v>industry-ag-main.html#eff-stds</v>
      </c>
      <c r="R1426" s="254" t="str">
        <f>IF(ISBLANK(INDEX('Policy Characteristics'!L:L,MATCH($C1426,'Policy Characteristics'!$C:$C,0))),"",INDEX('Policy Characteristics'!L:L,MATCH($C1426,'Policy Characteristics'!$C:$C,0)))</f>
        <v>industry-energy-efficiency-standards.html</v>
      </c>
    </row>
    <row r="1427" spans="1:18" s="4" customFormat="1" x14ac:dyDescent="0.3">
      <c r="A1427" s="254" t="str">
        <f>IF(ISBLANK(INDEX('Policy Characteristics'!A:A,MATCH($C1427,'Policy Characteristics'!$C:$C,0))),"",INDEX('Policy Characteristics'!A:A,MATCH($C1427,'Policy Characteristics'!$C:$C,0)))</f>
        <v>Industry</v>
      </c>
      <c r="B1427" s="262" t="str">
        <f>IF(ISBLANK(INDEX('Policy Characteristics'!B:B,MATCH($C1427,'Policy Characteristics'!$C:$C,0))),"",INDEX('Policy Characteristics'!B:B,MATCH($C1427,'Policy Characteristics'!$C:$C,0)))</f>
        <v>Industry Energy Efficiency Standards</v>
      </c>
      <c r="C1427" s="254" t="str">
        <f t="shared" si="50"/>
        <v>Percentage Improvement in Eqpt Efficiency Standards above BAU</v>
      </c>
      <c r="D1427" s="6" t="s">
        <v>3075</v>
      </c>
      <c r="E1427" s="45" t="s">
        <v>2400</v>
      </c>
      <c r="F1427" t="s">
        <v>3037</v>
      </c>
      <c r="G1427" s="45" t="s">
        <v>2408</v>
      </c>
      <c r="H1427" s="43">
        <v>1099</v>
      </c>
      <c r="I1427" s="324" t="s">
        <v>43</v>
      </c>
      <c r="J1427" s="255" t="str">
        <f>IF(ISBLANK(INDEX('Policy Characteristics'!D:D,MATCH($C1427,'Policy Characteristics'!$C:$C,0))),"",INDEX('Policy Characteristics'!D:D,MATCH($C1427,'Policy Characteristics'!$C:$C,0)))</f>
        <v>Industry Energy Efficiency Standards</v>
      </c>
      <c r="K1427" s="254" t="str">
        <f>IF(ISBLANK(INDEX('Policy Characteristics'!E:E,MATCH($C1427,'Policy Characteristics'!$C:$C,0))),"",INDEX('Policy Characteristics'!E:E,MATCH($C1427,'Policy Characteristics'!$C:$C,0)))</f>
        <v>indst efficiency standards</v>
      </c>
      <c r="L1427" s="261">
        <f>IF(ISBLANK(INDEX('Policy Characteristics'!F:F,MATCH($C1427,'Policy Characteristics'!$C:$C,0))),"",INDEX('Policy Characteristics'!F:F,MATCH($C1427,'Policy Characteristics'!$C:$C,0)))</f>
        <v>0</v>
      </c>
      <c r="M1427" s="261">
        <f>IF(ISBLANK(INDEX('Policy Characteristics'!G:G,MATCH($C1427,'Policy Characteristics'!$C:$C,0))),"",INDEX('Policy Characteristics'!G:G,MATCH($C1427,'Policy Characteristics'!$C:$C,0)))</f>
        <v>0.25</v>
      </c>
      <c r="N1427" s="261">
        <f>IF(ISBLANK(INDEX('Policy Characteristics'!H:H,MATCH($C1427,'Policy Characteristics'!$C:$C,0))),"",INDEX('Policy Characteristics'!H:H,MATCH($C1427,'Policy Characteristics'!$C:$C,0)))</f>
        <v>0.01</v>
      </c>
      <c r="O1427" s="254" t="str">
        <f>IF(ISBLANK(INDEX('Policy Characteristics'!I:I,MATCH($C1427,'Policy Characteristics'!$C:$C,0))),"",INDEX('Policy Characteristics'!I:I,MATCH($C1427,'Policy Characteristics'!$C:$C,0)))</f>
        <v>% reduction in energy use</v>
      </c>
      <c r="P1427" s="254"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4" t="str">
        <f>IF(ISBLANK(INDEX('Policy Characteristics'!K:K,MATCH($C1427,'Policy Characteristics'!$C:$C,0))),"",INDEX('Policy Characteristics'!K:K,MATCH($C1427,'Policy Characteristics'!$C:$C,0)))</f>
        <v>industry-ag-main.html#eff-stds</v>
      </c>
      <c r="R1427" s="254" t="str">
        <f>IF(ISBLANK(INDEX('Policy Characteristics'!L:L,MATCH($C1427,'Policy Characteristics'!$C:$C,0))),"",INDEX('Policy Characteristics'!L:L,MATCH($C1427,'Policy Characteristics'!$C:$C,0)))</f>
        <v>industry-energy-efficiency-standards.html</v>
      </c>
    </row>
    <row r="1428" spans="1:18" s="4" customFormat="1" x14ac:dyDescent="0.3">
      <c r="A1428" s="254" t="str">
        <f>IF(ISBLANK(INDEX('Policy Characteristics'!A:A,MATCH($C1428,'Policy Characteristics'!$C:$C,0))),"",INDEX('Policy Characteristics'!A:A,MATCH($C1428,'Policy Characteristics'!$C:$C,0)))</f>
        <v>Industry</v>
      </c>
      <c r="B1428" s="262" t="str">
        <f>IF(ISBLANK(INDEX('Policy Characteristics'!B:B,MATCH($C1428,'Policy Characteristics'!$C:$C,0))),"",INDEX('Policy Characteristics'!B:B,MATCH($C1428,'Policy Characteristics'!$C:$C,0)))</f>
        <v>Industry Energy Efficiency Standards</v>
      </c>
      <c r="C1428" s="254" t="str">
        <f t="shared" si="50"/>
        <v>Percentage Improvement in Eqpt Efficiency Standards above BAU</v>
      </c>
      <c r="D1428" s="6" t="s">
        <v>3075</v>
      </c>
      <c r="E1428" s="45" t="s">
        <v>2401</v>
      </c>
      <c r="F1428" t="s">
        <v>3037</v>
      </c>
      <c r="G1428" s="45" t="s">
        <v>2409</v>
      </c>
      <c r="H1428" s="43">
        <v>1100</v>
      </c>
      <c r="I1428" s="324" t="s">
        <v>43</v>
      </c>
      <c r="J1428" s="255" t="str">
        <f>IF(ISBLANK(INDEX('Policy Characteristics'!D:D,MATCH($C1428,'Policy Characteristics'!$C:$C,0))),"",INDEX('Policy Characteristics'!D:D,MATCH($C1428,'Policy Characteristics'!$C:$C,0)))</f>
        <v>Industry Energy Efficiency Standards</v>
      </c>
      <c r="K1428" s="254" t="str">
        <f>IF(ISBLANK(INDEX('Policy Characteristics'!E:E,MATCH($C1428,'Policy Characteristics'!$C:$C,0))),"",INDEX('Policy Characteristics'!E:E,MATCH($C1428,'Policy Characteristics'!$C:$C,0)))</f>
        <v>indst efficiency standards</v>
      </c>
      <c r="L1428" s="261">
        <f>IF(ISBLANK(INDEX('Policy Characteristics'!F:F,MATCH($C1428,'Policy Characteristics'!$C:$C,0))),"",INDEX('Policy Characteristics'!F:F,MATCH($C1428,'Policy Characteristics'!$C:$C,0)))</f>
        <v>0</v>
      </c>
      <c r="M1428" s="261">
        <f>IF(ISBLANK(INDEX('Policy Characteristics'!G:G,MATCH($C1428,'Policy Characteristics'!$C:$C,0))),"",INDEX('Policy Characteristics'!G:G,MATCH($C1428,'Policy Characteristics'!$C:$C,0)))</f>
        <v>0.25</v>
      </c>
      <c r="N1428" s="261">
        <f>IF(ISBLANK(INDEX('Policy Characteristics'!H:H,MATCH($C1428,'Policy Characteristics'!$C:$C,0))),"",INDEX('Policy Characteristics'!H:H,MATCH($C1428,'Policy Characteristics'!$C:$C,0)))</f>
        <v>0.01</v>
      </c>
      <c r="O1428" s="254" t="str">
        <f>IF(ISBLANK(INDEX('Policy Characteristics'!I:I,MATCH($C1428,'Policy Characteristics'!$C:$C,0))),"",INDEX('Policy Characteristics'!I:I,MATCH($C1428,'Policy Characteristics'!$C:$C,0)))</f>
        <v>% reduction in energy use</v>
      </c>
      <c r="P1428" s="254"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4" t="str">
        <f>IF(ISBLANK(INDEX('Policy Characteristics'!K:K,MATCH($C1428,'Policy Characteristics'!$C:$C,0))),"",INDEX('Policy Characteristics'!K:K,MATCH($C1428,'Policy Characteristics'!$C:$C,0)))</f>
        <v>industry-ag-main.html#eff-stds</v>
      </c>
      <c r="R1428" s="254" t="str">
        <f>IF(ISBLANK(INDEX('Policy Characteristics'!L:L,MATCH($C1428,'Policy Characteristics'!$C:$C,0))),"",INDEX('Policy Characteristics'!L:L,MATCH($C1428,'Policy Characteristics'!$C:$C,0)))</f>
        <v>industry-energy-efficiency-standards.html</v>
      </c>
    </row>
    <row r="1429" spans="1:18" s="4" customFormat="1" x14ac:dyDescent="0.3">
      <c r="A1429" s="254" t="str">
        <f>IF(ISBLANK(INDEX('Policy Characteristics'!A:A,MATCH($C1429,'Policy Characteristics'!$C:$C,0))),"",INDEX('Policy Characteristics'!A:A,MATCH($C1429,'Policy Characteristics'!$C:$C,0)))</f>
        <v>Industry</v>
      </c>
      <c r="B1429" s="262" t="str">
        <f>IF(ISBLANK(INDEX('Policy Characteristics'!B:B,MATCH($C1429,'Policy Characteristics'!$C:$C,0))),"",INDEX('Policy Characteristics'!B:B,MATCH($C1429,'Policy Characteristics'!$C:$C,0)))</f>
        <v>Industry Energy Efficiency Standards</v>
      </c>
      <c r="C1429" s="254" t="str">
        <f t="shared" si="50"/>
        <v>Percentage Improvement in Eqpt Efficiency Standards above BAU</v>
      </c>
      <c r="D1429" s="6" t="s">
        <v>3075</v>
      </c>
      <c r="E1429" s="45" t="s">
        <v>2402</v>
      </c>
      <c r="F1429" t="s">
        <v>3037</v>
      </c>
      <c r="G1429" s="45" t="s">
        <v>2406</v>
      </c>
      <c r="H1429" s="43">
        <v>1101</v>
      </c>
      <c r="I1429" s="324" t="s">
        <v>44</v>
      </c>
      <c r="J1429" s="255" t="str">
        <f>IF(ISBLANK(INDEX('Policy Characteristics'!D:D,MATCH($C1429,'Policy Characteristics'!$C:$C,0))),"",INDEX('Policy Characteristics'!D:D,MATCH($C1429,'Policy Characteristics'!$C:$C,0)))</f>
        <v>Industry Energy Efficiency Standards</v>
      </c>
      <c r="K1429" s="254" t="str">
        <f>IF(ISBLANK(INDEX('Policy Characteristics'!E:E,MATCH($C1429,'Policy Characteristics'!$C:$C,0))),"",INDEX('Policy Characteristics'!E:E,MATCH($C1429,'Policy Characteristics'!$C:$C,0)))</f>
        <v>indst efficiency standards</v>
      </c>
      <c r="L1429" s="261">
        <f>IF(ISBLANK(INDEX('Policy Characteristics'!F:F,MATCH($C1429,'Policy Characteristics'!$C:$C,0))),"",INDEX('Policy Characteristics'!F:F,MATCH($C1429,'Policy Characteristics'!$C:$C,0)))</f>
        <v>0</v>
      </c>
      <c r="M1429" s="261">
        <f>IF(ISBLANK(INDEX('Policy Characteristics'!G:G,MATCH($C1429,'Policy Characteristics'!$C:$C,0))),"",INDEX('Policy Characteristics'!G:G,MATCH($C1429,'Policy Characteristics'!$C:$C,0)))</f>
        <v>0.25</v>
      </c>
      <c r="N1429" s="261">
        <f>IF(ISBLANK(INDEX('Policy Characteristics'!H:H,MATCH($C1429,'Policy Characteristics'!$C:$C,0))),"",INDEX('Policy Characteristics'!H:H,MATCH($C1429,'Policy Characteristics'!$C:$C,0)))</f>
        <v>0.01</v>
      </c>
      <c r="O1429" s="254" t="str">
        <f>IF(ISBLANK(INDEX('Policy Characteristics'!I:I,MATCH($C1429,'Policy Characteristics'!$C:$C,0))),"",INDEX('Policy Characteristics'!I:I,MATCH($C1429,'Policy Characteristics'!$C:$C,0)))</f>
        <v>% reduction in energy use</v>
      </c>
      <c r="P1429" s="254"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4" t="str">
        <f>IF(ISBLANK(INDEX('Policy Characteristics'!K:K,MATCH($C1429,'Policy Characteristics'!$C:$C,0))),"",INDEX('Policy Characteristics'!K:K,MATCH($C1429,'Policy Characteristics'!$C:$C,0)))</f>
        <v>industry-ag-main.html#eff-stds</v>
      </c>
      <c r="R1429" s="254" t="str">
        <f>IF(ISBLANK(INDEX('Policy Characteristics'!L:L,MATCH($C1429,'Policy Characteristics'!$C:$C,0))),"",INDEX('Policy Characteristics'!L:L,MATCH($C1429,'Policy Characteristics'!$C:$C,0)))</f>
        <v>industry-energy-efficiency-standards.html</v>
      </c>
    </row>
    <row r="1430" spans="1:18" s="4" customFormat="1" x14ac:dyDescent="0.3">
      <c r="A1430" s="254" t="str">
        <f>IF(ISBLANK(INDEX('Policy Characteristics'!A:A,MATCH($C1430,'Policy Characteristics'!$C:$C,0))),"",INDEX('Policy Characteristics'!A:A,MATCH($C1430,'Policy Characteristics'!$C:$C,0)))</f>
        <v>Industry</v>
      </c>
      <c r="B1430" s="262" t="str">
        <f>IF(ISBLANK(INDEX('Policy Characteristics'!B:B,MATCH($C1430,'Policy Characteristics'!$C:$C,0))),"",INDEX('Policy Characteristics'!B:B,MATCH($C1430,'Policy Characteristics'!$C:$C,0)))</f>
        <v>Industry Energy Efficiency Standards</v>
      </c>
      <c r="C1430" s="254" t="str">
        <f t="shared" si="50"/>
        <v>Percentage Improvement in Eqpt Efficiency Standards above BAU</v>
      </c>
      <c r="D1430" s="6" t="s">
        <v>3075</v>
      </c>
      <c r="E1430" s="45" t="s">
        <v>2403</v>
      </c>
      <c r="F1430" t="s">
        <v>3037</v>
      </c>
      <c r="G1430" s="45" t="s">
        <v>2407</v>
      </c>
      <c r="H1430" s="43">
        <v>1102</v>
      </c>
      <c r="I1430" s="324" t="s">
        <v>43</v>
      </c>
      <c r="J1430" s="255" t="str">
        <f>IF(ISBLANK(INDEX('Policy Characteristics'!D:D,MATCH($C1430,'Policy Characteristics'!$C:$C,0))),"",INDEX('Policy Characteristics'!D:D,MATCH($C1430,'Policy Characteristics'!$C:$C,0)))</f>
        <v>Industry Energy Efficiency Standards</v>
      </c>
      <c r="K1430" s="254" t="str">
        <f>IF(ISBLANK(INDEX('Policy Characteristics'!E:E,MATCH($C1430,'Policy Characteristics'!$C:$C,0))),"",INDEX('Policy Characteristics'!E:E,MATCH($C1430,'Policy Characteristics'!$C:$C,0)))</f>
        <v>indst efficiency standards</v>
      </c>
      <c r="L1430" s="261">
        <f>IF(ISBLANK(INDEX('Policy Characteristics'!F:F,MATCH($C1430,'Policy Characteristics'!$C:$C,0))),"",INDEX('Policy Characteristics'!F:F,MATCH($C1430,'Policy Characteristics'!$C:$C,0)))</f>
        <v>0</v>
      </c>
      <c r="M1430" s="261">
        <f>IF(ISBLANK(INDEX('Policy Characteristics'!G:G,MATCH($C1430,'Policy Characteristics'!$C:$C,0))),"",INDEX('Policy Characteristics'!G:G,MATCH($C1430,'Policy Characteristics'!$C:$C,0)))</f>
        <v>0.25</v>
      </c>
      <c r="N1430" s="261">
        <f>IF(ISBLANK(INDEX('Policy Characteristics'!H:H,MATCH($C1430,'Policy Characteristics'!$C:$C,0))),"",INDEX('Policy Characteristics'!H:H,MATCH($C1430,'Policy Characteristics'!$C:$C,0)))</f>
        <v>0.01</v>
      </c>
      <c r="O1430" s="254" t="str">
        <f>IF(ISBLANK(INDEX('Policy Characteristics'!I:I,MATCH($C1430,'Policy Characteristics'!$C:$C,0))),"",INDEX('Policy Characteristics'!I:I,MATCH($C1430,'Policy Characteristics'!$C:$C,0)))</f>
        <v>% reduction in energy use</v>
      </c>
      <c r="P1430" s="254"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4" t="str">
        <f>IF(ISBLANK(INDEX('Policy Characteristics'!K:K,MATCH($C1430,'Policy Characteristics'!$C:$C,0))),"",INDEX('Policy Characteristics'!K:K,MATCH($C1430,'Policy Characteristics'!$C:$C,0)))</f>
        <v>industry-ag-main.html#eff-stds</v>
      </c>
      <c r="R1430" s="254" t="str">
        <f>IF(ISBLANK(INDEX('Policy Characteristics'!L:L,MATCH($C1430,'Policy Characteristics'!$C:$C,0))),"",INDEX('Policy Characteristics'!L:L,MATCH($C1430,'Policy Characteristics'!$C:$C,0)))</f>
        <v>industry-energy-efficiency-standards.html</v>
      </c>
    </row>
    <row r="1431" spans="1:18" s="4" customFormat="1" x14ac:dyDescent="0.3">
      <c r="A1431" s="254" t="str">
        <f>IF(ISBLANK(INDEX('Policy Characteristics'!A:A,MATCH($C1431,'Policy Characteristics'!$C:$C,0))),"",INDEX('Policy Characteristics'!A:A,MATCH($C1431,'Policy Characteristics'!$C:$C,0)))</f>
        <v>Industry</v>
      </c>
      <c r="B1431" s="262" t="str">
        <f>IF(ISBLANK(INDEX('Policy Characteristics'!B:B,MATCH($C1431,'Policy Characteristics'!$C:$C,0))),"",INDEX('Policy Characteristics'!B:B,MATCH($C1431,'Policy Characteristics'!$C:$C,0)))</f>
        <v>Industry Energy Efficiency Standards</v>
      </c>
      <c r="C1431" s="254" t="str">
        <f t="shared" si="50"/>
        <v>Percentage Improvement in Eqpt Efficiency Standards above BAU</v>
      </c>
      <c r="D1431" s="6" t="s">
        <v>3075</v>
      </c>
      <c r="E1431" s="45" t="s">
        <v>2404</v>
      </c>
      <c r="F1431" t="s">
        <v>3037</v>
      </c>
      <c r="G1431" s="45" t="s">
        <v>2410</v>
      </c>
      <c r="H1431" s="43">
        <v>1103</v>
      </c>
      <c r="I1431" s="324" t="s">
        <v>44</v>
      </c>
      <c r="J1431" s="255" t="str">
        <f>IF(ISBLANK(INDEX('Policy Characteristics'!D:D,MATCH($C1431,'Policy Characteristics'!$C:$C,0))),"",INDEX('Policy Characteristics'!D:D,MATCH($C1431,'Policy Characteristics'!$C:$C,0)))</f>
        <v>Industry Energy Efficiency Standards</v>
      </c>
      <c r="K1431" s="254" t="str">
        <f>IF(ISBLANK(INDEX('Policy Characteristics'!E:E,MATCH($C1431,'Policy Characteristics'!$C:$C,0))),"",INDEX('Policy Characteristics'!E:E,MATCH($C1431,'Policy Characteristics'!$C:$C,0)))</f>
        <v>indst efficiency standards</v>
      </c>
      <c r="L1431" s="261">
        <f>IF(ISBLANK(INDEX('Policy Characteristics'!F:F,MATCH($C1431,'Policy Characteristics'!$C:$C,0))),"",INDEX('Policy Characteristics'!F:F,MATCH($C1431,'Policy Characteristics'!$C:$C,0)))</f>
        <v>0</v>
      </c>
      <c r="M1431" s="261">
        <f>IF(ISBLANK(INDEX('Policy Characteristics'!G:G,MATCH($C1431,'Policy Characteristics'!$C:$C,0))),"",INDEX('Policy Characteristics'!G:G,MATCH($C1431,'Policy Characteristics'!$C:$C,0)))</f>
        <v>0.25</v>
      </c>
      <c r="N1431" s="261">
        <f>IF(ISBLANK(INDEX('Policy Characteristics'!H:H,MATCH($C1431,'Policy Characteristics'!$C:$C,0))),"",INDEX('Policy Characteristics'!H:H,MATCH($C1431,'Policy Characteristics'!$C:$C,0)))</f>
        <v>0.01</v>
      </c>
      <c r="O1431" s="254" t="str">
        <f>IF(ISBLANK(INDEX('Policy Characteristics'!I:I,MATCH($C1431,'Policy Characteristics'!$C:$C,0))),"",INDEX('Policy Characteristics'!I:I,MATCH($C1431,'Policy Characteristics'!$C:$C,0)))</f>
        <v>% reduction in energy use</v>
      </c>
      <c r="P1431" s="254"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4" t="str">
        <f>IF(ISBLANK(INDEX('Policy Characteristics'!K:K,MATCH($C1431,'Policy Characteristics'!$C:$C,0))),"",INDEX('Policy Characteristics'!K:K,MATCH($C1431,'Policy Characteristics'!$C:$C,0)))</f>
        <v>industry-ag-main.html#eff-stds</v>
      </c>
      <c r="R1431" s="254" t="str">
        <f>IF(ISBLANK(INDEX('Policy Characteristics'!L:L,MATCH($C1431,'Policy Characteristics'!$C:$C,0))),"",INDEX('Policy Characteristics'!L:L,MATCH($C1431,'Policy Characteristics'!$C:$C,0)))</f>
        <v>industry-energy-efficiency-standards.html</v>
      </c>
    </row>
    <row r="1432" spans="1:18" s="4" customFormat="1" x14ac:dyDescent="0.3">
      <c r="A1432" s="254" t="str">
        <f>IF(ISBLANK(INDEX('Policy Characteristics'!A:A,MATCH($C1432,'Policy Characteristics'!$C:$C,0))),"",INDEX('Policy Characteristics'!A:A,MATCH($C1432,'Policy Characteristics'!$C:$C,0)))</f>
        <v>Industry</v>
      </c>
      <c r="B1432" s="262" t="str">
        <f>IF(ISBLANK(INDEX('Policy Characteristics'!B:B,MATCH($C1432,'Policy Characteristics'!$C:$C,0))),"",INDEX('Policy Characteristics'!B:B,MATCH($C1432,'Policy Characteristics'!$C:$C,0)))</f>
        <v>Industry Energy Efficiency Standards</v>
      </c>
      <c r="C1432" s="254" t="str">
        <f t="shared" si="50"/>
        <v>Percentage Improvement in Eqpt Efficiency Standards above BAU</v>
      </c>
      <c r="D1432" s="6" t="s">
        <v>3075</v>
      </c>
      <c r="E1432" s="45" t="s">
        <v>2706</v>
      </c>
      <c r="F1432" t="s">
        <v>3037</v>
      </c>
      <c r="G1432" s="45" t="s">
        <v>2709</v>
      </c>
      <c r="H1432" s="43">
        <v>1104</v>
      </c>
      <c r="I1432" s="324" t="s">
        <v>44</v>
      </c>
      <c r="J1432" s="255" t="str">
        <f>IF(ISBLANK(INDEX('Policy Characteristics'!D:D,MATCH($C1432,'Policy Characteristics'!$C:$C,0))),"",INDEX('Policy Characteristics'!D:D,MATCH($C1432,'Policy Characteristics'!$C:$C,0)))</f>
        <v>Industry Energy Efficiency Standards</v>
      </c>
      <c r="K1432" s="254" t="str">
        <f>IF(ISBLANK(INDEX('Policy Characteristics'!E:E,MATCH($C1432,'Policy Characteristics'!$C:$C,0))),"",INDEX('Policy Characteristics'!E:E,MATCH($C1432,'Policy Characteristics'!$C:$C,0)))</f>
        <v>indst efficiency standards</v>
      </c>
      <c r="L1432" s="261">
        <f>IF(ISBLANK(INDEX('Policy Characteristics'!F:F,MATCH($C1432,'Policy Characteristics'!$C:$C,0))),"",INDEX('Policy Characteristics'!F:F,MATCH($C1432,'Policy Characteristics'!$C:$C,0)))</f>
        <v>0</v>
      </c>
      <c r="M1432" s="261">
        <f>IF(ISBLANK(INDEX('Policy Characteristics'!G:G,MATCH($C1432,'Policy Characteristics'!$C:$C,0))),"",INDEX('Policy Characteristics'!G:G,MATCH($C1432,'Policy Characteristics'!$C:$C,0)))</f>
        <v>0.25</v>
      </c>
      <c r="N1432" s="261">
        <f>IF(ISBLANK(INDEX('Policy Characteristics'!H:H,MATCH($C1432,'Policy Characteristics'!$C:$C,0))),"",INDEX('Policy Characteristics'!H:H,MATCH($C1432,'Policy Characteristics'!$C:$C,0)))</f>
        <v>0.01</v>
      </c>
      <c r="O1432" s="254" t="str">
        <f>IF(ISBLANK(INDEX('Policy Characteristics'!I:I,MATCH($C1432,'Policy Characteristics'!$C:$C,0))),"",INDEX('Policy Characteristics'!I:I,MATCH($C1432,'Policy Characteristics'!$C:$C,0)))</f>
        <v>% reduction in energy use</v>
      </c>
      <c r="P1432" s="254"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4" t="str">
        <f>IF(ISBLANK(INDEX('Policy Characteristics'!K:K,MATCH($C1432,'Policy Characteristics'!$C:$C,0))),"",INDEX('Policy Characteristics'!K:K,MATCH($C1432,'Policy Characteristics'!$C:$C,0)))</f>
        <v>industry-ag-main.html#eff-stds</v>
      </c>
      <c r="R1432" s="254" t="str">
        <f>IF(ISBLANK(INDEX('Policy Characteristics'!L:L,MATCH($C1432,'Policy Characteristics'!$C:$C,0))),"",INDEX('Policy Characteristics'!L:L,MATCH($C1432,'Policy Characteristics'!$C:$C,0)))</f>
        <v>industry-energy-efficiency-standards.html</v>
      </c>
    </row>
    <row r="1433" spans="1:18" s="4" customFormat="1" x14ac:dyDescent="0.3">
      <c r="A1433" s="254" t="str">
        <f>IF(ISBLANK(INDEX('Policy Characteristics'!A:A,MATCH($C1433,'Policy Characteristics'!$C:$C,0))),"",INDEX('Policy Characteristics'!A:A,MATCH($C1433,'Policy Characteristics'!$C:$C,0)))</f>
        <v>Industry</v>
      </c>
      <c r="B1433" s="262" t="str">
        <f>IF(ISBLANK(INDEX('Policy Characteristics'!B:B,MATCH($C1433,'Policy Characteristics'!$C:$C,0))),"",INDEX('Policy Characteristics'!B:B,MATCH($C1433,'Policy Characteristics'!$C:$C,0)))</f>
        <v>Industry Energy Efficiency Standards</v>
      </c>
      <c r="C1433" s="254" t="str">
        <f t="shared" si="50"/>
        <v>Percentage Improvement in Eqpt Efficiency Standards above BAU</v>
      </c>
      <c r="D1433" s="6" t="s">
        <v>3075</v>
      </c>
      <c r="E1433" s="45" t="s">
        <v>2707</v>
      </c>
      <c r="F1433" t="s">
        <v>3037</v>
      </c>
      <c r="G1433" s="45" t="s">
        <v>2711</v>
      </c>
      <c r="H1433" s="43">
        <v>1105</v>
      </c>
      <c r="I1433" s="324" t="s">
        <v>43</v>
      </c>
      <c r="J1433" s="255" t="str">
        <f>IF(ISBLANK(INDEX('Policy Characteristics'!D:D,MATCH($C1433,'Policy Characteristics'!$C:$C,0))),"",INDEX('Policy Characteristics'!D:D,MATCH($C1433,'Policy Characteristics'!$C:$C,0)))</f>
        <v>Industry Energy Efficiency Standards</v>
      </c>
      <c r="K1433" s="254" t="str">
        <f>IF(ISBLANK(INDEX('Policy Characteristics'!E:E,MATCH($C1433,'Policy Characteristics'!$C:$C,0))),"",INDEX('Policy Characteristics'!E:E,MATCH($C1433,'Policy Characteristics'!$C:$C,0)))</f>
        <v>indst efficiency standards</v>
      </c>
      <c r="L1433" s="261">
        <f>IF(ISBLANK(INDEX('Policy Characteristics'!F:F,MATCH($C1433,'Policy Characteristics'!$C:$C,0))),"",INDEX('Policy Characteristics'!F:F,MATCH($C1433,'Policy Characteristics'!$C:$C,0)))</f>
        <v>0</v>
      </c>
      <c r="M1433" s="261">
        <f>IF(ISBLANK(INDEX('Policy Characteristics'!G:G,MATCH($C1433,'Policy Characteristics'!$C:$C,0))),"",INDEX('Policy Characteristics'!G:G,MATCH($C1433,'Policy Characteristics'!$C:$C,0)))</f>
        <v>0.25</v>
      </c>
      <c r="N1433" s="261">
        <f>IF(ISBLANK(INDEX('Policy Characteristics'!H:H,MATCH($C1433,'Policy Characteristics'!$C:$C,0))),"",INDEX('Policy Characteristics'!H:H,MATCH($C1433,'Policy Characteristics'!$C:$C,0)))</f>
        <v>0.01</v>
      </c>
      <c r="O1433" s="254" t="str">
        <f>IF(ISBLANK(INDEX('Policy Characteristics'!I:I,MATCH($C1433,'Policy Characteristics'!$C:$C,0))),"",INDEX('Policy Characteristics'!I:I,MATCH($C1433,'Policy Characteristics'!$C:$C,0)))</f>
        <v>% reduction in energy use</v>
      </c>
      <c r="P1433" s="254"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4" t="str">
        <f>IF(ISBLANK(INDEX('Policy Characteristics'!K:K,MATCH($C1433,'Policy Characteristics'!$C:$C,0))),"",INDEX('Policy Characteristics'!K:K,MATCH($C1433,'Policy Characteristics'!$C:$C,0)))</f>
        <v>industry-ag-main.html#eff-stds</v>
      </c>
      <c r="R1433" s="254" t="str">
        <f>IF(ISBLANK(INDEX('Policy Characteristics'!L:L,MATCH($C1433,'Policy Characteristics'!$C:$C,0))),"",INDEX('Policy Characteristics'!L:L,MATCH($C1433,'Policy Characteristics'!$C:$C,0)))</f>
        <v>industry-energy-efficiency-standards.html</v>
      </c>
    </row>
    <row r="1434" spans="1:18" s="4" customFormat="1" x14ac:dyDescent="0.3">
      <c r="A1434" s="254" t="str">
        <f>IF(ISBLANK(INDEX('Policy Characteristics'!A:A,MATCH($C1434,'Policy Characteristics'!$C:$C,0))),"",INDEX('Policy Characteristics'!A:A,MATCH($C1434,'Policy Characteristics'!$C:$C,0)))</f>
        <v>Industry</v>
      </c>
      <c r="B1434" s="262" t="str">
        <f>IF(ISBLANK(INDEX('Policy Characteristics'!B:B,MATCH($C1434,'Policy Characteristics'!$C:$C,0))),"",INDEX('Policy Characteristics'!B:B,MATCH($C1434,'Policy Characteristics'!$C:$C,0)))</f>
        <v>Industry Energy Efficiency Standards</v>
      </c>
      <c r="C1434" s="254" t="str">
        <f t="shared" si="50"/>
        <v>Percentage Improvement in Eqpt Efficiency Standards above BAU</v>
      </c>
      <c r="D1434" s="6" t="s">
        <v>3075</v>
      </c>
      <c r="E1434" s="45" t="s">
        <v>2708</v>
      </c>
      <c r="F1434" t="s">
        <v>3037</v>
      </c>
      <c r="G1434" s="45" t="s">
        <v>2712</v>
      </c>
      <c r="H1434" s="43">
        <v>1106</v>
      </c>
      <c r="I1434" s="324" t="s">
        <v>43</v>
      </c>
      <c r="J1434" s="255" t="str">
        <f>IF(ISBLANK(INDEX('Policy Characteristics'!D:D,MATCH($C1434,'Policy Characteristics'!$C:$C,0))),"",INDEX('Policy Characteristics'!D:D,MATCH($C1434,'Policy Characteristics'!$C:$C,0)))</f>
        <v>Industry Energy Efficiency Standards</v>
      </c>
      <c r="K1434" s="254" t="str">
        <f>IF(ISBLANK(INDEX('Policy Characteristics'!E:E,MATCH($C1434,'Policy Characteristics'!$C:$C,0))),"",INDEX('Policy Characteristics'!E:E,MATCH($C1434,'Policy Characteristics'!$C:$C,0)))</f>
        <v>indst efficiency standards</v>
      </c>
      <c r="L1434" s="261">
        <f>IF(ISBLANK(INDEX('Policy Characteristics'!F:F,MATCH($C1434,'Policy Characteristics'!$C:$C,0))),"",INDEX('Policy Characteristics'!F:F,MATCH($C1434,'Policy Characteristics'!$C:$C,0)))</f>
        <v>0</v>
      </c>
      <c r="M1434" s="261">
        <f>IF(ISBLANK(INDEX('Policy Characteristics'!G:G,MATCH($C1434,'Policy Characteristics'!$C:$C,0))),"",INDEX('Policy Characteristics'!G:G,MATCH($C1434,'Policy Characteristics'!$C:$C,0)))</f>
        <v>0.25</v>
      </c>
      <c r="N1434" s="261">
        <f>IF(ISBLANK(INDEX('Policy Characteristics'!H:H,MATCH($C1434,'Policy Characteristics'!$C:$C,0))),"",INDEX('Policy Characteristics'!H:H,MATCH($C1434,'Policy Characteristics'!$C:$C,0)))</f>
        <v>0.01</v>
      </c>
      <c r="O1434" s="254" t="str">
        <f>IF(ISBLANK(INDEX('Policy Characteristics'!I:I,MATCH($C1434,'Policy Characteristics'!$C:$C,0))),"",INDEX('Policy Characteristics'!I:I,MATCH($C1434,'Policy Characteristics'!$C:$C,0)))</f>
        <v>% reduction in energy use</v>
      </c>
      <c r="P1434" s="254"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4" t="str">
        <f>IF(ISBLANK(INDEX('Policy Characteristics'!K:K,MATCH($C1434,'Policy Characteristics'!$C:$C,0))),"",INDEX('Policy Characteristics'!K:K,MATCH($C1434,'Policy Characteristics'!$C:$C,0)))</f>
        <v>industry-ag-main.html#eff-stds</v>
      </c>
      <c r="R1434" s="254" t="str">
        <f>IF(ISBLANK(INDEX('Policy Characteristics'!L:L,MATCH($C1434,'Policy Characteristics'!$C:$C,0))),"",INDEX('Policy Characteristics'!L:L,MATCH($C1434,'Policy Characteristics'!$C:$C,0)))</f>
        <v>industry-energy-efficiency-standards.html</v>
      </c>
    </row>
    <row r="1435" spans="1:18" s="4" customFormat="1" x14ac:dyDescent="0.3">
      <c r="A1435" s="254" t="str">
        <f>IF(ISBLANK(INDEX('Policy Characteristics'!A:A,MATCH($C1435,'Policy Characteristics'!$C:$C,0))),"",INDEX('Policy Characteristics'!A:A,MATCH($C1435,'Policy Characteristics'!$C:$C,0)))</f>
        <v>Industry</v>
      </c>
      <c r="B1435" s="262" t="str">
        <f>IF(ISBLANK(INDEX('Policy Characteristics'!B:B,MATCH($C1435,'Policy Characteristics'!$C:$C,0))),"",INDEX('Policy Characteristics'!B:B,MATCH($C1435,'Policy Characteristics'!$C:$C,0)))</f>
        <v>Industry Energy Efficiency Standards</v>
      </c>
      <c r="C1435" s="254" t="str">
        <f t="shared" si="50"/>
        <v>Percentage Improvement in Eqpt Efficiency Standards above BAU</v>
      </c>
      <c r="D1435" s="6" t="s">
        <v>3075</v>
      </c>
      <c r="E1435" s="45" t="s">
        <v>2705</v>
      </c>
      <c r="F1435" t="s">
        <v>3037</v>
      </c>
      <c r="G1435" s="45" t="s">
        <v>2710</v>
      </c>
      <c r="H1435" s="43">
        <v>1107</v>
      </c>
      <c r="I1435" s="324" t="s">
        <v>44</v>
      </c>
      <c r="J1435" s="255" t="str">
        <f>IF(ISBLANK(INDEX('Policy Characteristics'!D:D,MATCH($C1435,'Policy Characteristics'!$C:$C,0))),"",INDEX('Policy Characteristics'!D:D,MATCH($C1435,'Policy Characteristics'!$C:$C,0)))</f>
        <v>Industry Energy Efficiency Standards</v>
      </c>
      <c r="K1435" s="254" t="str">
        <f>IF(ISBLANK(INDEX('Policy Characteristics'!E:E,MATCH($C1435,'Policy Characteristics'!$C:$C,0))),"",INDEX('Policy Characteristics'!E:E,MATCH($C1435,'Policy Characteristics'!$C:$C,0)))</f>
        <v>indst efficiency standards</v>
      </c>
      <c r="L1435" s="261">
        <f>IF(ISBLANK(INDEX('Policy Characteristics'!F:F,MATCH($C1435,'Policy Characteristics'!$C:$C,0))),"",INDEX('Policy Characteristics'!F:F,MATCH($C1435,'Policy Characteristics'!$C:$C,0)))</f>
        <v>0</v>
      </c>
      <c r="M1435" s="261">
        <f>IF(ISBLANK(INDEX('Policy Characteristics'!G:G,MATCH($C1435,'Policy Characteristics'!$C:$C,0))),"",INDEX('Policy Characteristics'!G:G,MATCH($C1435,'Policy Characteristics'!$C:$C,0)))</f>
        <v>0.25</v>
      </c>
      <c r="N1435" s="261">
        <f>IF(ISBLANK(INDEX('Policy Characteristics'!H:H,MATCH($C1435,'Policy Characteristics'!$C:$C,0))),"",INDEX('Policy Characteristics'!H:H,MATCH($C1435,'Policy Characteristics'!$C:$C,0)))</f>
        <v>0.01</v>
      </c>
      <c r="O1435" s="254" t="str">
        <f>IF(ISBLANK(INDEX('Policy Characteristics'!I:I,MATCH($C1435,'Policy Characteristics'!$C:$C,0))),"",INDEX('Policy Characteristics'!I:I,MATCH($C1435,'Policy Characteristics'!$C:$C,0)))</f>
        <v>% reduction in energy use</v>
      </c>
      <c r="P1435" s="254"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4" t="str">
        <f>IF(ISBLANK(INDEX('Policy Characteristics'!K:K,MATCH($C1435,'Policy Characteristics'!$C:$C,0))),"",INDEX('Policy Characteristics'!K:K,MATCH($C1435,'Policy Characteristics'!$C:$C,0)))</f>
        <v>industry-ag-main.html#eff-stds</v>
      </c>
      <c r="R1435" s="254" t="str">
        <f>IF(ISBLANK(INDEX('Policy Characteristics'!L:L,MATCH($C1435,'Policy Characteristics'!$C:$C,0))),"",INDEX('Policy Characteristics'!L:L,MATCH($C1435,'Policy Characteristics'!$C:$C,0)))</f>
        <v>industry-energy-efficiency-standards.html</v>
      </c>
    </row>
    <row r="1436" spans="1:18" s="4" customFormat="1" x14ac:dyDescent="0.3">
      <c r="A1436" s="254" t="str">
        <f>IF(ISBLANK(INDEX('Policy Characteristics'!A:A,MATCH($C1436,'Policy Characteristics'!$C:$C,0))),"",INDEX('Policy Characteristics'!A:A,MATCH($C1436,'Policy Characteristics'!$C:$C,0)))</f>
        <v>Industry</v>
      </c>
      <c r="B1436" s="262" t="str">
        <f>IF(ISBLANK(INDEX('Policy Characteristics'!B:B,MATCH($C1436,'Policy Characteristics'!$C:$C,0))),"",INDEX('Policy Characteristics'!B:B,MATCH($C1436,'Policy Characteristics'!$C:$C,0)))</f>
        <v>Industry Energy Efficiency Standards</v>
      </c>
      <c r="C1436" s="254" t="str">
        <f t="shared" si="50"/>
        <v>Percentage Improvement in Eqpt Efficiency Standards above BAU</v>
      </c>
      <c r="D1436" s="6" t="s">
        <v>3076</v>
      </c>
      <c r="E1436" s="45" t="s">
        <v>2399</v>
      </c>
      <c r="F1436" t="s">
        <v>3038</v>
      </c>
      <c r="G1436" s="45" t="s">
        <v>2405</v>
      </c>
      <c r="H1436" s="43">
        <v>1108</v>
      </c>
      <c r="I1436" s="324" t="s">
        <v>43</v>
      </c>
      <c r="J1436" s="255" t="str">
        <f>IF(ISBLANK(INDEX('Policy Characteristics'!D:D,MATCH($C1436,'Policy Characteristics'!$C:$C,0))),"",INDEX('Policy Characteristics'!D:D,MATCH($C1436,'Policy Characteristics'!$C:$C,0)))</f>
        <v>Industry Energy Efficiency Standards</v>
      </c>
      <c r="K1436" s="254" t="str">
        <f>IF(ISBLANK(INDEX('Policy Characteristics'!E:E,MATCH($C1436,'Policy Characteristics'!$C:$C,0))),"",INDEX('Policy Characteristics'!E:E,MATCH($C1436,'Policy Characteristics'!$C:$C,0)))</f>
        <v>indst efficiency standards</v>
      </c>
      <c r="L1436" s="261">
        <f>IF(ISBLANK(INDEX('Policy Characteristics'!F:F,MATCH($C1436,'Policy Characteristics'!$C:$C,0))),"",INDEX('Policy Characteristics'!F:F,MATCH($C1436,'Policy Characteristics'!$C:$C,0)))</f>
        <v>0</v>
      </c>
      <c r="M1436" s="261">
        <f>IF(ISBLANK(INDEX('Policy Characteristics'!G:G,MATCH($C1436,'Policy Characteristics'!$C:$C,0))),"",INDEX('Policy Characteristics'!G:G,MATCH($C1436,'Policy Characteristics'!$C:$C,0)))</f>
        <v>0.25</v>
      </c>
      <c r="N1436" s="261">
        <f>IF(ISBLANK(INDEX('Policy Characteristics'!H:H,MATCH($C1436,'Policy Characteristics'!$C:$C,0))),"",INDEX('Policy Characteristics'!H:H,MATCH($C1436,'Policy Characteristics'!$C:$C,0)))</f>
        <v>0.01</v>
      </c>
      <c r="O1436" s="254" t="str">
        <f>IF(ISBLANK(INDEX('Policy Characteristics'!I:I,MATCH($C1436,'Policy Characteristics'!$C:$C,0))),"",INDEX('Policy Characteristics'!I:I,MATCH($C1436,'Policy Characteristics'!$C:$C,0)))</f>
        <v>% reduction in energy use</v>
      </c>
      <c r="P1436" s="254"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4" t="str">
        <f>IF(ISBLANK(INDEX('Policy Characteristics'!K:K,MATCH($C1436,'Policy Characteristics'!$C:$C,0))),"",INDEX('Policy Characteristics'!K:K,MATCH($C1436,'Policy Characteristics'!$C:$C,0)))</f>
        <v>industry-ag-main.html#eff-stds</v>
      </c>
      <c r="R1436" s="254" t="str">
        <f>IF(ISBLANK(INDEX('Policy Characteristics'!L:L,MATCH($C1436,'Policy Characteristics'!$C:$C,0))),"",INDEX('Policy Characteristics'!L:L,MATCH($C1436,'Policy Characteristics'!$C:$C,0)))</f>
        <v>industry-energy-efficiency-standards.html</v>
      </c>
    </row>
    <row r="1437" spans="1:18" s="4" customFormat="1" x14ac:dyDescent="0.3">
      <c r="A1437" s="254" t="str">
        <f>IF(ISBLANK(INDEX('Policy Characteristics'!A:A,MATCH($C1437,'Policy Characteristics'!$C:$C,0))),"",INDEX('Policy Characteristics'!A:A,MATCH($C1437,'Policy Characteristics'!$C:$C,0)))</f>
        <v>Industry</v>
      </c>
      <c r="B1437" s="262" t="str">
        <f>IF(ISBLANK(INDEX('Policy Characteristics'!B:B,MATCH($C1437,'Policy Characteristics'!$C:$C,0))),"",INDEX('Policy Characteristics'!B:B,MATCH($C1437,'Policy Characteristics'!$C:$C,0)))</f>
        <v>Industry Energy Efficiency Standards</v>
      </c>
      <c r="C1437" s="254" t="str">
        <f t="shared" si="50"/>
        <v>Percentage Improvement in Eqpt Efficiency Standards above BAU</v>
      </c>
      <c r="D1437" s="6" t="s">
        <v>3076</v>
      </c>
      <c r="E1437" s="45" t="s">
        <v>2400</v>
      </c>
      <c r="F1437" t="s">
        <v>3038</v>
      </c>
      <c r="G1437" s="45" t="s">
        <v>2408</v>
      </c>
      <c r="H1437" s="43">
        <v>1109</v>
      </c>
      <c r="I1437" s="324" t="s">
        <v>44</v>
      </c>
      <c r="J1437" s="255" t="str">
        <f>IF(ISBLANK(INDEX('Policy Characteristics'!D:D,MATCH($C1437,'Policy Characteristics'!$C:$C,0))),"",INDEX('Policy Characteristics'!D:D,MATCH($C1437,'Policy Characteristics'!$C:$C,0)))</f>
        <v>Industry Energy Efficiency Standards</v>
      </c>
      <c r="K1437" s="254" t="str">
        <f>IF(ISBLANK(INDEX('Policy Characteristics'!E:E,MATCH($C1437,'Policy Characteristics'!$C:$C,0))),"",INDEX('Policy Characteristics'!E:E,MATCH($C1437,'Policy Characteristics'!$C:$C,0)))</f>
        <v>indst efficiency standards</v>
      </c>
      <c r="L1437" s="261">
        <f>IF(ISBLANK(INDEX('Policy Characteristics'!F:F,MATCH($C1437,'Policy Characteristics'!$C:$C,0))),"",INDEX('Policy Characteristics'!F:F,MATCH($C1437,'Policy Characteristics'!$C:$C,0)))</f>
        <v>0</v>
      </c>
      <c r="M1437" s="261">
        <f>IF(ISBLANK(INDEX('Policy Characteristics'!G:G,MATCH($C1437,'Policy Characteristics'!$C:$C,0))),"",INDEX('Policy Characteristics'!G:G,MATCH($C1437,'Policy Characteristics'!$C:$C,0)))</f>
        <v>0.25</v>
      </c>
      <c r="N1437" s="261">
        <f>IF(ISBLANK(INDEX('Policy Characteristics'!H:H,MATCH($C1437,'Policy Characteristics'!$C:$C,0))),"",INDEX('Policy Characteristics'!H:H,MATCH($C1437,'Policy Characteristics'!$C:$C,0)))</f>
        <v>0.01</v>
      </c>
      <c r="O1437" s="254" t="str">
        <f>IF(ISBLANK(INDEX('Policy Characteristics'!I:I,MATCH($C1437,'Policy Characteristics'!$C:$C,0))),"",INDEX('Policy Characteristics'!I:I,MATCH($C1437,'Policy Characteristics'!$C:$C,0)))</f>
        <v>% reduction in energy use</v>
      </c>
      <c r="P1437" s="254"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4" t="str">
        <f>IF(ISBLANK(INDEX('Policy Characteristics'!K:K,MATCH($C1437,'Policy Characteristics'!$C:$C,0))),"",INDEX('Policy Characteristics'!K:K,MATCH($C1437,'Policy Characteristics'!$C:$C,0)))</f>
        <v>industry-ag-main.html#eff-stds</v>
      </c>
      <c r="R1437" s="254" t="str">
        <f>IF(ISBLANK(INDEX('Policy Characteristics'!L:L,MATCH($C1437,'Policy Characteristics'!$C:$C,0))),"",INDEX('Policy Characteristics'!L:L,MATCH($C1437,'Policy Characteristics'!$C:$C,0)))</f>
        <v>industry-energy-efficiency-standards.html</v>
      </c>
    </row>
    <row r="1438" spans="1:18" s="4" customFormat="1" x14ac:dyDescent="0.3">
      <c r="A1438" s="254" t="str">
        <f>IF(ISBLANK(INDEX('Policy Characteristics'!A:A,MATCH($C1438,'Policy Characteristics'!$C:$C,0))),"",INDEX('Policy Characteristics'!A:A,MATCH($C1438,'Policy Characteristics'!$C:$C,0)))</f>
        <v>Industry</v>
      </c>
      <c r="B1438" s="262" t="str">
        <f>IF(ISBLANK(INDEX('Policy Characteristics'!B:B,MATCH($C1438,'Policy Characteristics'!$C:$C,0))),"",INDEX('Policy Characteristics'!B:B,MATCH($C1438,'Policy Characteristics'!$C:$C,0)))</f>
        <v>Industry Energy Efficiency Standards</v>
      </c>
      <c r="C1438" s="254" t="str">
        <f t="shared" si="50"/>
        <v>Percentage Improvement in Eqpt Efficiency Standards above BAU</v>
      </c>
      <c r="D1438" s="6" t="s">
        <v>3076</v>
      </c>
      <c r="E1438" s="45" t="s">
        <v>2401</v>
      </c>
      <c r="F1438" t="s">
        <v>3038</v>
      </c>
      <c r="G1438" s="45" t="s">
        <v>2409</v>
      </c>
      <c r="H1438" s="43">
        <v>1110</v>
      </c>
      <c r="I1438" s="324" t="s">
        <v>43</v>
      </c>
      <c r="J1438" s="255" t="str">
        <f>IF(ISBLANK(INDEX('Policy Characteristics'!D:D,MATCH($C1438,'Policy Characteristics'!$C:$C,0))),"",INDEX('Policy Characteristics'!D:D,MATCH($C1438,'Policy Characteristics'!$C:$C,0)))</f>
        <v>Industry Energy Efficiency Standards</v>
      </c>
      <c r="K1438" s="254" t="str">
        <f>IF(ISBLANK(INDEX('Policy Characteristics'!E:E,MATCH($C1438,'Policy Characteristics'!$C:$C,0))),"",INDEX('Policy Characteristics'!E:E,MATCH($C1438,'Policy Characteristics'!$C:$C,0)))</f>
        <v>indst efficiency standards</v>
      </c>
      <c r="L1438" s="261">
        <f>IF(ISBLANK(INDEX('Policy Characteristics'!F:F,MATCH($C1438,'Policy Characteristics'!$C:$C,0))),"",INDEX('Policy Characteristics'!F:F,MATCH($C1438,'Policy Characteristics'!$C:$C,0)))</f>
        <v>0</v>
      </c>
      <c r="M1438" s="261">
        <f>IF(ISBLANK(INDEX('Policy Characteristics'!G:G,MATCH($C1438,'Policy Characteristics'!$C:$C,0))),"",INDEX('Policy Characteristics'!G:G,MATCH($C1438,'Policy Characteristics'!$C:$C,0)))</f>
        <v>0.25</v>
      </c>
      <c r="N1438" s="261">
        <f>IF(ISBLANK(INDEX('Policy Characteristics'!H:H,MATCH($C1438,'Policy Characteristics'!$C:$C,0))),"",INDEX('Policy Characteristics'!H:H,MATCH($C1438,'Policy Characteristics'!$C:$C,0)))</f>
        <v>0.01</v>
      </c>
      <c r="O1438" s="254" t="str">
        <f>IF(ISBLANK(INDEX('Policy Characteristics'!I:I,MATCH($C1438,'Policy Characteristics'!$C:$C,0))),"",INDEX('Policy Characteristics'!I:I,MATCH($C1438,'Policy Characteristics'!$C:$C,0)))</f>
        <v>% reduction in energy use</v>
      </c>
      <c r="P1438" s="254"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4" t="str">
        <f>IF(ISBLANK(INDEX('Policy Characteristics'!K:K,MATCH($C1438,'Policy Characteristics'!$C:$C,0))),"",INDEX('Policy Characteristics'!K:K,MATCH($C1438,'Policy Characteristics'!$C:$C,0)))</f>
        <v>industry-ag-main.html#eff-stds</v>
      </c>
      <c r="R1438" s="254" t="str">
        <f>IF(ISBLANK(INDEX('Policy Characteristics'!L:L,MATCH($C1438,'Policy Characteristics'!$C:$C,0))),"",INDEX('Policy Characteristics'!L:L,MATCH($C1438,'Policy Characteristics'!$C:$C,0)))</f>
        <v>industry-energy-efficiency-standards.html</v>
      </c>
    </row>
    <row r="1439" spans="1:18" s="4" customFormat="1" x14ac:dyDescent="0.3">
      <c r="A1439" s="254" t="str">
        <f>IF(ISBLANK(INDEX('Policy Characteristics'!A:A,MATCH($C1439,'Policy Characteristics'!$C:$C,0))),"",INDEX('Policy Characteristics'!A:A,MATCH($C1439,'Policy Characteristics'!$C:$C,0)))</f>
        <v>Industry</v>
      </c>
      <c r="B1439" s="262" t="str">
        <f>IF(ISBLANK(INDEX('Policy Characteristics'!B:B,MATCH($C1439,'Policy Characteristics'!$C:$C,0))),"",INDEX('Policy Characteristics'!B:B,MATCH($C1439,'Policy Characteristics'!$C:$C,0)))</f>
        <v>Industry Energy Efficiency Standards</v>
      </c>
      <c r="C1439" s="254" t="str">
        <f t="shared" si="50"/>
        <v>Percentage Improvement in Eqpt Efficiency Standards above BAU</v>
      </c>
      <c r="D1439" s="6" t="s">
        <v>3076</v>
      </c>
      <c r="E1439" s="45" t="s">
        <v>2402</v>
      </c>
      <c r="F1439" t="s">
        <v>3038</v>
      </c>
      <c r="G1439" s="45" t="s">
        <v>2406</v>
      </c>
      <c r="H1439" s="43">
        <v>1111</v>
      </c>
      <c r="I1439" s="324" t="s">
        <v>44</v>
      </c>
      <c r="J1439" s="255" t="str">
        <f>IF(ISBLANK(INDEX('Policy Characteristics'!D:D,MATCH($C1439,'Policy Characteristics'!$C:$C,0))),"",INDEX('Policy Characteristics'!D:D,MATCH($C1439,'Policy Characteristics'!$C:$C,0)))</f>
        <v>Industry Energy Efficiency Standards</v>
      </c>
      <c r="K1439" s="254" t="str">
        <f>IF(ISBLANK(INDEX('Policy Characteristics'!E:E,MATCH($C1439,'Policy Characteristics'!$C:$C,0))),"",INDEX('Policy Characteristics'!E:E,MATCH($C1439,'Policy Characteristics'!$C:$C,0)))</f>
        <v>indst efficiency standards</v>
      </c>
      <c r="L1439" s="261">
        <f>IF(ISBLANK(INDEX('Policy Characteristics'!F:F,MATCH($C1439,'Policy Characteristics'!$C:$C,0))),"",INDEX('Policy Characteristics'!F:F,MATCH($C1439,'Policy Characteristics'!$C:$C,0)))</f>
        <v>0</v>
      </c>
      <c r="M1439" s="261">
        <f>IF(ISBLANK(INDEX('Policy Characteristics'!G:G,MATCH($C1439,'Policy Characteristics'!$C:$C,0))),"",INDEX('Policy Characteristics'!G:G,MATCH($C1439,'Policy Characteristics'!$C:$C,0)))</f>
        <v>0.25</v>
      </c>
      <c r="N1439" s="261">
        <f>IF(ISBLANK(INDEX('Policy Characteristics'!H:H,MATCH($C1439,'Policy Characteristics'!$C:$C,0))),"",INDEX('Policy Characteristics'!H:H,MATCH($C1439,'Policy Characteristics'!$C:$C,0)))</f>
        <v>0.01</v>
      </c>
      <c r="O1439" s="254" t="str">
        <f>IF(ISBLANK(INDEX('Policy Characteristics'!I:I,MATCH($C1439,'Policy Characteristics'!$C:$C,0))),"",INDEX('Policy Characteristics'!I:I,MATCH($C1439,'Policy Characteristics'!$C:$C,0)))</f>
        <v>% reduction in energy use</v>
      </c>
      <c r="P1439" s="254"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4" t="str">
        <f>IF(ISBLANK(INDEX('Policy Characteristics'!K:K,MATCH($C1439,'Policy Characteristics'!$C:$C,0))),"",INDEX('Policy Characteristics'!K:K,MATCH($C1439,'Policy Characteristics'!$C:$C,0)))</f>
        <v>industry-ag-main.html#eff-stds</v>
      </c>
      <c r="R1439" s="254" t="str">
        <f>IF(ISBLANK(INDEX('Policy Characteristics'!L:L,MATCH($C1439,'Policy Characteristics'!$C:$C,0))),"",INDEX('Policy Characteristics'!L:L,MATCH($C1439,'Policy Characteristics'!$C:$C,0)))</f>
        <v>industry-energy-efficiency-standards.html</v>
      </c>
    </row>
    <row r="1440" spans="1:18" s="4" customFormat="1" x14ac:dyDescent="0.3">
      <c r="A1440" s="254" t="str">
        <f>IF(ISBLANK(INDEX('Policy Characteristics'!A:A,MATCH($C1440,'Policy Characteristics'!$C:$C,0))),"",INDEX('Policy Characteristics'!A:A,MATCH($C1440,'Policy Characteristics'!$C:$C,0)))</f>
        <v>Industry</v>
      </c>
      <c r="B1440" s="262" t="str">
        <f>IF(ISBLANK(INDEX('Policy Characteristics'!B:B,MATCH($C1440,'Policy Characteristics'!$C:$C,0))),"",INDEX('Policy Characteristics'!B:B,MATCH($C1440,'Policy Characteristics'!$C:$C,0)))</f>
        <v>Industry Energy Efficiency Standards</v>
      </c>
      <c r="C1440" s="254" t="str">
        <f t="shared" si="50"/>
        <v>Percentage Improvement in Eqpt Efficiency Standards above BAU</v>
      </c>
      <c r="D1440" s="6" t="s">
        <v>3076</v>
      </c>
      <c r="E1440" s="45" t="s">
        <v>2403</v>
      </c>
      <c r="F1440" t="s">
        <v>3038</v>
      </c>
      <c r="G1440" s="45" t="s">
        <v>2407</v>
      </c>
      <c r="H1440" s="43">
        <v>1112</v>
      </c>
      <c r="I1440" s="324" t="s">
        <v>43</v>
      </c>
      <c r="J1440" s="255" t="str">
        <f>IF(ISBLANK(INDEX('Policy Characteristics'!D:D,MATCH($C1440,'Policy Characteristics'!$C:$C,0))),"",INDEX('Policy Characteristics'!D:D,MATCH($C1440,'Policy Characteristics'!$C:$C,0)))</f>
        <v>Industry Energy Efficiency Standards</v>
      </c>
      <c r="K1440" s="254" t="str">
        <f>IF(ISBLANK(INDEX('Policy Characteristics'!E:E,MATCH($C1440,'Policy Characteristics'!$C:$C,0))),"",INDEX('Policy Characteristics'!E:E,MATCH($C1440,'Policy Characteristics'!$C:$C,0)))</f>
        <v>indst efficiency standards</v>
      </c>
      <c r="L1440" s="261">
        <f>IF(ISBLANK(INDEX('Policy Characteristics'!F:F,MATCH($C1440,'Policy Characteristics'!$C:$C,0))),"",INDEX('Policy Characteristics'!F:F,MATCH($C1440,'Policy Characteristics'!$C:$C,0)))</f>
        <v>0</v>
      </c>
      <c r="M1440" s="261">
        <f>IF(ISBLANK(INDEX('Policy Characteristics'!G:G,MATCH($C1440,'Policy Characteristics'!$C:$C,0))),"",INDEX('Policy Characteristics'!G:G,MATCH($C1440,'Policy Characteristics'!$C:$C,0)))</f>
        <v>0.25</v>
      </c>
      <c r="N1440" s="261">
        <f>IF(ISBLANK(INDEX('Policy Characteristics'!H:H,MATCH($C1440,'Policy Characteristics'!$C:$C,0))),"",INDEX('Policy Characteristics'!H:H,MATCH($C1440,'Policy Characteristics'!$C:$C,0)))</f>
        <v>0.01</v>
      </c>
      <c r="O1440" s="254" t="str">
        <f>IF(ISBLANK(INDEX('Policy Characteristics'!I:I,MATCH($C1440,'Policy Characteristics'!$C:$C,0))),"",INDEX('Policy Characteristics'!I:I,MATCH($C1440,'Policy Characteristics'!$C:$C,0)))</f>
        <v>% reduction in energy use</v>
      </c>
      <c r="P1440" s="254"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4" t="str">
        <f>IF(ISBLANK(INDEX('Policy Characteristics'!K:K,MATCH($C1440,'Policy Characteristics'!$C:$C,0))),"",INDEX('Policy Characteristics'!K:K,MATCH($C1440,'Policy Characteristics'!$C:$C,0)))</f>
        <v>industry-ag-main.html#eff-stds</v>
      </c>
      <c r="R1440" s="254" t="str">
        <f>IF(ISBLANK(INDEX('Policy Characteristics'!L:L,MATCH($C1440,'Policy Characteristics'!$C:$C,0))),"",INDEX('Policy Characteristics'!L:L,MATCH($C1440,'Policy Characteristics'!$C:$C,0)))</f>
        <v>industry-energy-efficiency-standards.html</v>
      </c>
    </row>
    <row r="1441" spans="1:18" s="4" customFormat="1" x14ac:dyDescent="0.3">
      <c r="A1441" s="254" t="str">
        <f>IF(ISBLANK(INDEX('Policy Characteristics'!A:A,MATCH($C1441,'Policy Characteristics'!$C:$C,0))),"",INDEX('Policy Characteristics'!A:A,MATCH($C1441,'Policy Characteristics'!$C:$C,0)))</f>
        <v>Industry</v>
      </c>
      <c r="B1441" s="262" t="str">
        <f>IF(ISBLANK(INDEX('Policy Characteristics'!B:B,MATCH($C1441,'Policy Characteristics'!$C:$C,0))),"",INDEX('Policy Characteristics'!B:B,MATCH($C1441,'Policy Characteristics'!$C:$C,0)))</f>
        <v>Industry Energy Efficiency Standards</v>
      </c>
      <c r="C1441" s="254" t="str">
        <f t="shared" si="50"/>
        <v>Percentage Improvement in Eqpt Efficiency Standards above BAU</v>
      </c>
      <c r="D1441" s="6" t="s">
        <v>3076</v>
      </c>
      <c r="E1441" s="45" t="s">
        <v>2404</v>
      </c>
      <c r="F1441" t="s">
        <v>3038</v>
      </c>
      <c r="G1441" s="45" t="s">
        <v>2410</v>
      </c>
      <c r="H1441" s="43">
        <v>1113</v>
      </c>
      <c r="I1441" s="324" t="s">
        <v>44</v>
      </c>
      <c r="J1441" s="255" t="str">
        <f>IF(ISBLANK(INDEX('Policy Characteristics'!D:D,MATCH($C1441,'Policy Characteristics'!$C:$C,0))),"",INDEX('Policy Characteristics'!D:D,MATCH($C1441,'Policy Characteristics'!$C:$C,0)))</f>
        <v>Industry Energy Efficiency Standards</v>
      </c>
      <c r="K1441" s="254" t="str">
        <f>IF(ISBLANK(INDEX('Policy Characteristics'!E:E,MATCH($C1441,'Policy Characteristics'!$C:$C,0))),"",INDEX('Policy Characteristics'!E:E,MATCH($C1441,'Policy Characteristics'!$C:$C,0)))</f>
        <v>indst efficiency standards</v>
      </c>
      <c r="L1441" s="261">
        <f>IF(ISBLANK(INDEX('Policy Characteristics'!F:F,MATCH($C1441,'Policy Characteristics'!$C:$C,0))),"",INDEX('Policy Characteristics'!F:F,MATCH($C1441,'Policy Characteristics'!$C:$C,0)))</f>
        <v>0</v>
      </c>
      <c r="M1441" s="261">
        <f>IF(ISBLANK(INDEX('Policy Characteristics'!G:G,MATCH($C1441,'Policy Characteristics'!$C:$C,0))),"",INDEX('Policy Characteristics'!G:G,MATCH($C1441,'Policy Characteristics'!$C:$C,0)))</f>
        <v>0.25</v>
      </c>
      <c r="N1441" s="261">
        <f>IF(ISBLANK(INDEX('Policy Characteristics'!H:H,MATCH($C1441,'Policy Characteristics'!$C:$C,0))),"",INDEX('Policy Characteristics'!H:H,MATCH($C1441,'Policy Characteristics'!$C:$C,0)))</f>
        <v>0.01</v>
      </c>
      <c r="O1441" s="254" t="str">
        <f>IF(ISBLANK(INDEX('Policy Characteristics'!I:I,MATCH($C1441,'Policy Characteristics'!$C:$C,0))),"",INDEX('Policy Characteristics'!I:I,MATCH($C1441,'Policy Characteristics'!$C:$C,0)))</f>
        <v>% reduction in energy use</v>
      </c>
      <c r="P1441" s="254"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4" t="str">
        <f>IF(ISBLANK(INDEX('Policy Characteristics'!K:K,MATCH($C1441,'Policy Characteristics'!$C:$C,0))),"",INDEX('Policy Characteristics'!K:K,MATCH($C1441,'Policy Characteristics'!$C:$C,0)))</f>
        <v>industry-ag-main.html#eff-stds</v>
      </c>
      <c r="R1441" s="254" t="str">
        <f>IF(ISBLANK(INDEX('Policy Characteristics'!L:L,MATCH($C1441,'Policy Characteristics'!$C:$C,0))),"",INDEX('Policy Characteristics'!L:L,MATCH($C1441,'Policy Characteristics'!$C:$C,0)))</f>
        <v>industry-energy-efficiency-standards.html</v>
      </c>
    </row>
    <row r="1442" spans="1:18" s="4" customFormat="1" x14ac:dyDescent="0.3">
      <c r="A1442" s="254" t="str">
        <f>IF(ISBLANK(INDEX('Policy Characteristics'!A:A,MATCH($C1442,'Policy Characteristics'!$C:$C,0))),"",INDEX('Policy Characteristics'!A:A,MATCH($C1442,'Policy Characteristics'!$C:$C,0)))</f>
        <v>Industry</v>
      </c>
      <c r="B1442" s="262" t="str">
        <f>IF(ISBLANK(INDEX('Policy Characteristics'!B:B,MATCH($C1442,'Policy Characteristics'!$C:$C,0))),"",INDEX('Policy Characteristics'!B:B,MATCH($C1442,'Policy Characteristics'!$C:$C,0)))</f>
        <v>Industry Energy Efficiency Standards</v>
      </c>
      <c r="C1442" s="254" t="str">
        <f t="shared" si="50"/>
        <v>Percentage Improvement in Eqpt Efficiency Standards above BAU</v>
      </c>
      <c r="D1442" s="6" t="s">
        <v>3076</v>
      </c>
      <c r="E1442" s="45" t="s">
        <v>2706</v>
      </c>
      <c r="F1442" t="s">
        <v>3038</v>
      </c>
      <c r="G1442" s="45" t="s">
        <v>2709</v>
      </c>
      <c r="H1442" s="43">
        <v>1114</v>
      </c>
      <c r="I1442" s="324" t="s">
        <v>44</v>
      </c>
      <c r="J1442" s="255" t="str">
        <f>IF(ISBLANK(INDEX('Policy Characteristics'!D:D,MATCH($C1442,'Policy Characteristics'!$C:$C,0))),"",INDEX('Policy Characteristics'!D:D,MATCH($C1442,'Policy Characteristics'!$C:$C,0)))</f>
        <v>Industry Energy Efficiency Standards</v>
      </c>
      <c r="K1442" s="254" t="str">
        <f>IF(ISBLANK(INDEX('Policy Characteristics'!E:E,MATCH($C1442,'Policy Characteristics'!$C:$C,0))),"",INDEX('Policy Characteristics'!E:E,MATCH($C1442,'Policy Characteristics'!$C:$C,0)))</f>
        <v>indst efficiency standards</v>
      </c>
      <c r="L1442" s="261">
        <f>IF(ISBLANK(INDEX('Policy Characteristics'!F:F,MATCH($C1442,'Policy Characteristics'!$C:$C,0))),"",INDEX('Policy Characteristics'!F:F,MATCH($C1442,'Policy Characteristics'!$C:$C,0)))</f>
        <v>0</v>
      </c>
      <c r="M1442" s="261">
        <f>IF(ISBLANK(INDEX('Policy Characteristics'!G:G,MATCH($C1442,'Policy Characteristics'!$C:$C,0))),"",INDEX('Policy Characteristics'!G:G,MATCH($C1442,'Policy Characteristics'!$C:$C,0)))</f>
        <v>0.25</v>
      </c>
      <c r="N1442" s="261">
        <f>IF(ISBLANK(INDEX('Policy Characteristics'!H:H,MATCH($C1442,'Policy Characteristics'!$C:$C,0))),"",INDEX('Policy Characteristics'!H:H,MATCH($C1442,'Policy Characteristics'!$C:$C,0)))</f>
        <v>0.01</v>
      </c>
      <c r="O1442" s="254" t="str">
        <f>IF(ISBLANK(INDEX('Policy Characteristics'!I:I,MATCH($C1442,'Policy Characteristics'!$C:$C,0))),"",INDEX('Policy Characteristics'!I:I,MATCH($C1442,'Policy Characteristics'!$C:$C,0)))</f>
        <v>% reduction in energy use</v>
      </c>
      <c r="P1442" s="254"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4" t="str">
        <f>IF(ISBLANK(INDEX('Policy Characteristics'!K:K,MATCH($C1442,'Policy Characteristics'!$C:$C,0))),"",INDEX('Policy Characteristics'!K:K,MATCH($C1442,'Policy Characteristics'!$C:$C,0)))</f>
        <v>industry-ag-main.html#eff-stds</v>
      </c>
      <c r="R1442" s="254" t="str">
        <f>IF(ISBLANK(INDEX('Policy Characteristics'!L:L,MATCH($C1442,'Policy Characteristics'!$C:$C,0))),"",INDEX('Policy Characteristics'!L:L,MATCH($C1442,'Policy Characteristics'!$C:$C,0)))</f>
        <v>industry-energy-efficiency-standards.html</v>
      </c>
    </row>
    <row r="1443" spans="1:18" s="4" customFormat="1" x14ac:dyDescent="0.3">
      <c r="A1443" s="254" t="str">
        <f>IF(ISBLANK(INDEX('Policy Characteristics'!A:A,MATCH($C1443,'Policy Characteristics'!$C:$C,0))),"",INDEX('Policy Characteristics'!A:A,MATCH($C1443,'Policy Characteristics'!$C:$C,0)))</f>
        <v>Industry</v>
      </c>
      <c r="B1443" s="262" t="str">
        <f>IF(ISBLANK(INDEX('Policy Characteristics'!B:B,MATCH($C1443,'Policy Characteristics'!$C:$C,0))),"",INDEX('Policy Characteristics'!B:B,MATCH($C1443,'Policy Characteristics'!$C:$C,0)))</f>
        <v>Industry Energy Efficiency Standards</v>
      </c>
      <c r="C1443" s="254" t="str">
        <f t="shared" si="50"/>
        <v>Percentage Improvement in Eqpt Efficiency Standards above BAU</v>
      </c>
      <c r="D1443" s="6" t="s">
        <v>3076</v>
      </c>
      <c r="E1443" s="45" t="s">
        <v>2707</v>
      </c>
      <c r="F1443" t="s">
        <v>3038</v>
      </c>
      <c r="G1443" s="45" t="s">
        <v>2711</v>
      </c>
      <c r="H1443" s="43">
        <v>1115</v>
      </c>
      <c r="I1443" s="324" t="s">
        <v>44</v>
      </c>
      <c r="J1443" s="255" t="str">
        <f>IF(ISBLANK(INDEX('Policy Characteristics'!D:D,MATCH($C1443,'Policy Characteristics'!$C:$C,0))),"",INDEX('Policy Characteristics'!D:D,MATCH($C1443,'Policy Characteristics'!$C:$C,0)))</f>
        <v>Industry Energy Efficiency Standards</v>
      </c>
      <c r="K1443" s="254" t="str">
        <f>IF(ISBLANK(INDEX('Policy Characteristics'!E:E,MATCH($C1443,'Policy Characteristics'!$C:$C,0))),"",INDEX('Policy Characteristics'!E:E,MATCH($C1443,'Policy Characteristics'!$C:$C,0)))</f>
        <v>indst efficiency standards</v>
      </c>
      <c r="L1443" s="261">
        <f>IF(ISBLANK(INDEX('Policy Characteristics'!F:F,MATCH($C1443,'Policy Characteristics'!$C:$C,0))),"",INDEX('Policy Characteristics'!F:F,MATCH($C1443,'Policy Characteristics'!$C:$C,0)))</f>
        <v>0</v>
      </c>
      <c r="M1443" s="261">
        <f>IF(ISBLANK(INDEX('Policy Characteristics'!G:G,MATCH($C1443,'Policy Characteristics'!$C:$C,0))),"",INDEX('Policy Characteristics'!G:G,MATCH($C1443,'Policy Characteristics'!$C:$C,0)))</f>
        <v>0.25</v>
      </c>
      <c r="N1443" s="261">
        <f>IF(ISBLANK(INDEX('Policy Characteristics'!H:H,MATCH($C1443,'Policy Characteristics'!$C:$C,0))),"",INDEX('Policy Characteristics'!H:H,MATCH($C1443,'Policy Characteristics'!$C:$C,0)))</f>
        <v>0.01</v>
      </c>
      <c r="O1443" s="254" t="str">
        <f>IF(ISBLANK(INDEX('Policy Characteristics'!I:I,MATCH($C1443,'Policy Characteristics'!$C:$C,0))),"",INDEX('Policy Characteristics'!I:I,MATCH($C1443,'Policy Characteristics'!$C:$C,0)))</f>
        <v>% reduction in energy use</v>
      </c>
      <c r="P1443" s="254"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4" t="str">
        <f>IF(ISBLANK(INDEX('Policy Characteristics'!K:K,MATCH($C1443,'Policy Characteristics'!$C:$C,0))),"",INDEX('Policy Characteristics'!K:K,MATCH($C1443,'Policy Characteristics'!$C:$C,0)))</f>
        <v>industry-ag-main.html#eff-stds</v>
      </c>
      <c r="R1443" s="254" t="str">
        <f>IF(ISBLANK(INDEX('Policy Characteristics'!L:L,MATCH($C1443,'Policy Characteristics'!$C:$C,0))),"",INDEX('Policy Characteristics'!L:L,MATCH($C1443,'Policy Characteristics'!$C:$C,0)))</f>
        <v>industry-energy-efficiency-standards.html</v>
      </c>
    </row>
    <row r="1444" spans="1:18" s="4" customFormat="1" x14ac:dyDescent="0.3">
      <c r="A1444" s="254" t="str">
        <f>IF(ISBLANK(INDEX('Policy Characteristics'!A:A,MATCH($C1444,'Policy Characteristics'!$C:$C,0))),"",INDEX('Policy Characteristics'!A:A,MATCH($C1444,'Policy Characteristics'!$C:$C,0)))</f>
        <v>Industry</v>
      </c>
      <c r="B1444" s="262" t="str">
        <f>IF(ISBLANK(INDEX('Policy Characteristics'!B:B,MATCH($C1444,'Policy Characteristics'!$C:$C,0))),"",INDEX('Policy Characteristics'!B:B,MATCH($C1444,'Policy Characteristics'!$C:$C,0)))</f>
        <v>Industry Energy Efficiency Standards</v>
      </c>
      <c r="C1444" s="254" t="str">
        <f t="shared" si="50"/>
        <v>Percentage Improvement in Eqpt Efficiency Standards above BAU</v>
      </c>
      <c r="D1444" s="6" t="s">
        <v>3076</v>
      </c>
      <c r="E1444" s="45" t="s">
        <v>2708</v>
      </c>
      <c r="F1444" t="s">
        <v>3038</v>
      </c>
      <c r="G1444" s="45" t="s">
        <v>2712</v>
      </c>
      <c r="H1444" s="43">
        <v>1116</v>
      </c>
      <c r="I1444" s="324" t="s">
        <v>43</v>
      </c>
      <c r="J1444" s="255" t="str">
        <f>IF(ISBLANK(INDEX('Policy Characteristics'!D:D,MATCH($C1444,'Policy Characteristics'!$C:$C,0))),"",INDEX('Policy Characteristics'!D:D,MATCH($C1444,'Policy Characteristics'!$C:$C,0)))</f>
        <v>Industry Energy Efficiency Standards</v>
      </c>
      <c r="K1444" s="254" t="str">
        <f>IF(ISBLANK(INDEX('Policy Characteristics'!E:E,MATCH($C1444,'Policy Characteristics'!$C:$C,0))),"",INDEX('Policy Characteristics'!E:E,MATCH($C1444,'Policy Characteristics'!$C:$C,0)))</f>
        <v>indst efficiency standards</v>
      </c>
      <c r="L1444" s="261">
        <f>IF(ISBLANK(INDEX('Policy Characteristics'!F:F,MATCH($C1444,'Policy Characteristics'!$C:$C,0))),"",INDEX('Policy Characteristics'!F:F,MATCH($C1444,'Policy Characteristics'!$C:$C,0)))</f>
        <v>0</v>
      </c>
      <c r="M1444" s="261">
        <f>IF(ISBLANK(INDEX('Policy Characteristics'!G:G,MATCH($C1444,'Policy Characteristics'!$C:$C,0))),"",INDEX('Policy Characteristics'!G:G,MATCH($C1444,'Policy Characteristics'!$C:$C,0)))</f>
        <v>0.25</v>
      </c>
      <c r="N1444" s="261">
        <f>IF(ISBLANK(INDEX('Policy Characteristics'!H:H,MATCH($C1444,'Policy Characteristics'!$C:$C,0))),"",INDEX('Policy Characteristics'!H:H,MATCH($C1444,'Policy Characteristics'!$C:$C,0)))</f>
        <v>0.01</v>
      </c>
      <c r="O1444" s="254" t="str">
        <f>IF(ISBLANK(INDEX('Policy Characteristics'!I:I,MATCH($C1444,'Policy Characteristics'!$C:$C,0))),"",INDEX('Policy Characteristics'!I:I,MATCH($C1444,'Policy Characteristics'!$C:$C,0)))</f>
        <v>% reduction in energy use</v>
      </c>
      <c r="P1444" s="254"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4" t="str">
        <f>IF(ISBLANK(INDEX('Policy Characteristics'!K:K,MATCH($C1444,'Policy Characteristics'!$C:$C,0))),"",INDEX('Policy Characteristics'!K:K,MATCH($C1444,'Policy Characteristics'!$C:$C,0)))</f>
        <v>industry-ag-main.html#eff-stds</v>
      </c>
      <c r="R1444" s="254" t="str">
        <f>IF(ISBLANK(INDEX('Policy Characteristics'!L:L,MATCH($C1444,'Policy Characteristics'!$C:$C,0))),"",INDEX('Policy Characteristics'!L:L,MATCH($C1444,'Policy Characteristics'!$C:$C,0)))</f>
        <v>industry-energy-efficiency-standards.html</v>
      </c>
    </row>
    <row r="1445" spans="1:18" s="4" customFormat="1" x14ac:dyDescent="0.3">
      <c r="A1445" s="254" t="str">
        <f>IF(ISBLANK(INDEX('Policy Characteristics'!A:A,MATCH($C1445,'Policy Characteristics'!$C:$C,0))),"",INDEX('Policy Characteristics'!A:A,MATCH($C1445,'Policy Characteristics'!$C:$C,0)))</f>
        <v>Industry</v>
      </c>
      <c r="B1445" s="262" t="str">
        <f>IF(ISBLANK(INDEX('Policy Characteristics'!B:B,MATCH($C1445,'Policy Characteristics'!$C:$C,0))),"",INDEX('Policy Characteristics'!B:B,MATCH($C1445,'Policy Characteristics'!$C:$C,0)))</f>
        <v>Industry Energy Efficiency Standards</v>
      </c>
      <c r="C1445" s="254" t="str">
        <f t="shared" si="50"/>
        <v>Percentage Improvement in Eqpt Efficiency Standards above BAU</v>
      </c>
      <c r="D1445" s="6" t="s">
        <v>3076</v>
      </c>
      <c r="E1445" s="45" t="s">
        <v>2705</v>
      </c>
      <c r="F1445" t="s">
        <v>3038</v>
      </c>
      <c r="G1445" s="45" t="s">
        <v>2710</v>
      </c>
      <c r="H1445" s="43">
        <v>1117</v>
      </c>
      <c r="I1445" s="324" t="s">
        <v>44</v>
      </c>
      <c r="J1445" s="255" t="str">
        <f>IF(ISBLANK(INDEX('Policy Characteristics'!D:D,MATCH($C1445,'Policy Characteristics'!$C:$C,0))),"",INDEX('Policy Characteristics'!D:D,MATCH($C1445,'Policy Characteristics'!$C:$C,0)))</f>
        <v>Industry Energy Efficiency Standards</v>
      </c>
      <c r="K1445" s="254" t="str">
        <f>IF(ISBLANK(INDEX('Policy Characteristics'!E:E,MATCH($C1445,'Policy Characteristics'!$C:$C,0))),"",INDEX('Policy Characteristics'!E:E,MATCH($C1445,'Policy Characteristics'!$C:$C,0)))</f>
        <v>indst efficiency standards</v>
      </c>
      <c r="L1445" s="261">
        <f>IF(ISBLANK(INDEX('Policy Characteristics'!F:F,MATCH($C1445,'Policy Characteristics'!$C:$C,0))),"",INDEX('Policy Characteristics'!F:F,MATCH($C1445,'Policy Characteristics'!$C:$C,0)))</f>
        <v>0</v>
      </c>
      <c r="M1445" s="261">
        <f>IF(ISBLANK(INDEX('Policy Characteristics'!G:G,MATCH($C1445,'Policy Characteristics'!$C:$C,0))),"",INDEX('Policy Characteristics'!G:G,MATCH($C1445,'Policy Characteristics'!$C:$C,0)))</f>
        <v>0.25</v>
      </c>
      <c r="N1445" s="261">
        <f>IF(ISBLANK(INDEX('Policy Characteristics'!H:H,MATCH($C1445,'Policy Characteristics'!$C:$C,0))),"",INDEX('Policy Characteristics'!H:H,MATCH($C1445,'Policy Characteristics'!$C:$C,0)))</f>
        <v>0.01</v>
      </c>
      <c r="O1445" s="254" t="str">
        <f>IF(ISBLANK(INDEX('Policy Characteristics'!I:I,MATCH($C1445,'Policy Characteristics'!$C:$C,0))),"",INDEX('Policy Characteristics'!I:I,MATCH($C1445,'Policy Characteristics'!$C:$C,0)))</f>
        <v>% reduction in energy use</v>
      </c>
      <c r="P1445" s="254"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4" t="str">
        <f>IF(ISBLANK(INDEX('Policy Characteristics'!K:K,MATCH($C1445,'Policy Characteristics'!$C:$C,0))),"",INDEX('Policy Characteristics'!K:K,MATCH($C1445,'Policy Characteristics'!$C:$C,0)))</f>
        <v>industry-ag-main.html#eff-stds</v>
      </c>
      <c r="R1445" s="254" t="str">
        <f>IF(ISBLANK(INDEX('Policy Characteristics'!L:L,MATCH($C1445,'Policy Characteristics'!$C:$C,0))),"",INDEX('Policy Characteristics'!L:L,MATCH($C1445,'Policy Characteristics'!$C:$C,0)))</f>
        <v>industry-energy-efficiency-standards.html</v>
      </c>
    </row>
    <row r="1446" spans="1:18" s="4" customFormat="1" x14ac:dyDescent="0.3">
      <c r="A1446" s="254" t="str">
        <f>IF(ISBLANK(INDEX('Policy Characteristics'!A:A,MATCH($C1446,'Policy Characteristics'!$C:$C,0))),"",INDEX('Policy Characteristics'!A:A,MATCH($C1446,'Policy Characteristics'!$C:$C,0)))</f>
        <v>Industry</v>
      </c>
      <c r="B1446" s="262" t="str">
        <f>IF(ISBLANK(INDEX('Policy Characteristics'!B:B,MATCH($C1446,'Policy Characteristics'!$C:$C,0))),"",INDEX('Policy Characteristics'!B:B,MATCH($C1446,'Policy Characteristics'!$C:$C,0)))</f>
        <v>Industry Energy Efficiency Standards</v>
      </c>
      <c r="C1446" s="254" t="str">
        <f t="shared" si="50"/>
        <v>Percentage Improvement in Eqpt Efficiency Standards above BAU</v>
      </c>
      <c r="D1446" s="6" t="s">
        <v>3077</v>
      </c>
      <c r="E1446" s="45" t="s">
        <v>2399</v>
      </c>
      <c r="F1446" t="s">
        <v>3039</v>
      </c>
      <c r="G1446" s="45" t="s">
        <v>2405</v>
      </c>
      <c r="H1446" s="43">
        <v>1118</v>
      </c>
      <c r="I1446" s="324" t="s">
        <v>43</v>
      </c>
      <c r="J1446" s="255" t="str">
        <f>IF(ISBLANK(INDEX('Policy Characteristics'!D:D,MATCH($C1446,'Policy Characteristics'!$C:$C,0))),"",INDEX('Policy Characteristics'!D:D,MATCH($C1446,'Policy Characteristics'!$C:$C,0)))</f>
        <v>Industry Energy Efficiency Standards</v>
      </c>
      <c r="K1446" s="254" t="str">
        <f>IF(ISBLANK(INDEX('Policy Characteristics'!E:E,MATCH($C1446,'Policy Characteristics'!$C:$C,0))),"",INDEX('Policy Characteristics'!E:E,MATCH($C1446,'Policy Characteristics'!$C:$C,0)))</f>
        <v>indst efficiency standards</v>
      </c>
      <c r="L1446" s="261">
        <f>IF(ISBLANK(INDEX('Policy Characteristics'!F:F,MATCH($C1446,'Policy Characteristics'!$C:$C,0))),"",INDEX('Policy Characteristics'!F:F,MATCH($C1446,'Policy Characteristics'!$C:$C,0)))</f>
        <v>0</v>
      </c>
      <c r="M1446" s="261">
        <f>IF(ISBLANK(INDEX('Policy Characteristics'!G:G,MATCH($C1446,'Policy Characteristics'!$C:$C,0))),"",INDEX('Policy Characteristics'!G:G,MATCH($C1446,'Policy Characteristics'!$C:$C,0)))</f>
        <v>0.25</v>
      </c>
      <c r="N1446" s="261">
        <f>IF(ISBLANK(INDEX('Policy Characteristics'!H:H,MATCH($C1446,'Policy Characteristics'!$C:$C,0))),"",INDEX('Policy Characteristics'!H:H,MATCH($C1446,'Policy Characteristics'!$C:$C,0)))</f>
        <v>0.01</v>
      </c>
      <c r="O1446" s="254" t="str">
        <f>IF(ISBLANK(INDEX('Policy Characteristics'!I:I,MATCH($C1446,'Policy Characteristics'!$C:$C,0))),"",INDEX('Policy Characteristics'!I:I,MATCH($C1446,'Policy Characteristics'!$C:$C,0)))</f>
        <v>% reduction in energy use</v>
      </c>
      <c r="P1446" s="254"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4" t="str">
        <f>IF(ISBLANK(INDEX('Policy Characteristics'!K:K,MATCH($C1446,'Policy Characteristics'!$C:$C,0))),"",INDEX('Policy Characteristics'!K:K,MATCH($C1446,'Policy Characteristics'!$C:$C,0)))</f>
        <v>industry-ag-main.html#eff-stds</v>
      </c>
      <c r="R1446" s="254" t="str">
        <f>IF(ISBLANK(INDEX('Policy Characteristics'!L:L,MATCH($C1446,'Policy Characteristics'!$C:$C,0))),"",INDEX('Policy Characteristics'!L:L,MATCH($C1446,'Policy Characteristics'!$C:$C,0)))</f>
        <v>industry-energy-efficiency-standards.html</v>
      </c>
    </row>
    <row r="1447" spans="1:18" s="4" customFormat="1" x14ac:dyDescent="0.3">
      <c r="A1447" s="254" t="str">
        <f>IF(ISBLANK(INDEX('Policy Characteristics'!A:A,MATCH($C1447,'Policy Characteristics'!$C:$C,0))),"",INDEX('Policy Characteristics'!A:A,MATCH($C1447,'Policy Characteristics'!$C:$C,0)))</f>
        <v>Industry</v>
      </c>
      <c r="B1447" s="262" t="str">
        <f>IF(ISBLANK(INDEX('Policy Characteristics'!B:B,MATCH($C1447,'Policy Characteristics'!$C:$C,0))),"",INDEX('Policy Characteristics'!B:B,MATCH($C1447,'Policy Characteristics'!$C:$C,0)))</f>
        <v>Industry Energy Efficiency Standards</v>
      </c>
      <c r="C1447" s="254" t="str">
        <f t="shared" si="50"/>
        <v>Percentage Improvement in Eqpt Efficiency Standards above BAU</v>
      </c>
      <c r="D1447" s="6" t="s">
        <v>3077</v>
      </c>
      <c r="E1447" s="45" t="s">
        <v>2400</v>
      </c>
      <c r="F1447" t="s">
        <v>3039</v>
      </c>
      <c r="G1447" s="45" t="s">
        <v>2408</v>
      </c>
      <c r="H1447" s="43">
        <v>1119</v>
      </c>
      <c r="I1447" s="324" t="s">
        <v>44</v>
      </c>
      <c r="J1447" s="255" t="str">
        <f>IF(ISBLANK(INDEX('Policy Characteristics'!D:D,MATCH($C1447,'Policy Characteristics'!$C:$C,0))),"",INDEX('Policy Characteristics'!D:D,MATCH($C1447,'Policy Characteristics'!$C:$C,0)))</f>
        <v>Industry Energy Efficiency Standards</v>
      </c>
      <c r="K1447" s="254" t="str">
        <f>IF(ISBLANK(INDEX('Policy Characteristics'!E:E,MATCH($C1447,'Policy Characteristics'!$C:$C,0))),"",INDEX('Policy Characteristics'!E:E,MATCH($C1447,'Policy Characteristics'!$C:$C,0)))</f>
        <v>indst efficiency standards</v>
      </c>
      <c r="L1447" s="261">
        <f>IF(ISBLANK(INDEX('Policy Characteristics'!F:F,MATCH($C1447,'Policy Characteristics'!$C:$C,0))),"",INDEX('Policy Characteristics'!F:F,MATCH($C1447,'Policy Characteristics'!$C:$C,0)))</f>
        <v>0</v>
      </c>
      <c r="M1447" s="261">
        <f>IF(ISBLANK(INDEX('Policy Characteristics'!G:G,MATCH($C1447,'Policy Characteristics'!$C:$C,0))),"",INDEX('Policy Characteristics'!G:G,MATCH($C1447,'Policy Characteristics'!$C:$C,0)))</f>
        <v>0.25</v>
      </c>
      <c r="N1447" s="261">
        <f>IF(ISBLANK(INDEX('Policy Characteristics'!H:H,MATCH($C1447,'Policy Characteristics'!$C:$C,0))),"",INDEX('Policy Characteristics'!H:H,MATCH($C1447,'Policy Characteristics'!$C:$C,0)))</f>
        <v>0.01</v>
      </c>
      <c r="O1447" s="254" t="str">
        <f>IF(ISBLANK(INDEX('Policy Characteristics'!I:I,MATCH($C1447,'Policy Characteristics'!$C:$C,0))),"",INDEX('Policy Characteristics'!I:I,MATCH($C1447,'Policy Characteristics'!$C:$C,0)))</f>
        <v>% reduction in energy use</v>
      </c>
      <c r="P1447" s="254"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4" t="str">
        <f>IF(ISBLANK(INDEX('Policy Characteristics'!K:K,MATCH($C1447,'Policy Characteristics'!$C:$C,0))),"",INDEX('Policy Characteristics'!K:K,MATCH($C1447,'Policy Characteristics'!$C:$C,0)))</f>
        <v>industry-ag-main.html#eff-stds</v>
      </c>
      <c r="R1447" s="254" t="str">
        <f>IF(ISBLANK(INDEX('Policy Characteristics'!L:L,MATCH($C1447,'Policy Characteristics'!$C:$C,0))),"",INDEX('Policy Characteristics'!L:L,MATCH($C1447,'Policy Characteristics'!$C:$C,0)))</f>
        <v>industry-energy-efficiency-standards.html</v>
      </c>
    </row>
    <row r="1448" spans="1:18" s="4" customFormat="1" x14ac:dyDescent="0.3">
      <c r="A1448" s="254" t="str">
        <f>IF(ISBLANK(INDEX('Policy Characteristics'!A:A,MATCH($C1448,'Policy Characteristics'!$C:$C,0))),"",INDEX('Policy Characteristics'!A:A,MATCH($C1448,'Policy Characteristics'!$C:$C,0)))</f>
        <v>Industry</v>
      </c>
      <c r="B1448" s="262" t="str">
        <f>IF(ISBLANK(INDEX('Policy Characteristics'!B:B,MATCH($C1448,'Policy Characteristics'!$C:$C,0))),"",INDEX('Policy Characteristics'!B:B,MATCH($C1448,'Policy Characteristics'!$C:$C,0)))</f>
        <v>Industry Energy Efficiency Standards</v>
      </c>
      <c r="C1448" s="254" t="str">
        <f t="shared" si="50"/>
        <v>Percentage Improvement in Eqpt Efficiency Standards above BAU</v>
      </c>
      <c r="D1448" s="6" t="s">
        <v>3077</v>
      </c>
      <c r="E1448" s="45" t="s">
        <v>2401</v>
      </c>
      <c r="F1448" t="s">
        <v>3039</v>
      </c>
      <c r="G1448" s="45" t="s">
        <v>2409</v>
      </c>
      <c r="H1448" s="43">
        <v>1120</v>
      </c>
      <c r="I1448" s="324" t="s">
        <v>43</v>
      </c>
      <c r="J1448" s="255" t="str">
        <f>IF(ISBLANK(INDEX('Policy Characteristics'!D:D,MATCH($C1448,'Policy Characteristics'!$C:$C,0))),"",INDEX('Policy Characteristics'!D:D,MATCH($C1448,'Policy Characteristics'!$C:$C,0)))</f>
        <v>Industry Energy Efficiency Standards</v>
      </c>
      <c r="K1448" s="254" t="str">
        <f>IF(ISBLANK(INDEX('Policy Characteristics'!E:E,MATCH($C1448,'Policy Characteristics'!$C:$C,0))),"",INDEX('Policy Characteristics'!E:E,MATCH($C1448,'Policy Characteristics'!$C:$C,0)))</f>
        <v>indst efficiency standards</v>
      </c>
      <c r="L1448" s="261">
        <f>IF(ISBLANK(INDEX('Policy Characteristics'!F:F,MATCH($C1448,'Policy Characteristics'!$C:$C,0))),"",INDEX('Policy Characteristics'!F:F,MATCH($C1448,'Policy Characteristics'!$C:$C,0)))</f>
        <v>0</v>
      </c>
      <c r="M1448" s="261">
        <f>IF(ISBLANK(INDEX('Policy Characteristics'!G:G,MATCH($C1448,'Policy Characteristics'!$C:$C,0))),"",INDEX('Policy Characteristics'!G:G,MATCH($C1448,'Policy Characteristics'!$C:$C,0)))</f>
        <v>0.25</v>
      </c>
      <c r="N1448" s="261">
        <f>IF(ISBLANK(INDEX('Policy Characteristics'!H:H,MATCH($C1448,'Policy Characteristics'!$C:$C,0))),"",INDEX('Policy Characteristics'!H:H,MATCH($C1448,'Policy Characteristics'!$C:$C,0)))</f>
        <v>0.01</v>
      </c>
      <c r="O1448" s="254" t="str">
        <f>IF(ISBLANK(INDEX('Policy Characteristics'!I:I,MATCH($C1448,'Policy Characteristics'!$C:$C,0))),"",INDEX('Policy Characteristics'!I:I,MATCH($C1448,'Policy Characteristics'!$C:$C,0)))</f>
        <v>% reduction in energy use</v>
      </c>
      <c r="P1448" s="254"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4" t="str">
        <f>IF(ISBLANK(INDEX('Policy Characteristics'!K:K,MATCH($C1448,'Policy Characteristics'!$C:$C,0))),"",INDEX('Policy Characteristics'!K:K,MATCH($C1448,'Policy Characteristics'!$C:$C,0)))</f>
        <v>industry-ag-main.html#eff-stds</v>
      </c>
      <c r="R1448" s="254" t="str">
        <f>IF(ISBLANK(INDEX('Policy Characteristics'!L:L,MATCH($C1448,'Policy Characteristics'!$C:$C,0))),"",INDEX('Policy Characteristics'!L:L,MATCH($C1448,'Policy Characteristics'!$C:$C,0)))</f>
        <v>industry-energy-efficiency-standards.html</v>
      </c>
    </row>
    <row r="1449" spans="1:18" s="4" customFormat="1" x14ac:dyDescent="0.3">
      <c r="A1449" s="254" t="str">
        <f>IF(ISBLANK(INDEX('Policy Characteristics'!A:A,MATCH($C1449,'Policy Characteristics'!$C:$C,0))),"",INDEX('Policy Characteristics'!A:A,MATCH($C1449,'Policy Characteristics'!$C:$C,0)))</f>
        <v>Industry</v>
      </c>
      <c r="B1449" s="262" t="str">
        <f>IF(ISBLANK(INDEX('Policy Characteristics'!B:B,MATCH($C1449,'Policy Characteristics'!$C:$C,0))),"",INDEX('Policy Characteristics'!B:B,MATCH($C1449,'Policy Characteristics'!$C:$C,0)))</f>
        <v>Industry Energy Efficiency Standards</v>
      </c>
      <c r="C1449" s="254" t="str">
        <f t="shared" si="50"/>
        <v>Percentage Improvement in Eqpt Efficiency Standards above BAU</v>
      </c>
      <c r="D1449" s="6" t="s">
        <v>3077</v>
      </c>
      <c r="E1449" s="45" t="s">
        <v>2402</v>
      </c>
      <c r="F1449" t="s">
        <v>3039</v>
      </c>
      <c r="G1449" s="45" t="s">
        <v>2406</v>
      </c>
      <c r="H1449" s="43">
        <v>1121</v>
      </c>
      <c r="I1449" s="324" t="s">
        <v>44</v>
      </c>
      <c r="J1449" s="255" t="str">
        <f>IF(ISBLANK(INDEX('Policy Characteristics'!D:D,MATCH($C1449,'Policy Characteristics'!$C:$C,0))),"",INDEX('Policy Characteristics'!D:D,MATCH($C1449,'Policy Characteristics'!$C:$C,0)))</f>
        <v>Industry Energy Efficiency Standards</v>
      </c>
      <c r="K1449" s="254" t="str">
        <f>IF(ISBLANK(INDEX('Policy Characteristics'!E:E,MATCH($C1449,'Policy Characteristics'!$C:$C,0))),"",INDEX('Policy Characteristics'!E:E,MATCH($C1449,'Policy Characteristics'!$C:$C,0)))</f>
        <v>indst efficiency standards</v>
      </c>
      <c r="L1449" s="261">
        <f>IF(ISBLANK(INDEX('Policy Characteristics'!F:F,MATCH($C1449,'Policy Characteristics'!$C:$C,0))),"",INDEX('Policy Characteristics'!F:F,MATCH($C1449,'Policy Characteristics'!$C:$C,0)))</f>
        <v>0</v>
      </c>
      <c r="M1449" s="261">
        <f>IF(ISBLANK(INDEX('Policy Characteristics'!G:G,MATCH($C1449,'Policy Characteristics'!$C:$C,0))),"",INDEX('Policy Characteristics'!G:G,MATCH($C1449,'Policy Characteristics'!$C:$C,0)))</f>
        <v>0.25</v>
      </c>
      <c r="N1449" s="261">
        <f>IF(ISBLANK(INDEX('Policy Characteristics'!H:H,MATCH($C1449,'Policy Characteristics'!$C:$C,0))),"",INDEX('Policy Characteristics'!H:H,MATCH($C1449,'Policy Characteristics'!$C:$C,0)))</f>
        <v>0.01</v>
      </c>
      <c r="O1449" s="254" t="str">
        <f>IF(ISBLANK(INDEX('Policy Characteristics'!I:I,MATCH($C1449,'Policy Characteristics'!$C:$C,0))),"",INDEX('Policy Characteristics'!I:I,MATCH($C1449,'Policy Characteristics'!$C:$C,0)))</f>
        <v>% reduction in energy use</v>
      </c>
      <c r="P1449" s="254"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4" t="str">
        <f>IF(ISBLANK(INDEX('Policy Characteristics'!K:K,MATCH($C1449,'Policy Characteristics'!$C:$C,0))),"",INDEX('Policy Characteristics'!K:K,MATCH($C1449,'Policy Characteristics'!$C:$C,0)))</f>
        <v>industry-ag-main.html#eff-stds</v>
      </c>
      <c r="R1449" s="254" t="str">
        <f>IF(ISBLANK(INDEX('Policy Characteristics'!L:L,MATCH($C1449,'Policy Characteristics'!$C:$C,0))),"",INDEX('Policy Characteristics'!L:L,MATCH($C1449,'Policy Characteristics'!$C:$C,0)))</f>
        <v>industry-energy-efficiency-standards.html</v>
      </c>
    </row>
    <row r="1450" spans="1:18" s="4" customFormat="1" x14ac:dyDescent="0.3">
      <c r="A1450" s="254" t="str">
        <f>IF(ISBLANK(INDEX('Policy Characteristics'!A:A,MATCH($C1450,'Policy Characteristics'!$C:$C,0))),"",INDEX('Policy Characteristics'!A:A,MATCH($C1450,'Policy Characteristics'!$C:$C,0)))</f>
        <v>Industry</v>
      </c>
      <c r="B1450" s="262" t="str">
        <f>IF(ISBLANK(INDEX('Policy Characteristics'!B:B,MATCH($C1450,'Policy Characteristics'!$C:$C,0))),"",INDEX('Policy Characteristics'!B:B,MATCH($C1450,'Policy Characteristics'!$C:$C,0)))</f>
        <v>Industry Energy Efficiency Standards</v>
      </c>
      <c r="C1450" s="254" t="str">
        <f t="shared" si="50"/>
        <v>Percentage Improvement in Eqpt Efficiency Standards above BAU</v>
      </c>
      <c r="D1450" s="6" t="s">
        <v>3077</v>
      </c>
      <c r="E1450" s="45" t="s">
        <v>2403</v>
      </c>
      <c r="F1450" t="s">
        <v>3039</v>
      </c>
      <c r="G1450" s="45" t="s">
        <v>2407</v>
      </c>
      <c r="H1450" s="43">
        <v>1122</v>
      </c>
      <c r="I1450" s="324" t="s">
        <v>43</v>
      </c>
      <c r="J1450" s="255" t="str">
        <f>IF(ISBLANK(INDEX('Policy Characteristics'!D:D,MATCH($C1450,'Policy Characteristics'!$C:$C,0))),"",INDEX('Policy Characteristics'!D:D,MATCH($C1450,'Policy Characteristics'!$C:$C,0)))</f>
        <v>Industry Energy Efficiency Standards</v>
      </c>
      <c r="K1450" s="254" t="str">
        <f>IF(ISBLANK(INDEX('Policy Characteristics'!E:E,MATCH($C1450,'Policy Characteristics'!$C:$C,0))),"",INDEX('Policy Characteristics'!E:E,MATCH($C1450,'Policy Characteristics'!$C:$C,0)))</f>
        <v>indst efficiency standards</v>
      </c>
      <c r="L1450" s="261">
        <f>IF(ISBLANK(INDEX('Policy Characteristics'!F:F,MATCH($C1450,'Policy Characteristics'!$C:$C,0))),"",INDEX('Policy Characteristics'!F:F,MATCH($C1450,'Policy Characteristics'!$C:$C,0)))</f>
        <v>0</v>
      </c>
      <c r="M1450" s="261">
        <f>IF(ISBLANK(INDEX('Policy Characteristics'!G:G,MATCH($C1450,'Policy Characteristics'!$C:$C,0))),"",INDEX('Policy Characteristics'!G:G,MATCH($C1450,'Policy Characteristics'!$C:$C,0)))</f>
        <v>0.25</v>
      </c>
      <c r="N1450" s="261">
        <f>IF(ISBLANK(INDEX('Policy Characteristics'!H:H,MATCH($C1450,'Policy Characteristics'!$C:$C,0))),"",INDEX('Policy Characteristics'!H:H,MATCH($C1450,'Policy Characteristics'!$C:$C,0)))</f>
        <v>0.01</v>
      </c>
      <c r="O1450" s="254" t="str">
        <f>IF(ISBLANK(INDEX('Policy Characteristics'!I:I,MATCH($C1450,'Policy Characteristics'!$C:$C,0))),"",INDEX('Policy Characteristics'!I:I,MATCH($C1450,'Policy Characteristics'!$C:$C,0)))</f>
        <v>% reduction in energy use</v>
      </c>
      <c r="P1450" s="254"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4" t="str">
        <f>IF(ISBLANK(INDEX('Policy Characteristics'!K:K,MATCH($C1450,'Policy Characteristics'!$C:$C,0))),"",INDEX('Policy Characteristics'!K:K,MATCH($C1450,'Policy Characteristics'!$C:$C,0)))</f>
        <v>industry-ag-main.html#eff-stds</v>
      </c>
      <c r="R1450" s="254" t="str">
        <f>IF(ISBLANK(INDEX('Policy Characteristics'!L:L,MATCH($C1450,'Policy Characteristics'!$C:$C,0))),"",INDEX('Policy Characteristics'!L:L,MATCH($C1450,'Policy Characteristics'!$C:$C,0)))</f>
        <v>industry-energy-efficiency-standards.html</v>
      </c>
    </row>
    <row r="1451" spans="1:18" s="4" customFormat="1" x14ac:dyDescent="0.3">
      <c r="A1451" s="254" t="str">
        <f>IF(ISBLANK(INDEX('Policy Characteristics'!A:A,MATCH($C1451,'Policy Characteristics'!$C:$C,0))),"",INDEX('Policy Characteristics'!A:A,MATCH($C1451,'Policy Characteristics'!$C:$C,0)))</f>
        <v>Industry</v>
      </c>
      <c r="B1451" s="262" t="str">
        <f>IF(ISBLANK(INDEX('Policy Characteristics'!B:B,MATCH($C1451,'Policy Characteristics'!$C:$C,0))),"",INDEX('Policy Characteristics'!B:B,MATCH($C1451,'Policy Characteristics'!$C:$C,0)))</f>
        <v>Industry Energy Efficiency Standards</v>
      </c>
      <c r="C1451" s="254" t="str">
        <f t="shared" si="50"/>
        <v>Percentage Improvement in Eqpt Efficiency Standards above BAU</v>
      </c>
      <c r="D1451" s="6" t="s">
        <v>3077</v>
      </c>
      <c r="E1451" s="45" t="s">
        <v>2404</v>
      </c>
      <c r="F1451" t="s">
        <v>3039</v>
      </c>
      <c r="G1451" s="45" t="s">
        <v>2410</v>
      </c>
      <c r="H1451" s="43">
        <v>1123</v>
      </c>
      <c r="I1451" s="324" t="s">
        <v>44</v>
      </c>
      <c r="J1451" s="255" t="str">
        <f>IF(ISBLANK(INDEX('Policy Characteristics'!D:D,MATCH($C1451,'Policy Characteristics'!$C:$C,0))),"",INDEX('Policy Characteristics'!D:D,MATCH($C1451,'Policy Characteristics'!$C:$C,0)))</f>
        <v>Industry Energy Efficiency Standards</v>
      </c>
      <c r="K1451" s="254" t="str">
        <f>IF(ISBLANK(INDEX('Policy Characteristics'!E:E,MATCH($C1451,'Policy Characteristics'!$C:$C,0))),"",INDEX('Policy Characteristics'!E:E,MATCH($C1451,'Policy Characteristics'!$C:$C,0)))</f>
        <v>indst efficiency standards</v>
      </c>
      <c r="L1451" s="261">
        <f>IF(ISBLANK(INDEX('Policy Characteristics'!F:F,MATCH($C1451,'Policy Characteristics'!$C:$C,0))),"",INDEX('Policy Characteristics'!F:F,MATCH($C1451,'Policy Characteristics'!$C:$C,0)))</f>
        <v>0</v>
      </c>
      <c r="M1451" s="261">
        <f>IF(ISBLANK(INDEX('Policy Characteristics'!G:G,MATCH($C1451,'Policy Characteristics'!$C:$C,0))),"",INDEX('Policy Characteristics'!G:G,MATCH($C1451,'Policy Characteristics'!$C:$C,0)))</f>
        <v>0.25</v>
      </c>
      <c r="N1451" s="261">
        <f>IF(ISBLANK(INDEX('Policy Characteristics'!H:H,MATCH($C1451,'Policy Characteristics'!$C:$C,0))),"",INDEX('Policy Characteristics'!H:H,MATCH($C1451,'Policy Characteristics'!$C:$C,0)))</f>
        <v>0.01</v>
      </c>
      <c r="O1451" s="254" t="str">
        <f>IF(ISBLANK(INDEX('Policy Characteristics'!I:I,MATCH($C1451,'Policy Characteristics'!$C:$C,0))),"",INDEX('Policy Characteristics'!I:I,MATCH($C1451,'Policy Characteristics'!$C:$C,0)))</f>
        <v>% reduction in energy use</v>
      </c>
      <c r="P1451" s="254"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4" t="str">
        <f>IF(ISBLANK(INDEX('Policy Characteristics'!K:K,MATCH($C1451,'Policy Characteristics'!$C:$C,0))),"",INDEX('Policy Characteristics'!K:K,MATCH($C1451,'Policy Characteristics'!$C:$C,0)))</f>
        <v>industry-ag-main.html#eff-stds</v>
      </c>
      <c r="R1451" s="254" t="str">
        <f>IF(ISBLANK(INDEX('Policy Characteristics'!L:L,MATCH($C1451,'Policy Characteristics'!$C:$C,0))),"",INDEX('Policy Characteristics'!L:L,MATCH($C1451,'Policy Characteristics'!$C:$C,0)))</f>
        <v>industry-energy-efficiency-standards.html</v>
      </c>
    </row>
    <row r="1452" spans="1:18" s="4" customFormat="1" x14ac:dyDescent="0.3">
      <c r="A1452" s="254" t="str">
        <f>IF(ISBLANK(INDEX('Policy Characteristics'!A:A,MATCH($C1452,'Policy Characteristics'!$C:$C,0))),"",INDEX('Policy Characteristics'!A:A,MATCH($C1452,'Policy Characteristics'!$C:$C,0)))</f>
        <v>Industry</v>
      </c>
      <c r="B1452" s="262" t="str">
        <f>IF(ISBLANK(INDEX('Policy Characteristics'!B:B,MATCH($C1452,'Policy Characteristics'!$C:$C,0))),"",INDEX('Policy Characteristics'!B:B,MATCH($C1452,'Policy Characteristics'!$C:$C,0)))</f>
        <v>Industry Energy Efficiency Standards</v>
      </c>
      <c r="C1452" s="254" t="str">
        <f t="shared" si="50"/>
        <v>Percentage Improvement in Eqpt Efficiency Standards above BAU</v>
      </c>
      <c r="D1452" s="6" t="s">
        <v>3077</v>
      </c>
      <c r="E1452" s="45" t="s">
        <v>2706</v>
      </c>
      <c r="F1452" t="s">
        <v>3039</v>
      </c>
      <c r="G1452" s="45" t="s">
        <v>2709</v>
      </c>
      <c r="H1452" s="43">
        <v>1124</v>
      </c>
      <c r="I1452" s="324" t="s">
        <v>44</v>
      </c>
      <c r="J1452" s="255" t="str">
        <f>IF(ISBLANK(INDEX('Policy Characteristics'!D:D,MATCH($C1452,'Policy Characteristics'!$C:$C,0))),"",INDEX('Policy Characteristics'!D:D,MATCH($C1452,'Policy Characteristics'!$C:$C,0)))</f>
        <v>Industry Energy Efficiency Standards</v>
      </c>
      <c r="K1452" s="254" t="str">
        <f>IF(ISBLANK(INDEX('Policy Characteristics'!E:E,MATCH($C1452,'Policy Characteristics'!$C:$C,0))),"",INDEX('Policy Characteristics'!E:E,MATCH($C1452,'Policy Characteristics'!$C:$C,0)))</f>
        <v>indst efficiency standards</v>
      </c>
      <c r="L1452" s="261">
        <f>IF(ISBLANK(INDEX('Policy Characteristics'!F:F,MATCH($C1452,'Policy Characteristics'!$C:$C,0))),"",INDEX('Policy Characteristics'!F:F,MATCH($C1452,'Policy Characteristics'!$C:$C,0)))</f>
        <v>0</v>
      </c>
      <c r="M1452" s="261">
        <f>IF(ISBLANK(INDEX('Policy Characteristics'!G:G,MATCH($C1452,'Policy Characteristics'!$C:$C,0))),"",INDEX('Policy Characteristics'!G:G,MATCH($C1452,'Policy Characteristics'!$C:$C,0)))</f>
        <v>0.25</v>
      </c>
      <c r="N1452" s="261">
        <f>IF(ISBLANK(INDEX('Policy Characteristics'!H:H,MATCH($C1452,'Policy Characteristics'!$C:$C,0))),"",INDEX('Policy Characteristics'!H:H,MATCH($C1452,'Policy Characteristics'!$C:$C,0)))</f>
        <v>0.01</v>
      </c>
      <c r="O1452" s="254" t="str">
        <f>IF(ISBLANK(INDEX('Policy Characteristics'!I:I,MATCH($C1452,'Policy Characteristics'!$C:$C,0))),"",INDEX('Policy Characteristics'!I:I,MATCH($C1452,'Policy Characteristics'!$C:$C,0)))</f>
        <v>% reduction in energy use</v>
      </c>
      <c r="P1452" s="254"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4" t="str">
        <f>IF(ISBLANK(INDEX('Policy Characteristics'!K:K,MATCH($C1452,'Policy Characteristics'!$C:$C,0))),"",INDEX('Policy Characteristics'!K:K,MATCH($C1452,'Policy Characteristics'!$C:$C,0)))</f>
        <v>industry-ag-main.html#eff-stds</v>
      </c>
      <c r="R1452" s="254" t="str">
        <f>IF(ISBLANK(INDEX('Policy Characteristics'!L:L,MATCH($C1452,'Policy Characteristics'!$C:$C,0))),"",INDEX('Policy Characteristics'!L:L,MATCH($C1452,'Policy Characteristics'!$C:$C,0)))</f>
        <v>industry-energy-efficiency-standards.html</v>
      </c>
    </row>
    <row r="1453" spans="1:18" s="4" customFormat="1" x14ac:dyDescent="0.3">
      <c r="A1453" s="254" t="str">
        <f>IF(ISBLANK(INDEX('Policy Characteristics'!A:A,MATCH($C1453,'Policy Characteristics'!$C:$C,0))),"",INDEX('Policy Characteristics'!A:A,MATCH($C1453,'Policy Characteristics'!$C:$C,0)))</f>
        <v>Industry</v>
      </c>
      <c r="B1453" s="262" t="str">
        <f>IF(ISBLANK(INDEX('Policy Characteristics'!B:B,MATCH($C1453,'Policy Characteristics'!$C:$C,0))),"",INDEX('Policy Characteristics'!B:B,MATCH($C1453,'Policy Characteristics'!$C:$C,0)))</f>
        <v>Industry Energy Efficiency Standards</v>
      </c>
      <c r="C1453" s="254" t="str">
        <f t="shared" si="50"/>
        <v>Percentage Improvement in Eqpt Efficiency Standards above BAU</v>
      </c>
      <c r="D1453" s="6" t="s">
        <v>3077</v>
      </c>
      <c r="E1453" s="45" t="s">
        <v>2707</v>
      </c>
      <c r="F1453" t="s">
        <v>3039</v>
      </c>
      <c r="G1453" s="45" t="s">
        <v>2711</v>
      </c>
      <c r="H1453" s="43">
        <v>1125</v>
      </c>
      <c r="I1453" s="324" t="s">
        <v>44</v>
      </c>
      <c r="J1453" s="255" t="str">
        <f>IF(ISBLANK(INDEX('Policy Characteristics'!D:D,MATCH($C1453,'Policy Characteristics'!$C:$C,0))),"",INDEX('Policy Characteristics'!D:D,MATCH($C1453,'Policy Characteristics'!$C:$C,0)))</f>
        <v>Industry Energy Efficiency Standards</v>
      </c>
      <c r="K1453" s="254" t="str">
        <f>IF(ISBLANK(INDEX('Policy Characteristics'!E:E,MATCH($C1453,'Policy Characteristics'!$C:$C,0))),"",INDEX('Policy Characteristics'!E:E,MATCH($C1453,'Policy Characteristics'!$C:$C,0)))</f>
        <v>indst efficiency standards</v>
      </c>
      <c r="L1453" s="261">
        <f>IF(ISBLANK(INDEX('Policy Characteristics'!F:F,MATCH($C1453,'Policy Characteristics'!$C:$C,0))),"",INDEX('Policy Characteristics'!F:F,MATCH($C1453,'Policy Characteristics'!$C:$C,0)))</f>
        <v>0</v>
      </c>
      <c r="M1453" s="261">
        <f>IF(ISBLANK(INDEX('Policy Characteristics'!G:G,MATCH($C1453,'Policy Characteristics'!$C:$C,0))),"",INDEX('Policy Characteristics'!G:G,MATCH($C1453,'Policy Characteristics'!$C:$C,0)))</f>
        <v>0.25</v>
      </c>
      <c r="N1453" s="261">
        <f>IF(ISBLANK(INDEX('Policy Characteristics'!H:H,MATCH($C1453,'Policy Characteristics'!$C:$C,0))),"",INDEX('Policy Characteristics'!H:H,MATCH($C1453,'Policy Characteristics'!$C:$C,0)))</f>
        <v>0.01</v>
      </c>
      <c r="O1453" s="254" t="str">
        <f>IF(ISBLANK(INDEX('Policy Characteristics'!I:I,MATCH($C1453,'Policy Characteristics'!$C:$C,0))),"",INDEX('Policy Characteristics'!I:I,MATCH($C1453,'Policy Characteristics'!$C:$C,0)))</f>
        <v>% reduction in energy use</v>
      </c>
      <c r="P1453" s="254"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4" t="str">
        <f>IF(ISBLANK(INDEX('Policy Characteristics'!K:K,MATCH($C1453,'Policy Characteristics'!$C:$C,0))),"",INDEX('Policy Characteristics'!K:K,MATCH($C1453,'Policy Characteristics'!$C:$C,0)))</f>
        <v>industry-ag-main.html#eff-stds</v>
      </c>
      <c r="R1453" s="254" t="str">
        <f>IF(ISBLANK(INDEX('Policy Characteristics'!L:L,MATCH($C1453,'Policy Characteristics'!$C:$C,0))),"",INDEX('Policy Characteristics'!L:L,MATCH($C1453,'Policy Characteristics'!$C:$C,0)))</f>
        <v>industry-energy-efficiency-standards.html</v>
      </c>
    </row>
    <row r="1454" spans="1:18" s="4" customFormat="1" x14ac:dyDescent="0.3">
      <c r="A1454" s="254" t="str">
        <f>IF(ISBLANK(INDEX('Policy Characteristics'!A:A,MATCH($C1454,'Policy Characteristics'!$C:$C,0))),"",INDEX('Policy Characteristics'!A:A,MATCH($C1454,'Policy Characteristics'!$C:$C,0)))</f>
        <v>Industry</v>
      </c>
      <c r="B1454" s="262" t="str">
        <f>IF(ISBLANK(INDEX('Policy Characteristics'!B:B,MATCH($C1454,'Policy Characteristics'!$C:$C,0))),"",INDEX('Policy Characteristics'!B:B,MATCH($C1454,'Policy Characteristics'!$C:$C,0)))</f>
        <v>Industry Energy Efficiency Standards</v>
      </c>
      <c r="C1454" s="254" t="str">
        <f t="shared" si="50"/>
        <v>Percentage Improvement in Eqpt Efficiency Standards above BAU</v>
      </c>
      <c r="D1454" s="6" t="s">
        <v>3077</v>
      </c>
      <c r="E1454" s="45" t="s">
        <v>2708</v>
      </c>
      <c r="F1454" t="s">
        <v>3039</v>
      </c>
      <c r="G1454" s="45" t="s">
        <v>2712</v>
      </c>
      <c r="H1454" s="43">
        <v>1126</v>
      </c>
      <c r="I1454" s="324" t="s">
        <v>43</v>
      </c>
      <c r="J1454" s="255" t="str">
        <f>IF(ISBLANK(INDEX('Policy Characteristics'!D:D,MATCH($C1454,'Policy Characteristics'!$C:$C,0))),"",INDEX('Policy Characteristics'!D:D,MATCH($C1454,'Policy Characteristics'!$C:$C,0)))</f>
        <v>Industry Energy Efficiency Standards</v>
      </c>
      <c r="K1454" s="254" t="str">
        <f>IF(ISBLANK(INDEX('Policy Characteristics'!E:E,MATCH($C1454,'Policy Characteristics'!$C:$C,0))),"",INDEX('Policy Characteristics'!E:E,MATCH($C1454,'Policy Characteristics'!$C:$C,0)))</f>
        <v>indst efficiency standards</v>
      </c>
      <c r="L1454" s="261">
        <f>IF(ISBLANK(INDEX('Policy Characteristics'!F:F,MATCH($C1454,'Policy Characteristics'!$C:$C,0))),"",INDEX('Policy Characteristics'!F:F,MATCH($C1454,'Policy Characteristics'!$C:$C,0)))</f>
        <v>0</v>
      </c>
      <c r="M1454" s="261">
        <f>IF(ISBLANK(INDEX('Policy Characteristics'!G:G,MATCH($C1454,'Policy Characteristics'!$C:$C,0))),"",INDEX('Policy Characteristics'!G:G,MATCH($C1454,'Policy Characteristics'!$C:$C,0)))</f>
        <v>0.25</v>
      </c>
      <c r="N1454" s="261">
        <f>IF(ISBLANK(INDEX('Policy Characteristics'!H:H,MATCH($C1454,'Policy Characteristics'!$C:$C,0))),"",INDEX('Policy Characteristics'!H:H,MATCH($C1454,'Policy Characteristics'!$C:$C,0)))</f>
        <v>0.01</v>
      </c>
      <c r="O1454" s="254" t="str">
        <f>IF(ISBLANK(INDEX('Policy Characteristics'!I:I,MATCH($C1454,'Policy Characteristics'!$C:$C,0))),"",INDEX('Policy Characteristics'!I:I,MATCH($C1454,'Policy Characteristics'!$C:$C,0)))</f>
        <v>% reduction in energy use</v>
      </c>
      <c r="P1454" s="254"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4" t="str">
        <f>IF(ISBLANK(INDEX('Policy Characteristics'!K:K,MATCH($C1454,'Policy Characteristics'!$C:$C,0))),"",INDEX('Policy Characteristics'!K:K,MATCH($C1454,'Policy Characteristics'!$C:$C,0)))</f>
        <v>industry-ag-main.html#eff-stds</v>
      </c>
      <c r="R1454" s="254" t="str">
        <f>IF(ISBLANK(INDEX('Policy Characteristics'!L:L,MATCH($C1454,'Policy Characteristics'!$C:$C,0))),"",INDEX('Policy Characteristics'!L:L,MATCH($C1454,'Policy Characteristics'!$C:$C,0)))</f>
        <v>industry-energy-efficiency-standards.html</v>
      </c>
    </row>
    <row r="1455" spans="1:18" s="4" customFormat="1" x14ac:dyDescent="0.3">
      <c r="A1455" s="254" t="str">
        <f>IF(ISBLANK(INDEX('Policy Characteristics'!A:A,MATCH($C1455,'Policy Characteristics'!$C:$C,0))),"",INDEX('Policy Characteristics'!A:A,MATCH($C1455,'Policy Characteristics'!$C:$C,0)))</f>
        <v>Industry</v>
      </c>
      <c r="B1455" s="262" t="str">
        <f>IF(ISBLANK(INDEX('Policy Characteristics'!B:B,MATCH($C1455,'Policy Characteristics'!$C:$C,0))),"",INDEX('Policy Characteristics'!B:B,MATCH($C1455,'Policy Characteristics'!$C:$C,0)))</f>
        <v>Industry Energy Efficiency Standards</v>
      </c>
      <c r="C1455" s="254" t="str">
        <f t="shared" si="50"/>
        <v>Percentage Improvement in Eqpt Efficiency Standards above BAU</v>
      </c>
      <c r="D1455" s="6" t="s">
        <v>3077</v>
      </c>
      <c r="E1455" s="45" t="s">
        <v>2705</v>
      </c>
      <c r="F1455" t="s">
        <v>3039</v>
      </c>
      <c r="G1455" s="45" t="s">
        <v>2710</v>
      </c>
      <c r="H1455" s="43">
        <v>1127</v>
      </c>
      <c r="I1455" s="324" t="s">
        <v>44</v>
      </c>
      <c r="J1455" s="255" t="str">
        <f>IF(ISBLANK(INDEX('Policy Characteristics'!D:D,MATCH($C1455,'Policy Characteristics'!$C:$C,0))),"",INDEX('Policy Characteristics'!D:D,MATCH($C1455,'Policy Characteristics'!$C:$C,0)))</f>
        <v>Industry Energy Efficiency Standards</v>
      </c>
      <c r="K1455" s="254" t="str">
        <f>IF(ISBLANK(INDEX('Policy Characteristics'!E:E,MATCH($C1455,'Policy Characteristics'!$C:$C,0))),"",INDEX('Policy Characteristics'!E:E,MATCH($C1455,'Policy Characteristics'!$C:$C,0)))</f>
        <v>indst efficiency standards</v>
      </c>
      <c r="L1455" s="261">
        <f>IF(ISBLANK(INDEX('Policy Characteristics'!F:F,MATCH($C1455,'Policy Characteristics'!$C:$C,0))),"",INDEX('Policy Characteristics'!F:F,MATCH($C1455,'Policy Characteristics'!$C:$C,0)))</f>
        <v>0</v>
      </c>
      <c r="M1455" s="261">
        <f>IF(ISBLANK(INDEX('Policy Characteristics'!G:G,MATCH($C1455,'Policy Characteristics'!$C:$C,0))),"",INDEX('Policy Characteristics'!G:G,MATCH($C1455,'Policy Characteristics'!$C:$C,0)))</f>
        <v>0.25</v>
      </c>
      <c r="N1455" s="261">
        <f>IF(ISBLANK(INDEX('Policy Characteristics'!H:H,MATCH($C1455,'Policy Characteristics'!$C:$C,0))),"",INDEX('Policy Characteristics'!H:H,MATCH($C1455,'Policy Characteristics'!$C:$C,0)))</f>
        <v>0.01</v>
      </c>
      <c r="O1455" s="254" t="str">
        <f>IF(ISBLANK(INDEX('Policy Characteristics'!I:I,MATCH($C1455,'Policy Characteristics'!$C:$C,0))),"",INDEX('Policy Characteristics'!I:I,MATCH($C1455,'Policy Characteristics'!$C:$C,0)))</f>
        <v>% reduction in energy use</v>
      </c>
      <c r="P1455" s="254"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4" t="str">
        <f>IF(ISBLANK(INDEX('Policy Characteristics'!K:K,MATCH($C1455,'Policy Characteristics'!$C:$C,0))),"",INDEX('Policy Characteristics'!K:K,MATCH($C1455,'Policy Characteristics'!$C:$C,0)))</f>
        <v>industry-ag-main.html#eff-stds</v>
      </c>
      <c r="R1455" s="254" t="str">
        <f>IF(ISBLANK(INDEX('Policy Characteristics'!L:L,MATCH($C1455,'Policy Characteristics'!$C:$C,0))),"",INDEX('Policy Characteristics'!L:L,MATCH($C1455,'Policy Characteristics'!$C:$C,0)))</f>
        <v>industry-energy-efficiency-standards.html</v>
      </c>
    </row>
    <row r="1456" spans="1:18" s="4" customFormat="1" x14ac:dyDescent="0.3">
      <c r="A1456" s="254" t="str">
        <f>IF(ISBLANK(INDEX('Policy Characteristics'!A:A,MATCH($C1456,'Policy Characteristics'!$C:$C,0))),"",INDEX('Policy Characteristics'!A:A,MATCH($C1456,'Policy Characteristics'!$C:$C,0)))</f>
        <v>Industry</v>
      </c>
      <c r="B1456" s="262" t="str">
        <f>IF(ISBLANK(INDEX('Policy Characteristics'!B:B,MATCH($C1456,'Policy Characteristics'!$C:$C,0))),"",INDEX('Policy Characteristics'!B:B,MATCH($C1456,'Policy Characteristics'!$C:$C,0)))</f>
        <v>Industry Energy Efficiency Standards</v>
      </c>
      <c r="C1456" s="254" t="str">
        <f t="shared" si="50"/>
        <v>Percentage Improvement in Eqpt Efficiency Standards above BAU</v>
      </c>
      <c r="D1456" s="6" t="s">
        <v>3078</v>
      </c>
      <c r="E1456" s="45" t="s">
        <v>2399</v>
      </c>
      <c r="F1456" t="s">
        <v>3040</v>
      </c>
      <c r="G1456" s="45" t="s">
        <v>2405</v>
      </c>
      <c r="H1456" s="43">
        <v>1128</v>
      </c>
      <c r="I1456" s="324" t="s">
        <v>43</v>
      </c>
      <c r="J1456" s="255" t="str">
        <f>IF(ISBLANK(INDEX('Policy Characteristics'!D:D,MATCH($C1456,'Policy Characteristics'!$C:$C,0))),"",INDEX('Policy Characteristics'!D:D,MATCH($C1456,'Policy Characteristics'!$C:$C,0)))</f>
        <v>Industry Energy Efficiency Standards</v>
      </c>
      <c r="K1456" s="254" t="str">
        <f>IF(ISBLANK(INDEX('Policy Characteristics'!E:E,MATCH($C1456,'Policy Characteristics'!$C:$C,0))),"",INDEX('Policy Characteristics'!E:E,MATCH($C1456,'Policy Characteristics'!$C:$C,0)))</f>
        <v>indst efficiency standards</v>
      </c>
      <c r="L1456" s="261">
        <f>IF(ISBLANK(INDEX('Policy Characteristics'!F:F,MATCH($C1456,'Policy Characteristics'!$C:$C,0))),"",INDEX('Policy Characteristics'!F:F,MATCH($C1456,'Policy Characteristics'!$C:$C,0)))</f>
        <v>0</v>
      </c>
      <c r="M1456" s="261">
        <f>IF(ISBLANK(INDEX('Policy Characteristics'!G:G,MATCH($C1456,'Policy Characteristics'!$C:$C,0))),"",INDEX('Policy Characteristics'!G:G,MATCH($C1456,'Policy Characteristics'!$C:$C,0)))</f>
        <v>0.25</v>
      </c>
      <c r="N1456" s="261">
        <f>IF(ISBLANK(INDEX('Policy Characteristics'!H:H,MATCH($C1456,'Policy Characteristics'!$C:$C,0))),"",INDEX('Policy Characteristics'!H:H,MATCH($C1456,'Policy Characteristics'!$C:$C,0)))</f>
        <v>0.01</v>
      </c>
      <c r="O1456" s="254" t="str">
        <f>IF(ISBLANK(INDEX('Policy Characteristics'!I:I,MATCH($C1456,'Policy Characteristics'!$C:$C,0))),"",INDEX('Policy Characteristics'!I:I,MATCH($C1456,'Policy Characteristics'!$C:$C,0)))</f>
        <v>% reduction in energy use</v>
      </c>
      <c r="P1456" s="254"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4" t="str">
        <f>IF(ISBLANK(INDEX('Policy Characteristics'!K:K,MATCH($C1456,'Policy Characteristics'!$C:$C,0))),"",INDEX('Policy Characteristics'!K:K,MATCH($C1456,'Policy Characteristics'!$C:$C,0)))</f>
        <v>industry-ag-main.html#eff-stds</v>
      </c>
      <c r="R1456" s="254" t="str">
        <f>IF(ISBLANK(INDEX('Policy Characteristics'!L:L,MATCH($C1456,'Policy Characteristics'!$C:$C,0))),"",INDEX('Policy Characteristics'!L:L,MATCH($C1456,'Policy Characteristics'!$C:$C,0)))</f>
        <v>industry-energy-efficiency-standards.html</v>
      </c>
    </row>
    <row r="1457" spans="1:18" s="4" customFormat="1" x14ac:dyDescent="0.3">
      <c r="A1457" s="254" t="str">
        <f>IF(ISBLANK(INDEX('Policy Characteristics'!A:A,MATCH($C1457,'Policy Characteristics'!$C:$C,0))),"",INDEX('Policy Characteristics'!A:A,MATCH($C1457,'Policy Characteristics'!$C:$C,0)))</f>
        <v>Industry</v>
      </c>
      <c r="B1457" s="262" t="str">
        <f>IF(ISBLANK(INDEX('Policy Characteristics'!B:B,MATCH($C1457,'Policy Characteristics'!$C:$C,0))),"",INDEX('Policy Characteristics'!B:B,MATCH($C1457,'Policy Characteristics'!$C:$C,0)))</f>
        <v>Industry Energy Efficiency Standards</v>
      </c>
      <c r="C1457" s="254" t="str">
        <f t="shared" si="50"/>
        <v>Percentage Improvement in Eqpt Efficiency Standards above BAU</v>
      </c>
      <c r="D1457" s="6" t="s">
        <v>3078</v>
      </c>
      <c r="E1457" s="45" t="s">
        <v>2400</v>
      </c>
      <c r="F1457" t="s">
        <v>3040</v>
      </c>
      <c r="G1457" s="45" t="s">
        <v>2408</v>
      </c>
      <c r="H1457" s="43">
        <v>1129</v>
      </c>
      <c r="I1457" s="324" t="s">
        <v>44</v>
      </c>
      <c r="J1457" s="255" t="str">
        <f>IF(ISBLANK(INDEX('Policy Characteristics'!D:D,MATCH($C1457,'Policy Characteristics'!$C:$C,0))),"",INDEX('Policy Characteristics'!D:D,MATCH($C1457,'Policy Characteristics'!$C:$C,0)))</f>
        <v>Industry Energy Efficiency Standards</v>
      </c>
      <c r="K1457" s="254" t="str">
        <f>IF(ISBLANK(INDEX('Policy Characteristics'!E:E,MATCH($C1457,'Policy Characteristics'!$C:$C,0))),"",INDEX('Policy Characteristics'!E:E,MATCH($C1457,'Policy Characteristics'!$C:$C,0)))</f>
        <v>indst efficiency standards</v>
      </c>
      <c r="L1457" s="261">
        <f>IF(ISBLANK(INDEX('Policy Characteristics'!F:F,MATCH($C1457,'Policy Characteristics'!$C:$C,0))),"",INDEX('Policy Characteristics'!F:F,MATCH($C1457,'Policy Characteristics'!$C:$C,0)))</f>
        <v>0</v>
      </c>
      <c r="M1457" s="261">
        <f>IF(ISBLANK(INDEX('Policy Characteristics'!G:G,MATCH($C1457,'Policy Characteristics'!$C:$C,0))),"",INDEX('Policy Characteristics'!G:G,MATCH($C1457,'Policy Characteristics'!$C:$C,0)))</f>
        <v>0.25</v>
      </c>
      <c r="N1457" s="261">
        <f>IF(ISBLANK(INDEX('Policy Characteristics'!H:H,MATCH($C1457,'Policy Characteristics'!$C:$C,0))),"",INDEX('Policy Characteristics'!H:H,MATCH($C1457,'Policy Characteristics'!$C:$C,0)))</f>
        <v>0.01</v>
      </c>
      <c r="O1457" s="254" t="str">
        <f>IF(ISBLANK(INDEX('Policy Characteristics'!I:I,MATCH($C1457,'Policy Characteristics'!$C:$C,0))),"",INDEX('Policy Characteristics'!I:I,MATCH($C1457,'Policy Characteristics'!$C:$C,0)))</f>
        <v>% reduction in energy use</v>
      </c>
      <c r="P1457" s="254"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4" t="str">
        <f>IF(ISBLANK(INDEX('Policy Characteristics'!K:K,MATCH($C1457,'Policy Characteristics'!$C:$C,0))),"",INDEX('Policy Characteristics'!K:K,MATCH($C1457,'Policy Characteristics'!$C:$C,0)))</f>
        <v>industry-ag-main.html#eff-stds</v>
      </c>
      <c r="R1457" s="254" t="str">
        <f>IF(ISBLANK(INDEX('Policy Characteristics'!L:L,MATCH($C1457,'Policy Characteristics'!$C:$C,0))),"",INDEX('Policy Characteristics'!L:L,MATCH($C1457,'Policy Characteristics'!$C:$C,0)))</f>
        <v>industry-energy-efficiency-standards.html</v>
      </c>
    </row>
    <row r="1458" spans="1:18" s="4" customFormat="1" x14ac:dyDescent="0.3">
      <c r="A1458" s="254" t="str">
        <f>IF(ISBLANK(INDEX('Policy Characteristics'!A:A,MATCH($C1458,'Policy Characteristics'!$C:$C,0))),"",INDEX('Policy Characteristics'!A:A,MATCH($C1458,'Policy Characteristics'!$C:$C,0)))</f>
        <v>Industry</v>
      </c>
      <c r="B1458" s="262" t="str">
        <f>IF(ISBLANK(INDEX('Policy Characteristics'!B:B,MATCH($C1458,'Policy Characteristics'!$C:$C,0))),"",INDEX('Policy Characteristics'!B:B,MATCH($C1458,'Policy Characteristics'!$C:$C,0)))</f>
        <v>Industry Energy Efficiency Standards</v>
      </c>
      <c r="C1458" s="254" t="str">
        <f t="shared" si="50"/>
        <v>Percentage Improvement in Eqpt Efficiency Standards above BAU</v>
      </c>
      <c r="D1458" s="6" t="s">
        <v>3078</v>
      </c>
      <c r="E1458" s="45" t="s">
        <v>2401</v>
      </c>
      <c r="F1458" t="s">
        <v>3040</v>
      </c>
      <c r="G1458" s="45" t="s">
        <v>2409</v>
      </c>
      <c r="H1458" s="43">
        <v>1130</v>
      </c>
      <c r="I1458" s="324" t="s">
        <v>43</v>
      </c>
      <c r="J1458" s="255" t="str">
        <f>IF(ISBLANK(INDEX('Policy Characteristics'!D:D,MATCH($C1458,'Policy Characteristics'!$C:$C,0))),"",INDEX('Policy Characteristics'!D:D,MATCH($C1458,'Policy Characteristics'!$C:$C,0)))</f>
        <v>Industry Energy Efficiency Standards</v>
      </c>
      <c r="K1458" s="254" t="str">
        <f>IF(ISBLANK(INDEX('Policy Characteristics'!E:E,MATCH($C1458,'Policy Characteristics'!$C:$C,0))),"",INDEX('Policy Characteristics'!E:E,MATCH($C1458,'Policy Characteristics'!$C:$C,0)))</f>
        <v>indst efficiency standards</v>
      </c>
      <c r="L1458" s="261">
        <f>IF(ISBLANK(INDEX('Policy Characteristics'!F:F,MATCH($C1458,'Policy Characteristics'!$C:$C,0))),"",INDEX('Policy Characteristics'!F:F,MATCH($C1458,'Policy Characteristics'!$C:$C,0)))</f>
        <v>0</v>
      </c>
      <c r="M1458" s="261">
        <f>IF(ISBLANK(INDEX('Policy Characteristics'!G:G,MATCH($C1458,'Policy Characteristics'!$C:$C,0))),"",INDEX('Policy Characteristics'!G:G,MATCH($C1458,'Policy Characteristics'!$C:$C,0)))</f>
        <v>0.25</v>
      </c>
      <c r="N1458" s="261">
        <f>IF(ISBLANK(INDEX('Policy Characteristics'!H:H,MATCH($C1458,'Policy Characteristics'!$C:$C,0))),"",INDEX('Policy Characteristics'!H:H,MATCH($C1458,'Policy Characteristics'!$C:$C,0)))</f>
        <v>0.01</v>
      </c>
      <c r="O1458" s="254" t="str">
        <f>IF(ISBLANK(INDEX('Policy Characteristics'!I:I,MATCH($C1458,'Policy Characteristics'!$C:$C,0))),"",INDEX('Policy Characteristics'!I:I,MATCH($C1458,'Policy Characteristics'!$C:$C,0)))</f>
        <v>% reduction in energy use</v>
      </c>
      <c r="P1458" s="254"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4" t="str">
        <f>IF(ISBLANK(INDEX('Policy Characteristics'!K:K,MATCH($C1458,'Policy Characteristics'!$C:$C,0))),"",INDEX('Policy Characteristics'!K:K,MATCH($C1458,'Policy Characteristics'!$C:$C,0)))</f>
        <v>industry-ag-main.html#eff-stds</v>
      </c>
      <c r="R1458" s="254" t="str">
        <f>IF(ISBLANK(INDEX('Policy Characteristics'!L:L,MATCH($C1458,'Policy Characteristics'!$C:$C,0))),"",INDEX('Policy Characteristics'!L:L,MATCH($C1458,'Policy Characteristics'!$C:$C,0)))</f>
        <v>industry-energy-efficiency-standards.html</v>
      </c>
    </row>
    <row r="1459" spans="1:18" s="4" customFormat="1" x14ac:dyDescent="0.3">
      <c r="A1459" s="254" t="str">
        <f>IF(ISBLANK(INDEX('Policy Characteristics'!A:A,MATCH($C1459,'Policy Characteristics'!$C:$C,0))),"",INDEX('Policy Characteristics'!A:A,MATCH($C1459,'Policy Characteristics'!$C:$C,0)))</f>
        <v>Industry</v>
      </c>
      <c r="B1459" s="262" t="str">
        <f>IF(ISBLANK(INDEX('Policy Characteristics'!B:B,MATCH($C1459,'Policy Characteristics'!$C:$C,0))),"",INDEX('Policy Characteristics'!B:B,MATCH($C1459,'Policy Characteristics'!$C:$C,0)))</f>
        <v>Industry Energy Efficiency Standards</v>
      </c>
      <c r="C1459" s="254" t="str">
        <f t="shared" si="50"/>
        <v>Percentage Improvement in Eqpt Efficiency Standards above BAU</v>
      </c>
      <c r="D1459" s="6" t="s">
        <v>3078</v>
      </c>
      <c r="E1459" s="45" t="s">
        <v>2402</v>
      </c>
      <c r="F1459" t="s">
        <v>3040</v>
      </c>
      <c r="G1459" s="45" t="s">
        <v>2406</v>
      </c>
      <c r="H1459" s="43">
        <v>1131</v>
      </c>
      <c r="I1459" s="324" t="s">
        <v>44</v>
      </c>
      <c r="J1459" s="255" t="str">
        <f>IF(ISBLANK(INDEX('Policy Characteristics'!D:D,MATCH($C1459,'Policy Characteristics'!$C:$C,0))),"",INDEX('Policy Characteristics'!D:D,MATCH($C1459,'Policy Characteristics'!$C:$C,0)))</f>
        <v>Industry Energy Efficiency Standards</v>
      </c>
      <c r="K1459" s="254" t="str">
        <f>IF(ISBLANK(INDEX('Policy Characteristics'!E:E,MATCH($C1459,'Policy Characteristics'!$C:$C,0))),"",INDEX('Policy Characteristics'!E:E,MATCH($C1459,'Policy Characteristics'!$C:$C,0)))</f>
        <v>indst efficiency standards</v>
      </c>
      <c r="L1459" s="261">
        <f>IF(ISBLANK(INDEX('Policy Characteristics'!F:F,MATCH($C1459,'Policy Characteristics'!$C:$C,0))),"",INDEX('Policy Characteristics'!F:F,MATCH($C1459,'Policy Characteristics'!$C:$C,0)))</f>
        <v>0</v>
      </c>
      <c r="M1459" s="261">
        <f>IF(ISBLANK(INDEX('Policy Characteristics'!G:G,MATCH($C1459,'Policy Characteristics'!$C:$C,0))),"",INDEX('Policy Characteristics'!G:G,MATCH($C1459,'Policy Characteristics'!$C:$C,0)))</f>
        <v>0.25</v>
      </c>
      <c r="N1459" s="261">
        <f>IF(ISBLANK(INDEX('Policy Characteristics'!H:H,MATCH($C1459,'Policy Characteristics'!$C:$C,0))),"",INDEX('Policy Characteristics'!H:H,MATCH($C1459,'Policy Characteristics'!$C:$C,0)))</f>
        <v>0.01</v>
      </c>
      <c r="O1459" s="254" t="str">
        <f>IF(ISBLANK(INDEX('Policy Characteristics'!I:I,MATCH($C1459,'Policy Characteristics'!$C:$C,0))),"",INDEX('Policy Characteristics'!I:I,MATCH($C1459,'Policy Characteristics'!$C:$C,0)))</f>
        <v>% reduction in energy use</v>
      </c>
      <c r="P1459" s="254"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4" t="str">
        <f>IF(ISBLANK(INDEX('Policy Characteristics'!K:K,MATCH($C1459,'Policy Characteristics'!$C:$C,0))),"",INDEX('Policy Characteristics'!K:K,MATCH($C1459,'Policy Characteristics'!$C:$C,0)))</f>
        <v>industry-ag-main.html#eff-stds</v>
      </c>
      <c r="R1459" s="254" t="str">
        <f>IF(ISBLANK(INDEX('Policy Characteristics'!L:L,MATCH($C1459,'Policy Characteristics'!$C:$C,0))),"",INDEX('Policy Characteristics'!L:L,MATCH($C1459,'Policy Characteristics'!$C:$C,0)))</f>
        <v>industry-energy-efficiency-standards.html</v>
      </c>
    </row>
    <row r="1460" spans="1:18" s="4" customFormat="1" x14ac:dyDescent="0.3">
      <c r="A1460" s="254" t="str">
        <f>IF(ISBLANK(INDEX('Policy Characteristics'!A:A,MATCH($C1460,'Policy Characteristics'!$C:$C,0))),"",INDEX('Policy Characteristics'!A:A,MATCH($C1460,'Policy Characteristics'!$C:$C,0)))</f>
        <v>Industry</v>
      </c>
      <c r="B1460" s="262" t="str">
        <f>IF(ISBLANK(INDEX('Policy Characteristics'!B:B,MATCH($C1460,'Policy Characteristics'!$C:$C,0))),"",INDEX('Policy Characteristics'!B:B,MATCH($C1460,'Policy Characteristics'!$C:$C,0)))</f>
        <v>Industry Energy Efficiency Standards</v>
      </c>
      <c r="C1460" s="254" t="str">
        <f t="shared" si="50"/>
        <v>Percentage Improvement in Eqpt Efficiency Standards above BAU</v>
      </c>
      <c r="D1460" s="6" t="s">
        <v>3078</v>
      </c>
      <c r="E1460" s="45" t="s">
        <v>2403</v>
      </c>
      <c r="F1460" t="s">
        <v>3040</v>
      </c>
      <c r="G1460" s="45" t="s">
        <v>2407</v>
      </c>
      <c r="H1460" s="43">
        <v>1132</v>
      </c>
      <c r="I1460" s="324" t="s">
        <v>43</v>
      </c>
      <c r="J1460" s="255" t="str">
        <f>IF(ISBLANK(INDEX('Policy Characteristics'!D:D,MATCH($C1460,'Policy Characteristics'!$C:$C,0))),"",INDEX('Policy Characteristics'!D:D,MATCH($C1460,'Policy Characteristics'!$C:$C,0)))</f>
        <v>Industry Energy Efficiency Standards</v>
      </c>
      <c r="K1460" s="254" t="str">
        <f>IF(ISBLANK(INDEX('Policy Characteristics'!E:E,MATCH($C1460,'Policy Characteristics'!$C:$C,0))),"",INDEX('Policy Characteristics'!E:E,MATCH($C1460,'Policy Characteristics'!$C:$C,0)))</f>
        <v>indst efficiency standards</v>
      </c>
      <c r="L1460" s="261">
        <f>IF(ISBLANK(INDEX('Policy Characteristics'!F:F,MATCH($C1460,'Policy Characteristics'!$C:$C,0))),"",INDEX('Policy Characteristics'!F:F,MATCH($C1460,'Policy Characteristics'!$C:$C,0)))</f>
        <v>0</v>
      </c>
      <c r="M1460" s="261">
        <f>IF(ISBLANK(INDEX('Policy Characteristics'!G:G,MATCH($C1460,'Policy Characteristics'!$C:$C,0))),"",INDEX('Policy Characteristics'!G:G,MATCH($C1460,'Policy Characteristics'!$C:$C,0)))</f>
        <v>0.25</v>
      </c>
      <c r="N1460" s="261">
        <f>IF(ISBLANK(INDEX('Policy Characteristics'!H:H,MATCH($C1460,'Policy Characteristics'!$C:$C,0))),"",INDEX('Policy Characteristics'!H:H,MATCH($C1460,'Policy Characteristics'!$C:$C,0)))</f>
        <v>0.01</v>
      </c>
      <c r="O1460" s="254" t="str">
        <f>IF(ISBLANK(INDEX('Policy Characteristics'!I:I,MATCH($C1460,'Policy Characteristics'!$C:$C,0))),"",INDEX('Policy Characteristics'!I:I,MATCH($C1460,'Policy Characteristics'!$C:$C,0)))</f>
        <v>% reduction in energy use</v>
      </c>
      <c r="P1460" s="254"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4" t="str">
        <f>IF(ISBLANK(INDEX('Policy Characteristics'!K:K,MATCH($C1460,'Policy Characteristics'!$C:$C,0))),"",INDEX('Policy Characteristics'!K:K,MATCH($C1460,'Policy Characteristics'!$C:$C,0)))</f>
        <v>industry-ag-main.html#eff-stds</v>
      </c>
      <c r="R1460" s="254" t="str">
        <f>IF(ISBLANK(INDEX('Policy Characteristics'!L:L,MATCH($C1460,'Policy Characteristics'!$C:$C,0))),"",INDEX('Policy Characteristics'!L:L,MATCH($C1460,'Policy Characteristics'!$C:$C,0)))</f>
        <v>industry-energy-efficiency-standards.html</v>
      </c>
    </row>
    <row r="1461" spans="1:18" s="4" customFormat="1" x14ac:dyDescent="0.3">
      <c r="A1461" s="254" t="str">
        <f>IF(ISBLANK(INDEX('Policy Characteristics'!A:A,MATCH($C1461,'Policy Characteristics'!$C:$C,0))),"",INDEX('Policy Characteristics'!A:A,MATCH($C1461,'Policy Characteristics'!$C:$C,0)))</f>
        <v>Industry</v>
      </c>
      <c r="B1461" s="262" t="str">
        <f>IF(ISBLANK(INDEX('Policy Characteristics'!B:B,MATCH($C1461,'Policy Characteristics'!$C:$C,0))),"",INDEX('Policy Characteristics'!B:B,MATCH($C1461,'Policy Characteristics'!$C:$C,0)))</f>
        <v>Industry Energy Efficiency Standards</v>
      </c>
      <c r="C1461" s="254" t="str">
        <f t="shared" si="50"/>
        <v>Percentage Improvement in Eqpt Efficiency Standards above BAU</v>
      </c>
      <c r="D1461" s="6" t="s">
        <v>3078</v>
      </c>
      <c r="E1461" s="45" t="s">
        <v>2404</v>
      </c>
      <c r="F1461" t="s">
        <v>3040</v>
      </c>
      <c r="G1461" s="45" t="s">
        <v>2410</v>
      </c>
      <c r="H1461" s="43">
        <v>1133</v>
      </c>
      <c r="I1461" s="324" t="s">
        <v>44</v>
      </c>
      <c r="J1461" s="255" t="str">
        <f>IF(ISBLANK(INDEX('Policy Characteristics'!D:D,MATCH($C1461,'Policy Characteristics'!$C:$C,0))),"",INDEX('Policy Characteristics'!D:D,MATCH($C1461,'Policy Characteristics'!$C:$C,0)))</f>
        <v>Industry Energy Efficiency Standards</v>
      </c>
      <c r="K1461" s="254" t="str">
        <f>IF(ISBLANK(INDEX('Policy Characteristics'!E:E,MATCH($C1461,'Policy Characteristics'!$C:$C,0))),"",INDEX('Policy Characteristics'!E:E,MATCH($C1461,'Policy Characteristics'!$C:$C,0)))</f>
        <v>indst efficiency standards</v>
      </c>
      <c r="L1461" s="261">
        <f>IF(ISBLANK(INDEX('Policy Characteristics'!F:F,MATCH($C1461,'Policy Characteristics'!$C:$C,0))),"",INDEX('Policy Characteristics'!F:F,MATCH($C1461,'Policy Characteristics'!$C:$C,0)))</f>
        <v>0</v>
      </c>
      <c r="M1461" s="261">
        <f>IF(ISBLANK(INDEX('Policy Characteristics'!G:G,MATCH($C1461,'Policy Characteristics'!$C:$C,0))),"",INDEX('Policy Characteristics'!G:G,MATCH($C1461,'Policy Characteristics'!$C:$C,0)))</f>
        <v>0.25</v>
      </c>
      <c r="N1461" s="261">
        <f>IF(ISBLANK(INDEX('Policy Characteristics'!H:H,MATCH($C1461,'Policy Characteristics'!$C:$C,0))),"",INDEX('Policy Characteristics'!H:H,MATCH($C1461,'Policy Characteristics'!$C:$C,0)))</f>
        <v>0.01</v>
      </c>
      <c r="O1461" s="254" t="str">
        <f>IF(ISBLANK(INDEX('Policy Characteristics'!I:I,MATCH($C1461,'Policy Characteristics'!$C:$C,0))),"",INDEX('Policy Characteristics'!I:I,MATCH($C1461,'Policy Characteristics'!$C:$C,0)))</f>
        <v>% reduction in energy use</v>
      </c>
      <c r="P1461" s="254"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4" t="str">
        <f>IF(ISBLANK(INDEX('Policy Characteristics'!K:K,MATCH($C1461,'Policy Characteristics'!$C:$C,0))),"",INDEX('Policy Characteristics'!K:K,MATCH($C1461,'Policy Characteristics'!$C:$C,0)))</f>
        <v>industry-ag-main.html#eff-stds</v>
      </c>
      <c r="R1461" s="254" t="str">
        <f>IF(ISBLANK(INDEX('Policy Characteristics'!L:L,MATCH($C1461,'Policy Characteristics'!$C:$C,0))),"",INDEX('Policy Characteristics'!L:L,MATCH($C1461,'Policy Characteristics'!$C:$C,0)))</f>
        <v>industry-energy-efficiency-standards.html</v>
      </c>
    </row>
    <row r="1462" spans="1:18" s="4" customFormat="1" x14ac:dyDescent="0.3">
      <c r="A1462" s="254" t="str">
        <f>IF(ISBLANK(INDEX('Policy Characteristics'!A:A,MATCH($C1462,'Policy Characteristics'!$C:$C,0))),"",INDEX('Policy Characteristics'!A:A,MATCH($C1462,'Policy Characteristics'!$C:$C,0)))</f>
        <v>Industry</v>
      </c>
      <c r="B1462" s="262" t="str">
        <f>IF(ISBLANK(INDEX('Policy Characteristics'!B:B,MATCH($C1462,'Policy Characteristics'!$C:$C,0))),"",INDEX('Policy Characteristics'!B:B,MATCH($C1462,'Policy Characteristics'!$C:$C,0)))</f>
        <v>Industry Energy Efficiency Standards</v>
      </c>
      <c r="C1462" s="254" t="str">
        <f t="shared" si="50"/>
        <v>Percentage Improvement in Eqpt Efficiency Standards above BAU</v>
      </c>
      <c r="D1462" s="6" t="s">
        <v>3078</v>
      </c>
      <c r="E1462" s="45" t="s">
        <v>2706</v>
      </c>
      <c r="F1462" t="s">
        <v>3040</v>
      </c>
      <c r="G1462" s="45" t="s">
        <v>2709</v>
      </c>
      <c r="H1462" s="43">
        <v>1134</v>
      </c>
      <c r="I1462" s="324" t="s">
        <v>44</v>
      </c>
      <c r="J1462" s="255" t="str">
        <f>IF(ISBLANK(INDEX('Policy Characteristics'!D:D,MATCH($C1462,'Policy Characteristics'!$C:$C,0))),"",INDEX('Policy Characteristics'!D:D,MATCH($C1462,'Policy Characteristics'!$C:$C,0)))</f>
        <v>Industry Energy Efficiency Standards</v>
      </c>
      <c r="K1462" s="254" t="str">
        <f>IF(ISBLANK(INDEX('Policy Characteristics'!E:E,MATCH($C1462,'Policy Characteristics'!$C:$C,0))),"",INDEX('Policy Characteristics'!E:E,MATCH($C1462,'Policy Characteristics'!$C:$C,0)))</f>
        <v>indst efficiency standards</v>
      </c>
      <c r="L1462" s="261">
        <f>IF(ISBLANK(INDEX('Policy Characteristics'!F:F,MATCH($C1462,'Policy Characteristics'!$C:$C,0))),"",INDEX('Policy Characteristics'!F:F,MATCH($C1462,'Policy Characteristics'!$C:$C,0)))</f>
        <v>0</v>
      </c>
      <c r="M1462" s="261">
        <f>IF(ISBLANK(INDEX('Policy Characteristics'!G:G,MATCH($C1462,'Policy Characteristics'!$C:$C,0))),"",INDEX('Policy Characteristics'!G:G,MATCH($C1462,'Policy Characteristics'!$C:$C,0)))</f>
        <v>0.25</v>
      </c>
      <c r="N1462" s="261">
        <f>IF(ISBLANK(INDEX('Policy Characteristics'!H:H,MATCH($C1462,'Policy Characteristics'!$C:$C,0))),"",INDEX('Policy Characteristics'!H:H,MATCH($C1462,'Policy Characteristics'!$C:$C,0)))</f>
        <v>0.01</v>
      </c>
      <c r="O1462" s="254" t="str">
        <f>IF(ISBLANK(INDEX('Policy Characteristics'!I:I,MATCH($C1462,'Policy Characteristics'!$C:$C,0))),"",INDEX('Policy Characteristics'!I:I,MATCH($C1462,'Policy Characteristics'!$C:$C,0)))</f>
        <v>% reduction in energy use</v>
      </c>
      <c r="P1462" s="254"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4" t="str">
        <f>IF(ISBLANK(INDEX('Policy Characteristics'!K:K,MATCH($C1462,'Policy Characteristics'!$C:$C,0))),"",INDEX('Policy Characteristics'!K:K,MATCH($C1462,'Policy Characteristics'!$C:$C,0)))</f>
        <v>industry-ag-main.html#eff-stds</v>
      </c>
      <c r="R1462" s="254" t="str">
        <f>IF(ISBLANK(INDEX('Policy Characteristics'!L:L,MATCH($C1462,'Policy Characteristics'!$C:$C,0))),"",INDEX('Policy Characteristics'!L:L,MATCH($C1462,'Policy Characteristics'!$C:$C,0)))</f>
        <v>industry-energy-efficiency-standards.html</v>
      </c>
    </row>
    <row r="1463" spans="1:18" s="4" customFormat="1" x14ac:dyDescent="0.3">
      <c r="A1463" s="254" t="str">
        <f>IF(ISBLANK(INDEX('Policy Characteristics'!A:A,MATCH($C1463,'Policy Characteristics'!$C:$C,0))),"",INDEX('Policy Characteristics'!A:A,MATCH($C1463,'Policy Characteristics'!$C:$C,0)))</f>
        <v>Industry</v>
      </c>
      <c r="B1463" s="262" t="str">
        <f>IF(ISBLANK(INDEX('Policy Characteristics'!B:B,MATCH($C1463,'Policy Characteristics'!$C:$C,0))),"",INDEX('Policy Characteristics'!B:B,MATCH($C1463,'Policy Characteristics'!$C:$C,0)))</f>
        <v>Industry Energy Efficiency Standards</v>
      </c>
      <c r="C1463" s="254" t="str">
        <f t="shared" si="50"/>
        <v>Percentage Improvement in Eqpt Efficiency Standards above BAU</v>
      </c>
      <c r="D1463" s="6" t="s">
        <v>3078</v>
      </c>
      <c r="E1463" s="45" t="s">
        <v>2707</v>
      </c>
      <c r="F1463" t="s">
        <v>3040</v>
      </c>
      <c r="G1463" s="45" t="s">
        <v>2711</v>
      </c>
      <c r="H1463" s="43">
        <v>1135</v>
      </c>
      <c r="I1463" s="324" t="s">
        <v>44</v>
      </c>
      <c r="J1463" s="255" t="str">
        <f>IF(ISBLANK(INDEX('Policy Characteristics'!D:D,MATCH($C1463,'Policy Characteristics'!$C:$C,0))),"",INDEX('Policy Characteristics'!D:D,MATCH($C1463,'Policy Characteristics'!$C:$C,0)))</f>
        <v>Industry Energy Efficiency Standards</v>
      </c>
      <c r="K1463" s="254" t="str">
        <f>IF(ISBLANK(INDEX('Policy Characteristics'!E:E,MATCH($C1463,'Policy Characteristics'!$C:$C,0))),"",INDEX('Policy Characteristics'!E:E,MATCH($C1463,'Policy Characteristics'!$C:$C,0)))</f>
        <v>indst efficiency standards</v>
      </c>
      <c r="L1463" s="261">
        <f>IF(ISBLANK(INDEX('Policy Characteristics'!F:F,MATCH($C1463,'Policy Characteristics'!$C:$C,0))),"",INDEX('Policy Characteristics'!F:F,MATCH($C1463,'Policy Characteristics'!$C:$C,0)))</f>
        <v>0</v>
      </c>
      <c r="M1463" s="261">
        <f>IF(ISBLANK(INDEX('Policy Characteristics'!G:G,MATCH($C1463,'Policy Characteristics'!$C:$C,0))),"",INDEX('Policy Characteristics'!G:G,MATCH($C1463,'Policy Characteristics'!$C:$C,0)))</f>
        <v>0.25</v>
      </c>
      <c r="N1463" s="261">
        <f>IF(ISBLANK(INDEX('Policy Characteristics'!H:H,MATCH($C1463,'Policy Characteristics'!$C:$C,0))),"",INDEX('Policy Characteristics'!H:H,MATCH($C1463,'Policy Characteristics'!$C:$C,0)))</f>
        <v>0.01</v>
      </c>
      <c r="O1463" s="254" t="str">
        <f>IF(ISBLANK(INDEX('Policy Characteristics'!I:I,MATCH($C1463,'Policy Characteristics'!$C:$C,0))),"",INDEX('Policy Characteristics'!I:I,MATCH($C1463,'Policy Characteristics'!$C:$C,0)))</f>
        <v>% reduction in energy use</v>
      </c>
      <c r="P1463" s="254"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4" t="str">
        <f>IF(ISBLANK(INDEX('Policy Characteristics'!K:K,MATCH($C1463,'Policy Characteristics'!$C:$C,0))),"",INDEX('Policy Characteristics'!K:K,MATCH($C1463,'Policy Characteristics'!$C:$C,0)))</f>
        <v>industry-ag-main.html#eff-stds</v>
      </c>
      <c r="R1463" s="254" t="str">
        <f>IF(ISBLANK(INDEX('Policy Characteristics'!L:L,MATCH($C1463,'Policy Characteristics'!$C:$C,0))),"",INDEX('Policy Characteristics'!L:L,MATCH($C1463,'Policy Characteristics'!$C:$C,0)))</f>
        <v>industry-energy-efficiency-standards.html</v>
      </c>
    </row>
    <row r="1464" spans="1:18" s="4" customFormat="1" x14ac:dyDescent="0.3">
      <c r="A1464" s="254" t="str">
        <f>IF(ISBLANK(INDEX('Policy Characteristics'!A:A,MATCH($C1464,'Policy Characteristics'!$C:$C,0))),"",INDEX('Policy Characteristics'!A:A,MATCH($C1464,'Policy Characteristics'!$C:$C,0)))</f>
        <v>Industry</v>
      </c>
      <c r="B1464" s="262" t="str">
        <f>IF(ISBLANK(INDEX('Policy Characteristics'!B:B,MATCH($C1464,'Policy Characteristics'!$C:$C,0))),"",INDEX('Policy Characteristics'!B:B,MATCH($C1464,'Policy Characteristics'!$C:$C,0)))</f>
        <v>Industry Energy Efficiency Standards</v>
      </c>
      <c r="C1464" s="254" t="str">
        <f t="shared" si="50"/>
        <v>Percentage Improvement in Eqpt Efficiency Standards above BAU</v>
      </c>
      <c r="D1464" s="6" t="s">
        <v>3078</v>
      </c>
      <c r="E1464" s="45" t="s">
        <v>2708</v>
      </c>
      <c r="F1464" t="s">
        <v>3040</v>
      </c>
      <c r="G1464" s="45" t="s">
        <v>2712</v>
      </c>
      <c r="H1464" s="43">
        <v>1136</v>
      </c>
      <c r="I1464" s="324" t="s">
        <v>43</v>
      </c>
      <c r="J1464" s="255" t="str">
        <f>IF(ISBLANK(INDEX('Policy Characteristics'!D:D,MATCH($C1464,'Policy Characteristics'!$C:$C,0))),"",INDEX('Policy Characteristics'!D:D,MATCH($C1464,'Policy Characteristics'!$C:$C,0)))</f>
        <v>Industry Energy Efficiency Standards</v>
      </c>
      <c r="K1464" s="254" t="str">
        <f>IF(ISBLANK(INDEX('Policy Characteristics'!E:E,MATCH($C1464,'Policy Characteristics'!$C:$C,0))),"",INDEX('Policy Characteristics'!E:E,MATCH($C1464,'Policy Characteristics'!$C:$C,0)))</f>
        <v>indst efficiency standards</v>
      </c>
      <c r="L1464" s="261">
        <f>IF(ISBLANK(INDEX('Policy Characteristics'!F:F,MATCH($C1464,'Policy Characteristics'!$C:$C,0))),"",INDEX('Policy Characteristics'!F:F,MATCH($C1464,'Policy Characteristics'!$C:$C,0)))</f>
        <v>0</v>
      </c>
      <c r="M1464" s="261">
        <f>IF(ISBLANK(INDEX('Policy Characteristics'!G:G,MATCH($C1464,'Policy Characteristics'!$C:$C,0))),"",INDEX('Policy Characteristics'!G:G,MATCH($C1464,'Policy Characteristics'!$C:$C,0)))</f>
        <v>0.25</v>
      </c>
      <c r="N1464" s="261">
        <f>IF(ISBLANK(INDEX('Policy Characteristics'!H:H,MATCH($C1464,'Policy Characteristics'!$C:$C,0))),"",INDEX('Policy Characteristics'!H:H,MATCH($C1464,'Policy Characteristics'!$C:$C,0)))</f>
        <v>0.01</v>
      </c>
      <c r="O1464" s="254" t="str">
        <f>IF(ISBLANK(INDEX('Policy Characteristics'!I:I,MATCH($C1464,'Policy Characteristics'!$C:$C,0))),"",INDEX('Policy Characteristics'!I:I,MATCH($C1464,'Policy Characteristics'!$C:$C,0)))</f>
        <v>% reduction in energy use</v>
      </c>
      <c r="P1464" s="254"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4" t="str">
        <f>IF(ISBLANK(INDEX('Policy Characteristics'!K:K,MATCH($C1464,'Policy Characteristics'!$C:$C,0))),"",INDEX('Policy Characteristics'!K:K,MATCH($C1464,'Policy Characteristics'!$C:$C,0)))</f>
        <v>industry-ag-main.html#eff-stds</v>
      </c>
      <c r="R1464" s="254" t="str">
        <f>IF(ISBLANK(INDEX('Policy Characteristics'!L:L,MATCH($C1464,'Policy Characteristics'!$C:$C,0))),"",INDEX('Policy Characteristics'!L:L,MATCH($C1464,'Policy Characteristics'!$C:$C,0)))</f>
        <v>industry-energy-efficiency-standards.html</v>
      </c>
    </row>
    <row r="1465" spans="1:18" s="4" customFormat="1" x14ac:dyDescent="0.3">
      <c r="A1465" s="254" t="str">
        <f>IF(ISBLANK(INDEX('Policy Characteristics'!A:A,MATCH($C1465,'Policy Characteristics'!$C:$C,0))),"",INDEX('Policy Characteristics'!A:A,MATCH($C1465,'Policy Characteristics'!$C:$C,0)))</f>
        <v>Industry</v>
      </c>
      <c r="B1465" s="262" t="str">
        <f>IF(ISBLANK(INDEX('Policy Characteristics'!B:B,MATCH($C1465,'Policy Characteristics'!$C:$C,0))),"",INDEX('Policy Characteristics'!B:B,MATCH($C1465,'Policy Characteristics'!$C:$C,0)))</f>
        <v>Industry Energy Efficiency Standards</v>
      </c>
      <c r="C1465" s="254" t="str">
        <f t="shared" si="50"/>
        <v>Percentage Improvement in Eqpt Efficiency Standards above BAU</v>
      </c>
      <c r="D1465" s="6" t="s">
        <v>3078</v>
      </c>
      <c r="E1465" s="45" t="s">
        <v>2705</v>
      </c>
      <c r="F1465" t="s">
        <v>3040</v>
      </c>
      <c r="G1465" s="45" t="s">
        <v>2710</v>
      </c>
      <c r="H1465" s="43">
        <v>1137</v>
      </c>
      <c r="I1465" s="324" t="s">
        <v>44</v>
      </c>
      <c r="J1465" s="255" t="str">
        <f>IF(ISBLANK(INDEX('Policy Characteristics'!D:D,MATCH($C1465,'Policy Characteristics'!$C:$C,0))),"",INDEX('Policy Characteristics'!D:D,MATCH($C1465,'Policy Characteristics'!$C:$C,0)))</f>
        <v>Industry Energy Efficiency Standards</v>
      </c>
      <c r="K1465" s="254" t="str">
        <f>IF(ISBLANK(INDEX('Policy Characteristics'!E:E,MATCH($C1465,'Policy Characteristics'!$C:$C,0))),"",INDEX('Policy Characteristics'!E:E,MATCH($C1465,'Policy Characteristics'!$C:$C,0)))</f>
        <v>indst efficiency standards</v>
      </c>
      <c r="L1465" s="261">
        <f>IF(ISBLANK(INDEX('Policy Characteristics'!F:F,MATCH($C1465,'Policy Characteristics'!$C:$C,0))),"",INDEX('Policy Characteristics'!F:F,MATCH($C1465,'Policy Characteristics'!$C:$C,0)))</f>
        <v>0</v>
      </c>
      <c r="M1465" s="261">
        <f>IF(ISBLANK(INDEX('Policy Characteristics'!G:G,MATCH($C1465,'Policy Characteristics'!$C:$C,0))),"",INDEX('Policy Characteristics'!G:G,MATCH($C1465,'Policy Characteristics'!$C:$C,0)))</f>
        <v>0.25</v>
      </c>
      <c r="N1465" s="261">
        <f>IF(ISBLANK(INDEX('Policy Characteristics'!H:H,MATCH($C1465,'Policy Characteristics'!$C:$C,0))),"",INDEX('Policy Characteristics'!H:H,MATCH($C1465,'Policy Characteristics'!$C:$C,0)))</f>
        <v>0.01</v>
      </c>
      <c r="O1465" s="254" t="str">
        <f>IF(ISBLANK(INDEX('Policy Characteristics'!I:I,MATCH($C1465,'Policy Characteristics'!$C:$C,0))),"",INDEX('Policy Characteristics'!I:I,MATCH($C1465,'Policy Characteristics'!$C:$C,0)))</f>
        <v>% reduction in energy use</v>
      </c>
      <c r="P1465" s="254"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4" t="str">
        <f>IF(ISBLANK(INDEX('Policy Characteristics'!K:K,MATCH($C1465,'Policy Characteristics'!$C:$C,0))),"",INDEX('Policy Characteristics'!K:K,MATCH($C1465,'Policy Characteristics'!$C:$C,0)))</f>
        <v>industry-ag-main.html#eff-stds</v>
      </c>
      <c r="R1465" s="254" t="str">
        <f>IF(ISBLANK(INDEX('Policy Characteristics'!L:L,MATCH($C1465,'Policy Characteristics'!$C:$C,0))),"",INDEX('Policy Characteristics'!L:L,MATCH($C1465,'Policy Characteristics'!$C:$C,0)))</f>
        <v>industry-energy-efficiency-standards.html</v>
      </c>
    </row>
    <row r="1466" spans="1:18" s="4" customFormat="1" x14ac:dyDescent="0.3">
      <c r="A1466" s="254" t="str">
        <f>IF(ISBLANK(INDEX('Policy Characteristics'!A:A,MATCH($C1466,'Policy Characteristics'!$C:$C,0))),"",INDEX('Policy Characteristics'!A:A,MATCH($C1466,'Policy Characteristics'!$C:$C,0)))</f>
        <v>Industry</v>
      </c>
      <c r="B1466" s="262" t="str">
        <f>IF(ISBLANK(INDEX('Policy Characteristics'!B:B,MATCH($C1466,'Policy Characteristics'!$C:$C,0))),"",INDEX('Policy Characteristics'!B:B,MATCH($C1466,'Policy Characteristics'!$C:$C,0)))</f>
        <v>Industry Energy Efficiency Standards</v>
      </c>
      <c r="C1466" s="254" t="str">
        <f t="shared" si="50"/>
        <v>Percentage Improvement in Eqpt Efficiency Standards above BAU</v>
      </c>
      <c r="D1466" s="6" t="s">
        <v>3079</v>
      </c>
      <c r="E1466" s="45" t="s">
        <v>2399</v>
      </c>
      <c r="F1466" t="s">
        <v>3041</v>
      </c>
      <c r="G1466" s="45" t="s">
        <v>2405</v>
      </c>
      <c r="H1466" s="43">
        <v>1138</v>
      </c>
      <c r="I1466" s="324" t="s">
        <v>43</v>
      </c>
      <c r="J1466" s="255" t="str">
        <f>IF(ISBLANK(INDEX('Policy Characteristics'!D:D,MATCH($C1466,'Policy Characteristics'!$C:$C,0))),"",INDEX('Policy Characteristics'!D:D,MATCH($C1466,'Policy Characteristics'!$C:$C,0)))</f>
        <v>Industry Energy Efficiency Standards</v>
      </c>
      <c r="K1466" s="254" t="str">
        <f>IF(ISBLANK(INDEX('Policy Characteristics'!E:E,MATCH($C1466,'Policy Characteristics'!$C:$C,0))),"",INDEX('Policy Characteristics'!E:E,MATCH($C1466,'Policy Characteristics'!$C:$C,0)))</f>
        <v>indst efficiency standards</v>
      </c>
      <c r="L1466" s="261">
        <f>IF(ISBLANK(INDEX('Policy Characteristics'!F:F,MATCH($C1466,'Policy Characteristics'!$C:$C,0))),"",INDEX('Policy Characteristics'!F:F,MATCH($C1466,'Policy Characteristics'!$C:$C,0)))</f>
        <v>0</v>
      </c>
      <c r="M1466" s="261">
        <f>IF(ISBLANK(INDEX('Policy Characteristics'!G:G,MATCH($C1466,'Policy Characteristics'!$C:$C,0))),"",INDEX('Policy Characteristics'!G:G,MATCH($C1466,'Policy Characteristics'!$C:$C,0)))</f>
        <v>0.25</v>
      </c>
      <c r="N1466" s="261">
        <f>IF(ISBLANK(INDEX('Policy Characteristics'!H:H,MATCH($C1466,'Policy Characteristics'!$C:$C,0))),"",INDEX('Policy Characteristics'!H:H,MATCH($C1466,'Policy Characteristics'!$C:$C,0)))</f>
        <v>0.01</v>
      </c>
      <c r="O1466" s="254" t="str">
        <f>IF(ISBLANK(INDEX('Policy Characteristics'!I:I,MATCH($C1466,'Policy Characteristics'!$C:$C,0))),"",INDEX('Policy Characteristics'!I:I,MATCH($C1466,'Policy Characteristics'!$C:$C,0)))</f>
        <v>% reduction in energy use</v>
      </c>
      <c r="P1466" s="254"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4" t="str">
        <f>IF(ISBLANK(INDEX('Policy Characteristics'!K:K,MATCH($C1466,'Policy Characteristics'!$C:$C,0))),"",INDEX('Policy Characteristics'!K:K,MATCH($C1466,'Policy Characteristics'!$C:$C,0)))</f>
        <v>industry-ag-main.html#eff-stds</v>
      </c>
      <c r="R1466" s="254" t="str">
        <f>IF(ISBLANK(INDEX('Policy Characteristics'!L:L,MATCH($C1466,'Policy Characteristics'!$C:$C,0))),"",INDEX('Policy Characteristics'!L:L,MATCH($C1466,'Policy Characteristics'!$C:$C,0)))</f>
        <v>industry-energy-efficiency-standards.html</v>
      </c>
    </row>
    <row r="1467" spans="1:18" s="4" customFormat="1" x14ac:dyDescent="0.3">
      <c r="A1467" s="254" t="str">
        <f>IF(ISBLANK(INDEX('Policy Characteristics'!A:A,MATCH($C1467,'Policy Characteristics'!$C:$C,0))),"",INDEX('Policy Characteristics'!A:A,MATCH($C1467,'Policy Characteristics'!$C:$C,0)))</f>
        <v>Industry</v>
      </c>
      <c r="B1467" s="262" t="str">
        <f>IF(ISBLANK(INDEX('Policy Characteristics'!B:B,MATCH($C1467,'Policy Characteristics'!$C:$C,0))),"",INDEX('Policy Characteristics'!B:B,MATCH($C1467,'Policy Characteristics'!$C:$C,0)))</f>
        <v>Industry Energy Efficiency Standards</v>
      </c>
      <c r="C1467" s="254" t="str">
        <f t="shared" si="50"/>
        <v>Percentage Improvement in Eqpt Efficiency Standards above BAU</v>
      </c>
      <c r="D1467" s="6" t="s">
        <v>3079</v>
      </c>
      <c r="E1467" s="45" t="s">
        <v>2400</v>
      </c>
      <c r="F1467" t="s">
        <v>3041</v>
      </c>
      <c r="G1467" s="45" t="s">
        <v>2408</v>
      </c>
      <c r="H1467" s="43">
        <v>1139</v>
      </c>
      <c r="I1467" s="324" t="s">
        <v>43</v>
      </c>
      <c r="J1467" s="255" t="str">
        <f>IF(ISBLANK(INDEX('Policy Characteristics'!D:D,MATCH($C1467,'Policy Characteristics'!$C:$C,0))),"",INDEX('Policy Characteristics'!D:D,MATCH($C1467,'Policy Characteristics'!$C:$C,0)))</f>
        <v>Industry Energy Efficiency Standards</v>
      </c>
      <c r="K1467" s="254" t="str">
        <f>IF(ISBLANK(INDEX('Policy Characteristics'!E:E,MATCH($C1467,'Policy Characteristics'!$C:$C,0))),"",INDEX('Policy Characteristics'!E:E,MATCH($C1467,'Policy Characteristics'!$C:$C,0)))</f>
        <v>indst efficiency standards</v>
      </c>
      <c r="L1467" s="261">
        <f>IF(ISBLANK(INDEX('Policy Characteristics'!F:F,MATCH($C1467,'Policy Characteristics'!$C:$C,0))),"",INDEX('Policy Characteristics'!F:F,MATCH($C1467,'Policy Characteristics'!$C:$C,0)))</f>
        <v>0</v>
      </c>
      <c r="M1467" s="261">
        <f>IF(ISBLANK(INDEX('Policy Characteristics'!G:G,MATCH($C1467,'Policy Characteristics'!$C:$C,0))),"",INDEX('Policy Characteristics'!G:G,MATCH($C1467,'Policy Characteristics'!$C:$C,0)))</f>
        <v>0.25</v>
      </c>
      <c r="N1467" s="261">
        <f>IF(ISBLANK(INDEX('Policy Characteristics'!H:H,MATCH($C1467,'Policy Characteristics'!$C:$C,0))),"",INDEX('Policy Characteristics'!H:H,MATCH($C1467,'Policy Characteristics'!$C:$C,0)))</f>
        <v>0.01</v>
      </c>
      <c r="O1467" s="254" t="str">
        <f>IF(ISBLANK(INDEX('Policy Characteristics'!I:I,MATCH($C1467,'Policy Characteristics'!$C:$C,0))),"",INDEX('Policy Characteristics'!I:I,MATCH($C1467,'Policy Characteristics'!$C:$C,0)))</f>
        <v>% reduction in energy use</v>
      </c>
      <c r="P1467" s="254"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4" t="str">
        <f>IF(ISBLANK(INDEX('Policy Characteristics'!K:K,MATCH($C1467,'Policy Characteristics'!$C:$C,0))),"",INDEX('Policy Characteristics'!K:K,MATCH($C1467,'Policy Characteristics'!$C:$C,0)))</f>
        <v>industry-ag-main.html#eff-stds</v>
      </c>
      <c r="R1467" s="254" t="str">
        <f>IF(ISBLANK(INDEX('Policy Characteristics'!L:L,MATCH($C1467,'Policy Characteristics'!$C:$C,0))),"",INDEX('Policy Characteristics'!L:L,MATCH($C1467,'Policy Characteristics'!$C:$C,0)))</f>
        <v>industry-energy-efficiency-standards.html</v>
      </c>
    </row>
    <row r="1468" spans="1:18" s="4" customFormat="1" x14ac:dyDescent="0.3">
      <c r="A1468" s="254" t="str">
        <f>IF(ISBLANK(INDEX('Policy Characteristics'!A:A,MATCH($C1468,'Policy Characteristics'!$C:$C,0))),"",INDEX('Policy Characteristics'!A:A,MATCH($C1468,'Policy Characteristics'!$C:$C,0)))</f>
        <v>Industry</v>
      </c>
      <c r="B1468" s="262" t="str">
        <f>IF(ISBLANK(INDEX('Policy Characteristics'!B:B,MATCH($C1468,'Policy Characteristics'!$C:$C,0))),"",INDEX('Policy Characteristics'!B:B,MATCH($C1468,'Policy Characteristics'!$C:$C,0)))</f>
        <v>Industry Energy Efficiency Standards</v>
      </c>
      <c r="C1468" s="254" t="str">
        <f t="shared" si="50"/>
        <v>Percentage Improvement in Eqpt Efficiency Standards above BAU</v>
      </c>
      <c r="D1468" s="6" t="s">
        <v>3079</v>
      </c>
      <c r="E1468" s="45" t="s">
        <v>2401</v>
      </c>
      <c r="F1468" t="s">
        <v>3041</v>
      </c>
      <c r="G1468" s="45" t="s">
        <v>2409</v>
      </c>
      <c r="H1468" s="43">
        <v>1140</v>
      </c>
      <c r="I1468" s="324" t="s">
        <v>43</v>
      </c>
      <c r="J1468" s="255" t="str">
        <f>IF(ISBLANK(INDEX('Policy Characteristics'!D:D,MATCH($C1468,'Policy Characteristics'!$C:$C,0))),"",INDEX('Policy Characteristics'!D:D,MATCH($C1468,'Policy Characteristics'!$C:$C,0)))</f>
        <v>Industry Energy Efficiency Standards</v>
      </c>
      <c r="K1468" s="254" t="str">
        <f>IF(ISBLANK(INDEX('Policy Characteristics'!E:E,MATCH($C1468,'Policy Characteristics'!$C:$C,0))),"",INDEX('Policy Characteristics'!E:E,MATCH($C1468,'Policy Characteristics'!$C:$C,0)))</f>
        <v>indst efficiency standards</v>
      </c>
      <c r="L1468" s="261">
        <f>IF(ISBLANK(INDEX('Policy Characteristics'!F:F,MATCH($C1468,'Policy Characteristics'!$C:$C,0))),"",INDEX('Policy Characteristics'!F:F,MATCH($C1468,'Policy Characteristics'!$C:$C,0)))</f>
        <v>0</v>
      </c>
      <c r="M1468" s="261">
        <f>IF(ISBLANK(INDEX('Policy Characteristics'!G:G,MATCH($C1468,'Policy Characteristics'!$C:$C,0))),"",INDEX('Policy Characteristics'!G:G,MATCH($C1468,'Policy Characteristics'!$C:$C,0)))</f>
        <v>0.25</v>
      </c>
      <c r="N1468" s="261">
        <f>IF(ISBLANK(INDEX('Policy Characteristics'!H:H,MATCH($C1468,'Policy Characteristics'!$C:$C,0))),"",INDEX('Policy Characteristics'!H:H,MATCH($C1468,'Policy Characteristics'!$C:$C,0)))</f>
        <v>0.01</v>
      </c>
      <c r="O1468" s="254" t="str">
        <f>IF(ISBLANK(INDEX('Policy Characteristics'!I:I,MATCH($C1468,'Policy Characteristics'!$C:$C,0))),"",INDEX('Policy Characteristics'!I:I,MATCH($C1468,'Policy Characteristics'!$C:$C,0)))</f>
        <v>% reduction in energy use</v>
      </c>
      <c r="P1468" s="254"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4" t="str">
        <f>IF(ISBLANK(INDEX('Policy Characteristics'!K:K,MATCH($C1468,'Policy Characteristics'!$C:$C,0))),"",INDEX('Policy Characteristics'!K:K,MATCH($C1468,'Policy Characteristics'!$C:$C,0)))</f>
        <v>industry-ag-main.html#eff-stds</v>
      </c>
      <c r="R1468" s="254" t="str">
        <f>IF(ISBLANK(INDEX('Policy Characteristics'!L:L,MATCH($C1468,'Policy Characteristics'!$C:$C,0))),"",INDEX('Policy Characteristics'!L:L,MATCH($C1468,'Policy Characteristics'!$C:$C,0)))</f>
        <v>industry-energy-efficiency-standards.html</v>
      </c>
    </row>
    <row r="1469" spans="1:18" s="4" customFormat="1" x14ac:dyDescent="0.3">
      <c r="A1469" s="254" t="str">
        <f>IF(ISBLANK(INDEX('Policy Characteristics'!A:A,MATCH($C1469,'Policy Characteristics'!$C:$C,0))),"",INDEX('Policy Characteristics'!A:A,MATCH($C1469,'Policy Characteristics'!$C:$C,0)))</f>
        <v>Industry</v>
      </c>
      <c r="B1469" s="262" t="str">
        <f>IF(ISBLANK(INDEX('Policy Characteristics'!B:B,MATCH($C1469,'Policy Characteristics'!$C:$C,0))),"",INDEX('Policy Characteristics'!B:B,MATCH($C1469,'Policy Characteristics'!$C:$C,0)))</f>
        <v>Industry Energy Efficiency Standards</v>
      </c>
      <c r="C1469" s="254" t="str">
        <f t="shared" si="50"/>
        <v>Percentage Improvement in Eqpt Efficiency Standards above BAU</v>
      </c>
      <c r="D1469" s="6" t="s">
        <v>3079</v>
      </c>
      <c r="E1469" s="45" t="s">
        <v>2402</v>
      </c>
      <c r="F1469" t="s">
        <v>3041</v>
      </c>
      <c r="G1469" s="45" t="s">
        <v>2406</v>
      </c>
      <c r="H1469" s="43">
        <v>1141</v>
      </c>
      <c r="I1469" s="324" t="s">
        <v>44</v>
      </c>
      <c r="J1469" s="255" t="str">
        <f>IF(ISBLANK(INDEX('Policy Characteristics'!D:D,MATCH($C1469,'Policy Characteristics'!$C:$C,0))),"",INDEX('Policy Characteristics'!D:D,MATCH($C1469,'Policy Characteristics'!$C:$C,0)))</f>
        <v>Industry Energy Efficiency Standards</v>
      </c>
      <c r="K1469" s="254" t="str">
        <f>IF(ISBLANK(INDEX('Policy Characteristics'!E:E,MATCH($C1469,'Policy Characteristics'!$C:$C,0))),"",INDEX('Policy Characteristics'!E:E,MATCH($C1469,'Policy Characteristics'!$C:$C,0)))</f>
        <v>indst efficiency standards</v>
      </c>
      <c r="L1469" s="261">
        <f>IF(ISBLANK(INDEX('Policy Characteristics'!F:F,MATCH($C1469,'Policy Characteristics'!$C:$C,0))),"",INDEX('Policy Characteristics'!F:F,MATCH($C1469,'Policy Characteristics'!$C:$C,0)))</f>
        <v>0</v>
      </c>
      <c r="M1469" s="261">
        <f>IF(ISBLANK(INDEX('Policy Characteristics'!G:G,MATCH($C1469,'Policy Characteristics'!$C:$C,0))),"",INDEX('Policy Characteristics'!G:G,MATCH($C1469,'Policy Characteristics'!$C:$C,0)))</f>
        <v>0.25</v>
      </c>
      <c r="N1469" s="261">
        <f>IF(ISBLANK(INDEX('Policy Characteristics'!H:H,MATCH($C1469,'Policy Characteristics'!$C:$C,0))),"",INDEX('Policy Characteristics'!H:H,MATCH($C1469,'Policy Characteristics'!$C:$C,0)))</f>
        <v>0.01</v>
      </c>
      <c r="O1469" s="254" t="str">
        <f>IF(ISBLANK(INDEX('Policy Characteristics'!I:I,MATCH($C1469,'Policy Characteristics'!$C:$C,0))),"",INDEX('Policy Characteristics'!I:I,MATCH($C1469,'Policy Characteristics'!$C:$C,0)))</f>
        <v>% reduction in energy use</v>
      </c>
      <c r="P1469" s="254"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4" t="str">
        <f>IF(ISBLANK(INDEX('Policy Characteristics'!K:K,MATCH($C1469,'Policy Characteristics'!$C:$C,0))),"",INDEX('Policy Characteristics'!K:K,MATCH($C1469,'Policy Characteristics'!$C:$C,0)))</f>
        <v>industry-ag-main.html#eff-stds</v>
      </c>
      <c r="R1469" s="254" t="str">
        <f>IF(ISBLANK(INDEX('Policy Characteristics'!L:L,MATCH($C1469,'Policy Characteristics'!$C:$C,0))),"",INDEX('Policy Characteristics'!L:L,MATCH($C1469,'Policy Characteristics'!$C:$C,0)))</f>
        <v>industry-energy-efficiency-standards.html</v>
      </c>
    </row>
    <row r="1470" spans="1:18" s="4" customFormat="1" x14ac:dyDescent="0.3">
      <c r="A1470" s="254" t="str">
        <f>IF(ISBLANK(INDEX('Policy Characteristics'!A:A,MATCH($C1470,'Policy Characteristics'!$C:$C,0))),"",INDEX('Policy Characteristics'!A:A,MATCH($C1470,'Policy Characteristics'!$C:$C,0)))</f>
        <v>Industry</v>
      </c>
      <c r="B1470" s="262" t="str">
        <f>IF(ISBLANK(INDEX('Policy Characteristics'!B:B,MATCH($C1470,'Policy Characteristics'!$C:$C,0))),"",INDEX('Policy Characteristics'!B:B,MATCH($C1470,'Policy Characteristics'!$C:$C,0)))</f>
        <v>Industry Energy Efficiency Standards</v>
      </c>
      <c r="C1470" s="254" t="str">
        <f t="shared" si="50"/>
        <v>Percentage Improvement in Eqpt Efficiency Standards above BAU</v>
      </c>
      <c r="D1470" s="6" t="s">
        <v>3079</v>
      </c>
      <c r="E1470" s="45" t="s">
        <v>2403</v>
      </c>
      <c r="F1470" t="s">
        <v>3041</v>
      </c>
      <c r="G1470" s="45" t="s">
        <v>2407</v>
      </c>
      <c r="H1470" s="43">
        <v>1142</v>
      </c>
      <c r="I1470" s="324" t="s">
        <v>43</v>
      </c>
      <c r="J1470" s="255" t="str">
        <f>IF(ISBLANK(INDEX('Policy Characteristics'!D:D,MATCH($C1470,'Policy Characteristics'!$C:$C,0))),"",INDEX('Policy Characteristics'!D:D,MATCH($C1470,'Policy Characteristics'!$C:$C,0)))</f>
        <v>Industry Energy Efficiency Standards</v>
      </c>
      <c r="K1470" s="254" t="str">
        <f>IF(ISBLANK(INDEX('Policy Characteristics'!E:E,MATCH($C1470,'Policy Characteristics'!$C:$C,0))),"",INDEX('Policy Characteristics'!E:E,MATCH($C1470,'Policy Characteristics'!$C:$C,0)))</f>
        <v>indst efficiency standards</v>
      </c>
      <c r="L1470" s="261">
        <f>IF(ISBLANK(INDEX('Policy Characteristics'!F:F,MATCH($C1470,'Policy Characteristics'!$C:$C,0))),"",INDEX('Policy Characteristics'!F:F,MATCH($C1470,'Policy Characteristics'!$C:$C,0)))</f>
        <v>0</v>
      </c>
      <c r="M1470" s="261">
        <f>IF(ISBLANK(INDEX('Policy Characteristics'!G:G,MATCH($C1470,'Policy Characteristics'!$C:$C,0))),"",INDEX('Policy Characteristics'!G:G,MATCH($C1470,'Policy Characteristics'!$C:$C,0)))</f>
        <v>0.25</v>
      </c>
      <c r="N1470" s="261">
        <f>IF(ISBLANK(INDEX('Policy Characteristics'!H:H,MATCH($C1470,'Policy Characteristics'!$C:$C,0))),"",INDEX('Policy Characteristics'!H:H,MATCH($C1470,'Policy Characteristics'!$C:$C,0)))</f>
        <v>0.01</v>
      </c>
      <c r="O1470" s="254" t="str">
        <f>IF(ISBLANK(INDEX('Policy Characteristics'!I:I,MATCH($C1470,'Policy Characteristics'!$C:$C,0))),"",INDEX('Policy Characteristics'!I:I,MATCH($C1470,'Policy Characteristics'!$C:$C,0)))</f>
        <v>% reduction in energy use</v>
      </c>
      <c r="P1470" s="254"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4" t="str">
        <f>IF(ISBLANK(INDEX('Policy Characteristics'!K:K,MATCH($C1470,'Policy Characteristics'!$C:$C,0))),"",INDEX('Policy Characteristics'!K:K,MATCH($C1470,'Policy Characteristics'!$C:$C,0)))</f>
        <v>industry-ag-main.html#eff-stds</v>
      </c>
      <c r="R1470" s="254" t="str">
        <f>IF(ISBLANK(INDEX('Policy Characteristics'!L:L,MATCH($C1470,'Policy Characteristics'!$C:$C,0))),"",INDEX('Policy Characteristics'!L:L,MATCH($C1470,'Policy Characteristics'!$C:$C,0)))</f>
        <v>industry-energy-efficiency-standards.html</v>
      </c>
    </row>
    <row r="1471" spans="1:18" s="4" customFormat="1" x14ac:dyDescent="0.3">
      <c r="A1471" s="254" t="str">
        <f>IF(ISBLANK(INDEX('Policy Characteristics'!A:A,MATCH($C1471,'Policy Characteristics'!$C:$C,0))),"",INDEX('Policy Characteristics'!A:A,MATCH($C1471,'Policy Characteristics'!$C:$C,0)))</f>
        <v>Industry</v>
      </c>
      <c r="B1471" s="262" t="str">
        <f>IF(ISBLANK(INDEX('Policy Characteristics'!B:B,MATCH($C1471,'Policy Characteristics'!$C:$C,0))),"",INDEX('Policy Characteristics'!B:B,MATCH($C1471,'Policy Characteristics'!$C:$C,0)))</f>
        <v>Industry Energy Efficiency Standards</v>
      </c>
      <c r="C1471" s="254" t="str">
        <f t="shared" si="50"/>
        <v>Percentage Improvement in Eqpt Efficiency Standards above BAU</v>
      </c>
      <c r="D1471" s="6" t="s">
        <v>3079</v>
      </c>
      <c r="E1471" s="45" t="s">
        <v>2404</v>
      </c>
      <c r="F1471" t="s">
        <v>3041</v>
      </c>
      <c r="G1471" s="45" t="s">
        <v>2410</v>
      </c>
      <c r="H1471" s="43">
        <v>1143</v>
      </c>
      <c r="I1471" s="324" t="s">
        <v>44</v>
      </c>
      <c r="J1471" s="255" t="str">
        <f>IF(ISBLANK(INDEX('Policy Characteristics'!D:D,MATCH($C1471,'Policy Characteristics'!$C:$C,0))),"",INDEX('Policy Characteristics'!D:D,MATCH($C1471,'Policy Characteristics'!$C:$C,0)))</f>
        <v>Industry Energy Efficiency Standards</v>
      </c>
      <c r="K1471" s="254" t="str">
        <f>IF(ISBLANK(INDEX('Policy Characteristics'!E:E,MATCH($C1471,'Policy Characteristics'!$C:$C,0))),"",INDEX('Policy Characteristics'!E:E,MATCH($C1471,'Policy Characteristics'!$C:$C,0)))</f>
        <v>indst efficiency standards</v>
      </c>
      <c r="L1471" s="261">
        <f>IF(ISBLANK(INDEX('Policy Characteristics'!F:F,MATCH($C1471,'Policy Characteristics'!$C:$C,0))),"",INDEX('Policy Characteristics'!F:F,MATCH($C1471,'Policy Characteristics'!$C:$C,0)))</f>
        <v>0</v>
      </c>
      <c r="M1471" s="261">
        <f>IF(ISBLANK(INDEX('Policy Characteristics'!G:G,MATCH($C1471,'Policy Characteristics'!$C:$C,0))),"",INDEX('Policy Characteristics'!G:G,MATCH($C1471,'Policy Characteristics'!$C:$C,0)))</f>
        <v>0.25</v>
      </c>
      <c r="N1471" s="261">
        <f>IF(ISBLANK(INDEX('Policy Characteristics'!H:H,MATCH($C1471,'Policy Characteristics'!$C:$C,0))),"",INDEX('Policy Characteristics'!H:H,MATCH($C1471,'Policy Characteristics'!$C:$C,0)))</f>
        <v>0.01</v>
      </c>
      <c r="O1471" s="254" t="str">
        <f>IF(ISBLANK(INDEX('Policy Characteristics'!I:I,MATCH($C1471,'Policy Characteristics'!$C:$C,0))),"",INDEX('Policy Characteristics'!I:I,MATCH($C1471,'Policy Characteristics'!$C:$C,0)))</f>
        <v>% reduction in energy use</v>
      </c>
      <c r="P1471" s="254"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4" t="str">
        <f>IF(ISBLANK(INDEX('Policy Characteristics'!K:K,MATCH($C1471,'Policy Characteristics'!$C:$C,0))),"",INDEX('Policy Characteristics'!K:K,MATCH($C1471,'Policy Characteristics'!$C:$C,0)))</f>
        <v>industry-ag-main.html#eff-stds</v>
      </c>
      <c r="R1471" s="254" t="str">
        <f>IF(ISBLANK(INDEX('Policy Characteristics'!L:L,MATCH($C1471,'Policy Characteristics'!$C:$C,0))),"",INDEX('Policy Characteristics'!L:L,MATCH($C1471,'Policy Characteristics'!$C:$C,0)))</f>
        <v>industry-energy-efficiency-standards.html</v>
      </c>
    </row>
    <row r="1472" spans="1:18" s="4" customFormat="1" x14ac:dyDescent="0.3">
      <c r="A1472" s="254" t="str">
        <f>IF(ISBLANK(INDEX('Policy Characteristics'!A:A,MATCH($C1472,'Policy Characteristics'!$C:$C,0))),"",INDEX('Policy Characteristics'!A:A,MATCH($C1472,'Policy Characteristics'!$C:$C,0)))</f>
        <v>Industry</v>
      </c>
      <c r="B1472" s="262" t="str">
        <f>IF(ISBLANK(INDEX('Policy Characteristics'!B:B,MATCH($C1472,'Policy Characteristics'!$C:$C,0))),"",INDEX('Policy Characteristics'!B:B,MATCH($C1472,'Policy Characteristics'!$C:$C,0)))</f>
        <v>Industry Energy Efficiency Standards</v>
      </c>
      <c r="C1472" s="254" t="str">
        <f t="shared" si="50"/>
        <v>Percentage Improvement in Eqpt Efficiency Standards above BAU</v>
      </c>
      <c r="D1472" s="6" t="s">
        <v>3079</v>
      </c>
      <c r="E1472" s="45" t="s">
        <v>2706</v>
      </c>
      <c r="F1472" t="s">
        <v>3041</v>
      </c>
      <c r="G1472" s="45" t="s">
        <v>2709</v>
      </c>
      <c r="H1472" s="43">
        <v>1144</v>
      </c>
      <c r="I1472" s="324" t="s">
        <v>44</v>
      </c>
      <c r="J1472" s="255" t="str">
        <f>IF(ISBLANK(INDEX('Policy Characteristics'!D:D,MATCH($C1472,'Policy Characteristics'!$C:$C,0))),"",INDEX('Policy Characteristics'!D:D,MATCH($C1472,'Policy Characteristics'!$C:$C,0)))</f>
        <v>Industry Energy Efficiency Standards</v>
      </c>
      <c r="K1472" s="254" t="str">
        <f>IF(ISBLANK(INDEX('Policy Characteristics'!E:E,MATCH($C1472,'Policy Characteristics'!$C:$C,0))),"",INDEX('Policy Characteristics'!E:E,MATCH($C1472,'Policy Characteristics'!$C:$C,0)))</f>
        <v>indst efficiency standards</v>
      </c>
      <c r="L1472" s="261">
        <f>IF(ISBLANK(INDEX('Policy Characteristics'!F:F,MATCH($C1472,'Policy Characteristics'!$C:$C,0))),"",INDEX('Policy Characteristics'!F:F,MATCH($C1472,'Policy Characteristics'!$C:$C,0)))</f>
        <v>0</v>
      </c>
      <c r="M1472" s="261">
        <f>IF(ISBLANK(INDEX('Policy Characteristics'!G:G,MATCH($C1472,'Policy Characteristics'!$C:$C,0))),"",INDEX('Policy Characteristics'!G:G,MATCH($C1472,'Policy Characteristics'!$C:$C,0)))</f>
        <v>0.25</v>
      </c>
      <c r="N1472" s="261">
        <f>IF(ISBLANK(INDEX('Policy Characteristics'!H:H,MATCH($C1472,'Policy Characteristics'!$C:$C,0))),"",INDEX('Policy Characteristics'!H:H,MATCH($C1472,'Policy Characteristics'!$C:$C,0)))</f>
        <v>0.01</v>
      </c>
      <c r="O1472" s="254" t="str">
        <f>IF(ISBLANK(INDEX('Policy Characteristics'!I:I,MATCH($C1472,'Policy Characteristics'!$C:$C,0))),"",INDEX('Policy Characteristics'!I:I,MATCH($C1472,'Policy Characteristics'!$C:$C,0)))</f>
        <v>% reduction in energy use</v>
      </c>
      <c r="P1472" s="254"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4" t="str">
        <f>IF(ISBLANK(INDEX('Policy Characteristics'!K:K,MATCH($C1472,'Policy Characteristics'!$C:$C,0))),"",INDEX('Policy Characteristics'!K:K,MATCH($C1472,'Policy Characteristics'!$C:$C,0)))</f>
        <v>industry-ag-main.html#eff-stds</v>
      </c>
      <c r="R1472" s="254" t="str">
        <f>IF(ISBLANK(INDEX('Policy Characteristics'!L:L,MATCH($C1472,'Policy Characteristics'!$C:$C,0))),"",INDEX('Policy Characteristics'!L:L,MATCH($C1472,'Policy Characteristics'!$C:$C,0)))</f>
        <v>industry-energy-efficiency-standards.html</v>
      </c>
    </row>
    <row r="1473" spans="1:18" s="4" customFormat="1" x14ac:dyDescent="0.3">
      <c r="A1473" s="254" t="str">
        <f>IF(ISBLANK(INDEX('Policy Characteristics'!A:A,MATCH($C1473,'Policy Characteristics'!$C:$C,0))),"",INDEX('Policy Characteristics'!A:A,MATCH($C1473,'Policy Characteristics'!$C:$C,0)))</f>
        <v>Industry</v>
      </c>
      <c r="B1473" s="262" t="str">
        <f>IF(ISBLANK(INDEX('Policy Characteristics'!B:B,MATCH($C1473,'Policy Characteristics'!$C:$C,0))),"",INDEX('Policy Characteristics'!B:B,MATCH($C1473,'Policy Characteristics'!$C:$C,0)))</f>
        <v>Industry Energy Efficiency Standards</v>
      </c>
      <c r="C1473" s="254" t="str">
        <f t="shared" si="50"/>
        <v>Percentage Improvement in Eqpt Efficiency Standards above BAU</v>
      </c>
      <c r="D1473" s="6" t="s">
        <v>3079</v>
      </c>
      <c r="E1473" s="45" t="s">
        <v>2707</v>
      </c>
      <c r="F1473" t="s">
        <v>3041</v>
      </c>
      <c r="G1473" s="45" t="s">
        <v>2711</v>
      </c>
      <c r="H1473" s="43">
        <v>1145</v>
      </c>
      <c r="I1473" s="324" t="s">
        <v>44</v>
      </c>
      <c r="J1473" s="255" t="str">
        <f>IF(ISBLANK(INDEX('Policy Characteristics'!D:D,MATCH($C1473,'Policy Characteristics'!$C:$C,0))),"",INDEX('Policy Characteristics'!D:D,MATCH($C1473,'Policy Characteristics'!$C:$C,0)))</f>
        <v>Industry Energy Efficiency Standards</v>
      </c>
      <c r="K1473" s="254" t="str">
        <f>IF(ISBLANK(INDEX('Policy Characteristics'!E:E,MATCH($C1473,'Policy Characteristics'!$C:$C,0))),"",INDEX('Policy Characteristics'!E:E,MATCH($C1473,'Policy Characteristics'!$C:$C,0)))</f>
        <v>indst efficiency standards</v>
      </c>
      <c r="L1473" s="261">
        <f>IF(ISBLANK(INDEX('Policy Characteristics'!F:F,MATCH($C1473,'Policy Characteristics'!$C:$C,0))),"",INDEX('Policy Characteristics'!F:F,MATCH($C1473,'Policy Characteristics'!$C:$C,0)))</f>
        <v>0</v>
      </c>
      <c r="M1473" s="261">
        <f>IF(ISBLANK(INDEX('Policy Characteristics'!G:G,MATCH($C1473,'Policy Characteristics'!$C:$C,0))),"",INDEX('Policy Characteristics'!G:G,MATCH($C1473,'Policy Characteristics'!$C:$C,0)))</f>
        <v>0.25</v>
      </c>
      <c r="N1473" s="261">
        <f>IF(ISBLANK(INDEX('Policy Characteristics'!H:H,MATCH($C1473,'Policy Characteristics'!$C:$C,0))),"",INDEX('Policy Characteristics'!H:H,MATCH($C1473,'Policy Characteristics'!$C:$C,0)))</f>
        <v>0.01</v>
      </c>
      <c r="O1473" s="254" t="str">
        <f>IF(ISBLANK(INDEX('Policy Characteristics'!I:I,MATCH($C1473,'Policy Characteristics'!$C:$C,0))),"",INDEX('Policy Characteristics'!I:I,MATCH($C1473,'Policy Characteristics'!$C:$C,0)))</f>
        <v>% reduction in energy use</v>
      </c>
      <c r="P1473" s="254"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4" t="str">
        <f>IF(ISBLANK(INDEX('Policy Characteristics'!K:K,MATCH($C1473,'Policy Characteristics'!$C:$C,0))),"",INDEX('Policy Characteristics'!K:K,MATCH($C1473,'Policy Characteristics'!$C:$C,0)))</f>
        <v>industry-ag-main.html#eff-stds</v>
      </c>
      <c r="R1473" s="254" t="str">
        <f>IF(ISBLANK(INDEX('Policy Characteristics'!L:L,MATCH($C1473,'Policy Characteristics'!$C:$C,0))),"",INDEX('Policy Characteristics'!L:L,MATCH($C1473,'Policy Characteristics'!$C:$C,0)))</f>
        <v>industry-energy-efficiency-standards.html</v>
      </c>
    </row>
    <row r="1474" spans="1:18" s="4" customFormat="1" x14ac:dyDescent="0.3">
      <c r="A1474" s="254" t="str">
        <f>IF(ISBLANK(INDEX('Policy Characteristics'!A:A,MATCH($C1474,'Policy Characteristics'!$C:$C,0))),"",INDEX('Policy Characteristics'!A:A,MATCH($C1474,'Policy Characteristics'!$C:$C,0)))</f>
        <v>Industry</v>
      </c>
      <c r="B1474" s="262" t="str">
        <f>IF(ISBLANK(INDEX('Policy Characteristics'!B:B,MATCH($C1474,'Policy Characteristics'!$C:$C,0))),"",INDEX('Policy Characteristics'!B:B,MATCH($C1474,'Policy Characteristics'!$C:$C,0)))</f>
        <v>Industry Energy Efficiency Standards</v>
      </c>
      <c r="C1474" s="254" t="str">
        <f t="shared" si="50"/>
        <v>Percentage Improvement in Eqpt Efficiency Standards above BAU</v>
      </c>
      <c r="D1474" s="6" t="s">
        <v>3079</v>
      </c>
      <c r="E1474" s="45" t="s">
        <v>2708</v>
      </c>
      <c r="F1474" t="s">
        <v>3041</v>
      </c>
      <c r="G1474" s="45" t="s">
        <v>2712</v>
      </c>
      <c r="H1474" s="43">
        <v>1146</v>
      </c>
      <c r="I1474" s="324" t="s">
        <v>43</v>
      </c>
      <c r="J1474" s="255" t="str">
        <f>IF(ISBLANK(INDEX('Policy Characteristics'!D:D,MATCH($C1474,'Policy Characteristics'!$C:$C,0))),"",INDEX('Policy Characteristics'!D:D,MATCH($C1474,'Policy Characteristics'!$C:$C,0)))</f>
        <v>Industry Energy Efficiency Standards</v>
      </c>
      <c r="K1474" s="254" t="str">
        <f>IF(ISBLANK(INDEX('Policy Characteristics'!E:E,MATCH($C1474,'Policy Characteristics'!$C:$C,0))),"",INDEX('Policy Characteristics'!E:E,MATCH($C1474,'Policy Characteristics'!$C:$C,0)))</f>
        <v>indst efficiency standards</v>
      </c>
      <c r="L1474" s="261">
        <f>IF(ISBLANK(INDEX('Policy Characteristics'!F:F,MATCH($C1474,'Policy Characteristics'!$C:$C,0))),"",INDEX('Policy Characteristics'!F:F,MATCH($C1474,'Policy Characteristics'!$C:$C,0)))</f>
        <v>0</v>
      </c>
      <c r="M1474" s="261">
        <f>IF(ISBLANK(INDEX('Policy Characteristics'!G:G,MATCH($C1474,'Policy Characteristics'!$C:$C,0))),"",INDEX('Policy Characteristics'!G:G,MATCH($C1474,'Policy Characteristics'!$C:$C,0)))</f>
        <v>0.25</v>
      </c>
      <c r="N1474" s="261">
        <f>IF(ISBLANK(INDEX('Policy Characteristics'!H:H,MATCH($C1474,'Policy Characteristics'!$C:$C,0))),"",INDEX('Policy Characteristics'!H:H,MATCH($C1474,'Policy Characteristics'!$C:$C,0)))</f>
        <v>0.01</v>
      </c>
      <c r="O1474" s="254" t="str">
        <f>IF(ISBLANK(INDEX('Policy Characteristics'!I:I,MATCH($C1474,'Policy Characteristics'!$C:$C,0))),"",INDEX('Policy Characteristics'!I:I,MATCH($C1474,'Policy Characteristics'!$C:$C,0)))</f>
        <v>% reduction in energy use</v>
      </c>
      <c r="P1474" s="254"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4" t="str">
        <f>IF(ISBLANK(INDEX('Policy Characteristics'!K:K,MATCH($C1474,'Policy Characteristics'!$C:$C,0))),"",INDEX('Policy Characteristics'!K:K,MATCH($C1474,'Policy Characteristics'!$C:$C,0)))</f>
        <v>industry-ag-main.html#eff-stds</v>
      </c>
      <c r="R1474" s="254" t="str">
        <f>IF(ISBLANK(INDEX('Policy Characteristics'!L:L,MATCH($C1474,'Policy Characteristics'!$C:$C,0))),"",INDEX('Policy Characteristics'!L:L,MATCH($C1474,'Policy Characteristics'!$C:$C,0)))</f>
        <v>industry-energy-efficiency-standards.html</v>
      </c>
    </row>
    <row r="1475" spans="1:18" s="4" customFormat="1" x14ac:dyDescent="0.3">
      <c r="A1475" s="254" t="str">
        <f>IF(ISBLANK(INDEX('Policy Characteristics'!A:A,MATCH($C1475,'Policy Characteristics'!$C:$C,0))),"",INDEX('Policy Characteristics'!A:A,MATCH($C1475,'Policy Characteristics'!$C:$C,0)))</f>
        <v>Industry</v>
      </c>
      <c r="B1475" s="262" t="str">
        <f>IF(ISBLANK(INDEX('Policy Characteristics'!B:B,MATCH($C1475,'Policy Characteristics'!$C:$C,0))),"",INDEX('Policy Characteristics'!B:B,MATCH($C1475,'Policy Characteristics'!$C:$C,0)))</f>
        <v>Industry Energy Efficiency Standards</v>
      </c>
      <c r="C1475" s="254" t="str">
        <f t="shared" si="50"/>
        <v>Percentage Improvement in Eqpt Efficiency Standards above BAU</v>
      </c>
      <c r="D1475" s="6" t="s">
        <v>3079</v>
      </c>
      <c r="E1475" s="45" t="s">
        <v>2705</v>
      </c>
      <c r="F1475" t="s">
        <v>3041</v>
      </c>
      <c r="G1475" s="45" t="s">
        <v>2710</v>
      </c>
      <c r="H1475" s="43">
        <v>1147</v>
      </c>
      <c r="I1475" s="324" t="s">
        <v>44</v>
      </c>
      <c r="J1475" s="255" t="str">
        <f>IF(ISBLANK(INDEX('Policy Characteristics'!D:D,MATCH($C1475,'Policy Characteristics'!$C:$C,0))),"",INDEX('Policy Characteristics'!D:D,MATCH($C1475,'Policy Characteristics'!$C:$C,0)))</f>
        <v>Industry Energy Efficiency Standards</v>
      </c>
      <c r="K1475" s="254" t="str">
        <f>IF(ISBLANK(INDEX('Policy Characteristics'!E:E,MATCH($C1475,'Policy Characteristics'!$C:$C,0))),"",INDEX('Policy Characteristics'!E:E,MATCH($C1475,'Policy Characteristics'!$C:$C,0)))</f>
        <v>indst efficiency standards</v>
      </c>
      <c r="L1475" s="261">
        <f>IF(ISBLANK(INDEX('Policy Characteristics'!F:F,MATCH($C1475,'Policy Characteristics'!$C:$C,0))),"",INDEX('Policy Characteristics'!F:F,MATCH($C1475,'Policy Characteristics'!$C:$C,0)))</f>
        <v>0</v>
      </c>
      <c r="M1475" s="261">
        <f>IF(ISBLANK(INDEX('Policy Characteristics'!G:G,MATCH($C1475,'Policy Characteristics'!$C:$C,0))),"",INDEX('Policy Characteristics'!G:G,MATCH($C1475,'Policy Characteristics'!$C:$C,0)))</f>
        <v>0.25</v>
      </c>
      <c r="N1475" s="261">
        <f>IF(ISBLANK(INDEX('Policy Characteristics'!H:H,MATCH($C1475,'Policy Characteristics'!$C:$C,0))),"",INDEX('Policy Characteristics'!H:H,MATCH($C1475,'Policy Characteristics'!$C:$C,0)))</f>
        <v>0.01</v>
      </c>
      <c r="O1475" s="254" t="str">
        <f>IF(ISBLANK(INDEX('Policy Characteristics'!I:I,MATCH($C1475,'Policy Characteristics'!$C:$C,0))),"",INDEX('Policy Characteristics'!I:I,MATCH($C1475,'Policy Characteristics'!$C:$C,0)))</f>
        <v>% reduction in energy use</v>
      </c>
      <c r="P1475" s="254"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4" t="str">
        <f>IF(ISBLANK(INDEX('Policy Characteristics'!K:K,MATCH($C1475,'Policy Characteristics'!$C:$C,0))),"",INDEX('Policy Characteristics'!K:K,MATCH($C1475,'Policy Characteristics'!$C:$C,0)))</f>
        <v>industry-ag-main.html#eff-stds</v>
      </c>
      <c r="R1475" s="254" t="str">
        <f>IF(ISBLANK(INDEX('Policy Characteristics'!L:L,MATCH($C1475,'Policy Characteristics'!$C:$C,0))),"",INDEX('Policy Characteristics'!L:L,MATCH($C1475,'Policy Characteristics'!$C:$C,0)))</f>
        <v>industry-energy-efficiency-standards.html</v>
      </c>
    </row>
    <row r="1476" spans="1:18" s="4" customFormat="1" x14ac:dyDescent="0.3">
      <c r="A1476" s="254" t="str">
        <f>IF(ISBLANK(INDEX('Policy Characteristics'!A:A,MATCH($C1476,'Policy Characteristics'!$C:$C,0))),"",INDEX('Policy Characteristics'!A:A,MATCH($C1476,'Policy Characteristics'!$C:$C,0)))</f>
        <v>Industry</v>
      </c>
      <c r="B1476" s="262" t="str">
        <f>IF(ISBLANK(INDEX('Policy Characteristics'!B:B,MATCH($C1476,'Policy Characteristics'!$C:$C,0))),"",INDEX('Policy Characteristics'!B:B,MATCH($C1476,'Policy Characteristics'!$C:$C,0)))</f>
        <v>Industry Energy Efficiency Standards</v>
      </c>
      <c r="C1476" s="254" t="str">
        <f t="shared" si="50"/>
        <v>Percentage Improvement in Eqpt Efficiency Standards above BAU</v>
      </c>
      <c r="D1476" s="6" t="s">
        <v>3080</v>
      </c>
      <c r="E1476" s="45" t="s">
        <v>2399</v>
      </c>
      <c r="F1476" t="s">
        <v>3042</v>
      </c>
      <c r="G1476" s="45" t="s">
        <v>2405</v>
      </c>
      <c r="H1476" s="43">
        <v>1148</v>
      </c>
      <c r="I1476" s="324" t="s">
        <v>43</v>
      </c>
      <c r="J1476" s="255" t="str">
        <f>IF(ISBLANK(INDEX('Policy Characteristics'!D:D,MATCH($C1476,'Policy Characteristics'!$C:$C,0))),"",INDEX('Policy Characteristics'!D:D,MATCH($C1476,'Policy Characteristics'!$C:$C,0)))</f>
        <v>Industry Energy Efficiency Standards</v>
      </c>
      <c r="K1476" s="254" t="str">
        <f>IF(ISBLANK(INDEX('Policy Characteristics'!E:E,MATCH($C1476,'Policy Characteristics'!$C:$C,0))),"",INDEX('Policy Characteristics'!E:E,MATCH($C1476,'Policy Characteristics'!$C:$C,0)))</f>
        <v>indst efficiency standards</v>
      </c>
      <c r="L1476" s="261">
        <f>IF(ISBLANK(INDEX('Policy Characteristics'!F:F,MATCH($C1476,'Policy Characteristics'!$C:$C,0))),"",INDEX('Policy Characteristics'!F:F,MATCH($C1476,'Policy Characteristics'!$C:$C,0)))</f>
        <v>0</v>
      </c>
      <c r="M1476" s="261">
        <f>IF(ISBLANK(INDEX('Policy Characteristics'!G:G,MATCH($C1476,'Policy Characteristics'!$C:$C,0))),"",INDEX('Policy Characteristics'!G:G,MATCH($C1476,'Policy Characteristics'!$C:$C,0)))</f>
        <v>0.25</v>
      </c>
      <c r="N1476" s="261">
        <f>IF(ISBLANK(INDEX('Policy Characteristics'!H:H,MATCH($C1476,'Policy Characteristics'!$C:$C,0))),"",INDEX('Policy Characteristics'!H:H,MATCH($C1476,'Policy Characteristics'!$C:$C,0)))</f>
        <v>0.01</v>
      </c>
      <c r="O1476" s="254" t="str">
        <f>IF(ISBLANK(INDEX('Policy Characteristics'!I:I,MATCH($C1476,'Policy Characteristics'!$C:$C,0))),"",INDEX('Policy Characteristics'!I:I,MATCH($C1476,'Policy Characteristics'!$C:$C,0)))</f>
        <v>% reduction in energy use</v>
      </c>
      <c r="P1476" s="254"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4" t="str">
        <f>IF(ISBLANK(INDEX('Policy Characteristics'!K:K,MATCH($C1476,'Policy Characteristics'!$C:$C,0))),"",INDEX('Policy Characteristics'!K:K,MATCH($C1476,'Policy Characteristics'!$C:$C,0)))</f>
        <v>industry-ag-main.html#eff-stds</v>
      </c>
      <c r="R1476" s="254" t="str">
        <f>IF(ISBLANK(INDEX('Policy Characteristics'!L:L,MATCH($C1476,'Policy Characteristics'!$C:$C,0))),"",INDEX('Policy Characteristics'!L:L,MATCH($C1476,'Policy Characteristics'!$C:$C,0)))</f>
        <v>industry-energy-efficiency-standards.html</v>
      </c>
    </row>
    <row r="1477" spans="1:18" s="4" customFormat="1" x14ac:dyDescent="0.3">
      <c r="A1477" s="254" t="str">
        <f>IF(ISBLANK(INDEX('Policy Characteristics'!A:A,MATCH($C1477,'Policy Characteristics'!$C:$C,0))),"",INDEX('Policy Characteristics'!A:A,MATCH($C1477,'Policy Characteristics'!$C:$C,0)))</f>
        <v>Industry</v>
      </c>
      <c r="B1477" s="262" t="str">
        <f>IF(ISBLANK(INDEX('Policy Characteristics'!B:B,MATCH($C1477,'Policy Characteristics'!$C:$C,0))),"",INDEX('Policy Characteristics'!B:B,MATCH($C1477,'Policy Characteristics'!$C:$C,0)))</f>
        <v>Industry Energy Efficiency Standards</v>
      </c>
      <c r="C1477" s="254" t="str">
        <f t="shared" si="50"/>
        <v>Percentage Improvement in Eqpt Efficiency Standards above BAU</v>
      </c>
      <c r="D1477" s="6" t="s">
        <v>3080</v>
      </c>
      <c r="E1477" s="45" t="s">
        <v>2400</v>
      </c>
      <c r="F1477" t="s">
        <v>3042</v>
      </c>
      <c r="G1477" s="45" t="s">
        <v>2408</v>
      </c>
      <c r="H1477" s="43">
        <v>1149</v>
      </c>
      <c r="I1477" s="324" t="s">
        <v>43</v>
      </c>
      <c r="J1477" s="255" t="str">
        <f>IF(ISBLANK(INDEX('Policy Characteristics'!D:D,MATCH($C1477,'Policy Characteristics'!$C:$C,0))),"",INDEX('Policy Characteristics'!D:D,MATCH($C1477,'Policy Characteristics'!$C:$C,0)))</f>
        <v>Industry Energy Efficiency Standards</v>
      </c>
      <c r="K1477" s="254" t="str">
        <f>IF(ISBLANK(INDEX('Policy Characteristics'!E:E,MATCH($C1477,'Policy Characteristics'!$C:$C,0))),"",INDEX('Policy Characteristics'!E:E,MATCH($C1477,'Policy Characteristics'!$C:$C,0)))</f>
        <v>indst efficiency standards</v>
      </c>
      <c r="L1477" s="261">
        <f>IF(ISBLANK(INDEX('Policy Characteristics'!F:F,MATCH($C1477,'Policy Characteristics'!$C:$C,0))),"",INDEX('Policy Characteristics'!F:F,MATCH($C1477,'Policy Characteristics'!$C:$C,0)))</f>
        <v>0</v>
      </c>
      <c r="M1477" s="261">
        <f>IF(ISBLANK(INDEX('Policy Characteristics'!G:G,MATCH($C1477,'Policy Characteristics'!$C:$C,0))),"",INDEX('Policy Characteristics'!G:G,MATCH($C1477,'Policy Characteristics'!$C:$C,0)))</f>
        <v>0.25</v>
      </c>
      <c r="N1477" s="261">
        <f>IF(ISBLANK(INDEX('Policy Characteristics'!H:H,MATCH($C1477,'Policy Characteristics'!$C:$C,0))),"",INDEX('Policy Characteristics'!H:H,MATCH($C1477,'Policy Characteristics'!$C:$C,0)))</f>
        <v>0.01</v>
      </c>
      <c r="O1477" s="254" t="str">
        <f>IF(ISBLANK(INDEX('Policy Characteristics'!I:I,MATCH($C1477,'Policy Characteristics'!$C:$C,0))),"",INDEX('Policy Characteristics'!I:I,MATCH($C1477,'Policy Characteristics'!$C:$C,0)))</f>
        <v>% reduction in energy use</v>
      </c>
      <c r="P1477" s="254"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4" t="str">
        <f>IF(ISBLANK(INDEX('Policy Characteristics'!K:K,MATCH($C1477,'Policy Characteristics'!$C:$C,0))),"",INDEX('Policy Characteristics'!K:K,MATCH($C1477,'Policy Characteristics'!$C:$C,0)))</f>
        <v>industry-ag-main.html#eff-stds</v>
      </c>
      <c r="R1477" s="254" t="str">
        <f>IF(ISBLANK(INDEX('Policy Characteristics'!L:L,MATCH($C1477,'Policy Characteristics'!$C:$C,0))),"",INDEX('Policy Characteristics'!L:L,MATCH($C1477,'Policy Characteristics'!$C:$C,0)))</f>
        <v>industry-energy-efficiency-standards.html</v>
      </c>
    </row>
    <row r="1478" spans="1:18" s="4" customFormat="1" x14ac:dyDescent="0.3">
      <c r="A1478" s="254" t="str">
        <f>IF(ISBLANK(INDEX('Policy Characteristics'!A:A,MATCH($C1478,'Policy Characteristics'!$C:$C,0))),"",INDEX('Policy Characteristics'!A:A,MATCH($C1478,'Policy Characteristics'!$C:$C,0)))</f>
        <v>Industry</v>
      </c>
      <c r="B1478" s="262" t="str">
        <f>IF(ISBLANK(INDEX('Policy Characteristics'!B:B,MATCH($C1478,'Policy Characteristics'!$C:$C,0))),"",INDEX('Policy Characteristics'!B:B,MATCH($C1478,'Policy Characteristics'!$C:$C,0)))</f>
        <v>Industry Energy Efficiency Standards</v>
      </c>
      <c r="C1478" s="254" t="str">
        <f t="shared" si="50"/>
        <v>Percentage Improvement in Eqpt Efficiency Standards above BAU</v>
      </c>
      <c r="D1478" s="6" t="s">
        <v>3080</v>
      </c>
      <c r="E1478" s="45" t="s">
        <v>2401</v>
      </c>
      <c r="F1478" t="s">
        <v>3042</v>
      </c>
      <c r="G1478" s="45" t="s">
        <v>2409</v>
      </c>
      <c r="H1478" s="43">
        <v>1150</v>
      </c>
      <c r="I1478" s="324" t="s">
        <v>43</v>
      </c>
      <c r="J1478" s="255" t="str">
        <f>IF(ISBLANK(INDEX('Policy Characteristics'!D:D,MATCH($C1478,'Policy Characteristics'!$C:$C,0))),"",INDEX('Policy Characteristics'!D:D,MATCH($C1478,'Policy Characteristics'!$C:$C,0)))</f>
        <v>Industry Energy Efficiency Standards</v>
      </c>
      <c r="K1478" s="254" t="str">
        <f>IF(ISBLANK(INDEX('Policy Characteristics'!E:E,MATCH($C1478,'Policy Characteristics'!$C:$C,0))),"",INDEX('Policy Characteristics'!E:E,MATCH($C1478,'Policy Characteristics'!$C:$C,0)))</f>
        <v>indst efficiency standards</v>
      </c>
      <c r="L1478" s="261">
        <f>IF(ISBLANK(INDEX('Policy Characteristics'!F:F,MATCH($C1478,'Policy Characteristics'!$C:$C,0))),"",INDEX('Policy Characteristics'!F:F,MATCH($C1478,'Policy Characteristics'!$C:$C,0)))</f>
        <v>0</v>
      </c>
      <c r="M1478" s="261">
        <f>IF(ISBLANK(INDEX('Policy Characteristics'!G:G,MATCH($C1478,'Policy Characteristics'!$C:$C,0))),"",INDEX('Policy Characteristics'!G:G,MATCH($C1478,'Policy Characteristics'!$C:$C,0)))</f>
        <v>0.25</v>
      </c>
      <c r="N1478" s="261">
        <f>IF(ISBLANK(INDEX('Policy Characteristics'!H:H,MATCH($C1478,'Policy Characteristics'!$C:$C,0))),"",INDEX('Policy Characteristics'!H:H,MATCH($C1478,'Policy Characteristics'!$C:$C,0)))</f>
        <v>0.01</v>
      </c>
      <c r="O1478" s="254" t="str">
        <f>IF(ISBLANK(INDEX('Policy Characteristics'!I:I,MATCH($C1478,'Policy Characteristics'!$C:$C,0))),"",INDEX('Policy Characteristics'!I:I,MATCH($C1478,'Policy Characteristics'!$C:$C,0)))</f>
        <v>% reduction in energy use</v>
      </c>
      <c r="P1478" s="254"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4" t="str">
        <f>IF(ISBLANK(INDEX('Policy Characteristics'!K:K,MATCH($C1478,'Policy Characteristics'!$C:$C,0))),"",INDEX('Policy Characteristics'!K:K,MATCH($C1478,'Policy Characteristics'!$C:$C,0)))</f>
        <v>industry-ag-main.html#eff-stds</v>
      </c>
      <c r="R1478" s="254" t="str">
        <f>IF(ISBLANK(INDEX('Policy Characteristics'!L:L,MATCH($C1478,'Policy Characteristics'!$C:$C,0))),"",INDEX('Policy Characteristics'!L:L,MATCH($C1478,'Policy Characteristics'!$C:$C,0)))</f>
        <v>industry-energy-efficiency-standards.html</v>
      </c>
    </row>
    <row r="1479" spans="1:18" s="4" customFormat="1" x14ac:dyDescent="0.3">
      <c r="A1479" s="254" t="str">
        <f>IF(ISBLANK(INDEX('Policy Characteristics'!A:A,MATCH($C1479,'Policy Characteristics'!$C:$C,0))),"",INDEX('Policy Characteristics'!A:A,MATCH($C1479,'Policy Characteristics'!$C:$C,0)))</f>
        <v>Industry</v>
      </c>
      <c r="B1479" s="262" t="str">
        <f>IF(ISBLANK(INDEX('Policy Characteristics'!B:B,MATCH($C1479,'Policy Characteristics'!$C:$C,0))),"",INDEX('Policy Characteristics'!B:B,MATCH($C1479,'Policy Characteristics'!$C:$C,0)))</f>
        <v>Industry Energy Efficiency Standards</v>
      </c>
      <c r="C1479" s="254" t="str">
        <f t="shared" ref="C1479:C1535" si="51">C$1286</f>
        <v>Percentage Improvement in Eqpt Efficiency Standards above BAU</v>
      </c>
      <c r="D1479" s="6" t="s">
        <v>3080</v>
      </c>
      <c r="E1479" s="45" t="s">
        <v>2402</v>
      </c>
      <c r="F1479" t="s">
        <v>3042</v>
      </c>
      <c r="G1479" s="45" t="s">
        <v>2406</v>
      </c>
      <c r="H1479" s="43">
        <v>1151</v>
      </c>
      <c r="I1479" s="324" t="s">
        <v>44</v>
      </c>
      <c r="J1479" s="255" t="str">
        <f>IF(ISBLANK(INDEX('Policy Characteristics'!D:D,MATCH($C1479,'Policy Characteristics'!$C:$C,0))),"",INDEX('Policy Characteristics'!D:D,MATCH($C1479,'Policy Characteristics'!$C:$C,0)))</f>
        <v>Industry Energy Efficiency Standards</v>
      </c>
      <c r="K1479" s="254" t="str">
        <f>IF(ISBLANK(INDEX('Policy Characteristics'!E:E,MATCH($C1479,'Policy Characteristics'!$C:$C,0))),"",INDEX('Policy Characteristics'!E:E,MATCH($C1479,'Policy Characteristics'!$C:$C,0)))</f>
        <v>indst efficiency standards</v>
      </c>
      <c r="L1479" s="261">
        <f>IF(ISBLANK(INDEX('Policy Characteristics'!F:F,MATCH($C1479,'Policy Characteristics'!$C:$C,0))),"",INDEX('Policy Characteristics'!F:F,MATCH($C1479,'Policy Characteristics'!$C:$C,0)))</f>
        <v>0</v>
      </c>
      <c r="M1479" s="261">
        <f>IF(ISBLANK(INDEX('Policy Characteristics'!G:G,MATCH($C1479,'Policy Characteristics'!$C:$C,0))),"",INDEX('Policy Characteristics'!G:G,MATCH($C1479,'Policy Characteristics'!$C:$C,0)))</f>
        <v>0.25</v>
      </c>
      <c r="N1479" s="261">
        <f>IF(ISBLANK(INDEX('Policy Characteristics'!H:H,MATCH($C1479,'Policy Characteristics'!$C:$C,0))),"",INDEX('Policy Characteristics'!H:H,MATCH($C1479,'Policy Characteristics'!$C:$C,0)))</f>
        <v>0.01</v>
      </c>
      <c r="O1479" s="254" t="str">
        <f>IF(ISBLANK(INDEX('Policy Characteristics'!I:I,MATCH($C1479,'Policy Characteristics'!$C:$C,0))),"",INDEX('Policy Characteristics'!I:I,MATCH($C1479,'Policy Characteristics'!$C:$C,0)))</f>
        <v>% reduction in energy use</v>
      </c>
      <c r="P1479" s="254"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4" t="str">
        <f>IF(ISBLANK(INDEX('Policy Characteristics'!K:K,MATCH($C1479,'Policy Characteristics'!$C:$C,0))),"",INDEX('Policy Characteristics'!K:K,MATCH($C1479,'Policy Characteristics'!$C:$C,0)))</f>
        <v>industry-ag-main.html#eff-stds</v>
      </c>
      <c r="R1479" s="254" t="str">
        <f>IF(ISBLANK(INDEX('Policy Characteristics'!L:L,MATCH($C1479,'Policy Characteristics'!$C:$C,0))),"",INDEX('Policy Characteristics'!L:L,MATCH($C1479,'Policy Characteristics'!$C:$C,0)))</f>
        <v>industry-energy-efficiency-standards.html</v>
      </c>
    </row>
    <row r="1480" spans="1:18" s="4" customFormat="1" x14ac:dyDescent="0.3">
      <c r="A1480" s="254" t="str">
        <f>IF(ISBLANK(INDEX('Policy Characteristics'!A:A,MATCH($C1480,'Policy Characteristics'!$C:$C,0))),"",INDEX('Policy Characteristics'!A:A,MATCH($C1480,'Policy Characteristics'!$C:$C,0)))</f>
        <v>Industry</v>
      </c>
      <c r="B1480" s="262" t="str">
        <f>IF(ISBLANK(INDEX('Policy Characteristics'!B:B,MATCH($C1480,'Policy Characteristics'!$C:$C,0))),"",INDEX('Policy Characteristics'!B:B,MATCH($C1480,'Policy Characteristics'!$C:$C,0)))</f>
        <v>Industry Energy Efficiency Standards</v>
      </c>
      <c r="C1480" s="254" t="str">
        <f t="shared" si="51"/>
        <v>Percentage Improvement in Eqpt Efficiency Standards above BAU</v>
      </c>
      <c r="D1480" s="6" t="s">
        <v>3080</v>
      </c>
      <c r="E1480" s="45" t="s">
        <v>2403</v>
      </c>
      <c r="F1480" t="s">
        <v>3042</v>
      </c>
      <c r="G1480" s="45" t="s">
        <v>2407</v>
      </c>
      <c r="H1480" s="43">
        <v>1152</v>
      </c>
      <c r="I1480" s="324" t="s">
        <v>43</v>
      </c>
      <c r="J1480" s="255" t="str">
        <f>IF(ISBLANK(INDEX('Policy Characteristics'!D:D,MATCH($C1480,'Policy Characteristics'!$C:$C,0))),"",INDEX('Policy Characteristics'!D:D,MATCH($C1480,'Policy Characteristics'!$C:$C,0)))</f>
        <v>Industry Energy Efficiency Standards</v>
      </c>
      <c r="K1480" s="254" t="str">
        <f>IF(ISBLANK(INDEX('Policy Characteristics'!E:E,MATCH($C1480,'Policy Characteristics'!$C:$C,0))),"",INDEX('Policy Characteristics'!E:E,MATCH($C1480,'Policy Characteristics'!$C:$C,0)))</f>
        <v>indst efficiency standards</v>
      </c>
      <c r="L1480" s="261">
        <f>IF(ISBLANK(INDEX('Policy Characteristics'!F:F,MATCH($C1480,'Policy Characteristics'!$C:$C,0))),"",INDEX('Policy Characteristics'!F:F,MATCH($C1480,'Policy Characteristics'!$C:$C,0)))</f>
        <v>0</v>
      </c>
      <c r="M1480" s="261">
        <f>IF(ISBLANK(INDEX('Policy Characteristics'!G:G,MATCH($C1480,'Policy Characteristics'!$C:$C,0))),"",INDEX('Policy Characteristics'!G:G,MATCH($C1480,'Policy Characteristics'!$C:$C,0)))</f>
        <v>0.25</v>
      </c>
      <c r="N1480" s="261">
        <f>IF(ISBLANK(INDEX('Policy Characteristics'!H:H,MATCH($C1480,'Policy Characteristics'!$C:$C,0))),"",INDEX('Policy Characteristics'!H:H,MATCH($C1480,'Policy Characteristics'!$C:$C,0)))</f>
        <v>0.01</v>
      </c>
      <c r="O1480" s="254" t="str">
        <f>IF(ISBLANK(INDEX('Policy Characteristics'!I:I,MATCH($C1480,'Policy Characteristics'!$C:$C,0))),"",INDEX('Policy Characteristics'!I:I,MATCH($C1480,'Policy Characteristics'!$C:$C,0)))</f>
        <v>% reduction in energy use</v>
      </c>
      <c r="P1480" s="254"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4" t="str">
        <f>IF(ISBLANK(INDEX('Policy Characteristics'!K:K,MATCH($C1480,'Policy Characteristics'!$C:$C,0))),"",INDEX('Policy Characteristics'!K:K,MATCH($C1480,'Policy Characteristics'!$C:$C,0)))</f>
        <v>industry-ag-main.html#eff-stds</v>
      </c>
      <c r="R1480" s="254" t="str">
        <f>IF(ISBLANK(INDEX('Policy Characteristics'!L:L,MATCH($C1480,'Policy Characteristics'!$C:$C,0))),"",INDEX('Policy Characteristics'!L:L,MATCH($C1480,'Policy Characteristics'!$C:$C,0)))</f>
        <v>industry-energy-efficiency-standards.html</v>
      </c>
    </row>
    <row r="1481" spans="1:18" s="4" customFormat="1" x14ac:dyDescent="0.3">
      <c r="A1481" s="254" t="str">
        <f>IF(ISBLANK(INDEX('Policy Characteristics'!A:A,MATCH($C1481,'Policy Characteristics'!$C:$C,0))),"",INDEX('Policy Characteristics'!A:A,MATCH($C1481,'Policy Characteristics'!$C:$C,0)))</f>
        <v>Industry</v>
      </c>
      <c r="B1481" s="262" t="str">
        <f>IF(ISBLANK(INDEX('Policy Characteristics'!B:B,MATCH($C1481,'Policy Characteristics'!$C:$C,0))),"",INDEX('Policy Characteristics'!B:B,MATCH($C1481,'Policy Characteristics'!$C:$C,0)))</f>
        <v>Industry Energy Efficiency Standards</v>
      </c>
      <c r="C1481" s="254" t="str">
        <f t="shared" si="51"/>
        <v>Percentage Improvement in Eqpt Efficiency Standards above BAU</v>
      </c>
      <c r="D1481" s="6" t="s">
        <v>3080</v>
      </c>
      <c r="E1481" s="45" t="s">
        <v>2404</v>
      </c>
      <c r="F1481" t="s">
        <v>3042</v>
      </c>
      <c r="G1481" s="45" t="s">
        <v>2410</v>
      </c>
      <c r="H1481" s="43">
        <v>1153</v>
      </c>
      <c r="I1481" s="324" t="s">
        <v>44</v>
      </c>
      <c r="J1481" s="255" t="str">
        <f>IF(ISBLANK(INDEX('Policy Characteristics'!D:D,MATCH($C1481,'Policy Characteristics'!$C:$C,0))),"",INDEX('Policy Characteristics'!D:D,MATCH($C1481,'Policy Characteristics'!$C:$C,0)))</f>
        <v>Industry Energy Efficiency Standards</v>
      </c>
      <c r="K1481" s="254" t="str">
        <f>IF(ISBLANK(INDEX('Policy Characteristics'!E:E,MATCH($C1481,'Policy Characteristics'!$C:$C,0))),"",INDEX('Policy Characteristics'!E:E,MATCH($C1481,'Policy Characteristics'!$C:$C,0)))</f>
        <v>indst efficiency standards</v>
      </c>
      <c r="L1481" s="261">
        <f>IF(ISBLANK(INDEX('Policy Characteristics'!F:F,MATCH($C1481,'Policy Characteristics'!$C:$C,0))),"",INDEX('Policy Characteristics'!F:F,MATCH($C1481,'Policy Characteristics'!$C:$C,0)))</f>
        <v>0</v>
      </c>
      <c r="M1481" s="261">
        <f>IF(ISBLANK(INDEX('Policy Characteristics'!G:G,MATCH($C1481,'Policy Characteristics'!$C:$C,0))),"",INDEX('Policy Characteristics'!G:G,MATCH($C1481,'Policy Characteristics'!$C:$C,0)))</f>
        <v>0.25</v>
      </c>
      <c r="N1481" s="261">
        <f>IF(ISBLANK(INDEX('Policy Characteristics'!H:H,MATCH($C1481,'Policy Characteristics'!$C:$C,0))),"",INDEX('Policy Characteristics'!H:H,MATCH($C1481,'Policy Characteristics'!$C:$C,0)))</f>
        <v>0.01</v>
      </c>
      <c r="O1481" s="254" t="str">
        <f>IF(ISBLANK(INDEX('Policy Characteristics'!I:I,MATCH($C1481,'Policy Characteristics'!$C:$C,0))),"",INDEX('Policy Characteristics'!I:I,MATCH($C1481,'Policy Characteristics'!$C:$C,0)))</f>
        <v>% reduction in energy use</v>
      </c>
      <c r="P1481" s="254"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4" t="str">
        <f>IF(ISBLANK(INDEX('Policy Characteristics'!K:K,MATCH($C1481,'Policy Characteristics'!$C:$C,0))),"",INDEX('Policy Characteristics'!K:K,MATCH($C1481,'Policy Characteristics'!$C:$C,0)))</f>
        <v>industry-ag-main.html#eff-stds</v>
      </c>
      <c r="R1481" s="254" t="str">
        <f>IF(ISBLANK(INDEX('Policy Characteristics'!L:L,MATCH($C1481,'Policy Characteristics'!$C:$C,0))),"",INDEX('Policy Characteristics'!L:L,MATCH($C1481,'Policy Characteristics'!$C:$C,0)))</f>
        <v>industry-energy-efficiency-standards.html</v>
      </c>
    </row>
    <row r="1482" spans="1:18" s="4" customFormat="1" x14ac:dyDescent="0.3">
      <c r="A1482" s="254" t="str">
        <f>IF(ISBLANK(INDEX('Policy Characteristics'!A:A,MATCH($C1482,'Policy Characteristics'!$C:$C,0))),"",INDEX('Policy Characteristics'!A:A,MATCH($C1482,'Policy Characteristics'!$C:$C,0)))</f>
        <v>Industry</v>
      </c>
      <c r="B1482" s="262" t="str">
        <f>IF(ISBLANK(INDEX('Policy Characteristics'!B:B,MATCH($C1482,'Policy Characteristics'!$C:$C,0))),"",INDEX('Policy Characteristics'!B:B,MATCH($C1482,'Policy Characteristics'!$C:$C,0)))</f>
        <v>Industry Energy Efficiency Standards</v>
      </c>
      <c r="C1482" s="254" t="str">
        <f t="shared" si="51"/>
        <v>Percentage Improvement in Eqpt Efficiency Standards above BAU</v>
      </c>
      <c r="D1482" s="6" t="s">
        <v>3080</v>
      </c>
      <c r="E1482" s="45" t="s">
        <v>2706</v>
      </c>
      <c r="F1482" t="s">
        <v>3042</v>
      </c>
      <c r="G1482" s="45" t="s">
        <v>2709</v>
      </c>
      <c r="H1482" s="43">
        <v>1154</v>
      </c>
      <c r="I1482" s="324" t="s">
        <v>44</v>
      </c>
      <c r="J1482" s="255" t="str">
        <f>IF(ISBLANK(INDEX('Policy Characteristics'!D:D,MATCH($C1482,'Policy Characteristics'!$C:$C,0))),"",INDEX('Policy Characteristics'!D:D,MATCH($C1482,'Policy Characteristics'!$C:$C,0)))</f>
        <v>Industry Energy Efficiency Standards</v>
      </c>
      <c r="K1482" s="254" t="str">
        <f>IF(ISBLANK(INDEX('Policy Characteristics'!E:E,MATCH($C1482,'Policy Characteristics'!$C:$C,0))),"",INDEX('Policy Characteristics'!E:E,MATCH($C1482,'Policy Characteristics'!$C:$C,0)))</f>
        <v>indst efficiency standards</v>
      </c>
      <c r="L1482" s="261">
        <f>IF(ISBLANK(INDEX('Policy Characteristics'!F:F,MATCH($C1482,'Policy Characteristics'!$C:$C,0))),"",INDEX('Policy Characteristics'!F:F,MATCH($C1482,'Policy Characteristics'!$C:$C,0)))</f>
        <v>0</v>
      </c>
      <c r="M1482" s="261">
        <f>IF(ISBLANK(INDEX('Policy Characteristics'!G:G,MATCH($C1482,'Policy Characteristics'!$C:$C,0))),"",INDEX('Policy Characteristics'!G:G,MATCH($C1482,'Policy Characteristics'!$C:$C,0)))</f>
        <v>0.25</v>
      </c>
      <c r="N1482" s="261">
        <f>IF(ISBLANK(INDEX('Policy Characteristics'!H:H,MATCH($C1482,'Policy Characteristics'!$C:$C,0))),"",INDEX('Policy Characteristics'!H:H,MATCH($C1482,'Policy Characteristics'!$C:$C,0)))</f>
        <v>0.01</v>
      </c>
      <c r="O1482" s="254" t="str">
        <f>IF(ISBLANK(INDEX('Policy Characteristics'!I:I,MATCH($C1482,'Policy Characteristics'!$C:$C,0))),"",INDEX('Policy Characteristics'!I:I,MATCH($C1482,'Policy Characteristics'!$C:$C,0)))</f>
        <v>% reduction in energy use</v>
      </c>
      <c r="P1482" s="254"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4" t="str">
        <f>IF(ISBLANK(INDEX('Policy Characteristics'!K:K,MATCH($C1482,'Policy Characteristics'!$C:$C,0))),"",INDEX('Policy Characteristics'!K:K,MATCH($C1482,'Policy Characteristics'!$C:$C,0)))</f>
        <v>industry-ag-main.html#eff-stds</v>
      </c>
      <c r="R1482" s="254" t="str">
        <f>IF(ISBLANK(INDEX('Policy Characteristics'!L:L,MATCH($C1482,'Policy Characteristics'!$C:$C,0))),"",INDEX('Policy Characteristics'!L:L,MATCH($C1482,'Policy Characteristics'!$C:$C,0)))</f>
        <v>industry-energy-efficiency-standards.html</v>
      </c>
    </row>
    <row r="1483" spans="1:18" s="4" customFormat="1" x14ac:dyDescent="0.3">
      <c r="A1483" s="254" t="str">
        <f>IF(ISBLANK(INDEX('Policy Characteristics'!A:A,MATCH($C1483,'Policy Characteristics'!$C:$C,0))),"",INDEX('Policy Characteristics'!A:A,MATCH($C1483,'Policy Characteristics'!$C:$C,0)))</f>
        <v>Industry</v>
      </c>
      <c r="B1483" s="262" t="str">
        <f>IF(ISBLANK(INDEX('Policy Characteristics'!B:B,MATCH($C1483,'Policy Characteristics'!$C:$C,0))),"",INDEX('Policy Characteristics'!B:B,MATCH($C1483,'Policy Characteristics'!$C:$C,0)))</f>
        <v>Industry Energy Efficiency Standards</v>
      </c>
      <c r="C1483" s="254" t="str">
        <f t="shared" si="51"/>
        <v>Percentage Improvement in Eqpt Efficiency Standards above BAU</v>
      </c>
      <c r="D1483" s="6" t="s">
        <v>3080</v>
      </c>
      <c r="E1483" s="45" t="s">
        <v>2707</v>
      </c>
      <c r="F1483" t="s">
        <v>3042</v>
      </c>
      <c r="G1483" s="45" t="s">
        <v>2711</v>
      </c>
      <c r="H1483" s="43">
        <v>1155</v>
      </c>
      <c r="I1483" s="324" t="s">
        <v>43</v>
      </c>
      <c r="J1483" s="255" t="str">
        <f>IF(ISBLANK(INDEX('Policy Characteristics'!D:D,MATCH($C1483,'Policy Characteristics'!$C:$C,0))),"",INDEX('Policy Characteristics'!D:D,MATCH($C1483,'Policy Characteristics'!$C:$C,0)))</f>
        <v>Industry Energy Efficiency Standards</v>
      </c>
      <c r="K1483" s="254" t="str">
        <f>IF(ISBLANK(INDEX('Policy Characteristics'!E:E,MATCH($C1483,'Policy Characteristics'!$C:$C,0))),"",INDEX('Policy Characteristics'!E:E,MATCH($C1483,'Policy Characteristics'!$C:$C,0)))</f>
        <v>indst efficiency standards</v>
      </c>
      <c r="L1483" s="261">
        <f>IF(ISBLANK(INDEX('Policy Characteristics'!F:F,MATCH($C1483,'Policy Characteristics'!$C:$C,0))),"",INDEX('Policy Characteristics'!F:F,MATCH($C1483,'Policy Characteristics'!$C:$C,0)))</f>
        <v>0</v>
      </c>
      <c r="M1483" s="261">
        <f>IF(ISBLANK(INDEX('Policy Characteristics'!G:G,MATCH($C1483,'Policy Characteristics'!$C:$C,0))),"",INDEX('Policy Characteristics'!G:G,MATCH($C1483,'Policy Characteristics'!$C:$C,0)))</f>
        <v>0.25</v>
      </c>
      <c r="N1483" s="261">
        <f>IF(ISBLANK(INDEX('Policy Characteristics'!H:H,MATCH($C1483,'Policy Characteristics'!$C:$C,0))),"",INDEX('Policy Characteristics'!H:H,MATCH($C1483,'Policy Characteristics'!$C:$C,0)))</f>
        <v>0.01</v>
      </c>
      <c r="O1483" s="254" t="str">
        <f>IF(ISBLANK(INDEX('Policy Characteristics'!I:I,MATCH($C1483,'Policy Characteristics'!$C:$C,0))),"",INDEX('Policy Characteristics'!I:I,MATCH($C1483,'Policy Characteristics'!$C:$C,0)))</f>
        <v>% reduction in energy use</v>
      </c>
      <c r="P1483" s="254"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4" t="str">
        <f>IF(ISBLANK(INDEX('Policy Characteristics'!K:K,MATCH($C1483,'Policy Characteristics'!$C:$C,0))),"",INDEX('Policy Characteristics'!K:K,MATCH($C1483,'Policy Characteristics'!$C:$C,0)))</f>
        <v>industry-ag-main.html#eff-stds</v>
      </c>
      <c r="R1483" s="254" t="str">
        <f>IF(ISBLANK(INDEX('Policy Characteristics'!L:L,MATCH($C1483,'Policy Characteristics'!$C:$C,0))),"",INDEX('Policy Characteristics'!L:L,MATCH($C1483,'Policy Characteristics'!$C:$C,0)))</f>
        <v>industry-energy-efficiency-standards.html</v>
      </c>
    </row>
    <row r="1484" spans="1:18" s="4" customFormat="1" x14ac:dyDescent="0.3">
      <c r="A1484" s="254" t="str">
        <f>IF(ISBLANK(INDEX('Policy Characteristics'!A:A,MATCH($C1484,'Policy Characteristics'!$C:$C,0))),"",INDEX('Policy Characteristics'!A:A,MATCH($C1484,'Policy Characteristics'!$C:$C,0)))</f>
        <v>Industry</v>
      </c>
      <c r="B1484" s="262" t="str">
        <f>IF(ISBLANK(INDEX('Policy Characteristics'!B:B,MATCH($C1484,'Policy Characteristics'!$C:$C,0))),"",INDEX('Policy Characteristics'!B:B,MATCH($C1484,'Policy Characteristics'!$C:$C,0)))</f>
        <v>Industry Energy Efficiency Standards</v>
      </c>
      <c r="C1484" s="254" t="str">
        <f t="shared" si="51"/>
        <v>Percentage Improvement in Eqpt Efficiency Standards above BAU</v>
      </c>
      <c r="D1484" s="6" t="s">
        <v>3080</v>
      </c>
      <c r="E1484" s="45" t="s">
        <v>2708</v>
      </c>
      <c r="F1484" t="s">
        <v>3042</v>
      </c>
      <c r="G1484" s="45" t="s">
        <v>2712</v>
      </c>
      <c r="H1484" s="43">
        <v>1156</v>
      </c>
      <c r="I1484" s="324" t="s">
        <v>43</v>
      </c>
      <c r="J1484" s="255" t="str">
        <f>IF(ISBLANK(INDEX('Policy Characteristics'!D:D,MATCH($C1484,'Policy Characteristics'!$C:$C,0))),"",INDEX('Policy Characteristics'!D:D,MATCH($C1484,'Policy Characteristics'!$C:$C,0)))</f>
        <v>Industry Energy Efficiency Standards</v>
      </c>
      <c r="K1484" s="254" t="str">
        <f>IF(ISBLANK(INDEX('Policy Characteristics'!E:E,MATCH($C1484,'Policy Characteristics'!$C:$C,0))),"",INDEX('Policy Characteristics'!E:E,MATCH($C1484,'Policy Characteristics'!$C:$C,0)))</f>
        <v>indst efficiency standards</v>
      </c>
      <c r="L1484" s="261">
        <f>IF(ISBLANK(INDEX('Policy Characteristics'!F:F,MATCH($C1484,'Policy Characteristics'!$C:$C,0))),"",INDEX('Policy Characteristics'!F:F,MATCH($C1484,'Policy Characteristics'!$C:$C,0)))</f>
        <v>0</v>
      </c>
      <c r="M1484" s="261">
        <f>IF(ISBLANK(INDEX('Policy Characteristics'!G:G,MATCH($C1484,'Policy Characteristics'!$C:$C,0))),"",INDEX('Policy Characteristics'!G:G,MATCH($C1484,'Policy Characteristics'!$C:$C,0)))</f>
        <v>0.25</v>
      </c>
      <c r="N1484" s="261">
        <f>IF(ISBLANK(INDEX('Policy Characteristics'!H:H,MATCH($C1484,'Policy Characteristics'!$C:$C,0))),"",INDEX('Policy Characteristics'!H:H,MATCH($C1484,'Policy Characteristics'!$C:$C,0)))</f>
        <v>0.01</v>
      </c>
      <c r="O1484" s="254" t="str">
        <f>IF(ISBLANK(INDEX('Policy Characteristics'!I:I,MATCH($C1484,'Policy Characteristics'!$C:$C,0))),"",INDEX('Policy Characteristics'!I:I,MATCH($C1484,'Policy Characteristics'!$C:$C,0)))</f>
        <v>% reduction in energy use</v>
      </c>
      <c r="P1484" s="254"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4" t="str">
        <f>IF(ISBLANK(INDEX('Policy Characteristics'!K:K,MATCH($C1484,'Policy Characteristics'!$C:$C,0))),"",INDEX('Policy Characteristics'!K:K,MATCH($C1484,'Policy Characteristics'!$C:$C,0)))</f>
        <v>industry-ag-main.html#eff-stds</v>
      </c>
      <c r="R1484" s="254" t="str">
        <f>IF(ISBLANK(INDEX('Policy Characteristics'!L:L,MATCH($C1484,'Policy Characteristics'!$C:$C,0))),"",INDEX('Policy Characteristics'!L:L,MATCH($C1484,'Policy Characteristics'!$C:$C,0)))</f>
        <v>industry-energy-efficiency-standards.html</v>
      </c>
    </row>
    <row r="1485" spans="1:18" s="4" customFormat="1" x14ac:dyDescent="0.3">
      <c r="A1485" s="254" t="str">
        <f>IF(ISBLANK(INDEX('Policy Characteristics'!A:A,MATCH($C1485,'Policy Characteristics'!$C:$C,0))),"",INDEX('Policy Characteristics'!A:A,MATCH($C1485,'Policy Characteristics'!$C:$C,0)))</f>
        <v>Industry</v>
      </c>
      <c r="B1485" s="262" t="str">
        <f>IF(ISBLANK(INDEX('Policy Characteristics'!B:B,MATCH($C1485,'Policy Characteristics'!$C:$C,0))),"",INDEX('Policy Characteristics'!B:B,MATCH($C1485,'Policy Characteristics'!$C:$C,0)))</f>
        <v>Industry Energy Efficiency Standards</v>
      </c>
      <c r="C1485" s="254" t="str">
        <f t="shared" si="51"/>
        <v>Percentage Improvement in Eqpt Efficiency Standards above BAU</v>
      </c>
      <c r="D1485" s="6" t="s">
        <v>3080</v>
      </c>
      <c r="E1485" s="45" t="s">
        <v>2705</v>
      </c>
      <c r="F1485" t="s">
        <v>3042</v>
      </c>
      <c r="G1485" s="45" t="s">
        <v>2710</v>
      </c>
      <c r="H1485" s="43">
        <v>1157</v>
      </c>
      <c r="I1485" s="324" t="s">
        <v>44</v>
      </c>
      <c r="J1485" s="255" t="str">
        <f>IF(ISBLANK(INDEX('Policy Characteristics'!D:D,MATCH($C1485,'Policy Characteristics'!$C:$C,0))),"",INDEX('Policy Characteristics'!D:D,MATCH($C1485,'Policy Characteristics'!$C:$C,0)))</f>
        <v>Industry Energy Efficiency Standards</v>
      </c>
      <c r="K1485" s="254" t="str">
        <f>IF(ISBLANK(INDEX('Policy Characteristics'!E:E,MATCH($C1485,'Policy Characteristics'!$C:$C,0))),"",INDEX('Policy Characteristics'!E:E,MATCH($C1485,'Policy Characteristics'!$C:$C,0)))</f>
        <v>indst efficiency standards</v>
      </c>
      <c r="L1485" s="261">
        <f>IF(ISBLANK(INDEX('Policy Characteristics'!F:F,MATCH($C1485,'Policy Characteristics'!$C:$C,0))),"",INDEX('Policy Characteristics'!F:F,MATCH($C1485,'Policy Characteristics'!$C:$C,0)))</f>
        <v>0</v>
      </c>
      <c r="M1485" s="261">
        <f>IF(ISBLANK(INDEX('Policy Characteristics'!G:G,MATCH($C1485,'Policy Characteristics'!$C:$C,0))),"",INDEX('Policy Characteristics'!G:G,MATCH($C1485,'Policy Characteristics'!$C:$C,0)))</f>
        <v>0.25</v>
      </c>
      <c r="N1485" s="261">
        <f>IF(ISBLANK(INDEX('Policy Characteristics'!H:H,MATCH($C1485,'Policy Characteristics'!$C:$C,0))),"",INDEX('Policy Characteristics'!H:H,MATCH($C1485,'Policy Characteristics'!$C:$C,0)))</f>
        <v>0.01</v>
      </c>
      <c r="O1485" s="254" t="str">
        <f>IF(ISBLANK(INDEX('Policy Characteristics'!I:I,MATCH($C1485,'Policy Characteristics'!$C:$C,0))),"",INDEX('Policy Characteristics'!I:I,MATCH($C1485,'Policy Characteristics'!$C:$C,0)))</f>
        <v>% reduction in energy use</v>
      </c>
      <c r="P1485" s="254"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4" t="str">
        <f>IF(ISBLANK(INDEX('Policy Characteristics'!K:K,MATCH($C1485,'Policy Characteristics'!$C:$C,0))),"",INDEX('Policy Characteristics'!K:K,MATCH($C1485,'Policy Characteristics'!$C:$C,0)))</f>
        <v>industry-ag-main.html#eff-stds</v>
      </c>
      <c r="R1485" s="254" t="str">
        <f>IF(ISBLANK(INDEX('Policy Characteristics'!L:L,MATCH($C1485,'Policy Characteristics'!$C:$C,0))),"",INDEX('Policy Characteristics'!L:L,MATCH($C1485,'Policy Characteristics'!$C:$C,0)))</f>
        <v>industry-energy-efficiency-standards.html</v>
      </c>
    </row>
    <row r="1486" spans="1:18" s="4" customFormat="1" x14ac:dyDescent="0.3">
      <c r="A1486" s="254" t="str">
        <f>IF(ISBLANK(INDEX('Policy Characteristics'!A:A,MATCH($C1486,'Policy Characteristics'!$C:$C,0))),"",INDEX('Policy Characteristics'!A:A,MATCH($C1486,'Policy Characteristics'!$C:$C,0)))</f>
        <v>Industry</v>
      </c>
      <c r="B1486" s="262" t="str">
        <f>IF(ISBLANK(INDEX('Policy Characteristics'!B:B,MATCH($C1486,'Policy Characteristics'!$C:$C,0))),"",INDEX('Policy Characteristics'!B:B,MATCH($C1486,'Policy Characteristics'!$C:$C,0)))</f>
        <v>Industry Energy Efficiency Standards</v>
      </c>
      <c r="C1486" s="254" t="str">
        <f t="shared" si="51"/>
        <v>Percentage Improvement in Eqpt Efficiency Standards above BAU</v>
      </c>
      <c r="D1486" s="6" t="s">
        <v>3081</v>
      </c>
      <c r="E1486" s="45" t="s">
        <v>2399</v>
      </c>
      <c r="F1486" t="s">
        <v>3043</v>
      </c>
      <c r="G1486" s="45" t="s">
        <v>2405</v>
      </c>
      <c r="H1486" s="43">
        <v>1158</v>
      </c>
      <c r="I1486" s="324" t="s">
        <v>43</v>
      </c>
      <c r="J1486" s="255" t="str">
        <f>IF(ISBLANK(INDEX('Policy Characteristics'!D:D,MATCH($C1486,'Policy Characteristics'!$C:$C,0))),"",INDEX('Policy Characteristics'!D:D,MATCH($C1486,'Policy Characteristics'!$C:$C,0)))</f>
        <v>Industry Energy Efficiency Standards</v>
      </c>
      <c r="K1486" s="254" t="str">
        <f>IF(ISBLANK(INDEX('Policy Characteristics'!E:E,MATCH($C1486,'Policy Characteristics'!$C:$C,0))),"",INDEX('Policy Characteristics'!E:E,MATCH($C1486,'Policy Characteristics'!$C:$C,0)))</f>
        <v>indst efficiency standards</v>
      </c>
      <c r="L1486" s="261">
        <f>IF(ISBLANK(INDEX('Policy Characteristics'!F:F,MATCH($C1486,'Policy Characteristics'!$C:$C,0))),"",INDEX('Policy Characteristics'!F:F,MATCH($C1486,'Policy Characteristics'!$C:$C,0)))</f>
        <v>0</v>
      </c>
      <c r="M1486" s="261">
        <f>IF(ISBLANK(INDEX('Policy Characteristics'!G:G,MATCH($C1486,'Policy Characteristics'!$C:$C,0))),"",INDEX('Policy Characteristics'!G:G,MATCH($C1486,'Policy Characteristics'!$C:$C,0)))</f>
        <v>0.25</v>
      </c>
      <c r="N1486" s="261">
        <f>IF(ISBLANK(INDEX('Policy Characteristics'!H:H,MATCH($C1486,'Policy Characteristics'!$C:$C,0))),"",INDEX('Policy Characteristics'!H:H,MATCH($C1486,'Policy Characteristics'!$C:$C,0)))</f>
        <v>0.01</v>
      </c>
      <c r="O1486" s="254" t="str">
        <f>IF(ISBLANK(INDEX('Policy Characteristics'!I:I,MATCH($C1486,'Policy Characteristics'!$C:$C,0))),"",INDEX('Policy Characteristics'!I:I,MATCH($C1486,'Policy Characteristics'!$C:$C,0)))</f>
        <v>% reduction in energy use</v>
      </c>
      <c r="P1486" s="254"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4" t="str">
        <f>IF(ISBLANK(INDEX('Policy Characteristics'!K:K,MATCH($C1486,'Policy Characteristics'!$C:$C,0))),"",INDEX('Policy Characteristics'!K:K,MATCH($C1486,'Policy Characteristics'!$C:$C,0)))</f>
        <v>industry-ag-main.html#eff-stds</v>
      </c>
      <c r="R1486" s="254" t="str">
        <f>IF(ISBLANK(INDEX('Policy Characteristics'!L:L,MATCH($C1486,'Policy Characteristics'!$C:$C,0))),"",INDEX('Policy Characteristics'!L:L,MATCH($C1486,'Policy Characteristics'!$C:$C,0)))</f>
        <v>industry-energy-efficiency-standards.html</v>
      </c>
    </row>
    <row r="1487" spans="1:18" s="4" customFormat="1" x14ac:dyDescent="0.3">
      <c r="A1487" s="254" t="str">
        <f>IF(ISBLANK(INDEX('Policy Characteristics'!A:A,MATCH($C1487,'Policy Characteristics'!$C:$C,0))),"",INDEX('Policy Characteristics'!A:A,MATCH($C1487,'Policy Characteristics'!$C:$C,0)))</f>
        <v>Industry</v>
      </c>
      <c r="B1487" s="262" t="str">
        <f>IF(ISBLANK(INDEX('Policy Characteristics'!B:B,MATCH($C1487,'Policy Characteristics'!$C:$C,0))),"",INDEX('Policy Characteristics'!B:B,MATCH($C1487,'Policy Characteristics'!$C:$C,0)))</f>
        <v>Industry Energy Efficiency Standards</v>
      </c>
      <c r="C1487" s="254" t="str">
        <f t="shared" si="51"/>
        <v>Percentage Improvement in Eqpt Efficiency Standards above BAU</v>
      </c>
      <c r="D1487" s="6" t="s">
        <v>3081</v>
      </c>
      <c r="E1487" s="45" t="s">
        <v>2400</v>
      </c>
      <c r="F1487" t="s">
        <v>3043</v>
      </c>
      <c r="G1487" s="45" t="s">
        <v>2408</v>
      </c>
      <c r="H1487" s="43">
        <v>1159</v>
      </c>
      <c r="I1487" s="324" t="s">
        <v>43</v>
      </c>
      <c r="J1487" s="255" t="str">
        <f>IF(ISBLANK(INDEX('Policy Characteristics'!D:D,MATCH($C1487,'Policy Characteristics'!$C:$C,0))),"",INDEX('Policy Characteristics'!D:D,MATCH($C1487,'Policy Characteristics'!$C:$C,0)))</f>
        <v>Industry Energy Efficiency Standards</v>
      </c>
      <c r="K1487" s="254" t="str">
        <f>IF(ISBLANK(INDEX('Policy Characteristics'!E:E,MATCH($C1487,'Policy Characteristics'!$C:$C,0))),"",INDEX('Policy Characteristics'!E:E,MATCH($C1487,'Policy Characteristics'!$C:$C,0)))</f>
        <v>indst efficiency standards</v>
      </c>
      <c r="L1487" s="261">
        <f>IF(ISBLANK(INDEX('Policy Characteristics'!F:F,MATCH($C1487,'Policy Characteristics'!$C:$C,0))),"",INDEX('Policy Characteristics'!F:F,MATCH($C1487,'Policy Characteristics'!$C:$C,0)))</f>
        <v>0</v>
      </c>
      <c r="M1487" s="261">
        <f>IF(ISBLANK(INDEX('Policy Characteristics'!G:G,MATCH($C1487,'Policy Characteristics'!$C:$C,0))),"",INDEX('Policy Characteristics'!G:G,MATCH($C1487,'Policy Characteristics'!$C:$C,0)))</f>
        <v>0.25</v>
      </c>
      <c r="N1487" s="261">
        <f>IF(ISBLANK(INDEX('Policy Characteristics'!H:H,MATCH($C1487,'Policy Characteristics'!$C:$C,0))),"",INDEX('Policy Characteristics'!H:H,MATCH($C1487,'Policy Characteristics'!$C:$C,0)))</f>
        <v>0.01</v>
      </c>
      <c r="O1487" s="254" t="str">
        <f>IF(ISBLANK(INDEX('Policy Characteristics'!I:I,MATCH($C1487,'Policy Characteristics'!$C:$C,0))),"",INDEX('Policy Characteristics'!I:I,MATCH($C1487,'Policy Characteristics'!$C:$C,0)))</f>
        <v>% reduction in energy use</v>
      </c>
      <c r="P1487" s="254"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4" t="str">
        <f>IF(ISBLANK(INDEX('Policy Characteristics'!K:K,MATCH($C1487,'Policy Characteristics'!$C:$C,0))),"",INDEX('Policy Characteristics'!K:K,MATCH($C1487,'Policy Characteristics'!$C:$C,0)))</f>
        <v>industry-ag-main.html#eff-stds</v>
      </c>
      <c r="R1487" s="254" t="str">
        <f>IF(ISBLANK(INDEX('Policy Characteristics'!L:L,MATCH($C1487,'Policy Characteristics'!$C:$C,0))),"",INDEX('Policy Characteristics'!L:L,MATCH($C1487,'Policy Characteristics'!$C:$C,0)))</f>
        <v>industry-energy-efficiency-standards.html</v>
      </c>
    </row>
    <row r="1488" spans="1:18" s="4" customFormat="1" x14ac:dyDescent="0.3">
      <c r="A1488" s="254" t="str">
        <f>IF(ISBLANK(INDEX('Policy Characteristics'!A:A,MATCH($C1488,'Policy Characteristics'!$C:$C,0))),"",INDEX('Policy Characteristics'!A:A,MATCH($C1488,'Policy Characteristics'!$C:$C,0)))</f>
        <v>Industry</v>
      </c>
      <c r="B1488" s="262" t="str">
        <f>IF(ISBLANK(INDEX('Policy Characteristics'!B:B,MATCH($C1488,'Policy Characteristics'!$C:$C,0))),"",INDEX('Policy Characteristics'!B:B,MATCH($C1488,'Policy Characteristics'!$C:$C,0)))</f>
        <v>Industry Energy Efficiency Standards</v>
      </c>
      <c r="C1488" s="254" t="str">
        <f t="shared" si="51"/>
        <v>Percentage Improvement in Eqpt Efficiency Standards above BAU</v>
      </c>
      <c r="D1488" s="6" t="s">
        <v>3081</v>
      </c>
      <c r="E1488" s="45" t="s">
        <v>2401</v>
      </c>
      <c r="F1488" t="s">
        <v>3043</v>
      </c>
      <c r="G1488" s="45" t="s">
        <v>2409</v>
      </c>
      <c r="H1488" s="43">
        <v>1160</v>
      </c>
      <c r="I1488" s="324" t="s">
        <v>43</v>
      </c>
      <c r="J1488" s="255" t="str">
        <f>IF(ISBLANK(INDEX('Policy Characteristics'!D:D,MATCH($C1488,'Policy Characteristics'!$C:$C,0))),"",INDEX('Policy Characteristics'!D:D,MATCH($C1488,'Policy Characteristics'!$C:$C,0)))</f>
        <v>Industry Energy Efficiency Standards</v>
      </c>
      <c r="K1488" s="254" t="str">
        <f>IF(ISBLANK(INDEX('Policy Characteristics'!E:E,MATCH($C1488,'Policy Characteristics'!$C:$C,0))),"",INDEX('Policy Characteristics'!E:E,MATCH($C1488,'Policy Characteristics'!$C:$C,0)))</f>
        <v>indst efficiency standards</v>
      </c>
      <c r="L1488" s="261">
        <f>IF(ISBLANK(INDEX('Policy Characteristics'!F:F,MATCH($C1488,'Policy Characteristics'!$C:$C,0))),"",INDEX('Policy Characteristics'!F:F,MATCH($C1488,'Policy Characteristics'!$C:$C,0)))</f>
        <v>0</v>
      </c>
      <c r="M1488" s="261">
        <f>IF(ISBLANK(INDEX('Policy Characteristics'!G:G,MATCH($C1488,'Policy Characteristics'!$C:$C,0))),"",INDEX('Policy Characteristics'!G:G,MATCH($C1488,'Policy Characteristics'!$C:$C,0)))</f>
        <v>0.25</v>
      </c>
      <c r="N1488" s="261">
        <f>IF(ISBLANK(INDEX('Policy Characteristics'!H:H,MATCH($C1488,'Policy Characteristics'!$C:$C,0))),"",INDEX('Policy Characteristics'!H:H,MATCH($C1488,'Policy Characteristics'!$C:$C,0)))</f>
        <v>0.01</v>
      </c>
      <c r="O1488" s="254" t="str">
        <f>IF(ISBLANK(INDEX('Policy Characteristics'!I:I,MATCH($C1488,'Policy Characteristics'!$C:$C,0))),"",INDEX('Policy Characteristics'!I:I,MATCH($C1488,'Policy Characteristics'!$C:$C,0)))</f>
        <v>% reduction in energy use</v>
      </c>
      <c r="P1488" s="254"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4" t="str">
        <f>IF(ISBLANK(INDEX('Policy Characteristics'!K:K,MATCH($C1488,'Policy Characteristics'!$C:$C,0))),"",INDEX('Policy Characteristics'!K:K,MATCH($C1488,'Policy Characteristics'!$C:$C,0)))</f>
        <v>industry-ag-main.html#eff-stds</v>
      </c>
      <c r="R1488" s="254" t="str">
        <f>IF(ISBLANK(INDEX('Policy Characteristics'!L:L,MATCH($C1488,'Policy Characteristics'!$C:$C,0))),"",INDEX('Policy Characteristics'!L:L,MATCH($C1488,'Policy Characteristics'!$C:$C,0)))</f>
        <v>industry-energy-efficiency-standards.html</v>
      </c>
    </row>
    <row r="1489" spans="1:18" s="4" customFormat="1" x14ac:dyDescent="0.3">
      <c r="A1489" s="254" t="str">
        <f>IF(ISBLANK(INDEX('Policy Characteristics'!A:A,MATCH($C1489,'Policy Characteristics'!$C:$C,0))),"",INDEX('Policy Characteristics'!A:A,MATCH($C1489,'Policy Characteristics'!$C:$C,0)))</f>
        <v>Industry</v>
      </c>
      <c r="B1489" s="262" t="str">
        <f>IF(ISBLANK(INDEX('Policy Characteristics'!B:B,MATCH($C1489,'Policy Characteristics'!$C:$C,0))),"",INDEX('Policy Characteristics'!B:B,MATCH($C1489,'Policy Characteristics'!$C:$C,0)))</f>
        <v>Industry Energy Efficiency Standards</v>
      </c>
      <c r="C1489" s="254" t="str">
        <f t="shared" si="51"/>
        <v>Percentage Improvement in Eqpt Efficiency Standards above BAU</v>
      </c>
      <c r="D1489" s="6" t="s">
        <v>3081</v>
      </c>
      <c r="E1489" s="45" t="s">
        <v>2402</v>
      </c>
      <c r="F1489" t="s">
        <v>3043</v>
      </c>
      <c r="G1489" s="45" t="s">
        <v>2406</v>
      </c>
      <c r="H1489" s="43">
        <v>1161</v>
      </c>
      <c r="I1489" s="324" t="s">
        <v>44</v>
      </c>
      <c r="J1489" s="255" t="str">
        <f>IF(ISBLANK(INDEX('Policy Characteristics'!D:D,MATCH($C1489,'Policy Characteristics'!$C:$C,0))),"",INDEX('Policy Characteristics'!D:D,MATCH($C1489,'Policy Characteristics'!$C:$C,0)))</f>
        <v>Industry Energy Efficiency Standards</v>
      </c>
      <c r="K1489" s="254" t="str">
        <f>IF(ISBLANK(INDEX('Policy Characteristics'!E:E,MATCH($C1489,'Policy Characteristics'!$C:$C,0))),"",INDEX('Policy Characteristics'!E:E,MATCH($C1489,'Policy Characteristics'!$C:$C,0)))</f>
        <v>indst efficiency standards</v>
      </c>
      <c r="L1489" s="261">
        <f>IF(ISBLANK(INDEX('Policy Characteristics'!F:F,MATCH($C1489,'Policy Characteristics'!$C:$C,0))),"",INDEX('Policy Characteristics'!F:F,MATCH($C1489,'Policy Characteristics'!$C:$C,0)))</f>
        <v>0</v>
      </c>
      <c r="M1489" s="261">
        <f>IF(ISBLANK(INDEX('Policy Characteristics'!G:G,MATCH($C1489,'Policy Characteristics'!$C:$C,0))),"",INDEX('Policy Characteristics'!G:G,MATCH($C1489,'Policy Characteristics'!$C:$C,0)))</f>
        <v>0.25</v>
      </c>
      <c r="N1489" s="261">
        <f>IF(ISBLANK(INDEX('Policy Characteristics'!H:H,MATCH($C1489,'Policy Characteristics'!$C:$C,0))),"",INDEX('Policy Characteristics'!H:H,MATCH($C1489,'Policy Characteristics'!$C:$C,0)))</f>
        <v>0.01</v>
      </c>
      <c r="O1489" s="254" t="str">
        <f>IF(ISBLANK(INDEX('Policy Characteristics'!I:I,MATCH($C1489,'Policy Characteristics'!$C:$C,0))),"",INDEX('Policy Characteristics'!I:I,MATCH($C1489,'Policy Characteristics'!$C:$C,0)))</f>
        <v>% reduction in energy use</v>
      </c>
      <c r="P1489" s="254"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4" t="str">
        <f>IF(ISBLANK(INDEX('Policy Characteristics'!K:K,MATCH($C1489,'Policy Characteristics'!$C:$C,0))),"",INDEX('Policy Characteristics'!K:K,MATCH($C1489,'Policy Characteristics'!$C:$C,0)))</f>
        <v>industry-ag-main.html#eff-stds</v>
      </c>
      <c r="R1489" s="254" t="str">
        <f>IF(ISBLANK(INDEX('Policy Characteristics'!L:L,MATCH($C1489,'Policy Characteristics'!$C:$C,0))),"",INDEX('Policy Characteristics'!L:L,MATCH($C1489,'Policy Characteristics'!$C:$C,0)))</f>
        <v>industry-energy-efficiency-standards.html</v>
      </c>
    </row>
    <row r="1490" spans="1:18" s="4" customFormat="1" x14ac:dyDescent="0.3">
      <c r="A1490" s="254" t="str">
        <f>IF(ISBLANK(INDEX('Policy Characteristics'!A:A,MATCH($C1490,'Policy Characteristics'!$C:$C,0))),"",INDEX('Policy Characteristics'!A:A,MATCH($C1490,'Policy Characteristics'!$C:$C,0)))</f>
        <v>Industry</v>
      </c>
      <c r="B1490" s="262" t="str">
        <f>IF(ISBLANK(INDEX('Policy Characteristics'!B:B,MATCH($C1490,'Policy Characteristics'!$C:$C,0))),"",INDEX('Policy Characteristics'!B:B,MATCH($C1490,'Policy Characteristics'!$C:$C,0)))</f>
        <v>Industry Energy Efficiency Standards</v>
      </c>
      <c r="C1490" s="254" t="str">
        <f t="shared" si="51"/>
        <v>Percentage Improvement in Eqpt Efficiency Standards above BAU</v>
      </c>
      <c r="D1490" s="6" t="s">
        <v>3081</v>
      </c>
      <c r="E1490" s="45" t="s">
        <v>2403</v>
      </c>
      <c r="F1490" t="s">
        <v>3043</v>
      </c>
      <c r="G1490" s="45" t="s">
        <v>2407</v>
      </c>
      <c r="H1490" s="43">
        <v>1162</v>
      </c>
      <c r="I1490" s="324" t="s">
        <v>43</v>
      </c>
      <c r="J1490" s="255" t="str">
        <f>IF(ISBLANK(INDEX('Policy Characteristics'!D:D,MATCH($C1490,'Policy Characteristics'!$C:$C,0))),"",INDEX('Policy Characteristics'!D:D,MATCH($C1490,'Policy Characteristics'!$C:$C,0)))</f>
        <v>Industry Energy Efficiency Standards</v>
      </c>
      <c r="K1490" s="254" t="str">
        <f>IF(ISBLANK(INDEX('Policy Characteristics'!E:E,MATCH($C1490,'Policy Characteristics'!$C:$C,0))),"",INDEX('Policy Characteristics'!E:E,MATCH($C1490,'Policy Characteristics'!$C:$C,0)))</f>
        <v>indst efficiency standards</v>
      </c>
      <c r="L1490" s="261">
        <f>IF(ISBLANK(INDEX('Policy Characteristics'!F:F,MATCH($C1490,'Policy Characteristics'!$C:$C,0))),"",INDEX('Policy Characteristics'!F:F,MATCH($C1490,'Policy Characteristics'!$C:$C,0)))</f>
        <v>0</v>
      </c>
      <c r="M1490" s="261">
        <f>IF(ISBLANK(INDEX('Policy Characteristics'!G:G,MATCH($C1490,'Policy Characteristics'!$C:$C,0))),"",INDEX('Policy Characteristics'!G:G,MATCH($C1490,'Policy Characteristics'!$C:$C,0)))</f>
        <v>0.25</v>
      </c>
      <c r="N1490" s="261">
        <f>IF(ISBLANK(INDEX('Policy Characteristics'!H:H,MATCH($C1490,'Policy Characteristics'!$C:$C,0))),"",INDEX('Policy Characteristics'!H:H,MATCH($C1490,'Policy Characteristics'!$C:$C,0)))</f>
        <v>0.01</v>
      </c>
      <c r="O1490" s="254" t="str">
        <f>IF(ISBLANK(INDEX('Policy Characteristics'!I:I,MATCH($C1490,'Policy Characteristics'!$C:$C,0))),"",INDEX('Policy Characteristics'!I:I,MATCH($C1490,'Policy Characteristics'!$C:$C,0)))</f>
        <v>% reduction in energy use</v>
      </c>
      <c r="P1490" s="254"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4" t="str">
        <f>IF(ISBLANK(INDEX('Policy Characteristics'!K:K,MATCH($C1490,'Policy Characteristics'!$C:$C,0))),"",INDEX('Policy Characteristics'!K:K,MATCH($C1490,'Policy Characteristics'!$C:$C,0)))</f>
        <v>industry-ag-main.html#eff-stds</v>
      </c>
      <c r="R1490" s="254" t="str">
        <f>IF(ISBLANK(INDEX('Policy Characteristics'!L:L,MATCH($C1490,'Policy Characteristics'!$C:$C,0))),"",INDEX('Policy Characteristics'!L:L,MATCH($C1490,'Policy Characteristics'!$C:$C,0)))</f>
        <v>industry-energy-efficiency-standards.html</v>
      </c>
    </row>
    <row r="1491" spans="1:18" s="4" customFormat="1" x14ac:dyDescent="0.3">
      <c r="A1491" s="254" t="str">
        <f>IF(ISBLANK(INDEX('Policy Characteristics'!A:A,MATCH($C1491,'Policy Characteristics'!$C:$C,0))),"",INDEX('Policy Characteristics'!A:A,MATCH($C1491,'Policy Characteristics'!$C:$C,0)))</f>
        <v>Industry</v>
      </c>
      <c r="B1491" s="262" t="str">
        <f>IF(ISBLANK(INDEX('Policy Characteristics'!B:B,MATCH($C1491,'Policy Characteristics'!$C:$C,0))),"",INDEX('Policy Characteristics'!B:B,MATCH($C1491,'Policy Characteristics'!$C:$C,0)))</f>
        <v>Industry Energy Efficiency Standards</v>
      </c>
      <c r="C1491" s="254" t="str">
        <f t="shared" si="51"/>
        <v>Percentage Improvement in Eqpt Efficiency Standards above BAU</v>
      </c>
      <c r="D1491" s="6" t="s">
        <v>3081</v>
      </c>
      <c r="E1491" s="45" t="s">
        <v>2404</v>
      </c>
      <c r="F1491" t="s">
        <v>3043</v>
      </c>
      <c r="G1491" s="45" t="s">
        <v>2410</v>
      </c>
      <c r="H1491" s="43">
        <v>1163</v>
      </c>
      <c r="I1491" s="324" t="s">
        <v>44</v>
      </c>
      <c r="J1491" s="255" t="str">
        <f>IF(ISBLANK(INDEX('Policy Characteristics'!D:D,MATCH($C1491,'Policy Characteristics'!$C:$C,0))),"",INDEX('Policy Characteristics'!D:D,MATCH($C1491,'Policy Characteristics'!$C:$C,0)))</f>
        <v>Industry Energy Efficiency Standards</v>
      </c>
      <c r="K1491" s="254" t="str">
        <f>IF(ISBLANK(INDEX('Policy Characteristics'!E:E,MATCH($C1491,'Policy Characteristics'!$C:$C,0))),"",INDEX('Policy Characteristics'!E:E,MATCH($C1491,'Policy Characteristics'!$C:$C,0)))</f>
        <v>indst efficiency standards</v>
      </c>
      <c r="L1491" s="261">
        <f>IF(ISBLANK(INDEX('Policy Characteristics'!F:F,MATCH($C1491,'Policy Characteristics'!$C:$C,0))),"",INDEX('Policy Characteristics'!F:F,MATCH($C1491,'Policy Characteristics'!$C:$C,0)))</f>
        <v>0</v>
      </c>
      <c r="M1491" s="261">
        <f>IF(ISBLANK(INDEX('Policy Characteristics'!G:G,MATCH($C1491,'Policy Characteristics'!$C:$C,0))),"",INDEX('Policy Characteristics'!G:G,MATCH($C1491,'Policy Characteristics'!$C:$C,0)))</f>
        <v>0.25</v>
      </c>
      <c r="N1491" s="261">
        <f>IF(ISBLANK(INDEX('Policy Characteristics'!H:H,MATCH($C1491,'Policy Characteristics'!$C:$C,0))),"",INDEX('Policy Characteristics'!H:H,MATCH($C1491,'Policy Characteristics'!$C:$C,0)))</f>
        <v>0.01</v>
      </c>
      <c r="O1491" s="254" t="str">
        <f>IF(ISBLANK(INDEX('Policy Characteristics'!I:I,MATCH($C1491,'Policy Characteristics'!$C:$C,0))),"",INDEX('Policy Characteristics'!I:I,MATCH($C1491,'Policy Characteristics'!$C:$C,0)))</f>
        <v>% reduction in energy use</v>
      </c>
      <c r="P1491" s="254"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4" t="str">
        <f>IF(ISBLANK(INDEX('Policy Characteristics'!K:K,MATCH($C1491,'Policy Characteristics'!$C:$C,0))),"",INDEX('Policy Characteristics'!K:K,MATCH($C1491,'Policy Characteristics'!$C:$C,0)))</f>
        <v>industry-ag-main.html#eff-stds</v>
      </c>
      <c r="R1491" s="254" t="str">
        <f>IF(ISBLANK(INDEX('Policy Characteristics'!L:L,MATCH($C1491,'Policy Characteristics'!$C:$C,0))),"",INDEX('Policy Characteristics'!L:L,MATCH($C1491,'Policy Characteristics'!$C:$C,0)))</f>
        <v>industry-energy-efficiency-standards.html</v>
      </c>
    </row>
    <row r="1492" spans="1:18" s="4" customFormat="1" x14ac:dyDescent="0.3">
      <c r="A1492" s="254" t="str">
        <f>IF(ISBLANK(INDEX('Policy Characteristics'!A:A,MATCH($C1492,'Policy Characteristics'!$C:$C,0))),"",INDEX('Policy Characteristics'!A:A,MATCH($C1492,'Policy Characteristics'!$C:$C,0)))</f>
        <v>Industry</v>
      </c>
      <c r="B1492" s="262" t="str">
        <f>IF(ISBLANK(INDEX('Policy Characteristics'!B:B,MATCH($C1492,'Policy Characteristics'!$C:$C,0))),"",INDEX('Policy Characteristics'!B:B,MATCH($C1492,'Policy Characteristics'!$C:$C,0)))</f>
        <v>Industry Energy Efficiency Standards</v>
      </c>
      <c r="C1492" s="254" t="str">
        <f t="shared" si="51"/>
        <v>Percentage Improvement in Eqpt Efficiency Standards above BAU</v>
      </c>
      <c r="D1492" s="6" t="s">
        <v>3081</v>
      </c>
      <c r="E1492" s="45" t="s">
        <v>2706</v>
      </c>
      <c r="F1492" t="s">
        <v>3043</v>
      </c>
      <c r="G1492" s="45" t="s">
        <v>2709</v>
      </c>
      <c r="H1492" s="43">
        <v>1164</v>
      </c>
      <c r="I1492" s="324" t="s">
        <v>44</v>
      </c>
      <c r="J1492" s="255" t="str">
        <f>IF(ISBLANK(INDEX('Policy Characteristics'!D:D,MATCH($C1492,'Policy Characteristics'!$C:$C,0))),"",INDEX('Policy Characteristics'!D:D,MATCH($C1492,'Policy Characteristics'!$C:$C,0)))</f>
        <v>Industry Energy Efficiency Standards</v>
      </c>
      <c r="K1492" s="254" t="str">
        <f>IF(ISBLANK(INDEX('Policy Characteristics'!E:E,MATCH($C1492,'Policy Characteristics'!$C:$C,0))),"",INDEX('Policy Characteristics'!E:E,MATCH($C1492,'Policy Characteristics'!$C:$C,0)))</f>
        <v>indst efficiency standards</v>
      </c>
      <c r="L1492" s="261">
        <f>IF(ISBLANK(INDEX('Policy Characteristics'!F:F,MATCH($C1492,'Policy Characteristics'!$C:$C,0))),"",INDEX('Policy Characteristics'!F:F,MATCH($C1492,'Policy Characteristics'!$C:$C,0)))</f>
        <v>0</v>
      </c>
      <c r="M1492" s="261">
        <f>IF(ISBLANK(INDEX('Policy Characteristics'!G:G,MATCH($C1492,'Policy Characteristics'!$C:$C,0))),"",INDEX('Policy Characteristics'!G:G,MATCH($C1492,'Policy Characteristics'!$C:$C,0)))</f>
        <v>0.25</v>
      </c>
      <c r="N1492" s="261">
        <f>IF(ISBLANK(INDEX('Policy Characteristics'!H:H,MATCH($C1492,'Policy Characteristics'!$C:$C,0))),"",INDEX('Policy Characteristics'!H:H,MATCH($C1492,'Policy Characteristics'!$C:$C,0)))</f>
        <v>0.01</v>
      </c>
      <c r="O1492" s="254" t="str">
        <f>IF(ISBLANK(INDEX('Policy Characteristics'!I:I,MATCH($C1492,'Policy Characteristics'!$C:$C,0))),"",INDEX('Policy Characteristics'!I:I,MATCH($C1492,'Policy Characteristics'!$C:$C,0)))</f>
        <v>% reduction in energy use</v>
      </c>
      <c r="P1492" s="254"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4" t="str">
        <f>IF(ISBLANK(INDEX('Policy Characteristics'!K:K,MATCH($C1492,'Policy Characteristics'!$C:$C,0))),"",INDEX('Policy Characteristics'!K:K,MATCH($C1492,'Policy Characteristics'!$C:$C,0)))</f>
        <v>industry-ag-main.html#eff-stds</v>
      </c>
      <c r="R1492" s="254" t="str">
        <f>IF(ISBLANK(INDEX('Policy Characteristics'!L:L,MATCH($C1492,'Policy Characteristics'!$C:$C,0))),"",INDEX('Policy Characteristics'!L:L,MATCH($C1492,'Policy Characteristics'!$C:$C,0)))</f>
        <v>industry-energy-efficiency-standards.html</v>
      </c>
    </row>
    <row r="1493" spans="1:18" s="4" customFormat="1" x14ac:dyDescent="0.3">
      <c r="A1493" s="254" t="str">
        <f>IF(ISBLANK(INDEX('Policy Characteristics'!A:A,MATCH($C1493,'Policy Characteristics'!$C:$C,0))),"",INDEX('Policy Characteristics'!A:A,MATCH($C1493,'Policy Characteristics'!$C:$C,0)))</f>
        <v>Industry</v>
      </c>
      <c r="B1493" s="262" t="str">
        <f>IF(ISBLANK(INDEX('Policy Characteristics'!B:B,MATCH($C1493,'Policy Characteristics'!$C:$C,0))),"",INDEX('Policy Characteristics'!B:B,MATCH($C1493,'Policy Characteristics'!$C:$C,0)))</f>
        <v>Industry Energy Efficiency Standards</v>
      </c>
      <c r="C1493" s="254" t="str">
        <f t="shared" si="51"/>
        <v>Percentage Improvement in Eqpt Efficiency Standards above BAU</v>
      </c>
      <c r="D1493" s="6" t="s">
        <v>3081</v>
      </c>
      <c r="E1493" s="45" t="s">
        <v>2707</v>
      </c>
      <c r="F1493" t="s">
        <v>3043</v>
      </c>
      <c r="G1493" s="45" t="s">
        <v>2711</v>
      </c>
      <c r="H1493" s="43">
        <v>1165</v>
      </c>
      <c r="I1493" s="324" t="s">
        <v>43</v>
      </c>
      <c r="J1493" s="255" t="str">
        <f>IF(ISBLANK(INDEX('Policy Characteristics'!D:D,MATCH($C1493,'Policy Characteristics'!$C:$C,0))),"",INDEX('Policy Characteristics'!D:D,MATCH($C1493,'Policy Characteristics'!$C:$C,0)))</f>
        <v>Industry Energy Efficiency Standards</v>
      </c>
      <c r="K1493" s="254" t="str">
        <f>IF(ISBLANK(INDEX('Policy Characteristics'!E:E,MATCH($C1493,'Policy Characteristics'!$C:$C,0))),"",INDEX('Policy Characteristics'!E:E,MATCH($C1493,'Policy Characteristics'!$C:$C,0)))</f>
        <v>indst efficiency standards</v>
      </c>
      <c r="L1493" s="261">
        <f>IF(ISBLANK(INDEX('Policy Characteristics'!F:F,MATCH($C1493,'Policy Characteristics'!$C:$C,0))),"",INDEX('Policy Characteristics'!F:F,MATCH($C1493,'Policy Characteristics'!$C:$C,0)))</f>
        <v>0</v>
      </c>
      <c r="M1493" s="261">
        <f>IF(ISBLANK(INDEX('Policy Characteristics'!G:G,MATCH($C1493,'Policy Characteristics'!$C:$C,0))),"",INDEX('Policy Characteristics'!G:G,MATCH($C1493,'Policy Characteristics'!$C:$C,0)))</f>
        <v>0.25</v>
      </c>
      <c r="N1493" s="261">
        <f>IF(ISBLANK(INDEX('Policy Characteristics'!H:H,MATCH($C1493,'Policy Characteristics'!$C:$C,0))),"",INDEX('Policy Characteristics'!H:H,MATCH($C1493,'Policy Characteristics'!$C:$C,0)))</f>
        <v>0.01</v>
      </c>
      <c r="O1493" s="254" t="str">
        <f>IF(ISBLANK(INDEX('Policy Characteristics'!I:I,MATCH($C1493,'Policy Characteristics'!$C:$C,0))),"",INDEX('Policy Characteristics'!I:I,MATCH($C1493,'Policy Characteristics'!$C:$C,0)))</f>
        <v>% reduction in energy use</v>
      </c>
      <c r="P1493" s="254"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4" t="str">
        <f>IF(ISBLANK(INDEX('Policy Characteristics'!K:K,MATCH($C1493,'Policy Characteristics'!$C:$C,0))),"",INDEX('Policy Characteristics'!K:K,MATCH($C1493,'Policy Characteristics'!$C:$C,0)))</f>
        <v>industry-ag-main.html#eff-stds</v>
      </c>
      <c r="R1493" s="254" t="str">
        <f>IF(ISBLANK(INDEX('Policy Characteristics'!L:L,MATCH($C1493,'Policy Characteristics'!$C:$C,0))),"",INDEX('Policy Characteristics'!L:L,MATCH($C1493,'Policy Characteristics'!$C:$C,0)))</f>
        <v>industry-energy-efficiency-standards.html</v>
      </c>
    </row>
    <row r="1494" spans="1:18" s="4" customFormat="1" x14ac:dyDescent="0.3">
      <c r="A1494" s="254" t="str">
        <f>IF(ISBLANK(INDEX('Policy Characteristics'!A:A,MATCH($C1494,'Policy Characteristics'!$C:$C,0))),"",INDEX('Policy Characteristics'!A:A,MATCH($C1494,'Policy Characteristics'!$C:$C,0)))</f>
        <v>Industry</v>
      </c>
      <c r="B1494" s="262" t="str">
        <f>IF(ISBLANK(INDEX('Policy Characteristics'!B:B,MATCH($C1494,'Policy Characteristics'!$C:$C,0))),"",INDEX('Policy Characteristics'!B:B,MATCH($C1494,'Policy Characteristics'!$C:$C,0)))</f>
        <v>Industry Energy Efficiency Standards</v>
      </c>
      <c r="C1494" s="254" t="str">
        <f t="shared" si="51"/>
        <v>Percentage Improvement in Eqpt Efficiency Standards above BAU</v>
      </c>
      <c r="D1494" s="6" t="s">
        <v>3081</v>
      </c>
      <c r="E1494" s="45" t="s">
        <v>2708</v>
      </c>
      <c r="F1494" t="s">
        <v>3043</v>
      </c>
      <c r="G1494" s="45" t="s">
        <v>2712</v>
      </c>
      <c r="H1494" s="43">
        <v>1166</v>
      </c>
      <c r="I1494" s="324" t="s">
        <v>43</v>
      </c>
      <c r="J1494" s="255" t="str">
        <f>IF(ISBLANK(INDEX('Policy Characteristics'!D:D,MATCH($C1494,'Policy Characteristics'!$C:$C,0))),"",INDEX('Policy Characteristics'!D:D,MATCH($C1494,'Policy Characteristics'!$C:$C,0)))</f>
        <v>Industry Energy Efficiency Standards</v>
      </c>
      <c r="K1494" s="254" t="str">
        <f>IF(ISBLANK(INDEX('Policy Characteristics'!E:E,MATCH($C1494,'Policy Characteristics'!$C:$C,0))),"",INDEX('Policy Characteristics'!E:E,MATCH($C1494,'Policy Characteristics'!$C:$C,0)))</f>
        <v>indst efficiency standards</v>
      </c>
      <c r="L1494" s="261">
        <f>IF(ISBLANK(INDEX('Policy Characteristics'!F:F,MATCH($C1494,'Policy Characteristics'!$C:$C,0))),"",INDEX('Policy Characteristics'!F:F,MATCH($C1494,'Policy Characteristics'!$C:$C,0)))</f>
        <v>0</v>
      </c>
      <c r="M1494" s="261">
        <f>IF(ISBLANK(INDEX('Policy Characteristics'!G:G,MATCH($C1494,'Policy Characteristics'!$C:$C,0))),"",INDEX('Policy Characteristics'!G:G,MATCH($C1494,'Policy Characteristics'!$C:$C,0)))</f>
        <v>0.25</v>
      </c>
      <c r="N1494" s="261">
        <f>IF(ISBLANK(INDEX('Policy Characteristics'!H:H,MATCH($C1494,'Policy Characteristics'!$C:$C,0))),"",INDEX('Policy Characteristics'!H:H,MATCH($C1494,'Policy Characteristics'!$C:$C,0)))</f>
        <v>0.01</v>
      </c>
      <c r="O1494" s="254" t="str">
        <f>IF(ISBLANK(INDEX('Policy Characteristics'!I:I,MATCH($C1494,'Policy Characteristics'!$C:$C,0))),"",INDEX('Policy Characteristics'!I:I,MATCH($C1494,'Policy Characteristics'!$C:$C,0)))</f>
        <v>% reduction in energy use</v>
      </c>
      <c r="P1494" s="254"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4" t="str">
        <f>IF(ISBLANK(INDEX('Policy Characteristics'!K:K,MATCH($C1494,'Policy Characteristics'!$C:$C,0))),"",INDEX('Policy Characteristics'!K:K,MATCH($C1494,'Policy Characteristics'!$C:$C,0)))</f>
        <v>industry-ag-main.html#eff-stds</v>
      </c>
      <c r="R1494" s="254" t="str">
        <f>IF(ISBLANK(INDEX('Policy Characteristics'!L:L,MATCH($C1494,'Policy Characteristics'!$C:$C,0))),"",INDEX('Policy Characteristics'!L:L,MATCH($C1494,'Policy Characteristics'!$C:$C,0)))</f>
        <v>industry-energy-efficiency-standards.html</v>
      </c>
    </row>
    <row r="1495" spans="1:18" s="4" customFormat="1" x14ac:dyDescent="0.3">
      <c r="A1495" s="254" t="str">
        <f>IF(ISBLANK(INDEX('Policy Characteristics'!A:A,MATCH($C1495,'Policy Characteristics'!$C:$C,0))),"",INDEX('Policy Characteristics'!A:A,MATCH($C1495,'Policy Characteristics'!$C:$C,0)))</f>
        <v>Industry</v>
      </c>
      <c r="B1495" s="262" t="str">
        <f>IF(ISBLANK(INDEX('Policy Characteristics'!B:B,MATCH($C1495,'Policy Characteristics'!$C:$C,0))),"",INDEX('Policy Characteristics'!B:B,MATCH($C1495,'Policy Characteristics'!$C:$C,0)))</f>
        <v>Industry Energy Efficiency Standards</v>
      </c>
      <c r="C1495" s="254" t="str">
        <f t="shared" si="51"/>
        <v>Percentage Improvement in Eqpt Efficiency Standards above BAU</v>
      </c>
      <c r="D1495" s="6" t="s">
        <v>3081</v>
      </c>
      <c r="E1495" s="45" t="s">
        <v>2705</v>
      </c>
      <c r="F1495" t="s">
        <v>3043</v>
      </c>
      <c r="G1495" s="45" t="s">
        <v>2710</v>
      </c>
      <c r="H1495" s="43">
        <v>1167</v>
      </c>
      <c r="I1495" s="324" t="s">
        <v>44</v>
      </c>
      <c r="J1495" s="255" t="str">
        <f>IF(ISBLANK(INDEX('Policy Characteristics'!D:D,MATCH($C1495,'Policy Characteristics'!$C:$C,0))),"",INDEX('Policy Characteristics'!D:D,MATCH($C1495,'Policy Characteristics'!$C:$C,0)))</f>
        <v>Industry Energy Efficiency Standards</v>
      </c>
      <c r="K1495" s="254" t="str">
        <f>IF(ISBLANK(INDEX('Policy Characteristics'!E:E,MATCH($C1495,'Policy Characteristics'!$C:$C,0))),"",INDEX('Policy Characteristics'!E:E,MATCH($C1495,'Policy Characteristics'!$C:$C,0)))</f>
        <v>indst efficiency standards</v>
      </c>
      <c r="L1495" s="261">
        <f>IF(ISBLANK(INDEX('Policy Characteristics'!F:F,MATCH($C1495,'Policy Characteristics'!$C:$C,0))),"",INDEX('Policy Characteristics'!F:F,MATCH($C1495,'Policy Characteristics'!$C:$C,0)))</f>
        <v>0</v>
      </c>
      <c r="M1495" s="261">
        <f>IF(ISBLANK(INDEX('Policy Characteristics'!G:G,MATCH($C1495,'Policy Characteristics'!$C:$C,0))),"",INDEX('Policy Characteristics'!G:G,MATCH($C1495,'Policy Characteristics'!$C:$C,0)))</f>
        <v>0.25</v>
      </c>
      <c r="N1495" s="261">
        <f>IF(ISBLANK(INDEX('Policy Characteristics'!H:H,MATCH($C1495,'Policy Characteristics'!$C:$C,0))),"",INDEX('Policy Characteristics'!H:H,MATCH($C1495,'Policy Characteristics'!$C:$C,0)))</f>
        <v>0.01</v>
      </c>
      <c r="O1495" s="254" t="str">
        <f>IF(ISBLANK(INDEX('Policy Characteristics'!I:I,MATCH($C1495,'Policy Characteristics'!$C:$C,0))),"",INDEX('Policy Characteristics'!I:I,MATCH($C1495,'Policy Characteristics'!$C:$C,0)))</f>
        <v>% reduction in energy use</v>
      </c>
      <c r="P1495" s="254"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4" t="str">
        <f>IF(ISBLANK(INDEX('Policy Characteristics'!K:K,MATCH($C1495,'Policy Characteristics'!$C:$C,0))),"",INDEX('Policy Characteristics'!K:K,MATCH($C1495,'Policy Characteristics'!$C:$C,0)))</f>
        <v>industry-ag-main.html#eff-stds</v>
      </c>
      <c r="R1495" s="254" t="str">
        <f>IF(ISBLANK(INDEX('Policy Characteristics'!L:L,MATCH($C1495,'Policy Characteristics'!$C:$C,0))),"",INDEX('Policy Characteristics'!L:L,MATCH($C1495,'Policy Characteristics'!$C:$C,0)))</f>
        <v>industry-energy-efficiency-standards.html</v>
      </c>
    </row>
    <row r="1496" spans="1:18" s="4" customFormat="1" x14ac:dyDescent="0.3">
      <c r="A1496" s="254" t="str">
        <f>IF(ISBLANK(INDEX('Policy Characteristics'!A:A,MATCH($C1496,'Policy Characteristics'!$C:$C,0))),"",INDEX('Policy Characteristics'!A:A,MATCH($C1496,'Policy Characteristics'!$C:$C,0)))</f>
        <v>Industry</v>
      </c>
      <c r="B1496" s="262" t="str">
        <f>IF(ISBLANK(INDEX('Policy Characteristics'!B:B,MATCH($C1496,'Policy Characteristics'!$C:$C,0))),"",INDEX('Policy Characteristics'!B:B,MATCH($C1496,'Policy Characteristics'!$C:$C,0)))</f>
        <v>Industry Energy Efficiency Standards</v>
      </c>
      <c r="C1496" s="254" t="str">
        <f t="shared" si="51"/>
        <v>Percentage Improvement in Eqpt Efficiency Standards above BAU</v>
      </c>
      <c r="D1496" s="6" t="s">
        <v>3082</v>
      </c>
      <c r="E1496" s="45" t="s">
        <v>2399</v>
      </c>
      <c r="F1496" t="s">
        <v>3044</v>
      </c>
      <c r="G1496" s="45" t="s">
        <v>2405</v>
      </c>
      <c r="H1496" s="43">
        <v>1168</v>
      </c>
      <c r="I1496" s="324" t="s">
        <v>43</v>
      </c>
      <c r="J1496" s="255" t="str">
        <f>IF(ISBLANK(INDEX('Policy Characteristics'!D:D,MATCH($C1496,'Policy Characteristics'!$C:$C,0))),"",INDEX('Policy Characteristics'!D:D,MATCH($C1496,'Policy Characteristics'!$C:$C,0)))</f>
        <v>Industry Energy Efficiency Standards</v>
      </c>
      <c r="K1496" s="254" t="str">
        <f>IF(ISBLANK(INDEX('Policy Characteristics'!E:E,MATCH($C1496,'Policy Characteristics'!$C:$C,0))),"",INDEX('Policy Characteristics'!E:E,MATCH($C1496,'Policy Characteristics'!$C:$C,0)))</f>
        <v>indst efficiency standards</v>
      </c>
      <c r="L1496" s="261">
        <f>IF(ISBLANK(INDEX('Policy Characteristics'!F:F,MATCH($C1496,'Policy Characteristics'!$C:$C,0))),"",INDEX('Policy Characteristics'!F:F,MATCH($C1496,'Policy Characteristics'!$C:$C,0)))</f>
        <v>0</v>
      </c>
      <c r="M1496" s="261">
        <f>IF(ISBLANK(INDEX('Policy Characteristics'!G:G,MATCH($C1496,'Policy Characteristics'!$C:$C,0))),"",INDEX('Policy Characteristics'!G:G,MATCH($C1496,'Policy Characteristics'!$C:$C,0)))</f>
        <v>0.25</v>
      </c>
      <c r="N1496" s="261">
        <f>IF(ISBLANK(INDEX('Policy Characteristics'!H:H,MATCH($C1496,'Policy Characteristics'!$C:$C,0))),"",INDEX('Policy Characteristics'!H:H,MATCH($C1496,'Policy Characteristics'!$C:$C,0)))</f>
        <v>0.01</v>
      </c>
      <c r="O1496" s="254" t="str">
        <f>IF(ISBLANK(INDEX('Policy Characteristics'!I:I,MATCH($C1496,'Policy Characteristics'!$C:$C,0))),"",INDEX('Policy Characteristics'!I:I,MATCH($C1496,'Policy Characteristics'!$C:$C,0)))</f>
        <v>% reduction in energy use</v>
      </c>
      <c r="P1496" s="254"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4" t="str">
        <f>IF(ISBLANK(INDEX('Policy Characteristics'!K:K,MATCH($C1496,'Policy Characteristics'!$C:$C,0))),"",INDEX('Policy Characteristics'!K:K,MATCH($C1496,'Policy Characteristics'!$C:$C,0)))</f>
        <v>industry-ag-main.html#eff-stds</v>
      </c>
      <c r="R1496" s="254" t="str">
        <f>IF(ISBLANK(INDEX('Policy Characteristics'!L:L,MATCH($C1496,'Policy Characteristics'!$C:$C,0))),"",INDEX('Policy Characteristics'!L:L,MATCH($C1496,'Policy Characteristics'!$C:$C,0)))</f>
        <v>industry-energy-efficiency-standards.html</v>
      </c>
    </row>
    <row r="1497" spans="1:18" s="4" customFormat="1" x14ac:dyDescent="0.3">
      <c r="A1497" s="254" t="str">
        <f>IF(ISBLANK(INDEX('Policy Characteristics'!A:A,MATCH($C1497,'Policy Characteristics'!$C:$C,0))),"",INDEX('Policy Characteristics'!A:A,MATCH($C1497,'Policy Characteristics'!$C:$C,0)))</f>
        <v>Industry</v>
      </c>
      <c r="B1497" s="262" t="str">
        <f>IF(ISBLANK(INDEX('Policy Characteristics'!B:B,MATCH($C1497,'Policy Characteristics'!$C:$C,0))),"",INDEX('Policy Characteristics'!B:B,MATCH($C1497,'Policy Characteristics'!$C:$C,0)))</f>
        <v>Industry Energy Efficiency Standards</v>
      </c>
      <c r="C1497" s="254" t="str">
        <f t="shared" si="51"/>
        <v>Percentage Improvement in Eqpt Efficiency Standards above BAU</v>
      </c>
      <c r="D1497" s="6" t="s">
        <v>3082</v>
      </c>
      <c r="E1497" s="45" t="s">
        <v>2400</v>
      </c>
      <c r="F1497" t="s">
        <v>3044</v>
      </c>
      <c r="G1497" s="45" t="s">
        <v>2408</v>
      </c>
      <c r="H1497" s="43">
        <v>1169</v>
      </c>
      <c r="I1497" s="324" t="s">
        <v>43</v>
      </c>
      <c r="J1497" s="255" t="str">
        <f>IF(ISBLANK(INDEX('Policy Characteristics'!D:D,MATCH($C1497,'Policy Characteristics'!$C:$C,0))),"",INDEX('Policy Characteristics'!D:D,MATCH($C1497,'Policy Characteristics'!$C:$C,0)))</f>
        <v>Industry Energy Efficiency Standards</v>
      </c>
      <c r="K1497" s="254" t="str">
        <f>IF(ISBLANK(INDEX('Policy Characteristics'!E:E,MATCH($C1497,'Policy Characteristics'!$C:$C,0))),"",INDEX('Policy Characteristics'!E:E,MATCH($C1497,'Policy Characteristics'!$C:$C,0)))</f>
        <v>indst efficiency standards</v>
      </c>
      <c r="L1497" s="261">
        <f>IF(ISBLANK(INDEX('Policy Characteristics'!F:F,MATCH($C1497,'Policy Characteristics'!$C:$C,0))),"",INDEX('Policy Characteristics'!F:F,MATCH($C1497,'Policy Characteristics'!$C:$C,0)))</f>
        <v>0</v>
      </c>
      <c r="M1497" s="261">
        <f>IF(ISBLANK(INDEX('Policy Characteristics'!G:G,MATCH($C1497,'Policy Characteristics'!$C:$C,0))),"",INDEX('Policy Characteristics'!G:G,MATCH($C1497,'Policy Characteristics'!$C:$C,0)))</f>
        <v>0.25</v>
      </c>
      <c r="N1497" s="261">
        <f>IF(ISBLANK(INDEX('Policy Characteristics'!H:H,MATCH($C1497,'Policy Characteristics'!$C:$C,0))),"",INDEX('Policy Characteristics'!H:H,MATCH($C1497,'Policy Characteristics'!$C:$C,0)))</f>
        <v>0.01</v>
      </c>
      <c r="O1497" s="254" t="str">
        <f>IF(ISBLANK(INDEX('Policy Characteristics'!I:I,MATCH($C1497,'Policy Characteristics'!$C:$C,0))),"",INDEX('Policy Characteristics'!I:I,MATCH($C1497,'Policy Characteristics'!$C:$C,0)))</f>
        <v>% reduction in energy use</v>
      </c>
      <c r="P1497" s="254"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4" t="str">
        <f>IF(ISBLANK(INDEX('Policy Characteristics'!K:K,MATCH($C1497,'Policy Characteristics'!$C:$C,0))),"",INDEX('Policy Characteristics'!K:K,MATCH($C1497,'Policy Characteristics'!$C:$C,0)))</f>
        <v>industry-ag-main.html#eff-stds</v>
      </c>
      <c r="R1497" s="254" t="str">
        <f>IF(ISBLANK(INDEX('Policy Characteristics'!L:L,MATCH($C1497,'Policy Characteristics'!$C:$C,0))),"",INDEX('Policy Characteristics'!L:L,MATCH($C1497,'Policy Characteristics'!$C:$C,0)))</f>
        <v>industry-energy-efficiency-standards.html</v>
      </c>
    </row>
    <row r="1498" spans="1:18" s="4" customFormat="1" x14ac:dyDescent="0.3">
      <c r="A1498" s="254" t="str">
        <f>IF(ISBLANK(INDEX('Policy Characteristics'!A:A,MATCH($C1498,'Policy Characteristics'!$C:$C,0))),"",INDEX('Policy Characteristics'!A:A,MATCH($C1498,'Policy Characteristics'!$C:$C,0)))</f>
        <v>Industry</v>
      </c>
      <c r="B1498" s="262" t="str">
        <f>IF(ISBLANK(INDEX('Policy Characteristics'!B:B,MATCH($C1498,'Policy Characteristics'!$C:$C,0))),"",INDEX('Policy Characteristics'!B:B,MATCH($C1498,'Policy Characteristics'!$C:$C,0)))</f>
        <v>Industry Energy Efficiency Standards</v>
      </c>
      <c r="C1498" s="254" t="str">
        <f t="shared" si="51"/>
        <v>Percentage Improvement in Eqpt Efficiency Standards above BAU</v>
      </c>
      <c r="D1498" s="6" t="s">
        <v>3082</v>
      </c>
      <c r="E1498" s="45" t="s">
        <v>2401</v>
      </c>
      <c r="F1498" t="s">
        <v>3044</v>
      </c>
      <c r="G1498" s="45" t="s">
        <v>2409</v>
      </c>
      <c r="H1498" s="43">
        <v>1170</v>
      </c>
      <c r="I1498" s="324" t="s">
        <v>43</v>
      </c>
      <c r="J1498" s="255" t="str">
        <f>IF(ISBLANK(INDEX('Policy Characteristics'!D:D,MATCH($C1498,'Policy Characteristics'!$C:$C,0))),"",INDEX('Policy Characteristics'!D:D,MATCH($C1498,'Policy Characteristics'!$C:$C,0)))</f>
        <v>Industry Energy Efficiency Standards</v>
      </c>
      <c r="K1498" s="254" t="str">
        <f>IF(ISBLANK(INDEX('Policy Characteristics'!E:E,MATCH($C1498,'Policy Characteristics'!$C:$C,0))),"",INDEX('Policy Characteristics'!E:E,MATCH($C1498,'Policy Characteristics'!$C:$C,0)))</f>
        <v>indst efficiency standards</v>
      </c>
      <c r="L1498" s="261">
        <f>IF(ISBLANK(INDEX('Policy Characteristics'!F:F,MATCH($C1498,'Policy Characteristics'!$C:$C,0))),"",INDEX('Policy Characteristics'!F:F,MATCH($C1498,'Policy Characteristics'!$C:$C,0)))</f>
        <v>0</v>
      </c>
      <c r="M1498" s="261">
        <f>IF(ISBLANK(INDEX('Policy Characteristics'!G:G,MATCH($C1498,'Policy Characteristics'!$C:$C,0))),"",INDEX('Policy Characteristics'!G:G,MATCH($C1498,'Policy Characteristics'!$C:$C,0)))</f>
        <v>0.25</v>
      </c>
      <c r="N1498" s="261">
        <f>IF(ISBLANK(INDEX('Policy Characteristics'!H:H,MATCH($C1498,'Policy Characteristics'!$C:$C,0))),"",INDEX('Policy Characteristics'!H:H,MATCH($C1498,'Policy Characteristics'!$C:$C,0)))</f>
        <v>0.01</v>
      </c>
      <c r="O1498" s="254" t="str">
        <f>IF(ISBLANK(INDEX('Policy Characteristics'!I:I,MATCH($C1498,'Policy Characteristics'!$C:$C,0))),"",INDEX('Policy Characteristics'!I:I,MATCH($C1498,'Policy Characteristics'!$C:$C,0)))</f>
        <v>% reduction in energy use</v>
      </c>
      <c r="P1498" s="254"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4" t="str">
        <f>IF(ISBLANK(INDEX('Policy Characteristics'!K:K,MATCH($C1498,'Policy Characteristics'!$C:$C,0))),"",INDEX('Policy Characteristics'!K:K,MATCH($C1498,'Policy Characteristics'!$C:$C,0)))</f>
        <v>industry-ag-main.html#eff-stds</v>
      </c>
      <c r="R1498" s="254" t="str">
        <f>IF(ISBLANK(INDEX('Policy Characteristics'!L:L,MATCH($C1498,'Policy Characteristics'!$C:$C,0))),"",INDEX('Policy Characteristics'!L:L,MATCH($C1498,'Policy Characteristics'!$C:$C,0)))</f>
        <v>industry-energy-efficiency-standards.html</v>
      </c>
    </row>
    <row r="1499" spans="1:18" s="4" customFormat="1" x14ac:dyDescent="0.3">
      <c r="A1499" s="254" t="str">
        <f>IF(ISBLANK(INDEX('Policy Characteristics'!A:A,MATCH($C1499,'Policy Characteristics'!$C:$C,0))),"",INDEX('Policy Characteristics'!A:A,MATCH($C1499,'Policy Characteristics'!$C:$C,0)))</f>
        <v>Industry</v>
      </c>
      <c r="B1499" s="262" t="str">
        <f>IF(ISBLANK(INDEX('Policy Characteristics'!B:B,MATCH($C1499,'Policy Characteristics'!$C:$C,0))),"",INDEX('Policy Characteristics'!B:B,MATCH($C1499,'Policy Characteristics'!$C:$C,0)))</f>
        <v>Industry Energy Efficiency Standards</v>
      </c>
      <c r="C1499" s="254" t="str">
        <f t="shared" si="51"/>
        <v>Percentage Improvement in Eqpt Efficiency Standards above BAU</v>
      </c>
      <c r="D1499" s="6" t="s">
        <v>3082</v>
      </c>
      <c r="E1499" s="45" t="s">
        <v>2402</v>
      </c>
      <c r="F1499" t="s">
        <v>3044</v>
      </c>
      <c r="G1499" s="45" t="s">
        <v>2406</v>
      </c>
      <c r="H1499" s="43">
        <v>1171</v>
      </c>
      <c r="I1499" s="324" t="s">
        <v>44</v>
      </c>
      <c r="J1499" s="255" t="str">
        <f>IF(ISBLANK(INDEX('Policy Characteristics'!D:D,MATCH($C1499,'Policy Characteristics'!$C:$C,0))),"",INDEX('Policy Characteristics'!D:D,MATCH($C1499,'Policy Characteristics'!$C:$C,0)))</f>
        <v>Industry Energy Efficiency Standards</v>
      </c>
      <c r="K1499" s="254" t="str">
        <f>IF(ISBLANK(INDEX('Policy Characteristics'!E:E,MATCH($C1499,'Policy Characteristics'!$C:$C,0))),"",INDEX('Policy Characteristics'!E:E,MATCH($C1499,'Policy Characteristics'!$C:$C,0)))</f>
        <v>indst efficiency standards</v>
      </c>
      <c r="L1499" s="261">
        <f>IF(ISBLANK(INDEX('Policy Characteristics'!F:F,MATCH($C1499,'Policy Characteristics'!$C:$C,0))),"",INDEX('Policy Characteristics'!F:F,MATCH($C1499,'Policy Characteristics'!$C:$C,0)))</f>
        <v>0</v>
      </c>
      <c r="M1499" s="261">
        <f>IF(ISBLANK(INDEX('Policy Characteristics'!G:G,MATCH($C1499,'Policy Characteristics'!$C:$C,0))),"",INDEX('Policy Characteristics'!G:G,MATCH($C1499,'Policy Characteristics'!$C:$C,0)))</f>
        <v>0.25</v>
      </c>
      <c r="N1499" s="261">
        <f>IF(ISBLANK(INDEX('Policy Characteristics'!H:H,MATCH($C1499,'Policy Characteristics'!$C:$C,0))),"",INDEX('Policy Characteristics'!H:H,MATCH($C1499,'Policy Characteristics'!$C:$C,0)))</f>
        <v>0.01</v>
      </c>
      <c r="O1499" s="254" t="str">
        <f>IF(ISBLANK(INDEX('Policy Characteristics'!I:I,MATCH($C1499,'Policy Characteristics'!$C:$C,0))),"",INDEX('Policy Characteristics'!I:I,MATCH($C1499,'Policy Characteristics'!$C:$C,0)))</f>
        <v>% reduction in energy use</v>
      </c>
      <c r="P1499" s="254"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4" t="str">
        <f>IF(ISBLANK(INDEX('Policy Characteristics'!K:K,MATCH($C1499,'Policy Characteristics'!$C:$C,0))),"",INDEX('Policy Characteristics'!K:K,MATCH($C1499,'Policy Characteristics'!$C:$C,0)))</f>
        <v>industry-ag-main.html#eff-stds</v>
      </c>
      <c r="R1499" s="254" t="str">
        <f>IF(ISBLANK(INDEX('Policy Characteristics'!L:L,MATCH($C1499,'Policy Characteristics'!$C:$C,0))),"",INDEX('Policy Characteristics'!L:L,MATCH($C1499,'Policy Characteristics'!$C:$C,0)))</f>
        <v>industry-energy-efficiency-standards.html</v>
      </c>
    </row>
    <row r="1500" spans="1:18" s="4" customFormat="1" x14ac:dyDescent="0.3">
      <c r="A1500" s="254" t="str">
        <f>IF(ISBLANK(INDEX('Policy Characteristics'!A:A,MATCH($C1500,'Policy Characteristics'!$C:$C,0))),"",INDEX('Policy Characteristics'!A:A,MATCH($C1500,'Policy Characteristics'!$C:$C,0)))</f>
        <v>Industry</v>
      </c>
      <c r="B1500" s="262" t="str">
        <f>IF(ISBLANK(INDEX('Policy Characteristics'!B:B,MATCH($C1500,'Policy Characteristics'!$C:$C,0))),"",INDEX('Policy Characteristics'!B:B,MATCH($C1500,'Policy Characteristics'!$C:$C,0)))</f>
        <v>Industry Energy Efficiency Standards</v>
      </c>
      <c r="C1500" s="254" t="str">
        <f t="shared" si="51"/>
        <v>Percentage Improvement in Eqpt Efficiency Standards above BAU</v>
      </c>
      <c r="D1500" s="6" t="s">
        <v>3082</v>
      </c>
      <c r="E1500" s="45" t="s">
        <v>2403</v>
      </c>
      <c r="F1500" t="s">
        <v>3044</v>
      </c>
      <c r="G1500" s="45" t="s">
        <v>2407</v>
      </c>
      <c r="H1500" s="43">
        <v>1172</v>
      </c>
      <c r="I1500" s="324" t="s">
        <v>43</v>
      </c>
      <c r="J1500" s="255" t="str">
        <f>IF(ISBLANK(INDEX('Policy Characteristics'!D:D,MATCH($C1500,'Policy Characteristics'!$C:$C,0))),"",INDEX('Policy Characteristics'!D:D,MATCH($C1500,'Policy Characteristics'!$C:$C,0)))</f>
        <v>Industry Energy Efficiency Standards</v>
      </c>
      <c r="K1500" s="254" t="str">
        <f>IF(ISBLANK(INDEX('Policy Characteristics'!E:E,MATCH($C1500,'Policy Characteristics'!$C:$C,0))),"",INDEX('Policy Characteristics'!E:E,MATCH($C1500,'Policy Characteristics'!$C:$C,0)))</f>
        <v>indst efficiency standards</v>
      </c>
      <c r="L1500" s="261">
        <f>IF(ISBLANK(INDEX('Policy Characteristics'!F:F,MATCH($C1500,'Policy Characteristics'!$C:$C,0))),"",INDEX('Policy Characteristics'!F:F,MATCH($C1500,'Policy Characteristics'!$C:$C,0)))</f>
        <v>0</v>
      </c>
      <c r="M1500" s="261">
        <f>IF(ISBLANK(INDEX('Policy Characteristics'!G:G,MATCH($C1500,'Policy Characteristics'!$C:$C,0))),"",INDEX('Policy Characteristics'!G:G,MATCH($C1500,'Policy Characteristics'!$C:$C,0)))</f>
        <v>0.25</v>
      </c>
      <c r="N1500" s="261">
        <f>IF(ISBLANK(INDEX('Policy Characteristics'!H:H,MATCH($C1500,'Policy Characteristics'!$C:$C,0))),"",INDEX('Policy Characteristics'!H:H,MATCH($C1500,'Policy Characteristics'!$C:$C,0)))</f>
        <v>0.01</v>
      </c>
      <c r="O1500" s="254" t="str">
        <f>IF(ISBLANK(INDEX('Policy Characteristics'!I:I,MATCH($C1500,'Policy Characteristics'!$C:$C,0))),"",INDEX('Policy Characteristics'!I:I,MATCH($C1500,'Policy Characteristics'!$C:$C,0)))</f>
        <v>% reduction in energy use</v>
      </c>
      <c r="P1500" s="254"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4" t="str">
        <f>IF(ISBLANK(INDEX('Policy Characteristics'!K:K,MATCH($C1500,'Policy Characteristics'!$C:$C,0))),"",INDEX('Policy Characteristics'!K:K,MATCH($C1500,'Policy Characteristics'!$C:$C,0)))</f>
        <v>industry-ag-main.html#eff-stds</v>
      </c>
      <c r="R1500" s="254" t="str">
        <f>IF(ISBLANK(INDEX('Policy Characteristics'!L:L,MATCH($C1500,'Policy Characteristics'!$C:$C,0))),"",INDEX('Policy Characteristics'!L:L,MATCH($C1500,'Policy Characteristics'!$C:$C,0)))</f>
        <v>industry-energy-efficiency-standards.html</v>
      </c>
    </row>
    <row r="1501" spans="1:18" s="4" customFormat="1" x14ac:dyDescent="0.3">
      <c r="A1501" s="254" t="str">
        <f>IF(ISBLANK(INDEX('Policy Characteristics'!A:A,MATCH($C1501,'Policy Characteristics'!$C:$C,0))),"",INDEX('Policy Characteristics'!A:A,MATCH($C1501,'Policy Characteristics'!$C:$C,0)))</f>
        <v>Industry</v>
      </c>
      <c r="B1501" s="262" t="str">
        <f>IF(ISBLANK(INDEX('Policy Characteristics'!B:B,MATCH($C1501,'Policy Characteristics'!$C:$C,0))),"",INDEX('Policy Characteristics'!B:B,MATCH($C1501,'Policy Characteristics'!$C:$C,0)))</f>
        <v>Industry Energy Efficiency Standards</v>
      </c>
      <c r="C1501" s="254" t="str">
        <f t="shared" si="51"/>
        <v>Percentage Improvement in Eqpt Efficiency Standards above BAU</v>
      </c>
      <c r="D1501" s="6" t="s">
        <v>3082</v>
      </c>
      <c r="E1501" s="45" t="s">
        <v>2404</v>
      </c>
      <c r="F1501" t="s">
        <v>3044</v>
      </c>
      <c r="G1501" s="45" t="s">
        <v>2410</v>
      </c>
      <c r="H1501" s="43">
        <v>1173</v>
      </c>
      <c r="I1501" s="324" t="s">
        <v>44</v>
      </c>
      <c r="J1501" s="255" t="str">
        <f>IF(ISBLANK(INDEX('Policy Characteristics'!D:D,MATCH($C1501,'Policy Characteristics'!$C:$C,0))),"",INDEX('Policy Characteristics'!D:D,MATCH($C1501,'Policy Characteristics'!$C:$C,0)))</f>
        <v>Industry Energy Efficiency Standards</v>
      </c>
      <c r="K1501" s="254" t="str">
        <f>IF(ISBLANK(INDEX('Policy Characteristics'!E:E,MATCH($C1501,'Policy Characteristics'!$C:$C,0))),"",INDEX('Policy Characteristics'!E:E,MATCH($C1501,'Policy Characteristics'!$C:$C,0)))</f>
        <v>indst efficiency standards</v>
      </c>
      <c r="L1501" s="261">
        <f>IF(ISBLANK(INDEX('Policy Characteristics'!F:F,MATCH($C1501,'Policy Characteristics'!$C:$C,0))),"",INDEX('Policy Characteristics'!F:F,MATCH($C1501,'Policy Characteristics'!$C:$C,0)))</f>
        <v>0</v>
      </c>
      <c r="M1501" s="261">
        <f>IF(ISBLANK(INDEX('Policy Characteristics'!G:G,MATCH($C1501,'Policy Characteristics'!$C:$C,0))),"",INDEX('Policy Characteristics'!G:G,MATCH($C1501,'Policy Characteristics'!$C:$C,0)))</f>
        <v>0.25</v>
      </c>
      <c r="N1501" s="261">
        <f>IF(ISBLANK(INDEX('Policy Characteristics'!H:H,MATCH($C1501,'Policy Characteristics'!$C:$C,0))),"",INDEX('Policy Characteristics'!H:H,MATCH($C1501,'Policy Characteristics'!$C:$C,0)))</f>
        <v>0.01</v>
      </c>
      <c r="O1501" s="254" t="str">
        <f>IF(ISBLANK(INDEX('Policy Characteristics'!I:I,MATCH($C1501,'Policy Characteristics'!$C:$C,0))),"",INDEX('Policy Characteristics'!I:I,MATCH($C1501,'Policy Characteristics'!$C:$C,0)))</f>
        <v>% reduction in energy use</v>
      </c>
      <c r="P1501" s="254"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4" t="str">
        <f>IF(ISBLANK(INDEX('Policy Characteristics'!K:K,MATCH($C1501,'Policy Characteristics'!$C:$C,0))),"",INDEX('Policy Characteristics'!K:K,MATCH($C1501,'Policy Characteristics'!$C:$C,0)))</f>
        <v>industry-ag-main.html#eff-stds</v>
      </c>
      <c r="R1501" s="254" t="str">
        <f>IF(ISBLANK(INDEX('Policy Characteristics'!L:L,MATCH($C1501,'Policy Characteristics'!$C:$C,0))),"",INDEX('Policy Characteristics'!L:L,MATCH($C1501,'Policy Characteristics'!$C:$C,0)))</f>
        <v>industry-energy-efficiency-standards.html</v>
      </c>
    </row>
    <row r="1502" spans="1:18" s="4" customFormat="1" x14ac:dyDescent="0.3">
      <c r="A1502" s="254" t="str">
        <f>IF(ISBLANK(INDEX('Policy Characteristics'!A:A,MATCH($C1502,'Policy Characteristics'!$C:$C,0))),"",INDEX('Policy Characteristics'!A:A,MATCH($C1502,'Policy Characteristics'!$C:$C,0)))</f>
        <v>Industry</v>
      </c>
      <c r="B1502" s="262" t="str">
        <f>IF(ISBLANK(INDEX('Policy Characteristics'!B:B,MATCH($C1502,'Policy Characteristics'!$C:$C,0))),"",INDEX('Policy Characteristics'!B:B,MATCH($C1502,'Policy Characteristics'!$C:$C,0)))</f>
        <v>Industry Energy Efficiency Standards</v>
      </c>
      <c r="C1502" s="254" t="str">
        <f t="shared" si="51"/>
        <v>Percentage Improvement in Eqpt Efficiency Standards above BAU</v>
      </c>
      <c r="D1502" s="6" t="s">
        <v>3082</v>
      </c>
      <c r="E1502" s="45" t="s">
        <v>2706</v>
      </c>
      <c r="F1502" t="s">
        <v>3044</v>
      </c>
      <c r="G1502" s="45" t="s">
        <v>2709</v>
      </c>
      <c r="H1502" s="43">
        <v>1174</v>
      </c>
      <c r="I1502" s="324" t="s">
        <v>44</v>
      </c>
      <c r="J1502" s="255" t="str">
        <f>IF(ISBLANK(INDEX('Policy Characteristics'!D:D,MATCH($C1502,'Policy Characteristics'!$C:$C,0))),"",INDEX('Policy Characteristics'!D:D,MATCH($C1502,'Policy Characteristics'!$C:$C,0)))</f>
        <v>Industry Energy Efficiency Standards</v>
      </c>
      <c r="K1502" s="254" t="str">
        <f>IF(ISBLANK(INDEX('Policy Characteristics'!E:E,MATCH($C1502,'Policy Characteristics'!$C:$C,0))),"",INDEX('Policy Characteristics'!E:E,MATCH($C1502,'Policy Characteristics'!$C:$C,0)))</f>
        <v>indst efficiency standards</v>
      </c>
      <c r="L1502" s="261">
        <f>IF(ISBLANK(INDEX('Policy Characteristics'!F:F,MATCH($C1502,'Policy Characteristics'!$C:$C,0))),"",INDEX('Policy Characteristics'!F:F,MATCH($C1502,'Policy Characteristics'!$C:$C,0)))</f>
        <v>0</v>
      </c>
      <c r="M1502" s="261">
        <f>IF(ISBLANK(INDEX('Policy Characteristics'!G:G,MATCH($C1502,'Policy Characteristics'!$C:$C,0))),"",INDEX('Policy Characteristics'!G:G,MATCH($C1502,'Policy Characteristics'!$C:$C,0)))</f>
        <v>0.25</v>
      </c>
      <c r="N1502" s="261">
        <f>IF(ISBLANK(INDEX('Policy Characteristics'!H:H,MATCH($C1502,'Policy Characteristics'!$C:$C,0))),"",INDEX('Policy Characteristics'!H:H,MATCH($C1502,'Policy Characteristics'!$C:$C,0)))</f>
        <v>0.01</v>
      </c>
      <c r="O1502" s="254" t="str">
        <f>IF(ISBLANK(INDEX('Policy Characteristics'!I:I,MATCH($C1502,'Policy Characteristics'!$C:$C,0))),"",INDEX('Policy Characteristics'!I:I,MATCH($C1502,'Policy Characteristics'!$C:$C,0)))</f>
        <v>% reduction in energy use</v>
      </c>
      <c r="P1502" s="254"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4" t="str">
        <f>IF(ISBLANK(INDEX('Policy Characteristics'!K:K,MATCH($C1502,'Policy Characteristics'!$C:$C,0))),"",INDEX('Policy Characteristics'!K:K,MATCH($C1502,'Policy Characteristics'!$C:$C,0)))</f>
        <v>industry-ag-main.html#eff-stds</v>
      </c>
      <c r="R1502" s="254" t="str">
        <f>IF(ISBLANK(INDEX('Policy Characteristics'!L:L,MATCH($C1502,'Policy Characteristics'!$C:$C,0))),"",INDEX('Policy Characteristics'!L:L,MATCH($C1502,'Policy Characteristics'!$C:$C,0)))</f>
        <v>industry-energy-efficiency-standards.html</v>
      </c>
    </row>
    <row r="1503" spans="1:18" s="4" customFormat="1" x14ac:dyDescent="0.3">
      <c r="A1503" s="254" t="str">
        <f>IF(ISBLANK(INDEX('Policy Characteristics'!A:A,MATCH($C1503,'Policy Characteristics'!$C:$C,0))),"",INDEX('Policy Characteristics'!A:A,MATCH($C1503,'Policy Characteristics'!$C:$C,0)))</f>
        <v>Industry</v>
      </c>
      <c r="B1503" s="262" t="str">
        <f>IF(ISBLANK(INDEX('Policy Characteristics'!B:B,MATCH($C1503,'Policy Characteristics'!$C:$C,0))),"",INDEX('Policy Characteristics'!B:B,MATCH($C1503,'Policy Characteristics'!$C:$C,0)))</f>
        <v>Industry Energy Efficiency Standards</v>
      </c>
      <c r="C1503" s="254" t="str">
        <f t="shared" si="51"/>
        <v>Percentage Improvement in Eqpt Efficiency Standards above BAU</v>
      </c>
      <c r="D1503" s="6" t="s">
        <v>3082</v>
      </c>
      <c r="E1503" s="45" t="s">
        <v>2707</v>
      </c>
      <c r="F1503" t="s">
        <v>3044</v>
      </c>
      <c r="G1503" s="45" t="s">
        <v>2711</v>
      </c>
      <c r="H1503" s="43">
        <v>1175</v>
      </c>
      <c r="I1503" s="324" t="s">
        <v>43</v>
      </c>
      <c r="J1503" s="255" t="str">
        <f>IF(ISBLANK(INDEX('Policy Characteristics'!D:D,MATCH($C1503,'Policy Characteristics'!$C:$C,0))),"",INDEX('Policy Characteristics'!D:D,MATCH($C1503,'Policy Characteristics'!$C:$C,0)))</f>
        <v>Industry Energy Efficiency Standards</v>
      </c>
      <c r="K1503" s="254" t="str">
        <f>IF(ISBLANK(INDEX('Policy Characteristics'!E:E,MATCH($C1503,'Policy Characteristics'!$C:$C,0))),"",INDEX('Policy Characteristics'!E:E,MATCH($C1503,'Policy Characteristics'!$C:$C,0)))</f>
        <v>indst efficiency standards</v>
      </c>
      <c r="L1503" s="261">
        <f>IF(ISBLANK(INDEX('Policy Characteristics'!F:F,MATCH($C1503,'Policy Characteristics'!$C:$C,0))),"",INDEX('Policy Characteristics'!F:F,MATCH($C1503,'Policy Characteristics'!$C:$C,0)))</f>
        <v>0</v>
      </c>
      <c r="M1503" s="261">
        <f>IF(ISBLANK(INDEX('Policy Characteristics'!G:G,MATCH($C1503,'Policy Characteristics'!$C:$C,0))),"",INDEX('Policy Characteristics'!G:G,MATCH($C1503,'Policy Characteristics'!$C:$C,0)))</f>
        <v>0.25</v>
      </c>
      <c r="N1503" s="261">
        <f>IF(ISBLANK(INDEX('Policy Characteristics'!H:H,MATCH($C1503,'Policy Characteristics'!$C:$C,0))),"",INDEX('Policy Characteristics'!H:H,MATCH($C1503,'Policy Characteristics'!$C:$C,0)))</f>
        <v>0.01</v>
      </c>
      <c r="O1503" s="254" t="str">
        <f>IF(ISBLANK(INDEX('Policy Characteristics'!I:I,MATCH($C1503,'Policy Characteristics'!$C:$C,0))),"",INDEX('Policy Characteristics'!I:I,MATCH($C1503,'Policy Characteristics'!$C:$C,0)))</f>
        <v>% reduction in energy use</v>
      </c>
      <c r="P1503" s="254"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4" t="str">
        <f>IF(ISBLANK(INDEX('Policy Characteristics'!K:K,MATCH($C1503,'Policy Characteristics'!$C:$C,0))),"",INDEX('Policy Characteristics'!K:K,MATCH($C1503,'Policy Characteristics'!$C:$C,0)))</f>
        <v>industry-ag-main.html#eff-stds</v>
      </c>
      <c r="R1503" s="254" t="str">
        <f>IF(ISBLANK(INDEX('Policy Characteristics'!L:L,MATCH($C1503,'Policy Characteristics'!$C:$C,0))),"",INDEX('Policy Characteristics'!L:L,MATCH($C1503,'Policy Characteristics'!$C:$C,0)))</f>
        <v>industry-energy-efficiency-standards.html</v>
      </c>
    </row>
    <row r="1504" spans="1:18" s="4" customFormat="1" x14ac:dyDescent="0.3">
      <c r="A1504" s="254" t="str">
        <f>IF(ISBLANK(INDEX('Policy Characteristics'!A:A,MATCH($C1504,'Policy Characteristics'!$C:$C,0))),"",INDEX('Policy Characteristics'!A:A,MATCH($C1504,'Policy Characteristics'!$C:$C,0)))</f>
        <v>Industry</v>
      </c>
      <c r="B1504" s="262" t="str">
        <f>IF(ISBLANK(INDEX('Policy Characteristics'!B:B,MATCH($C1504,'Policy Characteristics'!$C:$C,0))),"",INDEX('Policy Characteristics'!B:B,MATCH($C1504,'Policy Characteristics'!$C:$C,0)))</f>
        <v>Industry Energy Efficiency Standards</v>
      </c>
      <c r="C1504" s="254" t="str">
        <f t="shared" si="51"/>
        <v>Percentage Improvement in Eqpt Efficiency Standards above BAU</v>
      </c>
      <c r="D1504" s="6" t="s">
        <v>3082</v>
      </c>
      <c r="E1504" s="45" t="s">
        <v>2708</v>
      </c>
      <c r="F1504" t="s">
        <v>3044</v>
      </c>
      <c r="G1504" s="45" t="s">
        <v>2712</v>
      </c>
      <c r="H1504" s="43">
        <v>1176</v>
      </c>
      <c r="I1504" s="324" t="s">
        <v>43</v>
      </c>
      <c r="J1504" s="255" t="str">
        <f>IF(ISBLANK(INDEX('Policy Characteristics'!D:D,MATCH($C1504,'Policy Characteristics'!$C:$C,0))),"",INDEX('Policy Characteristics'!D:D,MATCH($C1504,'Policy Characteristics'!$C:$C,0)))</f>
        <v>Industry Energy Efficiency Standards</v>
      </c>
      <c r="K1504" s="254" t="str">
        <f>IF(ISBLANK(INDEX('Policy Characteristics'!E:E,MATCH($C1504,'Policy Characteristics'!$C:$C,0))),"",INDEX('Policy Characteristics'!E:E,MATCH($C1504,'Policy Characteristics'!$C:$C,0)))</f>
        <v>indst efficiency standards</v>
      </c>
      <c r="L1504" s="261">
        <f>IF(ISBLANK(INDEX('Policy Characteristics'!F:F,MATCH($C1504,'Policy Characteristics'!$C:$C,0))),"",INDEX('Policy Characteristics'!F:F,MATCH($C1504,'Policy Characteristics'!$C:$C,0)))</f>
        <v>0</v>
      </c>
      <c r="M1504" s="261">
        <f>IF(ISBLANK(INDEX('Policy Characteristics'!G:G,MATCH($C1504,'Policy Characteristics'!$C:$C,0))),"",INDEX('Policy Characteristics'!G:G,MATCH($C1504,'Policy Characteristics'!$C:$C,0)))</f>
        <v>0.25</v>
      </c>
      <c r="N1504" s="261">
        <f>IF(ISBLANK(INDEX('Policy Characteristics'!H:H,MATCH($C1504,'Policy Characteristics'!$C:$C,0))),"",INDEX('Policy Characteristics'!H:H,MATCH($C1504,'Policy Characteristics'!$C:$C,0)))</f>
        <v>0.01</v>
      </c>
      <c r="O1504" s="254" t="str">
        <f>IF(ISBLANK(INDEX('Policy Characteristics'!I:I,MATCH($C1504,'Policy Characteristics'!$C:$C,0))),"",INDEX('Policy Characteristics'!I:I,MATCH($C1504,'Policy Characteristics'!$C:$C,0)))</f>
        <v>% reduction in energy use</v>
      </c>
      <c r="P1504" s="254"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4" t="str">
        <f>IF(ISBLANK(INDEX('Policy Characteristics'!K:K,MATCH($C1504,'Policy Characteristics'!$C:$C,0))),"",INDEX('Policy Characteristics'!K:K,MATCH($C1504,'Policy Characteristics'!$C:$C,0)))</f>
        <v>industry-ag-main.html#eff-stds</v>
      </c>
      <c r="R1504" s="254" t="str">
        <f>IF(ISBLANK(INDEX('Policy Characteristics'!L:L,MATCH($C1504,'Policy Characteristics'!$C:$C,0))),"",INDEX('Policy Characteristics'!L:L,MATCH($C1504,'Policy Characteristics'!$C:$C,0)))</f>
        <v>industry-energy-efficiency-standards.html</v>
      </c>
    </row>
    <row r="1505" spans="1:18" s="4" customFormat="1" x14ac:dyDescent="0.3">
      <c r="A1505" s="254" t="str">
        <f>IF(ISBLANK(INDEX('Policy Characteristics'!A:A,MATCH($C1505,'Policy Characteristics'!$C:$C,0))),"",INDEX('Policy Characteristics'!A:A,MATCH($C1505,'Policy Characteristics'!$C:$C,0)))</f>
        <v>Industry</v>
      </c>
      <c r="B1505" s="262" t="str">
        <f>IF(ISBLANK(INDEX('Policy Characteristics'!B:B,MATCH($C1505,'Policy Characteristics'!$C:$C,0))),"",INDEX('Policy Characteristics'!B:B,MATCH($C1505,'Policy Characteristics'!$C:$C,0)))</f>
        <v>Industry Energy Efficiency Standards</v>
      </c>
      <c r="C1505" s="254" t="str">
        <f t="shared" si="51"/>
        <v>Percentage Improvement in Eqpt Efficiency Standards above BAU</v>
      </c>
      <c r="D1505" s="6" t="s">
        <v>3082</v>
      </c>
      <c r="E1505" s="45" t="s">
        <v>2705</v>
      </c>
      <c r="F1505" t="s">
        <v>3044</v>
      </c>
      <c r="G1505" s="45" t="s">
        <v>2710</v>
      </c>
      <c r="H1505" s="43">
        <v>1177</v>
      </c>
      <c r="I1505" s="324" t="s">
        <v>44</v>
      </c>
      <c r="J1505" s="255" t="str">
        <f>IF(ISBLANK(INDEX('Policy Characteristics'!D:D,MATCH($C1505,'Policy Characteristics'!$C:$C,0))),"",INDEX('Policy Characteristics'!D:D,MATCH($C1505,'Policy Characteristics'!$C:$C,0)))</f>
        <v>Industry Energy Efficiency Standards</v>
      </c>
      <c r="K1505" s="254" t="str">
        <f>IF(ISBLANK(INDEX('Policy Characteristics'!E:E,MATCH($C1505,'Policy Characteristics'!$C:$C,0))),"",INDEX('Policy Characteristics'!E:E,MATCH($C1505,'Policy Characteristics'!$C:$C,0)))</f>
        <v>indst efficiency standards</v>
      </c>
      <c r="L1505" s="261">
        <f>IF(ISBLANK(INDEX('Policy Characteristics'!F:F,MATCH($C1505,'Policy Characteristics'!$C:$C,0))),"",INDEX('Policy Characteristics'!F:F,MATCH($C1505,'Policy Characteristics'!$C:$C,0)))</f>
        <v>0</v>
      </c>
      <c r="M1505" s="261">
        <f>IF(ISBLANK(INDEX('Policy Characteristics'!G:G,MATCH($C1505,'Policy Characteristics'!$C:$C,0))),"",INDEX('Policy Characteristics'!G:G,MATCH($C1505,'Policy Characteristics'!$C:$C,0)))</f>
        <v>0.25</v>
      </c>
      <c r="N1505" s="261">
        <f>IF(ISBLANK(INDEX('Policy Characteristics'!H:H,MATCH($C1505,'Policy Characteristics'!$C:$C,0))),"",INDEX('Policy Characteristics'!H:H,MATCH($C1505,'Policy Characteristics'!$C:$C,0)))</f>
        <v>0.01</v>
      </c>
      <c r="O1505" s="254" t="str">
        <f>IF(ISBLANK(INDEX('Policy Characteristics'!I:I,MATCH($C1505,'Policy Characteristics'!$C:$C,0))),"",INDEX('Policy Characteristics'!I:I,MATCH($C1505,'Policy Characteristics'!$C:$C,0)))</f>
        <v>% reduction in energy use</v>
      </c>
      <c r="P1505" s="254"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4" t="str">
        <f>IF(ISBLANK(INDEX('Policy Characteristics'!K:K,MATCH($C1505,'Policy Characteristics'!$C:$C,0))),"",INDEX('Policy Characteristics'!K:K,MATCH($C1505,'Policy Characteristics'!$C:$C,0)))</f>
        <v>industry-ag-main.html#eff-stds</v>
      </c>
      <c r="R1505" s="254" t="str">
        <f>IF(ISBLANK(INDEX('Policy Characteristics'!L:L,MATCH($C1505,'Policy Characteristics'!$C:$C,0))),"",INDEX('Policy Characteristics'!L:L,MATCH($C1505,'Policy Characteristics'!$C:$C,0)))</f>
        <v>industry-energy-efficiency-standards.html</v>
      </c>
    </row>
    <row r="1506" spans="1:18" s="4" customFormat="1" x14ac:dyDescent="0.3">
      <c r="A1506" s="254" t="str">
        <f>IF(ISBLANK(INDEX('Policy Characteristics'!A:A,MATCH($C1506,'Policy Characteristics'!$C:$C,0))),"",INDEX('Policy Characteristics'!A:A,MATCH($C1506,'Policy Characteristics'!$C:$C,0)))</f>
        <v>Industry</v>
      </c>
      <c r="B1506" s="262" t="str">
        <f>IF(ISBLANK(INDEX('Policy Characteristics'!B:B,MATCH($C1506,'Policy Characteristics'!$C:$C,0))),"",INDEX('Policy Characteristics'!B:B,MATCH($C1506,'Policy Characteristics'!$C:$C,0)))</f>
        <v>Industry Energy Efficiency Standards</v>
      </c>
      <c r="C1506" s="254" t="str">
        <f t="shared" si="51"/>
        <v>Percentage Improvement in Eqpt Efficiency Standards above BAU</v>
      </c>
      <c r="D1506" s="6" t="s">
        <v>3083</v>
      </c>
      <c r="E1506" s="45" t="s">
        <v>2399</v>
      </c>
      <c r="F1506" t="s">
        <v>3045</v>
      </c>
      <c r="G1506" s="45" t="s">
        <v>2405</v>
      </c>
      <c r="H1506" s="43">
        <v>1178</v>
      </c>
      <c r="I1506" s="325" t="s">
        <v>44</v>
      </c>
      <c r="J1506" s="255" t="str">
        <f>IF(ISBLANK(INDEX('Policy Characteristics'!D:D,MATCH($C1506,'Policy Characteristics'!$C:$C,0))),"",INDEX('Policy Characteristics'!D:D,MATCH($C1506,'Policy Characteristics'!$C:$C,0)))</f>
        <v>Industry Energy Efficiency Standards</v>
      </c>
      <c r="K1506" s="254" t="str">
        <f>IF(ISBLANK(INDEX('Policy Characteristics'!E:E,MATCH($C1506,'Policy Characteristics'!$C:$C,0))),"",INDEX('Policy Characteristics'!E:E,MATCH($C1506,'Policy Characteristics'!$C:$C,0)))</f>
        <v>indst efficiency standards</v>
      </c>
      <c r="L1506" s="261">
        <f>IF(ISBLANK(INDEX('Policy Characteristics'!F:F,MATCH($C1506,'Policy Characteristics'!$C:$C,0))),"",INDEX('Policy Characteristics'!F:F,MATCH($C1506,'Policy Characteristics'!$C:$C,0)))</f>
        <v>0</v>
      </c>
      <c r="M1506" s="261">
        <f>IF(ISBLANK(INDEX('Policy Characteristics'!G:G,MATCH($C1506,'Policy Characteristics'!$C:$C,0))),"",INDEX('Policy Characteristics'!G:G,MATCH($C1506,'Policy Characteristics'!$C:$C,0)))</f>
        <v>0.25</v>
      </c>
      <c r="N1506" s="261">
        <f>IF(ISBLANK(INDEX('Policy Characteristics'!H:H,MATCH($C1506,'Policy Characteristics'!$C:$C,0))),"",INDEX('Policy Characteristics'!H:H,MATCH($C1506,'Policy Characteristics'!$C:$C,0)))</f>
        <v>0.01</v>
      </c>
      <c r="O1506" s="254" t="str">
        <f>IF(ISBLANK(INDEX('Policy Characteristics'!I:I,MATCH($C1506,'Policy Characteristics'!$C:$C,0))),"",INDEX('Policy Characteristics'!I:I,MATCH($C1506,'Policy Characteristics'!$C:$C,0)))</f>
        <v>% reduction in energy use</v>
      </c>
      <c r="P1506" s="254"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4" t="str">
        <f>IF(ISBLANK(INDEX('Policy Characteristics'!K:K,MATCH($C1506,'Policy Characteristics'!$C:$C,0))),"",INDEX('Policy Characteristics'!K:K,MATCH($C1506,'Policy Characteristics'!$C:$C,0)))</f>
        <v>industry-ag-main.html#eff-stds</v>
      </c>
      <c r="R1506" s="254" t="str">
        <f>IF(ISBLANK(INDEX('Policy Characteristics'!L:L,MATCH($C1506,'Policy Characteristics'!$C:$C,0))),"",INDEX('Policy Characteristics'!L:L,MATCH($C1506,'Policy Characteristics'!$C:$C,0)))</f>
        <v>industry-energy-efficiency-standards.html</v>
      </c>
    </row>
    <row r="1507" spans="1:18" s="4" customFormat="1" x14ac:dyDescent="0.3">
      <c r="A1507" s="254" t="str">
        <f>IF(ISBLANK(INDEX('Policy Characteristics'!A:A,MATCH($C1507,'Policy Characteristics'!$C:$C,0))),"",INDEX('Policy Characteristics'!A:A,MATCH($C1507,'Policy Characteristics'!$C:$C,0)))</f>
        <v>Industry</v>
      </c>
      <c r="B1507" s="262" t="str">
        <f>IF(ISBLANK(INDEX('Policy Characteristics'!B:B,MATCH($C1507,'Policy Characteristics'!$C:$C,0))),"",INDEX('Policy Characteristics'!B:B,MATCH($C1507,'Policy Characteristics'!$C:$C,0)))</f>
        <v>Industry Energy Efficiency Standards</v>
      </c>
      <c r="C1507" s="254" t="str">
        <f t="shared" si="51"/>
        <v>Percentage Improvement in Eqpt Efficiency Standards above BAU</v>
      </c>
      <c r="D1507" s="6" t="s">
        <v>3083</v>
      </c>
      <c r="E1507" s="45" t="s">
        <v>2400</v>
      </c>
      <c r="F1507" t="s">
        <v>3045</v>
      </c>
      <c r="G1507" s="45" t="s">
        <v>2408</v>
      </c>
      <c r="H1507" s="43">
        <v>1179</v>
      </c>
      <c r="I1507" s="324" t="s">
        <v>44</v>
      </c>
      <c r="J1507" s="255" t="str">
        <f>IF(ISBLANK(INDEX('Policy Characteristics'!D:D,MATCH($C1507,'Policy Characteristics'!$C:$C,0))),"",INDEX('Policy Characteristics'!D:D,MATCH($C1507,'Policy Characteristics'!$C:$C,0)))</f>
        <v>Industry Energy Efficiency Standards</v>
      </c>
      <c r="K1507" s="254" t="str">
        <f>IF(ISBLANK(INDEX('Policy Characteristics'!E:E,MATCH($C1507,'Policy Characteristics'!$C:$C,0))),"",INDEX('Policy Characteristics'!E:E,MATCH($C1507,'Policy Characteristics'!$C:$C,0)))</f>
        <v>indst efficiency standards</v>
      </c>
      <c r="L1507" s="261">
        <f>IF(ISBLANK(INDEX('Policy Characteristics'!F:F,MATCH($C1507,'Policy Characteristics'!$C:$C,0))),"",INDEX('Policy Characteristics'!F:F,MATCH($C1507,'Policy Characteristics'!$C:$C,0)))</f>
        <v>0</v>
      </c>
      <c r="M1507" s="261">
        <f>IF(ISBLANK(INDEX('Policy Characteristics'!G:G,MATCH($C1507,'Policy Characteristics'!$C:$C,0))),"",INDEX('Policy Characteristics'!G:G,MATCH($C1507,'Policy Characteristics'!$C:$C,0)))</f>
        <v>0.25</v>
      </c>
      <c r="N1507" s="261">
        <f>IF(ISBLANK(INDEX('Policy Characteristics'!H:H,MATCH($C1507,'Policy Characteristics'!$C:$C,0))),"",INDEX('Policy Characteristics'!H:H,MATCH($C1507,'Policy Characteristics'!$C:$C,0)))</f>
        <v>0.01</v>
      </c>
      <c r="O1507" s="254" t="str">
        <f>IF(ISBLANK(INDEX('Policy Characteristics'!I:I,MATCH($C1507,'Policy Characteristics'!$C:$C,0))),"",INDEX('Policy Characteristics'!I:I,MATCH($C1507,'Policy Characteristics'!$C:$C,0)))</f>
        <v>% reduction in energy use</v>
      </c>
      <c r="P1507" s="254"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4" t="str">
        <f>IF(ISBLANK(INDEX('Policy Characteristics'!K:K,MATCH($C1507,'Policy Characteristics'!$C:$C,0))),"",INDEX('Policy Characteristics'!K:K,MATCH($C1507,'Policy Characteristics'!$C:$C,0)))</f>
        <v>industry-ag-main.html#eff-stds</v>
      </c>
      <c r="R1507" s="254" t="str">
        <f>IF(ISBLANK(INDEX('Policy Characteristics'!L:L,MATCH($C1507,'Policy Characteristics'!$C:$C,0))),"",INDEX('Policy Characteristics'!L:L,MATCH($C1507,'Policy Characteristics'!$C:$C,0)))</f>
        <v>industry-energy-efficiency-standards.html</v>
      </c>
    </row>
    <row r="1508" spans="1:18" s="4" customFormat="1" x14ac:dyDescent="0.3">
      <c r="A1508" s="254" t="str">
        <f>IF(ISBLANK(INDEX('Policy Characteristics'!A:A,MATCH($C1508,'Policy Characteristics'!$C:$C,0))),"",INDEX('Policy Characteristics'!A:A,MATCH($C1508,'Policy Characteristics'!$C:$C,0)))</f>
        <v>Industry</v>
      </c>
      <c r="B1508" s="262" t="str">
        <f>IF(ISBLANK(INDEX('Policy Characteristics'!B:B,MATCH($C1508,'Policy Characteristics'!$C:$C,0))),"",INDEX('Policy Characteristics'!B:B,MATCH($C1508,'Policy Characteristics'!$C:$C,0)))</f>
        <v>Industry Energy Efficiency Standards</v>
      </c>
      <c r="C1508" s="254" t="str">
        <f t="shared" si="51"/>
        <v>Percentage Improvement in Eqpt Efficiency Standards above BAU</v>
      </c>
      <c r="D1508" s="6" t="s">
        <v>3083</v>
      </c>
      <c r="E1508" s="45" t="s">
        <v>2401</v>
      </c>
      <c r="F1508" t="s">
        <v>3045</v>
      </c>
      <c r="G1508" s="45" t="s">
        <v>2409</v>
      </c>
      <c r="H1508" s="43">
        <v>1180</v>
      </c>
      <c r="I1508" s="324" t="s">
        <v>43</v>
      </c>
      <c r="J1508" s="255" t="str">
        <f>IF(ISBLANK(INDEX('Policy Characteristics'!D:D,MATCH($C1508,'Policy Characteristics'!$C:$C,0))),"",INDEX('Policy Characteristics'!D:D,MATCH($C1508,'Policy Characteristics'!$C:$C,0)))</f>
        <v>Industry Energy Efficiency Standards</v>
      </c>
      <c r="K1508" s="254" t="str">
        <f>IF(ISBLANK(INDEX('Policy Characteristics'!E:E,MATCH($C1508,'Policy Characteristics'!$C:$C,0))),"",INDEX('Policy Characteristics'!E:E,MATCH($C1508,'Policy Characteristics'!$C:$C,0)))</f>
        <v>indst efficiency standards</v>
      </c>
      <c r="L1508" s="261">
        <f>IF(ISBLANK(INDEX('Policy Characteristics'!F:F,MATCH($C1508,'Policy Characteristics'!$C:$C,0))),"",INDEX('Policy Characteristics'!F:F,MATCH($C1508,'Policy Characteristics'!$C:$C,0)))</f>
        <v>0</v>
      </c>
      <c r="M1508" s="261">
        <f>IF(ISBLANK(INDEX('Policy Characteristics'!G:G,MATCH($C1508,'Policy Characteristics'!$C:$C,0))),"",INDEX('Policy Characteristics'!G:G,MATCH($C1508,'Policy Characteristics'!$C:$C,0)))</f>
        <v>0.25</v>
      </c>
      <c r="N1508" s="261">
        <f>IF(ISBLANK(INDEX('Policy Characteristics'!H:H,MATCH($C1508,'Policy Characteristics'!$C:$C,0))),"",INDEX('Policy Characteristics'!H:H,MATCH($C1508,'Policy Characteristics'!$C:$C,0)))</f>
        <v>0.01</v>
      </c>
      <c r="O1508" s="254" t="str">
        <f>IF(ISBLANK(INDEX('Policy Characteristics'!I:I,MATCH($C1508,'Policy Characteristics'!$C:$C,0))),"",INDEX('Policy Characteristics'!I:I,MATCH($C1508,'Policy Characteristics'!$C:$C,0)))</f>
        <v>% reduction in energy use</v>
      </c>
      <c r="P1508" s="254"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4" t="str">
        <f>IF(ISBLANK(INDEX('Policy Characteristics'!K:K,MATCH($C1508,'Policy Characteristics'!$C:$C,0))),"",INDEX('Policy Characteristics'!K:K,MATCH($C1508,'Policy Characteristics'!$C:$C,0)))</f>
        <v>industry-ag-main.html#eff-stds</v>
      </c>
      <c r="R1508" s="254" t="str">
        <f>IF(ISBLANK(INDEX('Policy Characteristics'!L:L,MATCH($C1508,'Policy Characteristics'!$C:$C,0))),"",INDEX('Policy Characteristics'!L:L,MATCH($C1508,'Policy Characteristics'!$C:$C,0)))</f>
        <v>industry-energy-efficiency-standards.html</v>
      </c>
    </row>
    <row r="1509" spans="1:18" s="4" customFormat="1" x14ac:dyDescent="0.3">
      <c r="A1509" s="254" t="str">
        <f>IF(ISBLANK(INDEX('Policy Characteristics'!A:A,MATCH($C1509,'Policy Characteristics'!$C:$C,0))),"",INDEX('Policy Characteristics'!A:A,MATCH($C1509,'Policy Characteristics'!$C:$C,0)))</f>
        <v>Industry</v>
      </c>
      <c r="B1509" s="262" t="str">
        <f>IF(ISBLANK(INDEX('Policy Characteristics'!B:B,MATCH($C1509,'Policy Characteristics'!$C:$C,0))),"",INDEX('Policy Characteristics'!B:B,MATCH($C1509,'Policy Characteristics'!$C:$C,0)))</f>
        <v>Industry Energy Efficiency Standards</v>
      </c>
      <c r="C1509" s="254" t="str">
        <f t="shared" si="51"/>
        <v>Percentage Improvement in Eqpt Efficiency Standards above BAU</v>
      </c>
      <c r="D1509" s="6" t="s">
        <v>3083</v>
      </c>
      <c r="E1509" s="45" t="s">
        <v>2402</v>
      </c>
      <c r="F1509" t="s">
        <v>3045</v>
      </c>
      <c r="G1509" s="45" t="s">
        <v>2406</v>
      </c>
      <c r="H1509" s="43">
        <v>1181</v>
      </c>
      <c r="I1509" s="324" t="s">
        <v>44</v>
      </c>
      <c r="J1509" s="255" t="str">
        <f>IF(ISBLANK(INDEX('Policy Characteristics'!D:D,MATCH($C1509,'Policy Characteristics'!$C:$C,0))),"",INDEX('Policy Characteristics'!D:D,MATCH($C1509,'Policy Characteristics'!$C:$C,0)))</f>
        <v>Industry Energy Efficiency Standards</v>
      </c>
      <c r="K1509" s="254" t="str">
        <f>IF(ISBLANK(INDEX('Policy Characteristics'!E:E,MATCH($C1509,'Policy Characteristics'!$C:$C,0))),"",INDEX('Policy Characteristics'!E:E,MATCH($C1509,'Policy Characteristics'!$C:$C,0)))</f>
        <v>indst efficiency standards</v>
      </c>
      <c r="L1509" s="261">
        <f>IF(ISBLANK(INDEX('Policy Characteristics'!F:F,MATCH($C1509,'Policy Characteristics'!$C:$C,0))),"",INDEX('Policy Characteristics'!F:F,MATCH($C1509,'Policy Characteristics'!$C:$C,0)))</f>
        <v>0</v>
      </c>
      <c r="M1509" s="261">
        <f>IF(ISBLANK(INDEX('Policy Characteristics'!G:G,MATCH($C1509,'Policy Characteristics'!$C:$C,0))),"",INDEX('Policy Characteristics'!G:G,MATCH($C1509,'Policy Characteristics'!$C:$C,0)))</f>
        <v>0.25</v>
      </c>
      <c r="N1509" s="261">
        <f>IF(ISBLANK(INDEX('Policy Characteristics'!H:H,MATCH($C1509,'Policy Characteristics'!$C:$C,0))),"",INDEX('Policy Characteristics'!H:H,MATCH($C1509,'Policy Characteristics'!$C:$C,0)))</f>
        <v>0.01</v>
      </c>
      <c r="O1509" s="254" t="str">
        <f>IF(ISBLANK(INDEX('Policy Characteristics'!I:I,MATCH($C1509,'Policy Characteristics'!$C:$C,0))),"",INDEX('Policy Characteristics'!I:I,MATCH($C1509,'Policy Characteristics'!$C:$C,0)))</f>
        <v>% reduction in energy use</v>
      </c>
      <c r="P1509" s="254"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4" t="str">
        <f>IF(ISBLANK(INDEX('Policy Characteristics'!K:K,MATCH($C1509,'Policy Characteristics'!$C:$C,0))),"",INDEX('Policy Characteristics'!K:K,MATCH($C1509,'Policy Characteristics'!$C:$C,0)))</f>
        <v>industry-ag-main.html#eff-stds</v>
      </c>
      <c r="R1509" s="254" t="str">
        <f>IF(ISBLANK(INDEX('Policy Characteristics'!L:L,MATCH($C1509,'Policy Characteristics'!$C:$C,0))),"",INDEX('Policy Characteristics'!L:L,MATCH($C1509,'Policy Characteristics'!$C:$C,0)))</f>
        <v>industry-energy-efficiency-standards.html</v>
      </c>
    </row>
    <row r="1510" spans="1:18" s="4" customFormat="1" x14ac:dyDescent="0.3">
      <c r="A1510" s="254" t="str">
        <f>IF(ISBLANK(INDEX('Policy Characteristics'!A:A,MATCH($C1510,'Policy Characteristics'!$C:$C,0))),"",INDEX('Policy Characteristics'!A:A,MATCH($C1510,'Policy Characteristics'!$C:$C,0)))</f>
        <v>Industry</v>
      </c>
      <c r="B1510" s="262" t="str">
        <f>IF(ISBLANK(INDEX('Policy Characteristics'!B:B,MATCH($C1510,'Policy Characteristics'!$C:$C,0))),"",INDEX('Policy Characteristics'!B:B,MATCH($C1510,'Policy Characteristics'!$C:$C,0)))</f>
        <v>Industry Energy Efficiency Standards</v>
      </c>
      <c r="C1510" s="254" t="str">
        <f t="shared" si="51"/>
        <v>Percentage Improvement in Eqpt Efficiency Standards above BAU</v>
      </c>
      <c r="D1510" s="6" t="s">
        <v>3083</v>
      </c>
      <c r="E1510" s="45" t="s">
        <v>2403</v>
      </c>
      <c r="F1510" t="s">
        <v>3045</v>
      </c>
      <c r="G1510" s="45" t="s">
        <v>2407</v>
      </c>
      <c r="H1510" s="43">
        <v>1182</v>
      </c>
      <c r="I1510" s="324" t="s">
        <v>44</v>
      </c>
      <c r="J1510" s="255" t="str">
        <f>IF(ISBLANK(INDEX('Policy Characteristics'!D:D,MATCH($C1510,'Policy Characteristics'!$C:$C,0))),"",INDEX('Policy Characteristics'!D:D,MATCH($C1510,'Policy Characteristics'!$C:$C,0)))</f>
        <v>Industry Energy Efficiency Standards</v>
      </c>
      <c r="K1510" s="254" t="str">
        <f>IF(ISBLANK(INDEX('Policy Characteristics'!E:E,MATCH($C1510,'Policy Characteristics'!$C:$C,0))),"",INDEX('Policy Characteristics'!E:E,MATCH($C1510,'Policy Characteristics'!$C:$C,0)))</f>
        <v>indst efficiency standards</v>
      </c>
      <c r="L1510" s="261">
        <f>IF(ISBLANK(INDEX('Policy Characteristics'!F:F,MATCH($C1510,'Policy Characteristics'!$C:$C,0))),"",INDEX('Policy Characteristics'!F:F,MATCH($C1510,'Policy Characteristics'!$C:$C,0)))</f>
        <v>0</v>
      </c>
      <c r="M1510" s="261">
        <f>IF(ISBLANK(INDEX('Policy Characteristics'!G:G,MATCH($C1510,'Policy Characteristics'!$C:$C,0))),"",INDEX('Policy Characteristics'!G:G,MATCH($C1510,'Policy Characteristics'!$C:$C,0)))</f>
        <v>0.25</v>
      </c>
      <c r="N1510" s="261">
        <f>IF(ISBLANK(INDEX('Policy Characteristics'!H:H,MATCH($C1510,'Policy Characteristics'!$C:$C,0))),"",INDEX('Policy Characteristics'!H:H,MATCH($C1510,'Policy Characteristics'!$C:$C,0)))</f>
        <v>0.01</v>
      </c>
      <c r="O1510" s="254" t="str">
        <f>IF(ISBLANK(INDEX('Policy Characteristics'!I:I,MATCH($C1510,'Policy Characteristics'!$C:$C,0))),"",INDEX('Policy Characteristics'!I:I,MATCH($C1510,'Policy Characteristics'!$C:$C,0)))</f>
        <v>% reduction in energy use</v>
      </c>
      <c r="P1510" s="254"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4" t="str">
        <f>IF(ISBLANK(INDEX('Policy Characteristics'!K:K,MATCH($C1510,'Policy Characteristics'!$C:$C,0))),"",INDEX('Policy Characteristics'!K:K,MATCH($C1510,'Policy Characteristics'!$C:$C,0)))</f>
        <v>industry-ag-main.html#eff-stds</v>
      </c>
      <c r="R1510" s="254" t="str">
        <f>IF(ISBLANK(INDEX('Policy Characteristics'!L:L,MATCH($C1510,'Policy Characteristics'!$C:$C,0))),"",INDEX('Policy Characteristics'!L:L,MATCH($C1510,'Policy Characteristics'!$C:$C,0)))</f>
        <v>industry-energy-efficiency-standards.html</v>
      </c>
    </row>
    <row r="1511" spans="1:18" s="4" customFormat="1" x14ac:dyDescent="0.3">
      <c r="A1511" s="254" t="str">
        <f>IF(ISBLANK(INDEX('Policy Characteristics'!A:A,MATCH($C1511,'Policy Characteristics'!$C:$C,0))),"",INDEX('Policy Characteristics'!A:A,MATCH($C1511,'Policy Characteristics'!$C:$C,0)))</f>
        <v>Industry</v>
      </c>
      <c r="B1511" s="262" t="str">
        <f>IF(ISBLANK(INDEX('Policy Characteristics'!B:B,MATCH($C1511,'Policy Characteristics'!$C:$C,0))),"",INDEX('Policy Characteristics'!B:B,MATCH($C1511,'Policy Characteristics'!$C:$C,0)))</f>
        <v>Industry Energy Efficiency Standards</v>
      </c>
      <c r="C1511" s="254" t="str">
        <f t="shared" si="51"/>
        <v>Percentage Improvement in Eqpt Efficiency Standards above BAU</v>
      </c>
      <c r="D1511" s="6" t="s">
        <v>3083</v>
      </c>
      <c r="E1511" s="45" t="s">
        <v>2404</v>
      </c>
      <c r="F1511" t="s">
        <v>3045</v>
      </c>
      <c r="G1511" s="45" t="s">
        <v>2410</v>
      </c>
      <c r="H1511" s="43">
        <v>1183</v>
      </c>
      <c r="I1511" s="324" t="s">
        <v>44</v>
      </c>
      <c r="J1511" s="255" t="str">
        <f>IF(ISBLANK(INDEX('Policy Characteristics'!D:D,MATCH($C1511,'Policy Characteristics'!$C:$C,0))),"",INDEX('Policy Characteristics'!D:D,MATCH($C1511,'Policy Characteristics'!$C:$C,0)))</f>
        <v>Industry Energy Efficiency Standards</v>
      </c>
      <c r="K1511" s="254" t="str">
        <f>IF(ISBLANK(INDEX('Policy Characteristics'!E:E,MATCH($C1511,'Policy Characteristics'!$C:$C,0))),"",INDEX('Policy Characteristics'!E:E,MATCH($C1511,'Policy Characteristics'!$C:$C,0)))</f>
        <v>indst efficiency standards</v>
      </c>
      <c r="L1511" s="261">
        <f>IF(ISBLANK(INDEX('Policy Characteristics'!F:F,MATCH($C1511,'Policy Characteristics'!$C:$C,0))),"",INDEX('Policy Characteristics'!F:F,MATCH($C1511,'Policy Characteristics'!$C:$C,0)))</f>
        <v>0</v>
      </c>
      <c r="M1511" s="261">
        <f>IF(ISBLANK(INDEX('Policy Characteristics'!G:G,MATCH($C1511,'Policy Characteristics'!$C:$C,0))),"",INDEX('Policy Characteristics'!G:G,MATCH($C1511,'Policy Characteristics'!$C:$C,0)))</f>
        <v>0.25</v>
      </c>
      <c r="N1511" s="261">
        <f>IF(ISBLANK(INDEX('Policy Characteristics'!H:H,MATCH($C1511,'Policy Characteristics'!$C:$C,0))),"",INDEX('Policy Characteristics'!H:H,MATCH($C1511,'Policy Characteristics'!$C:$C,0)))</f>
        <v>0.01</v>
      </c>
      <c r="O1511" s="254" t="str">
        <f>IF(ISBLANK(INDEX('Policy Characteristics'!I:I,MATCH($C1511,'Policy Characteristics'!$C:$C,0))),"",INDEX('Policy Characteristics'!I:I,MATCH($C1511,'Policy Characteristics'!$C:$C,0)))</f>
        <v>% reduction in energy use</v>
      </c>
      <c r="P1511" s="254"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4" t="str">
        <f>IF(ISBLANK(INDEX('Policy Characteristics'!K:K,MATCH($C1511,'Policy Characteristics'!$C:$C,0))),"",INDEX('Policy Characteristics'!K:K,MATCH($C1511,'Policy Characteristics'!$C:$C,0)))</f>
        <v>industry-ag-main.html#eff-stds</v>
      </c>
      <c r="R1511" s="254" t="str">
        <f>IF(ISBLANK(INDEX('Policy Characteristics'!L:L,MATCH($C1511,'Policy Characteristics'!$C:$C,0))),"",INDEX('Policy Characteristics'!L:L,MATCH($C1511,'Policy Characteristics'!$C:$C,0)))</f>
        <v>industry-energy-efficiency-standards.html</v>
      </c>
    </row>
    <row r="1512" spans="1:18" s="4" customFormat="1" x14ac:dyDescent="0.3">
      <c r="A1512" s="254" t="str">
        <f>IF(ISBLANK(INDEX('Policy Characteristics'!A:A,MATCH($C1512,'Policy Characteristics'!$C:$C,0))),"",INDEX('Policy Characteristics'!A:A,MATCH($C1512,'Policy Characteristics'!$C:$C,0)))</f>
        <v>Industry</v>
      </c>
      <c r="B1512" s="262" t="str">
        <f>IF(ISBLANK(INDEX('Policy Characteristics'!B:B,MATCH($C1512,'Policy Characteristics'!$C:$C,0))),"",INDEX('Policy Characteristics'!B:B,MATCH($C1512,'Policy Characteristics'!$C:$C,0)))</f>
        <v>Industry Energy Efficiency Standards</v>
      </c>
      <c r="C1512" s="254" t="str">
        <f t="shared" si="51"/>
        <v>Percentage Improvement in Eqpt Efficiency Standards above BAU</v>
      </c>
      <c r="D1512" s="6" t="s">
        <v>3083</v>
      </c>
      <c r="E1512" s="45" t="s">
        <v>2706</v>
      </c>
      <c r="F1512" t="s">
        <v>3045</v>
      </c>
      <c r="G1512" s="45" t="s">
        <v>2709</v>
      </c>
      <c r="H1512" s="43">
        <v>1184</v>
      </c>
      <c r="I1512" s="324" t="s">
        <v>44</v>
      </c>
      <c r="J1512" s="255" t="str">
        <f>IF(ISBLANK(INDEX('Policy Characteristics'!D:D,MATCH($C1512,'Policy Characteristics'!$C:$C,0))),"",INDEX('Policy Characteristics'!D:D,MATCH($C1512,'Policy Characteristics'!$C:$C,0)))</f>
        <v>Industry Energy Efficiency Standards</v>
      </c>
      <c r="K1512" s="254" t="str">
        <f>IF(ISBLANK(INDEX('Policy Characteristics'!E:E,MATCH($C1512,'Policy Characteristics'!$C:$C,0))),"",INDEX('Policy Characteristics'!E:E,MATCH($C1512,'Policy Characteristics'!$C:$C,0)))</f>
        <v>indst efficiency standards</v>
      </c>
      <c r="L1512" s="261">
        <f>IF(ISBLANK(INDEX('Policy Characteristics'!F:F,MATCH($C1512,'Policy Characteristics'!$C:$C,0))),"",INDEX('Policy Characteristics'!F:F,MATCH($C1512,'Policy Characteristics'!$C:$C,0)))</f>
        <v>0</v>
      </c>
      <c r="M1512" s="261">
        <f>IF(ISBLANK(INDEX('Policy Characteristics'!G:G,MATCH($C1512,'Policy Characteristics'!$C:$C,0))),"",INDEX('Policy Characteristics'!G:G,MATCH($C1512,'Policy Characteristics'!$C:$C,0)))</f>
        <v>0.25</v>
      </c>
      <c r="N1512" s="261">
        <f>IF(ISBLANK(INDEX('Policy Characteristics'!H:H,MATCH($C1512,'Policy Characteristics'!$C:$C,0))),"",INDEX('Policy Characteristics'!H:H,MATCH($C1512,'Policy Characteristics'!$C:$C,0)))</f>
        <v>0.01</v>
      </c>
      <c r="O1512" s="254" t="str">
        <f>IF(ISBLANK(INDEX('Policy Characteristics'!I:I,MATCH($C1512,'Policy Characteristics'!$C:$C,0))),"",INDEX('Policy Characteristics'!I:I,MATCH($C1512,'Policy Characteristics'!$C:$C,0)))</f>
        <v>% reduction in energy use</v>
      </c>
      <c r="P1512" s="254"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4" t="str">
        <f>IF(ISBLANK(INDEX('Policy Characteristics'!K:K,MATCH($C1512,'Policy Characteristics'!$C:$C,0))),"",INDEX('Policy Characteristics'!K:K,MATCH($C1512,'Policy Characteristics'!$C:$C,0)))</f>
        <v>industry-ag-main.html#eff-stds</v>
      </c>
      <c r="R1512" s="254" t="str">
        <f>IF(ISBLANK(INDEX('Policy Characteristics'!L:L,MATCH($C1512,'Policy Characteristics'!$C:$C,0))),"",INDEX('Policy Characteristics'!L:L,MATCH($C1512,'Policy Characteristics'!$C:$C,0)))</f>
        <v>industry-energy-efficiency-standards.html</v>
      </c>
    </row>
    <row r="1513" spans="1:18" s="4" customFormat="1" x14ac:dyDescent="0.3">
      <c r="A1513" s="254" t="str">
        <f>IF(ISBLANK(INDEX('Policy Characteristics'!A:A,MATCH($C1513,'Policy Characteristics'!$C:$C,0))),"",INDEX('Policy Characteristics'!A:A,MATCH($C1513,'Policy Characteristics'!$C:$C,0)))</f>
        <v>Industry</v>
      </c>
      <c r="B1513" s="262" t="str">
        <f>IF(ISBLANK(INDEX('Policy Characteristics'!B:B,MATCH($C1513,'Policy Characteristics'!$C:$C,0))),"",INDEX('Policy Characteristics'!B:B,MATCH($C1513,'Policy Characteristics'!$C:$C,0)))</f>
        <v>Industry Energy Efficiency Standards</v>
      </c>
      <c r="C1513" s="254" t="str">
        <f t="shared" si="51"/>
        <v>Percentage Improvement in Eqpt Efficiency Standards above BAU</v>
      </c>
      <c r="D1513" s="6" t="s">
        <v>3083</v>
      </c>
      <c r="E1513" s="45" t="s">
        <v>2707</v>
      </c>
      <c r="F1513" t="s">
        <v>3045</v>
      </c>
      <c r="G1513" s="45" t="s">
        <v>2711</v>
      </c>
      <c r="H1513" s="43">
        <v>1185</v>
      </c>
      <c r="I1513" s="324" t="s">
        <v>44</v>
      </c>
      <c r="J1513" s="255" t="str">
        <f>IF(ISBLANK(INDEX('Policy Characteristics'!D:D,MATCH($C1513,'Policy Characteristics'!$C:$C,0))),"",INDEX('Policy Characteristics'!D:D,MATCH($C1513,'Policy Characteristics'!$C:$C,0)))</f>
        <v>Industry Energy Efficiency Standards</v>
      </c>
      <c r="K1513" s="254" t="str">
        <f>IF(ISBLANK(INDEX('Policy Characteristics'!E:E,MATCH($C1513,'Policy Characteristics'!$C:$C,0))),"",INDEX('Policy Characteristics'!E:E,MATCH($C1513,'Policy Characteristics'!$C:$C,0)))</f>
        <v>indst efficiency standards</v>
      </c>
      <c r="L1513" s="261">
        <f>IF(ISBLANK(INDEX('Policy Characteristics'!F:F,MATCH($C1513,'Policy Characteristics'!$C:$C,0))),"",INDEX('Policy Characteristics'!F:F,MATCH($C1513,'Policy Characteristics'!$C:$C,0)))</f>
        <v>0</v>
      </c>
      <c r="M1513" s="261">
        <f>IF(ISBLANK(INDEX('Policy Characteristics'!G:G,MATCH($C1513,'Policy Characteristics'!$C:$C,0))),"",INDEX('Policy Characteristics'!G:G,MATCH($C1513,'Policy Characteristics'!$C:$C,0)))</f>
        <v>0.25</v>
      </c>
      <c r="N1513" s="261">
        <f>IF(ISBLANK(INDEX('Policy Characteristics'!H:H,MATCH($C1513,'Policy Characteristics'!$C:$C,0))),"",INDEX('Policy Characteristics'!H:H,MATCH($C1513,'Policy Characteristics'!$C:$C,0)))</f>
        <v>0.01</v>
      </c>
      <c r="O1513" s="254" t="str">
        <f>IF(ISBLANK(INDEX('Policy Characteristics'!I:I,MATCH($C1513,'Policy Characteristics'!$C:$C,0))),"",INDEX('Policy Characteristics'!I:I,MATCH($C1513,'Policy Characteristics'!$C:$C,0)))</f>
        <v>% reduction in energy use</v>
      </c>
      <c r="P1513" s="254"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4" t="str">
        <f>IF(ISBLANK(INDEX('Policy Characteristics'!K:K,MATCH($C1513,'Policy Characteristics'!$C:$C,0))),"",INDEX('Policy Characteristics'!K:K,MATCH($C1513,'Policy Characteristics'!$C:$C,0)))</f>
        <v>industry-ag-main.html#eff-stds</v>
      </c>
      <c r="R1513" s="254" t="str">
        <f>IF(ISBLANK(INDEX('Policy Characteristics'!L:L,MATCH($C1513,'Policy Characteristics'!$C:$C,0))),"",INDEX('Policy Characteristics'!L:L,MATCH($C1513,'Policy Characteristics'!$C:$C,0)))</f>
        <v>industry-energy-efficiency-standards.html</v>
      </c>
    </row>
    <row r="1514" spans="1:18" s="4" customFormat="1" x14ac:dyDescent="0.3">
      <c r="A1514" s="254" t="str">
        <f>IF(ISBLANK(INDEX('Policy Characteristics'!A:A,MATCH($C1514,'Policy Characteristics'!$C:$C,0))),"",INDEX('Policy Characteristics'!A:A,MATCH($C1514,'Policy Characteristics'!$C:$C,0)))</f>
        <v>Industry</v>
      </c>
      <c r="B1514" s="262" t="str">
        <f>IF(ISBLANK(INDEX('Policy Characteristics'!B:B,MATCH($C1514,'Policy Characteristics'!$C:$C,0))),"",INDEX('Policy Characteristics'!B:B,MATCH($C1514,'Policy Characteristics'!$C:$C,0)))</f>
        <v>Industry Energy Efficiency Standards</v>
      </c>
      <c r="C1514" s="254" t="str">
        <f t="shared" si="51"/>
        <v>Percentage Improvement in Eqpt Efficiency Standards above BAU</v>
      </c>
      <c r="D1514" s="6" t="s">
        <v>3083</v>
      </c>
      <c r="E1514" s="45" t="s">
        <v>2708</v>
      </c>
      <c r="F1514" t="s">
        <v>3045</v>
      </c>
      <c r="G1514" s="45" t="s">
        <v>2712</v>
      </c>
      <c r="H1514" s="43">
        <v>1186</v>
      </c>
      <c r="I1514" s="324" t="s">
        <v>44</v>
      </c>
      <c r="J1514" s="255" t="str">
        <f>IF(ISBLANK(INDEX('Policy Characteristics'!D:D,MATCH($C1514,'Policy Characteristics'!$C:$C,0))),"",INDEX('Policy Characteristics'!D:D,MATCH($C1514,'Policy Characteristics'!$C:$C,0)))</f>
        <v>Industry Energy Efficiency Standards</v>
      </c>
      <c r="K1514" s="254" t="str">
        <f>IF(ISBLANK(INDEX('Policy Characteristics'!E:E,MATCH($C1514,'Policy Characteristics'!$C:$C,0))),"",INDEX('Policy Characteristics'!E:E,MATCH($C1514,'Policy Characteristics'!$C:$C,0)))</f>
        <v>indst efficiency standards</v>
      </c>
      <c r="L1514" s="261">
        <f>IF(ISBLANK(INDEX('Policy Characteristics'!F:F,MATCH($C1514,'Policy Characteristics'!$C:$C,0))),"",INDEX('Policy Characteristics'!F:F,MATCH($C1514,'Policy Characteristics'!$C:$C,0)))</f>
        <v>0</v>
      </c>
      <c r="M1514" s="261">
        <f>IF(ISBLANK(INDEX('Policy Characteristics'!G:G,MATCH($C1514,'Policy Characteristics'!$C:$C,0))),"",INDEX('Policy Characteristics'!G:G,MATCH($C1514,'Policy Characteristics'!$C:$C,0)))</f>
        <v>0.25</v>
      </c>
      <c r="N1514" s="261">
        <f>IF(ISBLANK(INDEX('Policy Characteristics'!H:H,MATCH($C1514,'Policy Characteristics'!$C:$C,0))),"",INDEX('Policy Characteristics'!H:H,MATCH($C1514,'Policy Characteristics'!$C:$C,0)))</f>
        <v>0.01</v>
      </c>
      <c r="O1514" s="254" t="str">
        <f>IF(ISBLANK(INDEX('Policy Characteristics'!I:I,MATCH($C1514,'Policy Characteristics'!$C:$C,0))),"",INDEX('Policy Characteristics'!I:I,MATCH($C1514,'Policy Characteristics'!$C:$C,0)))</f>
        <v>% reduction in energy use</v>
      </c>
      <c r="P1514" s="254"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4" t="str">
        <f>IF(ISBLANK(INDEX('Policy Characteristics'!K:K,MATCH($C1514,'Policy Characteristics'!$C:$C,0))),"",INDEX('Policy Characteristics'!K:K,MATCH($C1514,'Policy Characteristics'!$C:$C,0)))</f>
        <v>industry-ag-main.html#eff-stds</v>
      </c>
      <c r="R1514" s="254" t="str">
        <f>IF(ISBLANK(INDEX('Policy Characteristics'!L:L,MATCH($C1514,'Policy Characteristics'!$C:$C,0))),"",INDEX('Policy Characteristics'!L:L,MATCH($C1514,'Policy Characteristics'!$C:$C,0)))</f>
        <v>industry-energy-efficiency-standards.html</v>
      </c>
    </row>
    <row r="1515" spans="1:18" s="4" customFormat="1" x14ac:dyDescent="0.3">
      <c r="A1515" s="254" t="str">
        <f>IF(ISBLANK(INDEX('Policy Characteristics'!A:A,MATCH($C1515,'Policy Characteristics'!$C:$C,0))),"",INDEX('Policy Characteristics'!A:A,MATCH($C1515,'Policy Characteristics'!$C:$C,0)))</f>
        <v>Industry</v>
      </c>
      <c r="B1515" s="262" t="str">
        <f>IF(ISBLANK(INDEX('Policy Characteristics'!B:B,MATCH($C1515,'Policy Characteristics'!$C:$C,0))),"",INDEX('Policy Characteristics'!B:B,MATCH($C1515,'Policy Characteristics'!$C:$C,0)))</f>
        <v>Industry Energy Efficiency Standards</v>
      </c>
      <c r="C1515" s="254" t="str">
        <f t="shared" si="51"/>
        <v>Percentage Improvement in Eqpt Efficiency Standards above BAU</v>
      </c>
      <c r="D1515" s="6" t="s">
        <v>3083</v>
      </c>
      <c r="E1515" s="45" t="s">
        <v>2705</v>
      </c>
      <c r="F1515" t="s">
        <v>3045</v>
      </c>
      <c r="G1515" s="45" t="s">
        <v>2710</v>
      </c>
      <c r="H1515" s="43">
        <v>1187</v>
      </c>
      <c r="I1515" s="324" t="s">
        <v>44</v>
      </c>
      <c r="J1515" s="255" t="str">
        <f>IF(ISBLANK(INDEX('Policy Characteristics'!D:D,MATCH($C1515,'Policy Characteristics'!$C:$C,0))),"",INDEX('Policy Characteristics'!D:D,MATCH($C1515,'Policy Characteristics'!$C:$C,0)))</f>
        <v>Industry Energy Efficiency Standards</v>
      </c>
      <c r="K1515" s="254" t="str">
        <f>IF(ISBLANK(INDEX('Policy Characteristics'!E:E,MATCH($C1515,'Policy Characteristics'!$C:$C,0))),"",INDEX('Policy Characteristics'!E:E,MATCH($C1515,'Policy Characteristics'!$C:$C,0)))</f>
        <v>indst efficiency standards</v>
      </c>
      <c r="L1515" s="261">
        <f>IF(ISBLANK(INDEX('Policy Characteristics'!F:F,MATCH($C1515,'Policy Characteristics'!$C:$C,0))),"",INDEX('Policy Characteristics'!F:F,MATCH($C1515,'Policy Characteristics'!$C:$C,0)))</f>
        <v>0</v>
      </c>
      <c r="M1515" s="261">
        <f>IF(ISBLANK(INDEX('Policy Characteristics'!G:G,MATCH($C1515,'Policy Characteristics'!$C:$C,0))),"",INDEX('Policy Characteristics'!G:G,MATCH($C1515,'Policy Characteristics'!$C:$C,0)))</f>
        <v>0.25</v>
      </c>
      <c r="N1515" s="261">
        <f>IF(ISBLANK(INDEX('Policy Characteristics'!H:H,MATCH($C1515,'Policy Characteristics'!$C:$C,0))),"",INDEX('Policy Characteristics'!H:H,MATCH($C1515,'Policy Characteristics'!$C:$C,0)))</f>
        <v>0.01</v>
      </c>
      <c r="O1515" s="254" t="str">
        <f>IF(ISBLANK(INDEX('Policy Characteristics'!I:I,MATCH($C1515,'Policy Characteristics'!$C:$C,0))),"",INDEX('Policy Characteristics'!I:I,MATCH($C1515,'Policy Characteristics'!$C:$C,0)))</f>
        <v>% reduction in energy use</v>
      </c>
      <c r="P1515" s="254"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4" t="str">
        <f>IF(ISBLANK(INDEX('Policy Characteristics'!K:K,MATCH($C1515,'Policy Characteristics'!$C:$C,0))),"",INDEX('Policy Characteristics'!K:K,MATCH($C1515,'Policy Characteristics'!$C:$C,0)))</f>
        <v>industry-ag-main.html#eff-stds</v>
      </c>
      <c r="R1515" s="254" t="str">
        <f>IF(ISBLANK(INDEX('Policy Characteristics'!L:L,MATCH($C1515,'Policy Characteristics'!$C:$C,0))),"",INDEX('Policy Characteristics'!L:L,MATCH($C1515,'Policy Characteristics'!$C:$C,0)))</f>
        <v>industry-energy-efficiency-standards.html</v>
      </c>
    </row>
    <row r="1516" spans="1:18" s="4" customFormat="1" x14ac:dyDescent="0.3">
      <c r="A1516" s="254" t="str">
        <f>IF(ISBLANK(INDEX('Policy Characteristics'!A:A,MATCH($C1516,'Policy Characteristics'!$C:$C,0))),"",INDEX('Policy Characteristics'!A:A,MATCH($C1516,'Policy Characteristics'!$C:$C,0)))</f>
        <v>Industry</v>
      </c>
      <c r="B1516" s="262" t="str">
        <f>IF(ISBLANK(INDEX('Policy Characteristics'!B:B,MATCH($C1516,'Policy Characteristics'!$C:$C,0))),"",INDEX('Policy Characteristics'!B:B,MATCH($C1516,'Policy Characteristics'!$C:$C,0)))</f>
        <v>Industry Energy Efficiency Standards</v>
      </c>
      <c r="C1516" s="254" t="str">
        <f t="shared" si="51"/>
        <v>Percentage Improvement in Eqpt Efficiency Standards above BAU</v>
      </c>
      <c r="D1516" s="6" t="s">
        <v>3084</v>
      </c>
      <c r="E1516" s="45" t="s">
        <v>2399</v>
      </c>
      <c r="F1516" t="s">
        <v>3087</v>
      </c>
      <c r="G1516" s="45" t="s">
        <v>2405</v>
      </c>
      <c r="H1516" s="43">
        <v>1188</v>
      </c>
      <c r="I1516" s="324" t="s">
        <v>43</v>
      </c>
      <c r="J1516" s="255" t="str">
        <f>IF(ISBLANK(INDEX('Policy Characteristics'!D:D,MATCH($C1516,'Policy Characteristics'!$C:$C,0))),"",INDEX('Policy Characteristics'!D:D,MATCH($C1516,'Policy Characteristics'!$C:$C,0)))</f>
        <v>Industry Energy Efficiency Standards</v>
      </c>
      <c r="K1516" s="254" t="str">
        <f>IF(ISBLANK(INDEX('Policy Characteristics'!E:E,MATCH($C1516,'Policy Characteristics'!$C:$C,0))),"",INDEX('Policy Characteristics'!E:E,MATCH($C1516,'Policy Characteristics'!$C:$C,0)))</f>
        <v>indst efficiency standards</v>
      </c>
      <c r="L1516" s="261">
        <f>IF(ISBLANK(INDEX('Policy Characteristics'!F:F,MATCH($C1516,'Policy Characteristics'!$C:$C,0))),"",INDEX('Policy Characteristics'!F:F,MATCH($C1516,'Policy Characteristics'!$C:$C,0)))</f>
        <v>0</v>
      </c>
      <c r="M1516" s="261">
        <f>IF(ISBLANK(INDEX('Policy Characteristics'!G:G,MATCH($C1516,'Policy Characteristics'!$C:$C,0))),"",INDEX('Policy Characteristics'!G:G,MATCH($C1516,'Policy Characteristics'!$C:$C,0)))</f>
        <v>0.25</v>
      </c>
      <c r="N1516" s="261">
        <f>IF(ISBLANK(INDEX('Policy Characteristics'!H:H,MATCH($C1516,'Policy Characteristics'!$C:$C,0))),"",INDEX('Policy Characteristics'!H:H,MATCH($C1516,'Policy Characteristics'!$C:$C,0)))</f>
        <v>0.01</v>
      </c>
      <c r="O1516" s="254" t="str">
        <f>IF(ISBLANK(INDEX('Policy Characteristics'!I:I,MATCH($C1516,'Policy Characteristics'!$C:$C,0))),"",INDEX('Policy Characteristics'!I:I,MATCH($C1516,'Policy Characteristics'!$C:$C,0)))</f>
        <v>% reduction in energy use</v>
      </c>
      <c r="P1516" s="254"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4" t="str">
        <f>IF(ISBLANK(INDEX('Policy Characteristics'!K:K,MATCH($C1516,'Policy Characteristics'!$C:$C,0))),"",INDEX('Policy Characteristics'!K:K,MATCH($C1516,'Policy Characteristics'!$C:$C,0)))</f>
        <v>industry-ag-main.html#eff-stds</v>
      </c>
      <c r="R1516" s="254" t="str">
        <f>IF(ISBLANK(INDEX('Policy Characteristics'!L:L,MATCH($C1516,'Policy Characteristics'!$C:$C,0))),"",INDEX('Policy Characteristics'!L:L,MATCH($C1516,'Policy Characteristics'!$C:$C,0)))</f>
        <v>industry-energy-efficiency-standards.html</v>
      </c>
    </row>
    <row r="1517" spans="1:18" s="4" customFormat="1" x14ac:dyDescent="0.3">
      <c r="A1517" s="254" t="str">
        <f>IF(ISBLANK(INDEX('Policy Characteristics'!A:A,MATCH($C1517,'Policy Characteristics'!$C:$C,0))),"",INDEX('Policy Characteristics'!A:A,MATCH($C1517,'Policy Characteristics'!$C:$C,0)))</f>
        <v>Industry</v>
      </c>
      <c r="B1517" s="262" t="str">
        <f>IF(ISBLANK(INDEX('Policy Characteristics'!B:B,MATCH($C1517,'Policy Characteristics'!$C:$C,0))),"",INDEX('Policy Characteristics'!B:B,MATCH($C1517,'Policy Characteristics'!$C:$C,0)))</f>
        <v>Industry Energy Efficiency Standards</v>
      </c>
      <c r="C1517" s="254" t="str">
        <f t="shared" si="51"/>
        <v>Percentage Improvement in Eqpt Efficiency Standards above BAU</v>
      </c>
      <c r="D1517" s="6" t="s">
        <v>3084</v>
      </c>
      <c r="E1517" s="45" t="s">
        <v>2400</v>
      </c>
      <c r="F1517" t="s">
        <v>3087</v>
      </c>
      <c r="G1517" s="45" t="s">
        <v>2408</v>
      </c>
      <c r="H1517" s="43">
        <v>1189</v>
      </c>
      <c r="I1517" s="324" t="s">
        <v>44</v>
      </c>
      <c r="J1517" s="255" t="str">
        <f>IF(ISBLANK(INDEX('Policy Characteristics'!D:D,MATCH($C1517,'Policy Characteristics'!$C:$C,0))),"",INDEX('Policy Characteristics'!D:D,MATCH($C1517,'Policy Characteristics'!$C:$C,0)))</f>
        <v>Industry Energy Efficiency Standards</v>
      </c>
      <c r="K1517" s="254" t="str">
        <f>IF(ISBLANK(INDEX('Policy Characteristics'!E:E,MATCH($C1517,'Policy Characteristics'!$C:$C,0))),"",INDEX('Policy Characteristics'!E:E,MATCH($C1517,'Policy Characteristics'!$C:$C,0)))</f>
        <v>indst efficiency standards</v>
      </c>
      <c r="L1517" s="261">
        <f>IF(ISBLANK(INDEX('Policy Characteristics'!F:F,MATCH($C1517,'Policy Characteristics'!$C:$C,0))),"",INDEX('Policy Characteristics'!F:F,MATCH($C1517,'Policy Characteristics'!$C:$C,0)))</f>
        <v>0</v>
      </c>
      <c r="M1517" s="261">
        <f>IF(ISBLANK(INDEX('Policy Characteristics'!G:G,MATCH($C1517,'Policy Characteristics'!$C:$C,0))),"",INDEX('Policy Characteristics'!G:G,MATCH($C1517,'Policy Characteristics'!$C:$C,0)))</f>
        <v>0.25</v>
      </c>
      <c r="N1517" s="261">
        <f>IF(ISBLANK(INDEX('Policy Characteristics'!H:H,MATCH($C1517,'Policy Characteristics'!$C:$C,0))),"",INDEX('Policy Characteristics'!H:H,MATCH($C1517,'Policy Characteristics'!$C:$C,0)))</f>
        <v>0.01</v>
      </c>
      <c r="O1517" s="254" t="str">
        <f>IF(ISBLANK(INDEX('Policy Characteristics'!I:I,MATCH($C1517,'Policy Characteristics'!$C:$C,0))),"",INDEX('Policy Characteristics'!I:I,MATCH($C1517,'Policy Characteristics'!$C:$C,0)))</f>
        <v>% reduction in energy use</v>
      </c>
      <c r="P1517" s="254"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4" t="str">
        <f>IF(ISBLANK(INDEX('Policy Characteristics'!K:K,MATCH($C1517,'Policy Characteristics'!$C:$C,0))),"",INDEX('Policy Characteristics'!K:K,MATCH($C1517,'Policy Characteristics'!$C:$C,0)))</f>
        <v>industry-ag-main.html#eff-stds</v>
      </c>
      <c r="R1517" s="254" t="str">
        <f>IF(ISBLANK(INDEX('Policy Characteristics'!L:L,MATCH($C1517,'Policy Characteristics'!$C:$C,0))),"",INDEX('Policy Characteristics'!L:L,MATCH($C1517,'Policy Characteristics'!$C:$C,0)))</f>
        <v>industry-energy-efficiency-standards.html</v>
      </c>
    </row>
    <row r="1518" spans="1:18" s="4" customFormat="1" x14ac:dyDescent="0.3">
      <c r="A1518" s="254" t="str">
        <f>IF(ISBLANK(INDEX('Policy Characteristics'!A:A,MATCH($C1518,'Policy Characteristics'!$C:$C,0))),"",INDEX('Policy Characteristics'!A:A,MATCH($C1518,'Policy Characteristics'!$C:$C,0)))</f>
        <v>Industry</v>
      </c>
      <c r="B1518" s="262" t="str">
        <f>IF(ISBLANK(INDEX('Policy Characteristics'!B:B,MATCH($C1518,'Policy Characteristics'!$C:$C,0))),"",INDEX('Policy Characteristics'!B:B,MATCH($C1518,'Policy Characteristics'!$C:$C,0)))</f>
        <v>Industry Energy Efficiency Standards</v>
      </c>
      <c r="C1518" s="254" t="str">
        <f t="shared" si="51"/>
        <v>Percentage Improvement in Eqpt Efficiency Standards above BAU</v>
      </c>
      <c r="D1518" s="6" t="s">
        <v>3084</v>
      </c>
      <c r="E1518" s="45" t="s">
        <v>2401</v>
      </c>
      <c r="F1518" t="s">
        <v>3087</v>
      </c>
      <c r="G1518" s="45" t="s">
        <v>2409</v>
      </c>
      <c r="H1518" s="43">
        <v>1190</v>
      </c>
      <c r="I1518" s="324" t="s">
        <v>44</v>
      </c>
      <c r="J1518" s="255" t="str">
        <f>IF(ISBLANK(INDEX('Policy Characteristics'!D:D,MATCH($C1518,'Policy Characteristics'!$C:$C,0))),"",INDEX('Policy Characteristics'!D:D,MATCH($C1518,'Policy Characteristics'!$C:$C,0)))</f>
        <v>Industry Energy Efficiency Standards</v>
      </c>
      <c r="K1518" s="254" t="str">
        <f>IF(ISBLANK(INDEX('Policy Characteristics'!E:E,MATCH($C1518,'Policy Characteristics'!$C:$C,0))),"",INDEX('Policy Characteristics'!E:E,MATCH($C1518,'Policy Characteristics'!$C:$C,0)))</f>
        <v>indst efficiency standards</v>
      </c>
      <c r="L1518" s="261">
        <f>IF(ISBLANK(INDEX('Policy Characteristics'!F:F,MATCH($C1518,'Policy Characteristics'!$C:$C,0))),"",INDEX('Policy Characteristics'!F:F,MATCH($C1518,'Policy Characteristics'!$C:$C,0)))</f>
        <v>0</v>
      </c>
      <c r="M1518" s="261">
        <f>IF(ISBLANK(INDEX('Policy Characteristics'!G:G,MATCH($C1518,'Policy Characteristics'!$C:$C,0))),"",INDEX('Policy Characteristics'!G:G,MATCH($C1518,'Policy Characteristics'!$C:$C,0)))</f>
        <v>0.25</v>
      </c>
      <c r="N1518" s="261">
        <f>IF(ISBLANK(INDEX('Policy Characteristics'!H:H,MATCH($C1518,'Policy Characteristics'!$C:$C,0))),"",INDEX('Policy Characteristics'!H:H,MATCH($C1518,'Policy Characteristics'!$C:$C,0)))</f>
        <v>0.01</v>
      </c>
      <c r="O1518" s="254" t="str">
        <f>IF(ISBLANK(INDEX('Policy Characteristics'!I:I,MATCH($C1518,'Policy Characteristics'!$C:$C,0))),"",INDEX('Policy Characteristics'!I:I,MATCH($C1518,'Policy Characteristics'!$C:$C,0)))</f>
        <v>% reduction in energy use</v>
      </c>
      <c r="P1518" s="254"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4" t="str">
        <f>IF(ISBLANK(INDEX('Policy Characteristics'!K:K,MATCH($C1518,'Policy Characteristics'!$C:$C,0))),"",INDEX('Policy Characteristics'!K:K,MATCH($C1518,'Policy Characteristics'!$C:$C,0)))</f>
        <v>industry-ag-main.html#eff-stds</v>
      </c>
      <c r="R1518" s="254" t="str">
        <f>IF(ISBLANK(INDEX('Policy Characteristics'!L:L,MATCH($C1518,'Policy Characteristics'!$C:$C,0))),"",INDEX('Policy Characteristics'!L:L,MATCH($C1518,'Policy Characteristics'!$C:$C,0)))</f>
        <v>industry-energy-efficiency-standards.html</v>
      </c>
    </row>
    <row r="1519" spans="1:18" s="4" customFormat="1" x14ac:dyDescent="0.3">
      <c r="A1519" s="254" t="str">
        <f>IF(ISBLANK(INDEX('Policy Characteristics'!A:A,MATCH($C1519,'Policy Characteristics'!$C:$C,0))),"",INDEX('Policy Characteristics'!A:A,MATCH($C1519,'Policy Characteristics'!$C:$C,0)))</f>
        <v>Industry</v>
      </c>
      <c r="B1519" s="262" t="str">
        <f>IF(ISBLANK(INDEX('Policy Characteristics'!B:B,MATCH($C1519,'Policy Characteristics'!$C:$C,0))),"",INDEX('Policy Characteristics'!B:B,MATCH($C1519,'Policy Characteristics'!$C:$C,0)))</f>
        <v>Industry Energy Efficiency Standards</v>
      </c>
      <c r="C1519" s="254" t="str">
        <f t="shared" si="51"/>
        <v>Percentage Improvement in Eqpt Efficiency Standards above BAU</v>
      </c>
      <c r="D1519" s="6" t="s">
        <v>3084</v>
      </c>
      <c r="E1519" s="45" t="s">
        <v>2402</v>
      </c>
      <c r="F1519" t="s">
        <v>3087</v>
      </c>
      <c r="G1519" s="45" t="s">
        <v>2406</v>
      </c>
      <c r="H1519" s="43">
        <v>1191</v>
      </c>
      <c r="I1519" s="324" t="s">
        <v>44</v>
      </c>
      <c r="J1519" s="255" t="str">
        <f>IF(ISBLANK(INDEX('Policy Characteristics'!D:D,MATCH($C1519,'Policy Characteristics'!$C:$C,0))),"",INDEX('Policy Characteristics'!D:D,MATCH($C1519,'Policy Characteristics'!$C:$C,0)))</f>
        <v>Industry Energy Efficiency Standards</v>
      </c>
      <c r="K1519" s="254" t="str">
        <f>IF(ISBLANK(INDEX('Policy Characteristics'!E:E,MATCH($C1519,'Policy Characteristics'!$C:$C,0))),"",INDEX('Policy Characteristics'!E:E,MATCH($C1519,'Policy Characteristics'!$C:$C,0)))</f>
        <v>indst efficiency standards</v>
      </c>
      <c r="L1519" s="261">
        <f>IF(ISBLANK(INDEX('Policy Characteristics'!F:F,MATCH($C1519,'Policy Characteristics'!$C:$C,0))),"",INDEX('Policy Characteristics'!F:F,MATCH($C1519,'Policy Characteristics'!$C:$C,0)))</f>
        <v>0</v>
      </c>
      <c r="M1519" s="261">
        <f>IF(ISBLANK(INDEX('Policy Characteristics'!G:G,MATCH($C1519,'Policy Characteristics'!$C:$C,0))),"",INDEX('Policy Characteristics'!G:G,MATCH($C1519,'Policy Characteristics'!$C:$C,0)))</f>
        <v>0.25</v>
      </c>
      <c r="N1519" s="261">
        <f>IF(ISBLANK(INDEX('Policy Characteristics'!H:H,MATCH($C1519,'Policy Characteristics'!$C:$C,0))),"",INDEX('Policy Characteristics'!H:H,MATCH($C1519,'Policy Characteristics'!$C:$C,0)))</f>
        <v>0.01</v>
      </c>
      <c r="O1519" s="254" t="str">
        <f>IF(ISBLANK(INDEX('Policy Characteristics'!I:I,MATCH($C1519,'Policy Characteristics'!$C:$C,0))),"",INDEX('Policy Characteristics'!I:I,MATCH($C1519,'Policy Characteristics'!$C:$C,0)))</f>
        <v>% reduction in energy use</v>
      </c>
      <c r="P1519" s="254"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4" t="str">
        <f>IF(ISBLANK(INDEX('Policy Characteristics'!K:K,MATCH($C1519,'Policy Characteristics'!$C:$C,0))),"",INDEX('Policy Characteristics'!K:K,MATCH($C1519,'Policy Characteristics'!$C:$C,0)))</f>
        <v>industry-ag-main.html#eff-stds</v>
      </c>
      <c r="R1519" s="254" t="str">
        <f>IF(ISBLANK(INDEX('Policy Characteristics'!L:L,MATCH($C1519,'Policy Characteristics'!$C:$C,0))),"",INDEX('Policy Characteristics'!L:L,MATCH($C1519,'Policy Characteristics'!$C:$C,0)))</f>
        <v>industry-energy-efficiency-standards.html</v>
      </c>
    </row>
    <row r="1520" spans="1:18" s="4" customFormat="1" x14ac:dyDescent="0.3">
      <c r="A1520" s="254" t="str">
        <f>IF(ISBLANK(INDEX('Policy Characteristics'!A:A,MATCH($C1520,'Policy Characteristics'!$C:$C,0))),"",INDEX('Policy Characteristics'!A:A,MATCH($C1520,'Policy Characteristics'!$C:$C,0)))</f>
        <v>Industry</v>
      </c>
      <c r="B1520" s="262" t="str">
        <f>IF(ISBLANK(INDEX('Policy Characteristics'!B:B,MATCH($C1520,'Policy Characteristics'!$C:$C,0))),"",INDEX('Policy Characteristics'!B:B,MATCH($C1520,'Policy Characteristics'!$C:$C,0)))</f>
        <v>Industry Energy Efficiency Standards</v>
      </c>
      <c r="C1520" s="254" t="str">
        <f t="shared" si="51"/>
        <v>Percentage Improvement in Eqpt Efficiency Standards above BAU</v>
      </c>
      <c r="D1520" s="6" t="s">
        <v>3084</v>
      </c>
      <c r="E1520" s="45" t="s">
        <v>2403</v>
      </c>
      <c r="F1520" t="s">
        <v>3087</v>
      </c>
      <c r="G1520" s="45" t="s">
        <v>2407</v>
      </c>
      <c r="H1520" s="43">
        <v>1192</v>
      </c>
      <c r="I1520" s="324" t="s">
        <v>44</v>
      </c>
      <c r="J1520" s="255" t="str">
        <f>IF(ISBLANK(INDEX('Policy Characteristics'!D:D,MATCH($C1520,'Policy Characteristics'!$C:$C,0))),"",INDEX('Policy Characteristics'!D:D,MATCH($C1520,'Policy Characteristics'!$C:$C,0)))</f>
        <v>Industry Energy Efficiency Standards</v>
      </c>
      <c r="K1520" s="254" t="str">
        <f>IF(ISBLANK(INDEX('Policy Characteristics'!E:E,MATCH($C1520,'Policy Characteristics'!$C:$C,0))),"",INDEX('Policy Characteristics'!E:E,MATCH($C1520,'Policy Characteristics'!$C:$C,0)))</f>
        <v>indst efficiency standards</v>
      </c>
      <c r="L1520" s="261">
        <f>IF(ISBLANK(INDEX('Policy Characteristics'!F:F,MATCH($C1520,'Policy Characteristics'!$C:$C,0))),"",INDEX('Policy Characteristics'!F:F,MATCH($C1520,'Policy Characteristics'!$C:$C,0)))</f>
        <v>0</v>
      </c>
      <c r="M1520" s="261">
        <f>IF(ISBLANK(INDEX('Policy Characteristics'!G:G,MATCH($C1520,'Policy Characteristics'!$C:$C,0))),"",INDEX('Policy Characteristics'!G:G,MATCH($C1520,'Policy Characteristics'!$C:$C,0)))</f>
        <v>0.25</v>
      </c>
      <c r="N1520" s="261">
        <f>IF(ISBLANK(INDEX('Policy Characteristics'!H:H,MATCH($C1520,'Policy Characteristics'!$C:$C,0))),"",INDEX('Policy Characteristics'!H:H,MATCH($C1520,'Policy Characteristics'!$C:$C,0)))</f>
        <v>0.01</v>
      </c>
      <c r="O1520" s="254" t="str">
        <f>IF(ISBLANK(INDEX('Policy Characteristics'!I:I,MATCH($C1520,'Policy Characteristics'!$C:$C,0))),"",INDEX('Policy Characteristics'!I:I,MATCH($C1520,'Policy Characteristics'!$C:$C,0)))</f>
        <v>% reduction in energy use</v>
      </c>
      <c r="P1520" s="254"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4" t="str">
        <f>IF(ISBLANK(INDEX('Policy Characteristics'!K:K,MATCH($C1520,'Policy Characteristics'!$C:$C,0))),"",INDEX('Policy Characteristics'!K:K,MATCH($C1520,'Policy Characteristics'!$C:$C,0)))</f>
        <v>industry-ag-main.html#eff-stds</v>
      </c>
      <c r="R1520" s="254" t="str">
        <f>IF(ISBLANK(INDEX('Policy Characteristics'!L:L,MATCH($C1520,'Policy Characteristics'!$C:$C,0))),"",INDEX('Policy Characteristics'!L:L,MATCH($C1520,'Policy Characteristics'!$C:$C,0)))</f>
        <v>industry-energy-efficiency-standards.html</v>
      </c>
    </row>
    <row r="1521" spans="1:18" s="4" customFormat="1" x14ac:dyDescent="0.3">
      <c r="A1521" s="254" t="str">
        <f>IF(ISBLANK(INDEX('Policy Characteristics'!A:A,MATCH($C1521,'Policy Characteristics'!$C:$C,0))),"",INDEX('Policy Characteristics'!A:A,MATCH($C1521,'Policy Characteristics'!$C:$C,0)))</f>
        <v>Industry</v>
      </c>
      <c r="B1521" s="262" t="str">
        <f>IF(ISBLANK(INDEX('Policy Characteristics'!B:B,MATCH($C1521,'Policy Characteristics'!$C:$C,0))),"",INDEX('Policy Characteristics'!B:B,MATCH($C1521,'Policy Characteristics'!$C:$C,0)))</f>
        <v>Industry Energy Efficiency Standards</v>
      </c>
      <c r="C1521" s="254" t="str">
        <f t="shared" si="51"/>
        <v>Percentage Improvement in Eqpt Efficiency Standards above BAU</v>
      </c>
      <c r="D1521" s="6" t="s">
        <v>3084</v>
      </c>
      <c r="E1521" s="45" t="s">
        <v>2404</v>
      </c>
      <c r="F1521" t="s">
        <v>3087</v>
      </c>
      <c r="G1521" s="45" t="s">
        <v>2410</v>
      </c>
      <c r="H1521" s="43">
        <v>1193</v>
      </c>
      <c r="I1521" s="324" t="s">
        <v>44</v>
      </c>
      <c r="J1521" s="255" t="str">
        <f>IF(ISBLANK(INDEX('Policy Characteristics'!D:D,MATCH($C1521,'Policy Characteristics'!$C:$C,0))),"",INDEX('Policy Characteristics'!D:D,MATCH($C1521,'Policy Characteristics'!$C:$C,0)))</f>
        <v>Industry Energy Efficiency Standards</v>
      </c>
      <c r="K1521" s="254" t="str">
        <f>IF(ISBLANK(INDEX('Policy Characteristics'!E:E,MATCH($C1521,'Policy Characteristics'!$C:$C,0))),"",INDEX('Policy Characteristics'!E:E,MATCH($C1521,'Policy Characteristics'!$C:$C,0)))</f>
        <v>indst efficiency standards</v>
      </c>
      <c r="L1521" s="261">
        <f>IF(ISBLANK(INDEX('Policy Characteristics'!F:F,MATCH($C1521,'Policy Characteristics'!$C:$C,0))),"",INDEX('Policy Characteristics'!F:F,MATCH($C1521,'Policy Characteristics'!$C:$C,0)))</f>
        <v>0</v>
      </c>
      <c r="M1521" s="261">
        <f>IF(ISBLANK(INDEX('Policy Characteristics'!G:G,MATCH($C1521,'Policy Characteristics'!$C:$C,0))),"",INDEX('Policy Characteristics'!G:G,MATCH($C1521,'Policy Characteristics'!$C:$C,0)))</f>
        <v>0.25</v>
      </c>
      <c r="N1521" s="261">
        <f>IF(ISBLANK(INDEX('Policy Characteristics'!H:H,MATCH($C1521,'Policy Characteristics'!$C:$C,0))),"",INDEX('Policy Characteristics'!H:H,MATCH($C1521,'Policy Characteristics'!$C:$C,0)))</f>
        <v>0.01</v>
      </c>
      <c r="O1521" s="254" t="str">
        <f>IF(ISBLANK(INDEX('Policy Characteristics'!I:I,MATCH($C1521,'Policy Characteristics'!$C:$C,0))),"",INDEX('Policy Characteristics'!I:I,MATCH($C1521,'Policy Characteristics'!$C:$C,0)))</f>
        <v>% reduction in energy use</v>
      </c>
      <c r="P1521" s="254"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4" t="str">
        <f>IF(ISBLANK(INDEX('Policy Characteristics'!K:K,MATCH($C1521,'Policy Characteristics'!$C:$C,0))),"",INDEX('Policy Characteristics'!K:K,MATCH($C1521,'Policy Characteristics'!$C:$C,0)))</f>
        <v>industry-ag-main.html#eff-stds</v>
      </c>
      <c r="R1521" s="254" t="str">
        <f>IF(ISBLANK(INDEX('Policy Characteristics'!L:L,MATCH($C1521,'Policy Characteristics'!$C:$C,0))),"",INDEX('Policy Characteristics'!L:L,MATCH($C1521,'Policy Characteristics'!$C:$C,0)))</f>
        <v>industry-energy-efficiency-standards.html</v>
      </c>
    </row>
    <row r="1522" spans="1:18" s="4" customFormat="1" x14ac:dyDescent="0.3">
      <c r="A1522" s="254" t="str">
        <f>IF(ISBLANK(INDEX('Policy Characteristics'!A:A,MATCH($C1522,'Policy Characteristics'!$C:$C,0))),"",INDEX('Policy Characteristics'!A:A,MATCH($C1522,'Policy Characteristics'!$C:$C,0)))</f>
        <v>Industry</v>
      </c>
      <c r="B1522" s="262" t="str">
        <f>IF(ISBLANK(INDEX('Policy Characteristics'!B:B,MATCH($C1522,'Policy Characteristics'!$C:$C,0))),"",INDEX('Policy Characteristics'!B:B,MATCH($C1522,'Policy Characteristics'!$C:$C,0)))</f>
        <v>Industry Energy Efficiency Standards</v>
      </c>
      <c r="C1522" s="254" t="str">
        <f t="shared" si="51"/>
        <v>Percentage Improvement in Eqpt Efficiency Standards above BAU</v>
      </c>
      <c r="D1522" s="6" t="s">
        <v>3084</v>
      </c>
      <c r="E1522" s="45" t="s">
        <v>2706</v>
      </c>
      <c r="F1522" t="s">
        <v>3087</v>
      </c>
      <c r="G1522" s="45" t="s">
        <v>2709</v>
      </c>
      <c r="H1522" s="43">
        <v>1194</v>
      </c>
      <c r="I1522" s="324" t="s">
        <v>44</v>
      </c>
      <c r="J1522" s="255" t="str">
        <f>IF(ISBLANK(INDEX('Policy Characteristics'!D:D,MATCH($C1522,'Policy Characteristics'!$C:$C,0))),"",INDEX('Policy Characteristics'!D:D,MATCH($C1522,'Policy Characteristics'!$C:$C,0)))</f>
        <v>Industry Energy Efficiency Standards</v>
      </c>
      <c r="K1522" s="254" t="str">
        <f>IF(ISBLANK(INDEX('Policy Characteristics'!E:E,MATCH($C1522,'Policy Characteristics'!$C:$C,0))),"",INDEX('Policy Characteristics'!E:E,MATCH($C1522,'Policy Characteristics'!$C:$C,0)))</f>
        <v>indst efficiency standards</v>
      </c>
      <c r="L1522" s="261">
        <f>IF(ISBLANK(INDEX('Policy Characteristics'!F:F,MATCH($C1522,'Policy Characteristics'!$C:$C,0))),"",INDEX('Policy Characteristics'!F:F,MATCH($C1522,'Policy Characteristics'!$C:$C,0)))</f>
        <v>0</v>
      </c>
      <c r="M1522" s="261">
        <f>IF(ISBLANK(INDEX('Policy Characteristics'!G:G,MATCH($C1522,'Policy Characteristics'!$C:$C,0))),"",INDEX('Policy Characteristics'!G:G,MATCH($C1522,'Policy Characteristics'!$C:$C,0)))</f>
        <v>0.25</v>
      </c>
      <c r="N1522" s="261">
        <f>IF(ISBLANK(INDEX('Policy Characteristics'!H:H,MATCH($C1522,'Policy Characteristics'!$C:$C,0))),"",INDEX('Policy Characteristics'!H:H,MATCH($C1522,'Policy Characteristics'!$C:$C,0)))</f>
        <v>0.01</v>
      </c>
      <c r="O1522" s="254" t="str">
        <f>IF(ISBLANK(INDEX('Policy Characteristics'!I:I,MATCH($C1522,'Policy Characteristics'!$C:$C,0))),"",INDEX('Policy Characteristics'!I:I,MATCH($C1522,'Policy Characteristics'!$C:$C,0)))</f>
        <v>% reduction in energy use</v>
      </c>
      <c r="P1522" s="254"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4" t="str">
        <f>IF(ISBLANK(INDEX('Policy Characteristics'!K:K,MATCH($C1522,'Policy Characteristics'!$C:$C,0))),"",INDEX('Policy Characteristics'!K:K,MATCH($C1522,'Policy Characteristics'!$C:$C,0)))</f>
        <v>industry-ag-main.html#eff-stds</v>
      </c>
      <c r="R1522" s="254" t="str">
        <f>IF(ISBLANK(INDEX('Policy Characteristics'!L:L,MATCH($C1522,'Policy Characteristics'!$C:$C,0))),"",INDEX('Policy Characteristics'!L:L,MATCH($C1522,'Policy Characteristics'!$C:$C,0)))</f>
        <v>industry-energy-efficiency-standards.html</v>
      </c>
    </row>
    <row r="1523" spans="1:18" s="4" customFormat="1" x14ac:dyDescent="0.3">
      <c r="A1523" s="254" t="str">
        <f>IF(ISBLANK(INDEX('Policy Characteristics'!A:A,MATCH($C1523,'Policy Characteristics'!$C:$C,0))),"",INDEX('Policy Characteristics'!A:A,MATCH($C1523,'Policy Characteristics'!$C:$C,0)))</f>
        <v>Industry</v>
      </c>
      <c r="B1523" s="262" t="str">
        <f>IF(ISBLANK(INDEX('Policy Characteristics'!B:B,MATCH($C1523,'Policy Characteristics'!$C:$C,0))),"",INDEX('Policy Characteristics'!B:B,MATCH($C1523,'Policy Characteristics'!$C:$C,0)))</f>
        <v>Industry Energy Efficiency Standards</v>
      </c>
      <c r="C1523" s="254" t="str">
        <f t="shared" si="51"/>
        <v>Percentage Improvement in Eqpt Efficiency Standards above BAU</v>
      </c>
      <c r="D1523" s="6" t="s">
        <v>3084</v>
      </c>
      <c r="E1523" s="45" t="s">
        <v>2707</v>
      </c>
      <c r="F1523" t="s">
        <v>3087</v>
      </c>
      <c r="G1523" s="45" t="s">
        <v>2711</v>
      </c>
      <c r="H1523" s="43">
        <v>1195</v>
      </c>
      <c r="I1523" s="324" t="s">
        <v>44</v>
      </c>
      <c r="J1523" s="255" t="str">
        <f>IF(ISBLANK(INDEX('Policy Characteristics'!D:D,MATCH($C1523,'Policy Characteristics'!$C:$C,0))),"",INDEX('Policy Characteristics'!D:D,MATCH($C1523,'Policy Characteristics'!$C:$C,0)))</f>
        <v>Industry Energy Efficiency Standards</v>
      </c>
      <c r="K1523" s="254" t="str">
        <f>IF(ISBLANK(INDEX('Policy Characteristics'!E:E,MATCH($C1523,'Policy Characteristics'!$C:$C,0))),"",INDEX('Policy Characteristics'!E:E,MATCH($C1523,'Policy Characteristics'!$C:$C,0)))</f>
        <v>indst efficiency standards</v>
      </c>
      <c r="L1523" s="261">
        <f>IF(ISBLANK(INDEX('Policy Characteristics'!F:F,MATCH($C1523,'Policy Characteristics'!$C:$C,0))),"",INDEX('Policy Characteristics'!F:F,MATCH($C1523,'Policy Characteristics'!$C:$C,0)))</f>
        <v>0</v>
      </c>
      <c r="M1523" s="261">
        <f>IF(ISBLANK(INDEX('Policy Characteristics'!G:G,MATCH($C1523,'Policy Characteristics'!$C:$C,0))),"",INDEX('Policy Characteristics'!G:G,MATCH($C1523,'Policy Characteristics'!$C:$C,0)))</f>
        <v>0.25</v>
      </c>
      <c r="N1523" s="261">
        <f>IF(ISBLANK(INDEX('Policy Characteristics'!H:H,MATCH($C1523,'Policy Characteristics'!$C:$C,0))),"",INDEX('Policy Characteristics'!H:H,MATCH($C1523,'Policy Characteristics'!$C:$C,0)))</f>
        <v>0.01</v>
      </c>
      <c r="O1523" s="254" t="str">
        <f>IF(ISBLANK(INDEX('Policy Characteristics'!I:I,MATCH($C1523,'Policy Characteristics'!$C:$C,0))),"",INDEX('Policy Characteristics'!I:I,MATCH($C1523,'Policy Characteristics'!$C:$C,0)))</f>
        <v>% reduction in energy use</v>
      </c>
      <c r="P1523" s="254"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4" t="str">
        <f>IF(ISBLANK(INDEX('Policy Characteristics'!K:K,MATCH($C1523,'Policy Characteristics'!$C:$C,0))),"",INDEX('Policy Characteristics'!K:K,MATCH($C1523,'Policy Characteristics'!$C:$C,0)))</f>
        <v>industry-ag-main.html#eff-stds</v>
      </c>
      <c r="R1523" s="254" t="str">
        <f>IF(ISBLANK(INDEX('Policy Characteristics'!L:L,MATCH($C1523,'Policy Characteristics'!$C:$C,0))),"",INDEX('Policy Characteristics'!L:L,MATCH($C1523,'Policy Characteristics'!$C:$C,0)))</f>
        <v>industry-energy-efficiency-standards.html</v>
      </c>
    </row>
    <row r="1524" spans="1:18" s="4" customFormat="1" x14ac:dyDescent="0.3">
      <c r="A1524" s="254" t="str">
        <f>IF(ISBLANK(INDEX('Policy Characteristics'!A:A,MATCH($C1524,'Policy Characteristics'!$C:$C,0))),"",INDEX('Policy Characteristics'!A:A,MATCH($C1524,'Policy Characteristics'!$C:$C,0)))</f>
        <v>Industry</v>
      </c>
      <c r="B1524" s="262" t="str">
        <f>IF(ISBLANK(INDEX('Policy Characteristics'!B:B,MATCH($C1524,'Policy Characteristics'!$C:$C,0))),"",INDEX('Policy Characteristics'!B:B,MATCH($C1524,'Policy Characteristics'!$C:$C,0)))</f>
        <v>Industry Energy Efficiency Standards</v>
      </c>
      <c r="C1524" s="254" t="str">
        <f t="shared" si="51"/>
        <v>Percentage Improvement in Eqpt Efficiency Standards above BAU</v>
      </c>
      <c r="D1524" s="6" t="s">
        <v>3084</v>
      </c>
      <c r="E1524" s="45" t="s">
        <v>2708</v>
      </c>
      <c r="F1524" t="s">
        <v>3087</v>
      </c>
      <c r="G1524" s="45" t="s">
        <v>2712</v>
      </c>
      <c r="H1524" s="43">
        <v>1196</v>
      </c>
      <c r="I1524" s="324" t="s">
        <v>44</v>
      </c>
      <c r="J1524" s="255" t="str">
        <f>IF(ISBLANK(INDEX('Policy Characteristics'!D:D,MATCH($C1524,'Policy Characteristics'!$C:$C,0))),"",INDEX('Policy Characteristics'!D:D,MATCH($C1524,'Policy Characteristics'!$C:$C,0)))</f>
        <v>Industry Energy Efficiency Standards</v>
      </c>
      <c r="K1524" s="254" t="str">
        <f>IF(ISBLANK(INDEX('Policy Characteristics'!E:E,MATCH($C1524,'Policy Characteristics'!$C:$C,0))),"",INDEX('Policy Characteristics'!E:E,MATCH($C1524,'Policy Characteristics'!$C:$C,0)))</f>
        <v>indst efficiency standards</v>
      </c>
      <c r="L1524" s="261">
        <f>IF(ISBLANK(INDEX('Policy Characteristics'!F:F,MATCH($C1524,'Policy Characteristics'!$C:$C,0))),"",INDEX('Policy Characteristics'!F:F,MATCH($C1524,'Policy Characteristics'!$C:$C,0)))</f>
        <v>0</v>
      </c>
      <c r="M1524" s="261">
        <f>IF(ISBLANK(INDEX('Policy Characteristics'!G:G,MATCH($C1524,'Policy Characteristics'!$C:$C,0))),"",INDEX('Policy Characteristics'!G:G,MATCH($C1524,'Policy Characteristics'!$C:$C,0)))</f>
        <v>0.25</v>
      </c>
      <c r="N1524" s="261">
        <f>IF(ISBLANK(INDEX('Policy Characteristics'!H:H,MATCH($C1524,'Policy Characteristics'!$C:$C,0))),"",INDEX('Policy Characteristics'!H:H,MATCH($C1524,'Policy Characteristics'!$C:$C,0)))</f>
        <v>0.01</v>
      </c>
      <c r="O1524" s="254" t="str">
        <f>IF(ISBLANK(INDEX('Policy Characteristics'!I:I,MATCH($C1524,'Policy Characteristics'!$C:$C,0))),"",INDEX('Policy Characteristics'!I:I,MATCH($C1524,'Policy Characteristics'!$C:$C,0)))</f>
        <v>% reduction in energy use</v>
      </c>
      <c r="P1524" s="254"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4" t="str">
        <f>IF(ISBLANK(INDEX('Policy Characteristics'!K:K,MATCH($C1524,'Policy Characteristics'!$C:$C,0))),"",INDEX('Policy Characteristics'!K:K,MATCH($C1524,'Policy Characteristics'!$C:$C,0)))</f>
        <v>industry-ag-main.html#eff-stds</v>
      </c>
      <c r="R1524" s="254" t="str">
        <f>IF(ISBLANK(INDEX('Policy Characteristics'!L:L,MATCH($C1524,'Policy Characteristics'!$C:$C,0))),"",INDEX('Policy Characteristics'!L:L,MATCH($C1524,'Policy Characteristics'!$C:$C,0)))</f>
        <v>industry-energy-efficiency-standards.html</v>
      </c>
    </row>
    <row r="1525" spans="1:18" s="4" customFormat="1" x14ac:dyDescent="0.3">
      <c r="A1525" s="254" t="str">
        <f>IF(ISBLANK(INDEX('Policy Characteristics'!A:A,MATCH($C1525,'Policy Characteristics'!$C:$C,0))),"",INDEX('Policy Characteristics'!A:A,MATCH($C1525,'Policy Characteristics'!$C:$C,0)))</f>
        <v>Industry</v>
      </c>
      <c r="B1525" s="262" t="str">
        <f>IF(ISBLANK(INDEX('Policy Characteristics'!B:B,MATCH($C1525,'Policy Characteristics'!$C:$C,0))),"",INDEX('Policy Characteristics'!B:B,MATCH($C1525,'Policy Characteristics'!$C:$C,0)))</f>
        <v>Industry Energy Efficiency Standards</v>
      </c>
      <c r="C1525" s="254" t="str">
        <f t="shared" si="51"/>
        <v>Percentage Improvement in Eqpt Efficiency Standards above BAU</v>
      </c>
      <c r="D1525" s="6" t="s">
        <v>3084</v>
      </c>
      <c r="E1525" s="45" t="s">
        <v>2705</v>
      </c>
      <c r="F1525" t="s">
        <v>3087</v>
      </c>
      <c r="G1525" s="45" t="s">
        <v>2710</v>
      </c>
      <c r="H1525" s="43">
        <v>1197</v>
      </c>
      <c r="I1525" s="324" t="s">
        <v>44</v>
      </c>
      <c r="J1525" s="255" t="str">
        <f>IF(ISBLANK(INDEX('Policy Characteristics'!D:D,MATCH($C1525,'Policy Characteristics'!$C:$C,0))),"",INDEX('Policy Characteristics'!D:D,MATCH($C1525,'Policy Characteristics'!$C:$C,0)))</f>
        <v>Industry Energy Efficiency Standards</v>
      </c>
      <c r="K1525" s="254" t="str">
        <f>IF(ISBLANK(INDEX('Policy Characteristics'!E:E,MATCH($C1525,'Policy Characteristics'!$C:$C,0))),"",INDEX('Policy Characteristics'!E:E,MATCH($C1525,'Policy Characteristics'!$C:$C,0)))</f>
        <v>indst efficiency standards</v>
      </c>
      <c r="L1525" s="261">
        <f>IF(ISBLANK(INDEX('Policy Characteristics'!F:F,MATCH($C1525,'Policy Characteristics'!$C:$C,0))),"",INDEX('Policy Characteristics'!F:F,MATCH($C1525,'Policy Characteristics'!$C:$C,0)))</f>
        <v>0</v>
      </c>
      <c r="M1525" s="261">
        <f>IF(ISBLANK(INDEX('Policy Characteristics'!G:G,MATCH($C1525,'Policy Characteristics'!$C:$C,0))),"",INDEX('Policy Characteristics'!G:G,MATCH($C1525,'Policy Characteristics'!$C:$C,0)))</f>
        <v>0.25</v>
      </c>
      <c r="N1525" s="261">
        <f>IF(ISBLANK(INDEX('Policy Characteristics'!H:H,MATCH($C1525,'Policy Characteristics'!$C:$C,0))),"",INDEX('Policy Characteristics'!H:H,MATCH($C1525,'Policy Characteristics'!$C:$C,0)))</f>
        <v>0.01</v>
      </c>
      <c r="O1525" s="254" t="str">
        <f>IF(ISBLANK(INDEX('Policy Characteristics'!I:I,MATCH($C1525,'Policy Characteristics'!$C:$C,0))),"",INDEX('Policy Characteristics'!I:I,MATCH($C1525,'Policy Characteristics'!$C:$C,0)))</f>
        <v>% reduction in energy use</v>
      </c>
      <c r="P1525" s="254"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4" t="str">
        <f>IF(ISBLANK(INDEX('Policy Characteristics'!K:K,MATCH($C1525,'Policy Characteristics'!$C:$C,0))),"",INDEX('Policy Characteristics'!K:K,MATCH($C1525,'Policy Characteristics'!$C:$C,0)))</f>
        <v>industry-ag-main.html#eff-stds</v>
      </c>
      <c r="R1525" s="254" t="str">
        <f>IF(ISBLANK(INDEX('Policy Characteristics'!L:L,MATCH($C1525,'Policy Characteristics'!$C:$C,0))),"",INDEX('Policy Characteristics'!L:L,MATCH($C1525,'Policy Characteristics'!$C:$C,0)))</f>
        <v>industry-energy-efficiency-standards.html</v>
      </c>
    </row>
    <row r="1526" spans="1:18" s="4" customFormat="1" x14ac:dyDescent="0.3">
      <c r="A1526" s="254" t="str">
        <f>IF(ISBLANK(INDEX('Policy Characteristics'!A:A,MATCH($C1526,'Policy Characteristics'!$C:$C,0))),"",INDEX('Policy Characteristics'!A:A,MATCH($C1526,'Policy Characteristics'!$C:$C,0)))</f>
        <v>Industry</v>
      </c>
      <c r="B1526" s="262" t="str">
        <f>IF(ISBLANK(INDEX('Policy Characteristics'!B:B,MATCH($C1526,'Policy Characteristics'!$C:$C,0))),"",INDEX('Policy Characteristics'!B:B,MATCH($C1526,'Policy Characteristics'!$C:$C,0)))</f>
        <v>Industry Energy Efficiency Standards</v>
      </c>
      <c r="C1526" s="254" t="str">
        <f t="shared" si="51"/>
        <v>Percentage Improvement in Eqpt Efficiency Standards above BAU</v>
      </c>
      <c r="D1526" s="6" t="s">
        <v>3085</v>
      </c>
      <c r="E1526" s="45" t="s">
        <v>2399</v>
      </c>
      <c r="F1526" t="s">
        <v>3046</v>
      </c>
      <c r="G1526" s="45" t="s">
        <v>2405</v>
      </c>
      <c r="H1526" s="43">
        <v>1198</v>
      </c>
      <c r="I1526" s="324" t="s">
        <v>43</v>
      </c>
      <c r="J1526" s="255" t="str">
        <f>IF(ISBLANK(INDEX('Policy Characteristics'!D:D,MATCH($C1526,'Policy Characteristics'!$C:$C,0))),"",INDEX('Policy Characteristics'!D:D,MATCH($C1526,'Policy Characteristics'!$C:$C,0)))</f>
        <v>Industry Energy Efficiency Standards</v>
      </c>
      <c r="K1526" s="254" t="str">
        <f>IF(ISBLANK(INDEX('Policy Characteristics'!E:E,MATCH($C1526,'Policy Characteristics'!$C:$C,0))),"",INDEX('Policy Characteristics'!E:E,MATCH($C1526,'Policy Characteristics'!$C:$C,0)))</f>
        <v>indst efficiency standards</v>
      </c>
      <c r="L1526" s="261">
        <f>IF(ISBLANK(INDEX('Policy Characteristics'!F:F,MATCH($C1526,'Policy Characteristics'!$C:$C,0))),"",INDEX('Policy Characteristics'!F:F,MATCH($C1526,'Policy Characteristics'!$C:$C,0)))</f>
        <v>0</v>
      </c>
      <c r="M1526" s="261">
        <f>IF(ISBLANK(INDEX('Policy Characteristics'!G:G,MATCH($C1526,'Policy Characteristics'!$C:$C,0))),"",INDEX('Policy Characteristics'!G:G,MATCH($C1526,'Policy Characteristics'!$C:$C,0)))</f>
        <v>0.25</v>
      </c>
      <c r="N1526" s="261">
        <f>IF(ISBLANK(INDEX('Policy Characteristics'!H:H,MATCH($C1526,'Policy Characteristics'!$C:$C,0))),"",INDEX('Policy Characteristics'!H:H,MATCH($C1526,'Policy Characteristics'!$C:$C,0)))</f>
        <v>0.01</v>
      </c>
      <c r="O1526" s="254" t="str">
        <f>IF(ISBLANK(INDEX('Policy Characteristics'!I:I,MATCH($C1526,'Policy Characteristics'!$C:$C,0))),"",INDEX('Policy Characteristics'!I:I,MATCH($C1526,'Policy Characteristics'!$C:$C,0)))</f>
        <v>% reduction in energy use</v>
      </c>
      <c r="P1526" s="254"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4" t="str">
        <f>IF(ISBLANK(INDEX('Policy Characteristics'!K:K,MATCH($C1526,'Policy Characteristics'!$C:$C,0))),"",INDEX('Policy Characteristics'!K:K,MATCH($C1526,'Policy Characteristics'!$C:$C,0)))</f>
        <v>industry-ag-main.html#eff-stds</v>
      </c>
      <c r="R1526" s="254" t="str">
        <f>IF(ISBLANK(INDEX('Policy Characteristics'!L:L,MATCH($C1526,'Policy Characteristics'!$C:$C,0))),"",INDEX('Policy Characteristics'!L:L,MATCH($C1526,'Policy Characteristics'!$C:$C,0)))</f>
        <v>industry-energy-efficiency-standards.html</v>
      </c>
    </row>
    <row r="1527" spans="1:18" s="4" customFormat="1" x14ac:dyDescent="0.3">
      <c r="A1527" s="254" t="str">
        <f>IF(ISBLANK(INDEX('Policy Characteristics'!A:A,MATCH($C1527,'Policy Characteristics'!$C:$C,0))),"",INDEX('Policy Characteristics'!A:A,MATCH($C1527,'Policy Characteristics'!$C:$C,0)))</f>
        <v>Industry</v>
      </c>
      <c r="B1527" s="262" t="str">
        <f>IF(ISBLANK(INDEX('Policy Characteristics'!B:B,MATCH($C1527,'Policy Characteristics'!$C:$C,0))),"",INDEX('Policy Characteristics'!B:B,MATCH($C1527,'Policy Characteristics'!$C:$C,0)))</f>
        <v>Industry Energy Efficiency Standards</v>
      </c>
      <c r="C1527" s="254" t="str">
        <f t="shared" si="51"/>
        <v>Percentage Improvement in Eqpt Efficiency Standards above BAU</v>
      </c>
      <c r="D1527" s="6" t="s">
        <v>3085</v>
      </c>
      <c r="E1527" s="45" t="s">
        <v>2400</v>
      </c>
      <c r="F1527" t="s">
        <v>3046</v>
      </c>
      <c r="G1527" s="45" t="s">
        <v>2408</v>
      </c>
      <c r="H1527" s="43">
        <v>1199</v>
      </c>
      <c r="I1527" s="324" t="s">
        <v>44</v>
      </c>
      <c r="J1527" s="255" t="str">
        <f>IF(ISBLANK(INDEX('Policy Characteristics'!D:D,MATCH($C1527,'Policy Characteristics'!$C:$C,0))),"",INDEX('Policy Characteristics'!D:D,MATCH($C1527,'Policy Characteristics'!$C:$C,0)))</f>
        <v>Industry Energy Efficiency Standards</v>
      </c>
      <c r="K1527" s="254" t="str">
        <f>IF(ISBLANK(INDEX('Policy Characteristics'!E:E,MATCH($C1527,'Policy Characteristics'!$C:$C,0))),"",INDEX('Policy Characteristics'!E:E,MATCH($C1527,'Policy Characteristics'!$C:$C,0)))</f>
        <v>indst efficiency standards</v>
      </c>
      <c r="L1527" s="261">
        <f>IF(ISBLANK(INDEX('Policy Characteristics'!F:F,MATCH($C1527,'Policy Characteristics'!$C:$C,0))),"",INDEX('Policy Characteristics'!F:F,MATCH($C1527,'Policy Characteristics'!$C:$C,0)))</f>
        <v>0</v>
      </c>
      <c r="M1527" s="261">
        <f>IF(ISBLANK(INDEX('Policy Characteristics'!G:G,MATCH($C1527,'Policy Characteristics'!$C:$C,0))),"",INDEX('Policy Characteristics'!G:G,MATCH($C1527,'Policy Characteristics'!$C:$C,0)))</f>
        <v>0.25</v>
      </c>
      <c r="N1527" s="261">
        <f>IF(ISBLANK(INDEX('Policy Characteristics'!H:H,MATCH($C1527,'Policy Characteristics'!$C:$C,0))),"",INDEX('Policy Characteristics'!H:H,MATCH($C1527,'Policy Characteristics'!$C:$C,0)))</f>
        <v>0.01</v>
      </c>
      <c r="O1527" s="254" t="str">
        <f>IF(ISBLANK(INDEX('Policy Characteristics'!I:I,MATCH($C1527,'Policy Characteristics'!$C:$C,0))),"",INDEX('Policy Characteristics'!I:I,MATCH($C1527,'Policy Characteristics'!$C:$C,0)))</f>
        <v>% reduction in energy use</v>
      </c>
      <c r="P1527" s="254"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4" t="str">
        <f>IF(ISBLANK(INDEX('Policy Characteristics'!K:K,MATCH($C1527,'Policy Characteristics'!$C:$C,0))),"",INDEX('Policy Characteristics'!K:K,MATCH($C1527,'Policy Characteristics'!$C:$C,0)))</f>
        <v>industry-ag-main.html#eff-stds</v>
      </c>
      <c r="R1527" s="254" t="str">
        <f>IF(ISBLANK(INDEX('Policy Characteristics'!L:L,MATCH($C1527,'Policy Characteristics'!$C:$C,0))),"",INDEX('Policy Characteristics'!L:L,MATCH($C1527,'Policy Characteristics'!$C:$C,0)))</f>
        <v>industry-energy-efficiency-standards.html</v>
      </c>
    </row>
    <row r="1528" spans="1:18" s="4" customFormat="1" x14ac:dyDescent="0.3">
      <c r="A1528" s="254" t="str">
        <f>IF(ISBLANK(INDEX('Policy Characteristics'!A:A,MATCH($C1528,'Policy Characteristics'!$C:$C,0))),"",INDEX('Policy Characteristics'!A:A,MATCH($C1528,'Policy Characteristics'!$C:$C,0)))</f>
        <v>Industry</v>
      </c>
      <c r="B1528" s="262" t="str">
        <f>IF(ISBLANK(INDEX('Policy Characteristics'!B:B,MATCH($C1528,'Policy Characteristics'!$C:$C,0))),"",INDEX('Policy Characteristics'!B:B,MATCH($C1528,'Policy Characteristics'!$C:$C,0)))</f>
        <v>Industry Energy Efficiency Standards</v>
      </c>
      <c r="C1528" s="254" t="str">
        <f t="shared" si="51"/>
        <v>Percentage Improvement in Eqpt Efficiency Standards above BAU</v>
      </c>
      <c r="D1528" s="6" t="s">
        <v>3085</v>
      </c>
      <c r="E1528" s="45" t="s">
        <v>2401</v>
      </c>
      <c r="F1528" t="s">
        <v>3046</v>
      </c>
      <c r="G1528" s="45" t="s">
        <v>2409</v>
      </c>
      <c r="H1528" s="43">
        <v>1200</v>
      </c>
      <c r="I1528" s="324" t="s">
        <v>43</v>
      </c>
      <c r="J1528" s="255" t="str">
        <f>IF(ISBLANK(INDEX('Policy Characteristics'!D:D,MATCH($C1528,'Policy Characteristics'!$C:$C,0))),"",INDEX('Policy Characteristics'!D:D,MATCH($C1528,'Policy Characteristics'!$C:$C,0)))</f>
        <v>Industry Energy Efficiency Standards</v>
      </c>
      <c r="K1528" s="254" t="str">
        <f>IF(ISBLANK(INDEX('Policy Characteristics'!E:E,MATCH($C1528,'Policy Characteristics'!$C:$C,0))),"",INDEX('Policy Characteristics'!E:E,MATCH($C1528,'Policy Characteristics'!$C:$C,0)))</f>
        <v>indst efficiency standards</v>
      </c>
      <c r="L1528" s="261">
        <f>IF(ISBLANK(INDEX('Policy Characteristics'!F:F,MATCH($C1528,'Policy Characteristics'!$C:$C,0))),"",INDEX('Policy Characteristics'!F:F,MATCH($C1528,'Policy Characteristics'!$C:$C,0)))</f>
        <v>0</v>
      </c>
      <c r="M1528" s="261">
        <f>IF(ISBLANK(INDEX('Policy Characteristics'!G:G,MATCH($C1528,'Policy Characteristics'!$C:$C,0))),"",INDEX('Policy Characteristics'!G:G,MATCH($C1528,'Policy Characteristics'!$C:$C,0)))</f>
        <v>0.25</v>
      </c>
      <c r="N1528" s="261">
        <f>IF(ISBLANK(INDEX('Policy Characteristics'!H:H,MATCH($C1528,'Policy Characteristics'!$C:$C,0))),"",INDEX('Policy Characteristics'!H:H,MATCH($C1528,'Policy Characteristics'!$C:$C,0)))</f>
        <v>0.01</v>
      </c>
      <c r="O1528" s="254" t="str">
        <f>IF(ISBLANK(INDEX('Policy Characteristics'!I:I,MATCH($C1528,'Policy Characteristics'!$C:$C,0))),"",INDEX('Policy Characteristics'!I:I,MATCH($C1528,'Policy Characteristics'!$C:$C,0)))</f>
        <v>% reduction in energy use</v>
      </c>
      <c r="P1528" s="254"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4" t="str">
        <f>IF(ISBLANK(INDEX('Policy Characteristics'!K:K,MATCH($C1528,'Policy Characteristics'!$C:$C,0))),"",INDEX('Policy Characteristics'!K:K,MATCH($C1528,'Policy Characteristics'!$C:$C,0)))</f>
        <v>industry-ag-main.html#eff-stds</v>
      </c>
      <c r="R1528" s="254" t="str">
        <f>IF(ISBLANK(INDEX('Policy Characteristics'!L:L,MATCH($C1528,'Policy Characteristics'!$C:$C,0))),"",INDEX('Policy Characteristics'!L:L,MATCH($C1528,'Policy Characteristics'!$C:$C,0)))</f>
        <v>industry-energy-efficiency-standards.html</v>
      </c>
    </row>
    <row r="1529" spans="1:18" s="4" customFormat="1" x14ac:dyDescent="0.3">
      <c r="A1529" s="254" t="str">
        <f>IF(ISBLANK(INDEX('Policy Characteristics'!A:A,MATCH($C1529,'Policy Characteristics'!$C:$C,0))),"",INDEX('Policy Characteristics'!A:A,MATCH($C1529,'Policy Characteristics'!$C:$C,0)))</f>
        <v>Industry</v>
      </c>
      <c r="B1529" s="262" t="str">
        <f>IF(ISBLANK(INDEX('Policy Characteristics'!B:B,MATCH($C1529,'Policy Characteristics'!$C:$C,0))),"",INDEX('Policy Characteristics'!B:B,MATCH($C1529,'Policy Characteristics'!$C:$C,0)))</f>
        <v>Industry Energy Efficiency Standards</v>
      </c>
      <c r="C1529" s="254" t="str">
        <f t="shared" si="51"/>
        <v>Percentage Improvement in Eqpt Efficiency Standards above BAU</v>
      </c>
      <c r="D1529" s="6" t="s">
        <v>3085</v>
      </c>
      <c r="E1529" s="45" t="s">
        <v>2402</v>
      </c>
      <c r="F1529" t="s">
        <v>3046</v>
      </c>
      <c r="G1529" s="45" t="s">
        <v>2406</v>
      </c>
      <c r="H1529" s="43">
        <v>1201</v>
      </c>
      <c r="I1529" s="324" t="s">
        <v>44</v>
      </c>
      <c r="J1529" s="255" t="str">
        <f>IF(ISBLANK(INDEX('Policy Characteristics'!D:D,MATCH($C1529,'Policy Characteristics'!$C:$C,0))),"",INDEX('Policy Characteristics'!D:D,MATCH($C1529,'Policy Characteristics'!$C:$C,0)))</f>
        <v>Industry Energy Efficiency Standards</v>
      </c>
      <c r="K1529" s="254" t="str">
        <f>IF(ISBLANK(INDEX('Policy Characteristics'!E:E,MATCH($C1529,'Policy Characteristics'!$C:$C,0))),"",INDEX('Policy Characteristics'!E:E,MATCH($C1529,'Policy Characteristics'!$C:$C,0)))</f>
        <v>indst efficiency standards</v>
      </c>
      <c r="L1529" s="261">
        <f>IF(ISBLANK(INDEX('Policy Characteristics'!F:F,MATCH($C1529,'Policy Characteristics'!$C:$C,0))),"",INDEX('Policy Characteristics'!F:F,MATCH($C1529,'Policy Characteristics'!$C:$C,0)))</f>
        <v>0</v>
      </c>
      <c r="M1529" s="261">
        <f>IF(ISBLANK(INDEX('Policy Characteristics'!G:G,MATCH($C1529,'Policy Characteristics'!$C:$C,0))),"",INDEX('Policy Characteristics'!G:G,MATCH($C1529,'Policy Characteristics'!$C:$C,0)))</f>
        <v>0.25</v>
      </c>
      <c r="N1529" s="261">
        <f>IF(ISBLANK(INDEX('Policy Characteristics'!H:H,MATCH($C1529,'Policy Characteristics'!$C:$C,0))),"",INDEX('Policy Characteristics'!H:H,MATCH($C1529,'Policy Characteristics'!$C:$C,0)))</f>
        <v>0.01</v>
      </c>
      <c r="O1529" s="254" t="str">
        <f>IF(ISBLANK(INDEX('Policy Characteristics'!I:I,MATCH($C1529,'Policy Characteristics'!$C:$C,0))),"",INDEX('Policy Characteristics'!I:I,MATCH($C1529,'Policy Characteristics'!$C:$C,0)))</f>
        <v>% reduction in energy use</v>
      </c>
      <c r="P1529" s="254"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4" t="str">
        <f>IF(ISBLANK(INDEX('Policy Characteristics'!K:K,MATCH($C1529,'Policy Characteristics'!$C:$C,0))),"",INDEX('Policy Characteristics'!K:K,MATCH($C1529,'Policy Characteristics'!$C:$C,0)))</f>
        <v>industry-ag-main.html#eff-stds</v>
      </c>
      <c r="R1529" s="254" t="str">
        <f>IF(ISBLANK(INDEX('Policy Characteristics'!L:L,MATCH($C1529,'Policy Characteristics'!$C:$C,0))),"",INDEX('Policy Characteristics'!L:L,MATCH($C1529,'Policy Characteristics'!$C:$C,0)))</f>
        <v>industry-energy-efficiency-standards.html</v>
      </c>
    </row>
    <row r="1530" spans="1:18" s="4" customFormat="1" x14ac:dyDescent="0.3">
      <c r="A1530" s="254" t="str">
        <f>IF(ISBLANK(INDEX('Policy Characteristics'!A:A,MATCH($C1530,'Policy Characteristics'!$C:$C,0))),"",INDEX('Policy Characteristics'!A:A,MATCH($C1530,'Policy Characteristics'!$C:$C,0)))</f>
        <v>Industry</v>
      </c>
      <c r="B1530" s="262" t="str">
        <f>IF(ISBLANK(INDEX('Policy Characteristics'!B:B,MATCH($C1530,'Policy Characteristics'!$C:$C,0))),"",INDEX('Policy Characteristics'!B:B,MATCH($C1530,'Policy Characteristics'!$C:$C,0)))</f>
        <v>Industry Energy Efficiency Standards</v>
      </c>
      <c r="C1530" s="254" t="str">
        <f t="shared" si="51"/>
        <v>Percentage Improvement in Eqpt Efficiency Standards above BAU</v>
      </c>
      <c r="D1530" s="6" t="s">
        <v>3085</v>
      </c>
      <c r="E1530" s="45" t="s">
        <v>2403</v>
      </c>
      <c r="F1530" t="s">
        <v>3046</v>
      </c>
      <c r="G1530" s="45" t="s">
        <v>2407</v>
      </c>
      <c r="H1530" s="43">
        <v>1202</v>
      </c>
      <c r="I1530" s="324" t="s">
        <v>43</v>
      </c>
      <c r="J1530" s="255" t="str">
        <f>IF(ISBLANK(INDEX('Policy Characteristics'!D:D,MATCH($C1530,'Policy Characteristics'!$C:$C,0))),"",INDEX('Policy Characteristics'!D:D,MATCH($C1530,'Policy Characteristics'!$C:$C,0)))</f>
        <v>Industry Energy Efficiency Standards</v>
      </c>
      <c r="K1530" s="254" t="str">
        <f>IF(ISBLANK(INDEX('Policy Characteristics'!E:E,MATCH($C1530,'Policy Characteristics'!$C:$C,0))),"",INDEX('Policy Characteristics'!E:E,MATCH($C1530,'Policy Characteristics'!$C:$C,0)))</f>
        <v>indst efficiency standards</v>
      </c>
      <c r="L1530" s="261">
        <f>IF(ISBLANK(INDEX('Policy Characteristics'!F:F,MATCH($C1530,'Policy Characteristics'!$C:$C,0))),"",INDEX('Policy Characteristics'!F:F,MATCH($C1530,'Policy Characteristics'!$C:$C,0)))</f>
        <v>0</v>
      </c>
      <c r="M1530" s="261">
        <f>IF(ISBLANK(INDEX('Policy Characteristics'!G:G,MATCH($C1530,'Policy Characteristics'!$C:$C,0))),"",INDEX('Policy Characteristics'!G:G,MATCH($C1530,'Policy Characteristics'!$C:$C,0)))</f>
        <v>0.25</v>
      </c>
      <c r="N1530" s="261">
        <f>IF(ISBLANK(INDEX('Policy Characteristics'!H:H,MATCH($C1530,'Policy Characteristics'!$C:$C,0))),"",INDEX('Policy Characteristics'!H:H,MATCH($C1530,'Policy Characteristics'!$C:$C,0)))</f>
        <v>0.01</v>
      </c>
      <c r="O1530" s="254" t="str">
        <f>IF(ISBLANK(INDEX('Policy Characteristics'!I:I,MATCH($C1530,'Policy Characteristics'!$C:$C,0))),"",INDEX('Policy Characteristics'!I:I,MATCH($C1530,'Policy Characteristics'!$C:$C,0)))</f>
        <v>% reduction in energy use</v>
      </c>
      <c r="P1530" s="254"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4" t="str">
        <f>IF(ISBLANK(INDEX('Policy Characteristics'!K:K,MATCH($C1530,'Policy Characteristics'!$C:$C,0))),"",INDEX('Policy Characteristics'!K:K,MATCH($C1530,'Policy Characteristics'!$C:$C,0)))</f>
        <v>industry-ag-main.html#eff-stds</v>
      </c>
      <c r="R1530" s="254" t="str">
        <f>IF(ISBLANK(INDEX('Policy Characteristics'!L:L,MATCH($C1530,'Policy Characteristics'!$C:$C,0))),"",INDEX('Policy Characteristics'!L:L,MATCH($C1530,'Policy Characteristics'!$C:$C,0)))</f>
        <v>industry-energy-efficiency-standards.html</v>
      </c>
    </row>
    <row r="1531" spans="1:18" s="4" customFormat="1" x14ac:dyDescent="0.3">
      <c r="A1531" s="254" t="str">
        <f>IF(ISBLANK(INDEX('Policy Characteristics'!A:A,MATCH($C1531,'Policy Characteristics'!$C:$C,0))),"",INDEX('Policy Characteristics'!A:A,MATCH($C1531,'Policy Characteristics'!$C:$C,0)))</f>
        <v>Industry</v>
      </c>
      <c r="B1531" s="262" t="str">
        <f>IF(ISBLANK(INDEX('Policy Characteristics'!B:B,MATCH($C1531,'Policy Characteristics'!$C:$C,0))),"",INDEX('Policy Characteristics'!B:B,MATCH($C1531,'Policy Characteristics'!$C:$C,0)))</f>
        <v>Industry Energy Efficiency Standards</v>
      </c>
      <c r="C1531" s="254" t="str">
        <f t="shared" si="51"/>
        <v>Percentage Improvement in Eqpt Efficiency Standards above BAU</v>
      </c>
      <c r="D1531" s="6" t="s">
        <v>3085</v>
      </c>
      <c r="E1531" s="45" t="s">
        <v>2404</v>
      </c>
      <c r="F1531" t="s">
        <v>3046</v>
      </c>
      <c r="G1531" s="45" t="s">
        <v>2410</v>
      </c>
      <c r="H1531" s="43">
        <v>1203</v>
      </c>
      <c r="I1531" s="324" t="s">
        <v>44</v>
      </c>
      <c r="J1531" s="255" t="str">
        <f>IF(ISBLANK(INDEX('Policy Characteristics'!D:D,MATCH($C1531,'Policy Characteristics'!$C:$C,0))),"",INDEX('Policy Characteristics'!D:D,MATCH($C1531,'Policy Characteristics'!$C:$C,0)))</f>
        <v>Industry Energy Efficiency Standards</v>
      </c>
      <c r="K1531" s="254" t="str">
        <f>IF(ISBLANK(INDEX('Policy Characteristics'!E:E,MATCH($C1531,'Policy Characteristics'!$C:$C,0))),"",INDEX('Policy Characteristics'!E:E,MATCH($C1531,'Policy Characteristics'!$C:$C,0)))</f>
        <v>indst efficiency standards</v>
      </c>
      <c r="L1531" s="261">
        <f>IF(ISBLANK(INDEX('Policy Characteristics'!F:F,MATCH($C1531,'Policy Characteristics'!$C:$C,0))),"",INDEX('Policy Characteristics'!F:F,MATCH($C1531,'Policy Characteristics'!$C:$C,0)))</f>
        <v>0</v>
      </c>
      <c r="M1531" s="261">
        <f>IF(ISBLANK(INDEX('Policy Characteristics'!G:G,MATCH($C1531,'Policy Characteristics'!$C:$C,0))),"",INDEX('Policy Characteristics'!G:G,MATCH($C1531,'Policy Characteristics'!$C:$C,0)))</f>
        <v>0.25</v>
      </c>
      <c r="N1531" s="261">
        <f>IF(ISBLANK(INDEX('Policy Characteristics'!H:H,MATCH($C1531,'Policy Characteristics'!$C:$C,0))),"",INDEX('Policy Characteristics'!H:H,MATCH($C1531,'Policy Characteristics'!$C:$C,0)))</f>
        <v>0.01</v>
      </c>
      <c r="O1531" s="254" t="str">
        <f>IF(ISBLANK(INDEX('Policy Characteristics'!I:I,MATCH($C1531,'Policy Characteristics'!$C:$C,0))),"",INDEX('Policy Characteristics'!I:I,MATCH($C1531,'Policy Characteristics'!$C:$C,0)))</f>
        <v>% reduction in energy use</v>
      </c>
      <c r="P1531" s="254"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4" t="str">
        <f>IF(ISBLANK(INDEX('Policy Characteristics'!K:K,MATCH($C1531,'Policy Characteristics'!$C:$C,0))),"",INDEX('Policy Characteristics'!K:K,MATCH($C1531,'Policy Characteristics'!$C:$C,0)))</f>
        <v>industry-ag-main.html#eff-stds</v>
      </c>
      <c r="R1531" s="254" t="str">
        <f>IF(ISBLANK(INDEX('Policy Characteristics'!L:L,MATCH($C1531,'Policy Characteristics'!$C:$C,0))),"",INDEX('Policy Characteristics'!L:L,MATCH($C1531,'Policy Characteristics'!$C:$C,0)))</f>
        <v>industry-energy-efficiency-standards.html</v>
      </c>
    </row>
    <row r="1532" spans="1:18" s="4" customFormat="1" x14ac:dyDescent="0.3">
      <c r="A1532" s="254" t="str">
        <f>IF(ISBLANK(INDEX('Policy Characteristics'!A:A,MATCH($C1532,'Policy Characteristics'!$C:$C,0))),"",INDEX('Policy Characteristics'!A:A,MATCH($C1532,'Policy Characteristics'!$C:$C,0)))</f>
        <v>Industry</v>
      </c>
      <c r="B1532" s="262" t="str">
        <f>IF(ISBLANK(INDEX('Policy Characteristics'!B:B,MATCH($C1532,'Policy Characteristics'!$C:$C,0))),"",INDEX('Policy Characteristics'!B:B,MATCH($C1532,'Policy Characteristics'!$C:$C,0)))</f>
        <v>Industry Energy Efficiency Standards</v>
      </c>
      <c r="C1532" s="254" t="str">
        <f t="shared" si="51"/>
        <v>Percentage Improvement in Eqpt Efficiency Standards above BAU</v>
      </c>
      <c r="D1532" s="6" t="s">
        <v>3085</v>
      </c>
      <c r="E1532" s="45" t="s">
        <v>2706</v>
      </c>
      <c r="F1532" t="s">
        <v>3046</v>
      </c>
      <c r="G1532" s="45" t="s">
        <v>2709</v>
      </c>
      <c r="H1532" s="43">
        <v>1204</v>
      </c>
      <c r="I1532" s="324" t="s">
        <v>44</v>
      </c>
      <c r="J1532" s="255" t="str">
        <f>IF(ISBLANK(INDEX('Policy Characteristics'!D:D,MATCH($C1532,'Policy Characteristics'!$C:$C,0))),"",INDEX('Policy Characteristics'!D:D,MATCH($C1532,'Policy Characteristics'!$C:$C,0)))</f>
        <v>Industry Energy Efficiency Standards</v>
      </c>
      <c r="K1532" s="254" t="str">
        <f>IF(ISBLANK(INDEX('Policy Characteristics'!E:E,MATCH($C1532,'Policy Characteristics'!$C:$C,0))),"",INDEX('Policy Characteristics'!E:E,MATCH($C1532,'Policy Characteristics'!$C:$C,0)))</f>
        <v>indst efficiency standards</v>
      </c>
      <c r="L1532" s="261">
        <f>IF(ISBLANK(INDEX('Policy Characteristics'!F:F,MATCH($C1532,'Policy Characteristics'!$C:$C,0))),"",INDEX('Policy Characteristics'!F:F,MATCH($C1532,'Policy Characteristics'!$C:$C,0)))</f>
        <v>0</v>
      </c>
      <c r="M1532" s="261">
        <f>IF(ISBLANK(INDEX('Policy Characteristics'!G:G,MATCH($C1532,'Policy Characteristics'!$C:$C,0))),"",INDEX('Policy Characteristics'!G:G,MATCH($C1532,'Policy Characteristics'!$C:$C,0)))</f>
        <v>0.25</v>
      </c>
      <c r="N1532" s="261">
        <f>IF(ISBLANK(INDEX('Policy Characteristics'!H:H,MATCH($C1532,'Policy Characteristics'!$C:$C,0))),"",INDEX('Policy Characteristics'!H:H,MATCH($C1532,'Policy Characteristics'!$C:$C,0)))</f>
        <v>0.01</v>
      </c>
      <c r="O1532" s="254" t="str">
        <f>IF(ISBLANK(INDEX('Policy Characteristics'!I:I,MATCH($C1532,'Policy Characteristics'!$C:$C,0))),"",INDEX('Policy Characteristics'!I:I,MATCH($C1532,'Policy Characteristics'!$C:$C,0)))</f>
        <v>% reduction in energy use</v>
      </c>
      <c r="P1532" s="254"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4" t="str">
        <f>IF(ISBLANK(INDEX('Policy Characteristics'!K:K,MATCH($C1532,'Policy Characteristics'!$C:$C,0))),"",INDEX('Policy Characteristics'!K:K,MATCH($C1532,'Policy Characteristics'!$C:$C,0)))</f>
        <v>industry-ag-main.html#eff-stds</v>
      </c>
      <c r="R1532" s="254" t="str">
        <f>IF(ISBLANK(INDEX('Policy Characteristics'!L:L,MATCH($C1532,'Policy Characteristics'!$C:$C,0))),"",INDEX('Policy Characteristics'!L:L,MATCH($C1532,'Policy Characteristics'!$C:$C,0)))</f>
        <v>industry-energy-efficiency-standards.html</v>
      </c>
    </row>
    <row r="1533" spans="1:18" s="4" customFormat="1" x14ac:dyDescent="0.3">
      <c r="A1533" s="254" t="str">
        <f>IF(ISBLANK(INDEX('Policy Characteristics'!A:A,MATCH($C1533,'Policy Characteristics'!$C:$C,0))),"",INDEX('Policy Characteristics'!A:A,MATCH($C1533,'Policy Characteristics'!$C:$C,0)))</f>
        <v>Industry</v>
      </c>
      <c r="B1533" s="262" t="str">
        <f>IF(ISBLANK(INDEX('Policy Characteristics'!B:B,MATCH($C1533,'Policy Characteristics'!$C:$C,0))),"",INDEX('Policy Characteristics'!B:B,MATCH($C1533,'Policy Characteristics'!$C:$C,0)))</f>
        <v>Industry Energy Efficiency Standards</v>
      </c>
      <c r="C1533" s="254" t="str">
        <f t="shared" si="51"/>
        <v>Percentage Improvement in Eqpt Efficiency Standards above BAU</v>
      </c>
      <c r="D1533" s="6" t="s">
        <v>3085</v>
      </c>
      <c r="E1533" s="45" t="s">
        <v>2707</v>
      </c>
      <c r="F1533" t="s">
        <v>3046</v>
      </c>
      <c r="G1533" s="45" t="s">
        <v>2711</v>
      </c>
      <c r="H1533" s="43">
        <v>1205</v>
      </c>
      <c r="I1533" s="324" t="s">
        <v>43</v>
      </c>
      <c r="J1533" s="255" t="str">
        <f>IF(ISBLANK(INDEX('Policy Characteristics'!D:D,MATCH($C1533,'Policy Characteristics'!$C:$C,0))),"",INDEX('Policy Characteristics'!D:D,MATCH($C1533,'Policy Characteristics'!$C:$C,0)))</f>
        <v>Industry Energy Efficiency Standards</v>
      </c>
      <c r="K1533" s="254" t="str">
        <f>IF(ISBLANK(INDEX('Policy Characteristics'!E:E,MATCH($C1533,'Policy Characteristics'!$C:$C,0))),"",INDEX('Policy Characteristics'!E:E,MATCH($C1533,'Policy Characteristics'!$C:$C,0)))</f>
        <v>indst efficiency standards</v>
      </c>
      <c r="L1533" s="261">
        <f>IF(ISBLANK(INDEX('Policy Characteristics'!F:F,MATCH($C1533,'Policy Characteristics'!$C:$C,0))),"",INDEX('Policy Characteristics'!F:F,MATCH($C1533,'Policy Characteristics'!$C:$C,0)))</f>
        <v>0</v>
      </c>
      <c r="M1533" s="261">
        <f>IF(ISBLANK(INDEX('Policy Characteristics'!G:G,MATCH($C1533,'Policy Characteristics'!$C:$C,0))),"",INDEX('Policy Characteristics'!G:G,MATCH($C1533,'Policy Characteristics'!$C:$C,0)))</f>
        <v>0.25</v>
      </c>
      <c r="N1533" s="261">
        <f>IF(ISBLANK(INDEX('Policy Characteristics'!H:H,MATCH($C1533,'Policy Characteristics'!$C:$C,0))),"",INDEX('Policy Characteristics'!H:H,MATCH($C1533,'Policy Characteristics'!$C:$C,0)))</f>
        <v>0.01</v>
      </c>
      <c r="O1533" s="254" t="str">
        <f>IF(ISBLANK(INDEX('Policy Characteristics'!I:I,MATCH($C1533,'Policy Characteristics'!$C:$C,0))),"",INDEX('Policy Characteristics'!I:I,MATCH($C1533,'Policy Characteristics'!$C:$C,0)))</f>
        <v>% reduction in energy use</v>
      </c>
      <c r="P1533" s="254"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4" t="str">
        <f>IF(ISBLANK(INDEX('Policy Characteristics'!K:K,MATCH($C1533,'Policy Characteristics'!$C:$C,0))),"",INDEX('Policy Characteristics'!K:K,MATCH($C1533,'Policy Characteristics'!$C:$C,0)))</f>
        <v>industry-ag-main.html#eff-stds</v>
      </c>
      <c r="R1533" s="254" t="str">
        <f>IF(ISBLANK(INDEX('Policy Characteristics'!L:L,MATCH($C1533,'Policy Characteristics'!$C:$C,0))),"",INDEX('Policy Characteristics'!L:L,MATCH($C1533,'Policy Characteristics'!$C:$C,0)))</f>
        <v>industry-energy-efficiency-standards.html</v>
      </c>
    </row>
    <row r="1534" spans="1:18" s="4" customFormat="1" x14ac:dyDescent="0.3">
      <c r="A1534" s="254" t="str">
        <f>IF(ISBLANK(INDEX('Policy Characteristics'!A:A,MATCH($C1534,'Policy Characteristics'!$C:$C,0))),"",INDEX('Policy Characteristics'!A:A,MATCH($C1534,'Policy Characteristics'!$C:$C,0)))</f>
        <v>Industry</v>
      </c>
      <c r="B1534" s="262" t="str">
        <f>IF(ISBLANK(INDEX('Policy Characteristics'!B:B,MATCH($C1534,'Policy Characteristics'!$C:$C,0))),"",INDEX('Policy Characteristics'!B:B,MATCH($C1534,'Policy Characteristics'!$C:$C,0)))</f>
        <v>Industry Energy Efficiency Standards</v>
      </c>
      <c r="C1534" s="254" t="str">
        <f t="shared" si="51"/>
        <v>Percentage Improvement in Eqpt Efficiency Standards above BAU</v>
      </c>
      <c r="D1534" s="6" t="s">
        <v>3085</v>
      </c>
      <c r="E1534" s="45" t="s">
        <v>2708</v>
      </c>
      <c r="F1534" t="s">
        <v>3046</v>
      </c>
      <c r="G1534" s="45" t="s">
        <v>2712</v>
      </c>
      <c r="H1534" s="43">
        <v>1206</v>
      </c>
      <c r="I1534" s="324" t="s">
        <v>43</v>
      </c>
      <c r="J1534" s="255" t="str">
        <f>IF(ISBLANK(INDEX('Policy Characteristics'!D:D,MATCH($C1534,'Policy Characteristics'!$C:$C,0))),"",INDEX('Policy Characteristics'!D:D,MATCH($C1534,'Policy Characteristics'!$C:$C,0)))</f>
        <v>Industry Energy Efficiency Standards</v>
      </c>
      <c r="K1534" s="254" t="str">
        <f>IF(ISBLANK(INDEX('Policy Characteristics'!E:E,MATCH($C1534,'Policy Characteristics'!$C:$C,0))),"",INDEX('Policy Characteristics'!E:E,MATCH($C1534,'Policy Characteristics'!$C:$C,0)))</f>
        <v>indst efficiency standards</v>
      </c>
      <c r="L1534" s="261">
        <f>IF(ISBLANK(INDEX('Policy Characteristics'!F:F,MATCH($C1534,'Policy Characteristics'!$C:$C,0))),"",INDEX('Policy Characteristics'!F:F,MATCH($C1534,'Policy Characteristics'!$C:$C,0)))</f>
        <v>0</v>
      </c>
      <c r="M1534" s="261">
        <f>IF(ISBLANK(INDEX('Policy Characteristics'!G:G,MATCH($C1534,'Policy Characteristics'!$C:$C,0))),"",INDEX('Policy Characteristics'!G:G,MATCH($C1534,'Policy Characteristics'!$C:$C,0)))</f>
        <v>0.25</v>
      </c>
      <c r="N1534" s="261">
        <f>IF(ISBLANK(INDEX('Policy Characteristics'!H:H,MATCH($C1534,'Policy Characteristics'!$C:$C,0))),"",INDEX('Policy Characteristics'!H:H,MATCH($C1534,'Policy Characteristics'!$C:$C,0)))</f>
        <v>0.01</v>
      </c>
      <c r="O1534" s="254" t="str">
        <f>IF(ISBLANK(INDEX('Policy Characteristics'!I:I,MATCH($C1534,'Policy Characteristics'!$C:$C,0))),"",INDEX('Policy Characteristics'!I:I,MATCH($C1534,'Policy Characteristics'!$C:$C,0)))</f>
        <v>% reduction in energy use</v>
      </c>
      <c r="P1534" s="254"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4" t="str">
        <f>IF(ISBLANK(INDEX('Policy Characteristics'!K:K,MATCH($C1534,'Policy Characteristics'!$C:$C,0))),"",INDEX('Policy Characteristics'!K:K,MATCH($C1534,'Policy Characteristics'!$C:$C,0)))</f>
        <v>industry-ag-main.html#eff-stds</v>
      </c>
      <c r="R1534" s="254" t="str">
        <f>IF(ISBLANK(INDEX('Policy Characteristics'!L:L,MATCH($C1534,'Policy Characteristics'!$C:$C,0))),"",INDEX('Policy Characteristics'!L:L,MATCH($C1534,'Policy Characteristics'!$C:$C,0)))</f>
        <v>industry-energy-efficiency-standards.html</v>
      </c>
    </row>
    <row r="1535" spans="1:18" s="4" customFormat="1" x14ac:dyDescent="0.3">
      <c r="A1535" s="254" t="str">
        <f>IF(ISBLANK(INDEX('Policy Characteristics'!A:A,MATCH($C1535,'Policy Characteristics'!$C:$C,0))),"",INDEX('Policy Characteristics'!A:A,MATCH($C1535,'Policy Characteristics'!$C:$C,0)))</f>
        <v>Industry</v>
      </c>
      <c r="B1535" s="262" t="str">
        <f>IF(ISBLANK(INDEX('Policy Characteristics'!B:B,MATCH($C1535,'Policy Characteristics'!$C:$C,0))),"",INDEX('Policy Characteristics'!B:B,MATCH($C1535,'Policy Characteristics'!$C:$C,0)))</f>
        <v>Industry Energy Efficiency Standards</v>
      </c>
      <c r="C1535" s="254" t="str">
        <f t="shared" si="51"/>
        <v>Percentage Improvement in Eqpt Efficiency Standards above BAU</v>
      </c>
      <c r="D1535" s="6" t="s">
        <v>3085</v>
      </c>
      <c r="E1535" s="45" t="s">
        <v>2705</v>
      </c>
      <c r="F1535" t="s">
        <v>3046</v>
      </c>
      <c r="G1535" s="45" t="s">
        <v>2710</v>
      </c>
      <c r="H1535" s="43">
        <v>1207</v>
      </c>
      <c r="I1535" s="324" t="s">
        <v>44</v>
      </c>
      <c r="J1535" s="255" t="str">
        <f>IF(ISBLANK(INDEX('Policy Characteristics'!D:D,MATCH($C1535,'Policy Characteristics'!$C:$C,0))),"",INDEX('Policy Characteristics'!D:D,MATCH($C1535,'Policy Characteristics'!$C:$C,0)))</f>
        <v>Industry Energy Efficiency Standards</v>
      </c>
      <c r="K1535" s="254" t="str">
        <f>IF(ISBLANK(INDEX('Policy Characteristics'!E:E,MATCH($C1535,'Policy Characteristics'!$C:$C,0))),"",INDEX('Policy Characteristics'!E:E,MATCH($C1535,'Policy Characteristics'!$C:$C,0)))</f>
        <v>indst efficiency standards</v>
      </c>
      <c r="L1535" s="261">
        <f>IF(ISBLANK(INDEX('Policy Characteristics'!F:F,MATCH($C1535,'Policy Characteristics'!$C:$C,0))),"",INDEX('Policy Characteristics'!F:F,MATCH($C1535,'Policy Characteristics'!$C:$C,0)))</f>
        <v>0</v>
      </c>
      <c r="M1535" s="261">
        <f>IF(ISBLANK(INDEX('Policy Characteristics'!G:G,MATCH($C1535,'Policy Characteristics'!$C:$C,0))),"",INDEX('Policy Characteristics'!G:G,MATCH($C1535,'Policy Characteristics'!$C:$C,0)))</f>
        <v>0.25</v>
      </c>
      <c r="N1535" s="261">
        <f>IF(ISBLANK(INDEX('Policy Characteristics'!H:H,MATCH($C1535,'Policy Characteristics'!$C:$C,0))),"",INDEX('Policy Characteristics'!H:H,MATCH($C1535,'Policy Characteristics'!$C:$C,0)))</f>
        <v>0.01</v>
      </c>
      <c r="O1535" s="254" t="str">
        <f>IF(ISBLANK(INDEX('Policy Characteristics'!I:I,MATCH($C1535,'Policy Characteristics'!$C:$C,0))),"",INDEX('Policy Characteristics'!I:I,MATCH($C1535,'Policy Characteristics'!$C:$C,0)))</f>
        <v>% reduction in energy use</v>
      </c>
      <c r="P1535" s="254"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4" t="str">
        <f>IF(ISBLANK(INDEX('Policy Characteristics'!K:K,MATCH($C1535,'Policy Characteristics'!$C:$C,0))),"",INDEX('Policy Characteristics'!K:K,MATCH($C1535,'Policy Characteristics'!$C:$C,0)))</f>
        <v>industry-ag-main.html#eff-stds</v>
      </c>
      <c r="R1535" s="254" t="str">
        <f>IF(ISBLANK(INDEX('Policy Characteristics'!L:L,MATCH($C1535,'Policy Characteristics'!$C:$C,0))),"",INDEX('Policy Characteristics'!L:L,MATCH($C1535,'Policy Characteristics'!$C:$C,0)))</f>
        <v>industry-energy-efficiency-standards.html</v>
      </c>
    </row>
    <row r="1536" spans="1:18" s="4" customFormat="1" x14ac:dyDescent="0.3">
      <c r="A1536" s="254" t="str">
        <f>IF(ISBLANK(INDEX('Policy Characteristics'!A:A,MATCH($C1536,'Policy Characteristics'!$C:$C,0))),"",INDEX('Policy Characteristics'!A:A,MATCH($C1536,'Policy Characteristics'!$C:$C,0)))</f>
        <v>Industry</v>
      </c>
      <c r="B1536" s="262" t="str">
        <f>IF(ISBLANK(INDEX('Policy Characteristics'!B:B,MATCH($C1536,'Policy Characteristics'!$C:$C,0))),"",INDEX('Policy Characteristics'!B:B,MATCH($C1536,'Policy Characteristics'!$C:$C,0)))</f>
        <v>Material Efficiency, Longevity, &amp; Re-Use</v>
      </c>
      <c r="C1536" t="s">
        <v>2435</v>
      </c>
      <c r="D1536" s="45" t="s">
        <v>3073</v>
      </c>
      <c r="E1536" s="45"/>
      <c r="F1536" s="6" t="s">
        <v>3036</v>
      </c>
      <c r="G1536" s="45"/>
      <c r="H1536" s="43">
        <v>429</v>
      </c>
      <c r="I1536" s="324" t="s">
        <v>43</v>
      </c>
      <c r="J1536" s="255" t="str">
        <f>IF(ISBLANK(INDEX('Policy Characteristics'!D:D,MATCH($C1536,'Policy Characteristics'!$C:$C,0))),"",INDEX('Policy Characteristics'!D:D,MATCH($C1536,'Policy Characteristics'!$C:$C,0)))</f>
        <v>Material Efficiency, Longevity, &amp; Re-Use</v>
      </c>
      <c r="K1536" s="254" t="str">
        <f>IF(ISBLANK(INDEX('Policy Characteristics'!E:E,MATCH($C1536,'Policy Characteristics'!$C:$C,0))),"",INDEX('Policy Characteristics'!E:E,MATCH($C1536,'Policy Characteristics'!$C:$C,0)))</f>
        <v>indst reduce nonenergy product demand</v>
      </c>
      <c r="L1536" s="261">
        <f>IF(ISBLANK(INDEX('Policy Characteristics'!F:F,MATCH($C1536,'Policy Characteristics'!$C:$C,0))),"",INDEX('Policy Characteristics'!F:F,MATCH($C1536,'Policy Characteristics'!$C:$C,0)))</f>
        <v>0</v>
      </c>
      <c r="M1536" s="261">
        <f>IF(ISBLANK(INDEX('Policy Characteristics'!G:G,MATCH($C1536,'Policy Characteristics'!$C:$C,0))),"",INDEX('Policy Characteristics'!G:G,MATCH($C1536,'Policy Characteristics'!$C:$C,0)))</f>
        <v>1</v>
      </c>
      <c r="N1536" s="261">
        <f>IF(ISBLANK(INDEX('Policy Characteristics'!H:H,MATCH($C1536,'Policy Characteristics'!$C:$C,0))),"",INDEX('Policy Characteristics'!H:H,MATCH($C1536,'Policy Characteristics'!$C:$C,0)))</f>
        <v>0.01</v>
      </c>
      <c r="O1536" s="254" t="str">
        <f>IF(ISBLANK(INDEX('Policy Characteristics'!I:I,MATCH($C1536,'Policy Characteristics'!$C:$C,0))),"",INDEX('Policy Characteristics'!I:I,MATCH($C1536,'Policy Characteristics'!$C:$C,0)))</f>
        <v>% demand reduction</v>
      </c>
      <c r="P1536" s="254" t="str">
        <f>IF(ISBLANK(INDEX('Policy Characteristics'!J:J,MATCH($C1536,'Policy Characteristics'!$C:$C,0))),"",INDEX('Policy Characteristics'!J:J,MATCH($C1536,'Policy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36" s="254" t="str">
        <f>IF(ISBLANK(INDEX('Policy Characteristics'!K:K,MATCH($C1536,'Policy Characteristics'!$C:$C,0))),"",INDEX('Policy Characteristics'!K:K,MATCH($C1536,'Policy Characteristics'!$C:$C,0)))</f>
        <v/>
      </c>
      <c r="R1536" s="254" t="str">
        <f>IF(ISBLANK(INDEX('Policy Characteristics'!L:L,MATCH($C1536,'Policy Characteristics'!$C:$C,0))),"",INDEX('Policy Characteristics'!L:L,MATCH($C1536,'Policy Characteristics'!$C:$C,0)))</f>
        <v>material-efficiency-longevity-reuse.html</v>
      </c>
    </row>
    <row r="1537" spans="1:18" s="4" customFormat="1" x14ac:dyDescent="0.3">
      <c r="A1537" s="254" t="str">
        <f>IF(ISBLANK(INDEX('Policy Characteristics'!A:A,MATCH($C1537,'Policy Characteristics'!$C:$C,0))),"",INDEX('Policy Characteristics'!A:A,MATCH($C1537,'Policy Characteristics'!$C:$C,0)))</f>
        <v>Industry</v>
      </c>
      <c r="B1537" s="262" t="str">
        <f>IF(ISBLANK(INDEX('Policy Characteristics'!B:B,MATCH($C1537,'Policy Characteristics'!$C:$C,0))),"",INDEX('Policy Characteristics'!B:B,MATCH($C1537,'Policy Characteristics'!$C:$C,0)))</f>
        <v>Material Efficiency, Longevity, &amp; Re-Use</v>
      </c>
      <c r="C1537" s="254" t="str">
        <f t="shared" ref="C1537" si="52">C$1536</f>
        <v>Percent Reduction in Nonenergy Nonagriculture Industry Product Demand</v>
      </c>
      <c r="D1537" s="6" t="s">
        <v>3074</v>
      </c>
      <c r="E1537" s="45"/>
      <c r="F1537" s="6" t="s">
        <v>2580</v>
      </c>
      <c r="G1537" s="45"/>
      <c r="H1537" s="43">
        <v>430</v>
      </c>
      <c r="I1537" s="324" t="s">
        <v>43</v>
      </c>
      <c r="J1537" s="255" t="str">
        <f>IF(ISBLANK(INDEX('Policy Characteristics'!D:D,MATCH($C1537,'Policy Characteristics'!$C:$C,0))),"",INDEX('Policy Characteristics'!D:D,MATCH($C1537,'Policy Characteristics'!$C:$C,0)))</f>
        <v>Material Efficiency, Longevity, &amp; Re-Use</v>
      </c>
      <c r="K1537" s="254" t="str">
        <f>IF(ISBLANK(INDEX('Policy Characteristics'!E:E,MATCH($C1537,'Policy Characteristics'!$C:$C,0))),"",INDEX('Policy Characteristics'!E:E,MATCH($C1537,'Policy Characteristics'!$C:$C,0)))</f>
        <v>indst reduce nonenergy product demand</v>
      </c>
      <c r="L1537" s="261">
        <f>IF(ISBLANK(INDEX('Policy Characteristics'!F:F,MATCH($C1537,'Policy Characteristics'!$C:$C,0))),"",INDEX('Policy Characteristics'!F:F,MATCH($C1537,'Policy Characteristics'!$C:$C,0)))</f>
        <v>0</v>
      </c>
      <c r="M1537" s="261">
        <f>IF(ISBLANK(INDEX('Policy Characteristics'!G:G,MATCH($C1537,'Policy Characteristics'!$C:$C,0))),"",INDEX('Policy Characteristics'!G:G,MATCH($C1537,'Policy Characteristics'!$C:$C,0)))</f>
        <v>1</v>
      </c>
      <c r="N1537" s="261">
        <f>IF(ISBLANK(INDEX('Policy Characteristics'!H:H,MATCH($C1537,'Policy Characteristics'!$C:$C,0))),"",INDEX('Policy Characteristics'!H:H,MATCH($C1537,'Policy Characteristics'!$C:$C,0)))</f>
        <v>0.01</v>
      </c>
      <c r="O1537" s="254" t="str">
        <f>IF(ISBLANK(INDEX('Policy Characteristics'!I:I,MATCH($C1537,'Policy Characteristics'!$C:$C,0))),"",INDEX('Policy Characteristics'!I:I,MATCH($C1537,'Policy Characteristics'!$C:$C,0)))</f>
        <v>% demand reduction</v>
      </c>
      <c r="P1537" s="254" t="str">
        <f>IF(ISBLANK(INDEX('Policy Characteristics'!J:J,MATCH($C1537,'Policy Characteristics'!$C:$C,0))),"",INDEX('Policy Characteristics'!J:J,MATCH($C1537,'Policy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37" s="254" t="str">
        <f>IF(ISBLANK(INDEX('Policy Characteristics'!K:K,MATCH($C1537,'Policy Characteristics'!$C:$C,0))),"",INDEX('Policy Characteristics'!K:K,MATCH($C1537,'Policy Characteristics'!$C:$C,0)))</f>
        <v/>
      </c>
      <c r="R1537" s="254" t="str">
        <f>IF(ISBLANK(INDEX('Policy Characteristics'!L:L,MATCH($C1537,'Policy Characteristics'!$C:$C,0))),"",INDEX('Policy Characteristics'!L:L,MATCH($C1537,'Policy Characteristics'!$C:$C,0)))</f>
        <v>material-efficiency-longevity-reuse.html</v>
      </c>
    </row>
    <row r="1538" spans="1:18" s="4" customFormat="1" x14ac:dyDescent="0.3">
      <c r="A1538" s="254" t="str">
        <f>IF(ISBLANK(INDEX('Policy Characteristics'!A:A,MATCH($C1538,'Policy Characteristics'!$C:$C,0))),"",INDEX('Policy Characteristics'!A:A,MATCH($C1538,'Policy Characteristics'!$C:$C,0)))</f>
        <v>Industry</v>
      </c>
      <c r="B1538" s="262" t="str">
        <f>IF(ISBLANK(INDEX('Policy Characteristics'!B:B,MATCH($C1538,'Policy Characteristics'!$C:$C,0))),"",INDEX('Policy Characteristics'!B:B,MATCH($C1538,'Policy Characteristics'!$C:$C,0)))</f>
        <v>Material Efficiency, Longevity, &amp; Re-Use</v>
      </c>
      <c r="C1538" s="254" t="str">
        <f t="shared" ref="C1538" si="53">C$1536</f>
        <v>Percent Reduction in Nonenergy Nonagriculture Industry Product Demand</v>
      </c>
      <c r="D1538" s="6" t="s">
        <v>3084</v>
      </c>
      <c r="E1538" s="45"/>
      <c r="F1538" s="6" t="s">
        <v>3087</v>
      </c>
      <c r="G1538" s="45"/>
      <c r="H1538" s="43">
        <v>432</v>
      </c>
      <c r="I1538" s="324" t="s">
        <v>43</v>
      </c>
      <c r="J1538" s="255" t="str">
        <f>IF(ISBLANK(INDEX('Policy Characteristics'!D:D,MATCH($C1538,'Policy Characteristics'!$C:$C,0))),"",INDEX('Policy Characteristics'!D:D,MATCH($C1538,'Policy Characteristics'!$C:$C,0)))</f>
        <v>Material Efficiency, Longevity, &amp; Re-Use</v>
      </c>
      <c r="K1538" s="254" t="str">
        <f>IF(ISBLANK(INDEX('Policy Characteristics'!E:E,MATCH($C1538,'Policy Characteristics'!$C:$C,0))),"",INDEX('Policy Characteristics'!E:E,MATCH($C1538,'Policy Characteristics'!$C:$C,0)))</f>
        <v>indst reduce nonenergy product demand</v>
      </c>
      <c r="L1538" s="261">
        <f>IF(ISBLANK(INDEX('Policy Characteristics'!F:F,MATCH($C1538,'Policy Characteristics'!$C:$C,0))),"",INDEX('Policy Characteristics'!F:F,MATCH($C1538,'Policy Characteristics'!$C:$C,0)))</f>
        <v>0</v>
      </c>
      <c r="M1538" s="261">
        <f>IF(ISBLANK(INDEX('Policy Characteristics'!G:G,MATCH($C1538,'Policy Characteristics'!$C:$C,0))),"",INDEX('Policy Characteristics'!G:G,MATCH($C1538,'Policy Characteristics'!$C:$C,0)))</f>
        <v>1</v>
      </c>
      <c r="N1538" s="261">
        <f>IF(ISBLANK(INDEX('Policy Characteristics'!H:H,MATCH($C1538,'Policy Characteristics'!$C:$C,0))),"",INDEX('Policy Characteristics'!H:H,MATCH($C1538,'Policy Characteristics'!$C:$C,0)))</f>
        <v>0.01</v>
      </c>
      <c r="O1538" s="254" t="str">
        <f>IF(ISBLANK(INDEX('Policy Characteristics'!I:I,MATCH($C1538,'Policy Characteristics'!$C:$C,0))),"",INDEX('Policy Characteristics'!I:I,MATCH($C1538,'Policy Characteristics'!$C:$C,0)))</f>
        <v>% demand reduction</v>
      </c>
      <c r="P1538" s="254" t="str">
        <f>IF(ISBLANK(INDEX('Policy Characteristics'!J:J,MATCH($C1538,'Policy Characteristics'!$C:$C,0))),"",INDEX('Policy Characteristics'!J:J,MATCH($C1538,'Policy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38" s="254" t="str">
        <f>IF(ISBLANK(INDEX('Policy Characteristics'!K:K,MATCH($C1538,'Policy Characteristics'!$C:$C,0))),"",INDEX('Policy Characteristics'!K:K,MATCH($C1538,'Policy Characteristics'!$C:$C,0)))</f>
        <v/>
      </c>
      <c r="R1538" s="254" t="str">
        <f>IF(ISBLANK(INDEX('Policy Characteristics'!L:L,MATCH($C1538,'Policy Characteristics'!$C:$C,0))),"",INDEX('Policy Characteristics'!L:L,MATCH($C1538,'Policy Characteristics'!$C:$C,0)))</f>
        <v>material-efficiency-longevity-reuse.html</v>
      </c>
    </row>
    <row r="1539" spans="1:18" x14ac:dyDescent="0.3">
      <c r="A1539" s="254" t="str">
        <f>IF(ISBLANK(INDEX('Policy Characteristics'!A:A,MATCH($C1539,'Policy Characteristics'!$C:$C,0))),"",INDEX('Policy Characteristics'!A:A,MATCH($C1539,'Policy Characteristics'!$C:$C,0)))</f>
        <v>Industry</v>
      </c>
      <c r="B1539" s="262" t="str">
        <f>IF(ISBLANK(INDEX('Policy Characteristics'!B:B,MATCH($C1539,'Policy Characteristics'!$C:$C,0))),"",INDEX('Policy Characteristics'!B:B,MATCH($C1539,'Policy Characteristics'!$C:$C,0)))</f>
        <v>Methane Capture</v>
      </c>
      <c r="C1539" t="s">
        <v>285</v>
      </c>
      <c r="D1539" s="45" t="s">
        <v>3063</v>
      </c>
      <c r="E1539" s="45"/>
      <c r="F1539" t="s">
        <v>3027</v>
      </c>
      <c r="G1539" s="45"/>
      <c r="H1539" s="43">
        <v>1458</v>
      </c>
      <c r="I1539" s="324" t="s">
        <v>43</v>
      </c>
      <c r="J1539" s="255" t="str">
        <f>IF(ISBLANK(INDEX('Policy Characteristics'!D:D,MATCH($C1539,'Policy Characteristics'!$C:$C,0))),"",INDEX('Policy Characteristics'!D:D,MATCH($C1539,'Policy Characteristics'!$C:$C,0)))</f>
        <v>Methane Capture and Destruction</v>
      </c>
      <c r="K1539" s="254" t="str">
        <f>IF(ISBLANK(INDEX('Policy Characteristics'!E:E,MATCH($C1539,'Policy Characteristics'!$C:$C,0))),"",INDEX('Policy Characteristics'!E:E,MATCH($C1539,'Policy Characteristics'!$C:$C,0)))</f>
        <v>indst methane capture</v>
      </c>
      <c r="L1539" s="261">
        <f>IF(ISBLANK(INDEX('Policy Characteristics'!F:F,MATCH($C1539,'Policy Characteristics'!$C:$C,0))),"",INDEX('Policy Characteristics'!F:F,MATCH($C1539,'Policy Characteristics'!$C:$C,0)))</f>
        <v>0</v>
      </c>
      <c r="M1539" s="261">
        <f>IF(ISBLANK(INDEX('Policy Characteristics'!G:G,MATCH($C1539,'Policy Characteristics'!$C:$C,0))),"",INDEX('Policy Characteristics'!G:G,MATCH($C1539,'Policy Characteristics'!$C:$C,0)))</f>
        <v>1</v>
      </c>
      <c r="N1539" s="261">
        <f>IF(ISBLANK(INDEX('Policy Characteristics'!H:H,MATCH($C1539,'Policy Characteristics'!$C:$C,0))),"",INDEX('Policy Characteristics'!H:H,MATCH($C1539,'Policy Characteristics'!$C:$C,0)))</f>
        <v>0.01</v>
      </c>
      <c r="O1539" s="254" t="str">
        <f>IF(ISBLANK(INDEX('Policy Characteristics'!I:I,MATCH($C1539,'Policy Characteristics'!$C:$C,0))),"",INDEX('Policy Characteristics'!I:I,MATCH($C1539,'Policy Characteristics'!$C:$C,0)))</f>
        <v>% of potential achieved</v>
      </c>
      <c r="P1539" s="254" t="str">
        <f>IF(ISBLANK(INDEX('Policy Characteristics'!J:J,MATCH($C1539,'Policy Characteristics'!$C:$C,0))),"",INDEX('Policy Characteristics'!J:J,MATCH($C1539,'Policy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39" s="254" t="str">
        <f>IF(ISBLANK(INDEX('Policy Characteristics'!K:K,MATCH($C1539,'Policy Characteristics'!$C:$C,0))),"",INDEX('Policy Characteristics'!K:K,MATCH($C1539,'Policy Characteristics'!$C:$C,0)))</f>
        <v>industry-ag-main.html#methane-capture</v>
      </c>
      <c r="R1539" s="254" t="str">
        <f>IF(ISBLANK(INDEX('Policy Characteristics'!L:L,MATCH($C1539,'Policy Characteristics'!$C:$C,0))),"",INDEX('Policy Characteristics'!L:L,MATCH($C1539,'Policy Characteristics'!$C:$C,0)))</f>
        <v>methane-capture.html</v>
      </c>
    </row>
    <row r="1540" spans="1:18" x14ac:dyDescent="0.3">
      <c r="A1540" s="254" t="str">
        <f>IF(ISBLANK(INDEX('Policy Characteristics'!A:A,MATCH($C1540,'Policy Characteristics'!$C:$C,0))),"",INDEX('Policy Characteristics'!A:A,MATCH($C1540,'Policy Characteristics'!$C:$C,0)))</f>
        <v>Industry</v>
      </c>
      <c r="B1540" s="262" t="str">
        <f>IF(ISBLANK(INDEX('Policy Characteristics'!B:B,MATCH($C1540,'Policy Characteristics'!$C:$C,0))),"",INDEX('Policy Characteristics'!B:B,MATCH($C1540,'Policy Characteristics'!$C:$C,0)))</f>
        <v>Methane Capture</v>
      </c>
      <c r="C1540" s="254" t="str">
        <f t="shared" ref="C1540:C1542" si="54">C$1539</f>
        <v>Fraction of Methane Capture Opportunities Achieved</v>
      </c>
      <c r="D1540" s="45" t="s">
        <v>3083</v>
      </c>
      <c r="E1540" s="45"/>
      <c r="F1540" t="s">
        <v>3045</v>
      </c>
      <c r="G1540" s="45"/>
      <c r="H1540" s="43">
        <v>1459</v>
      </c>
      <c r="I1540" s="324" t="s">
        <v>43</v>
      </c>
      <c r="J1540" s="255" t="str">
        <f>IF(ISBLANK(INDEX('Policy Characteristics'!D:D,MATCH($C1540,'Policy Characteristics'!$C:$C,0))),"",INDEX('Policy Characteristics'!D:D,MATCH($C1540,'Policy Characteristics'!$C:$C,0)))</f>
        <v>Methane Capture and Destruction</v>
      </c>
      <c r="K1540" s="254" t="str">
        <f>IF(ISBLANK(INDEX('Policy Characteristics'!E:E,MATCH($C1540,'Policy Characteristics'!$C:$C,0))),"",INDEX('Policy Characteristics'!E:E,MATCH($C1540,'Policy Characteristics'!$C:$C,0)))</f>
        <v>indst methane capture</v>
      </c>
      <c r="L1540" s="261">
        <f>IF(ISBLANK(INDEX('Policy Characteristics'!F:F,MATCH($C1540,'Policy Characteristics'!$C:$C,0))),"",INDEX('Policy Characteristics'!F:F,MATCH($C1540,'Policy Characteristics'!$C:$C,0)))</f>
        <v>0</v>
      </c>
      <c r="M1540" s="261">
        <f>IF(ISBLANK(INDEX('Policy Characteristics'!G:G,MATCH($C1540,'Policy Characteristics'!$C:$C,0))),"",INDEX('Policy Characteristics'!G:G,MATCH($C1540,'Policy Characteristics'!$C:$C,0)))</f>
        <v>1</v>
      </c>
      <c r="N1540" s="261">
        <f>IF(ISBLANK(INDEX('Policy Characteristics'!H:H,MATCH($C1540,'Policy Characteristics'!$C:$C,0))),"",INDEX('Policy Characteristics'!H:H,MATCH($C1540,'Policy Characteristics'!$C:$C,0)))</f>
        <v>0.01</v>
      </c>
      <c r="O1540" s="254" t="str">
        <f>IF(ISBLANK(INDEX('Policy Characteristics'!I:I,MATCH($C1540,'Policy Characteristics'!$C:$C,0))),"",INDEX('Policy Characteristics'!I:I,MATCH($C1540,'Policy Characteristics'!$C:$C,0)))</f>
        <v>% of potential achieved</v>
      </c>
      <c r="P1540" s="254" t="str">
        <f>IF(ISBLANK(INDEX('Policy Characteristics'!J:J,MATCH($C1540,'Policy Characteristics'!$C:$C,0))),"",INDEX('Policy Characteristics'!J:J,MATCH($C1540,'Policy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0" s="254" t="str">
        <f>IF(ISBLANK(INDEX('Policy Characteristics'!K:K,MATCH($C1540,'Policy Characteristics'!$C:$C,0))),"",INDEX('Policy Characteristics'!K:K,MATCH($C1540,'Policy Characteristics'!$C:$C,0)))</f>
        <v>industry-ag-main.html#methane-capture</v>
      </c>
      <c r="R1540" s="254" t="str">
        <f>IF(ISBLANK(INDEX('Policy Characteristics'!L:L,MATCH($C1540,'Policy Characteristics'!$C:$C,0))),"",INDEX('Policy Characteristics'!L:L,MATCH($C1540,'Policy Characteristics'!$C:$C,0)))</f>
        <v>methane-capture.html</v>
      </c>
    </row>
    <row r="1541" spans="1:18" x14ac:dyDescent="0.3">
      <c r="A1541" s="254" t="str">
        <f>IF(ISBLANK(INDEX('Policy Characteristics'!A:A,MATCH($C1541,'Policy Characteristics'!$C:$C,0))),"",INDEX('Policy Characteristics'!A:A,MATCH($C1541,'Policy Characteristics'!$C:$C,0)))</f>
        <v>Industry</v>
      </c>
      <c r="B1541" s="262" t="str">
        <f>IF(ISBLANK(INDEX('Policy Characteristics'!B:B,MATCH($C1541,'Policy Characteristics'!$C:$C,0))),"",INDEX('Policy Characteristics'!B:B,MATCH($C1541,'Policy Characteristics'!$C:$C,0)))</f>
        <v>Methane Capture</v>
      </c>
      <c r="C1541" s="254" t="str">
        <f t="shared" si="54"/>
        <v>Fraction of Methane Capture Opportunities Achieved</v>
      </c>
      <c r="D1541" s="45" t="s">
        <v>3062</v>
      </c>
      <c r="E1541" s="45"/>
      <c r="F1541" t="s">
        <v>2759</v>
      </c>
      <c r="G1541" s="45"/>
      <c r="H1541" s="43">
        <v>513</v>
      </c>
      <c r="I1541" s="324" t="s">
        <v>43</v>
      </c>
      <c r="J1541" s="255" t="str">
        <f>IF(ISBLANK(INDEX('Policy Characteristics'!D:D,MATCH($C1541,'Policy Characteristics'!$C:$C,0))),"",INDEX('Policy Characteristics'!D:D,MATCH($C1541,'Policy Characteristics'!$C:$C,0)))</f>
        <v>Methane Capture and Destruction</v>
      </c>
      <c r="K1541" s="254" t="str">
        <f>IF(ISBLANK(INDEX('Policy Characteristics'!E:E,MATCH($C1541,'Policy Characteristics'!$C:$C,0))),"",INDEX('Policy Characteristics'!E:E,MATCH($C1541,'Policy Characteristics'!$C:$C,0)))</f>
        <v>indst methane capture</v>
      </c>
      <c r="L1541" s="261">
        <f>IF(ISBLANK(INDEX('Policy Characteristics'!F:F,MATCH($C1541,'Policy Characteristics'!$C:$C,0))),"",INDEX('Policy Characteristics'!F:F,MATCH($C1541,'Policy Characteristics'!$C:$C,0)))</f>
        <v>0</v>
      </c>
      <c r="M1541" s="261">
        <f>IF(ISBLANK(INDEX('Policy Characteristics'!G:G,MATCH($C1541,'Policy Characteristics'!$C:$C,0))),"",INDEX('Policy Characteristics'!G:G,MATCH($C1541,'Policy Characteristics'!$C:$C,0)))</f>
        <v>1</v>
      </c>
      <c r="N1541" s="261">
        <f>IF(ISBLANK(INDEX('Policy Characteristics'!H:H,MATCH($C1541,'Policy Characteristics'!$C:$C,0))),"",INDEX('Policy Characteristics'!H:H,MATCH($C1541,'Policy Characteristics'!$C:$C,0)))</f>
        <v>0.01</v>
      </c>
      <c r="O1541" s="254" t="str">
        <f>IF(ISBLANK(INDEX('Policy Characteristics'!I:I,MATCH($C1541,'Policy Characteristics'!$C:$C,0))),"",INDEX('Policy Characteristics'!I:I,MATCH($C1541,'Policy Characteristics'!$C:$C,0)))</f>
        <v>% of potential achieved</v>
      </c>
      <c r="P1541" s="254" t="str">
        <f>IF(ISBLANK(INDEX('Policy Characteristics'!J:J,MATCH($C1541,'Policy Characteristics'!$C:$C,0))),"",INDEX('Policy Characteristics'!J:J,MATCH($C1541,'Policy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1" s="254" t="str">
        <f>IF(ISBLANK(INDEX('Policy Characteristics'!K:K,MATCH($C1541,'Policy Characteristics'!$C:$C,0))),"",INDEX('Policy Characteristics'!K:K,MATCH($C1541,'Policy Characteristics'!$C:$C,0)))</f>
        <v>industry-ag-main.html#methane-capture</v>
      </c>
      <c r="R1541" s="254" t="str">
        <f>IF(ISBLANK(INDEX('Policy Characteristics'!L:L,MATCH($C1541,'Policy Characteristics'!$C:$C,0))),"",INDEX('Policy Characteristics'!L:L,MATCH($C1541,'Policy Characteristics'!$C:$C,0)))</f>
        <v>methane-capture.html</v>
      </c>
    </row>
    <row r="1542" spans="1:18" x14ac:dyDescent="0.3">
      <c r="A1542" s="254" t="str">
        <f>IF(ISBLANK(INDEX('Policy Characteristics'!A:A,MATCH($C1542,'Policy Characteristics'!$C:$C,0))),"",INDEX('Policy Characteristics'!A:A,MATCH($C1542,'Policy Characteristics'!$C:$C,0)))</f>
        <v>Industry</v>
      </c>
      <c r="B1542" s="262" t="str">
        <f>IF(ISBLANK(INDEX('Policy Characteristics'!B:B,MATCH($C1542,'Policy Characteristics'!$C:$C,0))),"",INDEX('Policy Characteristics'!B:B,MATCH($C1542,'Policy Characteristics'!$C:$C,0)))</f>
        <v>Methane Capture</v>
      </c>
      <c r="C1542" s="254" t="str">
        <f t="shared" si="54"/>
        <v>Fraction of Methane Capture Opportunities Achieved</v>
      </c>
      <c r="D1542" s="45" t="s">
        <v>3084</v>
      </c>
      <c r="E1542" s="45"/>
      <c r="F1542" t="s">
        <v>3087</v>
      </c>
      <c r="G1542" s="45"/>
      <c r="H1542" s="43">
        <v>514</v>
      </c>
      <c r="I1542" s="324" t="s">
        <v>43</v>
      </c>
      <c r="J1542" s="255" t="str">
        <f>IF(ISBLANK(INDEX('Policy Characteristics'!D:D,MATCH($C1542,'Policy Characteristics'!$C:$C,0))),"",INDEX('Policy Characteristics'!D:D,MATCH($C1542,'Policy Characteristics'!$C:$C,0)))</f>
        <v>Methane Capture and Destruction</v>
      </c>
      <c r="K1542" s="254" t="str">
        <f>IF(ISBLANK(INDEX('Policy Characteristics'!E:E,MATCH($C1542,'Policy Characteristics'!$C:$C,0))),"",INDEX('Policy Characteristics'!E:E,MATCH($C1542,'Policy Characteristics'!$C:$C,0)))</f>
        <v>indst methane capture</v>
      </c>
      <c r="L1542" s="261">
        <f>IF(ISBLANK(INDEX('Policy Characteristics'!F:F,MATCH($C1542,'Policy Characteristics'!$C:$C,0))),"",INDEX('Policy Characteristics'!F:F,MATCH($C1542,'Policy Characteristics'!$C:$C,0)))</f>
        <v>0</v>
      </c>
      <c r="M1542" s="261">
        <f>IF(ISBLANK(INDEX('Policy Characteristics'!G:G,MATCH($C1542,'Policy Characteristics'!$C:$C,0))),"",INDEX('Policy Characteristics'!G:G,MATCH($C1542,'Policy Characteristics'!$C:$C,0)))</f>
        <v>1</v>
      </c>
      <c r="N1542" s="261">
        <f>IF(ISBLANK(INDEX('Policy Characteristics'!H:H,MATCH($C1542,'Policy Characteristics'!$C:$C,0))),"",INDEX('Policy Characteristics'!H:H,MATCH($C1542,'Policy Characteristics'!$C:$C,0)))</f>
        <v>0.01</v>
      </c>
      <c r="O1542" s="254" t="str">
        <f>IF(ISBLANK(INDEX('Policy Characteristics'!I:I,MATCH($C1542,'Policy Characteristics'!$C:$C,0))),"",INDEX('Policy Characteristics'!I:I,MATCH($C1542,'Policy Characteristics'!$C:$C,0)))</f>
        <v>% of potential achieved</v>
      </c>
      <c r="P1542" s="254" t="str">
        <f>IF(ISBLANK(INDEX('Policy Characteristics'!J:J,MATCH($C1542,'Policy Characteristics'!$C:$C,0))),"",INDEX('Policy Characteristics'!J:J,MATCH($C1542,'Policy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2" s="254" t="str">
        <f>IF(ISBLANK(INDEX('Policy Characteristics'!K:K,MATCH($C1542,'Policy Characteristics'!$C:$C,0))),"",INDEX('Policy Characteristics'!K:K,MATCH($C1542,'Policy Characteristics'!$C:$C,0)))</f>
        <v>industry-ag-main.html#methane-capture</v>
      </c>
      <c r="R1542" s="254" t="str">
        <f>IF(ISBLANK(INDEX('Policy Characteristics'!L:L,MATCH($C1542,'Policy Characteristics'!$C:$C,0))),"",INDEX('Policy Characteristics'!L:L,MATCH($C1542,'Policy Characteristics'!$C:$C,0)))</f>
        <v>methane-capture.html</v>
      </c>
    </row>
    <row r="1543" spans="1:18" x14ac:dyDescent="0.3">
      <c r="A1543" s="254" t="str">
        <f>IF(ISBLANK(INDEX('Policy Characteristics'!A:A,MATCH($C1543,'Policy Characteristics'!$C:$C,0))),"",INDEX('Policy Characteristics'!A:A,MATCH($C1543,'Policy Characteristics'!$C:$C,0)))</f>
        <v>Industry</v>
      </c>
      <c r="B1543" s="262" t="str">
        <f>IF(ISBLANK(INDEX('Policy Characteristics'!B:B,MATCH($C1543,'Policy Characteristics'!$C:$C,0))),"",INDEX('Policy Characteristics'!B:B,MATCH($C1543,'Policy Characteristics'!$C:$C,0)))</f>
        <v>Methane Destruction</v>
      </c>
      <c r="C1543" t="s">
        <v>286</v>
      </c>
      <c r="D1543" s="45" t="s">
        <v>3063</v>
      </c>
      <c r="E1543" s="45"/>
      <c r="F1543" t="s">
        <v>3027</v>
      </c>
      <c r="G1543" s="45"/>
      <c r="H1543" s="43">
        <v>1460</v>
      </c>
      <c r="I1543" s="324" t="s">
        <v>43</v>
      </c>
      <c r="J1543" s="255" t="str">
        <f>IF(ISBLANK(INDEX('Policy Characteristics'!D:D,MATCH($C1543,'Policy Characteristics'!$C:$C,0))),"",INDEX('Policy Characteristics'!D:D,MATCH($C1543,'Policy Characteristics'!$C:$C,0)))</f>
        <v>Methane Capture and Destruction</v>
      </c>
      <c r="K1543" s="254" t="str">
        <f>IF(ISBLANK(INDEX('Policy Characteristics'!E:E,MATCH($C1543,'Policy Characteristics'!$C:$C,0))),"",INDEX('Policy Characteristics'!E:E,MATCH($C1543,'Policy Characteristics'!$C:$C,0)))</f>
        <v>indst methane destruction</v>
      </c>
      <c r="L1543" s="261">
        <f>IF(ISBLANK(INDEX('Policy Characteristics'!F:F,MATCH($C1543,'Policy Characteristics'!$C:$C,0))),"",INDEX('Policy Characteristics'!F:F,MATCH($C1543,'Policy Characteristics'!$C:$C,0)))</f>
        <v>0</v>
      </c>
      <c r="M1543" s="261">
        <f>IF(ISBLANK(INDEX('Policy Characteristics'!G:G,MATCH($C1543,'Policy Characteristics'!$C:$C,0))),"",INDEX('Policy Characteristics'!G:G,MATCH($C1543,'Policy Characteristics'!$C:$C,0)))</f>
        <v>1</v>
      </c>
      <c r="N1543" s="261">
        <f>IF(ISBLANK(INDEX('Policy Characteristics'!H:H,MATCH($C1543,'Policy Characteristics'!$C:$C,0))),"",INDEX('Policy Characteristics'!H:H,MATCH($C1543,'Policy Characteristics'!$C:$C,0)))</f>
        <v>0.01</v>
      </c>
      <c r="O1543" s="254" t="str">
        <f>IF(ISBLANK(INDEX('Policy Characteristics'!I:I,MATCH($C1543,'Policy Characteristics'!$C:$C,0))),"",INDEX('Policy Characteristics'!I:I,MATCH($C1543,'Policy Characteristics'!$C:$C,0)))</f>
        <v>% of potential achieved</v>
      </c>
      <c r="P1543" s="254" t="str">
        <f>IF(ISBLANK(INDEX('Policy Characteristics'!J:J,MATCH($C1543,'Policy Characteristics'!$C:$C,0))),"",INDEX('Policy Characteristics'!J:J,MATCH($C1543,'Policy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3" s="254" t="str">
        <f>IF(ISBLANK(INDEX('Policy Characteristics'!K:K,MATCH($C1543,'Policy Characteristics'!$C:$C,0))),"",INDEX('Policy Characteristics'!K:K,MATCH($C1543,'Policy Characteristics'!$C:$C,0)))</f>
        <v>industry-ag-main.html#methane-destr</v>
      </c>
      <c r="R1543" s="254" t="str">
        <f>IF(ISBLANK(INDEX('Policy Characteristics'!L:L,MATCH($C1543,'Policy Characteristics'!$C:$C,0))),"",INDEX('Policy Characteristics'!L:L,MATCH($C1543,'Policy Characteristics'!$C:$C,0)))</f>
        <v>methane-destruction.html</v>
      </c>
    </row>
    <row r="1544" spans="1:18" x14ac:dyDescent="0.3">
      <c r="A1544" s="254" t="str">
        <f>IF(ISBLANK(INDEX('Policy Characteristics'!A:A,MATCH($C1544,'Policy Characteristics'!$C:$C,0))),"",INDEX('Policy Characteristics'!A:A,MATCH($C1544,'Policy Characteristics'!$C:$C,0)))</f>
        <v>Industry</v>
      </c>
      <c r="B1544" s="262" t="str">
        <f>IF(ISBLANK(INDEX('Policy Characteristics'!B:B,MATCH($C1544,'Policy Characteristics'!$C:$C,0))),"",INDEX('Policy Characteristics'!B:B,MATCH($C1544,'Policy Characteristics'!$C:$C,0)))</f>
        <v>Methane Destruction</v>
      </c>
      <c r="C1544" s="254" t="str">
        <f t="shared" ref="C1544:C1546" si="55">C$1543</f>
        <v>Fraction of Methane Destruction Opportunities Achieved</v>
      </c>
      <c r="D1544" s="45" t="s">
        <v>3083</v>
      </c>
      <c r="E1544" s="45"/>
      <c r="F1544" t="s">
        <v>3045</v>
      </c>
      <c r="G1544" s="45"/>
      <c r="H1544" s="43">
        <v>1461</v>
      </c>
      <c r="I1544" s="324" t="s">
        <v>43</v>
      </c>
      <c r="J1544" s="255" t="str">
        <f>IF(ISBLANK(INDEX('Policy Characteristics'!D:D,MATCH($C1544,'Policy Characteristics'!$C:$C,0))),"",INDEX('Policy Characteristics'!D:D,MATCH($C1544,'Policy Characteristics'!$C:$C,0)))</f>
        <v>Methane Capture and Destruction</v>
      </c>
      <c r="K1544" s="254" t="str">
        <f>IF(ISBLANK(INDEX('Policy Characteristics'!E:E,MATCH($C1544,'Policy Characteristics'!$C:$C,0))),"",INDEX('Policy Characteristics'!E:E,MATCH($C1544,'Policy Characteristics'!$C:$C,0)))</f>
        <v>indst methane destruction</v>
      </c>
      <c r="L1544" s="261">
        <f>IF(ISBLANK(INDEX('Policy Characteristics'!F:F,MATCH($C1544,'Policy Characteristics'!$C:$C,0))),"",INDEX('Policy Characteristics'!F:F,MATCH($C1544,'Policy Characteristics'!$C:$C,0)))</f>
        <v>0</v>
      </c>
      <c r="M1544" s="261">
        <f>IF(ISBLANK(INDEX('Policy Characteristics'!G:G,MATCH($C1544,'Policy Characteristics'!$C:$C,0))),"",INDEX('Policy Characteristics'!G:G,MATCH($C1544,'Policy Characteristics'!$C:$C,0)))</f>
        <v>1</v>
      </c>
      <c r="N1544" s="261">
        <f>IF(ISBLANK(INDEX('Policy Characteristics'!H:H,MATCH($C1544,'Policy Characteristics'!$C:$C,0))),"",INDEX('Policy Characteristics'!H:H,MATCH($C1544,'Policy Characteristics'!$C:$C,0)))</f>
        <v>0.01</v>
      </c>
      <c r="O1544" s="254" t="str">
        <f>IF(ISBLANK(INDEX('Policy Characteristics'!I:I,MATCH($C1544,'Policy Characteristics'!$C:$C,0))),"",INDEX('Policy Characteristics'!I:I,MATCH($C1544,'Policy Characteristics'!$C:$C,0)))</f>
        <v>% of potential achieved</v>
      </c>
      <c r="P1544" s="254" t="str">
        <f>IF(ISBLANK(INDEX('Policy Characteristics'!J:J,MATCH($C1544,'Policy Characteristics'!$C:$C,0))),"",INDEX('Policy Characteristics'!J:J,MATCH($C1544,'Policy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4" s="254" t="str">
        <f>IF(ISBLANK(INDEX('Policy Characteristics'!K:K,MATCH($C1544,'Policy Characteristics'!$C:$C,0))),"",INDEX('Policy Characteristics'!K:K,MATCH($C1544,'Policy Characteristics'!$C:$C,0)))</f>
        <v>industry-ag-main.html#methane-destr</v>
      </c>
      <c r="R1544" s="254" t="str">
        <f>IF(ISBLANK(INDEX('Policy Characteristics'!L:L,MATCH($C1544,'Policy Characteristics'!$C:$C,0))),"",INDEX('Policy Characteristics'!L:L,MATCH($C1544,'Policy Characteristics'!$C:$C,0)))</f>
        <v>methane-destruction.html</v>
      </c>
    </row>
    <row r="1545" spans="1:18" x14ac:dyDescent="0.3">
      <c r="A1545" s="254" t="str">
        <f>IF(ISBLANK(INDEX('Policy Characteristics'!A:A,MATCH($C1545,'Policy Characteristics'!$C:$C,0))),"",INDEX('Policy Characteristics'!A:A,MATCH($C1545,'Policy Characteristics'!$C:$C,0)))</f>
        <v>Industry</v>
      </c>
      <c r="B1545" s="262" t="str">
        <f>IF(ISBLANK(INDEX('Policy Characteristics'!B:B,MATCH($C1545,'Policy Characteristics'!$C:$C,0))),"",INDEX('Policy Characteristics'!B:B,MATCH($C1545,'Policy Characteristics'!$C:$C,0)))</f>
        <v>Methane Destruction</v>
      </c>
      <c r="C1545" s="254" t="str">
        <f t="shared" si="55"/>
        <v>Fraction of Methane Destruction Opportunities Achieved</v>
      </c>
      <c r="D1545" s="45" t="s">
        <v>3062</v>
      </c>
      <c r="E1545" s="45"/>
      <c r="F1545" t="s">
        <v>2759</v>
      </c>
      <c r="G1545" s="45"/>
      <c r="H1545" s="43">
        <v>515</v>
      </c>
      <c r="I1545" s="324" t="s">
        <v>43</v>
      </c>
      <c r="J1545" s="255" t="str">
        <f>IF(ISBLANK(INDEX('Policy Characteristics'!D:D,MATCH($C1545,'Policy Characteristics'!$C:$C,0))),"",INDEX('Policy Characteristics'!D:D,MATCH($C1545,'Policy Characteristics'!$C:$C,0)))</f>
        <v>Methane Capture and Destruction</v>
      </c>
      <c r="K1545" s="254" t="str">
        <f>IF(ISBLANK(INDEX('Policy Characteristics'!E:E,MATCH($C1545,'Policy Characteristics'!$C:$C,0))),"",INDEX('Policy Characteristics'!E:E,MATCH($C1545,'Policy Characteristics'!$C:$C,0)))</f>
        <v>indst methane destruction</v>
      </c>
      <c r="L1545" s="261">
        <f>IF(ISBLANK(INDEX('Policy Characteristics'!F:F,MATCH($C1545,'Policy Characteristics'!$C:$C,0))),"",INDEX('Policy Characteristics'!F:F,MATCH($C1545,'Policy Characteristics'!$C:$C,0)))</f>
        <v>0</v>
      </c>
      <c r="M1545" s="261">
        <f>IF(ISBLANK(INDEX('Policy Characteristics'!G:G,MATCH($C1545,'Policy Characteristics'!$C:$C,0))),"",INDEX('Policy Characteristics'!G:G,MATCH($C1545,'Policy Characteristics'!$C:$C,0)))</f>
        <v>1</v>
      </c>
      <c r="N1545" s="261">
        <f>IF(ISBLANK(INDEX('Policy Characteristics'!H:H,MATCH($C1545,'Policy Characteristics'!$C:$C,0))),"",INDEX('Policy Characteristics'!H:H,MATCH($C1545,'Policy Characteristics'!$C:$C,0)))</f>
        <v>0.01</v>
      </c>
      <c r="O1545" s="254" t="str">
        <f>IF(ISBLANK(INDEX('Policy Characteristics'!I:I,MATCH($C1545,'Policy Characteristics'!$C:$C,0))),"",INDEX('Policy Characteristics'!I:I,MATCH($C1545,'Policy Characteristics'!$C:$C,0)))</f>
        <v>% of potential achieved</v>
      </c>
      <c r="P1545" s="254" t="str">
        <f>IF(ISBLANK(INDEX('Policy Characteristics'!J:J,MATCH($C1545,'Policy Characteristics'!$C:$C,0))),"",INDEX('Policy Characteristics'!J:J,MATCH($C1545,'Policy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5" s="254" t="str">
        <f>IF(ISBLANK(INDEX('Policy Characteristics'!K:K,MATCH($C1545,'Policy Characteristics'!$C:$C,0))),"",INDEX('Policy Characteristics'!K:K,MATCH($C1545,'Policy Characteristics'!$C:$C,0)))</f>
        <v>industry-ag-main.html#methane-destr</v>
      </c>
      <c r="R1545" s="254" t="str">
        <f>IF(ISBLANK(INDEX('Policy Characteristics'!L:L,MATCH($C1545,'Policy Characteristics'!$C:$C,0))),"",INDEX('Policy Characteristics'!L:L,MATCH($C1545,'Policy Characteristics'!$C:$C,0)))</f>
        <v>methane-destruction.html</v>
      </c>
    </row>
    <row r="1546" spans="1:18" x14ac:dyDescent="0.3">
      <c r="A1546" s="254" t="str">
        <f>IF(ISBLANK(INDEX('Policy Characteristics'!A:A,MATCH($C1546,'Policy Characteristics'!$C:$C,0))),"",INDEX('Policy Characteristics'!A:A,MATCH($C1546,'Policy Characteristics'!$C:$C,0)))</f>
        <v>Industry</v>
      </c>
      <c r="B1546" s="262" t="str">
        <f>IF(ISBLANK(INDEX('Policy Characteristics'!B:B,MATCH($C1546,'Policy Characteristics'!$C:$C,0))),"",INDEX('Policy Characteristics'!B:B,MATCH($C1546,'Policy Characteristics'!$C:$C,0)))</f>
        <v>Methane Destruction</v>
      </c>
      <c r="C1546" s="254" t="str">
        <f t="shared" si="55"/>
        <v>Fraction of Methane Destruction Opportunities Achieved</v>
      </c>
      <c r="D1546" s="45" t="s">
        <v>3084</v>
      </c>
      <c r="E1546" s="45"/>
      <c r="F1546" t="s">
        <v>3087</v>
      </c>
      <c r="G1546" s="45"/>
      <c r="H1546" s="43">
        <v>516</v>
      </c>
      <c r="I1546" s="324" t="s">
        <v>43</v>
      </c>
      <c r="J1546" s="255" t="str">
        <f>IF(ISBLANK(INDEX('Policy Characteristics'!D:D,MATCH($C1546,'Policy Characteristics'!$C:$C,0))),"",INDEX('Policy Characteristics'!D:D,MATCH($C1546,'Policy Characteristics'!$C:$C,0)))</f>
        <v>Methane Capture and Destruction</v>
      </c>
      <c r="K1546" s="254" t="str">
        <f>IF(ISBLANK(INDEX('Policy Characteristics'!E:E,MATCH($C1546,'Policy Characteristics'!$C:$C,0))),"",INDEX('Policy Characteristics'!E:E,MATCH($C1546,'Policy Characteristics'!$C:$C,0)))</f>
        <v>indst methane destruction</v>
      </c>
      <c r="L1546" s="261">
        <f>IF(ISBLANK(INDEX('Policy Characteristics'!F:F,MATCH($C1546,'Policy Characteristics'!$C:$C,0))),"",INDEX('Policy Characteristics'!F:F,MATCH($C1546,'Policy Characteristics'!$C:$C,0)))</f>
        <v>0</v>
      </c>
      <c r="M1546" s="261">
        <f>IF(ISBLANK(INDEX('Policy Characteristics'!G:G,MATCH($C1546,'Policy Characteristics'!$C:$C,0))),"",INDEX('Policy Characteristics'!G:G,MATCH($C1546,'Policy Characteristics'!$C:$C,0)))</f>
        <v>1</v>
      </c>
      <c r="N1546" s="261">
        <f>IF(ISBLANK(INDEX('Policy Characteristics'!H:H,MATCH($C1546,'Policy Characteristics'!$C:$C,0))),"",INDEX('Policy Characteristics'!H:H,MATCH($C1546,'Policy Characteristics'!$C:$C,0)))</f>
        <v>0.01</v>
      </c>
      <c r="O1546" s="254" t="str">
        <f>IF(ISBLANK(INDEX('Policy Characteristics'!I:I,MATCH($C1546,'Policy Characteristics'!$C:$C,0))),"",INDEX('Policy Characteristics'!I:I,MATCH($C1546,'Policy Characteristics'!$C:$C,0)))</f>
        <v>% of potential achieved</v>
      </c>
      <c r="P1546" s="254" t="str">
        <f>IF(ISBLANK(INDEX('Policy Characteristics'!J:J,MATCH($C1546,'Policy Characteristics'!$C:$C,0))),"",INDEX('Policy Characteristics'!J:J,MATCH($C1546,'Policy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46" s="254" t="str">
        <f>IF(ISBLANK(INDEX('Policy Characteristics'!K:K,MATCH($C1546,'Policy Characteristics'!$C:$C,0))),"",INDEX('Policy Characteristics'!K:K,MATCH($C1546,'Policy Characteristics'!$C:$C,0)))</f>
        <v>industry-ag-main.html#methane-destr</v>
      </c>
      <c r="R1546" s="254" t="str">
        <f>IF(ISBLANK(INDEX('Policy Characteristics'!L:L,MATCH($C1546,'Policy Characteristics'!$C:$C,0))),"",INDEX('Policy Characteristics'!L:L,MATCH($C1546,'Policy Characteristics'!$C:$C,0)))</f>
        <v>methane-destruction.html</v>
      </c>
    </row>
    <row r="1547" spans="1:18" x14ac:dyDescent="0.3">
      <c r="A1547" s="254" t="str">
        <f>IF(ISBLANK(INDEX('Policy Characteristics'!A:A,MATCH($C1547,'Policy Characteristics'!$C:$C,0))),"",INDEX('Policy Characteristics'!A:A,MATCH($C1547,'Policy Characteristics'!$C:$C,0)))</f>
        <v>Industry</v>
      </c>
      <c r="B1547" s="262" t="str">
        <f>IF(ISBLANK(INDEX('Policy Characteristics'!B:B,MATCH($C1547,'Policy Characteristics'!$C:$C,0))),"",INDEX('Policy Characteristics'!B:B,MATCH($C1547,'Policy Characteristics'!$C:$C,0)))</f>
        <v>N2O Abatement</v>
      </c>
      <c r="C1547" s="1" t="s">
        <v>3230</v>
      </c>
      <c r="D1547" s="45"/>
      <c r="E1547" s="45"/>
      <c r="F1547"/>
      <c r="G1547" s="45"/>
      <c r="H1547" s="43">
        <v>1562</v>
      </c>
      <c r="I1547" s="324" t="s">
        <v>43</v>
      </c>
      <c r="J1547" s="255" t="str">
        <f>IF(ISBLANK(INDEX('Policy Characteristics'!D:D,MATCH($C1547,'Policy Characteristics'!$C:$C,0))),"",INDEX('Policy Characteristics'!D:D,MATCH($C1547,'Policy Characteristics'!$C:$C,0)))</f>
        <v>N2O Abatement</v>
      </c>
      <c r="K1547" s="254" t="str">
        <f>IF(ISBLANK(INDEX('Policy Characteristics'!E:E,MATCH($C1547,'Policy Characteristics'!$C:$C,0))),"",INDEX('Policy Characteristics'!E:E,MATCH($C1547,'Policy Characteristics'!$C:$C,0)))</f>
        <v>indst N2O abatement</v>
      </c>
      <c r="L1547" s="261">
        <f>IF(ISBLANK(INDEX('Policy Characteristics'!F:F,MATCH($C1547,'Policy Characteristics'!$C:$C,0))),"",INDEX('Policy Characteristics'!F:F,MATCH($C1547,'Policy Characteristics'!$C:$C,0)))</f>
        <v>0</v>
      </c>
      <c r="M1547" s="261">
        <f>IF(ISBLANK(INDEX('Policy Characteristics'!G:G,MATCH($C1547,'Policy Characteristics'!$C:$C,0))),"",INDEX('Policy Characteristics'!G:G,MATCH($C1547,'Policy Characteristics'!$C:$C,0)))</f>
        <v>1</v>
      </c>
      <c r="N1547" s="261">
        <f>IF(ISBLANK(INDEX('Policy Characteristics'!H:H,MATCH($C1547,'Policy Characteristics'!$C:$C,0))),"",INDEX('Policy Characteristics'!H:H,MATCH($C1547,'Policy Characteristics'!$C:$C,0)))</f>
        <v>0.01</v>
      </c>
      <c r="O1547" s="254" t="str">
        <f>IF(ISBLANK(INDEX('Policy Characteristics'!I:I,MATCH($C1547,'Policy Characteristics'!$C:$C,0))),"",INDEX('Policy Characteristics'!I:I,MATCH($C1547,'Policy Characteristics'!$C:$C,0)))</f>
        <v>% of potential achieved</v>
      </c>
      <c r="P1547" s="254" t="str">
        <f>IF(ISBLANK(INDEX('Policy Characteristics'!J:J,MATCH($C1547,'Policy Characteristics'!$C:$C,0))),"",INDEX('Policy Characteristics'!J:J,MATCH($C1547,'Policy Characteristics'!$C:$C,0)))</f>
        <v>**Description:** This policy reduces nitrous oxide (N2O) process emissions from the chemicals industry (primarily from the production of nitric acid and adipic acid) by destroying the N2O rather than venting it to the atmosphere. //</v>
      </c>
      <c r="Q1547" s="254" t="str">
        <f>IF(ISBLANK(INDEX('Policy Characteristics'!K:K,MATCH($C1547,'Policy Characteristics'!$C:$C,0))),"",INDEX('Policy Characteristics'!K:K,MATCH($C1547,'Policy Characteristics'!$C:$C,0)))</f>
        <v/>
      </c>
      <c r="R1547" s="254" t="str">
        <f>IF(ISBLANK(INDEX('Policy Characteristics'!L:L,MATCH($C1547,'Policy Characteristics'!$C:$C,0))),"",INDEX('Policy Characteristics'!L:L,MATCH($C1547,'Policy Characteristics'!$C:$C,0)))</f>
        <v/>
      </c>
    </row>
    <row r="1548" spans="1:18" x14ac:dyDescent="0.3">
      <c r="A1548" s="254" t="str">
        <f>IF(ISBLANK(INDEX('Policy Characteristics'!A:A,MATCH($C1548,'Policy Characteristics'!$C:$C,0))),"",INDEX('Policy Characteristics'!A:A,MATCH($C1548,'Policy Characteristics'!$C:$C,0)))</f>
        <v>Industry</v>
      </c>
      <c r="B1548" s="262" t="str">
        <f>IF(ISBLANK(INDEX('Policy Characteristics'!B:B,MATCH($C1548,'Policy Characteristics'!$C:$C,0))),"",INDEX('Policy Characteristics'!B:B,MATCH($C1548,'Policy Characteristics'!$C:$C,0)))</f>
        <v>Reduce Fossil Fuel Exports</v>
      </c>
      <c r="C1548" t="s">
        <v>2492</v>
      </c>
      <c r="D1548" s="6" t="s">
        <v>449</v>
      </c>
      <c r="E1548" s="45"/>
      <c r="F1548" s="6" t="s">
        <v>446</v>
      </c>
      <c r="G1548" s="45"/>
      <c r="H1548" s="43">
        <v>451</v>
      </c>
      <c r="I1548" s="324" t="s">
        <v>43</v>
      </c>
      <c r="J1548" s="255" t="str">
        <f>IF(ISBLANK(INDEX('Policy Characteristics'!D:D,MATCH($C1548,'Policy Characteristics'!$C:$C,0))),"",INDEX('Policy Characteristics'!D:D,MATCH($C1548,'Policy Characteristics'!$C:$C,0)))</f>
        <v>Percent Reduction in Fossil Fuel Exports</v>
      </c>
      <c r="K1548" s="254" t="str">
        <f>IF(ISBLANK(INDEX('Policy Characteristics'!E:E,MATCH($C1548,'Policy Characteristics'!$C:$C,0))),"",INDEX('Policy Characteristics'!E:E,MATCH($C1548,'Policy Characteristics'!$C:$C,0)))</f>
        <v>indst reduce fossil fuel exports</v>
      </c>
      <c r="L1548" s="261">
        <f>IF(ISBLANK(INDEX('Policy Characteristics'!F:F,MATCH($C1548,'Policy Characteristics'!$C:$C,0))),"",INDEX('Policy Characteristics'!F:F,MATCH($C1548,'Policy Characteristics'!$C:$C,0)))</f>
        <v>0</v>
      </c>
      <c r="M1548" s="261">
        <f>IF(ISBLANK(INDEX('Policy Characteristics'!G:G,MATCH($C1548,'Policy Characteristics'!$C:$C,0))),"",INDEX('Policy Characteristics'!G:G,MATCH($C1548,'Policy Characteristics'!$C:$C,0)))</f>
        <v>1</v>
      </c>
      <c r="N1548" s="261">
        <f>IF(ISBLANK(INDEX('Policy Characteristics'!H:H,MATCH($C1548,'Policy Characteristics'!$C:$C,0))),"",INDEX('Policy Characteristics'!H:H,MATCH($C1548,'Policy Characteristics'!$C:$C,0)))</f>
        <v>0.01</v>
      </c>
      <c r="O1548" s="254" t="str">
        <f>IF(ISBLANK(INDEX('Policy Characteristics'!I:I,MATCH($C1548,'Policy Characteristics'!$C:$C,0))),"",INDEX('Policy Characteristics'!I:I,MATCH($C1548,'Policy Characteristics'!$C:$C,0)))</f>
        <v>% reduction in exports</v>
      </c>
      <c r="P1548" s="254" t="str">
        <f>IF(ISBLANK(INDEX('Policy Characteristics'!J:J,MATCH($C1548,'Policy Characteristics'!$C:$C,0))),"",INDEX('Policy Characteristics'!J:J,MATCH($C1548,'Policy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48" s="254" t="str">
        <f>IF(ISBLANK(INDEX('Policy Characteristics'!K:K,MATCH($C1548,'Policy Characteristics'!$C:$C,0))),"",INDEX('Policy Characteristics'!K:K,MATCH($C1548,'Policy Characteristics'!$C:$C,0)))</f>
        <v/>
      </c>
      <c r="R1548" s="254" t="str">
        <f>IF(ISBLANK(INDEX('Policy Characteristics'!L:L,MATCH($C1548,'Policy Characteristics'!$C:$C,0))),"",INDEX('Policy Characteristics'!L:L,MATCH($C1548,'Policy Characteristics'!$C:$C,0)))</f>
        <v>reduce-fuel-exports.html</v>
      </c>
    </row>
    <row r="1549" spans="1:18" x14ac:dyDescent="0.3">
      <c r="A1549" s="254" t="str">
        <f>IF(ISBLANK(INDEX('Policy Characteristics'!A:A,MATCH($C1549,'Policy Characteristics'!$C:$C,0))),"",INDEX('Policy Characteristics'!A:A,MATCH($C1549,'Policy Characteristics'!$C:$C,0)))</f>
        <v>Industry</v>
      </c>
      <c r="B1549" s="262" t="str">
        <f>IF(ISBLANK(INDEX('Policy Characteristics'!B:B,MATCH($C1549,'Policy Characteristics'!$C:$C,0))),"",INDEX('Policy Characteristics'!B:B,MATCH($C1549,'Policy Characteristics'!$C:$C,0)))</f>
        <v>Reduce Fossil Fuel Exports</v>
      </c>
      <c r="C1549" s="254" t="str">
        <f t="shared" ref="C1549:C1556" si="56">C$1548</f>
        <v>Percent Reduction in Fossil Fuel Exports</v>
      </c>
      <c r="D1549" s="6" t="s">
        <v>46</v>
      </c>
      <c r="E1549" s="45"/>
      <c r="F1549" s="6" t="s">
        <v>87</v>
      </c>
      <c r="G1549" s="45"/>
      <c r="H1549" s="43">
        <v>452</v>
      </c>
      <c r="I1549" s="324" t="s">
        <v>43</v>
      </c>
      <c r="J1549" s="255" t="str">
        <f>IF(ISBLANK(INDEX('Policy Characteristics'!D:D,MATCH($C1549,'Policy Characteristics'!$C:$C,0))),"",INDEX('Policy Characteristics'!D:D,MATCH($C1549,'Policy Characteristics'!$C:$C,0)))</f>
        <v>Percent Reduction in Fossil Fuel Exports</v>
      </c>
      <c r="K1549" s="254" t="str">
        <f>IF(ISBLANK(INDEX('Policy Characteristics'!E:E,MATCH($C1549,'Policy Characteristics'!$C:$C,0))),"",INDEX('Policy Characteristics'!E:E,MATCH($C1549,'Policy Characteristics'!$C:$C,0)))</f>
        <v>indst reduce fossil fuel exports</v>
      </c>
      <c r="L1549" s="261">
        <f>IF(ISBLANK(INDEX('Policy Characteristics'!F:F,MATCH($C1549,'Policy Characteristics'!$C:$C,0))),"",INDEX('Policy Characteristics'!F:F,MATCH($C1549,'Policy Characteristics'!$C:$C,0)))</f>
        <v>0</v>
      </c>
      <c r="M1549" s="261">
        <f>IF(ISBLANK(INDEX('Policy Characteristics'!G:G,MATCH($C1549,'Policy Characteristics'!$C:$C,0))),"",INDEX('Policy Characteristics'!G:G,MATCH($C1549,'Policy Characteristics'!$C:$C,0)))</f>
        <v>1</v>
      </c>
      <c r="N1549" s="261">
        <f>IF(ISBLANK(INDEX('Policy Characteristics'!H:H,MATCH($C1549,'Policy Characteristics'!$C:$C,0))),"",INDEX('Policy Characteristics'!H:H,MATCH($C1549,'Policy Characteristics'!$C:$C,0)))</f>
        <v>0.01</v>
      </c>
      <c r="O1549" s="254" t="str">
        <f>IF(ISBLANK(INDEX('Policy Characteristics'!I:I,MATCH($C1549,'Policy Characteristics'!$C:$C,0))),"",INDEX('Policy Characteristics'!I:I,MATCH($C1549,'Policy Characteristics'!$C:$C,0)))</f>
        <v>% reduction in exports</v>
      </c>
      <c r="P1549" s="254" t="str">
        <f>IF(ISBLANK(INDEX('Policy Characteristics'!J:J,MATCH($C1549,'Policy Characteristics'!$C:$C,0))),"",INDEX('Policy Characteristics'!J:J,MATCH($C1549,'Policy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49" s="254" t="str">
        <f>IF(ISBLANK(INDEX('Policy Characteristics'!K:K,MATCH($C1549,'Policy Characteristics'!$C:$C,0))),"",INDEX('Policy Characteristics'!K:K,MATCH($C1549,'Policy Characteristics'!$C:$C,0)))</f>
        <v/>
      </c>
      <c r="R1549" s="254" t="str">
        <f>IF(ISBLANK(INDEX('Policy Characteristics'!L:L,MATCH($C1549,'Policy Characteristics'!$C:$C,0))),"",INDEX('Policy Characteristics'!L:L,MATCH($C1549,'Policy Characteristics'!$C:$C,0)))</f>
        <v>reduce-fuel-exports.html</v>
      </c>
    </row>
    <row r="1550" spans="1:18" x14ac:dyDescent="0.3">
      <c r="A1550" s="254" t="str">
        <f>IF(ISBLANK(INDEX('Policy Characteristics'!A:A,MATCH($C1550,'Policy Characteristics'!$C:$C,0))),"",INDEX('Policy Characteristics'!A:A,MATCH($C1550,'Policy Characteristics'!$C:$C,0)))</f>
        <v>Industry</v>
      </c>
      <c r="B1550" s="262" t="str">
        <f>IF(ISBLANK(INDEX('Policy Characteristics'!B:B,MATCH($C1550,'Policy Characteristics'!$C:$C,0))),"",INDEX('Policy Characteristics'!B:B,MATCH($C1550,'Policy Characteristics'!$C:$C,0)))</f>
        <v>Reduce Fossil Fuel Exports</v>
      </c>
      <c r="C1550" s="254" t="str">
        <f t="shared" si="56"/>
        <v>Percent Reduction in Fossil Fuel Exports</v>
      </c>
      <c r="D1550" s="6" t="s">
        <v>53</v>
      </c>
      <c r="E1550" s="45"/>
      <c r="F1550" s="6" t="s">
        <v>95</v>
      </c>
      <c r="G1550" s="45"/>
      <c r="H1550" s="43">
        <v>453</v>
      </c>
      <c r="I1550" s="324" t="s">
        <v>43</v>
      </c>
      <c r="J1550" s="255" t="str">
        <f>IF(ISBLANK(INDEX('Policy Characteristics'!D:D,MATCH($C1550,'Policy Characteristics'!$C:$C,0))),"",INDEX('Policy Characteristics'!D:D,MATCH($C1550,'Policy Characteristics'!$C:$C,0)))</f>
        <v>Percent Reduction in Fossil Fuel Exports</v>
      </c>
      <c r="K1550" s="254" t="str">
        <f>IF(ISBLANK(INDEX('Policy Characteristics'!E:E,MATCH($C1550,'Policy Characteristics'!$C:$C,0))),"",INDEX('Policy Characteristics'!E:E,MATCH($C1550,'Policy Characteristics'!$C:$C,0)))</f>
        <v>indst reduce fossil fuel exports</v>
      </c>
      <c r="L1550" s="261">
        <f>IF(ISBLANK(INDEX('Policy Characteristics'!F:F,MATCH($C1550,'Policy Characteristics'!$C:$C,0))),"",INDEX('Policy Characteristics'!F:F,MATCH($C1550,'Policy Characteristics'!$C:$C,0)))</f>
        <v>0</v>
      </c>
      <c r="M1550" s="261">
        <f>IF(ISBLANK(INDEX('Policy Characteristics'!G:G,MATCH($C1550,'Policy Characteristics'!$C:$C,0))),"",INDEX('Policy Characteristics'!G:G,MATCH($C1550,'Policy Characteristics'!$C:$C,0)))</f>
        <v>1</v>
      </c>
      <c r="N1550" s="261">
        <f>IF(ISBLANK(INDEX('Policy Characteristics'!H:H,MATCH($C1550,'Policy Characteristics'!$C:$C,0))),"",INDEX('Policy Characteristics'!H:H,MATCH($C1550,'Policy Characteristics'!$C:$C,0)))</f>
        <v>0.01</v>
      </c>
      <c r="O1550" s="254" t="str">
        <f>IF(ISBLANK(INDEX('Policy Characteristics'!I:I,MATCH($C1550,'Policy Characteristics'!$C:$C,0))),"",INDEX('Policy Characteristics'!I:I,MATCH($C1550,'Policy Characteristics'!$C:$C,0)))</f>
        <v>% reduction in exports</v>
      </c>
      <c r="P1550" s="254" t="str">
        <f>IF(ISBLANK(INDEX('Policy Characteristics'!J:J,MATCH($C1550,'Policy Characteristics'!$C:$C,0))),"",INDEX('Policy Characteristics'!J:J,MATCH($C1550,'Policy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0" s="254" t="str">
        <f>IF(ISBLANK(INDEX('Policy Characteristics'!K:K,MATCH($C1550,'Policy Characteristics'!$C:$C,0))),"",INDEX('Policy Characteristics'!K:K,MATCH($C1550,'Policy Characteristics'!$C:$C,0)))</f>
        <v/>
      </c>
      <c r="R1550" s="254" t="str">
        <f>IF(ISBLANK(INDEX('Policy Characteristics'!L:L,MATCH($C1550,'Policy Characteristics'!$C:$C,0))),"",INDEX('Policy Characteristics'!L:L,MATCH($C1550,'Policy Characteristics'!$C:$C,0)))</f>
        <v>reduce-fuel-exports.html</v>
      </c>
    </row>
    <row r="1551" spans="1:18" x14ac:dyDescent="0.3">
      <c r="A1551" s="254" t="str">
        <f>IF(ISBLANK(INDEX('Policy Characteristics'!A:A,MATCH($C1551,'Policy Characteristics'!$C:$C,0))),"",INDEX('Policy Characteristics'!A:A,MATCH($C1551,'Policy Characteristics'!$C:$C,0)))</f>
        <v>Industry</v>
      </c>
      <c r="B1551" s="262" t="str">
        <f>IF(ISBLANK(INDEX('Policy Characteristics'!B:B,MATCH($C1551,'Policy Characteristics'!$C:$C,0))),"",INDEX('Policy Characteristics'!B:B,MATCH($C1551,'Policy Characteristics'!$C:$C,0)))</f>
        <v>Reduce Fossil Fuel Exports</v>
      </c>
      <c r="C1551" s="254" t="str">
        <f t="shared" si="56"/>
        <v>Percent Reduction in Fossil Fuel Exports</v>
      </c>
      <c r="D1551" s="6" t="s">
        <v>54</v>
      </c>
      <c r="E1551" s="45"/>
      <c r="F1551" s="6" t="s">
        <v>96</v>
      </c>
      <c r="G1551" s="45"/>
      <c r="H1551" s="43">
        <v>454</v>
      </c>
      <c r="I1551" s="324" t="s">
        <v>43</v>
      </c>
      <c r="J1551" s="255" t="str">
        <f>IF(ISBLANK(INDEX('Policy Characteristics'!D:D,MATCH($C1551,'Policy Characteristics'!$C:$C,0))),"",INDEX('Policy Characteristics'!D:D,MATCH($C1551,'Policy Characteristics'!$C:$C,0)))</f>
        <v>Percent Reduction in Fossil Fuel Exports</v>
      </c>
      <c r="K1551" s="254" t="str">
        <f>IF(ISBLANK(INDEX('Policy Characteristics'!E:E,MATCH($C1551,'Policy Characteristics'!$C:$C,0))),"",INDEX('Policy Characteristics'!E:E,MATCH($C1551,'Policy Characteristics'!$C:$C,0)))</f>
        <v>indst reduce fossil fuel exports</v>
      </c>
      <c r="L1551" s="261">
        <f>IF(ISBLANK(INDEX('Policy Characteristics'!F:F,MATCH($C1551,'Policy Characteristics'!$C:$C,0))),"",INDEX('Policy Characteristics'!F:F,MATCH($C1551,'Policy Characteristics'!$C:$C,0)))</f>
        <v>0</v>
      </c>
      <c r="M1551" s="261">
        <f>IF(ISBLANK(INDEX('Policy Characteristics'!G:G,MATCH($C1551,'Policy Characteristics'!$C:$C,0))),"",INDEX('Policy Characteristics'!G:G,MATCH($C1551,'Policy Characteristics'!$C:$C,0)))</f>
        <v>1</v>
      </c>
      <c r="N1551" s="261">
        <f>IF(ISBLANK(INDEX('Policy Characteristics'!H:H,MATCH($C1551,'Policy Characteristics'!$C:$C,0))),"",INDEX('Policy Characteristics'!H:H,MATCH($C1551,'Policy Characteristics'!$C:$C,0)))</f>
        <v>0.01</v>
      </c>
      <c r="O1551" s="254" t="str">
        <f>IF(ISBLANK(INDEX('Policy Characteristics'!I:I,MATCH($C1551,'Policy Characteristics'!$C:$C,0))),"",INDEX('Policy Characteristics'!I:I,MATCH($C1551,'Policy Characteristics'!$C:$C,0)))</f>
        <v>% reduction in exports</v>
      </c>
      <c r="P1551" s="254" t="str">
        <f>IF(ISBLANK(INDEX('Policy Characteristics'!J:J,MATCH($C1551,'Policy Characteristics'!$C:$C,0))),"",INDEX('Policy Characteristics'!J:J,MATCH($C1551,'Policy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1" s="254" t="str">
        <f>IF(ISBLANK(INDEX('Policy Characteristics'!K:K,MATCH($C1551,'Policy Characteristics'!$C:$C,0))),"",INDEX('Policy Characteristics'!K:K,MATCH($C1551,'Policy Characteristics'!$C:$C,0)))</f>
        <v/>
      </c>
      <c r="R1551" s="254" t="str">
        <f>IF(ISBLANK(INDEX('Policy Characteristics'!L:L,MATCH($C1551,'Policy Characteristics'!$C:$C,0))),"",INDEX('Policy Characteristics'!L:L,MATCH($C1551,'Policy Characteristics'!$C:$C,0)))</f>
        <v>reduce-fuel-exports.html</v>
      </c>
    </row>
    <row r="1552" spans="1:18" x14ac:dyDescent="0.3">
      <c r="A1552" s="254" t="str">
        <f>IF(ISBLANK(INDEX('Policy Characteristics'!A:A,MATCH($C1552,'Policy Characteristics'!$C:$C,0))),"",INDEX('Policy Characteristics'!A:A,MATCH($C1552,'Policy Characteristics'!$C:$C,0)))</f>
        <v>Industry</v>
      </c>
      <c r="B1552" s="262" t="str">
        <f>IF(ISBLANK(INDEX('Policy Characteristics'!B:B,MATCH($C1552,'Policy Characteristics'!$C:$C,0))),"",INDEX('Policy Characteristics'!B:B,MATCH($C1552,'Policy Characteristics'!$C:$C,0)))</f>
        <v>Reduce Fossil Fuel Exports</v>
      </c>
      <c r="C1552" s="254" t="str">
        <f t="shared" si="56"/>
        <v>Percent Reduction in Fossil Fuel Exports</v>
      </c>
      <c r="D1552" s="6" t="s">
        <v>2473</v>
      </c>
      <c r="E1552" s="45"/>
      <c r="F1552" s="6" t="s">
        <v>2474</v>
      </c>
      <c r="G1552" s="45"/>
      <c r="H1552" s="43">
        <v>455</v>
      </c>
      <c r="I1552" s="324" t="s">
        <v>43</v>
      </c>
      <c r="J1552" s="255" t="str">
        <f>IF(ISBLANK(INDEX('Policy Characteristics'!D:D,MATCH($C1552,'Policy Characteristics'!$C:$C,0))),"",INDEX('Policy Characteristics'!D:D,MATCH($C1552,'Policy Characteristics'!$C:$C,0)))</f>
        <v>Percent Reduction in Fossil Fuel Exports</v>
      </c>
      <c r="K1552" s="254" t="str">
        <f>IF(ISBLANK(INDEX('Policy Characteristics'!E:E,MATCH($C1552,'Policy Characteristics'!$C:$C,0))),"",INDEX('Policy Characteristics'!E:E,MATCH($C1552,'Policy Characteristics'!$C:$C,0)))</f>
        <v>indst reduce fossil fuel exports</v>
      </c>
      <c r="L1552" s="261">
        <f>IF(ISBLANK(INDEX('Policy Characteristics'!F:F,MATCH($C1552,'Policy Characteristics'!$C:$C,0))),"",INDEX('Policy Characteristics'!F:F,MATCH($C1552,'Policy Characteristics'!$C:$C,0)))</f>
        <v>0</v>
      </c>
      <c r="M1552" s="261">
        <f>IF(ISBLANK(INDEX('Policy Characteristics'!G:G,MATCH($C1552,'Policy Characteristics'!$C:$C,0))),"",INDEX('Policy Characteristics'!G:G,MATCH($C1552,'Policy Characteristics'!$C:$C,0)))</f>
        <v>1</v>
      </c>
      <c r="N1552" s="261">
        <f>IF(ISBLANK(INDEX('Policy Characteristics'!H:H,MATCH($C1552,'Policy Characteristics'!$C:$C,0))),"",INDEX('Policy Characteristics'!H:H,MATCH($C1552,'Policy Characteristics'!$C:$C,0)))</f>
        <v>0.01</v>
      </c>
      <c r="O1552" s="254" t="str">
        <f>IF(ISBLANK(INDEX('Policy Characteristics'!I:I,MATCH($C1552,'Policy Characteristics'!$C:$C,0))),"",INDEX('Policy Characteristics'!I:I,MATCH($C1552,'Policy Characteristics'!$C:$C,0)))</f>
        <v>% reduction in exports</v>
      </c>
      <c r="P1552" s="254" t="str">
        <f>IF(ISBLANK(INDEX('Policy Characteristics'!J:J,MATCH($C1552,'Policy Characteristics'!$C:$C,0))),"",INDEX('Policy Characteristics'!J:J,MATCH($C1552,'Policy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2" s="254" t="str">
        <f>IF(ISBLANK(INDEX('Policy Characteristics'!K:K,MATCH($C1552,'Policy Characteristics'!$C:$C,0))),"",INDEX('Policy Characteristics'!K:K,MATCH($C1552,'Policy Characteristics'!$C:$C,0)))</f>
        <v/>
      </c>
      <c r="R1552" s="254" t="str">
        <f>IF(ISBLANK(INDEX('Policy Characteristics'!L:L,MATCH($C1552,'Policy Characteristics'!$C:$C,0))),"",INDEX('Policy Characteristics'!L:L,MATCH($C1552,'Policy Characteristics'!$C:$C,0)))</f>
        <v>reduce-fuel-exports.html</v>
      </c>
    </row>
    <row r="1553" spans="1:18" x14ac:dyDescent="0.3">
      <c r="A1553" s="254" t="str">
        <f>IF(ISBLANK(INDEX('Policy Characteristics'!A:A,MATCH($C1553,'Policy Characteristics'!$C:$C,0))),"",INDEX('Policy Characteristics'!A:A,MATCH($C1553,'Policy Characteristics'!$C:$C,0)))</f>
        <v>Industry</v>
      </c>
      <c r="B1553" s="262" t="str">
        <f>IF(ISBLANK(INDEX('Policy Characteristics'!B:B,MATCH($C1553,'Policy Characteristics'!$C:$C,0))),"",INDEX('Policy Characteristics'!B:B,MATCH($C1553,'Policy Characteristics'!$C:$C,0)))</f>
        <v>Reduce Fossil Fuel Exports</v>
      </c>
      <c r="C1553" s="254" t="str">
        <f t="shared" si="56"/>
        <v>Percent Reduction in Fossil Fuel Exports</v>
      </c>
      <c r="D1553" s="6" t="s">
        <v>442</v>
      </c>
      <c r="E1553" s="45"/>
      <c r="F1553" s="6" t="s">
        <v>443</v>
      </c>
      <c r="G1553" s="45"/>
      <c r="H1553" s="43">
        <v>456</v>
      </c>
      <c r="I1553" s="325" t="s">
        <v>44</v>
      </c>
      <c r="J1553" s="255" t="str">
        <f>IF(ISBLANK(INDEX('Policy Characteristics'!D:D,MATCH($C1553,'Policy Characteristics'!$C:$C,0))),"",INDEX('Policy Characteristics'!D:D,MATCH($C1553,'Policy Characteristics'!$C:$C,0)))</f>
        <v>Percent Reduction in Fossil Fuel Exports</v>
      </c>
      <c r="K1553" s="254" t="str">
        <f>IF(ISBLANK(INDEX('Policy Characteristics'!E:E,MATCH($C1553,'Policy Characteristics'!$C:$C,0))),"",INDEX('Policy Characteristics'!E:E,MATCH($C1553,'Policy Characteristics'!$C:$C,0)))</f>
        <v>indst reduce fossil fuel exports</v>
      </c>
      <c r="L1553" s="261">
        <f>IF(ISBLANK(INDEX('Policy Characteristics'!F:F,MATCH($C1553,'Policy Characteristics'!$C:$C,0))),"",INDEX('Policy Characteristics'!F:F,MATCH($C1553,'Policy Characteristics'!$C:$C,0)))</f>
        <v>0</v>
      </c>
      <c r="M1553" s="261">
        <f>IF(ISBLANK(INDEX('Policy Characteristics'!G:G,MATCH($C1553,'Policy Characteristics'!$C:$C,0))),"",INDEX('Policy Characteristics'!G:G,MATCH($C1553,'Policy Characteristics'!$C:$C,0)))</f>
        <v>1</v>
      </c>
      <c r="N1553" s="261">
        <f>IF(ISBLANK(INDEX('Policy Characteristics'!H:H,MATCH($C1553,'Policy Characteristics'!$C:$C,0))),"",INDEX('Policy Characteristics'!H:H,MATCH($C1553,'Policy Characteristics'!$C:$C,0)))</f>
        <v>0.01</v>
      </c>
      <c r="O1553" s="254" t="str">
        <f>IF(ISBLANK(INDEX('Policy Characteristics'!I:I,MATCH($C1553,'Policy Characteristics'!$C:$C,0))),"",INDEX('Policy Characteristics'!I:I,MATCH($C1553,'Policy Characteristics'!$C:$C,0)))</f>
        <v>% reduction in exports</v>
      </c>
      <c r="P1553" s="254" t="str">
        <f>IF(ISBLANK(INDEX('Policy Characteristics'!J:J,MATCH($C1553,'Policy Characteristics'!$C:$C,0))),"",INDEX('Policy Characteristics'!J:J,MATCH($C1553,'Policy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3" s="254" t="str">
        <f>IF(ISBLANK(INDEX('Policy Characteristics'!K:K,MATCH($C1553,'Policy Characteristics'!$C:$C,0))),"",INDEX('Policy Characteristics'!K:K,MATCH($C1553,'Policy Characteristics'!$C:$C,0)))</f>
        <v/>
      </c>
      <c r="R1553" s="254" t="str">
        <f>IF(ISBLANK(INDEX('Policy Characteristics'!L:L,MATCH($C1553,'Policy Characteristics'!$C:$C,0))),"",INDEX('Policy Characteristics'!L:L,MATCH($C1553,'Policy Characteristics'!$C:$C,0)))</f>
        <v>reduce-fuel-exports.html</v>
      </c>
    </row>
    <row r="1554" spans="1:18" x14ac:dyDescent="0.3">
      <c r="A1554" s="254" t="str">
        <f>IF(ISBLANK(INDEX('Policy Characteristics'!A:A,MATCH($C1554,'Policy Characteristics'!$C:$C,0))),"",INDEX('Policy Characteristics'!A:A,MATCH($C1554,'Policy Characteristics'!$C:$C,0)))</f>
        <v>Industry</v>
      </c>
      <c r="B1554" s="262" t="str">
        <f>IF(ISBLANK(INDEX('Policy Characteristics'!B:B,MATCH($C1554,'Policy Characteristics'!$C:$C,0))),"",INDEX('Policy Characteristics'!B:B,MATCH($C1554,'Policy Characteristics'!$C:$C,0)))</f>
        <v>Reduce Fossil Fuel Exports</v>
      </c>
      <c r="C1554" s="254" t="str">
        <f t="shared" si="56"/>
        <v>Percent Reduction in Fossil Fuel Exports</v>
      </c>
      <c r="D1554" s="6" t="s">
        <v>2465</v>
      </c>
      <c r="E1554" s="45"/>
      <c r="F1554" s="6" t="s">
        <v>2469</v>
      </c>
      <c r="G1554" s="45"/>
      <c r="H1554" s="43">
        <v>457</v>
      </c>
      <c r="I1554" s="324" t="s">
        <v>43</v>
      </c>
      <c r="J1554" s="255" t="str">
        <f>IF(ISBLANK(INDEX('Policy Characteristics'!D:D,MATCH($C1554,'Policy Characteristics'!$C:$C,0))),"",INDEX('Policy Characteristics'!D:D,MATCH($C1554,'Policy Characteristics'!$C:$C,0)))</f>
        <v>Percent Reduction in Fossil Fuel Exports</v>
      </c>
      <c r="K1554" s="254" t="str">
        <f>IF(ISBLANK(INDEX('Policy Characteristics'!E:E,MATCH($C1554,'Policy Characteristics'!$C:$C,0))),"",INDEX('Policy Characteristics'!E:E,MATCH($C1554,'Policy Characteristics'!$C:$C,0)))</f>
        <v>indst reduce fossil fuel exports</v>
      </c>
      <c r="L1554" s="261">
        <f>IF(ISBLANK(INDEX('Policy Characteristics'!F:F,MATCH($C1554,'Policy Characteristics'!$C:$C,0))),"",INDEX('Policy Characteristics'!F:F,MATCH($C1554,'Policy Characteristics'!$C:$C,0)))</f>
        <v>0</v>
      </c>
      <c r="M1554" s="261">
        <f>IF(ISBLANK(INDEX('Policy Characteristics'!G:G,MATCH($C1554,'Policy Characteristics'!$C:$C,0))),"",INDEX('Policy Characteristics'!G:G,MATCH($C1554,'Policy Characteristics'!$C:$C,0)))</f>
        <v>1</v>
      </c>
      <c r="N1554" s="261">
        <f>IF(ISBLANK(INDEX('Policy Characteristics'!H:H,MATCH($C1554,'Policy Characteristics'!$C:$C,0))),"",INDEX('Policy Characteristics'!H:H,MATCH($C1554,'Policy Characteristics'!$C:$C,0)))</f>
        <v>0.01</v>
      </c>
      <c r="O1554" s="254" t="str">
        <f>IF(ISBLANK(INDEX('Policy Characteristics'!I:I,MATCH($C1554,'Policy Characteristics'!$C:$C,0))),"",INDEX('Policy Characteristics'!I:I,MATCH($C1554,'Policy Characteristics'!$C:$C,0)))</f>
        <v>% reduction in exports</v>
      </c>
      <c r="P1554" s="254" t="str">
        <f>IF(ISBLANK(INDEX('Policy Characteristics'!J:J,MATCH($C1554,'Policy Characteristics'!$C:$C,0))),"",INDEX('Policy Characteristics'!J:J,MATCH($C1554,'Policy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4" s="254" t="str">
        <f>IF(ISBLANK(INDEX('Policy Characteristics'!K:K,MATCH($C1554,'Policy Characteristics'!$C:$C,0))),"",INDEX('Policy Characteristics'!K:K,MATCH($C1554,'Policy Characteristics'!$C:$C,0)))</f>
        <v/>
      </c>
      <c r="R1554" s="254" t="str">
        <f>IF(ISBLANK(INDEX('Policy Characteristics'!L:L,MATCH($C1554,'Policy Characteristics'!$C:$C,0))),"",INDEX('Policy Characteristics'!L:L,MATCH($C1554,'Policy Characteristics'!$C:$C,0)))</f>
        <v>reduce-fuel-exports.html</v>
      </c>
    </row>
    <row r="1555" spans="1:18" x14ac:dyDescent="0.3">
      <c r="A1555" s="254" t="str">
        <f>IF(ISBLANK(INDEX('Policy Characteristics'!A:A,MATCH($C1555,'Policy Characteristics'!$C:$C,0))),"",INDEX('Policy Characteristics'!A:A,MATCH($C1555,'Policy Characteristics'!$C:$C,0)))</f>
        <v>Industry</v>
      </c>
      <c r="B1555" s="262" t="str">
        <f>IF(ISBLANK(INDEX('Policy Characteristics'!B:B,MATCH($C1555,'Policy Characteristics'!$C:$C,0))),"",INDEX('Policy Characteristics'!B:B,MATCH($C1555,'Policy Characteristics'!$C:$C,0)))</f>
        <v>Reduce Fossil Fuel Exports</v>
      </c>
      <c r="C1555" s="254" t="str">
        <f t="shared" si="56"/>
        <v>Percent Reduction in Fossil Fuel Exports</v>
      </c>
      <c r="D1555" s="6" t="s">
        <v>2475</v>
      </c>
      <c r="E1555" s="45"/>
      <c r="F1555" s="6" t="s">
        <v>2476</v>
      </c>
      <c r="G1555" s="45"/>
      <c r="H1555" s="43">
        <v>458</v>
      </c>
      <c r="I1555" s="324" t="s">
        <v>43</v>
      </c>
      <c r="J1555" s="255" t="str">
        <f>IF(ISBLANK(INDEX('Policy Characteristics'!D:D,MATCH($C1555,'Policy Characteristics'!$C:$C,0))),"",INDEX('Policy Characteristics'!D:D,MATCH($C1555,'Policy Characteristics'!$C:$C,0)))</f>
        <v>Percent Reduction in Fossil Fuel Exports</v>
      </c>
      <c r="K1555" s="254" t="str">
        <f>IF(ISBLANK(INDEX('Policy Characteristics'!E:E,MATCH($C1555,'Policy Characteristics'!$C:$C,0))),"",INDEX('Policy Characteristics'!E:E,MATCH($C1555,'Policy Characteristics'!$C:$C,0)))</f>
        <v>indst reduce fossil fuel exports</v>
      </c>
      <c r="L1555" s="261">
        <f>IF(ISBLANK(INDEX('Policy Characteristics'!F:F,MATCH($C1555,'Policy Characteristics'!$C:$C,0))),"",INDEX('Policy Characteristics'!F:F,MATCH($C1555,'Policy Characteristics'!$C:$C,0)))</f>
        <v>0</v>
      </c>
      <c r="M1555" s="261">
        <f>IF(ISBLANK(INDEX('Policy Characteristics'!G:G,MATCH($C1555,'Policy Characteristics'!$C:$C,0))),"",INDEX('Policy Characteristics'!G:G,MATCH($C1555,'Policy Characteristics'!$C:$C,0)))</f>
        <v>1</v>
      </c>
      <c r="N1555" s="261">
        <f>IF(ISBLANK(INDEX('Policy Characteristics'!H:H,MATCH($C1555,'Policy Characteristics'!$C:$C,0))),"",INDEX('Policy Characteristics'!H:H,MATCH($C1555,'Policy Characteristics'!$C:$C,0)))</f>
        <v>0.01</v>
      </c>
      <c r="O1555" s="254" t="str">
        <f>IF(ISBLANK(INDEX('Policy Characteristics'!I:I,MATCH($C1555,'Policy Characteristics'!$C:$C,0))),"",INDEX('Policy Characteristics'!I:I,MATCH($C1555,'Policy Characteristics'!$C:$C,0)))</f>
        <v>% reduction in exports</v>
      </c>
      <c r="P1555" s="254" t="str">
        <f>IF(ISBLANK(INDEX('Policy Characteristics'!J:J,MATCH($C1555,'Policy Characteristics'!$C:$C,0))),"",INDEX('Policy Characteristics'!J:J,MATCH($C1555,'Policy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5" s="254" t="str">
        <f>IF(ISBLANK(INDEX('Policy Characteristics'!K:K,MATCH($C1555,'Policy Characteristics'!$C:$C,0))),"",INDEX('Policy Characteristics'!K:K,MATCH($C1555,'Policy Characteristics'!$C:$C,0)))</f>
        <v/>
      </c>
      <c r="R1555" s="254" t="str">
        <f>IF(ISBLANK(INDEX('Policy Characteristics'!L:L,MATCH($C1555,'Policy Characteristics'!$C:$C,0))),"",INDEX('Policy Characteristics'!L:L,MATCH($C1555,'Policy Characteristics'!$C:$C,0)))</f>
        <v>reduce-fuel-exports.html</v>
      </c>
    </row>
    <row r="1556" spans="1:18" x14ac:dyDescent="0.3">
      <c r="A1556" s="254" t="str">
        <f>IF(ISBLANK(INDEX('Policy Characteristics'!A:A,MATCH($C1556,'Policy Characteristics'!$C:$C,0))),"",INDEX('Policy Characteristics'!A:A,MATCH($C1556,'Policy Characteristics'!$C:$C,0)))</f>
        <v>Industry</v>
      </c>
      <c r="B1556" s="262" t="str">
        <f>IF(ISBLANK(INDEX('Policy Characteristics'!B:B,MATCH($C1556,'Policy Characteristics'!$C:$C,0))),"",INDEX('Policy Characteristics'!B:B,MATCH($C1556,'Policy Characteristics'!$C:$C,0)))</f>
        <v>Reduce Fossil Fuel Exports</v>
      </c>
      <c r="C1556" s="254" t="str">
        <f t="shared" si="56"/>
        <v>Percent Reduction in Fossil Fuel Exports</v>
      </c>
      <c r="D1556" s="6" t="s">
        <v>2466</v>
      </c>
      <c r="E1556" s="45"/>
      <c r="F1556" s="6" t="s">
        <v>2470</v>
      </c>
      <c r="G1556" s="45"/>
      <c r="H1556" s="43">
        <v>459</v>
      </c>
      <c r="I1556" s="324" t="s">
        <v>43</v>
      </c>
      <c r="J1556" s="255" t="str">
        <f>IF(ISBLANK(INDEX('Policy Characteristics'!D:D,MATCH($C1556,'Policy Characteristics'!$C:$C,0))),"",INDEX('Policy Characteristics'!D:D,MATCH($C1556,'Policy Characteristics'!$C:$C,0)))</f>
        <v>Percent Reduction in Fossil Fuel Exports</v>
      </c>
      <c r="K1556" s="254" t="str">
        <f>IF(ISBLANK(INDEX('Policy Characteristics'!E:E,MATCH($C1556,'Policy Characteristics'!$C:$C,0))),"",INDEX('Policy Characteristics'!E:E,MATCH($C1556,'Policy Characteristics'!$C:$C,0)))</f>
        <v>indst reduce fossil fuel exports</v>
      </c>
      <c r="L1556" s="261">
        <f>IF(ISBLANK(INDEX('Policy Characteristics'!F:F,MATCH($C1556,'Policy Characteristics'!$C:$C,0))),"",INDEX('Policy Characteristics'!F:F,MATCH($C1556,'Policy Characteristics'!$C:$C,0)))</f>
        <v>0</v>
      </c>
      <c r="M1556" s="261">
        <f>IF(ISBLANK(INDEX('Policy Characteristics'!G:G,MATCH($C1556,'Policy Characteristics'!$C:$C,0))),"",INDEX('Policy Characteristics'!G:G,MATCH($C1556,'Policy Characteristics'!$C:$C,0)))</f>
        <v>1</v>
      </c>
      <c r="N1556" s="261">
        <f>IF(ISBLANK(INDEX('Policy Characteristics'!H:H,MATCH($C1556,'Policy Characteristics'!$C:$C,0))),"",INDEX('Policy Characteristics'!H:H,MATCH($C1556,'Policy Characteristics'!$C:$C,0)))</f>
        <v>0.01</v>
      </c>
      <c r="O1556" s="254" t="str">
        <f>IF(ISBLANK(INDEX('Policy Characteristics'!I:I,MATCH($C1556,'Policy Characteristics'!$C:$C,0))),"",INDEX('Policy Characteristics'!I:I,MATCH($C1556,'Policy Characteristics'!$C:$C,0)))</f>
        <v>% reduction in exports</v>
      </c>
      <c r="P1556" s="254" t="str">
        <f>IF(ISBLANK(INDEX('Policy Characteristics'!J:J,MATCH($C1556,'Policy Characteristics'!$C:$C,0))),"",INDEX('Policy Characteristics'!J:J,MATCH($C1556,'Policy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56" s="254" t="str">
        <f>IF(ISBLANK(INDEX('Policy Characteristics'!K:K,MATCH($C1556,'Policy Characteristics'!$C:$C,0))),"",INDEX('Policy Characteristics'!K:K,MATCH($C1556,'Policy Characteristics'!$C:$C,0)))</f>
        <v/>
      </c>
      <c r="R1556" s="254" t="str">
        <f>IF(ISBLANK(INDEX('Policy Characteristics'!L:L,MATCH($C1556,'Policy Characteristics'!$C:$C,0))),"",INDEX('Policy Characteristics'!L:L,MATCH($C1556,'Policy Characteristics'!$C:$C,0)))</f>
        <v>reduce-fuel-exports.html</v>
      </c>
    </row>
    <row r="1557" spans="1:18" x14ac:dyDescent="0.3">
      <c r="A1557" s="254" t="str">
        <f>IF(ISBLANK(INDEX('Policy Characteristics'!A:A,MATCH($C1557,'Policy Characteristics'!$C:$C,0))),"",INDEX('Policy Characteristics'!A:A,MATCH($C1557,'Policy Characteristics'!$C:$C,0)))</f>
        <v>Agriculture, Land Use, and Forestry</v>
      </c>
      <c r="B1557" s="262" t="str">
        <f>IF(ISBLANK(INDEX('Policy Characteristics'!B:B,MATCH($C1557,'Policy Characteristics'!$C:$C,0))),"",INDEX('Policy Characteristics'!B:B,MATCH($C1557,'Policy Characteristics'!$C:$C,0)))</f>
        <v>Afforestation and Reforestation</v>
      </c>
      <c r="C1557" t="s">
        <v>430</v>
      </c>
      <c r="D1557" s="45"/>
      <c r="E1557" s="45"/>
      <c r="F1557" s="45"/>
      <c r="G1557" s="45"/>
      <c r="H1557" s="43">
        <v>60</v>
      </c>
      <c r="I1557" s="324" t="s">
        <v>43</v>
      </c>
      <c r="J1557" s="255" t="str">
        <f>IF(ISBLANK(INDEX('Policy Characteristics'!D:D,MATCH($C1557,'Policy Characteristics'!$C:$C,0))),"",INDEX('Policy Characteristics'!D:D,MATCH($C1557,'Policy Characteristics'!$C:$C,0)))</f>
        <v>Afforestation and Reforestation</v>
      </c>
      <c r="K1557" s="254" t="str">
        <f>IF(ISBLANK(INDEX('Policy Characteristics'!E:E,MATCH($C1557,'Policy Characteristics'!$C:$C,0))),"",INDEX('Policy Characteristics'!E:E,MATCH($C1557,'Policy Characteristics'!$C:$C,0)))</f>
        <v>land afforestation and reforestation</v>
      </c>
      <c r="L1557" s="261">
        <f>IF(ISBLANK(INDEX('Policy Characteristics'!F:F,MATCH($C1557,'Policy Characteristics'!$C:$C,0))),"",INDEX('Policy Characteristics'!F:F,MATCH($C1557,'Policy Characteristics'!$C:$C,0)))</f>
        <v>0</v>
      </c>
      <c r="M1557" s="261">
        <f>IF(ISBLANK(INDEX('Policy Characteristics'!G:G,MATCH($C1557,'Policy Characteristics'!$C:$C,0))),"",INDEX('Policy Characteristics'!G:G,MATCH($C1557,'Policy Characteristics'!$C:$C,0)))</f>
        <v>1</v>
      </c>
      <c r="N1557" s="261">
        <f>IF(ISBLANK(INDEX('Policy Characteristics'!H:H,MATCH($C1557,'Policy Characteristics'!$C:$C,0))),"",INDEX('Policy Characteristics'!H:H,MATCH($C1557,'Policy Characteristics'!$C:$C,0)))</f>
        <v>0.01</v>
      </c>
      <c r="O1557" s="254" t="str">
        <f>IF(ISBLANK(INDEX('Policy Characteristics'!I:I,MATCH($C1557,'Policy Characteristics'!$C:$C,0))),"",INDEX('Policy Characteristics'!I:I,MATCH($C1557,'Policy Characteristics'!$C:$C,0)))</f>
        <v>% of potential achieved</v>
      </c>
      <c r="P1557" s="254" t="str">
        <f>IF(ISBLANK(INDEX('Policy Characteristics'!J:J,MATCH($C1557,'Policy Characteristics'!$C:$C,0))),"",INDEX('Policy Characteristics'!J:J,MATCH($C1557,'Policy Characteristics'!$C:$C,0)))</f>
        <v>**Description:** This policy increases the sequestration of CO2 by planting forests.  Planted forests are assumed to be managed with best practices and are not used for timber harvesting.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afforestation and reforestation potential is roughly 175 MMT CO2e in 2050.</v>
      </c>
      <c r="Q1557" s="254" t="str">
        <f>IF(ISBLANK(INDEX('Policy Characteristics'!K:K,MATCH($C1557,'Policy Characteristics'!$C:$C,0))),"",INDEX('Policy Characteristics'!K:K,MATCH($C1557,'Policy Characteristics'!$C:$C,0)))</f>
        <v>lulucf.html#aff-ref</v>
      </c>
      <c r="R1557" s="254" t="str">
        <f>IF(ISBLANK(INDEX('Policy Characteristics'!L:L,MATCH($C1557,'Policy Characteristics'!$C:$C,0))),"",INDEX('Policy Characteristics'!L:L,MATCH($C1557,'Policy Characteristics'!$C:$C,0)))</f>
        <v>afforestation-and-reforestation.html</v>
      </c>
    </row>
    <row r="1558" spans="1:18" x14ac:dyDescent="0.3">
      <c r="A1558" s="254" t="str">
        <f>IF(ISBLANK(INDEX('Policy Characteristics'!A:A,MATCH($C1558,'Policy Characteristics'!$C:$C,0))),"",INDEX('Policy Characteristics'!A:A,MATCH($C1558,'Policy Characteristics'!$C:$C,0)))</f>
        <v>Agriculture, Land Use, and Forestry</v>
      </c>
      <c r="B1558" s="262" t="str">
        <f>IF(ISBLANK(INDEX('Policy Characteristics'!B:B,MATCH($C1558,'Policy Characteristics'!$C:$C,0))),"",INDEX('Policy Characteristics'!B:B,MATCH($C1558,'Policy Characteristics'!$C:$C,0)))</f>
        <v>Avoid Deforestation</v>
      </c>
      <c r="C1558" t="s">
        <v>437</v>
      </c>
      <c r="D1558" s="45"/>
      <c r="E1558" s="45"/>
      <c r="F1558" s="45"/>
      <c r="G1558" s="45"/>
      <c r="H1558" s="43">
        <v>705</v>
      </c>
      <c r="I1558" s="325" t="s">
        <v>44</v>
      </c>
      <c r="J1558" s="255" t="str">
        <f>IF(ISBLANK(INDEX('Policy Characteristics'!D:D,MATCH($C1558,'Policy Characteristics'!$C:$C,0))),"",INDEX('Policy Characteristics'!D:D,MATCH($C1558,'Policy Characteristics'!$C:$C,0)))</f>
        <v>Avoid Deforestation</v>
      </c>
      <c r="K1558" s="254" t="str">
        <f>IF(ISBLANK(INDEX('Policy Characteristics'!E:E,MATCH($C1558,'Policy Characteristics'!$C:$C,0))),"",INDEX('Policy Characteristics'!E:E,MATCH($C1558,'Policy Characteristics'!$C:$C,0)))</f>
        <v>land avoid deforestation</v>
      </c>
      <c r="L1558" s="261">
        <f>IF(ISBLANK(INDEX('Policy Characteristics'!F:F,MATCH($C1558,'Policy Characteristics'!$C:$C,0))),"",INDEX('Policy Characteristics'!F:F,MATCH($C1558,'Policy Characteristics'!$C:$C,0)))</f>
        <v>0</v>
      </c>
      <c r="M1558" s="261">
        <f>IF(ISBLANK(INDEX('Policy Characteristics'!G:G,MATCH($C1558,'Policy Characteristics'!$C:$C,0))),"",INDEX('Policy Characteristics'!G:G,MATCH($C1558,'Policy Characteristics'!$C:$C,0)))</f>
        <v>1</v>
      </c>
      <c r="N1558" s="261">
        <f>IF(ISBLANK(INDEX('Policy Characteristics'!H:H,MATCH($C1558,'Policy Characteristics'!$C:$C,0))),"",INDEX('Policy Characteristics'!H:H,MATCH($C1558,'Policy Characteristics'!$C:$C,0)))</f>
        <v>0.01</v>
      </c>
      <c r="O1558" s="254" t="str">
        <f>IF(ISBLANK(INDEX('Policy Characteristics'!I:I,MATCH($C1558,'Policy Characteristics'!$C:$C,0))),"",INDEX('Policy Characteristics'!I:I,MATCH($C1558,'Policy Characteristics'!$C:$C,0)))</f>
        <v>% of potential achieved</v>
      </c>
      <c r="P1558" s="254" t="str">
        <f>IF(ISBLANK(INDEX('Policy Characteristics'!J:J,MATCH($C1558,'Policy Characteristics'!$C:$C,0))),"",INDEX('Policy Characteristics'!J:J,MATCH($C1558,'Policy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558" s="254" t="str">
        <f>IF(ISBLANK(INDEX('Policy Characteristics'!K:K,MATCH($C1558,'Policy Characteristics'!$C:$C,0))),"",INDEX('Policy Characteristics'!K:K,MATCH($C1558,'Policy Characteristics'!$C:$C,0)))</f>
        <v>lulucf.html#avoid-def</v>
      </c>
      <c r="R1558" s="254" t="str">
        <f>IF(ISBLANK(INDEX('Policy Characteristics'!L:L,MATCH($C1558,'Policy Characteristics'!$C:$C,0))),"",INDEX('Policy Characteristics'!L:L,MATCH($C1558,'Policy Characteristics'!$C:$C,0)))</f>
        <v>avoid-deforestation.html</v>
      </c>
    </row>
    <row r="1559" spans="1:18" x14ac:dyDescent="0.3">
      <c r="A1559" s="254" t="str">
        <f>IF(ISBLANK(INDEX('Policy Characteristics'!A:A,MATCH($C1559,'Policy Characteristics'!$C:$C,0))),"",INDEX('Policy Characteristics'!A:A,MATCH($C1559,'Policy Characteristics'!$C:$C,0)))</f>
        <v>Agriculture, Land Use, and Forestry</v>
      </c>
      <c r="B1559" s="262" t="str">
        <f>IF(ISBLANK(INDEX('Policy Characteristics'!B:B,MATCH($C1559,'Policy Characteristics'!$C:$C,0))),"",INDEX('Policy Characteristics'!B:B,MATCH($C1559,'Policy Characteristics'!$C:$C,0)))</f>
        <v>Grassland Restoration and Avoided Conversion</v>
      </c>
      <c r="C1559" t="s">
        <v>434</v>
      </c>
      <c r="D1559" s="45"/>
      <c r="E1559" s="45"/>
      <c r="F1559" s="45"/>
      <c r="G1559" s="45"/>
      <c r="H1559" s="43">
        <v>177</v>
      </c>
      <c r="I1559" s="325" t="s">
        <v>43</v>
      </c>
      <c r="J1559" s="255" t="str">
        <f>IF(ISBLANK(INDEX('Policy Characteristics'!D:D,MATCH($C1559,'Policy Characteristics'!$C:$C,0))),"",INDEX('Policy Characteristics'!D:D,MATCH($C1559,'Policy Characteristics'!$C:$C,0)))</f>
        <v>Grassland Restoration and Avoided Conversion</v>
      </c>
      <c r="K1559" s="254" t="str">
        <f>IF(ISBLANK(INDEX('Policy Characteristics'!E:E,MATCH($C1559,'Policy Characteristics'!$C:$C,0))),"",INDEX('Policy Characteristics'!E:E,MATCH($C1559,'Policy Characteristics'!$C:$C,0)))</f>
        <v>land forest restoration</v>
      </c>
      <c r="L1559" s="261">
        <f>IF(ISBLANK(INDEX('Policy Characteristics'!F:F,MATCH($C1559,'Policy Characteristics'!$C:$C,0))),"",INDEX('Policy Characteristics'!F:F,MATCH($C1559,'Policy Characteristics'!$C:$C,0)))</f>
        <v>0</v>
      </c>
      <c r="M1559" s="261">
        <f>IF(ISBLANK(INDEX('Policy Characteristics'!G:G,MATCH($C1559,'Policy Characteristics'!$C:$C,0))),"",INDEX('Policy Characteristics'!G:G,MATCH($C1559,'Policy Characteristics'!$C:$C,0)))</f>
        <v>1</v>
      </c>
      <c r="N1559" s="261">
        <f>IF(ISBLANK(INDEX('Policy Characteristics'!H:H,MATCH($C1559,'Policy Characteristics'!$C:$C,0))),"",INDEX('Policy Characteristics'!H:H,MATCH($C1559,'Policy Characteristics'!$C:$C,0)))</f>
        <v>0.01</v>
      </c>
      <c r="O1559" s="254" t="str">
        <f>IF(ISBLANK(INDEX('Policy Characteristics'!I:I,MATCH($C1559,'Policy Characteristics'!$C:$C,0))),"",INDEX('Policy Characteristics'!I:I,MATCH($C1559,'Policy Characteristics'!$C:$C,0)))</f>
        <v>% of potential achieved</v>
      </c>
      <c r="P1559" s="254" t="str">
        <f>IF(ISBLANK(INDEX('Policy Characteristics'!J:J,MATCH($C1559,'Policy Characteristics'!$C:$C,0))),"",INDEX('Policy Characteristics'!J:J,MATCH($C1559,'Policy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559" s="254" t="str">
        <f>IF(ISBLANK(INDEX('Policy Characteristics'!K:K,MATCH($C1559,'Policy Characteristics'!$C:$C,0))),"",INDEX('Policy Characteristics'!K:K,MATCH($C1559,'Policy Characteristics'!$C:$C,0)))</f>
        <v/>
      </c>
      <c r="R1559" s="254" t="str">
        <f>IF(ISBLANK(INDEX('Policy Characteristics'!L:L,MATCH($C1559,'Policy Characteristics'!$C:$C,0))),"",INDEX('Policy Characteristics'!L:L,MATCH($C1559,'Policy Characteristics'!$C:$C,0)))</f>
        <v>forest-restoration.html</v>
      </c>
    </row>
    <row r="1560" spans="1:18" x14ac:dyDescent="0.3">
      <c r="A1560" s="254" t="str">
        <f>IF(ISBLANK(INDEX('Policy Characteristics'!A:A,MATCH($C1560,'Policy Characteristics'!$C:$C,0))),"",INDEX('Policy Characteristics'!A:A,MATCH($C1560,'Policy Characteristics'!$C:$C,0)))</f>
        <v>Agriculture, Land Use, and Forestry</v>
      </c>
      <c r="B1560" s="262" t="str">
        <f>IF(ISBLANK(INDEX('Policy Characteristics'!B:B,MATCH($C1560,'Policy Characteristics'!$C:$C,0))),"",INDEX('Policy Characteristics'!B:B,MATCH($C1560,'Policy Characteristics'!$C:$C,0)))</f>
        <v>Forest Set-Asides</v>
      </c>
      <c r="C1560" t="s">
        <v>431</v>
      </c>
      <c r="D1560" s="45"/>
      <c r="E1560" s="45"/>
      <c r="F1560" s="45"/>
      <c r="G1560" s="45"/>
      <c r="H1560" s="43">
        <v>61</v>
      </c>
      <c r="I1560" s="324" t="s">
        <v>44</v>
      </c>
      <c r="J1560" s="255" t="str">
        <f>IF(ISBLANK(INDEX('Policy Characteristics'!D:D,MATCH($C1560,'Policy Characteristics'!$C:$C,0))),"",INDEX('Policy Characteristics'!D:D,MATCH($C1560,'Policy Characteristics'!$C:$C,0)))</f>
        <v>Forest Set-Asides</v>
      </c>
      <c r="K1560" s="254" t="str">
        <f>IF(ISBLANK(INDEX('Policy Characteristics'!E:E,MATCH($C1560,'Policy Characteristics'!$C:$C,0))),"",INDEX('Policy Characteristics'!E:E,MATCH($C1560,'Policy Characteristics'!$C:$C,0)))</f>
        <v>land forest set asides</v>
      </c>
      <c r="L1560" s="261">
        <f>IF(ISBLANK(INDEX('Policy Characteristics'!F:F,MATCH($C1560,'Policy Characteristics'!$C:$C,0))),"",INDEX('Policy Characteristics'!F:F,MATCH($C1560,'Policy Characteristics'!$C:$C,0)))</f>
        <v>0</v>
      </c>
      <c r="M1560" s="261">
        <f>IF(ISBLANK(INDEX('Policy Characteristics'!G:G,MATCH($C1560,'Policy Characteristics'!$C:$C,0))),"",INDEX('Policy Characteristics'!G:G,MATCH($C1560,'Policy Characteristics'!$C:$C,0)))</f>
        <v>1</v>
      </c>
      <c r="N1560" s="261">
        <f>IF(ISBLANK(INDEX('Policy Characteristics'!H:H,MATCH($C1560,'Policy Characteristics'!$C:$C,0))),"",INDEX('Policy Characteristics'!H:H,MATCH($C1560,'Policy Characteristics'!$C:$C,0)))</f>
        <v>0.01</v>
      </c>
      <c r="O1560" s="254" t="str">
        <f>IF(ISBLANK(INDEX('Policy Characteristics'!I:I,MATCH($C1560,'Policy Characteristics'!$C:$C,0))),"",INDEX('Policy Characteristics'!I:I,MATCH($C1560,'Policy Characteristics'!$C:$C,0)))</f>
        <v>% of potential achieved</v>
      </c>
      <c r="P1560" s="254" t="str">
        <f>IF(ISBLANK(INDEX('Policy Characteristics'!J:J,MATCH($C1560,'Policy Characteristics'!$C:$C,0))),"",INDEX('Policy Characteristics'!J:J,MATCH($C1560,'Policy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560" s="254" t="str">
        <f>IF(ISBLANK(INDEX('Policy Characteristics'!K:K,MATCH($C1560,'Policy Characteristics'!$C:$C,0))),"",INDEX('Policy Characteristics'!K:K,MATCH($C1560,'Policy Characteristics'!$C:$C,0)))</f>
        <v>lulucf.html#set-asides</v>
      </c>
      <c r="R1560" s="254" t="str">
        <f>IF(ISBLANK(INDEX('Policy Characteristics'!L:L,MATCH($C1560,'Policy Characteristics'!$C:$C,0))),"",INDEX('Policy Characteristics'!L:L,MATCH($C1560,'Policy Characteristics'!$C:$C,0)))</f>
        <v>forest-set-asides.html</v>
      </c>
    </row>
    <row r="1561" spans="1:18" x14ac:dyDescent="0.3">
      <c r="A1561" s="254" t="str">
        <f>IF(ISBLANK(INDEX('Policy Characteristics'!A:A,MATCH($C1561,'Policy Characteristics'!$C:$C,0))),"",INDEX('Policy Characteristics'!A:A,MATCH($C1561,'Policy Characteristics'!$C:$C,0)))</f>
        <v>Agriculture, Land Use, and Forestry</v>
      </c>
      <c r="B1561" s="262" t="str">
        <f>IF(ISBLANK(INDEX('Policy Characteristics'!B:B,MATCH($C1561,'Policy Characteristics'!$C:$C,0))),"",INDEX('Policy Characteristics'!B:B,MATCH($C1561,'Policy Characteristics'!$C:$C,0)))</f>
        <v>Cropland and Rice Measures</v>
      </c>
      <c r="C1561" t="s">
        <v>2771</v>
      </c>
      <c r="D1561" s="45"/>
      <c r="E1561" s="45"/>
      <c r="F1561" s="45"/>
      <c r="G1561" s="45"/>
      <c r="H1561" s="43">
        <v>62</v>
      </c>
      <c r="I1561" s="324" t="s">
        <v>43</v>
      </c>
      <c r="J1561" s="255" t="str">
        <f>IF(ISBLANK(INDEX('Policy Characteristics'!D:D,MATCH($C1561,'Policy Characteristics'!$C:$C,0))),"",INDEX('Policy Characteristics'!D:D,MATCH($C1561,'Policy Characteristics'!$C:$C,0)))</f>
        <v>Cropland and Rice Measures</v>
      </c>
      <c r="K1561" s="254" t="str">
        <f>IF(ISBLANK(INDEX('Policy Characteristics'!E:E,MATCH($C1561,'Policy Characteristics'!$C:$C,0))),"",INDEX('Policy Characteristics'!E:E,MATCH($C1561,'Policy Characteristics'!$C:$C,0)))</f>
        <v>indst cropland and rice measures</v>
      </c>
      <c r="L1561" s="261">
        <f>IF(ISBLANK(INDEX('Policy Characteristics'!F:F,MATCH($C1561,'Policy Characteristics'!$C:$C,0))),"",INDEX('Policy Characteristics'!F:F,MATCH($C1561,'Policy Characteristics'!$C:$C,0)))</f>
        <v>0</v>
      </c>
      <c r="M1561" s="261">
        <f>IF(ISBLANK(INDEX('Policy Characteristics'!G:G,MATCH($C1561,'Policy Characteristics'!$C:$C,0))),"",INDEX('Policy Characteristics'!G:G,MATCH($C1561,'Policy Characteristics'!$C:$C,0)))</f>
        <v>1</v>
      </c>
      <c r="N1561" s="261">
        <f>IF(ISBLANK(INDEX('Policy Characteristics'!H:H,MATCH($C1561,'Policy Characteristics'!$C:$C,0))),"",INDEX('Policy Characteristics'!H:H,MATCH($C1561,'Policy Characteristics'!$C:$C,0)))</f>
        <v>0.01</v>
      </c>
      <c r="O1561" s="254" t="str">
        <f>IF(ISBLANK(INDEX('Policy Characteristics'!I:I,MATCH($C1561,'Policy Characteristics'!$C:$C,0))),"",INDEX('Policy Characteristics'!I:I,MATCH($C1561,'Policy Characteristics'!$C:$C,0)))</f>
        <v>% of potential achieved</v>
      </c>
      <c r="P1561" s="254" t="str">
        <f>IF(ISBLANK(INDEX('Policy Characteristics'!J:J,MATCH($C1561,'Policy Characteristics'!$C:$C,0))),"",INDEX('Policy Characteristics'!J:J,MATCH($C1561,'Policy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561" s="254" t="str">
        <f>IF(ISBLANK(INDEX('Policy Characteristics'!K:K,MATCH($C1561,'Policy Characteristics'!$C:$C,0))),"",INDEX('Policy Characteristics'!K:K,MATCH($C1561,'Policy Characteristics'!$C:$C,0)))</f>
        <v>industry-ag-main.html#cropland</v>
      </c>
      <c r="R1561" s="254" t="str">
        <f>IF(ISBLANK(INDEX('Policy Characteristics'!L:L,MATCH($C1561,'Policy Characteristics'!$C:$C,0))),"",INDEX('Policy Characteristics'!L:L,MATCH($C1561,'Policy Characteristics'!$C:$C,0)))</f>
        <v>cropland-management.html</v>
      </c>
    </row>
    <row r="1562" spans="1:18" x14ac:dyDescent="0.3">
      <c r="A1562" s="254" t="str">
        <f>IF(ISBLANK(INDEX('Policy Characteristics'!A:A,MATCH($C1562,'Policy Characteristics'!$C:$C,0))),"",INDEX('Policy Characteristics'!A:A,MATCH($C1562,'Policy Characteristics'!$C:$C,0)))</f>
        <v>Agriculture, Land Use, and Forestry</v>
      </c>
      <c r="B1562" s="262" t="str">
        <f>IF(ISBLANK(INDEX('Policy Characteristics'!B:B,MATCH($C1562,'Policy Characteristics'!$C:$C,0))),"",INDEX('Policy Characteristics'!B:B,MATCH($C1562,'Policy Characteristics'!$C:$C,0)))</f>
        <v>Improved Soil Measures</v>
      </c>
      <c r="C1562" t="s">
        <v>3339</v>
      </c>
      <c r="D1562" s="45"/>
      <c r="E1562" s="45"/>
      <c r="F1562" s="45"/>
      <c r="G1562" s="45"/>
      <c r="H1562" s="43">
        <v>1654</v>
      </c>
      <c r="I1562" s="324" t="s">
        <v>44</v>
      </c>
      <c r="J1562" s="255" t="str">
        <f>IF(ISBLANK(INDEX('Policy Characteristics'!D:D,MATCH($C1562,'Policy Characteristics'!$C:$C,0))),"",INDEX('Policy Characteristics'!D:D,MATCH($C1562,'Policy Characteristics'!$C:$C,0)))</f>
        <v>Improved Soil Measures</v>
      </c>
      <c r="K1562" s="254" t="str">
        <f>IF(ISBLANK(INDEX('Policy Characteristics'!E:E,MATCH($C1562,'Policy Characteristics'!$C:$C,0))),"",INDEX('Policy Characteristics'!E:E,MATCH($C1562,'Policy Characteristics'!$C:$C,0)))</f>
        <v>indst tillage</v>
      </c>
      <c r="L1562" s="261">
        <f>IF(ISBLANK(INDEX('Policy Characteristics'!F:F,MATCH($C1562,'Policy Characteristics'!$C:$C,0))),"",INDEX('Policy Characteristics'!F:F,MATCH($C1562,'Policy Characteristics'!$C:$C,0)))</f>
        <v>0</v>
      </c>
      <c r="M1562" s="261">
        <f>IF(ISBLANK(INDEX('Policy Characteristics'!G:G,MATCH($C1562,'Policy Characteristics'!$C:$C,0))),"",INDEX('Policy Characteristics'!G:G,MATCH($C1562,'Policy Characteristics'!$C:$C,0)))</f>
        <v>1</v>
      </c>
      <c r="N1562" s="261">
        <f>IF(ISBLANK(INDEX('Policy Characteristics'!H:H,MATCH($C1562,'Policy Characteristics'!$C:$C,0))),"",INDEX('Policy Characteristics'!H:H,MATCH($C1562,'Policy Characteristics'!$C:$C,0)))</f>
        <v>0.01</v>
      </c>
      <c r="O1562" s="254" t="str">
        <f>IF(ISBLANK(INDEX('Policy Characteristics'!I:I,MATCH($C1562,'Policy Characteristics'!$C:$C,0))),"",INDEX('Policy Characteristics'!I:I,MATCH($C1562,'Policy Characteristics'!$C:$C,0)))</f>
        <v>% of potential achieved</v>
      </c>
      <c r="P1562" s="254" t="str">
        <f>IF(ISBLANK(INDEX('Policy Characteristics'!J:J,MATCH($C1562,'Policy Characteristics'!$C:$C,0))),"",INDEX('Policy Characteristics'!J:J,MATCH($C1562,'Policy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562" s="254" t="str">
        <f>IF(ISBLANK(INDEX('Policy Characteristics'!K:K,MATCH($C1562,'Policy Characteristics'!$C:$C,0))),"",INDEX('Policy Characteristics'!K:K,MATCH($C1562,'Policy Characteristics'!$C:$C,0)))</f>
        <v/>
      </c>
      <c r="R1562" s="254" t="str">
        <f>IF(ISBLANK(INDEX('Policy Characteristics'!L:L,MATCH($C1562,'Policy Characteristics'!$C:$C,0))),"",INDEX('Policy Characteristics'!L:L,MATCH($C1562,'Policy Characteristics'!$C:$C,0)))</f>
        <v/>
      </c>
    </row>
    <row r="1563" spans="1:18" x14ac:dyDescent="0.3">
      <c r="A1563" s="254" t="str">
        <f>IF(ISBLANK(INDEX('Policy Characteristics'!A:A,MATCH($C1563,'Policy Characteristics'!$C:$C,0))),"",INDEX('Policy Characteristics'!A:A,MATCH($C1563,'Policy Characteristics'!$C:$C,0)))</f>
        <v>Agriculture, Land Use, and Forestry</v>
      </c>
      <c r="B1563" s="262" t="str">
        <f>IF(ISBLANK(INDEX('Policy Characteristics'!B:B,MATCH($C1563,'Policy Characteristics'!$C:$C,0))),"",INDEX('Policy Characteristics'!B:B,MATCH($C1563,'Policy Characteristics'!$C:$C,0)))</f>
        <v>Improved Forest Management</v>
      </c>
      <c r="C1563" t="s">
        <v>432</v>
      </c>
      <c r="D1563" s="45"/>
      <c r="E1563" s="45"/>
      <c r="F1563" s="45"/>
      <c r="G1563" s="45"/>
      <c r="H1563" s="43">
        <v>63</v>
      </c>
      <c r="I1563" s="324" t="s">
        <v>43</v>
      </c>
      <c r="J1563" s="255" t="str">
        <f>IF(ISBLANK(INDEX('Policy Characteristics'!D:D,MATCH($C1563,'Policy Characteristics'!$C:$C,0))),"",INDEX('Policy Characteristics'!D:D,MATCH($C1563,'Policy Characteristics'!$C:$C,0)))</f>
        <v>Improved Forest Management</v>
      </c>
      <c r="K1563" s="254" t="str">
        <f>IF(ISBLANK(INDEX('Policy Characteristics'!E:E,MATCH($C1563,'Policy Characteristics'!$C:$C,0))),"",INDEX('Policy Characteristics'!E:E,MATCH($C1563,'Policy Characteristics'!$C:$C,0)))</f>
        <v>land forest management</v>
      </c>
      <c r="L1563" s="261">
        <f>IF(ISBLANK(INDEX('Policy Characteristics'!F:F,MATCH($C1563,'Policy Characteristics'!$C:$C,0))),"",INDEX('Policy Characteristics'!F:F,MATCH($C1563,'Policy Characteristics'!$C:$C,0)))</f>
        <v>0</v>
      </c>
      <c r="M1563" s="261">
        <f>IF(ISBLANK(INDEX('Policy Characteristics'!G:G,MATCH($C1563,'Policy Characteristics'!$C:$C,0))),"",INDEX('Policy Characteristics'!G:G,MATCH($C1563,'Policy Characteristics'!$C:$C,0)))</f>
        <v>1</v>
      </c>
      <c r="N1563" s="261">
        <f>IF(ISBLANK(INDEX('Policy Characteristics'!H:H,MATCH($C1563,'Policy Characteristics'!$C:$C,0))),"",INDEX('Policy Characteristics'!H:H,MATCH($C1563,'Policy Characteristics'!$C:$C,0)))</f>
        <v>0.01</v>
      </c>
      <c r="O1563" s="254" t="str">
        <f>IF(ISBLANK(INDEX('Policy Characteristics'!I:I,MATCH($C1563,'Policy Characteristics'!$C:$C,0))),"",INDEX('Policy Characteristics'!I:I,MATCH($C1563,'Policy Characteristics'!$C:$C,0)))</f>
        <v>% of potential achieved</v>
      </c>
      <c r="P1563" s="254" t="str">
        <f>IF(ISBLANK(INDEX('Policy Characteristics'!J:J,MATCH($C1563,'Policy Characteristics'!$C:$C,0))),"",INDEX('Policy Characteristics'!J:J,MATCH($C1563,'Policy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563" s="254" t="str">
        <f>IF(ISBLANK(INDEX('Policy Characteristics'!K:K,MATCH($C1563,'Policy Characteristics'!$C:$C,0))),"",INDEX('Policy Characteristics'!K:K,MATCH($C1563,'Policy Characteristics'!$C:$C,0)))</f>
        <v>lulucf.html#forest-mgmt</v>
      </c>
      <c r="R1563" s="254" t="str">
        <f>IF(ISBLANK(INDEX('Policy Characteristics'!L:L,MATCH($C1563,'Policy Characteristics'!$C:$C,0))),"",INDEX('Policy Characteristics'!L:L,MATCH($C1563,'Policy Characteristics'!$C:$C,0)))</f>
        <v>improved-forest-management.html</v>
      </c>
    </row>
    <row r="1564" spans="1:18" x14ac:dyDescent="0.3">
      <c r="A1564" s="254" t="str">
        <f>IF(ISBLANK(INDEX('Policy Characteristics'!A:A,MATCH($C1564,'Policy Characteristics'!$C:$C,0))),"",INDEX('Policy Characteristics'!A:A,MATCH($C1564,'Policy Characteristics'!$C:$C,0)))</f>
        <v>Agriculture, Land Use, and Forestry</v>
      </c>
      <c r="B1564" s="262" t="str">
        <f>IF(ISBLANK(INDEX('Policy Characteristics'!B:B,MATCH($C1564,'Policy Characteristics'!$C:$C,0))),"",INDEX('Policy Characteristics'!B:B,MATCH($C1564,'Policy Characteristics'!$C:$C,0)))</f>
        <v>Livestock Measures</v>
      </c>
      <c r="C1564" t="s">
        <v>2803</v>
      </c>
      <c r="D1564" s="45"/>
      <c r="E1564" s="45"/>
      <c r="F1564" s="45"/>
      <c r="G1564" s="45"/>
      <c r="H1564" s="43">
        <v>64</v>
      </c>
      <c r="I1564" s="324" t="s">
        <v>43</v>
      </c>
      <c r="J1564" s="255" t="str">
        <f>IF(ISBLANK(INDEX('Policy Characteristics'!D:D,MATCH($C1564,'Policy Characteristics'!$C:$C,0))),"",INDEX('Policy Characteristics'!D:D,MATCH($C1564,'Policy Characteristics'!$C:$C,0)))</f>
        <v>Livestock Measures</v>
      </c>
      <c r="K1564" s="254" t="str">
        <f>IF(ISBLANK(INDEX('Policy Characteristics'!E:E,MATCH($C1564,'Policy Characteristics'!$C:$C,0))),"",INDEX('Policy Characteristics'!E:E,MATCH($C1564,'Policy Characteristics'!$C:$C,0)))</f>
        <v>indst livestock measures</v>
      </c>
      <c r="L1564" s="261">
        <f>IF(ISBLANK(INDEX('Policy Characteristics'!F:F,MATCH($C1564,'Policy Characteristics'!$C:$C,0))),"",INDEX('Policy Characteristics'!F:F,MATCH($C1564,'Policy Characteristics'!$C:$C,0)))</f>
        <v>0</v>
      </c>
      <c r="M1564" s="261">
        <f>IF(ISBLANK(INDEX('Policy Characteristics'!G:G,MATCH($C1564,'Policy Characteristics'!$C:$C,0))),"",INDEX('Policy Characteristics'!G:G,MATCH($C1564,'Policy Characteristics'!$C:$C,0)))</f>
        <v>1</v>
      </c>
      <c r="N1564" s="261">
        <f>IF(ISBLANK(INDEX('Policy Characteristics'!H:H,MATCH($C1564,'Policy Characteristics'!$C:$C,0))),"",INDEX('Policy Characteristics'!H:H,MATCH($C1564,'Policy Characteristics'!$C:$C,0)))</f>
        <v>0.01</v>
      </c>
      <c r="O1564" s="254" t="str">
        <f>IF(ISBLANK(INDEX('Policy Characteristics'!I:I,MATCH($C1564,'Policy Characteristics'!$C:$C,0))),"",INDEX('Policy Characteristics'!I:I,MATCH($C1564,'Policy Characteristics'!$C:$C,0)))</f>
        <v>% of potential achieved</v>
      </c>
      <c r="P1564" s="254" t="str">
        <f>IF(ISBLANK(INDEX('Policy Characteristics'!J:J,MATCH($C1564,'Policy Characteristics'!$C:$C,0))),"",INDEX('Policy Characteristics'!J:J,MATCH($C1564,'Policy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564" s="254" t="str">
        <f>IF(ISBLANK(INDEX('Policy Characteristics'!K:K,MATCH($C1564,'Policy Characteristics'!$C:$C,0))),"",INDEX('Policy Characteristics'!K:K,MATCH($C1564,'Policy Characteristics'!$C:$C,0)))</f>
        <v>industry-ag-main.html#livestock</v>
      </c>
      <c r="R1564" s="254" t="str">
        <f>IF(ISBLANK(INDEX('Policy Characteristics'!L:L,MATCH($C1564,'Policy Characteristics'!$C:$C,0))),"",INDEX('Policy Characteristics'!L:L,MATCH($C1564,'Policy Characteristics'!$C:$C,0)))</f>
        <v>livestock-measures.html</v>
      </c>
    </row>
    <row r="1565" spans="1:18" x14ac:dyDescent="0.3">
      <c r="A1565" s="254" t="str">
        <f>IF(ISBLANK(INDEX('Policy Characteristics'!A:A,MATCH($C1565,'Policy Characteristics'!$C:$C,0))),"",INDEX('Policy Characteristics'!A:A,MATCH($C1565,'Policy Characteristics'!$C:$C,0)))</f>
        <v>Agriculture, Land Use, and Forestry</v>
      </c>
      <c r="B1565" s="262" t="str">
        <f>IF(ISBLANK(INDEX('Policy Characteristics'!B:B,MATCH($C1565,'Policy Characteristics'!$C:$C,0))),"",INDEX('Policy Characteristics'!B:B,MATCH($C1565,'Policy Characteristics'!$C:$C,0)))</f>
        <v>Wetland Restoration</v>
      </c>
      <c r="C1565" t="s">
        <v>433</v>
      </c>
      <c r="D1565" s="45"/>
      <c r="E1565" s="45"/>
      <c r="F1565" s="45"/>
      <c r="G1565" s="45"/>
      <c r="H1565" s="43">
        <v>178</v>
      </c>
      <c r="I1565" s="324" t="s">
        <v>43</v>
      </c>
      <c r="J1565" s="255" t="str">
        <f>IF(ISBLANK(INDEX('Policy Characteristics'!D:D,MATCH($C1565,'Policy Characteristics'!$C:$C,0))),"",INDEX('Policy Characteristics'!D:D,MATCH($C1565,'Policy Characteristics'!$C:$C,0)))</f>
        <v>Wetland Restoration</v>
      </c>
      <c r="K1565" s="254" t="str">
        <f>IF(ISBLANK(INDEX('Policy Characteristics'!E:E,MATCH($C1565,'Policy Characteristics'!$C:$C,0))),"",INDEX('Policy Characteristics'!E:E,MATCH($C1565,'Policy Characteristics'!$C:$C,0)))</f>
        <v>land peatland restoration</v>
      </c>
      <c r="L1565" s="261">
        <f>IF(ISBLANK(INDEX('Policy Characteristics'!F:F,MATCH($C1565,'Policy Characteristics'!$C:$C,0))),"",INDEX('Policy Characteristics'!F:F,MATCH($C1565,'Policy Characteristics'!$C:$C,0)))</f>
        <v>0</v>
      </c>
      <c r="M1565" s="261">
        <f>IF(ISBLANK(INDEX('Policy Characteristics'!G:G,MATCH($C1565,'Policy Characteristics'!$C:$C,0))),"",INDEX('Policy Characteristics'!G:G,MATCH($C1565,'Policy Characteristics'!$C:$C,0)))</f>
        <v>1</v>
      </c>
      <c r="N1565" s="261">
        <f>IF(ISBLANK(INDEX('Policy Characteristics'!H:H,MATCH($C1565,'Policy Characteristics'!$C:$C,0))),"",INDEX('Policy Characteristics'!H:H,MATCH($C1565,'Policy Characteristics'!$C:$C,0)))</f>
        <v>0.01</v>
      </c>
      <c r="O1565" s="254" t="str">
        <f>IF(ISBLANK(INDEX('Policy Characteristics'!I:I,MATCH($C1565,'Policy Characteristics'!$C:$C,0))),"",INDEX('Policy Characteristics'!I:I,MATCH($C1565,'Policy Characteristics'!$C:$C,0)))</f>
        <v>% of potential achieved</v>
      </c>
      <c r="P1565" s="254" t="str">
        <f>IF(ISBLANK(INDEX('Policy Characteristics'!J:J,MATCH($C1565,'Policy Characteristics'!$C:$C,0))),"",INDEX('Policy Characteristics'!J:J,MATCH($C1565,'Policy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565" s="254" t="str">
        <f>IF(ISBLANK(INDEX('Policy Characteristics'!K:K,MATCH($C1565,'Policy Characteristics'!$C:$C,0))),"",INDEX('Policy Characteristics'!K:K,MATCH($C1565,'Policy Characteristics'!$C:$C,0)))</f>
        <v/>
      </c>
      <c r="R1565" s="254" t="str">
        <f>IF(ISBLANK(INDEX('Policy Characteristics'!L:L,MATCH($C1565,'Policy Characteristics'!$C:$C,0))),"",INDEX('Policy Characteristics'!L:L,MATCH($C1565,'Policy Characteristics'!$C:$C,0)))</f>
        <v>peatland-restoration.html</v>
      </c>
    </row>
    <row r="1566" spans="1:18" x14ac:dyDescent="0.3">
      <c r="A1566" s="254" t="str">
        <f>IF(ISBLANK(INDEX('Policy Characteristics'!A:A,MATCH($C1566,'Policy Characteristics'!$C:$C,0))),"",INDEX('Policy Characteristics'!A:A,MATCH($C1566,'Policy Characteristics'!$C:$C,0)))</f>
        <v>Agriculture, Land Use, and Forestry</v>
      </c>
      <c r="B1566" s="262" t="str">
        <f>IF(ISBLANK(INDEX('Policy Characteristics'!B:B,MATCH($C1566,'Policy Characteristics'!$C:$C,0))),"",INDEX('Policy Characteristics'!B:B,MATCH($C1566,'Policy Characteristics'!$C:$C,0)))</f>
        <v>Shift to Non-Animal Products</v>
      </c>
      <c r="C1566" t="s">
        <v>2441</v>
      </c>
      <c r="D1566" s="45"/>
      <c r="E1566" s="45"/>
      <c r="F1566" s="45"/>
      <c r="G1566" s="45"/>
      <c r="H1566" s="43">
        <v>434</v>
      </c>
      <c r="I1566" s="324" t="s">
        <v>43</v>
      </c>
      <c r="J1566" s="255" t="str">
        <f>IF(ISBLANK(INDEX('Policy Characteristics'!D:D,MATCH($C1566,'Policy Characteristics'!$C:$C,0))),"",INDEX('Policy Characteristics'!D:D,MATCH($C1566,'Policy Characteristics'!$C:$C,0)))</f>
        <v>Shift to Non-Animal Products</v>
      </c>
      <c r="K1566" s="254" t="str">
        <f>IF(ISBLANK(INDEX('Policy Characteristics'!E:E,MATCH($C1566,'Policy Characteristics'!$C:$C,0))),"",INDEX('Policy Characteristics'!E:E,MATCH($C1566,'Policy Characteristics'!$C:$C,0)))</f>
        <v>indst shift to nonanimal products</v>
      </c>
      <c r="L1566" s="261">
        <f>IF(ISBLANK(INDEX('Policy Characteristics'!F:F,MATCH($C1566,'Policy Characteristics'!$C:$C,0))),"",INDEX('Policy Characteristics'!F:F,MATCH($C1566,'Policy Characteristics'!$C:$C,0)))</f>
        <v>0</v>
      </c>
      <c r="M1566" s="261">
        <f>IF(ISBLANK(INDEX('Policy Characteristics'!G:G,MATCH($C1566,'Policy Characteristics'!$C:$C,0))),"",INDEX('Policy Characteristics'!G:G,MATCH($C1566,'Policy Characteristics'!$C:$C,0)))</f>
        <v>1</v>
      </c>
      <c r="N1566" s="261">
        <f>IF(ISBLANK(INDEX('Policy Characteristics'!H:H,MATCH($C1566,'Policy Characteristics'!$C:$C,0))),"",INDEX('Policy Characteristics'!H:H,MATCH($C1566,'Policy Characteristics'!$C:$C,0)))</f>
        <v>0.01</v>
      </c>
      <c r="O1566" s="254" t="str">
        <f>IF(ISBLANK(INDEX('Policy Characteristics'!I:I,MATCH($C1566,'Policy Characteristics'!$C:$C,0))),"",INDEX('Policy Characteristics'!I:I,MATCH($C1566,'Policy Characteristics'!$C:$C,0)))</f>
        <v>% reduction in animal products</v>
      </c>
      <c r="P1566" s="254" t="str">
        <f>IF(ISBLANK(INDEX('Policy Characteristics'!J:J,MATCH($C1566,'Policy Characteristics'!$C:$C,0))),"",INDEX('Policy Characteristics'!J:J,MATCH($C1566,'Policy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566" s="254" t="str">
        <f>IF(ISBLANK(INDEX('Policy Characteristics'!K:K,MATCH($C1566,'Policy Characteristics'!$C:$C,0))),"",INDEX('Policy Characteristics'!K:K,MATCH($C1566,'Policy Characteristics'!$C:$C,0)))</f>
        <v/>
      </c>
      <c r="R1566" s="254" t="str">
        <f>IF(ISBLANK(INDEX('Policy Characteristics'!L:L,MATCH($C1566,'Policy Characteristics'!$C:$C,0))),"",INDEX('Policy Characteristics'!L:L,MATCH($C1566,'Policy Characteristics'!$C:$C,0)))</f>
        <v>shift-to-non-animal-products.html</v>
      </c>
    </row>
    <row r="1567" spans="1:18" s="2" customFormat="1" x14ac:dyDescent="0.3">
      <c r="A1567" s="254" t="str">
        <f>IF(ISBLANK(INDEX('Policy Characteristics'!A:A,MATCH($C1567,'Policy Characteristics'!$C:$C,0))),"",INDEX('Policy Characteristics'!A:A,MATCH($C1567,'Policy Characteristics'!$C:$C,0)))</f>
        <v>District Heat and Hydrogen</v>
      </c>
      <c r="B1567" s="262" t="str">
        <f>IF(ISBLANK(INDEX('Policy Characteristics'!B:B,MATCH($C1567,'Policy Characteristics'!$C:$C,0))),"",INDEX('Policy Characteristics'!B:B,MATCH($C1567,'Policy Characteristics'!$C:$C,0)))</f>
        <v>Use CHP for District Heat</v>
      </c>
      <c r="C1567" s="317" t="s">
        <v>287</v>
      </c>
      <c r="D1567" s="6"/>
      <c r="E1567" s="6"/>
      <c r="F1567" s="6"/>
      <c r="G1567" s="6"/>
      <c r="H1567" s="43">
        <v>68</v>
      </c>
      <c r="I1567" s="325" t="s">
        <v>43</v>
      </c>
      <c r="J1567" s="255" t="str">
        <f>IF(ISBLANK(INDEX('Policy Characteristics'!D:D,MATCH($C1567,'Policy Characteristics'!$C:$C,0))),"",INDEX('Policy Characteristics'!D:D,MATCH($C1567,'Policy Characteristics'!$C:$C,0)))</f>
        <v>District Heat CHP</v>
      </c>
      <c r="K1567" s="254" t="str">
        <f>IF(ISBLANK(INDEX('Policy Characteristics'!E:E,MATCH($C1567,'Policy Characteristics'!$C:$C,0))),"",INDEX('Policy Characteristics'!E:E,MATCH($C1567,'Policy Characteristics'!$C:$C,0)))</f>
        <v>heat convert heat to CHP</v>
      </c>
      <c r="L1567" s="261">
        <f>IF(ISBLANK(INDEX('Policy Characteristics'!F:F,MATCH($C1567,'Policy Characteristics'!$C:$C,0))),"",INDEX('Policy Characteristics'!F:F,MATCH($C1567,'Policy Characteristics'!$C:$C,0)))</f>
        <v>0</v>
      </c>
      <c r="M1567" s="261">
        <f>IF(ISBLANK(INDEX('Policy Characteristics'!G:G,MATCH($C1567,'Policy Characteristics'!$C:$C,0))),"",INDEX('Policy Characteristics'!G:G,MATCH($C1567,'Policy Characteristics'!$C:$C,0)))</f>
        <v>1</v>
      </c>
      <c r="N1567" s="261">
        <f>IF(ISBLANK(INDEX('Policy Characteristics'!H:H,MATCH($C1567,'Policy Characteristics'!$C:$C,0))),"",INDEX('Policy Characteristics'!H:H,MATCH($C1567,'Policy Characteristics'!$C:$C,0)))</f>
        <v>0.01</v>
      </c>
      <c r="O1567" s="254" t="str">
        <f>IF(ISBLANK(INDEX('Policy Characteristics'!I:I,MATCH($C1567,'Policy Characteristics'!$C:$C,0))),"",INDEX('Policy Characteristics'!I:I,MATCH($C1567,'Policy Characteristics'!$C:$C,0)))</f>
        <v>% non-CHP heat converted</v>
      </c>
      <c r="P1567" s="254" t="str">
        <f>IF(ISBLANK(INDEX('Policy Characteristics'!J:J,MATCH($C1567,'Policy Characteristics'!$C:$C,0))),"",INDEX('Policy Characteristics'!J:J,MATCH($C1567,'Policy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567" s="254" t="str">
        <f>IF(ISBLANK(INDEX('Policy Characteristics'!K:K,MATCH($C1567,'Policy Characteristics'!$C:$C,0))),"",INDEX('Policy Characteristics'!K:K,MATCH($C1567,'Policy Characteristics'!$C:$C,0)))</f>
        <v>district-heating.html#chp</v>
      </c>
      <c r="R1567" s="254" t="str">
        <f>IF(ISBLANK(INDEX('Policy Characteristics'!L:L,MATCH($C1567,'Policy Characteristics'!$C:$C,0))),"",INDEX('Policy Characteristics'!L:L,MATCH($C1567,'Policy Characteristics'!$C:$C,0)))</f>
        <v>convert-non-chp-heat-production.html</v>
      </c>
    </row>
    <row r="1568" spans="1:18" s="2" customFormat="1" x14ac:dyDescent="0.3">
      <c r="A1568" s="254" t="str">
        <f>IF(ISBLANK(INDEX('Policy Characteristics'!A:A,MATCH($C1568,'Policy Characteristics'!$C:$C,0))),"",INDEX('Policy Characteristics'!A:A,MATCH($C1568,'Policy Characteristics'!$C:$C,0)))</f>
        <v>District Heat and Hydrogen</v>
      </c>
      <c r="B1568" s="262" t="str">
        <f>IF(ISBLANK(INDEX('Policy Characteristics'!B:B,MATCH($C1568,'Policy Characteristics'!$C:$C,0))),"",INDEX('Policy Characteristics'!B:B,MATCH($C1568,'Policy Characteristics'!$C:$C,0)))</f>
        <v>Produce District Heat with Electricity</v>
      </c>
      <c r="C1568" s="317" t="s">
        <v>2739</v>
      </c>
      <c r="D1568" s="6"/>
      <c r="E1568" s="6"/>
      <c r="F1568" s="6"/>
      <c r="G1568" s="6"/>
      <c r="H1568" s="43">
        <v>176</v>
      </c>
      <c r="I1568" s="325" t="s">
        <v>43</v>
      </c>
      <c r="J1568" s="255" t="str">
        <f>IF(ISBLANK(INDEX('Policy Characteristics'!D:D,MATCH($C1568,'Policy Characteristics'!$C:$C,0))),"",INDEX('Policy Characteristics'!D:D,MATCH($C1568,'Policy Characteristics'!$C:$C,0)))</f>
        <v>District Heat Fuel Switching</v>
      </c>
      <c r="K1568" s="254" t="str">
        <f>IF(ISBLANK(INDEX('Policy Characteristics'!E:E,MATCH($C1568,'Policy Characteristics'!$C:$C,0))),"",INDEX('Policy Characteristics'!E:E,MATCH($C1568,'Policy Characteristics'!$C:$C,0)))</f>
        <v>heat fuel type shifting</v>
      </c>
      <c r="L1568" s="261">
        <f>IF(ISBLANK(INDEX('Policy Characteristics'!F:F,MATCH($C1568,'Policy Characteristics'!$C:$C,0))),"",INDEX('Policy Characteristics'!F:F,MATCH($C1568,'Policy Characteristics'!$C:$C,0)))</f>
        <v>0</v>
      </c>
      <c r="M1568" s="261">
        <f>IF(ISBLANK(INDEX('Policy Characteristics'!G:G,MATCH($C1568,'Policy Characteristics'!$C:$C,0))),"",INDEX('Policy Characteristics'!G:G,MATCH($C1568,'Policy Characteristics'!$C:$C,0)))</f>
        <v>1</v>
      </c>
      <c r="N1568" s="261">
        <f>IF(ISBLANK(INDEX('Policy Characteristics'!H:H,MATCH($C1568,'Policy Characteristics'!$C:$C,0))),"",INDEX('Policy Characteristics'!H:H,MATCH($C1568,'Policy Characteristics'!$C:$C,0)))</f>
        <v>0.01</v>
      </c>
      <c r="O1568" s="254" t="str">
        <f>IF(ISBLANK(INDEX('Policy Characteristics'!I:I,MATCH($C1568,'Policy Characteristics'!$C:$C,0))),"",INDEX('Policy Characteristics'!I:I,MATCH($C1568,'Policy Characteristics'!$C:$C,0)))</f>
        <v>% of fuel use</v>
      </c>
      <c r="P1568" s="254" t="str">
        <f>IF(ISBLANK(INDEX('Policy Characteristics'!J:J,MATCH($C1568,'Policy Characteristics'!$C:$C,0))),"",INDEX('Policy Characteristics'!J:J,MATCH($C1568,'Policy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568" s="254" t="str">
        <f>IF(ISBLANK(INDEX('Policy Characteristics'!K:K,MATCH($C1568,'Policy Characteristics'!$C:$C,0))),"",INDEX('Policy Characteristics'!K:K,MATCH($C1568,'Policy Characteristics'!$C:$C,0)))</f>
        <v>district-heating.html#convert-coal</v>
      </c>
      <c r="R1568" s="254" t="str">
        <f>IF(ISBLANK(INDEX('Policy Characteristics'!L:L,MATCH($C1568,'Policy Characteristics'!$C:$C,0))),"",INDEX('Policy Characteristics'!L:L,MATCH($C1568,'Policy Characteristics'!$C:$C,0)))</f>
        <v>district-heat-fuel-switching.html</v>
      </c>
    </row>
    <row r="1569" spans="1:18" s="2" customFormat="1" x14ac:dyDescent="0.3">
      <c r="A1569" s="254" t="str">
        <f>IF(ISBLANK(INDEX('Policy Characteristics'!A:A,MATCH($C1569,'Policy Characteristics'!$C:$C,0))),"",INDEX('Policy Characteristics'!A:A,MATCH($C1569,'Policy Characteristics'!$C:$C,0)))</f>
        <v>District Heat and Hydrogen</v>
      </c>
      <c r="B1569" s="262" t="str">
        <f>IF(ISBLANK(INDEX('Policy Characteristics'!B:B,MATCH($C1569,'Policy Characteristics'!$C:$C,0))),"",INDEX('Policy Characteristics'!B:B,MATCH($C1569,'Policy Characteristics'!$C:$C,0)))</f>
        <v>Shift Hydrogen Production to Electrolysis</v>
      </c>
      <c r="C1569" s="317" t="s">
        <v>2479</v>
      </c>
      <c r="D1569" s="6"/>
      <c r="E1569" s="6"/>
      <c r="F1569" s="6"/>
      <c r="G1569" s="6"/>
      <c r="H1569" s="43">
        <v>450</v>
      </c>
      <c r="I1569" s="325" t="s">
        <v>43</v>
      </c>
      <c r="J1569" s="255" t="str">
        <f>IF(ISBLANK(INDEX('Policy Characteristics'!D:D,MATCH($C1569,'Policy Characteristics'!$C:$C,0))),"",INDEX('Policy Characteristics'!D:D,MATCH($C1569,'Policy Characteristics'!$C:$C,0)))</f>
        <v>Hydrogen Electrolysis</v>
      </c>
      <c r="K1569" s="254" t="str">
        <f>IF(ISBLANK(INDEX('Policy Characteristics'!E:E,MATCH($C1569,'Policy Characteristics'!$C:$C,0))),"",INDEX('Policy Characteristics'!E:E,MATCH($C1569,'Policy Characteristics'!$C:$C,0)))</f>
        <v>hydgn shift production pathways</v>
      </c>
      <c r="L1569" s="261">
        <f>IF(ISBLANK(INDEX('Policy Characteristics'!F:F,MATCH($C1569,'Policy Characteristics'!$C:$C,0))),"",INDEX('Policy Characteristics'!F:F,MATCH($C1569,'Policy Characteristics'!$C:$C,0)))</f>
        <v>0</v>
      </c>
      <c r="M1569" s="261">
        <f>IF(ISBLANK(INDEX('Policy Characteristics'!G:G,MATCH($C1569,'Policy Characteristics'!$C:$C,0))),"",INDEX('Policy Characteristics'!G:G,MATCH($C1569,'Policy Characteristics'!$C:$C,0)))</f>
        <v>1</v>
      </c>
      <c r="N1569" s="261">
        <f>IF(ISBLANK(INDEX('Policy Characteristics'!H:H,MATCH($C1569,'Policy Characteristics'!$C:$C,0))),"",INDEX('Policy Characteristics'!H:H,MATCH($C1569,'Policy Characteristics'!$C:$C,0)))</f>
        <v>0.01</v>
      </c>
      <c r="O1569" s="254" t="str">
        <f>IF(ISBLANK(INDEX('Policy Characteristics'!I:I,MATCH($C1569,'Policy Characteristics'!$C:$C,0))),"",INDEX('Policy Characteristics'!I:I,MATCH($C1569,'Policy Characteristics'!$C:$C,0)))</f>
        <v>% of hydrogen production</v>
      </c>
      <c r="P1569" s="254" t="str">
        <f>IF(ISBLANK(INDEX('Policy Characteristics'!J:J,MATCH($C1569,'Policy Characteristics'!$C:$C,0))),"",INDEX('Policy Characteristics'!J:J,MATCH($C1569,'Policy Characteristics'!$C:$C,0)))</f>
        <v>**Description:** This policy causes a percentage of merchant hydrogen (i.e. hydrogen produced for sale, not hydrogen produced and consumed on-site within a facility) to be produced via electrolysis rather than via other production pathways. // **Guidance for setting values:** Today, in the United States, roughly 95% of hydrogen is produced via steam reforming of natural gas and 5% is produced via electrolysis.  These shares are not projected to change in the BAU case.</v>
      </c>
      <c r="Q1569" s="254" t="str">
        <f>IF(ISBLANK(INDEX('Policy Characteristics'!K:K,MATCH($C1569,'Policy Characteristics'!$C:$C,0))),"",INDEX('Policy Characteristics'!K:K,MATCH($C1569,'Policy Characteristics'!$C:$C,0)))</f>
        <v/>
      </c>
      <c r="R1569" s="254" t="str">
        <f>IF(ISBLANK(INDEX('Policy Characteristics'!L:L,MATCH($C1569,'Policy Characteristics'!$C:$C,0))),"",INDEX('Policy Characteristics'!L:L,MATCH($C1569,'Policy Characteristics'!$C:$C,0)))</f>
        <v>switch-hydrogen-production-pathway.html</v>
      </c>
    </row>
    <row r="1570" spans="1:18" s="4" customFormat="1" x14ac:dyDescent="0.3">
      <c r="A1570" s="254" t="str">
        <f>IF(ISBLANK(INDEX('Policy Characteristics'!A:A,MATCH($C1570,'Policy Characteristics'!$C:$C,0))),"",INDEX('Policy Characteristics'!A:A,MATCH($C1570,'Policy Characteristics'!$C:$C,0)))</f>
        <v>Cross-Sector</v>
      </c>
      <c r="B1570" s="262" t="str">
        <f>IF(ISBLANK(INDEX('Policy Characteristics'!B:B,MATCH($C1570,'Policy Characteristics'!$C:$C,0))),"",INDEX('Policy Characteristics'!B:B,MATCH($C1570,'Policy Characteristics'!$C:$C,0)))</f>
        <v>Carbon Price</v>
      </c>
      <c r="C1570" t="s">
        <v>2412</v>
      </c>
      <c r="D1570" s="45" t="s">
        <v>332</v>
      </c>
      <c r="E1570" s="45"/>
      <c r="F1570" s="45" t="s">
        <v>336</v>
      </c>
      <c r="G1570" s="45"/>
      <c r="H1570" s="43">
        <v>171</v>
      </c>
      <c r="I1570" s="324" t="s">
        <v>43</v>
      </c>
      <c r="J1570" s="255" t="str">
        <f>IF(ISBLANK(INDEX('Policy Characteristics'!D:D,MATCH($C1570,'Policy Characteristics'!$C:$C,0))),"",INDEX('Policy Characteristics'!D:D,MATCH($C1570,'Policy Characteristics'!$C:$C,0)))</f>
        <v>Carbon Price</v>
      </c>
      <c r="K1570" s="254" t="str">
        <f>IF(ISBLANK(INDEX('Policy Characteristics'!E:E,MATCH($C1570,'Policy Characteristics'!$C:$C,0))),"",INDEX('Policy Characteristics'!E:E,MATCH($C1570,'Policy Characteristics'!$C:$C,0)))</f>
        <v>cross carbon tax</v>
      </c>
      <c r="L1570" s="254">
        <f>IF(ISBLANK(INDEX('Policy Characteristics'!F:F,MATCH($C1570,'Policy Characteristics'!$C:$C,0))),"",INDEX('Policy Characteristics'!F:F,MATCH($C1570,'Policy Characteristics'!$C:$C,0)))</f>
        <v>0</v>
      </c>
      <c r="M1570" s="254">
        <f>IF(ISBLANK(INDEX('Policy Characteristics'!G:G,MATCH($C1570,'Policy Characteristics'!$C:$C,0))),"",INDEX('Policy Characteristics'!G:G,MATCH($C1570,'Policy Characteristics'!$C:$C,0)))</f>
        <v>300</v>
      </c>
      <c r="N1570" s="254">
        <f>IF(ISBLANK(INDEX('Policy Characteristics'!H:H,MATCH($C1570,'Policy Characteristics'!$C:$C,0))),"",INDEX('Policy Characteristics'!H:H,MATCH($C1570,'Policy Characteristics'!$C:$C,0)))</f>
        <v>5</v>
      </c>
      <c r="O1570" s="254" t="str">
        <f>IF(ISBLANK(INDEX('Policy Characteristics'!I:I,MATCH($C1570,'Policy Characteristics'!$C:$C,0))),"",INDEX('Policy Characteristics'!I:I,MATCH($C1570,'Policy Characteristics'!$C:$C,0)))</f>
        <v>$/metric ton CO2e</v>
      </c>
      <c r="P1570" s="254" t="str">
        <f>IF(ISBLANK(INDEX('Policy Characteristics'!J:J,MATCH($C1570,'Policy Characteristics'!$C:$C,0))),"",INDEX('Policy Characteristics'!J:J,MATCH($C1570,'Policy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0" s="254" t="str">
        <f>IF(ISBLANK(INDEX('Policy Characteristics'!K:K,MATCH($C1570,'Policy Characteristics'!$C:$C,0))),"",INDEX('Policy Characteristics'!K:K,MATCH($C1570,'Policy Characteristics'!$C:$C,0)))</f>
        <v>fuels.html#carbon-tax</v>
      </c>
      <c r="R1570" s="254" t="str">
        <f>IF(ISBLANK(INDEX('Policy Characteristics'!L:L,MATCH($C1570,'Policy Characteristics'!$C:$C,0))),"",INDEX('Policy Characteristics'!L:L,MATCH($C1570,'Policy Characteristics'!$C:$C,0)))</f>
        <v>carbon-tax.html</v>
      </c>
    </row>
    <row r="1571" spans="1:18" s="4" customFormat="1" x14ac:dyDescent="0.3">
      <c r="A1571" s="254" t="str">
        <f>IF(ISBLANK(INDEX('Policy Characteristics'!A:A,MATCH($C1571,'Policy Characteristics'!$C:$C,0))),"",INDEX('Policy Characteristics'!A:A,MATCH($C1571,'Policy Characteristics'!$C:$C,0)))</f>
        <v>Cross-Sector</v>
      </c>
      <c r="B1571" s="262" t="str">
        <f>IF(ISBLANK(INDEX('Policy Characteristics'!B:B,MATCH($C1571,'Policy Characteristics'!$C:$C,0))),"",INDEX('Policy Characteristics'!B:B,MATCH($C1571,'Policy Characteristics'!$C:$C,0)))</f>
        <v>Carbon Price</v>
      </c>
      <c r="C1571" s="254" t="str">
        <f t="shared" ref="C1571" si="57">C$1570</f>
        <v>Additional Carbon Tax Rate</v>
      </c>
      <c r="D1571" s="45" t="s">
        <v>340</v>
      </c>
      <c r="E1571" s="45"/>
      <c r="F1571" s="45" t="s">
        <v>341</v>
      </c>
      <c r="G1571" s="45"/>
      <c r="H1571" s="43">
        <v>172</v>
      </c>
      <c r="I1571" s="324" t="s">
        <v>43</v>
      </c>
      <c r="J1571" s="255" t="str">
        <f>IF(ISBLANK(INDEX('Policy Characteristics'!D:D,MATCH($C1571,'Policy Characteristics'!$C:$C,0))),"",INDEX('Policy Characteristics'!D:D,MATCH($C1571,'Policy Characteristics'!$C:$C,0)))</f>
        <v>Carbon Price</v>
      </c>
      <c r="K1571" s="254" t="str">
        <f>IF(ISBLANK(INDEX('Policy Characteristics'!E:E,MATCH($C1571,'Policy Characteristics'!$C:$C,0))),"",INDEX('Policy Characteristics'!E:E,MATCH($C1571,'Policy Characteristics'!$C:$C,0)))</f>
        <v>cross carbon tax</v>
      </c>
      <c r="L1571" s="254">
        <f>IF(ISBLANK(INDEX('Policy Characteristics'!F:F,MATCH($C1571,'Policy Characteristics'!$C:$C,0))),"",INDEX('Policy Characteristics'!F:F,MATCH($C1571,'Policy Characteristics'!$C:$C,0)))</f>
        <v>0</v>
      </c>
      <c r="M1571" s="254">
        <f>IF(ISBLANK(INDEX('Policy Characteristics'!G:G,MATCH($C1571,'Policy Characteristics'!$C:$C,0))),"",INDEX('Policy Characteristics'!G:G,MATCH($C1571,'Policy Characteristics'!$C:$C,0)))</f>
        <v>300</v>
      </c>
      <c r="N1571" s="254">
        <f>IF(ISBLANK(INDEX('Policy Characteristics'!H:H,MATCH($C1571,'Policy Characteristics'!$C:$C,0))),"",INDEX('Policy Characteristics'!H:H,MATCH($C1571,'Policy Characteristics'!$C:$C,0)))</f>
        <v>5</v>
      </c>
      <c r="O1571" s="254" t="str">
        <f>IF(ISBLANK(INDEX('Policy Characteristics'!I:I,MATCH($C1571,'Policy Characteristics'!$C:$C,0))),"",INDEX('Policy Characteristics'!I:I,MATCH($C1571,'Policy Characteristics'!$C:$C,0)))</f>
        <v>$/metric ton CO2e</v>
      </c>
      <c r="P1571" s="254" t="str">
        <f>IF(ISBLANK(INDEX('Policy Characteristics'!J:J,MATCH($C1571,'Policy Characteristics'!$C:$C,0))),"",INDEX('Policy Characteristics'!J:J,MATCH($C1571,'Policy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1" s="254" t="str">
        <f>IF(ISBLANK(INDEX('Policy Characteristics'!K:K,MATCH($C1571,'Policy Characteristics'!$C:$C,0))),"",INDEX('Policy Characteristics'!K:K,MATCH($C1571,'Policy Characteristics'!$C:$C,0)))</f>
        <v>fuels.html#carbon-tax</v>
      </c>
      <c r="R1571" s="254" t="str">
        <f>IF(ISBLANK(INDEX('Policy Characteristics'!L:L,MATCH($C1571,'Policy Characteristics'!$C:$C,0))),"",INDEX('Policy Characteristics'!L:L,MATCH($C1571,'Policy Characteristics'!$C:$C,0)))</f>
        <v>carbon-tax.html</v>
      </c>
    </row>
    <row r="1572" spans="1:18" s="4" customFormat="1" x14ac:dyDescent="0.3">
      <c r="A1572" s="254" t="str">
        <f>IF(ISBLANK(INDEX('Policy Characteristics'!A:A,MATCH($C1572,'Policy Characteristics'!$C:$C,0))),"",INDEX('Policy Characteristics'!A:A,MATCH($C1572,'Policy Characteristics'!$C:$C,0)))</f>
        <v>Cross-Sector</v>
      </c>
      <c r="B1572" s="262" t="str">
        <f>IF(ISBLANK(INDEX('Policy Characteristics'!B:B,MATCH($C1572,'Policy Characteristics'!$C:$C,0))),"",INDEX('Policy Characteristics'!B:B,MATCH($C1572,'Policy Characteristics'!$C:$C,0)))</f>
        <v>Carbon Price</v>
      </c>
      <c r="C1572" s="254" t="str">
        <f t="shared" ref="C1572:C1575" si="58">C$1570</f>
        <v>Additional Carbon Tax Rate</v>
      </c>
      <c r="D1572" s="45" t="s">
        <v>334</v>
      </c>
      <c r="E1572" s="45"/>
      <c r="F1572" s="45" t="s">
        <v>338</v>
      </c>
      <c r="G1572" s="45"/>
      <c r="H1572" s="43">
        <v>173</v>
      </c>
      <c r="I1572" s="324" t="s">
        <v>43</v>
      </c>
      <c r="J1572" s="255" t="str">
        <f>IF(ISBLANK(INDEX('Policy Characteristics'!D:D,MATCH($C1572,'Policy Characteristics'!$C:$C,0))),"",INDEX('Policy Characteristics'!D:D,MATCH($C1572,'Policy Characteristics'!$C:$C,0)))</f>
        <v>Carbon Price</v>
      </c>
      <c r="K1572" s="254" t="str">
        <f>IF(ISBLANK(INDEX('Policy Characteristics'!E:E,MATCH($C1572,'Policy Characteristics'!$C:$C,0))),"",INDEX('Policy Characteristics'!E:E,MATCH($C1572,'Policy Characteristics'!$C:$C,0)))</f>
        <v>cross carbon tax</v>
      </c>
      <c r="L1572" s="254">
        <f>IF(ISBLANK(INDEX('Policy Characteristics'!F:F,MATCH($C1572,'Policy Characteristics'!$C:$C,0))),"",INDEX('Policy Characteristics'!F:F,MATCH($C1572,'Policy Characteristics'!$C:$C,0)))</f>
        <v>0</v>
      </c>
      <c r="M1572" s="254">
        <f>IF(ISBLANK(INDEX('Policy Characteristics'!G:G,MATCH($C1572,'Policy Characteristics'!$C:$C,0))),"",INDEX('Policy Characteristics'!G:G,MATCH($C1572,'Policy Characteristics'!$C:$C,0)))</f>
        <v>300</v>
      </c>
      <c r="N1572" s="254">
        <f>IF(ISBLANK(INDEX('Policy Characteristics'!H:H,MATCH($C1572,'Policy Characteristics'!$C:$C,0))),"",INDEX('Policy Characteristics'!H:H,MATCH($C1572,'Policy Characteristics'!$C:$C,0)))</f>
        <v>5</v>
      </c>
      <c r="O1572" s="254" t="str">
        <f>IF(ISBLANK(INDEX('Policy Characteristics'!I:I,MATCH($C1572,'Policy Characteristics'!$C:$C,0))),"",INDEX('Policy Characteristics'!I:I,MATCH($C1572,'Policy Characteristics'!$C:$C,0)))</f>
        <v>$/metric ton CO2e</v>
      </c>
      <c r="P1572" s="254" t="str">
        <f>IF(ISBLANK(INDEX('Policy Characteristics'!J:J,MATCH($C1572,'Policy Characteristics'!$C:$C,0))),"",INDEX('Policy Characteristics'!J:J,MATCH($C1572,'Policy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2" s="254" t="str">
        <f>IF(ISBLANK(INDEX('Policy Characteristics'!K:K,MATCH($C1572,'Policy Characteristics'!$C:$C,0))),"",INDEX('Policy Characteristics'!K:K,MATCH($C1572,'Policy Characteristics'!$C:$C,0)))</f>
        <v>fuels.html#carbon-tax</v>
      </c>
      <c r="R1572" s="254" t="str">
        <f>IF(ISBLANK(INDEX('Policy Characteristics'!L:L,MATCH($C1572,'Policy Characteristics'!$C:$C,0))),"",INDEX('Policy Characteristics'!L:L,MATCH($C1572,'Policy Characteristics'!$C:$C,0)))</f>
        <v>carbon-tax.html</v>
      </c>
    </row>
    <row r="1573" spans="1:18" s="4" customFormat="1" x14ac:dyDescent="0.3">
      <c r="A1573" s="254" t="str">
        <f>IF(ISBLANK(INDEX('Policy Characteristics'!A:A,MATCH($C1573,'Policy Characteristics'!$C:$C,0))),"",INDEX('Policy Characteristics'!A:A,MATCH($C1573,'Policy Characteristics'!$C:$C,0)))</f>
        <v>Cross-Sector</v>
      </c>
      <c r="B1573" s="262" t="str">
        <f>IF(ISBLANK(INDEX('Policy Characteristics'!B:B,MATCH($C1573,'Policy Characteristics'!$C:$C,0))),"",INDEX('Policy Characteristics'!B:B,MATCH($C1573,'Policy Characteristics'!$C:$C,0)))</f>
        <v>Carbon Price</v>
      </c>
      <c r="C1573" s="254" t="str">
        <f t="shared" si="58"/>
        <v>Additional Carbon Tax Rate</v>
      </c>
      <c r="D1573" s="45" t="s">
        <v>335</v>
      </c>
      <c r="E1573" s="45"/>
      <c r="F1573" s="45" t="s">
        <v>339</v>
      </c>
      <c r="G1573" s="45"/>
      <c r="H1573" s="43">
        <v>174</v>
      </c>
      <c r="I1573" s="324" t="s">
        <v>43</v>
      </c>
      <c r="J1573" s="255" t="str">
        <f>IF(ISBLANK(INDEX('Policy Characteristics'!D:D,MATCH($C1573,'Policy Characteristics'!$C:$C,0))),"",INDEX('Policy Characteristics'!D:D,MATCH($C1573,'Policy Characteristics'!$C:$C,0)))</f>
        <v>Carbon Price</v>
      </c>
      <c r="K1573" s="254" t="str">
        <f>IF(ISBLANK(INDEX('Policy Characteristics'!E:E,MATCH($C1573,'Policy Characteristics'!$C:$C,0))),"",INDEX('Policy Characteristics'!E:E,MATCH($C1573,'Policy Characteristics'!$C:$C,0)))</f>
        <v>cross carbon tax</v>
      </c>
      <c r="L1573" s="254">
        <f>IF(ISBLANK(INDEX('Policy Characteristics'!F:F,MATCH($C1573,'Policy Characteristics'!$C:$C,0))),"",INDEX('Policy Characteristics'!F:F,MATCH($C1573,'Policy Characteristics'!$C:$C,0)))</f>
        <v>0</v>
      </c>
      <c r="M1573" s="254">
        <f>IF(ISBLANK(INDEX('Policy Characteristics'!G:G,MATCH($C1573,'Policy Characteristics'!$C:$C,0))),"",INDEX('Policy Characteristics'!G:G,MATCH($C1573,'Policy Characteristics'!$C:$C,0)))</f>
        <v>300</v>
      </c>
      <c r="N1573" s="254">
        <f>IF(ISBLANK(INDEX('Policy Characteristics'!H:H,MATCH($C1573,'Policy Characteristics'!$C:$C,0))),"",INDEX('Policy Characteristics'!H:H,MATCH($C1573,'Policy Characteristics'!$C:$C,0)))</f>
        <v>5</v>
      </c>
      <c r="O1573" s="254" t="str">
        <f>IF(ISBLANK(INDEX('Policy Characteristics'!I:I,MATCH($C1573,'Policy Characteristics'!$C:$C,0))),"",INDEX('Policy Characteristics'!I:I,MATCH($C1573,'Policy Characteristics'!$C:$C,0)))</f>
        <v>$/metric ton CO2e</v>
      </c>
      <c r="P1573" s="254" t="str">
        <f>IF(ISBLANK(INDEX('Policy Characteristics'!J:J,MATCH($C1573,'Policy Characteristics'!$C:$C,0))),"",INDEX('Policy Characteristics'!J:J,MATCH($C1573,'Policy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3" s="254" t="str">
        <f>IF(ISBLANK(INDEX('Policy Characteristics'!K:K,MATCH($C1573,'Policy Characteristics'!$C:$C,0))),"",INDEX('Policy Characteristics'!K:K,MATCH($C1573,'Policy Characteristics'!$C:$C,0)))</f>
        <v>fuels.html#carbon-tax</v>
      </c>
      <c r="R1573" s="254" t="str">
        <f>IF(ISBLANK(INDEX('Policy Characteristics'!L:L,MATCH($C1573,'Policy Characteristics'!$C:$C,0))),"",INDEX('Policy Characteristics'!L:L,MATCH($C1573,'Policy Characteristics'!$C:$C,0)))</f>
        <v>carbon-tax.html</v>
      </c>
    </row>
    <row r="1574" spans="1:18" s="4" customFormat="1" x14ac:dyDescent="0.3">
      <c r="A1574" s="254" t="str">
        <f>IF(ISBLANK(INDEX('Policy Characteristics'!A:A,MATCH($C1574,'Policy Characteristics'!$C:$C,0))),"",INDEX('Policy Characteristics'!A:A,MATCH($C1574,'Policy Characteristics'!$C:$C,0)))</f>
        <v>Cross-Sector</v>
      </c>
      <c r="B1574" s="262" t="str">
        <f>IF(ISBLANK(INDEX('Policy Characteristics'!B:B,MATCH($C1574,'Policy Characteristics'!$C:$C,0))),"",INDEX('Policy Characteristics'!B:B,MATCH($C1574,'Policy Characteristics'!$C:$C,0)))</f>
        <v>Carbon Price</v>
      </c>
      <c r="C1574" s="254" t="str">
        <f t="shared" si="58"/>
        <v>Additional Carbon Tax Rate</v>
      </c>
      <c r="D1574" s="45" t="s">
        <v>333</v>
      </c>
      <c r="E1574" s="45"/>
      <c r="F1574" s="45" t="s">
        <v>337</v>
      </c>
      <c r="G1574" s="45"/>
      <c r="H1574" s="43">
        <v>175</v>
      </c>
      <c r="I1574" s="324" t="s">
        <v>43</v>
      </c>
      <c r="J1574" s="255" t="str">
        <f>IF(ISBLANK(INDEX('Policy Characteristics'!D:D,MATCH($C1574,'Policy Characteristics'!$C:$C,0))),"",INDEX('Policy Characteristics'!D:D,MATCH($C1574,'Policy Characteristics'!$C:$C,0)))</f>
        <v>Carbon Price</v>
      </c>
      <c r="K1574" s="254" t="str">
        <f>IF(ISBLANK(INDEX('Policy Characteristics'!E:E,MATCH($C1574,'Policy Characteristics'!$C:$C,0))),"",INDEX('Policy Characteristics'!E:E,MATCH($C1574,'Policy Characteristics'!$C:$C,0)))</f>
        <v>cross carbon tax</v>
      </c>
      <c r="L1574" s="254">
        <f>IF(ISBLANK(INDEX('Policy Characteristics'!F:F,MATCH($C1574,'Policy Characteristics'!$C:$C,0))),"",INDEX('Policy Characteristics'!F:F,MATCH($C1574,'Policy Characteristics'!$C:$C,0)))</f>
        <v>0</v>
      </c>
      <c r="M1574" s="254">
        <f>IF(ISBLANK(INDEX('Policy Characteristics'!G:G,MATCH($C1574,'Policy Characteristics'!$C:$C,0))),"",INDEX('Policy Characteristics'!G:G,MATCH($C1574,'Policy Characteristics'!$C:$C,0)))</f>
        <v>300</v>
      </c>
      <c r="N1574" s="254">
        <f>IF(ISBLANK(INDEX('Policy Characteristics'!H:H,MATCH($C1574,'Policy Characteristics'!$C:$C,0))),"",INDEX('Policy Characteristics'!H:H,MATCH($C1574,'Policy Characteristics'!$C:$C,0)))</f>
        <v>5</v>
      </c>
      <c r="O1574" s="254" t="str">
        <f>IF(ISBLANK(INDEX('Policy Characteristics'!I:I,MATCH($C1574,'Policy Characteristics'!$C:$C,0))),"",INDEX('Policy Characteristics'!I:I,MATCH($C1574,'Policy Characteristics'!$C:$C,0)))</f>
        <v>$/metric ton CO2e</v>
      </c>
      <c r="P1574" s="254" t="str">
        <f>IF(ISBLANK(INDEX('Policy Characteristics'!J:J,MATCH($C1574,'Policy Characteristics'!$C:$C,0))),"",INDEX('Policy Characteristics'!J:J,MATCH($C1574,'Policy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4" s="254" t="str">
        <f>IF(ISBLANK(INDEX('Policy Characteristics'!K:K,MATCH($C1574,'Policy Characteristics'!$C:$C,0))),"",INDEX('Policy Characteristics'!K:K,MATCH($C1574,'Policy Characteristics'!$C:$C,0)))</f>
        <v>fuels.html#carbon-tax</v>
      </c>
      <c r="R1574" s="254" t="str">
        <f>IF(ISBLANK(INDEX('Policy Characteristics'!L:L,MATCH($C1574,'Policy Characteristics'!$C:$C,0))),"",INDEX('Policy Characteristics'!L:L,MATCH($C1574,'Policy Characteristics'!$C:$C,0)))</f>
        <v>carbon-tax.html</v>
      </c>
    </row>
    <row r="1575" spans="1:18" s="4" customFormat="1" x14ac:dyDescent="0.3">
      <c r="A1575" s="254" t="str">
        <f>IF(ISBLANK(INDEX('Policy Characteristics'!A:A,MATCH($C1575,'Policy Characteristics'!$C:$C,0))),"",INDEX('Policy Characteristics'!A:A,MATCH($C1575,'Policy Characteristics'!$C:$C,0)))</f>
        <v>Cross-Sector</v>
      </c>
      <c r="B1575" s="262" t="str">
        <f>IF(ISBLANK(INDEX('Policy Characteristics'!B:B,MATCH($C1575,'Policy Characteristics'!$C:$C,0))),"",INDEX('Policy Characteristics'!B:B,MATCH($C1575,'Policy Characteristics'!$C:$C,0)))</f>
        <v>Carbon Price</v>
      </c>
      <c r="C1575" s="254" t="str">
        <f t="shared" si="58"/>
        <v>Additional Carbon Tax Rate</v>
      </c>
      <c r="D1575" s="45" t="s">
        <v>2495</v>
      </c>
      <c r="E1575" s="45"/>
      <c r="F1575" s="45" t="s">
        <v>2877</v>
      </c>
      <c r="G1575" s="45"/>
      <c r="H1575" s="43">
        <v>544</v>
      </c>
      <c r="I1575" s="324" t="s">
        <v>43</v>
      </c>
      <c r="J1575" s="255" t="str">
        <f>IF(ISBLANK(INDEX('Policy Characteristics'!D:D,MATCH($C1575,'Policy Characteristics'!$C:$C,0))),"",INDEX('Policy Characteristics'!D:D,MATCH($C1575,'Policy Characteristics'!$C:$C,0)))</f>
        <v>Carbon Price</v>
      </c>
      <c r="K1575" s="254" t="str">
        <f>IF(ISBLANK(INDEX('Policy Characteristics'!E:E,MATCH($C1575,'Policy Characteristics'!$C:$C,0))),"",INDEX('Policy Characteristics'!E:E,MATCH($C1575,'Policy Characteristics'!$C:$C,0)))</f>
        <v>cross carbon tax</v>
      </c>
      <c r="L1575" s="254">
        <f>IF(ISBLANK(INDEX('Policy Characteristics'!F:F,MATCH($C1575,'Policy Characteristics'!$C:$C,0))),"",INDEX('Policy Characteristics'!F:F,MATCH($C1575,'Policy Characteristics'!$C:$C,0)))</f>
        <v>0</v>
      </c>
      <c r="M1575" s="254">
        <f>IF(ISBLANK(INDEX('Policy Characteristics'!G:G,MATCH($C1575,'Policy Characteristics'!$C:$C,0))),"",INDEX('Policy Characteristics'!G:G,MATCH($C1575,'Policy Characteristics'!$C:$C,0)))</f>
        <v>300</v>
      </c>
      <c r="N1575" s="254">
        <f>IF(ISBLANK(INDEX('Policy Characteristics'!H:H,MATCH($C1575,'Policy Characteristics'!$C:$C,0))),"",INDEX('Policy Characteristics'!H:H,MATCH($C1575,'Policy Characteristics'!$C:$C,0)))</f>
        <v>5</v>
      </c>
      <c r="O1575" s="254" t="str">
        <f>IF(ISBLANK(INDEX('Policy Characteristics'!I:I,MATCH($C1575,'Policy Characteristics'!$C:$C,0))),"",INDEX('Policy Characteristics'!I:I,MATCH($C1575,'Policy Characteristics'!$C:$C,0)))</f>
        <v>$/metric ton CO2e</v>
      </c>
      <c r="P1575" s="254" t="str">
        <f>IF(ISBLANK(INDEX('Policy Characteristics'!J:J,MATCH($C1575,'Policy Characteristics'!$C:$C,0))),"",INDEX('Policy Characteristics'!J:J,MATCH($C1575,'Policy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575" s="254" t="str">
        <f>IF(ISBLANK(INDEX('Policy Characteristics'!K:K,MATCH($C1575,'Policy Characteristics'!$C:$C,0))),"",INDEX('Policy Characteristics'!K:K,MATCH($C1575,'Policy Characteristics'!$C:$C,0)))</f>
        <v>fuels.html#carbon-tax</v>
      </c>
      <c r="R1575" s="254" t="str">
        <f>IF(ISBLANK(INDEX('Policy Characteristics'!L:L,MATCH($C1575,'Policy Characteristics'!$C:$C,0))),"",INDEX('Policy Characteristics'!L:L,MATCH($C1575,'Policy Characteristics'!$C:$C,0)))</f>
        <v>carbon-tax.html</v>
      </c>
    </row>
    <row r="1576" spans="1:18" s="4" customFormat="1" x14ac:dyDescent="0.3">
      <c r="A1576" s="254" t="str">
        <f>IF(ISBLANK(INDEX('Policy Characteristics'!A:A,MATCH($C1576,'Policy Characteristics'!$C:$C,0))),"",INDEX('Policy Characteristics'!A:A,MATCH($C1576,'Policy Characteristics'!$C:$C,0)))</f>
        <v>Cross-Sector</v>
      </c>
      <c r="B1576" s="262" t="str">
        <f>IF(ISBLANK(INDEX('Policy Characteristics'!B:B,MATCH($C1576,'Policy Characteristics'!$C:$C,0))),"",INDEX('Policy Characteristics'!B:B,MATCH($C1576,'Policy Characteristics'!$C:$C,0)))</f>
        <v>End Existing Subsidies</v>
      </c>
      <c r="C1576" t="s">
        <v>139</v>
      </c>
      <c r="D1576" s="45" t="s">
        <v>52</v>
      </c>
      <c r="E1576" s="45"/>
      <c r="F1576" s="45" t="s">
        <v>93</v>
      </c>
      <c r="G1576" s="45"/>
      <c r="H1576" s="43">
        <v>706</v>
      </c>
      <c r="I1576" s="325" t="s">
        <v>44</v>
      </c>
      <c r="J1576" s="255" t="str">
        <f>IF(ISBLANK(INDEX('Policy Characteristics'!D:D,MATCH($C1576,'Policy Characteristics'!$C:$C,0))),"",INDEX('Policy Characteristics'!D:D,MATCH($C1576,'Policy Characteristics'!$C:$C,0)))</f>
        <v>End Existing Subsidies</v>
      </c>
      <c r="K1576" s="254" t="str">
        <f>IF(ISBLANK(INDEX('Policy Characteristics'!E:E,MATCH($C1576,'Policy Characteristics'!$C:$C,0))),"",INDEX('Policy Characteristics'!E:E,MATCH($C1576,'Policy Characteristics'!$C:$C,0)))</f>
        <v>cross reduce BAU subsidies</v>
      </c>
      <c r="L1576" s="261">
        <f>IF(ISBLANK(INDEX('Policy Characteristics'!F:F,MATCH($C1576,'Policy Characteristics'!$C:$C,0))),"",INDEX('Policy Characteristics'!F:F,MATCH($C1576,'Policy Characteristics'!$C:$C,0)))</f>
        <v>0</v>
      </c>
      <c r="M1576" s="261">
        <f>IF(ISBLANK(INDEX('Policy Characteristics'!G:G,MATCH($C1576,'Policy Characteristics'!$C:$C,0))),"",INDEX('Policy Characteristics'!G:G,MATCH($C1576,'Policy Characteristics'!$C:$C,0)))</f>
        <v>1</v>
      </c>
      <c r="N1576" s="261">
        <f>IF(ISBLANK(INDEX('Policy Characteristics'!H:H,MATCH($C1576,'Policy Characteristics'!$C:$C,0))),"",INDEX('Policy Characteristics'!H:H,MATCH($C1576,'Policy Characteristics'!$C:$C,0)))</f>
        <v>0.01</v>
      </c>
      <c r="O1576" s="254" t="str">
        <f>IF(ISBLANK(INDEX('Policy Characteristics'!I:I,MATCH($C1576,'Policy Characteristics'!$C:$C,0))),"",INDEX('Policy Characteristics'!I:I,MATCH($C1576,'Policy Characteristics'!$C:$C,0)))</f>
        <v>% reduction in BAU subsidies</v>
      </c>
      <c r="P1576" s="254" t="str">
        <f>IF(ISBLANK(INDEX('Policy Characteristics'!J:J,MATCH($C1576,'Policy Characteristics'!$C:$C,0))),"",INDEX('Policy Characteristics'!J:J,MATCH($C1576,'Policy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6" s="254" t="str">
        <f>IF(ISBLANK(INDEX('Policy Characteristics'!K:K,MATCH($C1576,'Policy Characteristics'!$C:$C,0))),"",INDEX('Policy Characteristics'!K:K,MATCH($C1576,'Policy Characteristics'!$C:$C,0)))</f>
        <v>fuels.html#end-subsidies</v>
      </c>
      <c r="R1576" s="254" t="str">
        <f>IF(ISBLANK(INDEX('Policy Characteristics'!L:L,MATCH($C1576,'Policy Characteristics'!$C:$C,0))),"",INDEX('Policy Characteristics'!L:L,MATCH($C1576,'Policy Characteristics'!$C:$C,0)))</f>
        <v>end-existing-subsidies.html</v>
      </c>
    </row>
    <row r="1577" spans="1:18" s="4" customFormat="1" x14ac:dyDescent="0.3">
      <c r="A1577" s="254" t="str">
        <f>IF(ISBLANK(INDEX('Policy Characteristics'!A:A,MATCH($C1577,'Policy Characteristics'!$C:$C,0))),"",INDEX('Policy Characteristics'!A:A,MATCH($C1577,'Policy Characteristics'!$C:$C,0)))</f>
        <v>Cross-Sector</v>
      </c>
      <c r="B1577" s="262" t="str">
        <f>IF(ISBLANK(INDEX('Policy Characteristics'!B:B,MATCH($C1577,'Policy Characteristics'!$C:$C,0))),"",INDEX('Policy Characteristics'!B:B,MATCH($C1577,'Policy Characteristics'!$C:$C,0)))</f>
        <v>End Existing Subsidies</v>
      </c>
      <c r="C1577" s="254" t="str">
        <f t="shared" ref="C1577:C1592" si="59">C$1576</f>
        <v>Percent Reduction in BAU Subsidies</v>
      </c>
      <c r="D1577" s="6" t="s">
        <v>449</v>
      </c>
      <c r="E1577" s="45"/>
      <c r="F1577" s="6" t="s">
        <v>446</v>
      </c>
      <c r="G1577" s="45"/>
      <c r="H1577" s="43">
        <v>69</v>
      </c>
      <c r="I1577" s="325" t="s">
        <v>43</v>
      </c>
      <c r="J1577" s="255" t="str">
        <f>IF(ISBLANK(INDEX('Policy Characteristics'!D:D,MATCH($C1577,'Policy Characteristics'!$C:$C,0))),"",INDEX('Policy Characteristics'!D:D,MATCH($C1577,'Policy Characteristics'!$C:$C,0)))</f>
        <v>End Existing Subsidies</v>
      </c>
      <c r="K1577" s="254" t="str">
        <f>IF(ISBLANK(INDEX('Policy Characteristics'!E:E,MATCH($C1577,'Policy Characteristics'!$C:$C,0))),"",INDEX('Policy Characteristics'!E:E,MATCH($C1577,'Policy Characteristics'!$C:$C,0)))</f>
        <v>cross reduce BAU subsidies</v>
      </c>
      <c r="L1577" s="261">
        <f>IF(ISBLANK(INDEX('Policy Characteristics'!F:F,MATCH($C1577,'Policy Characteristics'!$C:$C,0))),"",INDEX('Policy Characteristics'!F:F,MATCH($C1577,'Policy Characteristics'!$C:$C,0)))</f>
        <v>0</v>
      </c>
      <c r="M1577" s="261">
        <f>IF(ISBLANK(INDEX('Policy Characteristics'!G:G,MATCH($C1577,'Policy Characteristics'!$C:$C,0))),"",INDEX('Policy Characteristics'!G:G,MATCH($C1577,'Policy Characteristics'!$C:$C,0)))</f>
        <v>1</v>
      </c>
      <c r="N1577" s="261">
        <f>IF(ISBLANK(INDEX('Policy Characteristics'!H:H,MATCH($C1577,'Policy Characteristics'!$C:$C,0))),"",INDEX('Policy Characteristics'!H:H,MATCH($C1577,'Policy Characteristics'!$C:$C,0)))</f>
        <v>0.01</v>
      </c>
      <c r="O1577" s="254" t="str">
        <f>IF(ISBLANK(INDEX('Policy Characteristics'!I:I,MATCH($C1577,'Policy Characteristics'!$C:$C,0))),"",INDEX('Policy Characteristics'!I:I,MATCH($C1577,'Policy Characteristics'!$C:$C,0)))</f>
        <v>% reduction in BAU subsidies</v>
      </c>
      <c r="P1577" s="254" t="str">
        <f>IF(ISBLANK(INDEX('Policy Characteristics'!J:J,MATCH($C1577,'Policy Characteristics'!$C:$C,0))),"",INDEX('Policy Characteristics'!J:J,MATCH($C1577,'Policy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7" s="254" t="str">
        <f>IF(ISBLANK(INDEX('Policy Characteristics'!K:K,MATCH($C1577,'Policy Characteristics'!$C:$C,0))),"",INDEX('Policy Characteristics'!K:K,MATCH($C1577,'Policy Characteristics'!$C:$C,0)))</f>
        <v>fuels.html#end-subsidies</v>
      </c>
      <c r="R1577" s="254" t="str">
        <f>IF(ISBLANK(INDEX('Policy Characteristics'!L:L,MATCH($C1577,'Policy Characteristics'!$C:$C,0))),"",INDEX('Policy Characteristics'!L:L,MATCH($C1577,'Policy Characteristics'!$C:$C,0)))</f>
        <v>end-existing-subsidies.html</v>
      </c>
    </row>
    <row r="1578" spans="1:18" s="4" customFormat="1" x14ac:dyDescent="0.3">
      <c r="A1578" s="254" t="str">
        <f>IF(ISBLANK(INDEX('Policy Characteristics'!A:A,MATCH($C1578,'Policy Characteristics'!$C:$C,0))),"",INDEX('Policy Characteristics'!A:A,MATCH($C1578,'Policy Characteristics'!$C:$C,0)))</f>
        <v>Cross-Sector</v>
      </c>
      <c r="B1578" s="262" t="str">
        <f>IF(ISBLANK(INDEX('Policy Characteristics'!B:B,MATCH($C1578,'Policy Characteristics'!$C:$C,0))),"",INDEX('Policy Characteristics'!B:B,MATCH($C1578,'Policy Characteristics'!$C:$C,0)))</f>
        <v>End Existing Subsidies</v>
      </c>
      <c r="C1578" s="254" t="str">
        <f t="shared" si="59"/>
        <v>Percent Reduction in BAU Subsidies</v>
      </c>
      <c r="D1578" s="6" t="s">
        <v>46</v>
      </c>
      <c r="E1578" s="45"/>
      <c r="F1578" s="6" t="s">
        <v>87</v>
      </c>
      <c r="G1578" s="45"/>
      <c r="H1578" s="43">
        <v>70</v>
      </c>
      <c r="I1578" s="325" t="s">
        <v>43</v>
      </c>
      <c r="J1578" s="255" t="str">
        <f>IF(ISBLANK(INDEX('Policy Characteristics'!D:D,MATCH($C1578,'Policy Characteristics'!$C:$C,0))),"",INDEX('Policy Characteristics'!D:D,MATCH($C1578,'Policy Characteristics'!$C:$C,0)))</f>
        <v>End Existing Subsidies</v>
      </c>
      <c r="K1578" s="254" t="str">
        <f>IF(ISBLANK(INDEX('Policy Characteristics'!E:E,MATCH($C1578,'Policy Characteristics'!$C:$C,0))),"",INDEX('Policy Characteristics'!E:E,MATCH($C1578,'Policy Characteristics'!$C:$C,0)))</f>
        <v>cross reduce BAU subsidies</v>
      </c>
      <c r="L1578" s="261">
        <f>IF(ISBLANK(INDEX('Policy Characteristics'!F:F,MATCH($C1578,'Policy Characteristics'!$C:$C,0))),"",INDEX('Policy Characteristics'!F:F,MATCH($C1578,'Policy Characteristics'!$C:$C,0)))</f>
        <v>0</v>
      </c>
      <c r="M1578" s="261">
        <f>IF(ISBLANK(INDEX('Policy Characteristics'!G:G,MATCH($C1578,'Policy Characteristics'!$C:$C,0))),"",INDEX('Policy Characteristics'!G:G,MATCH($C1578,'Policy Characteristics'!$C:$C,0)))</f>
        <v>1</v>
      </c>
      <c r="N1578" s="261">
        <f>IF(ISBLANK(INDEX('Policy Characteristics'!H:H,MATCH($C1578,'Policy Characteristics'!$C:$C,0))),"",INDEX('Policy Characteristics'!H:H,MATCH($C1578,'Policy Characteristics'!$C:$C,0)))</f>
        <v>0.01</v>
      </c>
      <c r="O1578" s="254" t="str">
        <f>IF(ISBLANK(INDEX('Policy Characteristics'!I:I,MATCH($C1578,'Policy Characteristics'!$C:$C,0))),"",INDEX('Policy Characteristics'!I:I,MATCH($C1578,'Policy Characteristics'!$C:$C,0)))</f>
        <v>% reduction in BAU subsidies</v>
      </c>
      <c r="P1578" s="254" t="str">
        <f>IF(ISBLANK(INDEX('Policy Characteristics'!J:J,MATCH($C1578,'Policy Characteristics'!$C:$C,0))),"",INDEX('Policy Characteristics'!J:J,MATCH($C1578,'Policy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8" s="254" t="str">
        <f>IF(ISBLANK(INDEX('Policy Characteristics'!K:K,MATCH($C1578,'Policy Characteristics'!$C:$C,0))),"",INDEX('Policy Characteristics'!K:K,MATCH($C1578,'Policy Characteristics'!$C:$C,0)))</f>
        <v>fuels.html#end-subsidies</v>
      </c>
      <c r="R1578" s="254" t="str">
        <f>IF(ISBLANK(INDEX('Policy Characteristics'!L:L,MATCH($C1578,'Policy Characteristics'!$C:$C,0))),"",INDEX('Policy Characteristics'!L:L,MATCH($C1578,'Policy Characteristics'!$C:$C,0)))</f>
        <v>end-existing-subsidies.html</v>
      </c>
    </row>
    <row r="1579" spans="1:18" s="4" customFormat="1" x14ac:dyDescent="0.3">
      <c r="A1579" s="254" t="str">
        <f>IF(ISBLANK(INDEX('Policy Characteristics'!A:A,MATCH($C1579,'Policy Characteristics'!$C:$C,0))),"",INDEX('Policy Characteristics'!A:A,MATCH($C1579,'Policy Characteristics'!$C:$C,0)))</f>
        <v>Cross-Sector</v>
      </c>
      <c r="B1579" s="262" t="str">
        <f>IF(ISBLANK(INDEX('Policy Characteristics'!B:B,MATCH($C1579,'Policy Characteristics'!$C:$C,0))),"",INDEX('Policy Characteristics'!B:B,MATCH($C1579,'Policy Characteristics'!$C:$C,0)))</f>
        <v>End Existing Subsidies</v>
      </c>
      <c r="C1579" s="254" t="str">
        <f t="shared" si="59"/>
        <v>Percent Reduction in BAU Subsidies</v>
      </c>
      <c r="D1579" s="6" t="s">
        <v>47</v>
      </c>
      <c r="E1579" s="45"/>
      <c r="F1579" s="6" t="s">
        <v>88</v>
      </c>
      <c r="G1579" s="45"/>
      <c r="H1579" s="43">
        <v>71</v>
      </c>
      <c r="I1579" s="325" t="s">
        <v>43</v>
      </c>
      <c r="J1579" s="255" t="str">
        <f>IF(ISBLANK(INDEX('Policy Characteristics'!D:D,MATCH($C1579,'Policy Characteristics'!$C:$C,0))),"",INDEX('Policy Characteristics'!D:D,MATCH($C1579,'Policy Characteristics'!$C:$C,0)))</f>
        <v>End Existing Subsidies</v>
      </c>
      <c r="K1579" s="254" t="str">
        <f>IF(ISBLANK(INDEX('Policy Characteristics'!E:E,MATCH($C1579,'Policy Characteristics'!$C:$C,0))),"",INDEX('Policy Characteristics'!E:E,MATCH($C1579,'Policy Characteristics'!$C:$C,0)))</f>
        <v>cross reduce BAU subsidies</v>
      </c>
      <c r="L1579" s="261">
        <f>IF(ISBLANK(INDEX('Policy Characteristics'!F:F,MATCH($C1579,'Policy Characteristics'!$C:$C,0))),"",INDEX('Policy Characteristics'!F:F,MATCH($C1579,'Policy Characteristics'!$C:$C,0)))</f>
        <v>0</v>
      </c>
      <c r="M1579" s="261">
        <f>IF(ISBLANK(INDEX('Policy Characteristics'!G:G,MATCH($C1579,'Policy Characteristics'!$C:$C,0))),"",INDEX('Policy Characteristics'!G:G,MATCH($C1579,'Policy Characteristics'!$C:$C,0)))</f>
        <v>1</v>
      </c>
      <c r="N1579" s="261">
        <f>IF(ISBLANK(INDEX('Policy Characteristics'!H:H,MATCH($C1579,'Policy Characteristics'!$C:$C,0))),"",INDEX('Policy Characteristics'!H:H,MATCH($C1579,'Policy Characteristics'!$C:$C,0)))</f>
        <v>0.01</v>
      </c>
      <c r="O1579" s="254" t="str">
        <f>IF(ISBLANK(INDEX('Policy Characteristics'!I:I,MATCH($C1579,'Policy Characteristics'!$C:$C,0))),"",INDEX('Policy Characteristics'!I:I,MATCH($C1579,'Policy Characteristics'!$C:$C,0)))</f>
        <v>% reduction in BAU subsidies</v>
      </c>
      <c r="P1579" s="254" t="str">
        <f>IF(ISBLANK(INDEX('Policy Characteristics'!J:J,MATCH($C1579,'Policy Characteristics'!$C:$C,0))),"",INDEX('Policy Characteristics'!J:J,MATCH($C1579,'Policy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79" s="254" t="str">
        <f>IF(ISBLANK(INDEX('Policy Characteristics'!K:K,MATCH($C1579,'Policy Characteristics'!$C:$C,0))),"",INDEX('Policy Characteristics'!K:K,MATCH($C1579,'Policy Characteristics'!$C:$C,0)))</f>
        <v>fuels.html#end-subsidies</v>
      </c>
      <c r="R1579" s="254" t="str">
        <f>IF(ISBLANK(INDEX('Policy Characteristics'!L:L,MATCH($C1579,'Policy Characteristics'!$C:$C,0))),"",INDEX('Policy Characteristics'!L:L,MATCH($C1579,'Policy Characteristics'!$C:$C,0)))</f>
        <v>end-existing-subsidies.html</v>
      </c>
    </row>
    <row r="1580" spans="1:18" s="4" customFormat="1" x14ac:dyDescent="0.3">
      <c r="A1580" s="254" t="str">
        <f>IF(ISBLANK(INDEX('Policy Characteristics'!A:A,MATCH($C1580,'Policy Characteristics'!$C:$C,0))),"",INDEX('Policy Characteristics'!A:A,MATCH($C1580,'Policy Characteristics'!$C:$C,0)))</f>
        <v>Cross-Sector</v>
      </c>
      <c r="B1580" s="262" t="str">
        <f>IF(ISBLANK(INDEX('Policy Characteristics'!B:B,MATCH($C1580,'Policy Characteristics'!$C:$C,0))),"",INDEX('Policy Characteristics'!B:B,MATCH($C1580,'Policy Characteristics'!$C:$C,0)))</f>
        <v>End Existing Subsidies</v>
      </c>
      <c r="C1580" s="254" t="str">
        <f t="shared" si="59"/>
        <v>Percent Reduction in BAU Subsidies</v>
      </c>
      <c r="D1580" s="6" t="s">
        <v>48</v>
      </c>
      <c r="E1580" s="45"/>
      <c r="F1580" s="6" t="s">
        <v>89</v>
      </c>
      <c r="G1580" s="45"/>
      <c r="H1580" s="43">
        <v>72</v>
      </c>
      <c r="I1580" s="325" t="s">
        <v>44</v>
      </c>
      <c r="J1580" s="255" t="str">
        <f>IF(ISBLANK(INDEX('Policy Characteristics'!D:D,MATCH($C1580,'Policy Characteristics'!$C:$C,0))),"",INDEX('Policy Characteristics'!D:D,MATCH($C1580,'Policy Characteristics'!$C:$C,0)))</f>
        <v>End Existing Subsidies</v>
      </c>
      <c r="K1580" s="254" t="str">
        <f>IF(ISBLANK(INDEX('Policy Characteristics'!E:E,MATCH($C1580,'Policy Characteristics'!$C:$C,0))),"",INDEX('Policy Characteristics'!E:E,MATCH($C1580,'Policy Characteristics'!$C:$C,0)))</f>
        <v>cross reduce BAU subsidies</v>
      </c>
      <c r="L1580" s="261">
        <f>IF(ISBLANK(INDEX('Policy Characteristics'!F:F,MATCH($C1580,'Policy Characteristics'!$C:$C,0))),"",INDEX('Policy Characteristics'!F:F,MATCH($C1580,'Policy Characteristics'!$C:$C,0)))</f>
        <v>0</v>
      </c>
      <c r="M1580" s="261">
        <f>IF(ISBLANK(INDEX('Policy Characteristics'!G:G,MATCH($C1580,'Policy Characteristics'!$C:$C,0))),"",INDEX('Policy Characteristics'!G:G,MATCH($C1580,'Policy Characteristics'!$C:$C,0)))</f>
        <v>1</v>
      </c>
      <c r="N1580" s="261">
        <f>IF(ISBLANK(INDEX('Policy Characteristics'!H:H,MATCH($C1580,'Policy Characteristics'!$C:$C,0))),"",INDEX('Policy Characteristics'!H:H,MATCH($C1580,'Policy Characteristics'!$C:$C,0)))</f>
        <v>0.01</v>
      </c>
      <c r="O1580" s="254" t="str">
        <f>IF(ISBLANK(INDEX('Policy Characteristics'!I:I,MATCH($C1580,'Policy Characteristics'!$C:$C,0))),"",INDEX('Policy Characteristics'!I:I,MATCH($C1580,'Policy Characteristics'!$C:$C,0)))</f>
        <v>% reduction in BAU subsidies</v>
      </c>
      <c r="P1580" s="254" t="str">
        <f>IF(ISBLANK(INDEX('Policy Characteristics'!J:J,MATCH($C1580,'Policy Characteristics'!$C:$C,0))),"",INDEX('Policy Characteristics'!J:J,MATCH($C1580,'Policy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0" s="254" t="str">
        <f>IF(ISBLANK(INDEX('Policy Characteristics'!K:K,MATCH($C1580,'Policy Characteristics'!$C:$C,0))),"",INDEX('Policy Characteristics'!K:K,MATCH($C1580,'Policy Characteristics'!$C:$C,0)))</f>
        <v>fuels.html#end-subsidies</v>
      </c>
      <c r="R1580" s="254" t="str">
        <f>IF(ISBLANK(INDEX('Policy Characteristics'!L:L,MATCH($C1580,'Policy Characteristics'!$C:$C,0))),"",INDEX('Policy Characteristics'!L:L,MATCH($C1580,'Policy Characteristics'!$C:$C,0)))</f>
        <v>end-existing-subsidies.html</v>
      </c>
    </row>
    <row r="1581" spans="1:18" s="4" customFormat="1" x14ac:dyDescent="0.3">
      <c r="A1581" s="254" t="str">
        <f>IF(ISBLANK(INDEX('Policy Characteristics'!A:A,MATCH($C1581,'Policy Characteristics'!$C:$C,0))),"",INDEX('Policy Characteristics'!A:A,MATCH($C1581,'Policy Characteristics'!$C:$C,0)))</f>
        <v>Cross-Sector</v>
      </c>
      <c r="B1581" s="262" t="str">
        <f>IF(ISBLANK(INDEX('Policy Characteristics'!B:B,MATCH($C1581,'Policy Characteristics'!$C:$C,0))),"",INDEX('Policy Characteristics'!B:B,MATCH($C1581,'Policy Characteristics'!$C:$C,0)))</f>
        <v>End Existing Subsidies</v>
      </c>
      <c r="C1581" s="254" t="str">
        <f t="shared" si="59"/>
        <v>Percent Reduction in BAU Subsidies</v>
      </c>
      <c r="D1581" s="6" t="s">
        <v>49</v>
      </c>
      <c r="E1581" s="45"/>
      <c r="F1581" s="6" t="s">
        <v>451</v>
      </c>
      <c r="G1581" s="45"/>
      <c r="H1581" s="43">
        <v>73</v>
      </c>
      <c r="I1581" s="325" t="s">
        <v>44</v>
      </c>
      <c r="J1581" s="255" t="str">
        <f>IF(ISBLANK(INDEX('Policy Characteristics'!D:D,MATCH($C1581,'Policy Characteristics'!$C:$C,0))),"",INDEX('Policy Characteristics'!D:D,MATCH($C1581,'Policy Characteristics'!$C:$C,0)))</f>
        <v>End Existing Subsidies</v>
      </c>
      <c r="K1581" s="254" t="str">
        <f>IF(ISBLANK(INDEX('Policy Characteristics'!E:E,MATCH($C1581,'Policy Characteristics'!$C:$C,0))),"",INDEX('Policy Characteristics'!E:E,MATCH($C1581,'Policy Characteristics'!$C:$C,0)))</f>
        <v>cross reduce BAU subsidies</v>
      </c>
      <c r="L1581" s="261">
        <f>IF(ISBLANK(INDEX('Policy Characteristics'!F:F,MATCH($C1581,'Policy Characteristics'!$C:$C,0))),"",INDEX('Policy Characteristics'!F:F,MATCH($C1581,'Policy Characteristics'!$C:$C,0)))</f>
        <v>0</v>
      </c>
      <c r="M1581" s="261">
        <f>IF(ISBLANK(INDEX('Policy Characteristics'!G:G,MATCH($C1581,'Policy Characteristics'!$C:$C,0))),"",INDEX('Policy Characteristics'!G:G,MATCH($C1581,'Policy Characteristics'!$C:$C,0)))</f>
        <v>1</v>
      </c>
      <c r="N1581" s="261">
        <f>IF(ISBLANK(INDEX('Policy Characteristics'!H:H,MATCH($C1581,'Policy Characteristics'!$C:$C,0))),"",INDEX('Policy Characteristics'!H:H,MATCH($C1581,'Policy Characteristics'!$C:$C,0)))</f>
        <v>0.01</v>
      </c>
      <c r="O1581" s="254" t="str">
        <f>IF(ISBLANK(INDEX('Policy Characteristics'!I:I,MATCH($C1581,'Policy Characteristics'!$C:$C,0))),"",INDEX('Policy Characteristics'!I:I,MATCH($C1581,'Policy Characteristics'!$C:$C,0)))</f>
        <v>% reduction in BAU subsidies</v>
      </c>
      <c r="P1581" s="254" t="str">
        <f>IF(ISBLANK(INDEX('Policy Characteristics'!J:J,MATCH($C1581,'Policy Characteristics'!$C:$C,0))),"",INDEX('Policy Characteristics'!J:J,MATCH($C1581,'Policy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1" s="254" t="str">
        <f>IF(ISBLANK(INDEX('Policy Characteristics'!K:K,MATCH($C1581,'Policy Characteristics'!$C:$C,0))),"",INDEX('Policy Characteristics'!K:K,MATCH($C1581,'Policy Characteristics'!$C:$C,0)))</f>
        <v>fuels.html#end-subsidies</v>
      </c>
      <c r="R1581" s="254" t="str">
        <f>IF(ISBLANK(INDEX('Policy Characteristics'!L:L,MATCH($C1581,'Policy Characteristics'!$C:$C,0))),"",INDEX('Policy Characteristics'!L:L,MATCH($C1581,'Policy Characteristics'!$C:$C,0)))</f>
        <v>end-existing-subsidies.html</v>
      </c>
    </row>
    <row r="1582" spans="1:18" s="4" customFormat="1" x14ac:dyDescent="0.3">
      <c r="A1582" s="254" t="str">
        <f>IF(ISBLANK(INDEX('Policy Characteristics'!A:A,MATCH($C1582,'Policy Characteristics'!$C:$C,0))),"",INDEX('Policy Characteristics'!A:A,MATCH($C1582,'Policy Characteristics'!$C:$C,0)))</f>
        <v>Cross-Sector</v>
      </c>
      <c r="B1582" s="262" t="str">
        <f>IF(ISBLANK(INDEX('Policy Characteristics'!B:B,MATCH($C1582,'Policy Characteristics'!$C:$C,0))),"",INDEX('Policy Characteristics'!B:B,MATCH($C1582,'Policy Characteristics'!$C:$C,0)))</f>
        <v>End Existing Subsidies</v>
      </c>
      <c r="C1582" s="254" t="str">
        <f t="shared" si="59"/>
        <v>Percent Reduction in BAU Subsidies</v>
      </c>
      <c r="D1582" s="6" t="s">
        <v>50</v>
      </c>
      <c r="E1582" s="45"/>
      <c r="F1582" s="6" t="s">
        <v>94</v>
      </c>
      <c r="G1582" s="45"/>
      <c r="H1582" s="43">
        <v>74</v>
      </c>
      <c r="I1582" s="325" t="s">
        <v>43</v>
      </c>
      <c r="J1582" s="255" t="str">
        <f>IF(ISBLANK(INDEX('Policy Characteristics'!D:D,MATCH($C1582,'Policy Characteristics'!$C:$C,0))),"",INDEX('Policy Characteristics'!D:D,MATCH($C1582,'Policy Characteristics'!$C:$C,0)))</f>
        <v>End Existing Subsidies</v>
      </c>
      <c r="K1582" s="254" t="str">
        <f>IF(ISBLANK(INDEX('Policy Characteristics'!E:E,MATCH($C1582,'Policy Characteristics'!$C:$C,0))),"",INDEX('Policy Characteristics'!E:E,MATCH($C1582,'Policy Characteristics'!$C:$C,0)))</f>
        <v>cross reduce BAU subsidies</v>
      </c>
      <c r="L1582" s="261">
        <f>IF(ISBLANK(INDEX('Policy Characteristics'!F:F,MATCH($C1582,'Policy Characteristics'!$C:$C,0))),"",INDEX('Policy Characteristics'!F:F,MATCH($C1582,'Policy Characteristics'!$C:$C,0)))</f>
        <v>0</v>
      </c>
      <c r="M1582" s="261">
        <f>IF(ISBLANK(INDEX('Policy Characteristics'!G:G,MATCH($C1582,'Policy Characteristics'!$C:$C,0))),"",INDEX('Policy Characteristics'!G:G,MATCH($C1582,'Policy Characteristics'!$C:$C,0)))</f>
        <v>1</v>
      </c>
      <c r="N1582" s="261">
        <f>IF(ISBLANK(INDEX('Policy Characteristics'!H:H,MATCH($C1582,'Policy Characteristics'!$C:$C,0))),"",INDEX('Policy Characteristics'!H:H,MATCH($C1582,'Policy Characteristics'!$C:$C,0)))</f>
        <v>0.01</v>
      </c>
      <c r="O1582" s="254" t="str">
        <f>IF(ISBLANK(INDEX('Policy Characteristics'!I:I,MATCH($C1582,'Policy Characteristics'!$C:$C,0))),"",INDEX('Policy Characteristics'!I:I,MATCH($C1582,'Policy Characteristics'!$C:$C,0)))</f>
        <v>% reduction in BAU subsidies</v>
      </c>
      <c r="P1582" s="254" t="str">
        <f>IF(ISBLANK(INDEX('Policy Characteristics'!J:J,MATCH($C1582,'Policy Characteristics'!$C:$C,0))),"",INDEX('Policy Characteristics'!J:J,MATCH($C1582,'Policy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2" s="254" t="str">
        <f>IF(ISBLANK(INDEX('Policy Characteristics'!K:K,MATCH($C1582,'Policy Characteristics'!$C:$C,0))),"",INDEX('Policy Characteristics'!K:K,MATCH($C1582,'Policy Characteristics'!$C:$C,0)))</f>
        <v>fuels.html#end-subsidies</v>
      </c>
      <c r="R1582" s="254" t="str">
        <f>IF(ISBLANK(INDEX('Policy Characteristics'!L:L,MATCH($C1582,'Policy Characteristics'!$C:$C,0))),"",INDEX('Policy Characteristics'!L:L,MATCH($C1582,'Policy Characteristics'!$C:$C,0)))</f>
        <v>end-existing-subsidies.html</v>
      </c>
    </row>
    <row r="1583" spans="1:18" s="4" customFormat="1" x14ac:dyDescent="0.3">
      <c r="A1583" s="254" t="str">
        <f>IF(ISBLANK(INDEX('Policy Characteristics'!A:A,MATCH($C1583,'Policy Characteristics'!$C:$C,0))),"",INDEX('Policy Characteristics'!A:A,MATCH($C1583,'Policy Characteristics'!$C:$C,0)))</f>
        <v>Cross-Sector</v>
      </c>
      <c r="B1583" s="262" t="str">
        <f>IF(ISBLANK(INDEX('Policy Characteristics'!B:B,MATCH($C1583,'Policy Characteristics'!$C:$C,0))),"",INDEX('Policy Characteristics'!B:B,MATCH($C1583,'Policy Characteristics'!$C:$C,0)))</f>
        <v>End Existing Subsidies</v>
      </c>
      <c r="C1583" s="254" t="str">
        <f t="shared" si="59"/>
        <v>Percent Reduction in BAU Subsidies</v>
      </c>
      <c r="D1583" s="6" t="s">
        <v>51</v>
      </c>
      <c r="E1583" s="45"/>
      <c r="F1583" s="6" t="s">
        <v>92</v>
      </c>
      <c r="G1583" s="45"/>
      <c r="H1583" s="43">
        <v>707</v>
      </c>
      <c r="I1583" s="325" t="s">
        <v>44</v>
      </c>
      <c r="J1583" s="255" t="str">
        <f>IF(ISBLANK(INDEX('Policy Characteristics'!D:D,MATCH($C1583,'Policy Characteristics'!$C:$C,0))),"",INDEX('Policy Characteristics'!D:D,MATCH($C1583,'Policy Characteristics'!$C:$C,0)))</f>
        <v>End Existing Subsidies</v>
      </c>
      <c r="K1583" s="254" t="str">
        <f>IF(ISBLANK(INDEX('Policy Characteristics'!E:E,MATCH($C1583,'Policy Characteristics'!$C:$C,0))),"",INDEX('Policy Characteristics'!E:E,MATCH($C1583,'Policy Characteristics'!$C:$C,0)))</f>
        <v>cross reduce BAU subsidies</v>
      </c>
      <c r="L1583" s="261">
        <f>IF(ISBLANK(INDEX('Policy Characteristics'!F:F,MATCH($C1583,'Policy Characteristics'!$C:$C,0))),"",INDEX('Policy Characteristics'!F:F,MATCH($C1583,'Policy Characteristics'!$C:$C,0)))</f>
        <v>0</v>
      </c>
      <c r="M1583" s="261">
        <f>IF(ISBLANK(INDEX('Policy Characteristics'!G:G,MATCH($C1583,'Policy Characteristics'!$C:$C,0))),"",INDEX('Policy Characteristics'!G:G,MATCH($C1583,'Policy Characteristics'!$C:$C,0)))</f>
        <v>1</v>
      </c>
      <c r="N1583" s="261">
        <f>IF(ISBLANK(INDEX('Policy Characteristics'!H:H,MATCH($C1583,'Policy Characteristics'!$C:$C,0))),"",INDEX('Policy Characteristics'!H:H,MATCH($C1583,'Policy Characteristics'!$C:$C,0)))</f>
        <v>0.01</v>
      </c>
      <c r="O1583" s="254" t="str">
        <f>IF(ISBLANK(INDEX('Policy Characteristics'!I:I,MATCH($C1583,'Policy Characteristics'!$C:$C,0))),"",INDEX('Policy Characteristics'!I:I,MATCH($C1583,'Policy Characteristics'!$C:$C,0)))</f>
        <v>% reduction in BAU subsidies</v>
      </c>
      <c r="P1583" s="254" t="str">
        <f>IF(ISBLANK(INDEX('Policy Characteristics'!J:J,MATCH($C1583,'Policy Characteristics'!$C:$C,0))),"",INDEX('Policy Characteristics'!J:J,MATCH($C1583,'Policy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3" s="254" t="str">
        <f>IF(ISBLANK(INDEX('Policy Characteristics'!K:K,MATCH($C1583,'Policy Characteristics'!$C:$C,0))),"",INDEX('Policy Characteristics'!K:K,MATCH($C1583,'Policy Characteristics'!$C:$C,0)))</f>
        <v>fuels.html#end-subsidies</v>
      </c>
      <c r="R1583" s="254" t="str">
        <f>IF(ISBLANK(INDEX('Policy Characteristics'!L:L,MATCH($C1583,'Policy Characteristics'!$C:$C,0))),"",INDEX('Policy Characteristics'!L:L,MATCH($C1583,'Policy Characteristics'!$C:$C,0)))</f>
        <v>end-existing-subsidies.html</v>
      </c>
    </row>
    <row r="1584" spans="1:18" s="4" customFormat="1" x14ac:dyDescent="0.3">
      <c r="A1584" s="254" t="str">
        <f>IF(ISBLANK(INDEX('Policy Characteristics'!A:A,MATCH($C1584,'Policy Characteristics'!$C:$C,0))),"",INDEX('Policy Characteristics'!A:A,MATCH($C1584,'Policy Characteristics'!$C:$C,0)))</f>
        <v>Cross-Sector</v>
      </c>
      <c r="B1584" s="262" t="str">
        <f>IF(ISBLANK(INDEX('Policy Characteristics'!B:B,MATCH($C1584,'Policy Characteristics'!$C:$C,0))),"",INDEX('Policy Characteristics'!B:B,MATCH($C1584,'Policy Characteristics'!$C:$C,0)))</f>
        <v>End Existing Subsidies</v>
      </c>
      <c r="C1584" s="254" t="str">
        <f t="shared" si="59"/>
        <v>Percent Reduction in BAU Subsidies</v>
      </c>
      <c r="D1584" s="6" t="s">
        <v>53</v>
      </c>
      <c r="E1584" s="45"/>
      <c r="F1584" s="6" t="s">
        <v>95</v>
      </c>
      <c r="G1584" s="45"/>
      <c r="H1584" s="43">
        <v>75</v>
      </c>
      <c r="I1584" s="325" t="s">
        <v>43</v>
      </c>
      <c r="J1584" s="255" t="str">
        <f>IF(ISBLANK(INDEX('Policy Characteristics'!D:D,MATCH($C1584,'Policy Characteristics'!$C:$C,0))),"",INDEX('Policy Characteristics'!D:D,MATCH($C1584,'Policy Characteristics'!$C:$C,0)))</f>
        <v>End Existing Subsidies</v>
      </c>
      <c r="K1584" s="254" t="str">
        <f>IF(ISBLANK(INDEX('Policy Characteristics'!E:E,MATCH($C1584,'Policy Characteristics'!$C:$C,0))),"",INDEX('Policy Characteristics'!E:E,MATCH($C1584,'Policy Characteristics'!$C:$C,0)))</f>
        <v>cross reduce BAU subsidies</v>
      </c>
      <c r="L1584" s="261">
        <f>IF(ISBLANK(INDEX('Policy Characteristics'!F:F,MATCH($C1584,'Policy Characteristics'!$C:$C,0))),"",INDEX('Policy Characteristics'!F:F,MATCH($C1584,'Policy Characteristics'!$C:$C,0)))</f>
        <v>0</v>
      </c>
      <c r="M1584" s="261">
        <f>IF(ISBLANK(INDEX('Policy Characteristics'!G:G,MATCH($C1584,'Policy Characteristics'!$C:$C,0))),"",INDEX('Policy Characteristics'!G:G,MATCH($C1584,'Policy Characteristics'!$C:$C,0)))</f>
        <v>1</v>
      </c>
      <c r="N1584" s="261">
        <f>IF(ISBLANK(INDEX('Policy Characteristics'!H:H,MATCH($C1584,'Policy Characteristics'!$C:$C,0))),"",INDEX('Policy Characteristics'!H:H,MATCH($C1584,'Policy Characteristics'!$C:$C,0)))</f>
        <v>0.01</v>
      </c>
      <c r="O1584" s="254" t="str">
        <f>IF(ISBLANK(INDEX('Policy Characteristics'!I:I,MATCH($C1584,'Policy Characteristics'!$C:$C,0))),"",INDEX('Policy Characteristics'!I:I,MATCH($C1584,'Policy Characteristics'!$C:$C,0)))</f>
        <v>% reduction in BAU subsidies</v>
      </c>
      <c r="P1584" s="254" t="str">
        <f>IF(ISBLANK(INDEX('Policy Characteristics'!J:J,MATCH($C1584,'Policy Characteristics'!$C:$C,0))),"",INDEX('Policy Characteristics'!J:J,MATCH($C1584,'Policy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4" s="254" t="str">
        <f>IF(ISBLANK(INDEX('Policy Characteristics'!K:K,MATCH($C1584,'Policy Characteristics'!$C:$C,0))),"",INDEX('Policy Characteristics'!K:K,MATCH($C1584,'Policy Characteristics'!$C:$C,0)))</f>
        <v>fuels.html#end-subsidies</v>
      </c>
      <c r="R1584" s="254" t="str">
        <f>IF(ISBLANK(INDEX('Policy Characteristics'!L:L,MATCH($C1584,'Policy Characteristics'!$C:$C,0))),"",INDEX('Policy Characteristics'!L:L,MATCH($C1584,'Policy Characteristics'!$C:$C,0)))</f>
        <v>end-existing-subsidies.html</v>
      </c>
    </row>
    <row r="1585" spans="1:18" s="4" customFormat="1" x14ac:dyDescent="0.3">
      <c r="A1585" s="254" t="str">
        <f>IF(ISBLANK(INDEX('Policy Characteristics'!A:A,MATCH($C1585,'Policy Characteristics'!$C:$C,0))),"",INDEX('Policy Characteristics'!A:A,MATCH($C1585,'Policy Characteristics'!$C:$C,0)))</f>
        <v>Cross-Sector</v>
      </c>
      <c r="B1585" s="262" t="str">
        <f>IF(ISBLANK(INDEX('Policy Characteristics'!B:B,MATCH($C1585,'Policy Characteristics'!$C:$C,0))),"",INDEX('Policy Characteristics'!B:B,MATCH($C1585,'Policy Characteristics'!$C:$C,0)))</f>
        <v>End Existing Subsidies</v>
      </c>
      <c r="C1585" s="254" t="str">
        <f t="shared" si="59"/>
        <v>Percent Reduction in BAU Subsidies</v>
      </c>
      <c r="D1585" s="6" t="s">
        <v>54</v>
      </c>
      <c r="E1585" s="45"/>
      <c r="F1585" s="6" t="s">
        <v>96</v>
      </c>
      <c r="G1585" s="45"/>
      <c r="H1585" s="43">
        <v>76</v>
      </c>
      <c r="I1585" s="325" t="s">
        <v>43</v>
      </c>
      <c r="J1585" s="255" t="str">
        <f>IF(ISBLANK(INDEX('Policy Characteristics'!D:D,MATCH($C1585,'Policy Characteristics'!$C:$C,0))),"",INDEX('Policy Characteristics'!D:D,MATCH($C1585,'Policy Characteristics'!$C:$C,0)))</f>
        <v>End Existing Subsidies</v>
      </c>
      <c r="K1585" s="254" t="str">
        <f>IF(ISBLANK(INDEX('Policy Characteristics'!E:E,MATCH($C1585,'Policy Characteristics'!$C:$C,0))),"",INDEX('Policy Characteristics'!E:E,MATCH($C1585,'Policy Characteristics'!$C:$C,0)))</f>
        <v>cross reduce BAU subsidies</v>
      </c>
      <c r="L1585" s="261">
        <f>IF(ISBLANK(INDEX('Policy Characteristics'!F:F,MATCH($C1585,'Policy Characteristics'!$C:$C,0))),"",INDEX('Policy Characteristics'!F:F,MATCH($C1585,'Policy Characteristics'!$C:$C,0)))</f>
        <v>0</v>
      </c>
      <c r="M1585" s="261">
        <f>IF(ISBLANK(INDEX('Policy Characteristics'!G:G,MATCH($C1585,'Policy Characteristics'!$C:$C,0))),"",INDEX('Policy Characteristics'!G:G,MATCH($C1585,'Policy Characteristics'!$C:$C,0)))</f>
        <v>1</v>
      </c>
      <c r="N1585" s="261">
        <f>IF(ISBLANK(INDEX('Policy Characteristics'!H:H,MATCH($C1585,'Policy Characteristics'!$C:$C,0))),"",INDEX('Policy Characteristics'!H:H,MATCH($C1585,'Policy Characteristics'!$C:$C,0)))</f>
        <v>0.01</v>
      </c>
      <c r="O1585" s="254" t="str">
        <f>IF(ISBLANK(INDEX('Policy Characteristics'!I:I,MATCH($C1585,'Policy Characteristics'!$C:$C,0))),"",INDEX('Policy Characteristics'!I:I,MATCH($C1585,'Policy Characteristics'!$C:$C,0)))</f>
        <v>% reduction in BAU subsidies</v>
      </c>
      <c r="P1585" s="254" t="str">
        <f>IF(ISBLANK(INDEX('Policy Characteristics'!J:J,MATCH($C1585,'Policy Characteristics'!$C:$C,0))),"",INDEX('Policy Characteristics'!J:J,MATCH($C1585,'Policy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5" s="254" t="str">
        <f>IF(ISBLANK(INDEX('Policy Characteristics'!K:K,MATCH($C1585,'Policy Characteristics'!$C:$C,0))),"",INDEX('Policy Characteristics'!K:K,MATCH($C1585,'Policy Characteristics'!$C:$C,0)))</f>
        <v>fuels.html#end-subsidies</v>
      </c>
      <c r="R1585" s="254" t="str">
        <f>IF(ISBLANK(INDEX('Policy Characteristics'!L:L,MATCH($C1585,'Policy Characteristics'!$C:$C,0))),"",INDEX('Policy Characteristics'!L:L,MATCH($C1585,'Policy Characteristics'!$C:$C,0)))</f>
        <v>end-existing-subsidies.html</v>
      </c>
    </row>
    <row r="1586" spans="1:18" s="4" customFormat="1" x14ac:dyDescent="0.3">
      <c r="A1586" s="254" t="str">
        <f>IF(ISBLANK(INDEX('Policy Characteristics'!A:A,MATCH($C1586,'Policy Characteristics'!$C:$C,0))),"",INDEX('Policy Characteristics'!A:A,MATCH($C1586,'Policy Characteristics'!$C:$C,0)))</f>
        <v>Cross-Sector</v>
      </c>
      <c r="B1586" s="262" t="str">
        <f>IF(ISBLANK(INDEX('Policy Characteristics'!B:B,MATCH($C1586,'Policy Characteristics'!$C:$C,0))),"",INDEX('Policy Characteristics'!B:B,MATCH($C1586,'Policy Characteristics'!$C:$C,0)))</f>
        <v>End Existing Subsidies</v>
      </c>
      <c r="C1586" s="254" t="str">
        <f t="shared" si="59"/>
        <v>Percent Reduction in BAU Subsidies</v>
      </c>
      <c r="D1586" s="6" t="s">
        <v>55</v>
      </c>
      <c r="E1586" s="45"/>
      <c r="F1586" s="6" t="s">
        <v>97</v>
      </c>
      <c r="G1586" s="45"/>
      <c r="H1586" s="43">
        <v>708</v>
      </c>
      <c r="I1586" s="325" t="s">
        <v>44</v>
      </c>
      <c r="J1586" s="255" t="str">
        <f>IF(ISBLANK(INDEX('Policy Characteristics'!D:D,MATCH($C1586,'Policy Characteristics'!$C:$C,0))),"",INDEX('Policy Characteristics'!D:D,MATCH($C1586,'Policy Characteristics'!$C:$C,0)))</f>
        <v>End Existing Subsidies</v>
      </c>
      <c r="K1586" s="254" t="str">
        <f>IF(ISBLANK(INDEX('Policy Characteristics'!E:E,MATCH($C1586,'Policy Characteristics'!$C:$C,0))),"",INDEX('Policy Characteristics'!E:E,MATCH($C1586,'Policy Characteristics'!$C:$C,0)))</f>
        <v>cross reduce BAU subsidies</v>
      </c>
      <c r="L1586" s="261">
        <f>IF(ISBLANK(INDEX('Policy Characteristics'!F:F,MATCH($C1586,'Policy Characteristics'!$C:$C,0))),"",INDEX('Policy Characteristics'!F:F,MATCH($C1586,'Policy Characteristics'!$C:$C,0)))</f>
        <v>0</v>
      </c>
      <c r="M1586" s="261">
        <f>IF(ISBLANK(INDEX('Policy Characteristics'!G:G,MATCH($C1586,'Policy Characteristics'!$C:$C,0))),"",INDEX('Policy Characteristics'!G:G,MATCH($C1586,'Policy Characteristics'!$C:$C,0)))</f>
        <v>1</v>
      </c>
      <c r="N1586" s="261">
        <f>IF(ISBLANK(INDEX('Policy Characteristics'!H:H,MATCH($C1586,'Policy Characteristics'!$C:$C,0))),"",INDEX('Policy Characteristics'!H:H,MATCH($C1586,'Policy Characteristics'!$C:$C,0)))</f>
        <v>0.01</v>
      </c>
      <c r="O1586" s="254" t="str">
        <f>IF(ISBLANK(INDEX('Policy Characteristics'!I:I,MATCH($C1586,'Policy Characteristics'!$C:$C,0))),"",INDEX('Policy Characteristics'!I:I,MATCH($C1586,'Policy Characteristics'!$C:$C,0)))</f>
        <v>% reduction in BAU subsidies</v>
      </c>
      <c r="P1586" s="254" t="str">
        <f>IF(ISBLANK(INDEX('Policy Characteristics'!J:J,MATCH($C1586,'Policy Characteristics'!$C:$C,0))),"",INDEX('Policy Characteristics'!J:J,MATCH($C1586,'Policy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6" s="254" t="str">
        <f>IF(ISBLANK(INDEX('Policy Characteristics'!K:K,MATCH($C1586,'Policy Characteristics'!$C:$C,0))),"",INDEX('Policy Characteristics'!K:K,MATCH($C1586,'Policy Characteristics'!$C:$C,0)))</f>
        <v>fuels.html#end-subsidies</v>
      </c>
      <c r="R1586" s="254" t="str">
        <f>IF(ISBLANK(INDEX('Policy Characteristics'!L:L,MATCH($C1586,'Policy Characteristics'!$C:$C,0))),"",INDEX('Policy Characteristics'!L:L,MATCH($C1586,'Policy Characteristics'!$C:$C,0)))</f>
        <v>end-existing-subsidies.html</v>
      </c>
    </row>
    <row r="1587" spans="1:18" s="4" customFormat="1" x14ac:dyDescent="0.3">
      <c r="A1587" s="254" t="str">
        <f>IF(ISBLANK(INDEX('Policy Characteristics'!A:A,MATCH($C1587,'Policy Characteristics'!$C:$C,0))),"",INDEX('Policy Characteristics'!A:A,MATCH($C1587,'Policy Characteristics'!$C:$C,0)))</f>
        <v>Cross-Sector</v>
      </c>
      <c r="B1587" s="262" t="str">
        <f>IF(ISBLANK(INDEX('Policy Characteristics'!B:B,MATCH($C1587,'Policy Characteristics'!$C:$C,0))),"",INDEX('Policy Characteristics'!B:B,MATCH($C1587,'Policy Characteristics'!$C:$C,0)))</f>
        <v>End Existing Subsidies</v>
      </c>
      <c r="C1587" s="254" t="str">
        <f t="shared" si="59"/>
        <v>Percent Reduction in BAU Subsidies</v>
      </c>
      <c r="D1587" s="6" t="s">
        <v>56</v>
      </c>
      <c r="E1587" s="45"/>
      <c r="F1587" s="6" t="s">
        <v>98</v>
      </c>
      <c r="G1587" s="45"/>
      <c r="H1587" s="43">
        <v>709</v>
      </c>
      <c r="I1587" s="325" t="s">
        <v>44</v>
      </c>
      <c r="J1587" s="255" t="str">
        <f>IF(ISBLANK(INDEX('Policy Characteristics'!D:D,MATCH($C1587,'Policy Characteristics'!$C:$C,0))),"",INDEX('Policy Characteristics'!D:D,MATCH($C1587,'Policy Characteristics'!$C:$C,0)))</f>
        <v>End Existing Subsidies</v>
      </c>
      <c r="K1587" s="254" t="str">
        <f>IF(ISBLANK(INDEX('Policy Characteristics'!E:E,MATCH($C1587,'Policy Characteristics'!$C:$C,0))),"",INDEX('Policy Characteristics'!E:E,MATCH($C1587,'Policy Characteristics'!$C:$C,0)))</f>
        <v>cross reduce BAU subsidies</v>
      </c>
      <c r="L1587" s="261">
        <f>IF(ISBLANK(INDEX('Policy Characteristics'!F:F,MATCH($C1587,'Policy Characteristics'!$C:$C,0))),"",INDEX('Policy Characteristics'!F:F,MATCH($C1587,'Policy Characteristics'!$C:$C,0)))</f>
        <v>0</v>
      </c>
      <c r="M1587" s="261">
        <f>IF(ISBLANK(INDEX('Policy Characteristics'!G:G,MATCH($C1587,'Policy Characteristics'!$C:$C,0))),"",INDEX('Policy Characteristics'!G:G,MATCH($C1587,'Policy Characteristics'!$C:$C,0)))</f>
        <v>1</v>
      </c>
      <c r="N1587" s="261">
        <f>IF(ISBLANK(INDEX('Policy Characteristics'!H:H,MATCH($C1587,'Policy Characteristics'!$C:$C,0))),"",INDEX('Policy Characteristics'!H:H,MATCH($C1587,'Policy Characteristics'!$C:$C,0)))</f>
        <v>0.01</v>
      </c>
      <c r="O1587" s="254" t="str">
        <f>IF(ISBLANK(INDEX('Policy Characteristics'!I:I,MATCH($C1587,'Policy Characteristics'!$C:$C,0))),"",INDEX('Policy Characteristics'!I:I,MATCH($C1587,'Policy Characteristics'!$C:$C,0)))</f>
        <v>% reduction in BAU subsidies</v>
      </c>
      <c r="P1587" s="254" t="str">
        <f>IF(ISBLANK(INDEX('Policy Characteristics'!J:J,MATCH($C1587,'Policy Characteristics'!$C:$C,0))),"",INDEX('Policy Characteristics'!J:J,MATCH($C1587,'Policy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7" s="254" t="str">
        <f>IF(ISBLANK(INDEX('Policy Characteristics'!K:K,MATCH($C1587,'Policy Characteristics'!$C:$C,0))),"",INDEX('Policy Characteristics'!K:K,MATCH($C1587,'Policy Characteristics'!$C:$C,0)))</f>
        <v>fuels.html#end-subsidies</v>
      </c>
      <c r="R1587" s="254" t="str">
        <f>IF(ISBLANK(INDEX('Policy Characteristics'!L:L,MATCH($C1587,'Policy Characteristics'!$C:$C,0))),"",INDEX('Policy Characteristics'!L:L,MATCH($C1587,'Policy Characteristics'!$C:$C,0)))</f>
        <v>end-existing-subsidies.html</v>
      </c>
    </row>
    <row r="1588" spans="1:18" s="4" customFormat="1" x14ac:dyDescent="0.3">
      <c r="A1588" s="254" t="str">
        <f>IF(ISBLANK(INDEX('Policy Characteristics'!A:A,MATCH($C1588,'Policy Characteristics'!$C:$C,0))),"",INDEX('Policy Characteristics'!A:A,MATCH($C1588,'Policy Characteristics'!$C:$C,0)))</f>
        <v>Cross-Sector</v>
      </c>
      <c r="B1588" s="262" t="str">
        <f>IF(ISBLANK(INDEX('Policy Characteristics'!B:B,MATCH($C1588,'Policy Characteristics'!$C:$C,0))),"",INDEX('Policy Characteristics'!B:B,MATCH($C1588,'Policy Characteristics'!$C:$C,0)))</f>
        <v>End Existing Subsidies</v>
      </c>
      <c r="C1588" s="254" t="str">
        <f t="shared" si="59"/>
        <v>Percent Reduction in BAU Subsidies</v>
      </c>
      <c r="D1588" s="6" t="s">
        <v>2473</v>
      </c>
      <c r="E1588" s="45"/>
      <c r="F1588" s="6" t="s">
        <v>2474</v>
      </c>
      <c r="G1588" s="45"/>
      <c r="H1588" s="43">
        <v>710</v>
      </c>
      <c r="I1588" s="325" t="s">
        <v>44</v>
      </c>
      <c r="J1588" s="255" t="str">
        <f>IF(ISBLANK(INDEX('Policy Characteristics'!D:D,MATCH($C1588,'Policy Characteristics'!$C:$C,0))),"",INDEX('Policy Characteristics'!D:D,MATCH($C1588,'Policy Characteristics'!$C:$C,0)))</f>
        <v>End Existing Subsidies</v>
      </c>
      <c r="K1588" s="254" t="str">
        <f>IF(ISBLANK(INDEX('Policy Characteristics'!E:E,MATCH($C1588,'Policy Characteristics'!$C:$C,0))),"",INDEX('Policy Characteristics'!E:E,MATCH($C1588,'Policy Characteristics'!$C:$C,0)))</f>
        <v>cross reduce BAU subsidies</v>
      </c>
      <c r="L1588" s="261">
        <f>IF(ISBLANK(INDEX('Policy Characteristics'!F:F,MATCH($C1588,'Policy Characteristics'!$C:$C,0))),"",INDEX('Policy Characteristics'!F:F,MATCH($C1588,'Policy Characteristics'!$C:$C,0)))</f>
        <v>0</v>
      </c>
      <c r="M1588" s="261">
        <f>IF(ISBLANK(INDEX('Policy Characteristics'!G:G,MATCH($C1588,'Policy Characteristics'!$C:$C,0))),"",INDEX('Policy Characteristics'!G:G,MATCH($C1588,'Policy Characteristics'!$C:$C,0)))</f>
        <v>1</v>
      </c>
      <c r="N1588" s="261">
        <f>IF(ISBLANK(INDEX('Policy Characteristics'!H:H,MATCH($C1588,'Policy Characteristics'!$C:$C,0))),"",INDEX('Policy Characteristics'!H:H,MATCH($C1588,'Policy Characteristics'!$C:$C,0)))</f>
        <v>0.01</v>
      </c>
      <c r="O1588" s="254" t="str">
        <f>IF(ISBLANK(INDEX('Policy Characteristics'!I:I,MATCH($C1588,'Policy Characteristics'!$C:$C,0))),"",INDEX('Policy Characteristics'!I:I,MATCH($C1588,'Policy Characteristics'!$C:$C,0)))</f>
        <v>% reduction in BAU subsidies</v>
      </c>
      <c r="P1588" s="254" t="str">
        <f>IF(ISBLANK(INDEX('Policy Characteristics'!J:J,MATCH($C1588,'Policy Characteristics'!$C:$C,0))),"",INDEX('Policy Characteristics'!J:J,MATCH($C1588,'Policy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8" s="254" t="str">
        <f>IF(ISBLANK(INDEX('Policy Characteristics'!K:K,MATCH($C1588,'Policy Characteristics'!$C:$C,0))),"",INDEX('Policy Characteristics'!K:K,MATCH($C1588,'Policy Characteristics'!$C:$C,0)))</f>
        <v>fuels.html#end-subsidies</v>
      </c>
      <c r="R1588" s="254" t="str">
        <f>IF(ISBLANK(INDEX('Policy Characteristics'!L:L,MATCH($C1588,'Policy Characteristics'!$C:$C,0))),"",INDEX('Policy Characteristics'!L:L,MATCH($C1588,'Policy Characteristics'!$C:$C,0)))</f>
        <v>end-existing-subsidies.html</v>
      </c>
    </row>
    <row r="1589" spans="1:18" s="4" customFormat="1" x14ac:dyDescent="0.3">
      <c r="A1589" s="254" t="str">
        <f>IF(ISBLANK(INDEX('Policy Characteristics'!A:A,MATCH($C1589,'Policy Characteristics'!$C:$C,0))),"",INDEX('Policy Characteristics'!A:A,MATCH($C1589,'Policy Characteristics'!$C:$C,0)))</f>
        <v>Cross-Sector</v>
      </c>
      <c r="B1589" s="262" t="str">
        <f>IF(ISBLANK(INDEX('Policy Characteristics'!B:B,MATCH($C1589,'Policy Characteristics'!$C:$C,0))),"",INDEX('Policy Characteristics'!B:B,MATCH($C1589,'Policy Characteristics'!$C:$C,0)))</f>
        <v>End Existing Subsidies</v>
      </c>
      <c r="C1589" s="254" t="str">
        <f t="shared" si="59"/>
        <v>Percent Reduction in BAU Subsidies</v>
      </c>
      <c r="D1589" s="6" t="s">
        <v>75</v>
      </c>
      <c r="E1589" s="45"/>
      <c r="F1589" s="6" t="s">
        <v>99</v>
      </c>
      <c r="G1589" s="45"/>
      <c r="H1589" s="43">
        <v>711</v>
      </c>
      <c r="I1589" s="325" t="s">
        <v>44</v>
      </c>
      <c r="J1589" s="255" t="str">
        <f>IF(ISBLANK(INDEX('Policy Characteristics'!D:D,MATCH($C1589,'Policy Characteristics'!$C:$C,0))),"",INDEX('Policy Characteristics'!D:D,MATCH($C1589,'Policy Characteristics'!$C:$C,0)))</f>
        <v>End Existing Subsidies</v>
      </c>
      <c r="K1589" s="254" t="str">
        <f>IF(ISBLANK(INDEX('Policy Characteristics'!E:E,MATCH($C1589,'Policy Characteristics'!$C:$C,0))),"",INDEX('Policy Characteristics'!E:E,MATCH($C1589,'Policy Characteristics'!$C:$C,0)))</f>
        <v>cross reduce BAU subsidies</v>
      </c>
      <c r="L1589" s="261">
        <f>IF(ISBLANK(INDEX('Policy Characteristics'!F:F,MATCH($C1589,'Policy Characteristics'!$C:$C,0))),"",INDEX('Policy Characteristics'!F:F,MATCH($C1589,'Policy Characteristics'!$C:$C,0)))</f>
        <v>0</v>
      </c>
      <c r="M1589" s="261">
        <f>IF(ISBLANK(INDEX('Policy Characteristics'!G:G,MATCH($C1589,'Policy Characteristics'!$C:$C,0))),"",INDEX('Policy Characteristics'!G:G,MATCH($C1589,'Policy Characteristics'!$C:$C,0)))</f>
        <v>1</v>
      </c>
      <c r="N1589" s="261">
        <f>IF(ISBLANK(INDEX('Policy Characteristics'!H:H,MATCH($C1589,'Policy Characteristics'!$C:$C,0))),"",INDEX('Policy Characteristics'!H:H,MATCH($C1589,'Policy Characteristics'!$C:$C,0)))</f>
        <v>0.01</v>
      </c>
      <c r="O1589" s="254" t="str">
        <f>IF(ISBLANK(INDEX('Policy Characteristics'!I:I,MATCH($C1589,'Policy Characteristics'!$C:$C,0))),"",INDEX('Policy Characteristics'!I:I,MATCH($C1589,'Policy Characteristics'!$C:$C,0)))</f>
        <v>% reduction in BAU subsidies</v>
      </c>
      <c r="P1589" s="254" t="str">
        <f>IF(ISBLANK(INDEX('Policy Characteristics'!J:J,MATCH($C1589,'Policy Characteristics'!$C:$C,0))),"",INDEX('Policy Characteristics'!J:J,MATCH($C1589,'Policy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89" s="254" t="str">
        <f>IF(ISBLANK(INDEX('Policy Characteristics'!K:K,MATCH($C1589,'Policy Characteristics'!$C:$C,0))),"",INDEX('Policy Characteristics'!K:K,MATCH($C1589,'Policy Characteristics'!$C:$C,0)))</f>
        <v>fuels.html#end-subsidies</v>
      </c>
      <c r="R1589" s="254" t="str">
        <f>IF(ISBLANK(INDEX('Policy Characteristics'!L:L,MATCH($C1589,'Policy Characteristics'!$C:$C,0))),"",INDEX('Policy Characteristics'!L:L,MATCH($C1589,'Policy Characteristics'!$C:$C,0)))</f>
        <v>end-existing-subsidies.html</v>
      </c>
    </row>
    <row r="1590" spans="1:18" s="4" customFormat="1" x14ac:dyDescent="0.3">
      <c r="A1590" s="254" t="str">
        <f>IF(ISBLANK(INDEX('Policy Characteristics'!A:A,MATCH($C1590,'Policy Characteristics'!$C:$C,0))),"",INDEX('Policy Characteristics'!A:A,MATCH($C1590,'Policy Characteristics'!$C:$C,0)))</f>
        <v>Cross-Sector</v>
      </c>
      <c r="B1590" s="262" t="str">
        <f>IF(ISBLANK(INDEX('Policy Characteristics'!B:B,MATCH($C1590,'Policy Characteristics'!$C:$C,0))),"",INDEX('Policy Characteristics'!B:B,MATCH($C1590,'Policy Characteristics'!$C:$C,0)))</f>
        <v>End Existing Subsidies</v>
      </c>
      <c r="C1590" s="254" t="str">
        <f t="shared" si="59"/>
        <v>Percent Reduction in BAU Subsidies</v>
      </c>
      <c r="D1590" s="6" t="s">
        <v>435</v>
      </c>
      <c r="E1590" s="45"/>
      <c r="F1590" s="6" t="s">
        <v>436</v>
      </c>
      <c r="G1590" s="45"/>
      <c r="H1590" s="43">
        <v>712</v>
      </c>
      <c r="I1590" s="325" t="s">
        <v>44</v>
      </c>
      <c r="J1590" s="255" t="str">
        <f>IF(ISBLANK(INDEX('Policy Characteristics'!D:D,MATCH($C1590,'Policy Characteristics'!$C:$C,0))),"",INDEX('Policy Characteristics'!D:D,MATCH($C1590,'Policy Characteristics'!$C:$C,0)))</f>
        <v>End Existing Subsidies</v>
      </c>
      <c r="K1590" s="254" t="str">
        <f>IF(ISBLANK(INDEX('Policy Characteristics'!E:E,MATCH($C1590,'Policy Characteristics'!$C:$C,0))),"",INDEX('Policy Characteristics'!E:E,MATCH($C1590,'Policy Characteristics'!$C:$C,0)))</f>
        <v>cross reduce BAU subsidies</v>
      </c>
      <c r="L1590" s="261">
        <f>IF(ISBLANK(INDEX('Policy Characteristics'!F:F,MATCH($C1590,'Policy Characteristics'!$C:$C,0))),"",INDEX('Policy Characteristics'!F:F,MATCH($C1590,'Policy Characteristics'!$C:$C,0)))</f>
        <v>0</v>
      </c>
      <c r="M1590" s="261">
        <f>IF(ISBLANK(INDEX('Policy Characteristics'!G:G,MATCH($C1590,'Policy Characteristics'!$C:$C,0))),"",INDEX('Policy Characteristics'!G:G,MATCH($C1590,'Policy Characteristics'!$C:$C,0)))</f>
        <v>1</v>
      </c>
      <c r="N1590" s="261">
        <f>IF(ISBLANK(INDEX('Policy Characteristics'!H:H,MATCH($C1590,'Policy Characteristics'!$C:$C,0))),"",INDEX('Policy Characteristics'!H:H,MATCH($C1590,'Policy Characteristics'!$C:$C,0)))</f>
        <v>0.01</v>
      </c>
      <c r="O1590" s="254" t="str">
        <f>IF(ISBLANK(INDEX('Policy Characteristics'!I:I,MATCH($C1590,'Policy Characteristics'!$C:$C,0))),"",INDEX('Policy Characteristics'!I:I,MATCH($C1590,'Policy Characteristics'!$C:$C,0)))</f>
        <v>% reduction in BAU subsidies</v>
      </c>
      <c r="P1590" s="254" t="str">
        <f>IF(ISBLANK(INDEX('Policy Characteristics'!J:J,MATCH($C1590,'Policy Characteristics'!$C:$C,0))),"",INDEX('Policy Characteristics'!J:J,MATCH($C1590,'Policy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0" s="254" t="str">
        <f>IF(ISBLANK(INDEX('Policy Characteristics'!K:K,MATCH($C1590,'Policy Characteristics'!$C:$C,0))),"",INDEX('Policy Characteristics'!K:K,MATCH($C1590,'Policy Characteristics'!$C:$C,0)))</f>
        <v>fuels.html#end-subsidies</v>
      </c>
      <c r="R1590" s="254" t="str">
        <f>IF(ISBLANK(INDEX('Policy Characteristics'!L:L,MATCH($C1590,'Policy Characteristics'!$C:$C,0))),"",INDEX('Policy Characteristics'!L:L,MATCH($C1590,'Policy Characteristics'!$C:$C,0)))</f>
        <v>end-existing-subsidies.html</v>
      </c>
    </row>
    <row r="1591" spans="1:18" s="4" customFormat="1" x14ac:dyDescent="0.3">
      <c r="A1591" s="254" t="str">
        <f>IF(ISBLANK(INDEX('Policy Characteristics'!A:A,MATCH($C1591,'Policy Characteristics'!$C:$C,0))),"",INDEX('Policy Characteristics'!A:A,MATCH($C1591,'Policy Characteristics'!$C:$C,0)))</f>
        <v>Cross-Sector</v>
      </c>
      <c r="B1591" s="262" t="str">
        <f>IF(ISBLANK(INDEX('Policy Characteristics'!B:B,MATCH($C1591,'Policy Characteristics'!$C:$C,0))),"",INDEX('Policy Characteristics'!B:B,MATCH($C1591,'Policy Characteristics'!$C:$C,0)))</f>
        <v>End Existing Subsidies</v>
      </c>
      <c r="C1591" s="254" t="str">
        <f t="shared" si="59"/>
        <v>Percent Reduction in BAU Subsidies</v>
      </c>
      <c r="D1591" s="6" t="s">
        <v>442</v>
      </c>
      <c r="E1591" s="45"/>
      <c r="F1591" s="6" t="s">
        <v>443</v>
      </c>
      <c r="G1591" s="45"/>
      <c r="H1591" s="43">
        <v>713</v>
      </c>
      <c r="I1591" s="325" t="s">
        <v>44</v>
      </c>
      <c r="J1591" s="255" t="str">
        <f>IF(ISBLANK(INDEX('Policy Characteristics'!D:D,MATCH($C1591,'Policy Characteristics'!$C:$C,0))),"",INDEX('Policy Characteristics'!D:D,MATCH($C1591,'Policy Characteristics'!$C:$C,0)))</f>
        <v>End Existing Subsidies</v>
      </c>
      <c r="K1591" s="254" t="str">
        <f>IF(ISBLANK(INDEX('Policy Characteristics'!E:E,MATCH($C1591,'Policy Characteristics'!$C:$C,0))),"",INDEX('Policy Characteristics'!E:E,MATCH($C1591,'Policy Characteristics'!$C:$C,0)))</f>
        <v>cross reduce BAU subsidies</v>
      </c>
      <c r="L1591" s="261">
        <f>IF(ISBLANK(INDEX('Policy Characteristics'!F:F,MATCH($C1591,'Policy Characteristics'!$C:$C,0))),"",INDEX('Policy Characteristics'!F:F,MATCH($C1591,'Policy Characteristics'!$C:$C,0)))</f>
        <v>0</v>
      </c>
      <c r="M1591" s="261">
        <f>IF(ISBLANK(INDEX('Policy Characteristics'!G:G,MATCH($C1591,'Policy Characteristics'!$C:$C,0))),"",INDEX('Policy Characteristics'!G:G,MATCH($C1591,'Policy Characteristics'!$C:$C,0)))</f>
        <v>1</v>
      </c>
      <c r="N1591" s="261">
        <f>IF(ISBLANK(INDEX('Policy Characteristics'!H:H,MATCH($C1591,'Policy Characteristics'!$C:$C,0))),"",INDEX('Policy Characteristics'!H:H,MATCH($C1591,'Policy Characteristics'!$C:$C,0)))</f>
        <v>0.01</v>
      </c>
      <c r="O1591" s="254" t="str">
        <f>IF(ISBLANK(INDEX('Policy Characteristics'!I:I,MATCH($C1591,'Policy Characteristics'!$C:$C,0))),"",INDEX('Policy Characteristics'!I:I,MATCH($C1591,'Policy Characteristics'!$C:$C,0)))</f>
        <v>% reduction in BAU subsidies</v>
      </c>
      <c r="P1591" s="254" t="str">
        <f>IF(ISBLANK(INDEX('Policy Characteristics'!J:J,MATCH($C1591,'Policy Characteristics'!$C:$C,0))),"",INDEX('Policy Characteristics'!J:J,MATCH($C1591,'Policy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1" s="254" t="str">
        <f>IF(ISBLANK(INDEX('Policy Characteristics'!K:K,MATCH($C1591,'Policy Characteristics'!$C:$C,0))),"",INDEX('Policy Characteristics'!K:K,MATCH($C1591,'Policy Characteristics'!$C:$C,0)))</f>
        <v>fuels.html#end-subsidies</v>
      </c>
      <c r="R1591" s="254" t="str">
        <f>IF(ISBLANK(INDEX('Policy Characteristics'!L:L,MATCH($C1591,'Policy Characteristics'!$C:$C,0))),"",INDEX('Policy Characteristics'!L:L,MATCH($C1591,'Policy Characteristics'!$C:$C,0)))</f>
        <v>end-existing-subsidies.html</v>
      </c>
    </row>
    <row r="1592" spans="1:18" s="4" customFormat="1" x14ac:dyDescent="0.3">
      <c r="A1592" s="254" t="str">
        <f>IF(ISBLANK(INDEX('Policy Characteristics'!A:A,MATCH($C1592,'Policy Characteristics'!$C:$C,0))),"",INDEX('Policy Characteristics'!A:A,MATCH($C1592,'Policy Characteristics'!$C:$C,0)))</f>
        <v>Cross-Sector</v>
      </c>
      <c r="B1592" s="262" t="str">
        <f>IF(ISBLANK(INDEX('Policy Characteristics'!B:B,MATCH($C1592,'Policy Characteristics'!$C:$C,0))),"",INDEX('Policy Characteristics'!B:B,MATCH($C1592,'Policy Characteristics'!$C:$C,0)))</f>
        <v>End Existing Subsidies</v>
      </c>
      <c r="C1592" s="254" t="str">
        <f t="shared" si="59"/>
        <v>Percent Reduction in BAU Subsidies</v>
      </c>
      <c r="D1592" s="6" t="s">
        <v>2465</v>
      </c>
      <c r="E1592" s="45"/>
      <c r="F1592" s="6" t="s">
        <v>2469</v>
      </c>
      <c r="G1592" s="45"/>
      <c r="H1592" s="43">
        <v>714</v>
      </c>
      <c r="I1592" s="325" t="s">
        <v>44</v>
      </c>
      <c r="J1592" s="255" t="str">
        <f>IF(ISBLANK(INDEX('Policy Characteristics'!D:D,MATCH($C1592,'Policy Characteristics'!$C:$C,0))),"",INDEX('Policy Characteristics'!D:D,MATCH($C1592,'Policy Characteristics'!$C:$C,0)))</f>
        <v>End Existing Subsidies</v>
      </c>
      <c r="K1592" s="254" t="str">
        <f>IF(ISBLANK(INDEX('Policy Characteristics'!E:E,MATCH($C1592,'Policy Characteristics'!$C:$C,0))),"",INDEX('Policy Characteristics'!E:E,MATCH($C1592,'Policy Characteristics'!$C:$C,0)))</f>
        <v>cross reduce BAU subsidies</v>
      </c>
      <c r="L1592" s="261">
        <f>IF(ISBLANK(INDEX('Policy Characteristics'!F:F,MATCH($C1592,'Policy Characteristics'!$C:$C,0))),"",INDEX('Policy Characteristics'!F:F,MATCH($C1592,'Policy Characteristics'!$C:$C,0)))</f>
        <v>0</v>
      </c>
      <c r="M1592" s="261">
        <f>IF(ISBLANK(INDEX('Policy Characteristics'!G:G,MATCH($C1592,'Policy Characteristics'!$C:$C,0))),"",INDEX('Policy Characteristics'!G:G,MATCH($C1592,'Policy Characteristics'!$C:$C,0)))</f>
        <v>1</v>
      </c>
      <c r="N1592" s="261">
        <f>IF(ISBLANK(INDEX('Policy Characteristics'!H:H,MATCH($C1592,'Policy Characteristics'!$C:$C,0))),"",INDEX('Policy Characteristics'!H:H,MATCH($C1592,'Policy Characteristics'!$C:$C,0)))</f>
        <v>0.01</v>
      </c>
      <c r="O1592" s="254" t="str">
        <f>IF(ISBLANK(INDEX('Policy Characteristics'!I:I,MATCH($C1592,'Policy Characteristics'!$C:$C,0))),"",INDEX('Policy Characteristics'!I:I,MATCH($C1592,'Policy Characteristics'!$C:$C,0)))</f>
        <v>% reduction in BAU subsidies</v>
      </c>
      <c r="P1592" s="254" t="str">
        <f>IF(ISBLANK(INDEX('Policy Characteristics'!J:J,MATCH($C1592,'Policy Characteristics'!$C:$C,0))),"",INDEX('Policy Characteristics'!J:J,MATCH($C1592,'Policy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2" s="254" t="str">
        <f>IF(ISBLANK(INDEX('Policy Characteristics'!K:K,MATCH($C1592,'Policy Characteristics'!$C:$C,0))),"",INDEX('Policy Characteristics'!K:K,MATCH($C1592,'Policy Characteristics'!$C:$C,0)))</f>
        <v>fuels.html#end-subsidies</v>
      </c>
      <c r="R1592" s="254" t="str">
        <f>IF(ISBLANK(INDEX('Policy Characteristics'!L:L,MATCH($C1592,'Policy Characteristics'!$C:$C,0))),"",INDEX('Policy Characteristics'!L:L,MATCH($C1592,'Policy Characteristics'!$C:$C,0)))</f>
        <v>end-existing-subsidies.html</v>
      </c>
    </row>
    <row r="1593" spans="1:18" s="4" customFormat="1" x14ac:dyDescent="0.3">
      <c r="A1593" s="254" t="str">
        <f>IF(ISBLANK(INDEX('Policy Characteristics'!A:A,MATCH($C1593,'Policy Characteristics'!$C:$C,0))),"",INDEX('Policy Characteristics'!A:A,MATCH($C1593,'Policy Characteristics'!$C:$C,0)))</f>
        <v>Cross-Sector</v>
      </c>
      <c r="B1593" s="262" t="str">
        <f>IF(ISBLANK(INDEX('Policy Characteristics'!B:B,MATCH($C1593,'Policy Characteristics'!$C:$C,0))),"",INDEX('Policy Characteristics'!B:B,MATCH($C1593,'Policy Characteristics'!$C:$C,0)))</f>
        <v>End Existing Subsidies</v>
      </c>
      <c r="C1593" s="254" t="str">
        <f t="shared" ref="C1593" si="60">C$1576</f>
        <v>Percent Reduction in BAU Subsidies</v>
      </c>
      <c r="D1593" s="6" t="s">
        <v>2475</v>
      </c>
      <c r="E1593" s="45"/>
      <c r="F1593" s="6" t="s">
        <v>2476</v>
      </c>
      <c r="G1593" s="45"/>
      <c r="H1593" s="43">
        <v>715</v>
      </c>
      <c r="I1593" s="325" t="s">
        <v>44</v>
      </c>
      <c r="J1593" s="255" t="str">
        <f>IF(ISBLANK(INDEX('Policy Characteristics'!D:D,MATCH($C1593,'Policy Characteristics'!$C:$C,0))),"",INDEX('Policy Characteristics'!D:D,MATCH($C1593,'Policy Characteristics'!$C:$C,0)))</f>
        <v>End Existing Subsidies</v>
      </c>
      <c r="K1593" s="254" t="str">
        <f>IF(ISBLANK(INDEX('Policy Characteristics'!E:E,MATCH($C1593,'Policy Characteristics'!$C:$C,0))),"",INDEX('Policy Characteristics'!E:E,MATCH($C1593,'Policy Characteristics'!$C:$C,0)))</f>
        <v>cross reduce BAU subsidies</v>
      </c>
      <c r="L1593" s="261">
        <f>IF(ISBLANK(INDEX('Policy Characteristics'!F:F,MATCH($C1593,'Policy Characteristics'!$C:$C,0))),"",INDEX('Policy Characteristics'!F:F,MATCH($C1593,'Policy Characteristics'!$C:$C,0)))</f>
        <v>0</v>
      </c>
      <c r="M1593" s="261">
        <f>IF(ISBLANK(INDEX('Policy Characteristics'!G:G,MATCH($C1593,'Policy Characteristics'!$C:$C,0))),"",INDEX('Policy Characteristics'!G:G,MATCH($C1593,'Policy Characteristics'!$C:$C,0)))</f>
        <v>1</v>
      </c>
      <c r="N1593" s="261">
        <f>IF(ISBLANK(INDEX('Policy Characteristics'!H:H,MATCH($C1593,'Policy Characteristics'!$C:$C,0))),"",INDEX('Policy Characteristics'!H:H,MATCH($C1593,'Policy Characteristics'!$C:$C,0)))</f>
        <v>0.01</v>
      </c>
      <c r="O1593" s="254" t="str">
        <f>IF(ISBLANK(INDEX('Policy Characteristics'!I:I,MATCH($C1593,'Policy Characteristics'!$C:$C,0))),"",INDEX('Policy Characteristics'!I:I,MATCH($C1593,'Policy Characteristics'!$C:$C,0)))</f>
        <v>% reduction in BAU subsidies</v>
      </c>
      <c r="P1593" s="254" t="str">
        <f>IF(ISBLANK(INDEX('Policy Characteristics'!J:J,MATCH($C1593,'Policy Characteristics'!$C:$C,0))),"",INDEX('Policy Characteristics'!J:J,MATCH($C1593,'Policy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3" s="254" t="str">
        <f>IF(ISBLANK(INDEX('Policy Characteristics'!K:K,MATCH($C1593,'Policy Characteristics'!$C:$C,0))),"",INDEX('Policy Characteristics'!K:K,MATCH($C1593,'Policy Characteristics'!$C:$C,0)))</f>
        <v>fuels.html#end-subsidies</v>
      </c>
      <c r="R1593" s="254" t="str">
        <f>IF(ISBLANK(INDEX('Policy Characteristics'!L:L,MATCH($C1593,'Policy Characteristics'!$C:$C,0))),"",INDEX('Policy Characteristics'!L:L,MATCH($C1593,'Policy Characteristics'!$C:$C,0)))</f>
        <v>end-existing-subsidies.html</v>
      </c>
    </row>
    <row r="1594" spans="1:18" s="4" customFormat="1" x14ac:dyDescent="0.3">
      <c r="A1594" s="254" t="str">
        <f>IF(ISBLANK(INDEX('Policy Characteristics'!A:A,MATCH($C1594,'Policy Characteristics'!$C:$C,0))),"",INDEX('Policy Characteristics'!A:A,MATCH($C1594,'Policy Characteristics'!$C:$C,0)))</f>
        <v>Cross-Sector</v>
      </c>
      <c r="B1594" s="262" t="str">
        <f>IF(ISBLANK(INDEX('Policy Characteristics'!B:B,MATCH($C1594,'Policy Characteristics'!$C:$C,0))),"",INDEX('Policy Characteristics'!B:B,MATCH($C1594,'Policy Characteristics'!$C:$C,0)))</f>
        <v>End Existing Subsidies</v>
      </c>
      <c r="C1594" s="254" t="str">
        <f t="shared" ref="C1594:C1596" si="61">C$1576</f>
        <v>Percent Reduction in BAU Subsidies</v>
      </c>
      <c r="D1594" s="6" t="s">
        <v>2466</v>
      </c>
      <c r="E1594" s="45"/>
      <c r="F1594" s="6" t="s">
        <v>2470</v>
      </c>
      <c r="G1594" s="45"/>
      <c r="H1594" s="43">
        <v>716</v>
      </c>
      <c r="I1594" s="325" t="s">
        <v>44</v>
      </c>
      <c r="J1594" s="255" t="str">
        <f>IF(ISBLANK(INDEX('Policy Characteristics'!D:D,MATCH($C1594,'Policy Characteristics'!$C:$C,0))),"",INDEX('Policy Characteristics'!D:D,MATCH($C1594,'Policy Characteristics'!$C:$C,0)))</f>
        <v>End Existing Subsidies</v>
      </c>
      <c r="K1594" s="254" t="str">
        <f>IF(ISBLANK(INDEX('Policy Characteristics'!E:E,MATCH($C1594,'Policy Characteristics'!$C:$C,0))),"",INDEX('Policy Characteristics'!E:E,MATCH($C1594,'Policy Characteristics'!$C:$C,0)))</f>
        <v>cross reduce BAU subsidies</v>
      </c>
      <c r="L1594" s="261">
        <f>IF(ISBLANK(INDEX('Policy Characteristics'!F:F,MATCH($C1594,'Policy Characteristics'!$C:$C,0))),"",INDEX('Policy Characteristics'!F:F,MATCH($C1594,'Policy Characteristics'!$C:$C,0)))</f>
        <v>0</v>
      </c>
      <c r="M1594" s="261">
        <f>IF(ISBLANK(INDEX('Policy Characteristics'!G:G,MATCH($C1594,'Policy Characteristics'!$C:$C,0))),"",INDEX('Policy Characteristics'!G:G,MATCH($C1594,'Policy Characteristics'!$C:$C,0)))</f>
        <v>1</v>
      </c>
      <c r="N1594" s="261">
        <f>IF(ISBLANK(INDEX('Policy Characteristics'!H:H,MATCH($C1594,'Policy Characteristics'!$C:$C,0))),"",INDEX('Policy Characteristics'!H:H,MATCH($C1594,'Policy Characteristics'!$C:$C,0)))</f>
        <v>0.01</v>
      </c>
      <c r="O1594" s="254" t="str">
        <f>IF(ISBLANK(INDEX('Policy Characteristics'!I:I,MATCH($C1594,'Policy Characteristics'!$C:$C,0))),"",INDEX('Policy Characteristics'!I:I,MATCH($C1594,'Policy Characteristics'!$C:$C,0)))</f>
        <v>% reduction in BAU subsidies</v>
      </c>
      <c r="P1594" s="254" t="str">
        <f>IF(ISBLANK(INDEX('Policy Characteristics'!J:J,MATCH($C1594,'Policy Characteristics'!$C:$C,0))),"",INDEX('Policy Characteristics'!J:J,MATCH($C1594,'Policy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4" s="254" t="str">
        <f>IF(ISBLANK(INDEX('Policy Characteristics'!K:K,MATCH($C1594,'Policy Characteristics'!$C:$C,0))),"",INDEX('Policy Characteristics'!K:K,MATCH($C1594,'Policy Characteristics'!$C:$C,0)))</f>
        <v>fuels.html#end-subsidies</v>
      </c>
      <c r="R1594" s="254" t="str">
        <f>IF(ISBLANK(INDEX('Policy Characteristics'!L:L,MATCH($C1594,'Policy Characteristics'!$C:$C,0))),"",INDEX('Policy Characteristics'!L:L,MATCH($C1594,'Policy Characteristics'!$C:$C,0)))</f>
        <v>end-existing-subsidies.html</v>
      </c>
    </row>
    <row r="1595" spans="1:18" s="4" customFormat="1" x14ac:dyDescent="0.3">
      <c r="A1595" s="254" t="str">
        <f>IF(ISBLANK(INDEX('Policy Characteristics'!A:A,MATCH($C1595,'Policy Characteristics'!$C:$C,0))),"",INDEX('Policy Characteristics'!A:A,MATCH($C1595,'Policy Characteristics'!$C:$C,0)))</f>
        <v>Cross-Sector</v>
      </c>
      <c r="B1595" s="262" t="str">
        <f>IF(ISBLANK(INDEX('Policy Characteristics'!B:B,MATCH($C1595,'Policy Characteristics'!$C:$C,0))),"",INDEX('Policy Characteristics'!B:B,MATCH($C1595,'Policy Characteristics'!$C:$C,0)))</f>
        <v>End Existing Subsidies</v>
      </c>
      <c r="C1595" s="254" t="str">
        <f t="shared" si="61"/>
        <v>Percent Reduction in BAU Subsidies</v>
      </c>
      <c r="D1595" s="6" t="s">
        <v>2467</v>
      </c>
      <c r="E1595" s="45"/>
      <c r="F1595" s="6" t="s">
        <v>2471</v>
      </c>
      <c r="G1595" s="45"/>
      <c r="H1595" s="43">
        <v>717</v>
      </c>
      <c r="I1595" s="325" t="s">
        <v>44</v>
      </c>
      <c r="J1595" s="255" t="str">
        <f>IF(ISBLANK(INDEX('Policy Characteristics'!D:D,MATCH($C1595,'Policy Characteristics'!$C:$C,0))),"",INDEX('Policy Characteristics'!D:D,MATCH($C1595,'Policy Characteristics'!$C:$C,0)))</f>
        <v>End Existing Subsidies</v>
      </c>
      <c r="K1595" s="254" t="str">
        <f>IF(ISBLANK(INDEX('Policy Characteristics'!E:E,MATCH($C1595,'Policy Characteristics'!$C:$C,0))),"",INDEX('Policy Characteristics'!E:E,MATCH($C1595,'Policy Characteristics'!$C:$C,0)))</f>
        <v>cross reduce BAU subsidies</v>
      </c>
      <c r="L1595" s="261">
        <f>IF(ISBLANK(INDEX('Policy Characteristics'!F:F,MATCH($C1595,'Policy Characteristics'!$C:$C,0))),"",INDEX('Policy Characteristics'!F:F,MATCH($C1595,'Policy Characteristics'!$C:$C,0)))</f>
        <v>0</v>
      </c>
      <c r="M1595" s="261">
        <f>IF(ISBLANK(INDEX('Policy Characteristics'!G:G,MATCH($C1595,'Policy Characteristics'!$C:$C,0))),"",INDEX('Policy Characteristics'!G:G,MATCH($C1595,'Policy Characteristics'!$C:$C,0)))</f>
        <v>1</v>
      </c>
      <c r="N1595" s="261">
        <f>IF(ISBLANK(INDEX('Policy Characteristics'!H:H,MATCH($C1595,'Policy Characteristics'!$C:$C,0))),"",INDEX('Policy Characteristics'!H:H,MATCH($C1595,'Policy Characteristics'!$C:$C,0)))</f>
        <v>0.01</v>
      </c>
      <c r="O1595" s="254" t="str">
        <f>IF(ISBLANK(INDEX('Policy Characteristics'!I:I,MATCH($C1595,'Policy Characteristics'!$C:$C,0))),"",INDEX('Policy Characteristics'!I:I,MATCH($C1595,'Policy Characteristics'!$C:$C,0)))</f>
        <v>% reduction in BAU subsidies</v>
      </c>
      <c r="P1595" s="254" t="str">
        <f>IF(ISBLANK(INDEX('Policy Characteristics'!J:J,MATCH($C1595,'Policy Characteristics'!$C:$C,0))),"",INDEX('Policy Characteristics'!J:J,MATCH($C1595,'Policy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5" s="254" t="str">
        <f>IF(ISBLANK(INDEX('Policy Characteristics'!K:K,MATCH($C1595,'Policy Characteristics'!$C:$C,0))),"",INDEX('Policy Characteristics'!K:K,MATCH($C1595,'Policy Characteristics'!$C:$C,0)))</f>
        <v>fuels.html#end-subsidies</v>
      </c>
      <c r="R1595" s="254" t="str">
        <f>IF(ISBLANK(INDEX('Policy Characteristics'!L:L,MATCH($C1595,'Policy Characteristics'!$C:$C,0))),"",INDEX('Policy Characteristics'!L:L,MATCH($C1595,'Policy Characteristics'!$C:$C,0)))</f>
        <v>end-existing-subsidies.html</v>
      </c>
    </row>
    <row r="1596" spans="1:18" s="4" customFormat="1" x14ac:dyDescent="0.3">
      <c r="A1596" s="254" t="str">
        <f>IF(ISBLANK(INDEX('Policy Characteristics'!A:A,MATCH($C1596,'Policy Characteristics'!$C:$C,0))),"",INDEX('Policy Characteristics'!A:A,MATCH($C1596,'Policy Characteristics'!$C:$C,0)))</f>
        <v>Cross-Sector</v>
      </c>
      <c r="B1596" s="262" t="str">
        <f>IF(ISBLANK(INDEX('Policy Characteristics'!B:B,MATCH($C1596,'Policy Characteristics'!$C:$C,0))),"",INDEX('Policy Characteristics'!B:B,MATCH($C1596,'Policy Characteristics'!$C:$C,0)))</f>
        <v>End Existing Subsidies</v>
      </c>
      <c r="C1596" s="254" t="str">
        <f t="shared" si="61"/>
        <v>Percent Reduction in BAU Subsidies</v>
      </c>
      <c r="D1596" s="6" t="s">
        <v>2468</v>
      </c>
      <c r="E1596" s="45"/>
      <c r="F1596" s="6" t="s">
        <v>2472</v>
      </c>
      <c r="G1596" s="45"/>
      <c r="H1596" s="43">
        <v>718</v>
      </c>
      <c r="I1596" s="325" t="s">
        <v>44</v>
      </c>
      <c r="J1596" s="255" t="str">
        <f>IF(ISBLANK(INDEX('Policy Characteristics'!D:D,MATCH($C1596,'Policy Characteristics'!$C:$C,0))),"",INDEX('Policy Characteristics'!D:D,MATCH($C1596,'Policy Characteristics'!$C:$C,0)))</f>
        <v>End Existing Subsidies</v>
      </c>
      <c r="K1596" s="254" t="str">
        <f>IF(ISBLANK(INDEX('Policy Characteristics'!E:E,MATCH($C1596,'Policy Characteristics'!$C:$C,0))),"",INDEX('Policy Characteristics'!E:E,MATCH($C1596,'Policy Characteristics'!$C:$C,0)))</f>
        <v>cross reduce BAU subsidies</v>
      </c>
      <c r="L1596" s="261">
        <f>IF(ISBLANK(INDEX('Policy Characteristics'!F:F,MATCH($C1596,'Policy Characteristics'!$C:$C,0))),"",INDEX('Policy Characteristics'!F:F,MATCH($C1596,'Policy Characteristics'!$C:$C,0)))</f>
        <v>0</v>
      </c>
      <c r="M1596" s="261">
        <f>IF(ISBLANK(INDEX('Policy Characteristics'!G:G,MATCH($C1596,'Policy Characteristics'!$C:$C,0))),"",INDEX('Policy Characteristics'!G:G,MATCH($C1596,'Policy Characteristics'!$C:$C,0)))</f>
        <v>1</v>
      </c>
      <c r="N1596" s="261">
        <f>IF(ISBLANK(INDEX('Policy Characteristics'!H:H,MATCH($C1596,'Policy Characteristics'!$C:$C,0))),"",INDEX('Policy Characteristics'!H:H,MATCH($C1596,'Policy Characteristics'!$C:$C,0)))</f>
        <v>0.01</v>
      </c>
      <c r="O1596" s="254" t="str">
        <f>IF(ISBLANK(INDEX('Policy Characteristics'!I:I,MATCH($C1596,'Policy Characteristics'!$C:$C,0))),"",INDEX('Policy Characteristics'!I:I,MATCH($C1596,'Policy Characteristics'!$C:$C,0)))</f>
        <v>% reduction in BAU subsidies</v>
      </c>
      <c r="P1596" s="254" t="str">
        <f>IF(ISBLANK(INDEX('Policy Characteristics'!J:J,MATCH($C1596,'Policy Characteristics'!$C:$C,0))),"",INDEX('Policy Characteristics'!J:J,MATCH($C1596,'Policy Characteristics'!$C:$C,0)))</f>
        <v>**Description:** This policy reduces the subsidies paid for the production of the selected energy source(s) in the BAU case. // **Guidance for setting values:** A value of 100% eliminates subsidies, increasing the price of coal by 0.3% - 0.5% (varying by sector), natural gas by 0.4% - 0.7% (varying by sector), electricity from nuclear plants by 1.2%, electricity from solar PV plants by 2%, petroleum gasoline by 0.2%, and petroleum diesel by 0.2% - 0.3% (varying by sector) in 2050.</v>
      </c>
      <c r="Q1596" s="254" t="str">
        <f>IF(ISBLANK(INDEX('Policy Characteristics'!K:K,MATCH($C1596,'Policy Characteristics'!$C:$C,0))),"",INDEX('Policy Characteristics'!K:K,MATCH($C1596,'Policy Characteristics'!$C:$C,0)))</f>
        <v>fuels.html#end-subsidies</v>
      </c>
      <c r="R1596" s="254" t="str">
        <f>IF(ISBLANK(INDEX('Policy Characteristics'!L:L,MATCH($C1596,'Policy Characteristics'!$C:$C,0))),"",INDEX('Policy Characteristics'!L:L,MATCH($C1596,'Policy Characteristics'!$C:$C,0)))</f>
        <v>end-existing-subsidies.html</v>
      </c>
    </row>
    <row r="1597" spans="1:18" s="2" customFormat="1" x14ac:dyDescent="0.3">
      <c r="A1597" s="254" t="str">
        <f>IF(ISBLANK(INDEX('Policy Characteristics'!A:A,MATCH($C1597,'Policy Characteristics'!$C:$C,0))),"",INDEX('Policy Characteristics'!A:A,MATCH($C1597,'Policy Characteristics'!$C:$C,0)))</f>
        <v>Cross-Sector</v>
      </c>
      <c r="B1597" s="262" t="str">
        <f>IF(ISBLANK(INDEX('Policy Characteristics'!B:B,MATCH($C1597,'Policy Characteristics'!$C:$C,0))),"",INDEX('Policy Characteristics'!B:B,MATCH($C1597,'Policy Characteristics'!$C:$C,0)))</f>
        <v>Exempt Non-CO2 Emissions from C Tax</v>
      </c>
      <c r="C1597" s="317" t="s">
        <v>2446</v>
      </c>
      <c r="D1597" s="6"/>
      <c r="E1597" s="6"/>
      <c r="F1597" s="6"/>
      <c r="G1597" s="6"/>
      <c r="H1597" s="43">
        <v>719</v>
      </c>
      <c r="I1597" s="325" t="s">
        <v>44</v>
      </c>
      <c r="J1597" s="255" t="str">
        <f>IF(ISBLANK(INDEX('Policy Characteristics'!D:D,MATCH($C1597,'Policy Characteristics'!$C:$C,0))),"",INDEX('Policy Characteristics'!D:D,MATCH($C1597,'Policy Characteristics'!$C:$C,0)))</f>
        <v/>
      </c>
      <c r="K1597" s="254" t="str">
        <f>IF(ISBLANK(INDEX('Policy Characteristics'!E:E,MATCH($C1597,'Policy Characteristics'!$C:$C,0))),"",INDEX('Policy Characteristics'!E:E,MATCH($C1597,'Policy Characteristics'!$C:$C,0)))</f>
        <v>cross toggle whether carbon tax affects non CO2 emissions</v>
      </c>
      <c r="L1597" s="254">
        <f>IF(ISBLANK(INDEX('Policy Characteristics'!F:F,MATCH($C1597,'Policy Characteristics'!$C:$C,0))),"",INDEX('Policy Characteristics'!F:F,MATCH($C1597,'Policy Characteristics'!$C:$C,0)))</f>
        <v>0</v>
      </c>
      <c r="M1597" s="254">
        <f>IF(ISBLANK(INDEX('Policy Characteristics'!G:G,MATCH($C1597,'Policy Characteristics'!$C:$C,0))),"",INDEX('Policy Characteristics'!G:G,MATCH($C1597,'Policy Characteristics'!$C:$C,0)))</f>
        <v>1</v>
      </c>
      <c r="N1597" s="254">
        <f>IF(ISBLANK(INDEX('Policy Characteristics'!H:H,MATCH($C1597,'Policy Characteristics'!$C:$C,0))),"",INDEX('Policy Characteristics'!H:H,MATCH($C1597,'Policy Characteristics'!$C:$C,0)))</f>
        <v>1</v>
      </c>
      <c r="O1597" s="254" t="str">
        <f>IF(ISBLANK(INDEX('Policy Characteristics'!I:I,MATCH($C1597,'Policy Characteristics'!$C:$C,0))),"",INDEX('Policy Characteristics'!I:I,MATCH($C1597,'Policy Characteristics'!$C:$C,0)))</f>
        <v>on/off</v>
      </c>
      <c r="P1597" s="254" t="str">
        <f>IF(ISBLANK(INDEX('Policy Characteristics'!J:J,MATCH($C1597,'Policy Characteristics'!$C:$C,0))),"",INDEX('Policy Characteristics'!J:J,MATCH($C1597,'Policy Characteristics'!$C:$C,0)))</f>
        <v>**Description:** By default, the carbon tax applies to CO2 and non-CO2 emissions. This policy exempts non-CO2 emissions, meaning the carbon tax will only apply to CO2 emissions.</v>
      </c>
      <c r="Q1597" s="254" t="str">
        <f>IF(ISBLANK(INDEX('Policy Characteristics'!K:K,MATCH($C1597,'Policy Characteristics'!$C:$C,0))),"",INDEX('Policy Characteristics'!K:K,MATCH($C1597,'Policy Characteristics'!$C:$C,0)))</f>
        <v>fuels.html#carbon-tax</v>
      </c>
      <c r="R1597" s="254" t="str">
        <f>IF(ISBLANK(INDEX('Policy Characteristics'!L:L,MATCH($C1597,'Policy Characteristics'!$C:$C,0))),"",INDEX('Policy Characteristics'!L:L,MATCH($C1597,'Policy Characteristics'!$C:$C,0)))</f>
        <v>carbon-tax.html</v>
      </c>
    </row>
    <row r="1598" spans="1:18" s="2" customFormat="1" x14ac:dyDescent="0.3">
      <c r="A1598" s="254" t="str">
        <f>IF(ISBLANK(INDEX('Policy Characteristics'!A:A,MATCH($C1598,'Policy Characteristics'!$C:$C,0))),"",INDEX('Policy Characteristics'!A:A,MATCH($C1598,'Policy Characteristics'!$C:$C,0)))</f>
        <v>Cross-Sector</v>
      </c>
      <c r="B1598" s="262" t="str">
        <f>IF(ISBLANK(INDEX('Policy Characteristics'!B:B,MATCH($C1598,'Policy Characteristics'!$C:$C,0))),"",INDEX('Policy Characteristics'!B:B,MATCH($C1598,'Policy Characteristics'!$C:$C,0)))</f>
        <v>Exempt Process Emissions from C Tax</v>
      </c>
      <c r="C1598" s="1" t="s">
        <v>3366</v>
      </c>
      <c r="D1598" s="45" t="s">
        <v>3061</v>
      </c>
      <c r="E1598" s="6"/>
      <c r="F1598" t="s">
        <v>3086</v>
      </c>
      <c r="G1598" s="6"/>
      <c r="H1598" s="47">
        <v>1628</v>
      </c>
      <c r="I1598" s="325" t="s">
        <v>43</v>
      </c>
      <c r="J1598" s="255" t="str">
        <f>IF(ISBLANK(INDEX('Policy Characteristics'!D:D,MATCH($C1598,'Policy Characteristics'!$C:$C,0))),"",INDEX('Policy Characteristics'!D:D,MATCH($C1598,'Policy Characteristics'!$C:$C,0)))</f>
        <v/>
      </c>
      <c r="K1598" s="254" t="str">
        <f>IF(ISBLANK(INDEX('Policy Characteristics'!E:E,MATCH($C1598,'Policy Characteristics'!$C:$C,0))),"",INDEX('Policy Characteristics'!E:E,MATCH($C1598,'Policy Characteristics'!$C:$C,0)))</f>
        <v>cross toggle whether carbon tax affects process emissions</v>
      </c>
      <c r="L1598" s="254">
        <f>IF(ISBLANK(INDEX('Policy Characteristics'!F:F,MATCH($C1598,'Policy Characteristics'!$C:$C,0))),"",INDEX('Policy Characteristics'!F:F,MATCH($C1598,'Policy Characteristics'!$C:$C,0)))</f>
        <v>0</v>
      </c>
      <c r="M1598" s="254">
        <f>IF(ISBLANK(INDEX('Policy Characteristics'!G:G,MATCH($C1598,'Policy Characteristics'!$C:$C,0))),"",INDEX('Policy Characteristics'!G:G,MATCH($C1598,'Policy Characteristics'!$C:$C,0)))</f>
        <v>1</v>
      </c>
      <c r="N1598" s="254">
        <f>IF(ISBLANK(INDEX('Policy Characteristics'!H:H,MATCH($C1598,'Policy Characteristics'!$C:$C,0))),"",INDEX('Policy Characteristics'!H:H,MATCH($C1598,'Policy Characteristics'!$C:$C,0)))</f>
        <v>1</v>
      </c>
      <c r="O1598" s="254" t="str">
        <f>IF(ISBLANK(INDEX('Policy Characteristics'!I:I,MATCH($C1598,'Policy Characteristics'!$C:$C,0))),"",INDEX('Policy Characteristics'!I:I,MATCH($C1598,'Policy Characteristics'!$C:$C,0)))</f>
        <v>on/off</v>
      </c>
      <c r="P1598" s="254" t="str">
        <f>IF(ISBLANK(INDEX('Policy Characteristics'!J:J,MATCH($C1598,'Policy Characteristics'!$C:$C,0))),"",INDEX('Policy Characteristics'!J:J,MATCH($C1598,'Policy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598" s="254" t="str">
        <f>IF(ISBLANK(INDEX('Policy Characteristics'!K:K,MATCH($C1598,'Policy Characteristics'!$C:$C,0))),"",INDEX('Policy Characteristics'!K:K,MATCH($C1598,'Policy Characteristics'!$C:$C,0)))</f>
        <v>fuels.html#carbon-tax</v>
      </c>
      <c r="R1598" s="254" t="str">
        <f>IF(ISBLANK(INDEX('Policy Characteristics'!L:L,MATCH($C1598,'Policy Characteristics'!$C:$C,0))),"",INDEX('Policy Characteristics'!L:L,MATCH($C1598,'Policy Characteristics'!$C:$C,0)))</f>
        <v>carbon-tax.html</v>
      </c>
    </row>
    <row r="1599" spans="1:18" s="2" customFormat="1" x14ac:dyDescent="0.3">
      <c r="A1599" s="254" t="str">
        <f>IF(ISBLANK(INDEX('Policy Characteristics'!A:A,MATCH($C1599,'Policy Characteristics'!$C:$C,0))),"",INDEX('Policy Characteristics'!A:A,MATCH($C1599,'Policy Characteristics'!$C:$C,0)))</f>
        <v>Cross-Sector</v>
      </c>
      <c r="B1599" s="262" t="str">
        <f>IF(ISBLANK(INDEX('Policy Characteristics'!B:B,MATCH($C1599,'Policy Characteristics'!$C:$C,0))),"",INDEX('Policy Characteristics'!B:B,MATCH($C1599,'Policy Characteristics'!$C:$C,0)))</f>
        <v>Exempt Process Emissions from C Tax</v>
      </c>
      <c r="C1599" s="254" t="str">
        <f>C$1598</f>
        <v>BEPEfCT Boolean Exempt Process Emissions from Carbon Tax</v>
      </c>
      <c r="D1599" s="6" t="s">
        <v>3062</v>
      </c>
      <c r="E1599" s="6"/>
      <c r="F1599" t="s">
        <v>2759</v>
      </c>
      <c r="G1599" s="6"/>
      <c r="H1599" s="47">
        <v>1629</v>
      </c>
      <c r="I1599" s="325" t="s">
        <v>43</v>
      </c>
      <c r="J1599" s="255" t="str">
        <f>IF(ISBLANK(INDEX('Policy Characteristics'!D:D,MATCH($C1599,'Policy Characteristics'!$C:$C,0))),"",INDEX('Policy Characteristics'!D:D,MATCH($C1599,'Policy Characteristics'!$C:$C,0)))</f>
        <v/>
      </c>
      <c r="K1599" s="254" t="str">
        <f>IF(ISBLANK(INDEX('Policy Characteristics'!E:E,MATCH($C1599,'Policy Characteristics'!$C:$C,0))),"",INDEX('Policy Characteristics'!E:E,MATCH($C1599,'Policy Characteristics'!$C:$C,0)))</f>
        <v>cross toggle whether carbon tax affects process emissions</v>
      </c>
      <c r="L1599" s="254">
        <f>IF(ISBLANK(INDEX('Policy Characteristics'!F:F,MATCH($C1599,'Policy Characteristics'!$C:$C,0))),"",INDEX('Policy Characteristics'!F:F,MATCH($C1599,'Policy Characteristics'!$C:$C,0)))</f>
        <v>0</v>
      </c>
      <c r="M1599" s="254">
        <f>IF(ISBLANK(INDEX('Policy Characteristics'!G:G,MATCH($C1599,'Policy Characteristics'!$C:$C,0))),"",INDEX('Policy Characteristics'!G:G,MATCH($C1599,'Policy Characteristics'!$C:$C,0)))</f>
        <v>1</v>
      </c>
      <c r="N1599" s="254">
        <f>IF(ISBLANK(INDEX('Policy Characteristics'!H:H,MATCH($C1599,'Policy Characteristics'!$C:$C,0))),"",INDEX('Policy Characteristics'!H:H,MATCH($C1599,'Policy Characteristics'!$C:$C,0)))</f>
        <v>1</v>
      </c>
      <c r="O1599" s="254" t="str">
        <f>IF(ISBLANK(INDEX('Policy Characteristics'!I:I,MATCH($C1599,'Policy Characteristics'!$C:$C,0))),"",INDEX('Policy Characteristics'!I:I,MATCH($C1599,'Policy Characteristics'!$C:$C,0)))</f>
        <v>on/off</v>
      </c>
      <c r="P1599" s="254" t="str">
        <f>IF(ISBLANK(INDEX('Policy Characteristics'!J:J,MATCH($C1599,'Policy Characteristics'!$C:$C,0))),"",INDEX('Policy Characteristics'!J:J,MATCH($C1599,'Policy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599" s="254" t="str">
        <f>IF(ISBLANK(INDEX('Policy Characteristics'!K:K,MATCH($C1599,'Policy Characteristics'!$C:$C,0))),"",INDEX('Policy Characteristics'!K:K,MATCH($C1599,'Policy Characteristics'!$C:$C,0)))</f>
        <v>fuels.html#carbon-tax</v>
      </c>
      <c r="R1599" s="254" t="str">
        <f>IF(ISBLANK(INDEX('Policy Characteristics'!L:L,MATCH($C1599,'Policy Characteristics'!$C:$C,0))),"",INDEX('Policy Characteristics'!L:L,MATCH($C1599,'Policy Characteristics'!$C:$C,0)))</f>
        <v>carbon-tax.html</v>
      </c>
    </row>
    <row r="1600" spans="1:18" s="2" customFormat="1" x14ac:dyDescent="0.3">
      <c r="A1600" s="254" t="str">
        <f>IF(ISBLANK(INDEX('Policy Characteristics'!A:A,MATCH($C1600,'Policy Characteristics'!$C:$C,0))),"",INDEX('Policy Characteristics'!A:A,MATCH($C1600,'Policy Characteristics'!$C:$C,0)))</f>
        <v>Cross-Sector</v>
      </c>
      <c r="B1600" s="262" t="str">
        <f>IF(ISBLANK(INDEX('Policy Characteristics'!B:B,MATCH($C1600,'Policy Characteristics'!$C:$C,0))),"",INDEX('Policy Characteristics'!B:B,MATCH($C1600,'Policy Characteristics'!$C:$C,0)))</f>
        <v>Exempt Process Emissions from C Tax</v>
      </c>
      <c r="C1600" s="254" t="str">
        <f t="shared" ref="C1600:C1622" si="62">C$1598</f>
        <v>BEPEfCT Boolean Exempt Process Emissions from Carbon Tax</v>
      </c>
      <c r="D1600" s="6" t="s">
        <v>3063</v>
      </c>
      <c r="E1600" s="6"/>
      <c r="F1600" t="s">
        <v>3027</v>
      </c>
      <c r="G1600" s="6"/>
      <c r="H1600" s="47">
        <v>1630</v>
      </c>
      <c r="I1600" s="325" t="s">
        <v>43</v>
      </c>
      <c r="J1600" s="255" t="str">
        <f>IF(ISBLANK(INDEX('Policy Characteristics'!D:D,MATCH($C1600,'Policy Characteristics'!$C:$C,0))),"",INDEX('Policy Characteristics'!D:D,MATCH($C1600,'Policy Characteristics'!$C:$C,0)))</f>
        <v/>
      </c>
      <c r="K1600" s="254" t="str">
        <f>IF(ISBLANK(INDEX('Policy Characteristics'!E:E,MATCH($C1600,'Policy Characteristics'!$C:$C,0))),"",INDEX('Policy Characteristics'!E:E,MATCH($C1600,'Policy Characteristics'!$C:$C,0)))</f>
        <v>cross toggle whether carbon tax affects process emissions</v>
      </c>
      <c r="L1600" s="254">
        <f>IF(ISBLANK(INDEX('Policy Characteristics'!F:F,MATCH($C1600,'Policy Characteristics'!$C:$C,0))),"",INDEX('Policy Characteristics'!F:F,MATCH($C1600,'Policy Characteristics'!$C:$C,0)))</f>
        <v>0</v>
      </c>
      <c r="M1600" s="254">
        <f>IF(ISBLANK(INDEX('Policy Characteristics'!G:G,MATCH($C1600,'Policy Characteristics'!$C:$C,0))),"",INDEX('Policy Characteristics'!G:G,MATCH($C1600,'Policy Characteristics'!$C:$C,0)))</f>
        <v>1</v>
      </c>
      <c r="N1600" s="254">
        <f>IF(ISBLANK(INDEX('Policy Characteristics'!H:H,MATCH($C1600,'Policy Characteristics'!$C:$C,0))),"",INDEX('Policy Characteristics'!H:H,MATCH($C1600,'Policy Characteristics'!$C:$C,0)))</f>
        <v>1</v>
      </c>
      <c r="O1600" s="254" t="str">
        <f>IF(ISBLANK(INDEX('Policy Characteristics'!I:I,MATCH($C1600,'Policy Characteristics'!$C:$C,0))),"",INDEX('Policy Characteristics'!I:I,MATCH($C1600,'Policy Characteristics'!$C:$C,0)))</f>
        <v>on/off</v>
      </c>
      <c r="P1600" s="254" t="str">
        <f>IF(ISBLANK(INDEX('Policy Characteristics'!J:J,MATCH($C1600,'Policy Characteristics'!$C:$C,0))),"",INDEX('Policy Characteristics'!J:J,MATCH($C1600,'Policy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0" s="254" t="str">
        <f>IF(ISBLANK(INDEX('Policy Characteristics'!K:K,MATCH($C1600,'Policy Characteristics'!$C:$C,0))),"",INDEX('Policy Characteristics'!K:K,MATCH($C1600,'Policy Characteristics'!$C:$C,0)))</f>
        <v>fuels.html#carbon-tax</v>
      </c>
      <c r="R1600" s="254" t="str">
        <f>IF(ISBLANK(INDEX('Policy Characteristics'!L:L,MATCH($C1600,'Policy Characteristics'!$C:$C,0))),"",INDEX('Policy Characteristics'!L:L,MATCH($C1600,'Policy Characteristics'!$C:$C,0)))</f>
        <v>carbon-tax.html</v>
      </c>
    </row>
    <row r="1601" spans="1:18" s="2" customFormat="1" x14ac:dyDescent="0.3">
      <c r="A1601" s="254" t="str">
        <f>IF(ISBLANK(INDEX('Policy Characteristics'!A:A,MATCH($C1601,'Policy Characteristics'!$C:$C,0))),"",INDEX('Policy Characteristics'!A:A,MATCH($C1601,'Policy Characteristics'!$C:$C,0)))</f>
        <v>Cross-Sector</v>
      </c>
      <c r="B1601" s="262" t="str">
        <f>IF(ISBLANK(INDEX('Policy Characteristics'!B:B,MATCH($C1601,'Policy Characteristics'!$C:$C,0))),"",INDEX('Policy Characteristics'!B:B,MATCH($C1601,'Policy Characteristics'!$C:$C,0)))</f>
        <v>Exempt Process Emissions from C Tax</v>
      </c>
      <c r="C1601" s="254" t="str">
        <f t="shared" si="62"/>
        <v>BEPEfCT Boolean Exempt Process Emissions from Carbon Tax</v>
      </c>
      <c r="D1601" s="6" t="s">
        <v>3064</v>
      </c>
      <c r="E1601" s="6"/>
      <c r="F1601" t="s">
        <v>3028</v>
      </c>
      <c r="G1601" s="6"/>
      <c r="H1601" s="47">
        <v>1631</v>
      </c>
      <c r="I1601" s="325" t="s">
        <v>44</v>
      </c>
      <c r="J1601" s="255" t="str">
        <f>IF(ISBLANK(INDEX('Policy Characteristics'!D:D,MATCH($C1601,'Policy Characteristics'!$C:$C,0))),"",INDEX('Policy Characteristics'!D:D,MATCH($C1601,'Policy Characteristics'!$C:$C,0)))</f>
        <v/>
      </c>
      <c r="K1601" s="254" t="str">
        <f>IF(ISBLANK(INDEX('Policy Characteristics'!E:E,MATCH($C1601,'Policy Characteristics'!$C:$C,0))),"",INDEX('Policy Characteristics'!E:E,MATCH($C1601,'Policy Characteristics'!$C:$C,0)))</f>
        <v>cross toggle whether carbon tax affects process emissions</v>
      </c>
      <c r="L1601" s="254">
        <f>IF(ISBLANK(INDEX('Policy Characteristics'!F:F,MATCH($C1601,'Policy Characteristics'!$C:$C,0))),"",INDEX('Policy Characteristics'!F:F,MATCH($C1601,'Policy Characteristics'!$C:$C,0)))</f>
        <v>0</v>
      </c>
      <c r="M1601" s="254">
        <f>IF(ISBLANK(INDEX('Policy Characteristics'!G:G,MATCH($C1601,'Policy Characteristics'!$C:$C,0))),"",INDEX('Policy Characteristics'!G:G,MATCH($C1601,'Policy Characteristics'!$C:$C,0)))</f>
        <v>1</v>
      </c>
      <c r="N1601" s="254">
        <f>IF(ISBLANK(INDEX('Policy Characteristics'!H:H,MATCH($C1601,'Policy Characteristics'!$C:$C,0))),"",INDEX('Policy Characteristics'!H:H,MATCH($C1601,'Policy Characteristics'!$C:$C,0)))</f>
        <v>1</v>
      </c>
      <c r="O1601" s="254" t="str">
        <f>IF(ISBLANK(INDEX('Policy Characteristics'!I:I,MATCH($C1601,'Policy Characteristics'!$C:$C,0))),"",INDEX('Policy Characteristics'!I:I,MATCH($C1601,'Policy Characteristics'!$C:$C,0)))</f>
        <v>on/off</v>
      </c>
      <c r="P1601" s="254" t="str">
        <f>IF(ISBLANK(INDEX('Policy Characteristics'!J:J,MATCH($C1601,'Policy Characteristics'!$C:$C,0))),"",INDEX('Policy Characteristics'!J:J,MATCH($C1601,'Policy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1" s="254" t="str">
        <f>IF(ISBLANK(INDEX('Policy Characteristics'!K:K,MATCH($C1601,'Policy Characteristics'!$C:$C,0))),"",INDEX('Policy Characteristics'!K:K,MATCH($C1601,'Policy Characteristics'!$C:$C,0)))</f>
        <v>fuels.html#carbon-tax</v>
      </c>
      <c r="R1601" s="254" t="str">
        <f>IF(ISBLANK(INDEX('Policy Characteristics'!L:L,MATCH($C1601,'Policy Characteristics'!$C:$C,0))),"",INDEX('Policy Characteristics'!L:L,MATCH($C1601,'Policy Characteristics'!$C:$C,0)))</f>
        <v>carbon-tax.html</v>
      </c>
    </row>
    <row r="1602" spans="1:18" s="2" customFormat="1" x14ac:dyDescent="0.3">
      <c r="A1602" s="254" t="str">
        <f>IF(ISBLANK(INDEX('Policy Characteristics'!A:A,MATCH($C1602,'Policy Characteristics'!$C:$C,0))),"",INDEX('Policy Characteristics'!A:A,MATCH($C1602,'Policy Characteristics'!$C:$C,0)))</f>
        <v>Cross-Sector</v>
      </c>
      <c r="B1602" s="262" t="str">
        <f>IF(ISBLANK(INDEX('Policy Characteristics'!B:B,MATCH($C1602,'Policy Characteristics'!$C:$C,0))),"",INDEX('Policy Characteristics'!B:B,MATCH($C1602,'Policy Characteristics'!$C:$C,0)))</f>
        <v>Exempt Process Emissions from C Tax</v>
      </c>
      <c r="C1602" s="254" t="str">
        <f t="shared" si="62"/>
        <v>BEPEfCT Boolean Exempt Process Emissions from Carbon Tax</v>
      </c>
      <c r="D1602" s="6" t="s">
        <v>3065</v>
      </c>
      <c r="E1602" s="6"/>
      <c r="F1602" t="s">
        <v>3029</v>
      </c>
      <c r="G1602" s="6"/>
      <c r="H1602" s="47">
        <v>1632</v>
      </c>
      <c r="I1602" s="325" t="s">
        <v>44</v>
      </c>
      <c r="J1602" s="255" t="str">
        <f>IF(ISBLANK(INDEX('Policy Characteristics'!D:D,MATCH($C1602,'Policy Characteristics'!$C:$C,0))),"",INDEX('Policy Characteristics'!D:D,MATCH($C1602,'Policy Characteristics'!$C:$C,0)))</f>
        <v/>
      </c>
      <c r="K1602" s="254" t="str">
        <f>IF(ISBLANK(INDEX('Policy Characteristics'!E:E,MATCH($C1602,'Policy Characteristics'!$C:$C,0))),"",INDEX('Policy Characteristics'!E:E,MATCH($C1602,'Policy Characteristics'!$C:$C,0)))</f>
        <v>cross toggle whether carbon tax affects process emissions</v>
      </c>
      <c r="L1602" s="254">
        <f>IF(ISBLANK(INDEX('Policy Characteristics'!F:F,MATCH($C1602,'Policy Characteristics'!$C:$C,0))),"",INDEX('Policy Characteristics'!F:F,MATCH($C1602,'Policy Characteristics'!$C:$C,0)))</f>
        <v>0</v>
      </c>
      <c r="M1602" s="254">
        <f>IF(ISBLANK(INDEX('Policy Characteristics'!G:G,MATCH($C1602,'Policy Characteristics'!$C:$C,0))),"",INDEX('Policy Characteristics'!G:G,MATCH($C1602,'Policy Characteristics'!$C:$C,0)))</f>
        <v>1</v>
      </c>
      <c r="N1602" s="254">
        <f>IF(ISBLANK(INDEX('Policy Characteristics'!H:H,MATCH($C1602,'Policy Characteristics'!$C:$C,0))),"",INDEX('Policy Characteristics'!H:H,MATCH($C1602,'Policy Characteristics'!$C:$C,0)))</f>
        <v>1</v>
      </c>
      <c r="O1602" s="254" t="str">
        <f>IF(ISBLANK(INDEX('Policy Characteristics'!I:I,MATCH($C1602,'Policy Characteristics'!$C:$C,0))),"",INDEX('Policy Characteristics'!I:I,MATCH($C1602,'Policy Characteristics'!$C:$C,0)))</f>
        <v>on/off</v>
      </c>
      <c r="P1602" s="254" t="str">
        <f>IF(ISBLANK(INDEX('Policy Characteristics'!J:J,MATCH($C1602,'Policy Characteristics'!$C:$C,0))),"",INDEX('Policy Characteristics'!J:J,MATCH($C1602,'Policy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2" s="254" t="str">
        <f>IF(ISBLANK(INDEX('Policy Characteristics'!K:K,MATCH($C1602,'Policy Characteristics'!$C:$C,0))),"",INDEX('Policy Characteristics'!K:K,MATCH($C1602,'Policy Characteristics'!$C:$C,0)))</f>
        <v>fuels.html#carbon-tax</v>
      </c>
      <c r="R1602" s="254" t="str">
        <f>IF(ISBLANK(INDEX('Policy Characteristics'!L:L,MATCH($C1602,'Policy Characteristics'!$C:$C,0))),"",INDEX('Policy Characteristics'!L:L,MATCH($C1602,'Policy Characteristics'!$C:$C,0)))</f>
        <v>carbon-tax.html</v>
      </c>
    </row>
    <row r="1603" spans="1:18" s="2" customFormat="1" x14ac:dyDescent="0.3">
      <c r="A1603" s="254" t="str">
        <f>IF(ISBLANK(INDEX('Policy Characteristics'!A:A,MATCH($C1603,'Policy Characteristics'!$C:$C,0))),"",INDEX('Policy Characteristics'!A:A,MATCH($C1603,'Policy Characteristics'!$C:$C,0)))</f>
        <v>Cross-Sector</v>
      </c>
      <c r="B1603" s="262" t="str">
        <f>IF(ISBLANK(INDEX('Policy Characteristics'!B:B,MATCH($C1603,'Policy Characteristics'!$C:$C,0))),"",INDEX('Policy Characteristics'!B:B,MATCH($C1603,'Policy Characteristics'!$C:$C,0)))</f>
        <v>Exempt Process Emissions from C Tax</v>
      </c>
      <c r="C1603" s="254" t="str">
        <f t="shared" si="62"/>
        <v>BEPEfCT Boolean Exempt Process Emissions from Carbon Tax</v>
      </c>
      <c r="D1603" s="6" t="s">
        <v>3066</v>
      </c>
      <c r="E1603" s="6"/>
      <c r="F1603" t="s">
        <v>3030</v>
      </c>
      <c r="G1603" s="6"/>
      <c r="H1603" s="47">
        <v>1633</v>
      </c>
      <c r="I1603" s="325" t="s">
        <v>44</v>
      </c>
      <c r="J1603" s="255" t="str">
        <f>IF(ISBLANK(INDEX('Policy Characteristics'!D:D,MATCH($C1603,'Policy Characteristics'!$C:$C,0))),"",INDEX('Policy Characteristics'!D:D,MATCH($C1603,'Policy Characteristics'!$C:$C,0)))</f>
        <v/>
      </c>
      <c r="K1603" s="254" t="str">
        <f>IF(ISBLANK(INDEX('Policy Characteristics'!E:E,MATCH($C1603,'Policy Characteristics'!$C:$C,0))),"",INDEX('Policy Characteristics'!E:E,MATCH($C1603,'Policy Characteristics'!$C:$C,0)))</f>
        <v>cross toggle whether carbon tax affects process emissions</v>
      </c>
      <c r="L1603" s="254">
        <f>IF(ISBLANK(INDEX('Policy Characteristics'!F:F,MATCH($C1603,'Policy Characteristics'!$C:$C,0))),"",INDEX('Policy Characteristics'!F:F,MATCH($C1603,'Policy Characteristics'!$C:$C,0)))</f>
        <v>0</v>
      </c>
      <c r="M1603" s="254">
        <f>IF(ISBLANK(INDEX('Policy Characteristics'!G:G,MATCH($C1603,'Policy Characteristics'!$C:$C,0))),"",INDEX('Policy Characteristics'!G:G,MATCH($C1603,'Policy Characteristics'!$C:$C,0)))</f>
        <v>1</v>
      </c>
      <c r="N1603" s="254">
        <f>IF(ISBLANK(INDEX('Policy Characteristics'!H:H,MATCH($C1603,'Policy Characteristics'!$C:$C,0))),"",INDEX('Policy Characteristics'!H:H,MATCH($C1603,'Policy Characteristics'!$C:$C,0)))</f>
        <v>1</v>
      </c>
      <c r="O1603" s="254" t="str">
        <f>IF(ISBLANK(INDEX('Policy Characteristics'!I:I,MATCH($C1603,'Policy Characteristics'!$C:$C,0))),"",INDEX('Policy Characteristics'!I:I,MATCH($C1603,'Policy Characteristics'!$C:$C,0)))</f>
        <v>on/off</v>
      </c>
      <c r="P1603" s="254" t="str">
        <f>IF(ISBLANK(INDEX('Policy Characteristics'!J:J,MATCH($C1603,'Policy Characteristics'!$C:$C,0))),"",INDEX('Policy Characteristics'!J:J,MATCH($C1603,'Policy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3" s="254" t="str">
        <f>IF(ISBLANK(INDEX('Policy Characteristics'!K:K,MATCH($C1603,'Policy Characteristics'!$C:$C,0))),"",INDEX('Policy Characteristics'!K:K,MATCH($C1603,'Policy Characteristics'!$C:$C,0)))</f>
        <v>fuels.html#carbon-tax</v>
      </c>
      <c r="R1603" s="254" t="str">
        <f>IF(ISBLANK(INDEX('Policy Characteristics'!L:L,MATCH($C1603,'Policy Characteristics'!$C:$C,0))),"",INDEX('Policy Characteristics'!L:L,MATCH($C1603,'Policy Characteristics'!$C:$C,0)))</f>
        <v>carbon-tax.html</v>
      </c>
    </row>
    <row r="1604" spans="1:18" s="2" customFormat="1" x14ac:dyDescent="0.3">
      <c r="A1604" s="254" t="str">
        <f>IF(ISBLANK(INDEX('Policy Characteristics'!A:A,MATCH($C1604,'Policy Characteristics'!$C:$C,0))),"",INDEX('Policy Characteristics'!A:A,MATCH($C1604,'Policy Characteristics'!$C:$C,0)))</f>
        <v>Cross-Sector</v>
      </c>
      <c r="B1604" s="262" t="str">
        <f>IF(ISBLANK(INDEX('Policy Characteristics'!B:B,MATCH($C1604,'Policy Characteristics'!$C:$C,0))),"",INDEX('Policy Characteristics'!B:B,MATCH($C1604,'Policy Characteristics'!$C:$C,0)))</f>
        <v>Exempt Process Emissions from C Tax</v>
      </c>
      <c r="C1604" s="254" t="str">
        <f t="shared" si="62"/>
        <v>BEPEfCT Boolean Exempt Process Emissions from Carbon Tax</v>
      </c>
      <c r="D1604" s="6" t="s">
        <v>3067</v>
      </c>
      <c r="E1604" s="6"/>
      <c r="F1604" t="s">
        <v>3031</v>
      </c>
      <c r="G1604" s="6"/>
      <c r="H1604" s="47">
        <v>1634</v>
      </c>
      <c r="I1604" s="325" t="s">
        <v>44</v>
      </c>
      <c r="J1604" s="255" t="str">
        <f>IF(ISBLANK(INDEX('Policy Characteristics'!D:D,MATCH($C1604,'Policy Characteristics'!$C:$C,0))),"",INDEX('Policy Characteristics'!D:D,MATCH($C1604,'Policy Characteristics'!$C:$C,0)))</f>
        <v/>
      </c>
      <c r="K1604" s="254" t="str">
        <f>IF(ISBLANK(INDEX('Policy Characteristics'!E:E,MATCH($C1604,'Policy Characteristics'!$C:$C,0))),"",INDEX('Policy Characteristics'!E:E,MATCH($C1604,'Policy Characteristics'!$C:$C,0)))</f>
        <v>cross toggle whether carbon tax affects process emissions</v>
      </c>
      <c r="L1604" s="254">
        <f>IF(ISBLANK(INDEX('Policy Characteristics'!F:F,MATCH($C1604,'Policy Characteristics'!$C:$C,0))),"",INDEX('Policy Characteristics'!F:F,MATCH($C1604,'Policy Characteristics'!$C:$C,0)))</f>
        <v>0</v>
      </c>
      <c r="M1604" s="254">
        <f>IF(ISBLANK(INDEX('Policy Characteristics'!G:G,MATCH($C1604,'Policy Characteristics'!$C:$C,0))),"",INDEX('Policy Characteristics'!G:G,MATCH($C1604,'Policy Characteristics'!$C:$C,0)))</f>
        <v>1</v>
      </c>
      <c r="N1604" s="254">
        <f>IF(ISBLANK(INDEX('Policy Characteristics'!H:H,MATCH($C1604,'Policy Characteristics'!$C:$C,0))),"",INDEX('Policy Characteristics'!H:H,MATCH($C1604,'Policy Characteristics'!$C:$C,0)))</f>
        <v>1</v>
      </c>
      <c r="O1604" s="254" t="str">
        <f>IF(ISBLANK(INDEX('Policy Characteristics'!I:I,MATCH($C1604,'Policy Characteristics'!$C:$C,0))),"",INDEX('Policy Characteristics'!I:I,MATCH($C1604,'Policy Characteristics'!$C:$C,0)))</f>
        <v>on/off</v>
      </c>
      <c r="P1604" s="254" t="str">
        <f>IF(ISBLANK(INDEX('Policy Characteristics'!J:J,MATCH($C1604,'Policy Characteristics'!$C:$C,0))),"",INDEX('Policy Characteristics'!J:J,MATCH($C1604,'Policy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4" s="254" t="str">
        <f>IF(ISBLANK(INDEX('Policy Characteristics'!K:K,MATCH($C1604,'Policy Characteristics'!$C:$C,0))),"",INDEX('Policy Characteristics'!K:K,MATCH($C1604,'Policy Characteristics'!$C:$C,0)))</f>
        <v>fuels.html#carbon-tax</v>
      </c>
      <c r="R1604" s="254" t="str">
        <f>IF(ISBLANK(INDEX('Policy Characteristics'!L:L,MATCH($C1604,'Policy Characteristics'!$C:$C,0))),"",INDEX('Policy Characteristics'!L:L,MATCH($C1604,'Policy Characteristics'!$C:$C,0)))</f>
        <v>carbon-tax.html</v>
      </c>
    </row>
    <row r="1605" spans="1:18" s="2" customFormat="1" x14ac:dyDescent="0.3">
      <c r="A1605" s="254" t="str">
        <f>IF(ISBLANK(INDEX('Policy Characteristics'!A:A,MATCH($C1605,'Policy Characteristics'!$C:$C,0))),"",INDEX('Policy Characteristics'!A:A,MATCH($C1605,'Policy Characteristics'!$C:$C,0)))</f>
        <v>Cross-Sector</v>
      </c>
      <c r="B1605" s="262" t="str">
        <f>IF(ISBLANK(INDEX('Policy Characteristics'!B:B,MATCH($C1605,'Policy Characteristics'!$C:$C,0))),"",INDEX('Policy Characteristics'!B:B,MATCH($C1605,'Policy Characteristics'!$C:$C,0)))</f>
        <v>Exempt Process Emissions from C Tax</v>
      </c>
      <c r="C1605" s="254" t="str">
        <f t="shared" si="62"/>
        <v>BEPEfCT Boolean Exempt Process Emissions from Carbon Tax</v>
      </c>
      <c r="D1605" s="6" t="s">
        <v>3068</v>
      </c>
      <c r="E1605" s="6"/>
      <c r="F1605" t="s">
        <v>3032</v>
      </c>
      <c r="G1605" s="6"/>
      <c r="H1605" s="47">
        <v>1635</v>
      </c>
      <c r="I1605" s="325" t="s">
        <v>44</v>
      </c>
      <c r="J1605" s="255" t="str">
        <f>IF(ISBLANK(INDEX('Policy Characteristics'!D:D,MATCH($C1605,'Policy Characteristics'!$C:$C,0))),"",INDEX('Policy Characteristics'!D:D,MATCH($C1605,'Policy Characteristics'!$C:$C,0)))</f>
        <v/>
      </c>
      <c r="K1605" s="254" t="str">
        <f>IF(ISBLANK(INDEX('Policy Characteristics'!E:E,MATCH($C1605,'Policy Characteristics'!$C:$C,0))),"",INDEX('Policy Characteristics'!E:E,MATCH($C1605,'Policy Characteristics'!$C:$C,0)))</f>
        <v>cross toggle whether carbon tax affects process emissions</v>
      </c>
      <c r="L1605" s="254">
        <f>IF(ISBLANK(INDEX('Policy Characteristics'!F:F,MATCH($C1605,'Policy Characteristics'!$C:$C,0))),"",INDEX('Policy Characteristics'!F:F,MATCH($C1605,'Policy Characteristics'!$C:$C,0)))</f>
        <v>0</v>
      </c>
      <c r="M1605" s="254">
        <f>IF(ISBLANK(INDEX('Policy Characteristics'!G:G,MATCH($C1605,'Policy Characteristics'!$C:$C,0))),"",INDEX('Policy Characteristics'!G:G,MATCH($C1605,'Policy Characteristics'!$C:$C,0)))</f>
        <v>1</v>
      </c>
      <c r="N1605" s="254">
        <f>IF(ISBLANK(INDEX('Policy Characteristics'!H:H,MATCH($C1605,'Policy Characteristics'!$C:$C,0))),"",INDEX('Policy Characteristics'!H:H,MATCH($C1605,'Policy Characteristics'!$C:$C,0)))</f>
        <v>1</v>
      </c>
      <c r="O1605" s="254" t="str">
        <f>IF(ISBLANK(INDEX('Policy Characteristics'!I:I,MATCH($C1605,'Policy Characteristics'!$C:$C,0))),"",INDEX('Policy Characteristics'!I:I,MATCH($C1605,'Policy Characteristics'!$C:$C,0)))</f>
        <v>on/off</v>
      </c>
      <c r="P1605" s="254" t="str">
        <f>IF(ISBLANK(INDEX('Policy Characteristics'!J:J,MATCH($C1605,'Policy Characteristics'!$C:$C,0))),"",INDEX('Policy Characteristics'!J:J,MATCH($C1605,'Policy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5" s="254" t="str">
        <f>IF(ISBLANK(INDEX('Policy Characteristics'!K:K,MATCH($C1605,'Policy Characteristics'!$C:$C,0))),"",INDEX('Policy Characteristics'!K:K,MATCH($C1605,'Policy Characteristics'!$C:$C,0)))</f>
        <v>fuels.html#carbon-tax</v>
      </c>
      <c r="R1605" s="254" t="str">
        <f>IF(ISBLANK(INDEX('Policy Characteristics'!L:L,MATCH($C1605,'Policy Characteristics'!$C:$C,0))),"",INDEX('Policy Characteristics'!L:L,MATCH($C1605,'Policy Characteristics'!$C:$C,0)))</f>
        <v>carbon-tax.html</v>
      </c>
    </row>
    <row r="1606" spans="1:18" s="2" customFormat="1" x14ac:dyDescent="0.3">
      <c r="A1606" s="254" t="str">
        <f>IF(ISBLANK(INDEX('Policy Characteristics'!A:A,MATCH($C1606,'Policy Characteristics'!$C:$C,0))),"",INDEX('Policy Characteristics'!A:A,MATCH($C1606,'Policy Characteristics'!$C:$C,0)))</f>
        <v>Cross-Sector</v>
      </c>
      <c r="B1606" s="262" t="str">
        <f>IF(ISBLANK(INDEX('Policy Characteristics'!B:B,MATCH($C1606,'Policy Characteristics'!$C:$C,0))),"",INDEX('Policy Characteristics'!B:B,MATCH($C1606,'Policy Characteristics'!$C:$C,0)))</f>
        <v>Exempt Process Emissions from C Tax</v>
      </c>
      <c r="C1606" s="254" t="str">
        <f t="shared" si="62"/>
        <v>BEPEfCT Boolean Exempt Process Emissions from Carbon Tax</v>
      </c>
      <c r="D1606" s="6" t="s">
        <v>3069</v>
      </c>
      <c r="E1606" s="6"/>
      <c r="F1606" t="s">
        <v>3033</v>
      </c>
      <c r="G1606" s="6"/>
      <c r="H1606" s="47">
        <v>1636</v>
      </c>
      <c r="I1606" s="325" t="s">
        <v>44</v>
      </c>
      <c r="J1606" s="255" t="str">
        <f>IF(ISBLANK(INDEX('Policy Characteristics'!D:D,MATCH($C1606,'Policy Characteristics'!$C:$C,0))),"",INDEX('Policy Characteristics'!D:D,MATCH($C1606,'Policy Characteristics'!$C:$C,0)))</f>
        <v/>
      </c>
      <c r="K1606" s="254" t="str">
        <f>IF(ISBLANK(INDEX('Policy Characteristics'!E:E,MATCH($C1606,'Policy Characteristics'!$C:$C,0))),"",INDEX('Policy Characteristics'!E:E,MATCH($C1606,'Policy Characteristics'!$C:$C,0)))</f>
        <v>cross toggle whether carbon tax affects process emissions</v>
      </c>
      <c r="L1606" s="254">
        <f>IF(ISBLANK(INDEX('Policy Characteristics'!F:F,MATCH($C1606,'Policy Characteristics'!$C:$C,0))),"",INDEX('Policy Characteristics'!F:F,MATCH($C1606,'Policy Characteristics'!$C:$C,0)))</f>
        <v>0</v>
      </c>
      <c r="M1606" s="254">
        <f>IF(ISBLANK(INDEX('Policy Characteristics'!G:G,MATCH($C1606,'Policy Characteristics'!$C:$C,0))),"",INDEX('Policy Characteristics'!G:G,MATCH($C1606,'Policy Characteristics'!$C:$C,0)))</f>
        <v>1</v>
      </c>
      <c r="N1606" s="254">
        <f>IF(ISBLANK(INDEX('Policy Characteristics'!H:H,MATCH($C1606,'Policy Characteristics'!$C:$C,0))),"",INDEX('Policy Characteristics'!H:H,MATCH($C1606,'Policy Characteristics'!$C:$C,0)))</f>
        <v>1</v>
      </c>
      <c r="O1606" s="254" t="str">
        <f>IF(ISBLANK(INDEX('Policy Characteristics'!I:I,MATCH($C1606,'Policy Characteristics'!$C:$C,0))),"",INDEX('Policy Characteristics'!I:I,MATCH($C1606,'Policy Characteristics'!$C:$C,0)))</f>
        <v>on/off</v>
      </c>
      <c r="P1606" s="254" t="str">
        <f>IF(ISBLANK(INDEX('Policy Characteristics'!J:J,MATCH($C1606,'Policy Characteristics'!$C:$C,0))),"",INDEX('Policy Characteristics'!J:J,MATCH($C1606,'Policy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6" s="254" t="str">
        <f>IF(ISBLANK(INDEX('Policy Characteristics'!K:K,MATCH($C1606,'Policy Characteristics'!$C:$C,0))),"",INDEX('Policy Characteristics'!K:K,MATCH($C1606,'Policy Characteristics'!$C:$C,0)))</f>
        <v>fuels.html#carbon-tax</v>
      </c>
      <c r="R1606" s="254" t="str">
        <f>IF(ISBLANK(INDEX('Policy Characteristics'!L:L,MATCH($C1606,'Policy Characteristics'!$C:$C,0))),"",INDEX('Policy Characteristics'!L:L,MATCH($C1606,'Policy Characteristics'!$C:$C,0)))</f>
        <v>carbon-tax.html</v>
      </c>
    </row>
    <row r="1607" spans="1:18" s="2" customFormat="1" x14ac:dyDescent="0.3">
      <c r="A1607" s="254" t="str">
        <f>IF(ISBLANK(INDEX('Policy Characteristics'!A:A,MATCH($C1607,'Policy Characteristics'!$C:$C,0))),"",INDEX('Policy Characteristics'!A:A,MATCH($C1607,'Policy Characteristics'!$C:$C,0)))</f>
        <v>Cross-Sector</v>
      </c>
      <c r="B1607" s="262" t="str">
        <f>IF(ISBLANK(INDEX('Policy Characteristics'!B:B,MATCH($C1607,'Policy Characteristics'!$C:$C,0))),"",INDEX('Policy Characteristics'!B:B,MATCH($C1607,'Policy Characteristics'!$C:$C,0)))</f>
        <v>Exempt Process Emissions from C Tax</v>
      </c>
      <c r="C1607" s="254" t="str">
        <f t="shared" si="62"/>
        <v>BEPEfCT Boolean Exempt Process Emissions from Carbon Tax</v>
      </c>
      <c r="D1607" s="6" t="s">
        <v>3070</v>
      </c>
      <c r="E1607" s="6"/>
      <c r="F1607" t="s">
        <v>2579</v>
      </c>
      <c r="G1607" s="6"/>
      <c r="H1607" s="47">
        <v>1637</v>
      </c>
      <c r="I1607" s="325" t="s">
        <v>43</v>
      </c>
      <c r="J1607" s="255" t="str">
        <f>IF(ISBLANK(INDEX('Policy Characteristics'!D:D,MATCH($C1607,'Policy Characteristics'!$C:$C,0))),"",INDEX('Policy Characteristics'!D:D,MATCH($C1607,'Policy Characteristics'!$C:$C,0)))</f>
        <v/>
      </c>
      <c r="K1607" s="254" t="str">
        <f>IF(ISBLANK(INDEX('Policy Characteristics'!E:E,MATCH($C1607,'Policy Characteristics'!$C:$C,0))),"",INDEX('Policy Characteristics'!E:E,MATCH($C1607,'Policy Characteristics'!$C:$C,0)))</f>
        <v>cross toggle whether carbon tax affects process emissions</v>
      </c>
      <c r="L1607" s="254">
        <f>IF(ISBLANK(INDEX('Policy Characteristics'!F:F,MATCH($C1607,'Policy Characteristics'!$C:$C,0))),"",INDEX('Policy Characteristics'!F:F,MATCH($C1607,'Policy Characteristics'!$C:$C,0)))</f>
        <v>0</v>
      </c>
      <c r="M1607" s="254">
        <f>IF(ISBLANK(INDEX('Policy Characteristics'!G:G,MATCH($C1607,'Policy Characteristics'!$C:$C,0))),"",INDEX('Policy Characteristics'!G:G,MATCH($C1607,'Policy Characteristics'!$C:$C,0)))</f>
        <v>1</v>
      </c>
      <c r="N1607" s="254">
        <f>IF(ISBLANK(INDEX('Policy Characteristics'!H:H,MATCH($C1607,'Policy Characteristics'!$C:$C,0))),"",INDEX('Policy Characteristics'!H:H,MATCH($C1607,'Policy Characteristics'!$C:$C,0)))</f>
        <v>1</v>
      </c>
      <c r="O1607" s="254" t="str">
        <f>IF(ISBLANK(INDEX('Policy Characteristics'!I:I,MATCH($C1607,'Policy Characteristics'!$C:$C,0))),"",INDEX('Policy Characteristics'!I:I,MATCH($C1607,'Policy Characteristics'!$C:$C,0)))</f>
        <v>on/off</v>
      </c>
      <c r="P1607" s="254" t="str">
        <f>IF(ISBLANK(INDEX('Policy Characteristics'!J:J,MATCH($C1607,'Policy Characteristics'!$C:$C,0))),"",INDEX('Policy Characteristics'!J:J,MATCH($C1607,'Policy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7" s="254" t="str">
        <f>IF(ISBLANK(INDEX('Policy Characteristics'!K:K,MATCH($C1607,'Policy Characteristics'!$C:$C,0))),"",INDEX('Policy Characteristics'!K:K,MATCH($C1607,'Policy Characteristics'!$C:$C,0)))</f>
        <v>fuels.html#carbon-tax</v>
      </c>
      <c r="R1607" s="254" t="str">
        <f>IF(ISBLANK(INDEX('Policy Characteristics'!L:L,MATCH($C1607,'Policy Characteristics'!$C:$C,0))),"",INDEX('Policy Characteristics'!L:L,MATCH($C1607,'Policy Characteristics'!$C:$C,0)))</f>
        <v>carbon-tax.html</v>
      </c>
    </row>
    <row r="1608" spans="1:18" s="2" customFormat="1" x14ac:dyDescent="0.3">
      <c r="A1608" s="254" t="str">
        <f>IF(ISBLANK(INDEX('Policy Characteristics'!A:A,MATCH($C1608,'Policy Characteristics'!$C:$C,0))),"",INDEX('Policy Characteristics'!A:A,MATCH($C1608,'Policy Characteristics'!$C:$C,0)))</f>
        <v>Cross-Sector</v>
      </c>
      <c r="B1608" s="262" t="str">
        <f>IF(ISBLANK(INDEX('Policy Characteristics'!B:B,MATCH($C1608,'Policy Characteristics'!$C:$C,0))),"",INDEX('Policy Characteristics'!B:B,MATCH($C1608,'Policy Characteristics'!$C:$C,0)))</f>
        <v>Exempt Process Emissions from C Tax</v>
      </c>
      <c r="C1608" s="254" t="str">
        <f t="shared" si="62"/>
        <v>BEPEfCT Boolean Exempt Process Emissions from Carbon Tax</v>
      </c>
      <c r="D1608" s="6" t="s">
        <v>3071</v>
      </c>
      <c r="E1608" s="6"/>
      <c r="F1608" t="s">
        <v>3034</v>
      </c>
      <c r="G1608" s="6"/>
      <c r="H1608" s="47">
        <v>1638</v>
      </c>
      <c r="I1608" s="325" t="s">
        <v>44</v>
      </c>
      <c r="J1608" s="255" t="str">
        <f>IF(ISBLANK(INDEX('Policy Characteristics'!D:D,MATCH($C1608,'Policy Characteristics'!$C:$C,0))),"",INDEX('Policy Characteristics'!D:D,MATCH($C1608,'Policy Characteristics'!$C:$C,0)))</f>
        <v/>
      </c>
      <c r="K1608" s="254" t="str">
        <f>IF(ISBLANK(INDEX('Policy Characteristics'!E:E,MATCH($C1608,'Policy Characteristics'!$C:$C,0))),"",INDEX('Policy Characteristics'!E:E,MATCH($C1608,'Policy Characteristics'!$C:$C,0)))</f>
        <v>cross toggle whether carbon tax affects process emissions</v>
      </c>
      <c r="L1608" s="254">
        <f>IF(ISBLANK(INDEX('Policy Characteristics'!F:F,MATCH($C1608,'Policy Characteristics'!$C:$C,0))),"",INDEX('Policy Characteristics'!F:F,MATCH($C1608,'Policy Characteristics'!$C:$C,0)))</f>
        <v>0</v>
      </c>
      <c r="M1608" s="254">
        <f>IF(ISBLANK(INDEX('Policy Characteristics'!G:G,MATCH($C1608,'Policy Characteristics'!$C:$C,0))),"",INDEX('Policy Characteristics'!G:G,MATCH($C1608,'Policy Characteristics'!$C:$C,0)))</f>
        <v>1</v>
      </c>
      <c r="N1608" s="254">
        <f>IF(ISBLANK(INDEX('Policy Characteristics'!H:H,MATCH($C1608,'Policy Characteristics'!$C:$C,0))),"",INDEX('Policy Characteristics'!H:H,MATCH($C1608,'Policy Characteristics'!$C:$C,0)))</f>
        <v>1</v>
      </c>
      <c r="O1608" s="254" t="str">
        <f>IF(ISBLANK(INDEX('Policy Characteristics'!I:I,MATCH($C1608,'Policy Characteristics'!$C:$C,0))),"",INDEX('Policy Characteristics'!I:I,MATCH($C1608,'Policy Characteristics'!$C:$C,0)))</f>
        <v>on/off</v>
      </c>
      <c r="P1608" s="254" t="str">
        <f>IF(ISBLANK(INDEX('Policy Characteristics'!J:J,MATCH($C1608,'Policy Characteristics'!$C:$C,0))),"",INDEX('Policy Characteristics'!J:J,MATCH($C1608,'Policy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8" s="254" t="str">
        <f>IF(ISBLANK(INDEX('Policy Characteristics'!K:K,MATCH($C1608,'Policy Characteristics'!$C:$C,0))),"",INDEX('Policy Characteristics'!K:K,MATCH($C1608,'Policy Characteristics'!$C:$C,0)))</f>
        <v>fuels.html#carbon-tax</v>
      </c>
      <c r="R1608" s="254" t="str">
        <f>IF(ISBLANK(INDEX('Policy Characteristics'!L:L,MATCH($C1608,'Policy Characteristics'!$C:$C,0))),"",INDEX('Policy Characteristics'!L:L,MATCH($C1608,'Policy Characteristics'!$C:$C,0)))</f>
        <v>carbon-tax.html</v>
      </c>
    </row>
    <row r="1609" spans="1:18" s="2" customFormat="1" x14ac:dyDescent="0.3">
      <c r="A1609" s="254" t="str">
        <f>IF(ISBLANK(INDEX('Policy Characteristics'!A:A,MATCH($C1609,'Policy Characteristics'!$C:$C,0))),"",INDEX('Policy Characteristics'!A:A,MATCH($C1609,'Policy Characteristics'!$C:$C,0)))</f>
        <v>Cross-Sector</v>
      </c>
      <c r="B1609" s="262" t="str">
        <f>IF(ISBLANK(INDEX('Policy Characteristics'!B:B,MATCH($C1609,'Policy Characteristics'!$C:$C,0))),"",INDEX('Policy Characteristics'!B:B,MATCH($C1609,'Policy Characteristics'!$C:$C,0)))</f>
        <v>Exempt Process Emissions from C Tax</v>
      </c>
      <c r="C1609" s="254" t="str">
        <f t="shared" si="62"/>
        <v>BEPEfCT Boolean Exempt Process Emissions from Carbon Tax</v>
      </c>
      <c r="D1609" s="6" t="s">
        <v>3072</v>
      </c>
      <c r="E1609" s="6"/>
      <c r="F1609" t="s">
        <v>3035</v>
      </c>
      <c r="G1609" s="6"/>
      <c r="H1609" s="47">
        <v>1639</v>
      </c>
      <c r="I1609" s="325" t="s">
        <v>44</v>
      </c>
      <c r="J1609" s="255" t="str">
        <f>IF(ISBLANK(INDEX('Policy Characteristics'!D:D,MATCH($C1609,'Policy Characteristics'!$C:$C,0))),"",INDEX('Policy Characteristics'!D:D,MATCH($C1609,'Policy Characteristics'!$C:$C,0)))</f>
        <v/>
      </c>
      <c r="K1609" s="254" t="str">
        <f>IF(ISBLANK(INDEX('Policy Characteristics'!E:E,MATCH($C1609,'Policy Characteristics'!$C:$C,0))),"",INDEX('Policy Characteristics'!E:E,MATCH($C1609,'Policy Characteristics'!$C:$C,0)))</f>
        <v>cross toggle whether carbon tax affects process emissions</v>
      </c>
      <c r="L1609" s="254">
        <f>IF(ISBLANK(INDEX('Policy Characteristics'!F:F,MATCH($C1609,'Policy Characteristics'!$C:$C,0))),"",INDEX('Policy Characteristics'!F:F,MATCH($C1609,'Policy Characteristics'!$C:$C,0)))</f>
        <v>0</v>
      </c>
      <c r="M1609" s="254">
        <f>IF(ISBLANK(INDEX('Policy Characteristics'!G:G,MATCH($C1609,'Policy Characteristics'!$C:$C,0))),"",INDEX('Policy Characteristics'!G:G,MATCH($C1609,'Policy Characteristics'!$C:$C,0)))</f>
        <v>1</v>
      </c>
      <c r="N1609" s="254">
        <f>IF(ISBLANK(INDEX('Policy Characteristics'!H:H,MATCH($C1609,'Policy Characteristics'!$C:$C,0))),"",INDEX('Policy Characteristics'!H:H,MATCH($C1609,'Policy Characteristics'!$C:$C,0)))</f>
        <v>1</v>
      </c>
      <c r="O1609" s="254" t="str">
        <f>IF(ISBLANK(INDEX('Policy Characteristics'!I:I,MATCH($C1609,'Policy Characteristics'!$C:$C,0))),"",INDEX('Policy Characteristics'!I:I,MATCH($C1609,'Policy Characteristics'!$C:$C,0)))</f>
        <v>on/off</v>
      </c>
      <c r="P1609" s="254" t="str">
        <f>IF(ISBLANK(INDEX('Policy Characteristics'!J:J,MATCH($C1609,'Policy Characteristics'!$C:$C,0))),"",INDEX('Policy Characteristics'!J:J,MATCH($C1609,'Policy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09" s="254" t="str">
        <f>IF(ISBLANK(INDEX('Policy Characteristics'!K:K,MATCH($C1609,'Policy Characteristics'!$C:$C,0))),"",INDEX('Policy Characteristics'!K:K,MATCH($C1609,'Policy Characteristics'!$C:$C,0)))</f>
        <v>fuels.html#carbon-tax</v>
      </c>
      <c r="R1609" s="254" t="str">
        <f>IF(ISBLANK(INDEX('Policy Characteristics'!L:L,MATCH($C1609,'Policy Characteristics'!$C:$C,0))),"",INDEX('Policy Characteristics'!L:L,MATCH($C1609,'Policy Characteristics'!$C:$C,0)))</f>
        <v>carbon-tax.html</v>
      </c>
    </row>
    <row r="1610" spans="1:18" s="2" customFormat="1" x14ac:dyDescent="0.3">
      <c r="A1610" s="254" t="str">
        <f>IF(ISBLANK(INDEX('Policy Characteristics'!A:A,MATCH($C1610,'Policy Characteristics'!$C:$C,0))),"",INDEX('Policy Characteristics'!A:A,MATCH($C1610,'Policy Characteristics'!$C:$C,0)))</f>
        <v>Cross-Sector</v>
      </c>
      <c r="B1610" s="262" t="str">
        <f>IF(ISBLANK(INDEX('Policy Characteristics'!B:B,MATCH($C1610,'Policy Characteristics'!$C:$C,0))),"",INDEX('Policy Characteristics'!B:B,MATCH($C1610,'Policy Characteristics'!$C:$C,0)))</f>
        <v>Exempt Process Emissions from C Tax</v>
      </c>
      <c r="C1610" s="254" t="str">
        <f t="shared" si="62"/>
        <v>BEPEfCT Boolean Exempt Process Emissions from Carbon Tax</v>
      </c>
      <c r="D1610" s="6" t="s">
        <v>3073</v>
      </c>
      <c r="E1610" s="6"/>
      <c r="F1610" t="s">
        <v>3036</v>
      </c>
      <c r="G1610" s="6"/>
      <c r="H1610" s="47">
        <v>1640</v>
      </c>
      <c r="I1610" s="325" t="s">
        <v>44</v>
      </c>
      <c r="J1610" s="255" t="str">
        <f>IF(ISBLANK(INDEX('Policy Characteristics'!D:D,MATCH($C1610,'Policy Characteristics'!$C:$C,0))),"",INDEX('Policy Characteristics'!D:D,MATCH($C1610,'Policy Characteristics'!$C:$C,0)))</f>
        <v/>
      </c>
      <c r="K1610" s="254" t="str">
        <f>IF(ISBLANK(INDEX('Policy Characteristics'!E:E,MATCH($C1610,'Policy Characteristics'!$C:$C,0))),"",INDEX('Policy Characteristics'!E:E,MATCH($C1610,'Policy Characteristics'!$C:$C,0)))</f>
        <v>cross toggle whether carbon tax affects process emissions</v>
      </c>
      <c r="L1610" s="254">
        <f>IF(ISBLANK(INDEX('Policy Characteristics'!F:F,MATCH($C1610,'Policy Characteristics'!$C:$C,0))),"",INDEX('Policy Characteristics'!F:F,MATCH($C1610,'Policy Characteristics'!$C:$C,0)))</f>
        <v>0</v>
      </c>
      <c r="M1610" s="254">
        <f>IF(ISBLANK(INDEX('Policy Characteristics'!G:G,MATCH($C1610,'Policy Characteristics'!$C:$C,0))),"",INDEX('Policy Characteristics'!G:G,MATCH($C1610,'Policy Characteristics'!$C:$C,0)))</f>
        <v>1</v>
      </c>
      <c r="N1610" s="254">
        <f>IF(ISBLANK(INDEX('Policy Characteristics'!H:H,MATCH($C1610,'Policy Characteristics'!$C:$C,0))),"",INDEX('Policy Characteristics'!H:H,MATCH($C1610,'Policy Characteristics'!$C:$C,0)))</f>
        <v>1</v>
      </c>
      <c r="O1610" s="254" t="str">
        <f>IF(ISBLANK(INDEX('Policy Characteristics'!I:I,MATCH($C1610,'Policy Characteristics'!$C:$C,0))),"",INDEX('Policy Characteristics'!I:I,MATCH($C1610,'Policy Characteristics'!$C:$C,0)))</f>
        <v>on/off</v>
      </c>
      <c r="P1610" s="254" t="str">
        <f>IF(ISBLANK(INDEX('Policy Characteristics'!J:J,MATCH($C1610,'Policy Characteristics'!$C:$C,0))),"",INDEX('Policy Characteristics'!J:J,MATCH($C1610,'Policy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0" s="254" t="str">
        <f>IF(ISBLANK(INDEX('Policy Characteristics'!K:K,MATCH($C1610,'Policy Characteristics'!$C:$C,0))),"",INDEX('Policy Characteristics'!K:K,MATCH($C1610,'Policy Characteristics'!$C:$C,0)))</f>
        <v>fuels.html#carbon-tax</v>
      </c>
      <c r="R1610" s="254" t="str">
        <f>IF(ISBLANK(INDEX('Policy Characteristics'!L:L,MATCH($C1610,'Policy Characteristics'!$C:$C,0))),"",INDEX('Policy Characteristics'!L:L,MATCH($C1610,'Policy Characteristics'!$C:$C,0)))</f>
        <v>carbon-tax.html</v>
      </c>
    </row>
    <row r="1611" spans="1:18" s="2" customFormat="1" x14ac:dyDescent="0.3">
      <c r="A1611" s="254" t="str">
        <f>IF(ISBLANK(INDEX('Policy Characteristics'!A:A,MATCH($C1611,'Policy Characteristics'!$C:$C,0))),"",INDEX('Policy Characteristics'!A:A,MATCH($C1611,'Policy Characteristics'!$C:$C,0)))</f>
        <v>Cross-Sector</v>
      </c>
      <c r="B1611" s="262" t="str">
        <f>IF(ISBLANK(INDEX('Policy Characteristics'!B:B,MATCH($C1611,'Policy Characteristics'!$C:$C,0))),"",INDEX('Policy Characteristics'!B:B,MATCH($C1611,'Policy Characteristics'!$C:$C,0)))</f>
        <v>Exempt Process Emissions from C Tax</v>
      </c>
      <c r="C1611" s="254" t="str">
        <f t="shared" si="62"/>
        <v>BEPEfCT Boolean Exempt Process Emissions from Carbon Tax</v>
      </c>
      <c r="D1611" s="6" t="s">
        <v>3074</v>
      </c>
      <c r="E1611" s="6"/>
      <c r="F1611" t="s">
        <v>2580</v>
      </c>
      <c r="G1611" s="6"/>
      <c r="H1611" s="47">
        <v>1641</v>
      </c>
      <c r="I1611" s="325" t="s">
        <v>44</v>
      </c>
      <c r="J1611" s="255" t="str">
        <f>IF(ISBLANK(INDEX('Policy Characteristics'!D:D,MATCH($C1611,'Policy Characteristics'!$C:$C,0))),"",INDEX('Policy Characteristics'!D:D,MATCH($C1611,'Policy Characteristics'!$C:$C,0)))</f>
        <v/>
      </c>
      <c r="K1611" s="254" t="str">
        <f>IF(ISBLANK(INDEX('Policy Characteristics'!E:E,MATCH($C1611,'Policy Characteristics'!$C:$C,0))),"",INDEX('Policy Characteristics'!E:E,MATCH($C1611,'Policy Characteristics'!$C:$C,0)))</f>
        <v>cross toggle whether carbon tax affects process emissions</v>
      </c>
      <c r="L1611" s="254">
        <f>IF(ISBLANK(INDEX('Policy Characteristics'!F:F,MATCH($C1611,'Policy Characteristics'!$C:$C,0))),"",INDEX('Policy Characteristics'!F:F,MATCH($C1611,'Policy Characteristics'!$C:$C,0)))</f>
        <v>0</v>
      </c>
      <c r="M1611" s="254">
        <f>IF(ISBLANK(INDEX('Policy Characteristics'!G:G,MATCH($C1611,'Policy Characteristics'!$C:$C,0))),"",INDEX('Policy Characteristics'!G:G,MATCH($C1611,'Policy Characteristics'!$C:$C,0)))</f>
        <v>1</v>
      </c>
      <c r="N1611" s="254">
        <f>IF(ISBLANK(INDEX('Policy Characteristics'!H:H,MATCH($C1611,'Policy Characteristics'!$C:$C,0))),"",INDEX('Policy Characteristics'!H:H,MATCH($C1611,'Policy Characteristics'!$C:$C,0)))</f>
        <v>1</v>
      </c>
      <c r="O1611" s="254" t="str">
        <f>IF(ISBLANK(INDEX('Policy Characteristics'!I:I,MATCH($C1611,'Policy Characteristics'!$C:$C,0))),"",INDEX('Policy Characteristics'!I:I,MATCH($C1611,'Policy Characteristics'!$C:$C,0)))</f>
        <v>on/off</v>
      </c>
      <c r="P1611" s="254" t="str">
        <f>IF(ISBLANK(INDEX('Policy Characteristics'!J:J,MATCH($C1611,'Policy Characteristics'!$C:$C,0))),"",INDEX('Policy Characteristics'!J:J,MATCH($C1611,'Policy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1" s="254" t="str">
        <f>IF(ISBLANK(INDEX('Policy Characteristics'!K:K,MATCH($C1611,'Policy Characteristics'!$C:$C,0))),"",INDEX('Policy Characteristics'!K:K,MATCH($C1611,'Policy Characteristics'!$C:$C,0)))</f>
        <v>fuels.html#carbon-tax</v>
      </c>
      <c r="R1611" s="254" t="str">
        <f>IF(ISBLANK(INDEX('Policy Characteristics'!L:L,MATCH($C1611,'Policy Characteristics'!$C:$C,0))),"",INDEX('Policy Characteristics'!L:L,MATCH($C1611,'Policy Characteristics'!$C:$C,0)))</f>
        <v>carbon-tax.html</v>
      </c>
    </row>
    <row r="1612" spans="1:18" s="2" customFormat="1" x14ac:dyDescent="0.3">
      <c r="A1612" s="254" t="str">
        <f>IF(ISBLANK(INDEX('Policy Characteristics'!A:A,MATCH($C1612,'Policy Characteristics'!$C:$C,0))),"",INDEX('Policy Characteristics'!A:A,MATCH($C1612,'Policy Characteristics'!$C:$C,0)))</f>
        <v>Cross-Sector</v>
      </c>
      <c r="B1612" s="262" t="str">
        <f>IF(ISBLANK(INDEX('Policy Characteristics'!B:B,MATCH($C1612,'Policy Characteristics'!$C:$C,0))),"",INDEX('Policy Characteristics'!B:B,MATCH($C1612,'Policy Characteristics'!$C:$C,0)))</f>
        <v>Exempt Process Emissions from C Tax</v>
      </c>
      <c r="C1612" s="254" t="str">
        <f t="shared" si="62"/>
        <v>BEPEfCT Boolean Exempt Process Emissions from Carbon Tax</v>
      </c>
      <c r="D1612" s="6" t="s">
        <v>3075</v>
      </c>
      <c r="E1612" s="6"/>
      <c r="F1612" t="s">
        <v>3037</v>
      </c>
      <c r="G1612" s="6"/>
      <c r="H1612" s="47">
        <v>1642</v>
      </c>
      <c r="I1612" s="325" t="s">
        <v>44</v>
      </c>
      <c r="J1612" s="255" t="str">
        <f>IF(ISBLANK(INDEX('Policy Characteristics'!D:D,MATCH($C1612,'Policy Characteristics'!$C:$C,0))),"",INDEX('Policy Characteristics'!D:D,MATCH($C1612,'Policy Characteristics'!$C:$C,0)))</f>
        <v/>
      </c>
      <c r="K1612" s="254" t="str">
        <f>IF(ISBLANK(INDEX('Policy Characteristics'!E:E,MATCH($C1612,'Policy Characteristics'!$C:$C,0))),"",INDEX('Policy Characteristics'!E:E,MATCH($C1612,'Policy Characteristics'!$C:$C,0)))</f>
        <v>cross toggle whether carbon tax affects process emissions</v>
      </c>
      <c r="L1612" s="254">
        <f>IF(ISBLANK(INDEX('Policy Characteristics'!F:F,MATCH($C1612,'Policy Characteristics'!$C:$C,0))),"",INDEX('Policy Characteristics'!F:F,MATCH($C1612,'Policy Characteristics'!$C:$C,0)))</f>
        <v>0</v>
      </c>
      <c r="M1612" s="254">
        <f>IF(ISBLANK(INDEX('Policy Characteristics'!G:G,MATCH($C1612,'Policy Characteristics'!$C:$C,0))),"",INDEX('Policy Characteristics'!G:G,MATCH($C1612,'Policy Characteristics'!$C:$C,0)))</f>
        <v>1</v>
      </c>
      <c r="N1612" s="254">
        <f>IF(ISBLANK(INDEX('Policy Characteristics'!H:H,MATCH($C1612,'Policy Characteristics'!$C:$C,0))),"",INDEX('Policy Characteristics'!H:H,MATCH($C1612,'Policy Characteristics'!$C:$C,0)))</f>
        <v>1</v>
      </c>
      <c r="O1612" s="254" t="str">
        <f>IF(ISBLANK(INDEX('Policy Characteristics'!I:I,MATCH($C1612,'Policy Characteristics'!$C:$C,0))),"",INDEX('Policy Characteristics'!I:I,MATCH($C1612,'Policy Characteristics'!$C:$C,0)))</f>
        <v>on/off</v>
      </c>
      <c r="P1612" s="254" t="str">
        <f>IF(ISBLANK(INDEX('Policy Characteristics'!J:J,MATCH($C1612,'Policy Characteristics'!$C:$C,0))),"",INDEX('Policy Characteristics'!J:J,MATCH($C1612,'Policy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2" s="254" t="str">
        <f>IF(ISBLANK(INDEX('Policy Characteristics'!K:K,MATCH($C1612,'Policy Characteristics'!$C:$C,0))),"",INDEX('Policy Characteristics'!K:K,MATCH($C1612,'Policy Characteristics'!$C:$C,0)))</f>
        <v>fuels.html#carbon-tax</v>
      </c>
      <c r="R1612" s="254" t="str">
        <f>IF(ISBLANK(INDEX('Policy Characteristics'!L:L,MATCH($C1612,'Policy Characteristics'!$C:$C,0))),"",INDEX('Policy Characteristics'!L:L,MATCH($C1612,'Policy Characteristics'!$C:$C,0)))</f>
        <v>carbon-tax.html</v>
      </c>
    </row>
    <row r="1613" spans="1:18" s="2" customFormat="1" x14ac:dyDescent="0.3">
      <c r="A1613" s="254" t="str">
        <f>IF(ISBLANK(INDEX('Policy Characteristics'!A:A,MATCH($C1613,'Policy Characteristics'!$C:$C,0))),"",INDEX('Policy Characteristics'!A:A,MATCH($C1613,'Policy Characteristics'!$C:$C,0)))</f>
        <v>Cross-Sector</v>
      </c>
      <c r="B1613" s="262" t="str">
        <f>IF(ISBLANK(INDEX('Policy Characteristics'!B:B,MATCH($C1613,'Policy Characteristics'!$C:$C,0))),"",INDEX('Policy Characteristics'!B:B,MATCH($C1613,'Policy Characteristics'!$C:$C,0)))</f>
        <v>Exempt Process Emissions from C Tax</v>
      </c>
      <c r="C1613" s="254" t="str">
        <f t="shared" si="62"/>
        <v>BEPEfCT Boolean Exempt Process Emissions from Carbon Tax</v>
      </c>
      <c r="D1613" s="6" t="s">
        <v>3076</v>
      </c>
      <c r="E1613" s="6"/>
      <c r="F1613" t="s">
        <v>3038</v>
      </c>
      <c r="G1613" s="6"/>
      <c r="H1613" s="47">
        <v>1643</v>
      </c>
      <c r="I1613" s="325" t="s">
        <v>44</v>
      </c>
      <c r="J1613" s="255" t="str">
        <f>IF(ISBLANK(INDEX('Policy Characteristics'!D:D,MATCH($C1613,'Policy Characteristics'!$C:$C,0))),"",INDEX('Policy Characteristics'!D:D,MATCH($C1613,'Policy Characteristics'!$C:$C,0)))</f>
        <v/>
      </c>
      <c r="K1613" s="254" t="str">
        <f>IF(ISBLANK(INDEX('Policy Characteristics'!E:E,MATCH($C1613,'Policy Characteristics'!$C:$C,0))),"",INDEX('Policy Characteristics'!E:E,MATCH($C1613,'Policy Characteristics'!$C:$C,0)))</f>
        <v>cross toggle whether carbon tax affects process emissions</v>
      </c>
      <c r="L1613" s="254">
        <f>IF(ISBLANK(INDEX('Policy Characteristics'!F:F,MATCH($C1613,'Policy Characteristics'!$C:$C,0))),"",INDEX('Policy Characteristics'!F:F,MATCH($C1613,'Policy Characteristics'!$C:$C,0)))</f>
        <v>0</v>
      </c>
      <c r="M1613" s="254">
        <f>IF(ISBLANK(INDEX('Policy Characteristics'!G:G,MATCH($C1613,'Policy Characteristics'!$C:$C,0))),"",INDEX('Policy Characteristics'!G:G,MATCH($C1613,'Policy Characteristics'!$C:$C,0)))</f>
        <v>1</v>
      </c>
      <c r="N1613" s="254">
        <f>IF(ISBLANK(INDEX('Policy Characteristics'!H:H,MATCH($C1613,'Policy Characteristics'!$C:$C,0))),"",INDEX('Policy Characteristics'!H:H,MATCH($C1613,'Policy Characteristics'!$C:$C,0)))</f>
        <v>1</v>
      </c>
      <c r="O1613" s="254" t="str">
        <f>IF(ISBLANK(INDEX('Policy Characteristics'!I:I,MATCH($C1613,'Policy Characteristics'!$C:$C,0))),"",INDEX('Policy Characteristics'!I:I,MATCH($C1613,'Policy Characteristics'!$C:$C,0)))</f>
        <v>on/off</v>
      </c>
      <c r="P1613" s="254" t="str">
        <f>IF(ISBLANK(INDEX('Policy Characteristics'!J:J,MATCH($C1613,'Policy Characteristics'!$C:$C,0))),"",INDEX('Policy Characteristics'!J:J,MATCH($C1613,'Policy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3" s="254" t="str">
        <f>IF(ISBLANK(INDEX('Policy Characteristics'!K:K,MATCH($C1613,'Policy Characteristics'!$C:$C,0))),"",INDEX('Policy Characteristics'!K:K,MATCH($C1613,'Policy Characteristics'!$C:$C,0)))</f>
        <v>fuels.html#carbon-tax</v>
      </c>
      <c r="R1613" s="254" t="str">
        <f>IF(ISBLANK(INDEX('Policy Characteristics'!L:L,MATCH($C1613,'Policy Characteristics'!$C:$C,0))),"",INDEX('Policy Characteristics'!L:L,MATCH($C1613,'Policy Characteristics'!$C:$C,0)))</f>
        <v>carbon-tax.html</v>
      </c>
    </row>
    <row r="1614" spans="1:18" s="2" customFormat="1" x14ac:dyDescent="0.3">
      <c r="A1614" s="254" t="str">
        <f>IF(ISBLANK(INDEX('Policy Characteristics'!A:A,MATCH($C1614,'Policy Characteristics'!$C:$C,0))),"",INDEX('Policy Characteristics'!A:A,MATCH($C1614,'Policy Characteristics'!$C:$C,0)))</f>
        <v>Cross-Sector</v>
      </c>
      <c r="B1614" s="262" t="str">
        <f>IF(ISBLANK(INDEX('Policy Characteristics'!B:B,MATCH($C1614,'Policy Characteristics'!$C:$C,0))),"",INDEX('Policy Characteristics'!B:B,MATCH($C1614,'Policy Characteristics'!$C:$C,0)))</f>
        <v>Exempt Process Emissions from C Tax</v>
      </c>
      <c r="C1614" s="254" t="str">
        <f t="shared" si="62"/>
        <v>BEPEfCT Boolean Exempt Process Emissions from Carbon Tax</v>
      </c>
      <c r="D1614" s="6" t="s">
        <v>3077</v>
      </c>
      <c r="E1614" s="6"/>
      <c r="F1614" t="s">
        <v>3039</v>
      </c>
      <c r="G1614" s="6"/>
      <c r="H1614" s="47">
        <v>1644</v>
      </c>
      <c r="I1614" s="325" t="s">
        <v>44</v>
      </c>
      <c r="J1614" s="255" t="str">
        <f>IF(ISBLANK(INDEX('Policy Characteristics'!D:D,MATCH($C1614,'Policy Characteristics'!$C:$C,0))),"",INDEX('Policy Characteristics'!D:D,MATCH($C1614,'Policy Characteristics'!$C:$C,0)))</f>
        <v/>
      </c>
      <c r="K1614" s="254" t="str">
        <f>IF(ISBLANK(INDEX('Policy Characteristics'!E:E,MATCH($C1614,'Policy Characteristics'!$C:$C,0))),"",INDEX('Policy Characteristics'!E:E,MATCH($C1614,'Policy Characteristics'!$C:$C,0)))</f>
        <v>cross toggle whether carbon tax affects process emissions</v>
      </c>
      <c r="L1614" s="254">
        <f>IF(ISBLANK(INDEX('Policy Characteristics'!F:F,MATCH($C1614,'Policy Characteristics'!$C:$C,0))),"",INDEX('Policy Characteristics'!F:F,MATCH($C1614,'Policy Characteristics'!$C:$C,0)))</f>
        <v>0</v>
      </c>
      <c r="M1614" s="254">
        <f>IF(ISBLANK(INDEX('Policy Characteristics'!G:G,MATCH($C1614,'Policy Characteristics'!$C:$C,0))),"",INDEX('Policy Characteristics'!G:G,MATCH($C1614,'Policy Characteristics'!$C:$C,0)))</f>
        <v>1</v>
      </c>
      <c r="N1614" s="254">
        <f>IF(ISBLANK(INDEX('Policy Characteristics'!H:H,MATCH($C1614,'Policy Characteristics'!$C:$C,0))),"",INDEX('Policy Characteristics'!H:H,MATCH($C1614,'Policy Characteristics'!$C:$C,0)))</f>
        <v>1</v>
      </c>
      <c r="O1614" s="254" t="str">
        <f>IF(ISBLANK(INDEX('Policy Characteristics'!I:I,MATCH($C1614,'Policy Characteristics'!$C:$C,0))),"",INDEX('Policy Characteristics'!I:I,MATCH($C1614,'Policy Characteristics'!$C:$C,0)))</f>
        <v>on/off</v>
      </c>
      <c r="P1614" s="254" t="str">
        <f>IF(ISBLANK(INDEX('Policy Characteristics'!J:J,MATCH($C1614,'Policy Characteristics'!$C:$C,0))),"",INDEX('Policy Characteristics'!J:J,MATCH($C1614,'Policy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4" s="254" t="str">
        <f>IF(ISBLANK(INDEX('Policy Characteristics'!K:K,MATCH($C1614,'Policy Characteristics'!$C:$C,0))),"",INDEX('Policy Characteristics'!K:K,MATCH($C1614,'Policy Characteristics'!$C:$C,0)))</f>
        <v>fuels.html#carbon-tax</v>
      </c>
      <c r="R1614" s="254" t="str">
        <f>IF(ISBLANK(INDEX('Policy Characteristics'!L:L,MATCH($C1614,'Policy Characteristics'!$C:$C,0))),"",INDEX('Policy Characteristics'!L:L,MATCH($C1614,'Policy Characteristics'!$C:$C,0)))</f>
        <v>carbon-tax.html</v>
      </c>
    </row>
    <row r="1615" spans="1:18" s="2" customFormat="1" x14ac:dyDescent="0.3">
      <c r="A1615" s="254" t="str">
        <f>IF(ISBLANK(INDEX('Policy Characteristics'!A:A,MATCH($C1615,'Policy Characteristics'!$C:$C,0))),"",INDEX('Policy Characteristics'!A:A,MATCH($C1615,'Policy Characteristics'!$C:$C,0)))</f>
        <v>Cross-Sector</v>
      </c>
      <c r="B1615" s="262" t="str">
        <f>IF(ISBLANK(INDEX('Policy Characteristics'!B:B,MATCH($C1615,'Policy Characteristics'!$C:$C,0))),"",INDEX('Policy Characteristics'!B:B,MATCH($C1615,'Policy Characteristics'!$C:$C,0)))</f>
        <v>Exempt Process Emissions from C Tax</v>
      </c>
      <c r="C1615" s="254" t="str">
        <f t="shared" si="62"/>
        <v>BEPEfCT Boolean Exempt Process Emissions from Carbon Tax</v>
      </c>
      <c r="D1615" s="6" t="s">
        <v>3078</v>
      </c>
      <c r="E1615" s="6"/>
      <c r="F1615" t="s">
        <v>3040</v>
      </c>
      <c r="G1615" s="6"/>
      <c r="H1615" s="47">
        <v>1645</v>
      </c>
      <c r="I1615" s="325" t="s">
        <v>44</v>
      </c>
      <c r="J1615" s="255" t="str">
        <f>IF(ISBLANK(INDEX('Policy Characteristics'!D:D,MATCH($C1615,'Policy Characteristics'!$C:$C,0))),"",INDEX('Policy Characteristics'!D:D,MATCH($C1615,'Policy Characteristics'!$C:$C,0)))</f>
        <v/>
      </c>
      <c r="K1615" s="254" t="str">
        <f>IF(ISBLANK(INDEX('Policy Characteristics'!E:E,MATCH($C1615,'Policy Characteristics'!$C:$C,0))),"",INDEX('Policy Characteristics'!E:E,MATCH($C1615,'Policy Characteristics'!$C:$C,0)))</f>
        <v>cross toggle whether carbon tax affects process emissions</v>
      </c>
      <c r="L1615" s="254">
        <f>IF(ISBLANK(INDEX('Policy Characteristics'!F:F,MATCH($C1615,'Policy Characteristics'!$C:$C,0))),"",INDEX('Policy Characteristics'!F:F,MATCH($C1615,'Policy Characteristics'!$C:$C,0)))</f>
        <v>0</v>
      </c>
      <c r="M1615" s="254">
        <f>IF(ISBLANK(INDEX('Policy Characteristics'!G:G,MATCH($C1615,'Policy Characteristics'!$C:$C,0))),"",INDEX('Policy Characteristics'!G:G,MATCH($C1615,'Policy Characteristics'!$C:$C,0)))</f>
        <v>1</v>
      </c>
      <c r="N1615" s="254">
        <f>IF(ISBLANK(INDEX('Policy Characteristics'!H:H,MATCH($C1615,'Policy Characteristics'!$C:$C,0))),"",INDEX('Policy Characteristics'!H:H,MATCH($C1615,'Policy Characteristics'!$C:$C,0)))</f>
        <v>1</v>
      </c>
      <c r="O1615" s="254" t="str">
        <f>IF(ISBLANK(INDEX('Policy Characteristics'!I:I,MATCH($C1615,'Policy Characteristics'!$C:$C,0))),"",INDEX('Policy Characteristics'!I:I,MATCH($C1615,'Policy Characteristics'!$C:$C,0)))</f>
        <v>on/off</v>
      </c>
      <c r="P1615" s="254" t="str">
        <f>IF(ISBLANK(INDEX('Policy Characteristics'!J:J,MATCH($C1615,'Policy Characteristics'!$C:$C,0))),"",INDEX('Policy Characteristics'!J:J,MATCH($C1615,'Policy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5" s="254" t="str">
        <f>IF(ISBLANK(INDEX('Policy Characteristics'!K:K,MATCH($C1615,'Policy Characteristics'!$C:$C,0))),"",INDEX('Policy Characteristics'!K:K,MATCH($C1615,'Policy Characteristics'!$C:$C,0)))</f>
        <v>fuels.html#carbon-tax</v>
      </c>
      <c r="R1615" s="254" t="str">
        <f>IF(ISBLANK(INDEX('Policy Characteristics'!L:L,MATCH($C1615,'Policy Characteristics'!$C:$C,0))),"",INDEX('Policy Characteristics'!L:L,MATCH($C1615,'Policy Characteristics'!$C:$C,0)))</f>
        <v>carbon-tax.html</v>
      </c>
    </row>
    <row r="1616" spans="1:18" s="2" customFormat="1" x14ac:dyDescent="0.3">
      <c r="A1616" s="254" t="str">
        <f>IF(ISBLANK(INDEX('Policy Characteristics'!A:A,MATCH($C1616,'Policy Characteristics'!$C:$C,0))),"",INDEX('Policy Characteristics'!A:A,MATCH($C1616,'Policy Characteristics'!$C:$C,0)))</f>
        <v>Cross-Sector</v>
      </c>
      <c r="B1616" s="262" t="str">
        <f>IF(ISBLANK(INDEX('Policy Characteristics'!B:B,MATCH($C1616,'Policy Characteristics'!$C:$C,0))),"",INDEX('Policy Characteristics'!B:B,MATCH($C1616,'Policy Characteristics'!$C:$C,0)))</f>
        <v>Exempt Process Emissions from C Tax</v>
      </c>
      <c r="C1616" s="254" t="str">
        <f t="shared" si="62"/>
        <v>BEPEfCT Boolean Exempt Process Emissions from Carbon Tax</v>
      </c>
      <c r="D1616" s="6" t="s">
        <v>3079</v>
      </c>
      <c r="E1616" s="6"/>
      <c r="F1616" t="s">
        <v>3041</v>
      </c>
      <c r="G1616" s="6"/>
      <c r="H1616" s="47">
        <v>1646</v>
      </c>
      <c r="I1616" s="325" t="s">
        <v>44</v>
      </c>
      <c r="J1616" s="255" t="str">
        <f>IF(ISBLANK(INDEX('Policy Characteristics'!D:D,MATCH($C1616,'Policy Characteristics'!$C:$C,0))),"",INDEX('Policy Characteristics'!D:D,MATCH($C1616,'Policy Characteristics'!$C:$C,0)))</f>
        <v/>
      </c>
      <c r="K1616" s="254" t="str">
        <f>IF(ISBLANK(INDEX('Policy Characteristics'!E:E,MATCH($C1616,'Policy Characteristics'!$C:$C,0))),"",INDEX('Policy Characteristics'!E:E,MATCH($C1616,'Policy Characteristics'!$C:$C,0)))</f>
        <v>cross toggle whether carbon tax affects process emissions</v>
      </c>
      <c r="L1616" s="254">
        <f>IF(ISBLANK(INDEX('Policy Characteristics'!F:F,MATCH($C1616,'Policy Characteristics'!$C:$C,0))),"",INDEX('Policy Characteristics'!F:F,MATCH($C1616,'Policy Characteristics'!$C:$C,0)))</f>
        <v>0</v>
      </c>
      <c r="M1616" s="254">
        <f>IF(ISBLANK(INDEX('Policy Characteristics'!G:G,MATCH($C1616,'Policy Characteristics'!$C:$C,0))),"",INDEX('Policy Characteristics'!G:G,MATCH($C1616,'Policy Characteristics'!$C:$C,0)))</f>
        <v>1</v>
      </c>
      <c r="N1616" s="254">
        <f>IF(ISBLANK(INDEX('Policy Characteristics'!H:H,MATCH($C1616,'Policy Characteristics'!$C:$C,0))),"",INDEX('Policy Characteristics'!H:H,MATCH($C1616,'Policy Characteristics'!$C:$C,0)))</f>
        <v>1</v>
      </c>
      <c r="O1616" s="254" t="str">
        <f>IF(ISBLANK(INDEX('Policy Characteristics'!I:I,MATCH($C1616,'Policy Characteristics'!$C:$C,0))),"",INDEX('Policy Characteristics'!I:I,MATCH($C1616,'Policy Characteristics'!$C:$C,0)))</f>
        <v>on/off</v>
      </c>
      <c r="P1616" s="254" t="str">
        <f>IF(ISBLANK(INDEX('Policy Characteristics'!J:J,MATCH($C1616,'Policy Characteristics'!$C:$C,0))),"",INDEX('Policy Characteristics'!J:J,MATCH($C1616,'Policy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6" s="254" t="str">
        <f>IF(ISBLANK(INDEX('Policy Characteristics'!K:K,MATCH($C1616,'Policy Characteristics'!$C:$C,0))),"",INDEX('Policy Characteristics'!K:K,MATCH($C1616,'Policy Characteristics'!$C:$C,0)))</f>
        <v>fuels.html#carbon-tax</v>
      </c>
      <c r="R1616" s="254" t="str">
        <f>IF(ISBLANK(INDEX('Policy Characteristics'!L:L,MATCH($C1616,'Policy Characteristics'!$C:$C,0))),"",INDEX('Policy Characteristics'!L:L,MATCH($C1616,'Policy Characteristics'!$C:$C,0)))</f>
        <v>carbon-tax.html</v>
      </c>
    </row>
    <row r="1617" spans="1:18" s="2" customFormat="1" x14ac:dyDescent="0.3">
      <c r="A1617" s="254" t="str">
        <f>IF(ISBLANK(INDEX('Policy Characteristics'!A:A,MATCH($C1617,'Policy Characteristics'!$C:$C,0))),"",INDEX('Policy Characteristics'!A:A,MATCH($C1617,'Policy Characteristics'!$C:$C,0)))</f>
        <v>Cross-Sector</v>
      </c>
      <c r="B1617" s="262" t="str">
        <f>IF(ISBLANK(INDEX('Policy Characteristics'!B:B,MATCH($C1617,'Policy Characteristics'!$C:$C,0))),"",INDEX('Policy Characteristics'!B:B,MATCH($C1617,'Policy Characteristics'!$C:$C,0)))</f>
        <v>Exempt Process Emissions from C Tax</v>
      </c>
      <c r="C1617" s="254" t="str">
        <f t="shared" si="62"/>
        <v>BEPEfCT Boolean Exempt Process Emissions from Carbon Tax</v>
      </c>
      <c r="D1617" s="6" t="s">
        <v>3080</v>
      </c>
      <c r="E1617" s="6"/>
      <c r="F1617" t="s">
        <v>3042</v>
      </c>
      <c r="G1617" s="6"/>
      <c r="H1617" s="47">
        <v>1647</v>
      </c>
      <c r="I1617" s="325" t="s">
        <v>44</v>
      </c>
      <c r="J1617" s="255" t="str">
        <f>IF(ISBLANK(INDEX('Policy Characteristics'!D:D,MATCH($C1617,'Policy Characteristics'!$C:$C,0))),"",INDEX('Policy Characteristics'!D:D,MATCH($C1617,'Policy Characteristics'!$C:$C,0)))</f>
        <v/>
      </c>
      <c r="K1617" s="254" t="str">
        <f>IF(ISBLANK(INDEX('Policy Characteristics'!E:E,MATCH($C1617,'Policy Characteristics'!$C:$C,0))),"",INDEX('Policy Characteristics'!E:E,MATCH($C1617,'Policy Characteristics'!$C:$C,0)))</f>
        <v>cross toggle whether carbon tax affects process emissions</v>
      </c>
      <c r="L1617" s="254">
        <f>IF(ISBLANK(INDEX('Policy Characteristics'!F:F,MATCH($C1617,'Policy Characteristics'!$C:$C,0))),"",INDEX('Policy Characteristics'!F:F,MATCH($C1617,'Policy Characteristics'!$C:$C,0)))</f>
        <v>0</v>
      </c>
      <c r="M1617" s="254">
        <f>IF(ISBLANK(INDEX('Policy Characteristics'!G:G,MATCH($C1617,'Policy Characteristics'!$C:$C,0))),"",INDEX('Policy Characteristics'!G:G,MATCH($C1617,'Policy Characteristics'!$C:$C,0)))</f>
        <v>1</v>
      </c>
      <c r="N1617" s="254">
        <f>IF(ISBLANK(INDEX('Policy Characteristics'!H:H,MATCH($C1617,'Policy Characteristics'!$C:$C,0))),"",INDEX('Policy Characteristics'!H:H,MATCH($C1617,'Policy Characteristics'!$C:$C,0)))</f>
        <v>1</v>
      </c>
      <c r="O1617" s="254" t="str">
        <f>IF(ISBLANK(INDEX('Policy Characteristics'!I:I,MATCH($C1617,'Policy Characteristics'!$C:$C,0))),"",INDEX('Policy Characteristics'!I:I,MATCH($C1617,'Policy Characteristics'!$C:$C,0)))</f>
        <v>on/off</v>
      </c>
      <c r="P1617" s="254" t="str">
        <f>IF(ISBLANK(INDEX('Policy Characteristics'!J:J,MATCH($C1617,'Policy Characteristics'!$C:$C,0))),"",INDEX('Policy Characteristics'!J:J,MATCH($C1617,'Policy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7" s="254" t="str">
        <f>IF(ISBLANK(INDEX('Policy Characteristics'!K:K,MATCH($C1617,'Policy Characteristics'!$C:$C,0))),"",INDEX('Policy Characteristics'!K:K,MATCH($C1617,'Policy Characteristics'!$C:$C,0)))</f>
        <v>fuels.html#carbon-tax</v>
      </c>
      <c r="R1617" s="254" t="str">
        <f>IF(ISBLANK(INDEX('Policy Characteristics'!L:L,MATCH($C1617,'Policy Characteristics'!$C:$C,0))),"",INDEX('Policy Characteristics'!L:L,MATCH($C1617,'Policy Characteristics'!$C:$C,0)))</f>
        <v>carbon-tax.html</v>
      </c>
    </row>
    <row r="1618" spans="1:18" s="2" customFormat="1" x14ac:dyDescent="0.3">
      <c r="A1618" s="254" t="str">
        <f>IF(ISBLANK(INDEX('Policy Characteristics'!A:A,MATCH($C1618,'Policy Characteristics'!$C:$C,0))),"",INDEX('Policy Characteristics'!A:A,MATCH($C1618,'Policy Characteristics'!$C:$C,0)))</f>
        <v>Cross-Sector</v>
      </c>
      <c r="B1618" s="262" t="str">
        <f>IF(ISBLANK(INDEX('Policy Characteristics'!B:B,MATCH($C1618,'Policy Characteristics'!$C:$C,0))),"",INDEX('Policy Characteristics'!B:B,MATCH($C1618,'Policy Characteristics'!$C:$C,0)))</f>
        <v>Exempt Process Emissions from C Tax</v>
      </c>
      <c r="C1618" s="254" t="str">
        <f t="shared" si="62"/>
        <v>BEPEfCT Boolean Exempt Process Emissions from Carbon Tax</v>
      </c>
      <c r="D1618" s="6" t="s">
        <v>3081</v>
      </c>
      <c r="E1618" s="6"/>
      <c r="F1618" t="s">
        <v>3043</v>
      </c>
      <c r="G1618" s="6"/>
      <c r="H1618" s="47">
        <v>1648</v>
      </c>
      <c r="I1618" s="325" t="s">
        <v>44</v>
      </c>
      <c r="J1618" s="255" t="str">
        <f>IF(ISBLANK(INDEX('Policy Characteristics'!D:D,MATCH($C1618,'Policy Characteristics'!$C:$C,0))),"",INDEX('Policy Characteristics'!D:D,MATCH($C1618,'Policy Characteristics'!$C:$C,0)))</f>
        <v/>
      </c>
      <c r="K1618" s="254" t="str">
        <f>IF(ISBLANK(INDEX('Policy Characteristics'!E:E,MATCH($C1618,'Policy Characteristics'!$C:$C,0))),"",INDEX('Policy Characteristics'!E:E,MATCH($C1618,'Policy Characteristics'!$C:$C,0)))</f>
        <v>cross toggle whether carbon tax affects process emissions</v>
      </c>
      <c r="L1618" s="254">
        <f>IF(ISBLANK(INDEX('Policy Characteristics'!F:F,MATCH($C1618,'Policy Characteristics'!$C:$C,0))),"",INDEX('Policy Characteristics'!F:F,MATCH($C1618,'Policy Characteristics'!$C:$C,0)))</f>
        <v>0</v>
      </c>
      <c r="M1618" s="254">
        <f>IF(ISBLANK(INDEX('Policy Characteristics'!G:G,MATCH($C1618,'Policy Characteristics'!$C:$C,0))),"",INDEX('Policy Characteristics'!G:G,MATCH($C1618,'Policy Characteristics'!$C:$C,0)))</f>
        <v>1</v>
      </c>
      <c r="N1618" s="254">
        <f>IF(ISBLANK(INDEX('Policy Characteristics'!H:H,MATCH($C1618,'Policy Characteristics'!$C:$C,0))),"",INDEX('Policy Characteristics'!H:H,MATCH($C1618,'Policy Characteristics'!$C:$C,0)))</f>
        <v>1</v>
      </c>
      <c r="O1618" s="254" t="str">
        <f>IF(ISBLANK(INDEX('Policy Characteristics'!I:I,MATCH($C1618,'Policy Characteristics'!$C:$C,0))),"",INDEX('Policy Characteristics'!I:I,MATCH($C1618,'Policy Characteristics'!$C:$C,0)))</f>
        <v>on/off</v>
      </c>
      <c r="P1618" s="254" t="str">
        <f>IF(ISBLANK(INDEX('Policy Characteristics'!J:J,MATCH($C1618,'Policy Characteristics'!$C:$C,0))),"",INDEX('Policy Characteristics'!J:J,MATCH($C1618,'Policy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8" s="254" t="str">
        <f>IF(ISBLANK(INDEX('Policy Characteristics'!K:K,MATCH($C1618,'Policy Characteristics'!$C:$C,0))),"",INDEX('Policy Characteristics'!K:K,MATCH($C1618,'Policy Characteristics'!$C:$C,0)))</f>
        <v>fuels.html#carbon-tax</v>
      </c>
      <c r="R1618" s="254" t="str">
        <f>IF(ISBLANK(INDEX('Policy Characteristics'!L:L,MATCH($C1618,'Policy Characteristics'!$C:$C,0))),"",INDEX('Policy Characteristics'!L:L,MATCH($C1618,'Policy Characteristics'!$C:$C,0)))</f>
        <v>carbon-tax.html</v>
      </c>
    </row>
    <row r="1619" spans="1:18" s="2" customFormat="1" x14ac:dyDescent="0.3">
      <c r="A1619" s="254" t="str">
        <f>IF(ISBLANK(INDEX('Policy Characteristics'!A:A,MATCH($C1619,'Policy Characteristics'!$C:$C,0))),"",INDEX('Policy Characteristics'!A:A,MATCH($C1619,'Policy Characteristics'!$C:$C,0)))</f>
        <v>Cross-Sector</v>
      </c>
      <c r="B1619" s="262" t="str">
        <f>IF(ISBLANK(INDEX('Policy Characteristics'!B:B,MATCH($C1619,'Policy Characteristics'!$C:$C,0))),"",INDEX('Policy Characteristics'!B:B,MATCH($C1619,'Policy Characteristics'!$C:$C,0)))</f>
        <v>Exempt Process Emissions from C Tax</v>
      </c>
      <c r="C1619" s="254" t="str">
        <f t="shared" si="62"/>
        <v>BEPEfCT Boolean Exempt Process Emissions from Carbon Tax</v>
      </c>
      <c r="D1619" s="6" t="s">
        <v>3082</v>
      </c>
      <c r="E1619" s="6"/>
      <c r="F1619" t="s">
        <v>3044</v>
      </c>
      <c r="G1619" s="6"/>
      <c r="H1619" s="47">
        <v>1649</v>
      </c>
      <c r="I1619" s="325" t="s">
        <v>44</v>
      </c>
      <c r="J1619" s="255" t="str">
        <f>IF(ISBLANK(INDEX('Policy Characteristics'!D:D,MATCH($C1619,'Policy Characteristics'!$C:$C,0))),"",INDEX('Policy Characteristics'!D:D,MATCH($C1619,'Policy Characteristics'!$C:$C,0)))</f>
        <v/>
      </c>
      <c r="K1619" s="254" t="str">
        <f>IF(ISBLANK(INDEX('Policy Characteristics'!E:E,MATCH($C1619,'Policy Characteristics'!$C:$C,0))),"",INDEX('Policy Characteristics'!E:E,MATCH($C1619,'Policy Characteristics'!$C:$C,0)))</f>
        <v>cross toggle whether carbon tax affects process emissions</v>
      </c>
      <c r="L1619" s="254">
        <f>IF(ISBLANK(INDEX('Policy Characteristics'!F:F,MATCH($C1619,'Policy Characteristics'!$C:$C,0))),"",INDEX('Policy Characteristics'!F:F,MATCH($C1619,'Policy Characteristics'!$C:$C,0)))</f>
        <v>0</v>
      </c>
      <c r="M1619" s="254">
        <f>IF(ISBLANK(INDEX('Policy Characteristics'!G:G,MATCH($C1619,'Policy Characteristics'!$C:$C,0))),"",INDEX('Policy Characteristics'!G:G,MATCH($C1619,'Policy Characteristics'!$C:$C,0)))</f>
        <v>1</v>
      </c>
      <c r="N1619" s="254">
        <f>IF(ISBLANK(INDEX('Policy Characteristics'!H:H,MATCH($C1619,'Policy Characteristics'!$C:$C,0))),"",INDEX('Policy Characteristics'!H:H,MATCH($C1619,'Policy Characteristics'!$C:$C,0)))</f>
        <v>1</v>
      </c>
      <c r="O1619" s="254" t="str">
        <f>IF(ISBLANK(INDEX('Policy Characteristics'!I:I,MATCH($C1619,'Policy Characteristics'!$C:$C,0))),"",INDEX('Policy Characteristics'!I:I,MATCH($C1619,'Policy Characteristics'!$C:$C,0)))</f>
        <v>on/off</v>
      </c>
      <c r="P1619" s="254" t="str">
        <f>IF(ISBLANK(INDEX('Policy Characteristics'!J:J,MATCH($C1619,'Policy Characteristics'!$C:$C,0))),"",INDEX('Policy Characteristics'!J:J,MATCH($C1619,'Policy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19" s="254" t="str">
        <f>IF(ISBLANK(INDEX('Policy Characteristics'!K:K,MATCH($C1619,'Policy Characteristics'!$C:$C,0))),"",INDEX('Policy Characteristics'!K:K,MATCH($C1619,'Policy Characteristics'!$C:$C,0)))</f>
        <v>fuels.html#carbon-tax</v>
      </c>
      <c r="R1619" s="254" t="str">
        <f>IF(ISBLANK(INDEX('Policy Characteristics'!L:L,MATCH($C1619,'Policy Characteristics'!$C:$C,0))),"",INDEX('Policy Characteristics'!L:L,MATCH($C1619,'Policy Characteristics'!$C:$C,0)))</f>
        <v>carbon-tax.html</v>
      </c>
    </row>
    <row r="1620" spans="1:18" s="2" customFormat="1" x14ac:dyDescent="0.3">
      <c r="A1620" s="254" t="str">
        <f>IF(ISBLANK(INDEX('Policy Characteristics'!A:A,MATCH($C1620,'Policy Characteristics'!$C:$C,0))),"",INDEX('Policy Characteristics'!A:A,MATCH($C1620,'Policy Characteristics'!$C:$C,0)))</f>
        <v>Cross-Sector</v>
      </c>
      <c r="B1620" s="262" t="str">
        <f>IF(ISBLANK(INDEX('Policy Characteristics'!B:B,MATCH($C1620,'Policy Characteristics'!$C:$C,0))),"",INDEX('Policy Characteristics'!B:B,MATCH($C1620,'Policy Characteristics'!$C:$C,0)))</f>
        <v>Exempt Process Emissions from C Tax</v>
      </c>
      <c r="C1620" s="254" t="str">
        <f t="shared" si="62"/>
        <v>BEPEfCT Boolean Exempt Process Emissions from Carbon Tax</v>
      </c>
      <c r="D1620" s="6" t="s">
        <v>3083</v>
      </c>
      <c r="E1620" s="6"/>
      <c r="F1620" t="s">
        <v>3045</v>
      </c>
      <c r="G1620" s="6"/>
      <c r="H1620" s="47">
        <v>1650</v>
      </c>
      <c r="I1620" s="325" t="s">
        <v>43</v>
      </c>
      <c r="J1620" s="255" t="str">
        <f>IF(ISBLANK(INDEX('Policy Characteristics'!D:D,MATCH($C1620,'Policy Characteristics'!$C:$C,0))),"",INDEX('Policy Characteristics'!D:D,MATCH($C1620,'Policy Characteristics'!$C:$C,0)))</f>
        <v/>
      </c>
      <c r="K1620" s="254" t="str">
        <f>IF(ISBLANK(INDEX('Policy Characteristics'!E:E,MATCH($C1620,'Policy Characteristics'!$C:$C,0))),"",INDEX('Policy Characteristics'!E:E,MATCH($C1620,'Policy Characteristics'!$C:$C,0)))</f>
        <v>cross toggle whether carbon tax affects process emissions</v>
      </c>
      <c r="L1620" s="254">
        <f>IF(ISBLANK(INDEX('Policy Characteristics'!F:F,MATCH($C1620,'Policy Characteristics'!$C:$C,0))),"",INDEX('Policy Characteristics'!F:F,MATCH($C1620,'Policy Characteristics'!$C:$C,0)))</f>
        <v>0</v>
      </c>
      <c r="M1620" s="254">
        <f>IF(ISBLANK(INDEX('Policy Characteristics'!G:G,MATCH($C1620,'Policy Characteristics'!$C:$C,0))),"",INDEX('Policy Characteristics'!G:G,MATCH($C1620,'Policy Characteristics'!$C:$C,0)))</f>
        <v>1</v>
      </c>
      <c r="N1620" s="254">
        <f>IF(ISBLANK(INDEX('Policy Characteristics'!H:H,MATCH($C1620,'Policy Characteristics'!$C:$C,0))),"",INDEX('Policy Characteristics'!H:H,MATCH($C1620,'Policy Characteristics'!$C:$C,0)))</f>
        <v>1</v>
      </c>
      <c r="O1620" s="254" t="str">
        <f>IF(ISBLANK(INDEX('Policy Characteristics'!I:I,MATCH($C1620,'Policy Characteristics'!$C:$C,0))),"",INDEX('Policy Characteristics'!I:I,MATCH($C1620,'Policy Characteristics'!$C:$C,0)))</f>
        <v>on/off</v>
      </c>
      <c r="P1620" s="254" t="str">
        <f>IF(ISBLANK(INDEX('Policy Characteristics'!J:J,MATCH($C1620,'Policy Characteristics'!$C:$C,0))),"",INDEX('Policy Characteristics'!J:J,MATCH($C1620,'Policy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20" s="254" t="str">
        <f>IF(ISBLANK(INDEX('Policy Characteristics'!K:K,MATCH($C1620,'Policy Characteristics'!$C:$C,0))),"",INDEX('Policy Characteristics'!K:K,MATCH($C1620,'Policy Characteristics'!$C:$C,0)))</f>
        <v>fuels.html#carbon-tax</v>
      </c>
      <c r="R1620" s="254" t="str">
        <f>IF(ISBLANK(INDEX('Policy Characteristics'!L:L,MATCH($C1620,'Policy Characteristics'!$C:$C,0))),"",INDEX('Policy Characteristics'!L:L,MATCH($C1620,'Policy Characteristics'!$C:$C,0)))</f>
        <v>carbon-tax.html</v>
      </c>
    </row>
    <row r="1621" spans="1:18" s="2" customFormat="1" x14ac:dyDescent="0.3">
      <c r="A1621" s="254" t="str">
        <f>IF(ISBLANK(INDEX('Policy Characteristics'!A:A,MATCH($C1621,'Policy Characteristics'!$C:$C,0))),"",INDEX('Policy Characteristics'!A:A,MATCH($C1621,'Policy Characteristics'!$C:$C,0)))</f>
        <v>Cross-Sector</v>
      </c>
      <c r="B1621" s="262" t="str">
        <f>IF(ISBLANK(INDEX('Policy Characteristics'!B:B,MATCH($C1621,'Policy Characteristics'!$C:$C,0))),"",INDEX('Policy Characteristics'!B:B,MATCH($C1621,'Policy Characteristics'!$C:$C,0)))</f>
        <v>Exempt Process Emissions from C Tax</v>
      </c>
      <c r="C1621" s="254" t="str">
        <f t="shared" si="62"/>
        <v>BEPEfCT Boolean Exempt Process Emissions from Carbon Tax</v>
      </c>
      <c r="D1621" s="6" t="s">
        <v>3084</v>
      </c>
      <c r="E1621" s="6"/>
      <c r="F1621" t="s">
        <v>3087</v>
      </c>
      <c r="G1621" s="6"/>
      <c r="H1621" s="47">
        <v>1651</v>
      </c>
      <c r="I1621" s="325" t="s">
        <v>43</v>
      </c>
      <c r="J1621" s="255" t="str">
        <f>IF(ISBLANK(INDEX('Policy Characteristics'!D:D,MATCH($C1621,'Policy Characteristics'!$C:$C,0))),"",INDEX('Policy Characteristics'!D:D,MATCH($C1621,'Policy Characteristics'!$C:$C,0)))</f>
        <v/>
      </c>
      <c r="K1621" s="254" t="str">
        <f>IF(ISBLANK(INDEX('Policy Characteristics'!E:E,MATCH($C1621,'Policy Characteristics'!$C:$C,0))),"",INDEX('Policy Characteristics'!E:E,MATCH($C1621,'Policy Characteristics'!$C:$C,0)))</f>
        <v>cross toggle whether carbon tax affects process emissions</v>
      </c>
      <c r="L1621" s="254">
        <f>IF(ISBLANK(INDEX('Policy Characteristics'!F:F,MATCH($C1621,'Policy Characteristics'!$C:$C,0))),"",INDEX('Policy Characteristics'!F:F,MATCH($C1621,'Policy Characteristics'!$C:$C,0)))</f>
        <v>0</v>
      </c>
      <c r="M1621" s="254">
        <f>IF(ISBLANK(INDEX('Policy Characteristics'!G:G,MATCH($C1621,'Policy Characteristics'!$C:$C,0))),"",INDEX('Policy Characteristics'!G:G,MATCH($C1621,'Policy Characteristics'!$C:$C,0)))</f>
        <v>1</v>
      </c>
      <c r="N1621" s="254">
        <f>IF(ISBLANK(INDEX('Policy Characteristics'!H:H,MATCH($C1621,'Policy Characteristics'!$C:$C,0))),"",INDEX('Policy Characteristics'!H:H,MATCH($C1621,'Policy Characteristics'!$C:$C,0)))</f>
        <v>1</v>
      </c>
      <c r="O1621" s="254" t="str">
        <f>IF(ISBLANK(INDEX('Policy Characteristics'!I:I,MATCH($C1621,'Policy Characteristics'!$C:$C,0))),"",INDEX('Policy Characteristics'!I:I,MATCH($C1621,'Policy Characteristics'!$C:$C,0)))</f>
        <v>on/off</v>
      </c>
      <c r="P1621" s="254" t="str">
        <f>IF(ISBLANK(INDEX('Policy Characteristics'!J:J,MATCH($C1621,'Policy Characteristics'!$C:$C,0))),"",INDEX('Policy Characteristics'!J:J,MATCH($C1621,'Policy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21" s="254" t="str">
        <f>IF(ISBLANK(INDEX('Policy Characteristics'!K:K,MATCH($C1621,'Policy Characteristics'!$C:$C,0))),"",INDEX('Policy Characteristics'!K:K,MATCH($C1621,'Policy Characteristics'!$C:$C,0)))</f>
        <v>fuels.html#carbon-tax</v>
      </c>
      <c r="R1621" s="254" t="str">
        <f>IF(ISBLANK(INDEX('Policy Characteristics'!L:L,MATCH($C1621,'Policy Characteristics'!$C:$C,0))),"",INDEX('Policy Characteristics'!L:L,MATCH($C1621,'Policy Characteristics'!$C:$C,0)))</f>
        <v>carbon-tax.html</v>
      </c>
    </row>
    <row r="1622" spans="1:18" s="2" customFormat="1" x14ac:dyDescent="0.3">
      <c r="A1622" s="254" t="str">
        <f>IF(ISBLANK(INDEX('Policy Characteristics'!A:A,MATCH($C1622,'Policy Characteristics'!$C:$C,0))),"",INDEX('Policy Characteristics'!A:A,MATCH($C1622,'Policy Characteristics'!$C:$C,0)))</f>
        <v>Cross-Sector</v>
      </c>
      <c r="B1622" s="262" t="str">
        <f>IF(ISBLANK(INDEX('Policy Characteristics'!B:B,MATCH($C1622,'Policy Characteristics'!$C:$C,0))),"",INDEX('Policy Characteristics'!B:B,MATCH($C1622,'Policy Characteristics'!$C:$C,0)))</f>
        <v>Exempt Process Emissions from C Tax</v>
      </c>
      <c r="C1622" s="254" t="str">
        <f t="shared" si="62"/>
        <v>BEPEfCT Boolean Exempt Process Emissions from Carbon Tax</v>
      </c>
      <c r="D1622" s="6" t="s">
        <v>3085</v>
      </c>
      <c r="E1622" s="6"/>
      <c r="F1622" t="s">
        <v>3046</v>
      </c>
      <c r="G1622" s="6"/>
      <c r="H1622" s="47">
        <v>1652</v>
      </c>
      <c r="I1622" s="325" t="s">
        <v>44</v>
      </c>
      <c r="J1622" s="255" t="str">
        <f>IF(ISBLANK(INDEX('Policy Characteristics'!D:D,MATCH($C1622,'Policy Characteristics'!$C:$C,0))),"",INDEX('Policy Characteristics'!D:D,MATCH($C1622,'Policy Characteristics'!$C:$C,0)))</f>
        <v/>
      </c>
      <c r="K1622" s="254" t="str">
        <f>IF(ISBLANK(INDEX('Policy Characteristics'!E:E,MATCH($C1622,'Policy Characteristics'!$C:$C,0))),"",INDEX('Policy Characteristics'!E:E,MATCH($C1622,'Policy Characteristics'!$C:$C,0)))</f>
        <v>cross toggle whether carbon tax affects process emissions</v>
      </c>
      <c r="L1622" s="254">
        <f>IF(ISBLANK(INDEX('Policy Characteristics'!F:F,MATCH($C1622,'Policy Characteristics'!$C:$C,0))),"",INDEX('Policy Characteristics'!F:F,MATCH($C1622,'Policy Characteristics'!$C:$C,0)))</f>
        <v>0</v>
      </c>
      <c r="M1622" s="254">
        <f>IF(ISBLANK(INDEX('Policy Characteristics'!G:G,MATCH($C1622,'Policy Characteristics'!$C:$C,0))),"",INDEX('Policy Characteristics'!G:G,MATCH($C1622,'Policy Characteristics'!$C:$C,0)))</f>
        <v>1</v>
      </c>
      <c r="N1622" s="254">
        <f>IF(ISBLANK(INDEX('Policy Characteristics'!H:H,MATCH($C1622,'Policy Characteristics'!$C:$C,0))),"",INDEX('Policy Characteristics'!H:H,MATCH($C1622,'Policy Characteristics'!$C:$C,0)))</f>
        <v>1</v>
      </c>
      <c r="O1622" s="254" t="str">
        <f>IF(ISBLANK(INDEX('Policy Characteristics'!I:I,MATCH($C1622,'Policy Characteristics'!$C:$C,0))),"",INDEX('Policy Characteristics'!I:I,MATCH($C1622,'Policy Characteristics'!$C:$C,0)))</f>
        <v>on/off</v>
      </c>
      <c r="P1622" s="254" t="str">
        <f>IF(ISBLANK(INDEX('Policy Characteristics'!J:J,MATCH($C1622,'Policy Characteristics'!$C:$C,0))),"",INDEX('Policy Characteristics'!J:J,MATCH($C1622,'Policy Characteristics'!$C:$C,0)))</f>
        <v>**Description:** This policy prevents the carbon tax from being levied on process emissions (non-energy greenhouse gas emissions from industrial and agricultural operations). By default, we exempt agriculture and water and waste process emissions, as these are generally not covered by carbon tax proposals.</v>
      </c>
      <c r="Q1622" s="254" t="str">
        <f>IF(ISBLANK(INDEX('Policy Characteristics'!K:K,MATCH($C1622,'Policy Characteristics'!$C:$C,0))),"",INDEX('Policy Characteristics'!K:K,MATCH($C1622,'Policy Characteristics'!$C:$C,0)))</f>
        <v>fuels.html#carbon-tax</v>
      </c>
      <c r="R1622" s="254" t="str">
        <f>IF(ISBLANK(INDEX('Policy Characteristics'!L:L,MATCH($C1622,'Policy Characteristics'!$C:$C,0))),"",INDEX('Policy Characteristics'!L:L,MATCH($C1622,'Policy Characteristics'!$C:$C,0)))</f>
        <v>carbon-tax.html</v>
      </c>
    </row>
    <row r="1623" spans="1:18" s="2" customFormat="1" x14ac:dyDescent="0.3">
      <c r="A1623" s="254" t="str">
        <f>IF(ISBLANK(INDEX('Policy Characteristics'!A:A,MATCH($C1623,'Policy Characteristics'!$C:$C,0))),"",INDEX('Policy Characteristics'!A:A,MATCH($C1623,'Policy Characteristics'!$C:$C,0)))</f>
        <v>Cross-Sector</v>
      </c>
      <c r="B1623" s="262" t="str">
        <f>IF(ISBLANK(INDEX('Policy Characteristics'!B:B,MATCH($C1623,'Policy Characteristics'!$C:$C,0))),"",INDEX('Policy Characteristics'!B:B,MATCH($C1623,'Policy Characteristics'!$C:$C,0)))</f>
        <v>Toggle Carbon Tax Border Adjustment</v>
      </c>
      <c r="C1623" s="1" t="s">
        <v>3367</v>
      </c>
      <c r="D1623" s="6"/>
      <c r="E1623" s="6"/>
      <c r="F1623" s="6"/>
      <c r="G1623" s="6"/>
      <c r="H1623" s="47">
        <v>1627</v>
      </c>
      <c r="I1623" s="325" t="s">
        <v>43</v>
      </c>
      <c r="J1623" s="255" t="str">
        <f>IF(ISBLANK(INDEX('Policy Characteristics'!D:D,MATCH($C1623,'Policy Characteristics'!$C:$C,0))),"",INDEX('Policy Characteristics'!D:D,MATCH($C1623,'Policy Characteristics'!$C:$C,0)))</f>
        <v/>
      </c>
      <c r="K1623" s="254" t="str">
        <f>IF(ISBLANK(INDEX('Policy Characteristics'!E:E,MATCH($C1623,'Policy Characteristics'!$C:$C,0))),"",INDEX('Policy Characteristics'!E:E,MATCH($C1623,'Policy Characteristics'!$C:$C,0)))</f>
        <v/>
      </c>
      <c r="L1623" s="254">
        <f>IF(ISBLANK(INDEX('Policy Characteristics'!F:F,MATCH($C1623,'Policy Characteristics'!$C:$C,0))),"",INDEX('Policy Characteristics'!F:F,MATCH($C1623,'Policy Characteristics'!$C:$C,0)))</f>
        <v>0</v>
      </c>
      <c r="M1623" s="254">
        <f>IF(ISBLANK(INDEX('Policy Characteristics'!G:G,MATCH($C1623,'Policy Characteristics'!$C:$C,0))),"",INDEX('Policy Characteristics'!G:G,MATCH($C1623,'Policy Characteristics'!$C:$C,0)))</f>
        <v>1</v>
      </c>
      <c r="N1623" s="254">
        <f>IF(ISBLANK(INDEX('Policy Characteristics'!H:H,MATCH($C1623,'Policy Characteristics'!$C:$C,0))),"",INDEX('Policy Characteristics'!H:H,MATCH($C1623,'Policy Characteristics'!$C:$C,0)))</f>
        <v>1</v>
      </c>
      <c r="O1623" s="254" t="str">
        <f>IF(ISBLANK(INDEX('Policy Characteristics'!I:I,MATCH($C1623,'Policy Characteristics'!$C:$C,0))),"",INDEX('Policy Characteristics'!I:I,MATCH($C1623,'Policy Characteristics'!$C:$C,0)))</f>
        <v>on/off</v>
      </c>
      <c r="P1623" s="254" t="str">
        <f>IF(ISBLANK(INDEX('Policy Characteristics'!J:J,MATCH($C1623,'Policy Characteristics'!$C:$C,0))),"",INDEX('Policy Characteristics'!J:J,MATCH($C1623,'Policy Characteristics'!$C:$C,0)))</f>
        <v>**Description:** By default, carbon taxes apply to only domestically produced goods. If set to zero, this policy enables carbon tax border adjustments, meaning the carbon tax will apply to both domestically produced and imported goods.</v>
      </c>
      <c r="Q1623" s="254" t="str">
        <f>IF(ISBLANK(INDEX('Policy Characteristics'!K:K,MATCH($C1623,'Policy Characteristics'!$C:$C,0))),"",INDEX('Policy Characteristics'!K:K,MATCH($C1623,'Policy Characteristics'!$C:$C,0)))</f>
        <v>fuels.html#carbon-tax</v>
      </c>
      <c r="R1623" s="254" t="str">
        <f>IF(ISBLANK(INDEX('Policy Characteristics'!L:L,MATCH($C1623,'Policy Characteristics'!$C:$C,0))),"",INDEX('Policy Characteristics'!L:L,MATCH($C1623,'Policy Characteristics'!$C:$C,0)))</f>
        <v>carbon-tax.html</v>
      </c>
    </row>
    <row r="1624" spans="1:18" s="2" customFormat="1" x14ac:dyDescent="0.3">
      <c r="A1624" s="254" t="str">
        <f>IF(ISBLANK(INDEX('Policy Characteristics'!A:A,MATCH($C1624,'Policy Characteristics'!$C:$C,0))),"",INDEX('Policy Characteristics'!A:A,MATCH($C1624,'Policy Characteristics'!$C:$C,0)))</f>
        <v>Cross-Sector</v>
      </c>
      <c r="B1624" s="262" t="str">
        <f>IF(ISBLANK(INDEX('Policy Characteristics'!B:B,MATCH($C1624,'Policy Characteristics'!$C:$C,0))),"",INDEX('Policy Characteristics'!B:B,MATCH($C1624,'Policy Characteristics'!$C:$C,0)))</f>
        <v>Fixed Energy Prices</v>
      </c>
      <c r="C1624" s="317" t="s">
        <v>2713</v>
      </c>
      <c r="D1624" s="6" t="s">
        <v>52</v>
      </c>
      <c r="E1624" s="6"/>
      <c r="F1624" s="6" t="s">
        <v>93</v>
      </c>
      <c r="G1624" s="6"/>
      <c r="H1624" s="43">
        <v>720</v>
      </c>
      <c r="I1624" s="325" t="s">
        <v>44</v>
      </c>
      <c r="J1624" s="255" t="str">
        <f>IF(ISBLANK(INDEX('Policy Characteristics'!D:D,MATCH($C1624,'Policy Characteristics'!$C:$C,0))),"",INDEX('Policy Characteristics'!D:D,MATCH($C1624,'Policy Characteristics'!$C:$C,0)))</f>
        <v>Fixed Energy Prices</v>
      </c>
      <c r="K1624" s="254" t="str">
        <f>IF(ISBLANK(INDEX('Policy Characteristics'!E:E,MATCH($C1624,'Policy Characteristics'!$C:$C,0))),"",INDEX('Policy Characteristics'!E:E,MATCH($C1624,'Policy Characteristics'!$C:$C,0)))</f>
        <v>cross toggle whether policies affect energy prices</v>
      </c>
      <c r="L1624" s="254">
        <f>IF(ISBLANK(INDEX('Policy Characteristics'!F:F,MATCH($C1624,'Policy Characteristics'!$C:$C,0))),"",INDEX('Policy Characteristics'!F:F,MATCH($C1624,'Policy Characteristics'!$C:$C,0)))</f>
        <v>0</v>
      </c>
      <c r="M1624" s="254">
        <f>IF(ISBLANK(INDEX('Policy Characteristics'!G:G,MATCH($C1624,'Policy Characteristics'!$C:$C,0))),"",INDEX('Policy Characteristics'!G:G,MATCH($C1624,'Policy Characteristics'!$C:$C,0)))</f>
        <v>1</v>
      </c>
      <c r="N1624" s="254">
        <f>IF(ISBLANK(INDEX('Policy Characteristics'!H:H,MATCH($C1624,'Policy Characteristics'!$C:$C,0))),"",INDEX('Policy Characteristics'!H:H,MATCH($C1624,'Policy Characteristics'!$C:$C,0)))</f>
        <v>1</v>
      </c>
      <c r="O1624" s="254" t="str">
        <f>IF(ISBLANK(INDEX('Policy Characteristics'!I:I,MATCH($C1624,'Policy Characteristics'!$C:$C,0))),"",INDEX('Policy Characteristics'!I:I,MATCH($C1624,'Policy Characteristics'!$C:$C,0)))</f>
        <v>on/off</v>
      </c>
      <c r="P1624" s="254" t="str">
        <f>IF(ISBLANK(INDEX('Policy Characteristics'!J:J,MATCH($C1624,'Policy Characteristics'!$C:$C,0))),"",INDEX('Policy Characteristics'!J:J,MATCH($C1624,'Policy Characteristics'!$C:$C,0)))</f>
        <v/>
      </c>
      <c r="Q1624" s="254" t="str">
        <f>IF(ISBLANK(INDEX('Policy Characteristics'!K:K,MATCH($C1624,'Policy Characteristics'!$C:$C,0))),"",INDEX('Policy Characteristics'!K:K,MATCH($C1624,'Policy Characteristics'!$C:$C,0)))</f>
        <v/>
      </c>
      <c r="R1624" s="254" t="str">
        <f>IF(ISBLANK(INDEX('Policy Characteristics'!L:L,MATCH($C1624,'Policy Characteristics'!$C:$C,0))),"",INDEX('Policy Characteristics'!L:L,MATCH($C1624,'Policy Characteristics'!$C:$C,0)))</f>
        <v/>
      </c>
    </row>
    <row r="1625" spans="1:18" s="2" customFormat="1" x14ac:dyDescent="0.3">
      <c r="A1625" s="254" t="str">
        <f>IF(ISBLANK(INDEX('Policy Characteristics'!A:A,MATCH($C1625,'Policy Characteristics'!$C:$C,0))),"",INDEX('Policy Characteristics'!A:A,MATCH($C1625,'Policy Characteristics'!$C:$C,0)))</f>
        <v>Cross-Sector</v>
      </c>
      <c r="B1625" s="262" t="str">
        <f>IF(ISBLANK(INDEX('Policy Characteristics'!B:B,MATCH($C1625,'Policy Characteristics'!$C:$C,0))),"",INDEX('Policy Characteristics'!B:B,MATCH($C1625,'Policy Characteristics'!$C:$C,0)))</f>
        <v>Fixed Energy Prices</v>
      </c>
      <c r="C1625" s="254" t="str">
        <f t="shared" ref="C1625:C1626" si="63">C$1624</f>
        <v>Toggle Whether Policies Affect Energy Prices</v>
      </c>
      <c r="D1625" s="6" t="s">
        <v>75</v>
      </c>
      <c r="E1625" s="6"/>
      <c r="F1625" s="6" t="s">
        <v>99</v>
      </c>
      <c r="G1625" s="6"/>
      <c r="H1625" s="43">
        <v>721</v>
      </c>
      <c r="I1625" s="325" t="s">
        <v>44</v>
      </c>
      <c r="J1625" s="255" t="str">
        <f>IF(ISBLANK(INDEX('Policy Characteristics'!D:D,MATCH($C1625,'Policy Characteristics'!$C:$C,0))),"",INDEX('Policy Characteristics'!D:D,MATCH($C1625,'Policy Characteristics'!$C:$C,0)))</f>
        <v>Fixed Energy Prices</v>
      </c>
      <c r="K1625" s="254" t="str">
        <f>IF(ISBLANK(INDEX('Policy Characteristics'!E:E,MATCH($C1625,'Policy Characteristics'!$C:$C,0))),"",INDEX('Policy Characteristics'!E:E,MATCH($C1625,'Policy Characteristics'!$C:$C,0)))</f>
        <v>cross toggle whether policies affect energy prices</v>
      </c>
      <c r="L1625" s="254">
        <f>IF(ISBLANK(INDEX('Policy Characteristics'!F:F,MATCH($C1625,'Policy Characteristics'!$C:$C,0))),"",INDEX('Policy Characteristics'!F:F,MATCH($C1625,'Policy Characteristics'!$C:$C,0)))</f>
        <v>0</v>
      </c>
      <c r="M1625" s="254">
        <f>IF(ISBLANK(INDEX('Policy Characteristics'!G:G,MATCH($C1625,'Policy Characteristics'!$C:$C,0))),"",INDEX('Policy Characteristics'!G:G,MATCH($C1625,'Policy Characteristics'!$C:$C,0)))</f>
        <v>1</v>
      </c>
      <c r="N1625" s="254">
        <f>IF(ISBLANK(INDEX('Policy Characteristics'!H:H,MATCH($C1625,'Policy Characteristics'!$C:$C,0))),"",INDEX('Policy Characteristics'!H:H,MATCH($C1625,'Policy Characteristics'!$C:$C,0)))</f>
        <v>1</v>
      </c>
      <c r="O1625" s="254" t="str">
        <f>IF(ISBLANK(INDEX('Policy Characteristics'!I:I,MATCH($C1625,'Policy Characteristics'!$C:$C,0))),"",INDEX('Policy Characteristics'!I:I,MATCH($C1625,'Policy Characteristics'!$C:$C,0)))</f>
        <v>on/off</v>
      </c>
      <c r="P1625" s="254" t="str">
        <f>IF(ISBLANK(INDEX('Policy Characteristics'!J:J,MATCH($C1625,'Policy Characteristics'!$C:$C,0))),"",INDEX('Policy Characteristics'!J:J,MATCH($C1625,'Policy Characteristics'!$C:$C,0)))</f>
        <v/>
      </c>
      <c r="Q1625" s="254" t="str">
        <f>IF(ISBLANK(INDEX('Policy Characteristics'!K:K,MATCH($C1625,'Policy Characteristics'!$C:$C,0))),"",INDEX('Policy Characteristics'!K:K,MATCH($C1625,'Policy Characteristics'!$C:$C,0)))</f>
        <v/>
      </c>
      <c r="R1625" s="254" t="str">
        <f>IF(ISBLANK(INDEX('Policy Characteristics'!L:L,MATCH($C1625,'Policy Characteristics'!$C:$C,0))),"",INDEX('Policy Characteristics'!L:L,MATCH($C1625,'Policy Characteristics'!$C:$C,0)))</f>
        <v/>
      </c>
    </row>
    <row r="1626" spans="1:18" s="2" customFormat="1" x14ac:dyDescent="0.3">
      <c r="A1626" s="254" t="str">
        <f>IF(ISBLANK(INDEX('Policy Characteristics'!A:A,MATCH($C1626,'Policy Characteristics'!$C:$C,0))),"",INDEX('Policy Characteristics'!A:A,MATCH($C1626,'Policy Characteristics'!$C:$C,0)))</f>
        <v>Cross-Sector</v>
      </c>
      <c r="B1626" s="262" t="str">
        <f>IF(ISBLANK(INDEX('Policy Characteristics'!B:B,MATCH($C1626,'Policy Characteristics'!$C:$C,0))),"",INDEX('Policy Characteristics'!B:B,MATCH($C1626,'Policy Characteristics'!$C:$C,0)))</f>
        <v>Fixed Energy Prices</v>
      </c>
      <c r="C1626" s="254" t="str">
        <f t="shared" si="63"/>
        <v>Toggle Whether Policies Affect Energy Prices</v>
      </c>
      <c r="D1626" s="6" t="s">
        <v>2468</v>
      </c>
      <c r="E1626" s="6"/>
      <c r="F1626" s="6" t="s">
        <v>2472</v>
      </c>
      <c r="G1626" s="6"/>
      <c r="H1626" s="43">
        <v>722</v>
      </c>
      <c r="I1626" s="325" t="s">
        <v>44</v>
      </c>
      <c r="J1626" s="255" t="str">
        <f>IF(ISBLANK(INDEX('Policy Characteristics'!D:D,MATCH($C1626,'Policy Characteristics'!$C:$C,0))),"",INDEX('Policy Characteristics'!D:D,MATCH($C1626,'Policy Characteristics'!$C:$C,0)))</f>
        <v>Fixed Energy Prices</v>
      </c>
      <c r="K1626" s="254" t="str">
        <f>IF(ISBLANK(INDEX('Policy Characteristics'!E:E,MATCH($C1626,'Policy Characteristics'!$C:$C,0))),"",INDEX('Policy Characteristics'!E:E,MATCH($C1626,'Policy Characteristics'!$C:$C,0)))</f>
        <v>cross toggle whether policies affect energy prices</v>
      </c>
      <c r="L1626" s="254">
        <f>IF(ISBLANK(INDEX('Policy Characteristics'!F:F,MATCH($C1626,'Policy Characteristics'!$C:$C,0))),"",INDEX('Policy Characteristics'!F:F,MATCH($C1626,'Policy Characteristics'!$C:$C,0)))</f>
        <v>0</v>
      </c>
      <c r="M1626" s="254">
        <f>IF(ISBLANK(INDEX('Policy Characteristics'!G:G,MATCH($C1626,'Policy Characteristics'!$C:$C,0))),"",INDEX('Policy Characteristics'!G:G,MATCH($C1626,'Policy Characteristics'!$C:$C,0)))</f>
        <v>1</v>
      </c>
      <c r="N1626" s="254">
        <f>IF(ISBLANK(INDEX('Policy Characteristics'!H:H,MATCH($C1626,'Policy Characteristics'!$C:$C,0))),"",INDEX('Policy Characteristics'!H:H,MATCH($C1626,'Policy Characteristics'!$C:$C,0)))</f>
        <v>1</v>
      </c>
      <c r="O1626" s="254" t="str">
        <f>IF(ISBLANK(INDEX('Policy Characteristics'!I:I,MATCH($C1626,'Policy Characteristics'!$C:$C,0))),"",INDEX('Policy Characteristics'!I:I,MATCH($C1626,'Policy Characteristics'!$C:$C,0)))</f>
        <v>on/off</v>
      </c>
      <c r="P1626" s="254" t="str">
        <f>IF(ISBLANK(INDEX('Policy Characteristics'!J:J,MATCH($C1626,'Policy Characteristics'!$C:$C,0))),"",INDEX('Policy Characteristics'!J:J,MATCH($C1626,'Policy Characteristics'!$C:$C,0)))</f>
        <v/>
      </c>
      <c r="Q1626" s="254" t="str">
        <f>IF(ISBLANK(INDEX('Policy Characteristics'!K:K,MATCH($C1626,'Policy Characteristics'!$C:$C,0))),"",INDEX('Policy Characteristics'!K:K,MATCH($C1626,'Policy Characteristics'!$C:$C,0)))</f>
        <v/>
      </c>
      <c r="R1626" s="254" t="str">
        <f>IF(ISBLANK(INDEX('Policy Characteristics'!L:L,MATCH($C1626,'Policy Characteristics'!$C:$C,0))),"",INDEX('Policy Characteristics'!L:L,MATCH($C1626,'Policy Characteristics'!$C:$C,0)))</f>
        <v/>
      </c>
    </row>
    <row r="1627" spans="1:18" s="2" customFormat="1" x14ac:dyDescent="0.3">
      <c r="A1627" s="254" t="str">
        <f>IF(ISBLANK(INDEX('Policy Characteristics'!A:A,MATCH($C1627,'Policy Characteristics'!$C:$C,0))),"",INDEX('Policy Characteristics'!A:A,MATCH($C1627,'Policy Characteristics'!$C:$C,0)))</f>
        <v>Cross-Sector</v>
      </c>
      <c r="B1627" s="262" t="str">
        <f>IF(ISBLANK(INDEX('Policy Characteristics'!B:B,MATCH($C1627,'Policy Characteristics'!$C:$C,0))),"",INDEX('Policy Characteristics'!B:B,MATCH($C1627,'Policy Characteristics'!$C:$C,0)))</f>
        <v>Fixed Energy Prices</v>
      </c>
      <c r="C1627" s="317" t="s">
        <v>2713</v>
      </c>
      <c r="D1627" s="6" t="s">
        <v>449</v>
      </c>
      <c r="E1627" s="45"/>
      <c r="F1627" s="6" t="s">
        <v>446</v>
      </c>
      <c r="G1627" s="6"/>
      <c r="H1627" s="47">
        <v>836</v>
      </c>
      <c r="I1627" s="325" t="s">
        <v>44</v>
      </c>
      <c r="J1627" s="255" t="str">
        <f>IF(ISBLANK(INDEX('Policy Characteristics'!D:D,MATCH($C1627,'Policy Characteristics'!$C:$C,0))),"",INDEX('Policy Characteristics'!D:D,MATCH($C1627,'Policy Characteristics'!$C:$C,0)))</f>
        <v>Fixed Energy Prices</v>
      </c>
      <c r="K1627" s="254" t="str">
        <f>IF(ISBLANK(INDEX('Policy Characteristics'!E:E,MATCH($C1627,'Policy Characteristics'!$C:$C,0))),"",INDEX('Policy Characteristics'!E:E,MATCH($C1627,'Policy Characteristics'!$C:$C,0)))</f>
        <v>cross toggle whether policies affect energy prices</v>
      </c>
      <c r="L1627" s="254">
        <f>IF(ISBLANK(INDEX('Policy Characteristics'!F:F,MATCH($C1627,'Policy Characteristics'!$C:$C,0))),"",INDEX('Policy Characteristics'!F:F,MATCH($C1627,'Policy Characteristics'!$C:$C,0)))</f>
        <v>0</v>
      </c>
      <c r="M1627" s="254">
        <f>IF(ISBLANK(INDEX('Policy Characteristics'!G:G,MATCH($C1627,'Policy Characteristics'!$C:$C,0))),"",INDEX('Policy Characteristics'!G:G,MATCH($C1627,'Policy Characteristics'!$C:$C,0)))</f>
        <v>1</v>
      </c>
      <c r="N1627" s="254">
        <f>IF(ISBLANK(INDEX('Policy Characteristics'!H:H,MATCH($C1627,'Policy Characteristics'!$C:$C,0))),"",INDEX('Policy Characteristics'!H:H,MATCH($C1627,'Policy Characteristics'!$C:$C,0)))</f>
        <v>1</v>
      </c>
      <c r="O1627" s="254" t="str">
        <f>IF(ISBLANK(INDEX('Policy Characteristics'!I:I,MATCH($C1627,'Policy Characteristics'!$C:$C,0))),"",INDEX('Policy Characteristics'!I:I,MATCH($C1627,'Policy Characteristics'!$C:$C,0)))</f>
        <v>on/off</v>
      </c>
      <c r="P1627" s="254" t="str">
        <f>IF(ISBLANK(INDEX('Policy Characteristics'!J:J,MATCH($C1627,'Policy Characteristics'!$C:$C,0))),"",INDEX('Policy Characteristics'!J:J,MATCH($C1627,'Policy Characteristics'!$C:$C,0)))</f>
        <v/>
      </c>
      <c r="Q1627" s="254" t="str">
        <f>IF(ISBLANK(INDEX('Policy Characteristics'!K:K,MATCH($C1627,'Policy Characteristics'!$C:$C,0))),"",INDEX('Policy Characteristics'!K:K,MATCH($C1627,'Policy Characteristics'!$C:$C,0)))</f>
        <v/>
      </c>
      <c r="R1627" s="254" t="str">
        <f>IF(ISBLANK(INDEX('Policy Characteristics'!L:L,MATCH($C1627,'Policy Characteristics'!$C:$C,0))),"",INDEX('Policy Characteristics'!L:L,MATCH($C1627,'Policy Characteristics'!$C:$C,0)))</f>
        <v/>
      </c>
    </row>
    <row r="1628" spans="1:18" s="2" customFormat="1" x14ac:dyDescent="0.3">
      <c r="A1628" s="254" t="str">
        <f>IF(ISBLANK(INDEX('Policy Characteristics'!A:A,MATCH($C1628,'Policy Characteristics'!$C:$C,0))),"",INDEX('Policy Characteristics'!A:A,MATCH($C1628,'Policy Characteristics'!$C:$C,0)))</f>
        <v>Cross-Sector</v>
      </c>
      <c r="B1628" s="262" t="str">
        <f>IF(ISBLANK(INDEX('Policy Characteristics'!B:B,MATCH($C1628,'Policy Characteristics'!$C:$C,0))),"",INDEX('Policy Characteristics'!B:B,MATCH($C1628,'Policy Characteristics'!$C:$C,0)))</f>
        <v>Fixed Energy Prices</v>
      </c>
      <c r="C1628" s="254" t="str">
        <f t="shared" ref="C1628:C1638" si="64">C$1627</f>
        <v>Toggle Whether Policies Affect Energy Prices</v>
      </c>
      <c r="D1628" s="6" t="s">
        <v>46</v>
      </c>
      <c r="E1628" s="45"/>
      <c r="F1628" s="6" t="s">
        <v>87</v>
      </c>
      <c r="G1628" s="6"/>
      <c r="H1628" s="43">
        <v>837</v>
      </c>
      <c r="I1628" s="325" t="s">
        <v>44</v>
      </c>
      <c r="J1628" s="255" t="str">
        <f>IF(ISBLANK(INDEX('Policy Characteristics'!D:D,MATCH($C1628,'Policy Characteristics'!$C:$C,0))),"",INDEX('Policy Characteristics'!D:D,MATCH($C1628,'Policy Characteristics'!$C:$C,0)))</f>
        <v>Fixed Energy Prices</v>
      </c>
      <c r="K1628" s="254" t="str">
        <f>IF(ISBLANK(INDEX('Policy Characteristics'!E:E,MATCH($C1628,'Policy Characteristics'!$C:$C,0))),"",INDEX('Policy Characteristics'!E:E,MATCH($C1628,'Policy Characteristics'!$C:$C,0)))</f>
        <v>cross toggle whether policies affect energy prices</v>
      </c>
      <c r="L1628" s="254">
        <f>IF(ISBLANK(INDEX('Policy Characteristics'!F:F,MATCH($C1628,'Policy Characteristics'!$C:$C,0))),"",INDEX('Policy Characteristics'!F:F,MATCH($C1628,'Policy Characteristics'!$C:$C,0)))</f>
        <v>0</v>
      </c>
      <c r="M1628" s="254">
        <f>IF(ISBLANK(INDEX('Policy Characteristics'!G:G,MATCH($C1628,'Policy Characteristics'!$C:$C,0))),"",INDEX('Policy Characteristics'!G:G,MATCH($C1628,'Policy Characteristics'!$C:$C,0)))</f>
        <v>1</v>
      </c>
      <c r="N1628" s="254">
        <f>IF(ISBLANK(INDEX('Policy Characteristics'!H:H,MATCH($C1628,'Policy Characteristics'!$C:$C,0))),"",INDEX('Policy Characteristics'!H:H,MATCH($C1628,'Policy Characteristics'!$C:$C,0)))</f>
        <v>1</v>
      </c>
      <c r="O1628" s="254" t="str">
        <f>IF(ISBLANK(INDEX('Policy Characteristics'!I:I,MATCH($C1628,'Policy Characteristics'!$C:$C,0))),"",INDEX('Policy Characteristics'!I:I,MATCH($C1628,'Policy Characteristics'!$C:$C,0)))</f>
        <v>on/off</v>
      </c>
      <c r="P1628" s="254" t="str">
        <f>IF(ISBLANK(INDEX('Policy Characteristics'!J:J,MATCH($C1628,'Policy Characteristics'!$C:$C,0))),"",INDEX('Policy Characteristics'!J:J,MATCH($C1628,'Policy Characteristics'!$C:$C,0)))</f>
        <v/>
      </c>
      <c r="Q1628" s="254" t="str">
        <f>IF(ISBLANK(INDEX('Policy Characteristics'!K:K,MATCH($C1628,'Policy Characteristics'!$C:$C,0))),"",INDEX('Policy Characteristics'!K:K,MATCH($C1628,'Policy Characteristics'!$C:$C,0)))</f>
        <v/>
      </c>
      <c r="R1628" s="254" t="str">
        <f>IF(ISBLANK(INDEX('Policy Characteristics'!L:L,MATCH($C1628,'Policy Characteristics'!$C:$C,0))),"",INDEX('Policy Characteristics'!L:L,MATCH($C1628,'Policy Characteristics'!$C:$C,0)))</f>
        <v/>
      </c>
    </row>
    <row r="1629" spans="1:18" s="2" customFormat="1" x14ac:dyDescent="0.3">
      <c r="A1629" s="254" t="str">
        <f>IF(ISBLANK(INDEX('Policy Characteristics'!A:A,MATCH($C1629,'Policy Characteristics'!$C:$C,0))),"",INDEX('Policy Characteristics'!A:A,MATCH($C1629,'Policy Characteristics'!$C:$C,0)))</f>
        <v>Cross-Sector</v>
      </c>
      <c r="B1629" s="262" t="str">
        <f>IF(ISBLANK(INDEX('Policy Characteristics'!B:B,MATCH($C1629,'Policy Characteristics'!$C:$C,0))),"",INDEX('Policy Characteristics'!B:B,MATCH($C1629,'Policy Characteristics'!$C:$C,0)))</f>
        <v>Fixed Energy Prices</v>
      </c>
      <c r="C1629" s="254" t="str">
        <f t="shared" si="64"/>
        <v>Toggle Whether Policies Affect Energy Prices</v>
      </c>
      <c r="D1629" s="6" t="s">
        <v>51</v>
      </c>
      <c r="E1629" s="45"/>
      <c r="F1629" s="6" t="s">
        <v>92</v>
      </c>
      <c r="G1629" s="6"/>
      <c r="H1629" s="47">
        <v>838</v>
      </c>
      <c r="I1629" s="325" t="s">
        <v>44</v>
      </c>
      <c r="J1629" s="255" t="str">
        <f>IF(ISBLANK(INDEX('Policy Characteristics'!D:D,MATCH($C1629,'Policy Characteristics'!$C:$C,0))),"",INDEX('Policy Characteristics'!D:D,MATCH($C1629,'Policy Characteristics'!$C:$C,0)))</f>
        <v>Fixed Energy Prices</v>
      </c>
      <c r="K1629" s="254" t="str">
        <f>IF(ISBLANK(INDEX('Policy Characteristics'!E:E,MATCH($C1629,'Policy Characteristics'!$C:$C,0))),"",INDEX('Policy Characteristics'!E:E,MATCH($C1629,'Policy Characteristics'!$C:$C,0)))</f>
        <v>cross toggle whether policies affect energy prices</v>
      </c>
      <c r="L1629" s="254">
        <f>IF(ISBLANK(INDEX('Policy Characteristics'!F:F,MATCH($C1629,'Policy Characteristics'!$C:$C,0))),"",INDEX('Policy Characteristics'!F:F,MATCH($C1629,'Policy Characteristics'!$C:$C,0)))</f>
        <v>0</v>
      </c>
      <c r="M1629" s="254">
        <f>IF(ISBLANK(INDEX('Policy Characteristics'!G:G,MATCH($C1629,'Policy Characteristics'!$C:$C,0))),"",INDEX('Policy Characteristics'!G:G,MATCH($C1629,'Policy Characteristics'!$C:$C,0)))</f>
        <v>1</v>
      </c>
      <c r="N1629" s="254">
        <f>IF(ISBLANK(INDEX('Policy Characteristics'!H:H,MATCH($C1629,'Policy Characteristics'!$C:$C,0))),"",INDEX('Policy Characteristics'!H:H,MATCH($C1629,'Policy Characteristics'!$C:$C,0)))</f>
        <v>1</v>
      </c>
      <c r="O1629" s="254" t="str">
        <f>IF(ISBLANK(INDEX('Policy Characteristics'!I:I,MATCH($C1629,'Policy Characteristics'!$C:$C,0))),"",INDEX('Policy Characteristics'!I:I,MATCH($C1629,'Policy Characteristics'!$C:$C,0)))</f>
        <v>on/off</v>
      </c>
      <c r="P1629" s="254" t="str">
        <f>IF(ISBLANK(INDEX('Policy Characteristics'!J:J,MATCH($C1629,'Policy Characteristics'!$C:$C,0))),"",INDEX('Policy Characteristics'!J:J,MATCH($C1629,'Policy Characteristics'!$C:$C,0)))</f>
        <v/>
      </c>
      <c r="Q1629" s="254" t="str">
        <f>IF(ISBLANK(INDEX('Policy Characteristics'!K:K,MATCH($C1629,'Policy Characteristics'!$C:$C,0))),"",INDEX('Policy Characteristics'!K:K,MATCH($C1629,'Policy Characteristics'!$C:$C,0)))</f>
        <v/>
      </c>
      <c r="R1629" s="254" t="str">
        <f>IF(ISBLANK(INDEX('Policy Characteristics'!L:L,MATCH($C1629,'Policy Characteristics'!$C:$C,0))),"",INDEX('Policy Characteristics'!L:L,MATCH($C1629,'Policy Characteristics'!$C:$C,0)))</f>
        <v/>
      </c>
    </row>
    <row r="1630" spans="1:18" s="2" customFormat="1" x14ac:dyDescent="0.3">
      <c r="A1630" s="254" t="str">
        <f>IF(ISBLANK(INDEX('Policy Characteristics'!A:A,MATCH($C1630,'Policy Characteristics'!$C:$C,0))),"",INDEX('Policy Characteristics'!A:A,MATCH($C1630,'Policy Characteristics'!$C:$C,0)))</f>
        <v>Cross-Sector</v>
      </c>
      <c r="B1630" s="262" t="str">
        <f>IF(ISBLANK(INDEX('Policy Characteristics'!B:B,MATCH($C1630,'Policy Characteristics'!$C:$C,0))),"",INDEX('Policy Characteristics'!B:B,MATCH($C1630,'Policy Characteristics'!$C:$C,0)))</f>
        <v>Fixed Energy Prices</v>
      </c>
      <c r="C1630" s="254" t="str">
        <f t="shared" si="64"/>
        <v>Toggle Whether Policies Affect Energy Prices</v>
      </c>
      <c r="D1630" s="6" t="s">
        <v>53</v>
      </c>
      <c r="E1630" s="45"/>
      <c r="F1630" s="6" t="s">
        <v>95</v>
      </c>
      <c r="G1630" s="6"/>
      <c r="H1630" s="43">
        <v>839</v>
      </c>
      <c r="I1630" s="325" t="s">
        <v>44</v>
      </c>
      <c r="J1630" s="255" t="str">
        <f>IF(ISBLANK(INDEX('Policy Characteristics'!D:D,MATCH($C1630,'Policy Characteristics'!$C:$C,0))),"",INDEX('Policy Characteristics'!D:D,MATCH($C1630,'Policy Characteristics'!$C:$C,0)))</f>
        <v>Fixed Energy Prices</v>
      </c>
      <c r="K1630" s="254" t="str">
        <f>IF(ISBLANK(INDEX('Policy Characteristics'!E:E,MATCH($C1630,'Policy Characteristics'!$C:$C,0))),"",INDEX('Policy Characteristics'!E:E,MATCH($C1630,'Policy Characteristics'!$C:$C,0)))</f>
        <v>cross toggle whether policies affect energy prices</v>
      </c>
      <c r="L1630" s="254">
        <f>IF(ISBLANK(INDEX('Policy Characteristics'!F:F,MATCH($C1630,'Policy Characteristics'!$C:$C,0))),"",INDEX('Policy Characteristics'!F:F,MATCH($C1630,'Policy Characteristics'!$C:$C,0)))</f>
        <v>0</v>
      </c>
      <c r="M1630" s="254">
        <f>IF(ISBLANK(INDEX('Policy Characteristics'!G:G,MATCH($C1630,'Policy Characteristics'!$C:$C,0))),"",INDEX('Policy Characteristics'!G:G,MATCH($C1630,'Policy Characteristics'!$C:$C,0)))</f>
        <v>1</v>
      </c>
      <c r="N1630" s="254">
        <f>IF(ISBLANK(INDEX('Policy Characteristics'!H:H,MATCH($C1630,'Policy Characteristics'!$C:$C,0))),"",INDEX('Policy Characteristics'!H:H,MATCH($C1630,'Policy Characteristics'!$C:$C,0)))</f>
        <v>1</v>
      </c>
      <c r="O1630" s="254" t="str">
        <f>IF(ISBLANK(INDEX('Policy Characteristics'!I:I,MATCH($C1630,'Policy Characteristics'!$C:$C,0))),"",INDEX('Policy Characteristics'!I:I,MATCH($C1630,'Policy Characteristics'!$C:$C,0)))</f>
        <v>on/off</v>
      </c>
      <c r="P1630" s="254" t="str">
        <f>IF(ISBLANK(INDEX('Policy Characteristics'!J:J,MATCH($C1630,'Policy Characteristics'!$C:$C,0))),"",INDEX('Policy Characteristics'!J:J,MATCH($C1630,'Policy Characteristics'!$C:$C,0)))</f>
        <v/>
      </c>
      <c r="Q1630" s="254" t="str">
        <f>IF(ISBLANK(INDEX('Policy Characteristics'!K:K,MATCH($C1630,'Policy Characteristics'!$C:$C,0))),"",INDEX('Policy Characteristics'!K:K,MATCH($C1630,'Policy Characteristics'!$C:$C,0)))</f>
        <v/>
      </c>
      <c r="R1630" s="254" t="str">
        <f>IF(ISBLANK(INDEX('Policy Characteristics'!L:L,MATCH($C1630,'Policy Characteristics'!$C:$C,0))),"",INDEX('Policy Characteristics'!L:L,MATCH($C1630,'Policy Characteristics'!$C:$C,0)))</f>
        <v/>
      </c>
    </row>
    <row r="1631" spans="1:18" s="2" customFormat="1" x14ac:dyDescent="0.3">
      <c r="A1631" s="254" t="str">
        <f>IF(ISBLANK(INDEX('Policy Characteristics'!A:A,MATCH($C1631,'Policy Characteristics'!$C:$C,0))),"",INDEX('Policy Characteristics'!A:A,MATCH($C1631,'Policy Characteristics'!$C:$C,0)))</f>
        <v>Cross-Sector</v>
      </c>
      <c r="B1631" s="262" t="str">
        <f>IF(ISBLANK(INDEX('Policy Characteristics'!B:B,MATCH($C1631,'Policy Characteristics'!$C:$C,0))),"",INDEX('Policy Characteristics'!B:B,MATCH($C1631,'Policy Characteristics'!$C:$C,0)))</f>
        <v>Fixed Energy Prices</v>
      </c>
      <c r="C1631" s="254" t="str">
        <f t="shared" si="64"/>
        <v>Toggle Whether Policies Affect Energy Prices</v>
      </c>
      <c r="D1631" s="6" t="s">
        <v>54</v>
      </c>
      <c r="E1631" s="45"/>
      <c r="F1631" s="6" t="s">
        <v>96</v>
      </c>
      <c r="G1631" s="6"/>
      <c r="H1631" s="47">
        <v>840</v>
      </c>
      <c r="I1631" s="325" t="s">
        <v>44</v>
      </c>
      <c r="J1631" s="255" t="str">
        <f>IF(ISBLANK(INDEX('Policy Characteristics'!D:D,MATCH($C1631,'Policy Characteristics'!$C:$C,0))),"",INDEX('Policy Characteristics'!D:D,MATCH($C1631,'Policy Characteristics'!$C:$C,0)))</f>
        <v>Fixed Energy Prices</v>
      </c>
      <c r="K1631" s="254" t="str">
        <f>IF(ISBLANK(INDEX('Policy Characteristics'!E:E,MATCH($C1631,'Policy Characteristics'!$C:$C,0))),"",INDEX('Policy Characteristics'!E:E,MATCH($C1631,'Policy Characteristics'!$C:$C,0)))</f>
        <v>cross toggle whether policies affect energy prices</v>
      </c>
      <c r="L1631" s="254">
        <f>IF(ISBLANK(INDEX('Policy Characteristics'!F:F,MATCH($C1631,'Policy Characteristics'!$C:$C,0))),"",INDEX('Policy Characteristics'!F:F,MATCH($C1631,'Policy Characteristics'!$C:$C,0)))</f>
        <v>0</v>
      </c>
      <c r="M1631" s="254">
        <f>IF(ISBLANK(INDEX('Policy Characteristics'!G:G,MATCH($C1631,'Policy Characteristics'!$C:$C,0))),"",INDEX('Policy Characteristics'!G:G,MATCH($C1631,'Policy Characteristics'!$C:$C,0)))</f>
        <v>1</v>
      </c>
      <c r="N1631" s="254">
        <f>IF(ISBLANK(INDEX('Policy Characteristics'!H:H,MATCH($C1631,'Policy Characteristics'!$C:$C,0))),"",INDEX('Policy Characteristics'!H:H,MATCH($C1631,'Policy Characteristics'!$C:$C,0)))</f>
        <v>1</v>
      </c>
      <c r="O1631" s="254" t="str">
        <f>IF(ISBLANK(INDEX('Policy Characteristics'!I:I,MATCH($C1631,'Policy Characteristics'!$C:$C,0))),"",INDEX('Policy Characteristics'!I:I,MATCH($C1631,'Policy Characteristics'!$C:$C,0)))</f>
        <v>on/off</v>
      </c>
      <c r="P1631" s="254" t="str">
        <f>IF(ISBLANK(INDEX('Policy Characteristics'!J:J,MATCH($C1631,'Policy Characteristics'!$C:$C,0))),"",INDEX('Policy Characteristics'!J:J,MATCH($C1631,'Policy Characteristics'!$C:$C,0)))</f>
        <v/>
      </c>
      <c r="Q1631" s="254" t="str">
        <f>IF(ISBLANK(INDEX('Policy Characteristics'!K:K,MATCH($C1631,'Policy Characteristics'!$C:$C,0))),"",INDEX('Policy Characteristics'!K:K,MATCH($C1631,'Policy Characteristics'!$C:$C,0)))</f>
        <v/>
      </c>
      <c r="R1631" s="254" t="str">
        <f>IF(ISBLANK(INDEX('Policy Characteristics'!L:L,MATCH($C1631,'Policy Characteristics'!$C:$C,0))),"",INDEX('Policy Characteristics'!L:L,MATCH($C1631,'Policy Characteristics'!$C:$C,0)))</f>
        <v/>
      </c>
    </row>
    <row r="1632" spans="1:18" s="2" customFormat="1" x14ac:dyDescent="0.3">
      <c r="A1632" s="254" t="str">
        <f>IF(ISBLANK(INDEX('Policy Characteristics'!A:A,MATCH($C1632,'Policy Characteristics'!$C:$C,0))),"",INDEX('Policy Characteristics'!A:A,MATCH($C1632,'Policy Characteristics'!$C:$C,0)))</f>
        <v>Cross-Sector</v>
      </c>
      <c r="B1632" s="262" t="str">
        <f>IF(ISBLANK(INDEX('Policy Characteristics'!B:B,MATCH($C1632,'Policy Characteristics'!$C:$C,0))),"",INDEX('Policy Characteristics'!B:B,MATCH($C1632,'Policy Characteristics'!$C:$C,0)))</f>
        <v>Fixed Energy Prices</v>
      </c>
      <c r="C1632" s="254" t="str">
        <f t="shared" si="64"/>
        <v>Toggle Whether Policies Affect Energy Prices</v>
      </c>
      <c r="D1632" s="6" t="s">
        <v>55</v>
      </c>
      <c r="E1632" s="45"/>
      <c r="F1632" s="6" t="s">
        <v>97</v>
      </c>
      <c r="G1632" s="6"/>
      <c r="H1632" s="43">
        <v>841</v>
      </c>
      <c r="I1632" s="325" t="s">
        <v>44</v>
      </c>
      <c r="J1632" s="255" t="str">
        <f>IF(ISBLANK(INDEX('Policy Characteristics'!D:D,MATCH($C1632,'Policy Characteristics'!$C:$C,0))),"",INDEX('Policy Characteristics'!D:D,MATCH($C1632,'Policy Characteristics'!$C:$C,0)))</f>
        <v>Fixed Energy Prices</v>
      </c>
      <c r="K1632" s="254" t="str">
        <f>IF(ISBLANK(INDEX('Policy Characteristics'!E:E,MATCH($C1632,'Policy Characteristics'!$C:$C,0))),"",INDEX('Policy Characteristics'!E:E,MATCH($C1632,'Policy Characteristics'!$C:$C,0)))</f>
        <v>cross toggle whether policies affect energy prices</v>
      </c>
      <c r="L1632" s="254">
        <f>IF(ISBLANK(INDEX('Policy Characteristics'!F:F,MATCH($C1632,'Policy Characteristics'!$C:$C,0))),"",INDEX('Policy Characteristics'!F:F,MATCH($C1632,'Policy Characteristics'!$C:$C,0)))</f>
        <v>0</v>
      </c>
      <c r="M1632" s="254">
        <f>IF(ISBLANK(INDEX('Policy Characteristics'!G:G,MATCH($C1632,'Policy Characteristics'!$C:$C,0))),"",INDEX('Policy Characteristics'!G:G,MATCH($C1632,'Policy Characteristics'!$C:$C,0)))</f>
        <v>1</v>
      </c>
      <c r="N1632" s="254">
        <f>IF(ISBLANK(INDEX('Policy Characteristics'!H:H,MATCH($C1632,'Policy Characteristics'!$C:$C,0))),"",INDEX('Policy Characteristics'!H:H,MATCH($C1632,'Policy Characteristics'!$C:$C,0)))</f>
        <v>1</v>
      </c>
      <c r="O1632" s="254" t="str">
        <f>IF(ISBLANK(INDEX('Policy Characteristics'!I:I,MATCH($C1632,'Policy Characteristics'!$C:$C,0))),"",INDEX('Policy Characteristics'!I:I,MATCH($C1632,'Policy Characteristics'!$C:$C,0)))</f>
        <v>on/off</v>
      </c>
      <c r="P1632" s="254" t="str">
        <f>IF(ISBLANK(INDEX('Policy Characteristics'!J:J,MATCH($C1632,'Policy Characteristics'!$C:$C,0))),"",INDEX('Policy Characteristics'!J:J,MATCH($C1632,'Policy Characteristics'!$C:$C,0)))</f>
        <v/>
      </c>
      <c r="Q1632" s="254" t="str">
        <f>IF(ISBLANK(INDEX('Policy Characteristics'!K:K,MATCH($C1632,'Policy Characteristics'!$C:$C,0))),"",INDEX('Policy Characteristics'!K:K,MATCH($C1632,'Policy Characteristics'!$C:$C,0)))</f>
        <v/>
      </c>
      <c r="R1632" s="254" t="str">
        <f>IF(ISBLANK(INDEX('Policy Characteristics'!L:L,MATCH($C1632,'Policy Characteristics'!$C:$C,0))),"",INDEX('Policy Characteristics'!L:L,MATCH($C1632,'Policy Characteristics'!$C:$C,0)))</f>
        <v/>
      </c>
    </row>
    <row r="1633" spans="1:18" s="2" customFormat="1" x14ac:dyDescent="0.3">
      <c r="A1633" s="254" t="str">
        <f>IF(ISBLANK(INDEX('Policy Characteristics'!A:A,MATCH($C1633,'Policy Characteristics'!$C:$C,0))),"",INDEX('Policy Characteristics'!A:A,MATCH($C1633,'Policy Characteristics'!$C:$C,0)))</f>
        <v>Cross-Sector</v>
      </c>
      <c r="B1633" s="262" t="str">
        <f>IF(ISBLANK(INDEX('Policy Characteristics'!B:B,MATCH($C1633,'Policy Characteristics'!$C:$C,0))),"",INDEX('Policy Characteristics'!B:B,MATCH($C1633,'Policy Characteristics'!$C:$C,0)))</f>
        <v>Fixed Energy Prices</v>
      </c>
      <c r="C1633" s="254" t="str">
        <f t="shared" si="64"/>
        <v>Toggle Whether Policies Affect Energy Prices</v>
      </c>
      <c r="D1633" s="6" t="s">
        <v>56</v>
      </c>
      <c r="E1633" s="45"/>
      <c r="F1633" s="6" t="s">
        <v>98</v>
      </c>
      <c r="G1633" s="6"/>
      <c r="H1633" s="47">
        <v>842</v>
      </c>
      <c r="I1633" s="325" t="s">
        <v>44</v>
      </c>
      <c r="J1633" s="255" t="str">
        <f>IF(ISBLANK(INDEX('Policy Characteristics'!D:D,MATCH($C1633,'Policy Characteristics'!$C:$C,0))),"",INDEX('Policy Characteristics'!D:D,MATCH($C1633,'Policy Characteristics'!$C:$C,0)))</f>
        <v>Fixed Energy Prices</v>
      </c>
      <c r="K1633" s="254" t="str">
        <f>IF(ISBLANK(INDEX('Policy Characteristics'!E:E,MATCH($C1633,'Policy Characteristics'!$C:$C,0))),"",INDEX('Policy Characteristics'!E:E,MATCH($C1633,'Policy Characteristics'!$C:$C,0)))</f>
        <v>cross toggle whether policies affect energy prices</v>
      </c>
      <c r="L1633" s="254">
        <f>IF(ISBLANK(INDEX('Policy Characteristics'!F:F,MATCH($C1633,'Policy Characteristics'!$C:$C,0))),"",INDEX('Policy Characteristics'!F:F,MATCH($C1633,'Policy Characteristics'!$C:$C,0)))</f>
        <v>0</v>
      </c>
      <c r="M1633" s="254">
        <f>IF(ISBLANK(INDEX('Policy Characteristics'!G:G,MATCH($C1633,'Policy Characteristics'!$C:$C,0))),"",INDEX('Policy Characteristics'!G:G,MATCH($C1633,'Policy Characteristics'!$C:$C,0)))</f>
        <v>1</v>
      </c>
      <c r="N1633" s="254">
        <f>IF(ISBLANK(INDEX('Policy Characteristics'!H:H,MATCH($C1633,'Policy Characteristics'!$C:$C,0))),"",INDEX('Policy Characteristics'!H:H,MATCH($C1633,'Policy Characteristics'!$C:$C,0)))</f>
        <v>1</v>
      </c>
      <c r="O1633" s="254" t="str">
        <f>IF(ISBLANK(INDEX('Policy Characteristics'!I:I,MATCH($C1633,'Policy Characteristics'!$C:$C,0))),"",INDEX('Policy Characteristics'!I:I,MATCH($C1633,'Policy Characteristics'!$C:$C,0)))</f>
        <v>on/off</v>
      </c>
      <c r="P1633" s="254" t="str">
        <f>IF(ISBLANK(INDEX('Policy Characteristics'!J:J,MATCH($C1633,'Policy Characteristics'!$C:$C,0))),"",INDEX('Policy Characteristics'!J:J,MATCH($C1633,'Policy Characteristics'!$C:$C,0)))</f>
        <v/>
      </c>
      <c r="Q1633" s="254" t="str">
        <f>IF(ISBLANK(INDEX('Policy Characteristics'!K:K,MATCH($C1633,'Policy Characteristics'!$C:$C,0))),"",INDEX('Policy Characteristics'!K:K,MATCH($C1633,'Policy Characteristics'!$C:$C,0)))</f>
        <v/>
      </c>
      <c r="R1633" s="254" t="str">
        <f>IF(ISBLANK(INDEX('Policy Characteristics'!L:L,MATCH($C1633,'Policy Characteristics'!$C:$C,0))),"",INDEX('Policy Characteristics'!L:L,MATCH($C1633,'Policy Characteristics'!$C:$C,0)))</f>
        <v/>
      </c>
    </row>
    <row r="1634" spans="1:18" s="2" customFormat="1" x14ac:dyDescent="0.3">
      <c r="A1634" s="254" t="str">
        <f>IF(ISBLANK(INDEX('Policy Characteristics'!A:A,MATCH($C1634,'Policy Characteristics'!$C:$C,0))),"",INDEX('Policy Characteristics'!A:A,MATCH($C1634,'Policy Characteristics'!$C:$C,0)))</f>
        <v>Cross-Sector</v>
      </c>
      <c r="B1634" s="262" t="str">
        <f>IF(ISBLANK(INDEX('Policy Characteristics'!B:B,MATCH($C1634,'Policy Characteristics'!$C:$C,0))),"",INDEX('Policy Characteristics'!B:B,MATCH($C1634,'Policy Characteristics'!$C:$C,0)))</f>
        <v>Fixed Energy Prices</v>
      </c>
      <c r="C1634" s="254" t="str">
        <f t="shared" si="64"/>
        <v>Toggle Whether Policies Affect Energy Prices</v>
      </c>
      <c r="D1634" s="6" t="s">
        <v>2473</v>
      </c>
      <c r="E1634" s="45"/>
      <c r="F1634" s="6" t="s">
        <v>2474</v>
      </c>
      <c r="G1634" s="6"/>
      <c r="H1634" s="43">
        <v>843</v>
      </c>
      <c r="I1634" s="325" t="s">
        <v>44</v>
      </c>
      <c r="J1634" s="255" t="str">
        <f>IF(ISBLANK(INDEX('Policy Characteristics'!D:D,MATCH($C1634,'Policy Characteristics'!$C:$C,0))),"",INDEX('Policy Characteristics'!D:D,MATCH($C1634,'Policy Characteristics'!$C:$C,0)))</f>
        <v>Fixed Energy Prices</v>
      </c>
      <c r="K1634" s="254" t="str">
        <f>IF(ISBLANK(INDEX('Policy Characteristics'!E:E,MATCH($C1634,'Policy Characteristics'!$C:$C,0))),"",INDEX('Policy Characteristics'!E:E,MATCH($C1634,'Policy Characteristics'!$C:$C,0)))</f>
        <v>cross toggle whether policies affect energy prices</v>
      </c>
      <c r="L1634" s="254">
        <f>IF(ISBLANK(INDEX('Policy Characteristics'!F:F,MATCH($C1634,'Policy Characteristics'!$C:$C,0))),"",INDEX('Policy Characteristics'!F:F,MATCH($C1634,'Policy Characteristics'!$C:$C,0)))</f>
        <v>0</v>
      </c>
      <c r="M1634" s="254">
        <f>IF(ISBLANK(INDEX('Policy Characteristics'!G:G,MATCH($C1634,'Policy Characteristics'!$C:$C,0))),"",INDEX('Policy Characteristics'!G:G,MATCH($C1634,'Policy Characteristics'!$C:$C,0)))</f>
        <v>1</v>
      </c>
      <c r="N1634" s="254">
        <f>IF(ISBLANK(INDEX('Policy Characteristics'!H:H,MATCH($C1634,'Policy Characteristics'!$C:$C,0))),"",INDEX('Policy Characteristics'!H:H,MATCH($C1634,'Policy Characteristics'!$C:$C,0)))</f>
        <v>1</v>
      </c>
      <c r="O1634" s="254" t="str">
        <f>IF(ISBLANK(INDEX('Policy Characteristics'!I:I,MATCH($C1634,'Policy Characteristics'!$C:$C,0))),"",INDEX('Policy Characteristics'!I:I,MATCH($C1634,'Policy Characteristics'!$C:$C,0)))</f>
        <v>on/off</v>
      </c>
      <c r="P1634" s="254" t="str">
        <f>IF(ISBLANK(INDEX('Policy Characteristics'!J:J,MATCH($C1634,'Policy Characteristics'!$C:$C,0))),"",INDEX('Policy Characteristics'!J:J,MATCH($C1634,'Policy Characteristics'!$C:$C,0)))</f>
        <v/>
      </c>
      <c r="Q1634" s="254" t="str">
        <f>IF(ISBLANK(INDEX('Policy Characteristics'!K:K,MATCH($C1634,'Policy Characteristics'!$C:$C,0))),"",INDEX('Policy Characteristics'!K:K,MATCH($C1634,'Policy Characteristics'!$C:$C,0)))</f>
        <v/>
      </c>
      <c r="R1634" s="254" t="str">
        <f>IF(ISBLANK(INDEX('Policy Characteristics'!L:L,MATCH($C1634,'Policy Characteristics'!$C:$C,0))),"",INDEX('Policy Characteristics'!L:L,MATCH($C1634,'Policy Characteristics'!$C:$C,0)))</f>
        <v/>
      </c>
    </row>
    <row r="1635" spans="1:18" s="2" customFormat="1" x14ac:dyDescent="0.3">
      <c r="A1635" s="254" t="str">
        <f>IF(ISBLANK(INDEX('Policy Characteristics'!A:A,MATCH($C1635,'Policy Characteristics'!$C:$C,0))),"",INDEX('Policy Characteristics'!A:A,MATCH($C1635,'Policy Characteristics'!$C:$C,0)))</f>
        <v>Cross-Sector</v>
      </c>
      <c r="B1635" s="262" t="str">
        <f>IF(ISBLANK(INDEX('Policy Characteristics'!B:B,MATCH($C1635,'Policy Characteristics'!$C:$C,0))),"",INDEX('Policy Characteristics'!B:B,MATCH($C1635,'Policy Characteristics'!$C:$C,0)))</f>
        <v>Fixed Energy Prices</v>
      </c>
      <c r="C1635" s="254" t="str">
        <f t="shared" si="64"/>
        <v>Toggle Whether Policies Affect Energy Prices</v>
      </c>
      <c r="D1635" s="6" t="s">
        <v>442</v>
      </c>
      <c r="E1635" s="45"/>
      <c r="F1635" s="6" t="s">
        <v>443</v>
      </c>
      <c r="G1635" s="6"/>
      <c r="H1635" s="47">
        <v>844</v>
      </c>
      <c r="I1635" s="325" t="s">
        <v>44</v>
      </c>
      <c r="J1635" s="255" t="str">
        <f>IF(ISBLANK(INDEX('Policy Characteristics'!D:D,MATCH($C1635,'Policy Characteristics'!$C:$C,0))),"",INDEX('Policy Characteristics'!D:D,MATCH($C1635,'Policy Characteristics'!$C:$C,0)))</f>
        <v>Fixed Energy Prices</v>
      </c>
      <c r="K1635" s="254" t="str">
        <f>IF(ISBLANK(INDEX('Policy Characteristics'!E:E,MATCH($C1635,'Policy Characteristics'!$C:$C,0))),"",INDEX('Policy Characteristics'!E:E,MATCH($C1635,'Policy Characteristics'!$C:$C,0)))</f>
        <v>cross toggle whether policies affect energy prices</v>
      </c>
      <c r="L1635" s="254">
        <f>IF(ISBLANK(INDEX('Policy Characteristics'!F:F,MATCH($C1635,'Policy Characteristics'!$C:$C,0))),"",INDEX('Policy Characteristics'!F:F,MATCH($C1635,'Policy Characteristics'!$C:$C,0)))</f>
        <v>0</v>
      </c>
      <c r="M1635" s="254">
        <f>IF(ISBLANK(INDEX('Policy Characteristics'!G:G,MATCH($C1635,'Policy Characteristics'!$C:$C,0))),"",INDEX('Policy Characteristics'!G:G,MATCH($C1635,'Policy Characteristics'!$C:$C,0)))</f>
        <v>1</v>
      </c>
      <c r="N1635" s="254">
        <f>IF(ISBLANK(INDEX('Policy Characteristics'!H:H,MATCH($C1635,'Policy Characteristics'!$C:$C,0))),"",INDEX('Policy Characteristics'!H:H,MATCH($C1635,'Policy Characteristics'!$C:$C,0)))</f>
        <v>1</v>
      </c>
      <c r="O1635" s="254" t="str">
        <f>IF(ISBLANK(INDEX('Policy Characteristics'!I:I,MATCH($C1635,'Policy Characteristics'!$C:$C,0))),"",INDEX('Policy Characteristics'!I:I,MATCH($C1635,'Policy Characteristics'!$C:$C,0)))</f>
        <v>on/off</v>
      </c>
      <c r="P1635" s="254" t="str">
        <f>IF(ISBLANK(INDEX('Policy Characteristics'!J:J,MATCH($C1635,'Policy Characteristics'!$C:$C,0))),"",INDEX('Policy Characteristics'!J:J,MATCH($C1635,'Policy Characteristics'!$C:$C,0)))</f>
        <v/>
      </c>
      <c r="Q1635" s="254" t="str">
        <f>IF(ISBLANK(INDEX('Policy Characteristics'!K:K,MATCH($C1635,'Policy Characteristics'!$C:$C,0))),"",INDEX('Policy Characteristics'!K:K,MATCH($C1635,'Policy Characteristics'!$C:$C,0)))</f>
        <v/>
      </c>
      <c r="R1635" s="254" t="str">
        <f>IF(ISBLANK(INDEX('Policy Characteristics'!L:L,MATCH($C1635,'Policy Characteristics'!$C:$C,0))),"",INDEX('Policy Characteristics'!L:L,MATCH($C1635,'Policy Characteristics'!$C:$C,0)))</f>
        <v/>
      </c>
    </row>
    <row r="1636" spans="1:18" s="2" customFormat="1" x14ac:dyDescent="0.3">
      <c r="A1636" s="254" t="str">
        <f>IF(ISBLANK(INDEX('Policy Characteristics'!A:A,MATCH($C1636,'Policy Characteristics'!$C:$C,0))),"",INDEX('Policy Characteristics'!A:A,MATCH($C1636,'Policy Characteristics'!$C:$C,0)))</f>
        <v>Cross-Sector</v>
      </c>
      <c r="B1636" s="262" t="str">
        <f>IF(ISBLANK(INDEX('Policy Characteristics'!B:B,MATCH($C1636,'Policy Characteristics'!$C:$C,0))),"",INDEX('Policy Characteristics'!B:B,MATCH($C1636,'Policy Characteristics'!$C:$C,0)))</f>
        <v>Fixed Energy Prices</v>
      </c>
      <c r="C1636" s="254" t="str">
        <f t="shared" si="64"/>
        <v>Toggle Whether Policies Affect Energy Prices</v>
      </c>
      <c r="D1636" s="6" t="s">
        <v>2465</v>
      </c>
      <c r="E1636" s="45"/>
      <c r="F1636" s="6" t="s">
        <v>2469</v>
      </c>
      <c r="G1636" s="6"/>
      <c r="H1636" s="43">
        <v>845</v>
      </c>
      <c r="I1636" s="325" t="s">
        <v>44</v>
      </c>
      <c r="J1636" s="255" t="str">
        <f>IF(ISBLANK(INDEX('Policy Characteristics'!D:D,MATCH($C1636,'Policy Characteristics'!$C:$C,0))),"",INDEX('Policy Characteristics'!D:D,MATCH($C1636,'Policy Characteristics'!$C:$C,0)))</f>
        <v>Fixed Energy Prices</v>
      </c>
      <c r="K1636" s="254" t="str">
        <f>IF(ISBLANK(INDEX('Policy Characteristics'!E:E,MATCH($C1636,'Policy Characteristics'!$C:$C,0))),"",INDEX('Policy Characteristics'!E:E,MATCH($C1636,'Policy Characteristics'!$C:$C,0)))</f>
        <v>cross toggle whether policies affect energy prices</v>
      </c>
      <c r="L1636" s="254">
        <f>IF(ISBLANK(INDEX('Policy Characteristics'!F:F,MATCH($C1636,'Policy Characteristics'!$C:$C,0))),"",INDEX('Policy Characteristics'!F:F,MATCH($C1636,'Policy Characteristics'!$C:$C,0)))</f>
        <v>0</v>
      </c>
      <c r="M1636" s="254">
        <f>IF(ISBLANK(INDEX('Policy Characteristics'!G:G,MATCH($C1636,'Policy Characteristics'!$C:$C,0))),"",INDEX('Policy Characteristics'!G:G,MATCH($C1636,'Policy Characteristics'!$C:$C,0)))</f>
        <v>1</v>
      </c>
      <c r="N1636" s="254">
        <f>IF(ISBLANK(INDEX('Policy Characteristics'!H:H,MATCH($C1636,'Policy Characteristics'!$C:$C,0))),"",INDEX('Policy Characteristics'!H:H,MATCH($C1636,'Policy Characteristics'!$C:$C,0)))</f>
        <v>1</v>
      </c>
      <c r="O1636" s="254" t="str">
        <f>IF(ISBLANK(INDEX('Policy Characteristics'!I:I,MATCH($C1636,'Policy Characteristics'!$C:$C,0))),"",INDEX('Policy Characteristics'!I:I,MATCH($C1636,'Policy Characteristics'!$C:$C,0)))</f>
        <v>on/off</v>
      </c>
      <c r="P1636" s="254" t="str">
        <f>IF(ISBLANK(INDEX('Policy Characteristics'!J:J,MATCH($C1636,'Policy Characteristics'!$C:$C,0))),"",INDEX('Policy Characteristics'!J:J,MATCH($C1636,'Policy Characteristics'!$C:$C,0)))</f>
        <v/>
      </c>
      <c r="Q1636" s="254" t="str">
        <f>IF(ISBLANK(INDEX('Policy Characteristics'!K:K,MATCH($C1636,'Policy Characteristics'!$C:$C,0))),"",INDEX('Policy Characteristics'!K:K,MATCH($C1636,'Policy Characteristics'!$C:$C,0)))</f>
        <v/>
      </c>
      <c r="R1636" s="254" t="str">
        <f>IF(ISBLANK(INDEX('Policy Characteristics'!L:L,MATCH($C1636,'Policy Characteristics'!$C:$C,0))),"",INDEX('Policy Characteristics'!L:L,MATCH($C1636,'Policy Characteristics'!$C:$C,0)))</f>
        <v/>
      </c>
    </row>
    <row r="1637" spans="1:18" s="2" customFormat="1" x14ac:dyDescent="0.3">
      <c r="A1637" s="254" t="str">
        <f>IF(ISBLANK(INDEX('Policy Characteristics'!A:A,MATCH($C1637,'Policy Characteristics'!$C:$C,0))),"",INDEX('Policy Characteristics'!A:A,MATCH($C1637,'Policy Characteristics'!$C:$C,0)))</f>
        <v>Cross-Sector</v>
      </c>
      <c r="B1637" s="262" t="str">
        <f>IF(ISBLANK(INDEX('Policy Characteristics'!B:B,MATCH($C1637,'Policy Characteristics'!$C:$C,0))),"",INDEX('Policy Characteristics'!B:B,MATCH($C1637,'Policy Characteristics'!$C:$C,0)))</f>
        <v>Fixed Energy Prices</v>
      </c>
      <c r="C1637" s="254" t="str">
        <f t="shared" si="64"/>
        <v>Toggle Whether Policies Affect Energy Prices</v>
      </c>
      <c r="D1637" s="6" t="s">
        <v>2475</v>
      </c>
      <c r="E1637" s="45"/>
      <c r="F1637" s="6" t="s">
        <v>2476</v>
      </c>
      <c r="G1637" s="6"/>
      <c r="H1637" s="47">
        <v>846</v>
      </c>
      <c r="I1637" s="325" t="s">
        <v>44</v>
      </c>
      <c r="J1637" s="255" t="str">
        <f>IF(ISBLANK(INDEX('Policy Characteristics'!D:D,MATCH($C1637,'Policy Characteristics'!$C:$C,0))),"",INDEX('Policy Characteristics'!D:D,MATCH($C1637,'Policy Characteristics'!$C:$C,0)))</f>
        <v>Fixed Energy Prices</v>
      </c>
      <c r="K1637" s="254" t="str">
        <f>IF(ISBLANK(INDEX('Policy Characteristics'!E:E,MATCH($C1637,'Policy Characteristics'!$C:$C,0))),"",INDEX('Policy Characteristics'!E:E,MATCH($C1637,'Policy Characteristics'!$C:$C,0)))</f>
        <v>cross toggle whether policies affect energy prices</v>
      </c>
      <c r="L1637" s="254">
        <f>IF(ISBLANK(INDEX('Policy Characteristics'!F:F,MATCH($C1637,'Policy Characteristics'!$C:$C,0))),"",INDEX('Policy Characteristics'!F:F,MATCH($C1637,'Policy Characteristics'!$C:$C,0)))</f>
        <v>0</v>
      </c>
      <c r="M1637" s="254">
        <f>IF(ISBLANK(INDEX('Policy Characteristics'!G:G,MATCH($C1637,'Policy Characteristics'!$C:$C,0))),"",INDEX('Policy Characteristics'!G:G,MATCH($C1637,'Policy Characteristics'!$C:$C,0)))</f>
        <v>1</v>
      </c>
      <c r="N1637" s="254">
        <f>IF(ISBLANK(INDEX('Policy Characteristics'!H:H,MATCH($C1637,'Policy Characteristics'!$C:$C,0))),"",INDEX('Policy Characteristics'!H:H,MATCH($C1637,'Policy Characteristics'!$C:$C,0)))</f>
        <v>1</v>
      </c>
      <c r="O1637" s="254" t="str">
        <f>IF(ISBLANK(INDEX('Policy Characteristics'!I:I,MATCH($C1637,'Policy Characteristics'!$C:$C,0))),"",INDEX('Policy Characteristics'!I:I,MATCH($C1637,'Policy Characteristics'!$C:$C,0)))</f>
        <v>on/off</v>
      </c>
      <c r="P1637" s="254" t="str">
        <f>IF(ISBLANK(INDEX('Policy Characteristics'!J:J,MATCH($C1637,'Policy Characteristics'!$C:$C,0))),"",INDEX('Policy Characteristics'!J:J,MATCH($C1637,'Policy Characteristics'!$C:$C,0)))</f>
        <v/>
      </c>
      <c r="Q1637" s="254" t="str">
        <f>IF(ISBLANK(INDEX('Policy Characteristics'!K:K,MATCH($C1637,'Policy Characteristics'!$C:$C,0))),"",INDEX('Policy Characteristics'!K:K,MATCH($C1637,'Policy Characteristics'!$C:$C,0)))</f>
        <v/>
      </c>
      <c r="R1637" s="254" t="str">
        <f>IF(ISBLANK(INDEX('Policy Characteristics'!L:L,MATCH($C1637,'Policy Characteristics'!$C:$C,0))),"",INDEX('Policy Characteristics'!L:L,MATCH($C1637,'Policy Characteristics'!$C:$C,0)))</f>
        <v/>
      </c>
    </row>
    <row r="1638" spans="1:18" s="2" customFormat="1" x14ac:dyDescent="0.3">
      <c r="A1638" s="254" t="str">
        <f>IF(ISBLANK(INDEX('Policy Characteristics'!A:A,MATCH($C1638,'Policy Characteristics'!$C:$C,0))),"",INDEX('Policy Characteristics'!A:A,MATCH($C1638,'Policy Characteristics'!$C:$C,0)))</f>
        <v>Cross-Sector</v>
      </c>
      <c r="B1638" s="262" t="str">
        <f>IF(ISBLANK(INDEX('Policy Characteristics'!B:B,MATCH($C1638,'Policy Characteristics'!$C:$C,0))),"",INDEX('Policy Characteristics'!B:B,MATCH($C1638,'Policy Characteristics'!$C:$C,0)))</f>
        <v>Fixed Energy Prices</v>
      </c>
      <c r="C1638" s="254" t="str">
        <f t="shared" si="64"/>
        <v>Toggle Whether Policies Affect Energy Prices</v>
      </c>
      <c r="D1638" s="6" t="s">
        <v>2466</v>
      </c>
      <c r="E1638" s="45"/>
      <c r="F1638" s="6" t="s">
        <v>2470</v>
      </c>
      <c r="G1638" s="6"/>
      <c r="H1638" s="43">
        <v>847</v>
      </c>
      <c r="I1638" s="325" t="s">
        <v>44</v>
      </c>
      <c r="J1638" s="255" t="str">
        <f>IF(ISBLANK(INDEX('Policy Characteristics'!D:D,MATCH($C1638,'Policy Characteristics'!$C:$C,0))),"",INDEX('Policy Characteristics'!D:D,MATCH($C1638,'Policy Characteristics'!$C:$C,0)))</f>
        <v>Fixed Energy Prices</v>
      </c>
      <c r="K1638" s="254" t="str">
        <f>IF(ISBLANK(INDEX('Policy Characteristics'!E:E,MATCH($C1638,'Policy Characteristics'!$C:$C,0))),"",INDEX('Policy Characteristics'!E:E,MATCH($C1638,'Policy Characteristics'!$C:$C,0)))</f>
        <v>cross toggle whether policies affect energy prices</v>
      </c>
      <c r="L1638" s="254">
        <f>IF(ISBLANK(INDEX('Policy Characteristics'!F:F,MATCH($C1638,'Policy Characteristics'!$C:$C,0))),"",INDEX('Policy Characteristics'!F:F,MATCH($C1638,'Policy Characteristics'!$C:$C,0)))</f>
        <v>0</v>
      </c>
      <c r="M1638" s="254">
        <f>IF(ISBLANK(INDEX('Policy Characteristics'!G:G,MATCH($C1638,'Policy Characteristics'!$C:$C,0))),"",INDEX('Policy Characteristics'!G:G,MATCH($C1638,'Policy Characteristics'!$C:$C,0)))</f>
        <v>1</v>
      </c>
      <c r="N1638" s="254">
        <f>IF(ISBLANK(INDEX('Policy Characteristics'!H:H,MATCH($C1638,'Policy Characteristics'!$C:$C,0))),"",INDEX('Policy Characteristics'!H:H,MATCH($C1638,'Policy Characteristics'!$C:$C,0)))</f>
        <v>1</v>
      </c>
      <c r="O1638" s="254" t="str">
        <f>IF(ISBLANK(INDEX('Policy Characteristics'!I:I,MATCH($C1638,'Policy Characteristics'!$C:$C,0))),"",INDEX('Policy Characteristics'!I:I,MATCH($C1638,'Policy Characteristics'!$C:$C,0)))</f>
        <v>on/off</v>
      </c>
      <c r="P1638" s="254" t="str">
        <f>IF(ISBLANK(INDEX('Policy Characteristics'!J:J,MATCH($C1638,'Policy Characteristics'!$C:$C,0))),"",INDEX('Policy Characteristics'!J:J,MATCH($C1638,'Policy Characteristics'!$C:$C,0)))</f>
        <v/>
      </c>
      <c r="Q1638" s="254" t="str">
        <f>IF(ISBLANK(INDEX('Policy Characteristics'!K:K,MATCH($C1638,'Policy Characteristics'!$C:$C,0))),"",INDEX('Policy Characteristics'!K:K,MATCH($C1638,'Policy Characteristics'!$C:$C,0)))</f>
        <v/>
      </c>
      <c r="R1638" s="254" t="str">
        <f>IF(ISBLANK(INDEX('Policy Characteristics'!L:L,MATCH($C1638,'Policy Characteristics'!$C:$C,0))),"",INDEX('Policy Characteristics'!L:L,MATCH($C1638,'Policy Characteristics'!$C:$C,0)))</f>
        <v/>
      </c>
    </row>
    <row r="1639" spans="1:18" s="2" customFormat="1" x14ac:dyDescent="0.3">
      <c r="A1639" s="254" t="str">
        <f>IF(ISBLANK(INDEX('Policy Characteristics'!A:A,MATCH($C1639,'Policy Characteristics'!$C:$C,0))),"",INDEX('Policy Characteristics'!A:A,MATCH($C1639,'Policy Characteristics'!$C:$C,0)))</f>
        <v>Cross-Sector</v>
      </c>
      <c r="B1639" s="262" t="str">
        <f>IF(ISBLANK(INDEX('Policy Characteristics'!B:B,MATCH($C1639,'Policy Characteristics'!$C:$C,0))),"",INDEX('Policy Characteristics'!B:B,MATCH($C1639,'Policy Characteristics'!$C:$C,0)))</f>
        <v>Fuel Price Deregulation</v>
      </c>
      <c r="C1639" s="317" t="s">
        <v>2756</v>
      </c>
      <c r="D1639" s="6" t="s">
        <v>449</v>
      </c>
      <c r="E1639" s="45"/>
      <c r="F1639" s="6" t="s">
        <v>446</v>
      </c>
      <c r="G1639" s="6"/>
      <c r="H1639" s="43">
        <v>723</v>
      </c>
      <c r="I1639" s="325" t="s">
        <v>44</v>
      </c>
      <c r="J1639" s="255" t="str">
        <f>IF(ISBLANK(INDEX('Policy Characteristics'!D:D,MATCH($C1639,'Policy Characteristics'!$C:$C,0))),"",INDEX('Policy Characteristics'!D:D,MATCH($C1639,'Policy Characteristics'!$C:$C,0)))</f>
        <v>Fuel Price Deregulation</v>
      </c>
      <c r="K1639" s="254" t="str">
        <f>IF(ISBLANK(INDEX('Policy Characteristics'!E:E,MATCH($C1639,'Policy Characteristics'!$C:$C,0))),"",INDEX('Policy Characteristics'!E:E,MATCH($C1639,'Policy Characteristics'!$C:$C,0)))</f>
        <v>cross fuel price deregulation</v>
      </c>
      <c r="L1639" s="261">
        <f>IF(ISBLANK(INDEX('Policy Characteristics'!F:F,MATCH($C1639,'Policy Characteristics'!$C:$C,0))),"",INDEX('Policy Characteristics'!F:F,MATCH($C1639,'Policy Characteristics'!$C:$C,0)))</f>
        <v>0</v>
      </c>
      <c r="M1639" s="261">
        <f>IF(ISBLANK(INDEX('Policy Characteristics'!G:G,MATCH($C1639,'Policy Characteristics'!$C:$C,0))),"",INDEX('Policy Characteristics'!G:G,MATCH($C1639,'Policy Characteristics'!$C:$C,0)))</f>
        <v>1</v>
      </c>
      <c r="N1639" s="261">
        <f>IF(ISBLANK(INDEX('Policy Characteristics'!H:H,MATCH($C1639,'Policy Characteristics'!$C:$C,0))),"",INDEX('Policy Characteristics'!H:H,MATCH($C1639,'Policy Characteristics'!$C:$C,0)))</f>
        <v>0.01</v>
      </c>
      <c r="O1639" s="254" t="str">
        <f>IF(ISBLANK(INDEX('Policy Characteristics'!I:I,MATCH($C1639,'Policy Characteristics'!$C:$C,0))),"",INDEX('Policy Characteristics'!I:I,MATCH($C1639,'Policy Characteristics'!$C:$C,0)))</f>
        <v>% of price deregulated</v>
      </c>
      <c r="P1639" s="254" t="str">
        <f>IF(ISBLANK(INDEX('Policy Characteristics'!J:J,MATCH($C1639,'Policy Characteristics'!$C:$C,0))),"",INDEX('Policy Characteristics'!J:J,MATCH($C1639,'Policy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39" s="254" t="str">
        <f>IF(ISBLANK(INDEX('Policy Characteristics'!K:K,MATCH($C1639,'Policy Characteristics'!$C:$C,0))),"",INDEX('Policy Characteristics'!K:K,MATCH($C1639,'Policy Characteristics'!$C:$C,0)))</f>
        <v>fuels.html#fuel-price-deregulation</v>
      </c>
      <c r="R1639" s="254" t="str">
        <f>IF(ISBLANK(INDEX('Policy Characteristics'!L:L,MATCH($C1639,'Policy Characteristics'!$C:$C,0))),"",INDEX('Policy Characteristics'!L:L,MATCH($C1639,'Policy Characteristics'!$C:$C,0)))</f>
        <v/>
      </c>
    </row>
    <row r="1640" spans="1:18" s="2" customFormat="1" x14ac:dyDescent="0.3">
      <c r="A1640" s="254" t="str">
        <f>IF(ISBLANK(INDEX('Policy Characteristics'!A:A,MATCH($C1640,'Policy Characteristics'!$C:$C,0))),"",INDEX('Policy Characteristics'!A:A,MATCH($C1640,'Policy Characteristics'!$C:$C,0)))</f>
        <v>Cross-Sector</v>
      </c>
      <c r="B1640" s="262" t="str">
        <f>IF(ISBLANK(INDEX('Policy Characteristics'!B:B,MATCH($C1640,'Policy Characteristics'!$C:$C,0))),"",INDEX('Policy Characteristics'!B:B,MATCH($C1640,'Policy Characteristics'!$C:$C,0)))</f>
        <v>Fuel Price Deregulation</v>
      </c>
      <c r="C1640" s="254" t="str">
        <f t="shared" ref="C1640:C1653" si="65">C$1639</f>
        <v>Fuel Price Deregulation</v>
      </c>
      <c r="D1640" s="6" t="s">
        <v>46</v>
      </c>
      <c r="E1640" s="45"/>
      <c r="F1640" s="6" t="s">
        <v>87</v>
      </c>
      <c r="G1640" s="6"/>
      <c r="H1640" s="43">
        <v>724</v>
      </c>
      <c r="I1640" s="325" t="s">
        <v>44</v>
      </c>
      <c r="J1640" s="255" t="str">
        <f>IF(ISBLANK(INDEX('Policy Characteristics'!D:D,MATCH($C1640,'Policy Characteristics'!$C:$C,0))),"",INDEX('Policy Characteristics'!D:D,MATCH($C1640,'Policy Characteristics'!$C:$C,0)))</f>
        <v>Fuel Price Deregulation</v>
      </c>
      <c r="K1640" s="254" t="str">
        <f>IF(ISBLANK(INDEX('Policy Characteristics'!E:E,MATCH($C1640,'Policy Characteristics'!$C:$C,0))),"",INDEX('Policy Characteristics'!E:E,MATCH($C1640,'Policy Characteristics'!$C:$C,0)))</f>
        <v>cross fuel price deregulation</v>
      </c>
      <c r="L1640" s="261">
        <f>IF(ISBLANK(INDEX('Policy Characteristics'!F:F,MATCH($C1640,'Policy Characteristics'!$C:$C,0))),"",INDEX('Policy Characteristics'!F:F,MATCH($C1640,'Policy Characteristics'!$C:$C,0)))</f>
        <v>0</v>
      </c>
      <c r="M1640" s="261">
        <f>IF(ISBLANK(INDEX('Policy Characteristics'!G:G,MATCH($C1640,'Policy Characteristics'!$C:$C,0))),"",INDEX('Policy Characteristics'!G:G,MATCH($C1640,'Policy Characteristics'!$C:$C,0)))</f>
        <v>1</v>
      </c>
      <c r="N1640" s="261">
        <f>IF(ISBLANK(INDEX('Policy Characteristics'!H:H,MATCH($C1640,'Policy Characteristics'!$C:$C,0))),"",INDEX('Policy Characteristics'!H:H,MATCH($C1640,'Policy Characteristics'!$C:$C,0)))</f>
        <v>0.01</v>
      </c>
      <c r="O1640" s="254" t="str">
        <f>IF(ISBLANK(INDEX('Policy Characteristics'!I:I,MATCH($C1640,'Policy Characteristics'!$C:$C,0))),"",INDEX('Policy Characteristics'!I:I,MATCH($C1640,'Policy Characteristics'!$C:$C,0)))</f>
        <v>% of price deregulated</v>
      </c>
      <c r="P1640" s="254" t="str">
        <f>IF(ISBLANK(INDEX('Policy Characteristics'!J:J,MATCH($C1640,'Policy Characteristics'!$C:$C,0))),"",INDEX('Policy Characteristics'!J:J,MATCH($C1640,'Policy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0" s="254" t="str">
        <f>IF(ISBLANK(INDEX('Policy Characteristics'!K:K,MATCH($C1640,'Policy Characteristics'!$C:$C,0))),"",INDEX('Policy Characteristics'!K:K,MATCH($C1640,'Policy Characteristics'!$C:$C,0)))</f>
        <v>fuels.html#fuel-price-deregulation</v>
      </c>
      <c r="R1640" s="254" t="str">
        <f>IF(ISBLANK(INDEX('Policy Characteristics'!L:L,MATCH($C1640,'Policy Characteristics'!$C:$C,0))),"",INDEX('Policy Characteristics'!L:L,MATCH($C1640,'Policy Characteristics'!$C:$C,0)))</f>
        <v/>
      </c>
    </row>
    <row r="1641" spans="1:18" s="2" customFormat="1" x14ac:dyDescent="0.3">
      <c r="A1641" s="254" t="str">
        <f>IF(ISBLANK(INDEX('Policy Characteristics'!A:A,MATCH($C1641,'Policy Characteristics'!$C:$C,0))),"",INDEX('Policy Characteristics'!A:A,MATCH($C1641,'Policy Characteristics'!$C:$C,0)))</f>
        <v>Cross-Sector</v>
      </c>
      <c r="B1641" s="262" t="str">
        <f>IF(ISBLANK(INDEX('Policy Characteristics'!B:B,MATCH($C1641,'Policy Characteristics'!$C:$C,0))),"",INDEX('Policy Characteristics'!B:B,MATCH($C1641,'Policy Characteristics'!$C:$C,0)))</f>
        <v>Fuel Price Deregulation</v>
      </c>
      <c r="C1641" s="254" t="str">
        <f t="shared" si="65"/>
        <v>Fuel Price Deregulation</v>
      </c>
      <c r="D1641" s="6" t="s">
        <v>47</v>
      </c>
      <c r="E1641" s="45"/>
      <c r="F1641" s="6" t="s">
        <v>88</v>
      </c>
      <c r="G1641" s="6"/>
      <c r="H1641" s="43">
        <v>725</v>
      </c>
      <c r="I1641" s="325" t="s">
        <v>44</v>
      </c>
      <c r="J1641" s="255" t="str">
        <f>IF(ISBLANK(INDEX('Policy Characteristics'!D:D,MATCH($C1641,'Policy Characteristics'!$C:$C,0))),"",INDEX('Policy Characteristics'!D:D,MATCH($C1641,'Policy Characteristics'!$C:$C,0)))</f>
        <v>Fuel Price Deregulation</v>
      </c>
      <c r="K1641" s="254" t="str">
        <f>IF(ISBLANK(INDEX('Policy Characteristics'!E:E,MATCH($C1641,'Policy Characteristics'!$C:$C,0))),"",INDEX('Policy Characteristics'!E:E,MATCH($C1641,'Policy Characteristics'!$C:$C,0)))</f>
        <v>cross fuel price deregulation</v>
      </c>
      <c r="L1641" s="261">
        <f>IF(ISBLANK(INDEX('Policy Characteristics'!F:F,MATCH($C1641,'Policy Characteristics'!$C:$C,0))),"",INDEX('Policy Characteristics'!F:F,MATCH($C1641,'Policy Characteristics'!$C:$C,0)))</f>
        <v>0</v>
      </c>
      <c r="M1641" s="261">
        <f>IF(ISBLANK(INDEX('Policy Characteristics'!G:G,MATCH($C1641,'Policy Characteristics'!$C:$C,0))),"",INDEX('Policy Characteristics'!G:G,MATCH($C1641,'Policy Characteristics'!$C:$C,0)))</f>
        <v>1</v>
      </c>
      <c r="N1641" s="261">
        <f>IF(ISBLANK(INDEX('Policy Characteristics'!H:H,MATCH($C1641,'Policy Characteristics'!$C:$C,0))),"",INDEX('Policy Characteristics'!H:H,MATCH($C1641,'Policy Characteristics'!$C:$C,0)))</f>
        <v>0.01</v>
      </c>
      <c r="O1641" s="254" t="str">
        <f>IF(ISBLANK(INDEX('Policy Characteristics'!I:I,MATCH($C1641,'Policy Characteristics'!$C:$C,0))),"",INDEX('Policy Characteristics'!I:I,MATCH($C1641,'Policy Characteristics'!$C:$C,0)))</f>
        <v>% of price deregulated</v>
      </c>
      <c r="P1641" s="254" t="str">
        <f>IF(ISBLANK(INDEX('Policy Characteristics'!J:J,MATCH($C1641,'Policy Characteristics'!$C:$C,0))),"",INDEX('Policy Characteristics'!J:J,MATCH($C1641,'Policy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1" s="254" t="str">
        <f>IF(ISBLANK(INDEX('Policy Characteristics'!K:K,MATCH($C1641,'Policy Characteristics'!$C:$C,0))),"",INDEX('Policy Characteristics'!K:K,MATCH($C1641,'Policy Characteristics'!$C:$C,0)))</f>
        <v>fuels.html#fuel-price-deregulation</v>
      </c>
      <c r="R1641" s="254" t="str">
        <f>IF(ISBLANK(INDEX('Policy Characteristics'!L:L,MATCH($C1641,'Policy Characteristics'!$C:$C,0))),"",INDEX('Policy Characteristics'!L:L,MATCH($C1641,'Policy Characteristics'!$C:$C,0)))</f>
        <v/>
      </c>
    </row>
    <row r="1642" spans="1:18" s="2" customFormat="1" x14ac:dyDescent="0.3">
      <c r="A1642" s="254" t="str">
        <f>IF(ISBLANK(INDEX('Policy Characteristics'!A:A,MATCH($C1642,'Policy Characteristics'!$C:$C,0))),"",INDEX('Policy Characteristics'!A:A,MATCH($C1642,'Policy Characteristics'!$C:$C,0)))</f>
        <v>Cross-Sector</v>
      </c>
      <c r="B1642" s="262" t="str">
        <f>IF(ISBLANK(INDEX('Policy Characteristics'!B:B,MATCH($C1642,'Policy Characteristics'!$C:$C,0))),"",INDEX('Policy Characteristics'!B:B,MATCH($C1642,'Policy Characteristics'!$C:$C,0)))</f>
        <v>Fuel Price Deregulation</v>
      </c>
      <c r="C1642" s="254" t="str">
        <f t="shared" si="65"/>
        <v>Fuel Price Deregulation</v>
      </c>
      <c r="D1642" s="6" t="s">
        <v>51</v>
      </c>
      <c r="E1642" s="45"/>
      <c r="F1642" s="6" t="s">
        <v>92</v>
      </c>
      <c r="G1642" s="6"/>
      <c r="H1642" s="43">
        <v>726</v>
      </c>
      <c r="I1642" s="325" t="s">
        <v>44</v>
      </c>
      <c r="J1642" s="255" t="str">
        <f>IF(ISBLANK(INDEX('Policy Characteristics'!D:D,MATCH($C1642,'Policy Characteristics'!$C:$C,0))),"",INDEX('Policy Characteristics'!D:D,MATCH($C1642,'Policy Characteristics'!$C:$C,0)))</f>
        <v>Fuel Price Deregulation</v>
      </c>
      <c r="K1642" s="254" t="str">
        <f>IF(ISBLANK(INDEX('Policy Characteristics'!E:E,MATCH($C1642,'Policy Characteristics'!$C:$C,0))),"",INDEX('Policy Characteristics'!E:E,MATCH($C1642,'Policy Characteristics'!$C:$C,0)))</f>
        <v>cross fuel price deregulation</v>
      </c>
      <c r="L1642" s="261">
        <f>IF(ISBLANK(INDEX('Policy Characteristics'!F:F,MATCH($C1642,'Policy Characteristics'!$C:$C,0))),"",INDEX('Policy Characteristics'!F:F,MATCH($C1642,'Policy Characteristics'!$C:$C,0)))</f>
        <v>0</v>
      </c>
      <c r="M1642" s="261">
        <f>IF(ISBLANK(INDEX('Policy Characteristics'!G:G,MATCH($C1642,'Policy Characteristics'!$C:$C,0))),"",INDEX('Policy Characteristics'!G:G,MATCH($C1642,'Policy Characteristics'!$C:$C,0)))</f>
        <v>1</v>
      </c>
      <c r="N1642" s="261">
        <f>IF(ISBLANK(INDEX('Policy Characteristics'!H:H,MATCH($C1642,'Policy Characteristics'!$C:$C,0))),"",INDEX('Policy Characteristics'!H:H,MATCH($C1642,'Policy Characteristics'!$C:$C,0)))</f>
        <v>0.01</v>
      </c>
      <c r="O1642" s="254" t="str">
        <f>IF(ISBLANK(INDEX('Policy Characteristics'!I:I,MATCH($C1642,'Policy Characteristics'!$C:$C,0))),"",INDEX('Policy Characteristics'!I:I,MATCH($C1642,'Policy Characteristics'!$C:$C,0)))</f>
        <v>% of price deregulated</v>
      </c>
      <c r="P1642" s="254" t="str">
        <f>IF(ISBLANK(INDEX('Policy Characteristics'!J:J,MATCH($C1642,'Policy Characteristics'!$C:$C,0))),"",INDEX('Policy Characteristics'!J:J,MATCH($C1642,'Policy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2" s="254" t="str">
        <f>IF(ISBLANK(INDEX('Policy Characteristics'!K:K,MATCH($C1642,'Policy Characteristics'!$C:$C,0))),"",INDEX('Policy Characteristics'!K:K,MATCH($C1642,'Policy Characteristics'!$C:$C,0)))</f>
        <v>fuels.html#fuel-price-deregulation</v>
      </c>
      <c r="R1642" s="254" t="str">
        <f>IF(ISBLANK(INDEX('Policy Characteristics'!L:L,MATCH($C1642,'Policy Characteristics'!$C:$C,0))),"",INDEX('Policy Characteristics'!L:L,MATCH($C1642,'Policy Characteristics'!$C:$C,0)))</f>
        <v/>
      </c>
    </row>
    <row r="1643" spans="1:18" s="2" customFormat="1" x14ac:dyDescent="0.3">
      <c r="A1643" s="254" t="str">
        <f>IF(ISBLANK(INDEX('Policy Characteristics'!A:A,MATCH($C1643,'Policy Characteristics'!$C:$C,0))),"",INDEX('Policy Characteristics'!A:A,MATCH($C1643,'Policy Characteristics'!$C:$C,0)))</f>
        <v>Cross-Sector</v>
      </c>
      <c r="B1643" s="262" t="str">
        <f>IF(ISBLANK(INDEX('Policy Characteristics'!B:B,MATCH($C1643,'Policy Characteristics'!$C:$C,0))),"",INDEX('Policy Characteristics'!B:B,MATCH($C1643,'Policy Characteristics'!$C:$C,0)))</f>
        <v>Fuel Price Deregulation</v>
      </c>
      <c r="C1643" s="254" t="str">
        <f t="shared" si="65"/>
        <v>Fuel Price Deregulation</v>
      </c>
      <c r="D1643" s="6" t="s">
        <v>53</v>
      </c>
      <c r="E1643" s="45"/>
      <c r="F1643" s="6" t="s">
        <v>95</v>
      </c>
      <c r="G1643" s="6"/>
      <c r="H1643" s="43">
        <v>727</v>
      </c>
      <c r="I1643" s="325" t="s">
        <v>44</v>
      </c>
      <c r="J1643" s="255" t="str">
        <f>IF(ISBLANK(INDEX('Policy Characteristics'!D:D,MATCH($C1643,'Policy Characteristics'!$C:$C,0))),"",INDEX('Policy Characteristics'!D:D,MATCH($C1643,'Policy Characteristics'!$C:$C,0)))</f>
        <v>Fuel Price Deregulation</v>
      </c>
      <c r="K1643" s="254" t="str">
        <f>IF(ISBLANK(INDEX('Policy Characteristics'!E:E,MATCH($C1643,'Policy Characteristics'!$C:$C,0))),"",INDEX('Policy Characteristics'!E:E,MATCH($C1643,'Policy Characteristics'!$C:$C,0)))</f>
        <v>cross fuel price deregulation</v>
      </c>
      <c r="L1643" s="261">
        <f>IF(ISBLANK(INDEX('Policy Characteristics'!F:F,MATCH($C1643,'Policy Characteristics'!$C:$C,0))),"",INDEX('Policy Characteristics'!F:F,MATCH($C1643,'Policy Characteristics'!$C:$C,0)))</f>
        <v>0</v>
      </c>
      <c r="M1643" s="261">
        <f>IF(ISBLANK(INDEX('Policy Characteristics'!G:G,MATCH($C1643,'Policy Characteristics'!$C:$C,0))),"",INDEX('Policy Characteristics'!G:G,MATCH($C1643,'Policy Characteristics'!$C:$C,0)))</f>
        <v>1</v>
      </c>
      <c r="N1643" s="261">
        <f>IF(ISBLANK(INDEX('Policy Characteristics'!H:H,MATCH($C1643,'Policy Characteristics'!$C:$C,0))),"",INDEX('Policy Characteristics'!H:H,MATCH($C1643,'Policy Characteristics'!$C:$C,0)))</f>
        <v>0.01</v>
      </c>
      <c r="O1643" s="254" t="str">
        <f>IF(ISBLANK(INDEX('Policy Characteristics'!I:I,MATCH($C1643,'Policy Characteristics'!$C:$C,0))),"",INDEX('Policy Characteristics'!I:I,MATCH($C1643,'Policy Characteristics'!$C:$C,0)))</f>
        <v>% of price deregulated</v>
      </c>
      <c r="P1643" s="254" t="str">
        <f>IF(ISBLANK(INDEX('Policy Characteristics'!J:J,MATCH($C1643,'Policy Characteristics'!$C:$C,0))),"",INDEX('Policy Characteristics'!J:J,MATCH($C1643,'Policy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3" s="254" t="str">
        <f>IF(ISBLANK(INDEX('Policy Characteristics'!K:K,MATCH($C1643,'Policy Characteristics'!$C:$C,0))),"",INDEX('Policy Characteristics'!K:K,MATCH($C1643,'Policy Characteristics'!$C:$C,0)))</f>
        <v>fuels.html#fuel-price-deregulation</v>
      </c>
      <c r="R1643" s="254" t="str">
        <f>IF(ISBLANK(INDEX('Policy Characteristics'!L:L,MATCH($C1643,'Policy Characteristics'!$C:$C,0))),"",INDEX('Policy Characteristics'!L:L,MATCH($C1643,'Policy Characteristics'!$C:$C,0)))</f>
        <v/>
      </c>
    </row>
    <row r="1644" spans="1:18" s="2" customFormat="1" x14ac:dyDescent="0.3">
      <c r="A1644" s="254" t="str">
        <f>IF(ISBLANK(INDEX('Policy Characteristics'!A:A,MATCH($C1644,'Policy Characteristics'!$C:$C,0))),"",INDEX('Policy Characteristics'!A:A,MATCH($C1644,'Policy Characteristics'!$C:$C,0)))</f>
        <v>Cross-Sector</v>
      </c>
      <c r="B1644" s="262" t="str">
        <f>IF(ISBLANK(INDEX('Policy Characteristics'!B:B,MATCH($C1644,'Policy Characteristics'!$C:$C,0))),"",INDEX('Policy Characteristics'!B:B,MATCH($C1644,'Policy Characteristics'!$C:$C,0)))</f>
        <v>Fuel Price Deregulation</v>
      </c>
      <c r="C1644" s="254" t="str">
        <f t="shared" si="65"/>
        <v>Fuel Price Deregulation</v>
      </c>
      <c r="D1644" s="6" t="s">
        <v>54</v>
      </c>
      <c r="E1644" s="45"/>
      <c r="F1644" s="6" t="s">
        <v>96</v>
      </c>
      <c r="G1644" s="6"/>
      <c r="H1644" s="43">
        <v>728</v>
      </c>
      <c r="I1644" s="325" t="s">
        <v>44</v>
      </c>
      <c r="J1644" s="255" t="str">
        <f>IF(ISBLANK(INDEX('Policy Characteristics'!D:D,MATCH($C1644,'Policy Characteristics'!$C:$C,0))),"",INDEX('Policy Characteristics'!D:D,MATCH($C1644,'Policy Characteristics'!$C:$C,0)))</f>
        <v>Fuel Price Deregulation</v>
      </c>
      <c r="K1644" s="254" t="str">
        <f>IF(ISBLANK(INDEX('Policy Characteristics'!E:E,MATCH($C1644,'Policy Characteristics'!$C:$C,0))),"",INDEX('Policy Characteristics'!E:E,MATCH($C1644,'Policy Characteristics'!$C:$C,0)))</f>
        <v>cross fuel price deregulation</v>
      </c>
      <c r="L1644" s="261">
        <f>IF(ISBLANK(INDEX('Policy Characteristics'!F:F,MATCH($C1644,'Policy Characteristics'!$C:$C,0))),"",INDEX('Policy Characteristics'!F:F,MATCH($C1644,'Policy Characteristics'!$C:$C,0)))</f>
        <v>0</v>
      </c>
      <c r="M1644" s="261">
        <f>IF(ISBLANK(INDEX('Policy Characteristics'!G:G,MATCH($C1644,'Policy Characteristics'!$C:$C,0))),"",INDEX('Policy Characteristics'!G:G,MATCH($C1644,'Policy Characteristics'!$C:$C,0)))</f>
        <v>1</v>
      </c>
      <c r="N1644" s="261">
        <f>IF(ISBLANK(INDEX('Policy Characteristics'!H:H,MATCH($C1644,'Policy Characteristics'!$C:$C,0))),"",INDEX('Policy Characteristics'!H:H,MATCH($C1644,'Policy Characteristics'!$C:$C,0)))</f>
        <v>0.01</v>
      </c>
      <c r="O1644" s="254" t="str">
        <f>IF(ISBLANK(INDEX('Policy Characteristics'!I:I,MATCH($C1644,'Policy Characteristics'!$C:$C,0))),"",INDEX('Policy Characteristics'!I:I,MATCH($C1644,'Policy Characteristics'!$C:$C,0)))</f>
        <v>% of price deregulated</v>
      </c>
      <c r="P1644" s="254" t="str">
        <f>IF(ISBLANK(INDEX('Policy Characteristics'!J:J,MATCH($C1644,'Policy Characteristics'!$C:$C,0))),"",INDEX('Policy Characteristics'!J:J,MATCH($C1644,'Policy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4" s="254" t="str">
        <f>IF(ISBLANK(INDEX('Policy Characteristics'!K:K,MATCH($C1644,'Policy Characteristics'!$C:$C,0))),"",INDEX('Policy Characteristics'!K:K,MATCH($C1644,'Policy Characteristics'!$C:$C,0)))</f>
        <v>fuels.html#fuel-price-deregulation</v>
      </c>
      <c r="R1644" s="254" t="str">
        <f>IF(ISBLANK(INDEX('Policy Characteristics'!L:L,MATCH($C1644,'Policy Characteristics'!$C:$C,0))),"",INDEX('Policy Characteristics'!L:L,MATCH($C1644,'Policy Characteristics'!$C:$C,0)))</f>
        <v/>
      </c>
    </row>
    <row r="1645" spans="1:18" s="2" customFormat="1" x14ac:dyDescent="0.3">
      <c r="A1645" s="254" t="str">
        <f>IF(ISBLANK(INDEX('Policy Characteristics'!A:A,MATCH($C1645,'Policy Characteristics'!$C:$C,0))),"",INDEX('Policy Characteristics'!A:A,MATCH($C1645,'Policy Characteristics'!$C:$C,0)))</f>
        <v>Cross-Sector</v>
      </c>
      <c r="B1645" s="262" t="str">
        <f>IF(ISBLANK(INDEX('Policy Characteristics'!B:B,MATCH($C1645,'Policy Characteristics'!$C:$C,0))),"",INDEX('Policy Characteristics'!B:B,MATCH($C1645,'Policy Characteristics'!$C:$C,0)))</f>
        <v>Fuel Price Deregulation</v>
      </c>
      <c r="C1645" s="254" t="str">
        <f t="shared" si="65"/>
        <v>Fuel Price Deregulation</v>
      </c>
      <c r="D1645" s="6" t="s">
        <v>55</v>
      </c>
      <c r="E1645" s="45"/>
      <c r="F1645" s="6" t="s">
        <v>97</v>
      </c>
      <c r="G1645" s="6"/>
      <c r="H1645" s="43">
        <v>729</v>
      </c>
      <c r="I1645" s="325" t="s">
        <v>44</v>
      </c>
      <c r="J1645" s="255" t="str">
        <f>IF(ISBLANK(INDEX('Policy Characteristics'!D:D,MATCH($C1645,'Policy Characteristics'!$C:$C,0))),"",INDEX('Policy Characteristics'!D:D,MATCH($C1645,'Policy Characteristics'!$C:$C,0)))</f>
        <v>Fuel Price Deregulation</v>
      </c>
      <c r="K1645" s="254" t="str">
        <f>IF(ISBLANK(INDEX('Policy Characteristics'!E:E,MATCH($C1645,'Policy Characteristics'!$C:$C,0))),"",INDEX('Policy Characteristics'!E:E,MATCH($C1645,'Policy Characteristics'!$C:$C,0)))</f>
        <v>cross fuel price deregulation</v>
      </c>
      <c r="L1645" s="261">
        <f>IF(ISBLANK(INDEX('Policy Characteristics'!F:F,MATCH($C1645,'Policy Characteristics'!$C:$C,0))),"",INDEX('Policy Characteristics'!F:F,MATCH($C1645,'Policy Characteristics'!$C:$C,0)))</f>
        <v>0</v>
      </c>
      <c r="M1645" s="261">
        <f>IF(ISBLANK(INDEX('Policy Characteristics'!G:G,MATCH($C1645,'Policy Characteristics'!$C:$C,0))),"",INDEX('Policy Characteristics'!G:G,MATCH($C1645,'Policy Characteristics'!$C:$C,0)))</f>
        <v>1</v>
      </c>
      <c r="N1645" s="261">
        <f>IF(ISBLANK(INDEX('Policy Characteristics'!H:H,MATCH($C1645,'Policy Characteristics'!$C:$C,0))),"",INDEX('Policy Characteristics'!H:H,MATCH($C1645,'Policy Characteristics'!$C:$C,0)))</f>
        <v>0.01</v>
      </c>
      <c r="O1645" s="254" t="str">
        <f>IF(ISBLANK(INDEX('Policy Characteristics'!I:I,MATCH($C1645,'Policy Characteristics'!$C:$C,0))),"",INDEX('Policy Characteristics'!I:I,MATCH($C1645,'Policy Characteristics'!$C:$C,0)))</f>
        <v>% of price deregulated</v>
      </c>
      <c r="P1645" s="254" t="str">
        <f>IF(ISBLANK(INDEX('Policy Characteristics'!J:J,MATCH($C1645,'Policy Characteristics'!$C:$C,0))),"",INDEX('Policy Characteristics'!J:J,MATCH($C1645,'Policy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5" s="254" t="str">
        <f>IF(ISBLANK(INDEX('Policy Characteristics'!K:K,MATCH($C1645,'Policy Characteristics'!$C:$C,0))),"",INDEX('Policy Characteristics'!K:K,MATCH($C1645,'Policy Characteristics'!$C:$C,0)))</f>
        <v>fuels.html#fuel-price-deregulation</v>
      </c>
      <c r="R1645" s="254" t="str">
        <f>IF(ISBLANK(INDEX('Policy Characteristics'!L:L,MATCH($C1645,'Policy Characteristics'!$C:$C,0))),"",INDEX('Policy Characteristics'!L:L,MATCH($C1645,'Policy Characteristics'!$C:$C,0)))</f>
        <v/>
      </c>
    </row>
    <row r="1646" spans="1:18" s="2" customFormat="1" x14ac:dyDescent="0.3">
      <c r="A1646" s="254" t="str">
        <f>IF(ISBLANK(INDEX('Policy Characteristics'!A:A,MATCH($C1646,'Policy Characteristics'!$C:$C,0))),"",INDEX('Policy Characteristics'!A:A,MATCH($C1646,'Policy Characteristics'!$C:$C,0)))</f>
        <v>Cross-Sector</v>
      </c>
      <c r="B1646" s="262" t="str">
        <f>IF(ISBLANK(INDEX('Policy Characteristics'!B:B,MATCH($C1646,'Policy Characteristics'!$C:$C,0))),"",INDEX('Policy Characteristics'!B:B,MATCH($C1646,'Policy Characteristics'!$C:$C,0)))</f>
        <v>Fuel Price Deregulation</v>
      </c>
      <c r="C1646" s="254" t="str">
        <f t="shared" si="65"/>
        <v>Fuel Price Deregulation</v>
      </c>
      <c r="D1646" s="6" t="s">
        <v>56</v>
      </c>
      <c r="E1646" s="45"/>
      <c r="F1646" s="6" t="s">
        <v>98</v>
      </c>
      <c r="G1646" s="6"/>
      <c r="H1646" s="43">
        <v>730</v>
      </c>
      <c r="I1646" s="325" t="s">
        <v>44</v>
      </c>
      <c r="J1646" s="255" t="str">
        <f>IF(ISBLANK(INDEX('Policy Characteristics'!D:D,MATCH($C1646,'Policy Characteristics'!$C:$C,0))),"",INDEX('Policy Characteristics'!D:D,MATCH($C1646,'Policy Characteristics'!$C:$C,0)))</f>
        <v>Fuel Price Deregulation</v>
      </c>
      <c r="K1646" s="254" t="str">
        <f>IF(ISBLANK(INDEX('Policy Characteristics'!E:E,MATCH($C1646,'Policy Characteristics'!$C:$C,0))),"",INDEX('Policy Characteristics'!E:E,MATCH($C1646,'Policy Characteristics'!$C:$C,0)))</f>
        <v>cross fuel price deregulation</v>
      </c>
      <c r="L1646" s="261">
        <f>IF(ISBLANK(INDEX('Policy Characteristics'!F:F,MATCH($C1646,'Policy Characteristics'!$C:$C,0))),"",INDEX('Policy Characteristics'!F:F,MATCH($C1646,'Policy Characteristics'!$C:$C,0)))</f>
        <v>0</v>
      </c>
      <c r="M1646" s="261">
        <f>IF(ISBLANK(INDEX('Policy Characteristics'!G:G,MATCH($C1646,'Policy Characteristics'!$C:$C,0))),"",INDEX('Policy Characteristics'!G:G,MATCH($C1646,'Policy Characteristics'!$C:$C,0)))</f>
        <v>1</v>
      </c>
      <c r="N1646" s="261">
        <f>IF(ISBLANK(INDEX('Policy Characteristics'!H:H,MATCH($C1646,'Policy Characteristics'!$C:$C,0))),"",INDEX('Policy Characteristics'!H:H,MATCH($C1646,'Policy Characteristics'!$C:$C,0)))</f>
        <v>0.01</v>
      </c>
      <c r="O1646" s="254" t="str">
        <f>IF(ISBLANK(INDEX('Policy Characteristics'!I:I,MATCH($C1646,'Policy Characteristics'!$C:$C,0))),"",INDEX('Policy Characteristics'!I:I,MATCH($C1646,'Policy Characteristics'!$C:$C,0)))</f>
        <v>% of price deregulated</v>
      </c>
      <c r="P1646" s="254" t="str">
        <f>IF(ISBLANK(INDEX('Policy Characteristics'!J:J,MATCH($C1646,'Policy Characteristics'!$C:$C,0))),"",INDEX('Policy Characteristics'!J:J,MATCH($C1646,'Policy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6" s="254" t="str">
        <f>IF(ISBLANK(INDEX('Policy Characteristics'!K:K,MATCH($C1646,'Policy Characteristics'!$C:$C,0))),"",INDEX('Policy Characteristics'!K:K,MATCH($C1646,'Policy Characteristics'!$C:$C,0)))</f>
        <v>fuels.html#fuel-price-deregulation</v>
      </c>
      <c r="R1646" s="254" t="str">
        <f>IF(ISBLANK(INDEX('Policy Characteristics'!L:L,MATCH($C1646,'Policy Characteristics'!$C:$C,0))),"",INDEX('Policy Characteristics'!L:L,MATCH($C1646,'Policy Characteristics'!$C:$C,0)))</f>
        <v/>
      </c>
    </row>
    <row r="1647" spans="1:18" s="2" customFormat="1" x14ac:dyDescent="0.3">
      <c r="A1647" s="254" t="str">
        <f>IF(ISBLANK(INDEX('Policy Characteristics'!A:A,MATCH($C1647,'Policy Characteristics'!$C:$C,0))),"",INDEX('Policy Characteristics'!A:A,MATCH($C1647,'Policy Characteristics'!$C:$C,0)))</f>
        <v>Cross-Sector</v>
      </c>
      <c r="B1647" s="262" t="str">
        <f>IF(ISBLANK(INDEX('Policy Characteristics'!B:B,MATCH($C1647,'Policy Characteristics'!$C:$C,0))),"",INDEX('Policy Characteristics'!B:B,MATCH($C1647,'Policy Characteristics'!$C:$C,0)))</f>
        <v>Fuel Price Deregulation</v>
      </c>
      <c r="C1647" s="254" t="str">
        <f t="shared" si="65"/>
        <v>Fuel Price Deregulation</v>
      </c>
      <c r="D1647" s="6" t="s">
        <v>2473</v>
      </c>
      <c r="E1647" s="45"/>
      <c r="F1647" s="6" t="s">
        <v>2474</v>
      </c>
      <c r="G1647" s="6"/>
      <c r="H1647" s="43">
        <v>731</v>
      </c>
      <c r="I1647" s="325" t="s">
        <v>44</v>
      </c>
      <c r="J1647" s="255" t="str">
        <f>IF(ISBLANK(INDEX('Policy Characteristics'!D:D,MATCH($C1647,'Policy Characteristics'!$C:$C,0))),"",INDEX('Policy Characteristics'!D:D,MATCH($C1647,'Policy Characteristics'!$C:$C,0)))</f>
        <v>Fuel Price Deregulation</v>
      </c>
      <c r="K1647" s="254" t="str">
        <f>IF(ISBLANK(INDEX('Policy Characteristics'!E:E,MATCH($C1647,'Policy Characteristics'!$C:$C,0))),"",INDEX('Policy Characteristics'!E:E,MATCH($C1647,'Policy Characteristics'!$C:$C,0)))</f>
        <v>cross fuel price deregulation</v>
      </c>
      <c r="L1647" s="261">
        <f>IF(ISBLANK(INDEX('Policy Characteristics'!F:F,MATCH($C1647,'Policy Characteristics'!$C:$C,0))),"",INDEX('Policy Characteristics'!F:F,MATCH($C1647,'Policy Characteristics'!$C:$C,0)))</f>
        <v>0</v>
      </c>
      <c r="M1647" s="261">
        <f>IF(ISBLANK(INDEX('Policy Characteristics'!G:G,MATCH($C1647,'Policy Characteristics'!$C:$C,0))),"",INDEX('Policy Characteristics'!G:G,MATCH($C1647,'Policy Characteristics'!$C:$C,0)))</f>
        <v>1</v>
      </c>
      <c r="N1647" s="261">
        <f>IF(ISBLANK(INDEX('Policy Characteristics'!H:H,MATCH($C1647,'Policy Characteristics'!$C:$C,0))),"",INDEX('Policy Characteristics'!H:H,MATCH($C1647,'Policy Characteristics'!$C:$C,0)))</f>
        <v>0.01</v>
      </c>
      <c r="O1647" s="254" t="str">
        <f>IF(ISBLANK(INDEX('Policy Characteristics'!I:I,MATCH($C1647,'Policy Characteristics'!$C:$C,0))),"",INDEX('Policy Characteristics'!I:I,MATCH($C1647,'Policy Characteristics'!$C:$C,0)))</f>
        <v>% of price deregulated</v>
      </c>
      <c r="P1647" s="254" t="str">
        <f>IF(ISBLANK(INDEX('Policy Characteristics'!J:J,MATCH($C1647,'Policy Characteristics'!$C:$C,0))),"",INDEX('Policy Characteristics'!J:J,MATCH($C1647,'Policy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7" s="254" t="str">
        <f>IF(ISBLANK(INDEX('Policy Characteristics'!K:K,MATCH($C1647,'Policy Characteristics'!$C:$C,0))),"",INDEX('Policy Characteristics'!K:K,MATCH($C1647,'Policy Characteristics'!$C:$C,0)))</f>
        <v>fuels.html#fuel-price-deregulation</v>
      </c>
      <c r="R1647" s="254" t="str">
        <f>IF(ISBLANK(INDEX('Policy Characteristics'!L:L,MATCH($C1647,'Policy Characteristics'!$C:$C,0))),"",INDEX('Policy Characteristics'!L:L,MATCH($C1647,'Policy Characteristics'!$C:$C,0)))</f>
        <v/>
      </c>
    </row>
    <row r="1648" spans="1:18" s="2" customFormat="1" x14ac:dyDescent="0.3">
      <c r="A1648" s="254" t="str">
        <f>IF(ISBLANK(INDEX('Policy Characteristics'!A:A,MATCH($C1648,'Policy Characteristics'!$C:$C,0))),"",INDEX('Policy Characteristics'!A:A,MATCH($C1648,'Policy Characteristics'!$C:$C,0)))</f>
        <v>Cross-Sector</v>
      </c>
      <c r="B1648" s="262" t="str">
        <f>IF(ISBLANK(INDEX('Policy Characteristics'!B:B,MATCH($C1648,'Policy Characteristics'!$C:$C,0))),"",INDEX('Policy Characteristics'!B:B,MATCH($C1648,'Policy Characteristics'!$C:$C,0)))</f>
        <v>Fuel Price Deregulation</v>
      </c>
      <c r="C1648" s="254" t="str">
        <f t="shared" si="65"/>
        <v>Fuel Price Deregulation</v>
      </c>
      <c r="D1648" s="6" t="s">
        <v>442</v>
      </c>
      <c r="E1648" s="45"/>
      <c r="F1648" s="6" t="s">
        <v>443</v>
      </c>
      <c r="G1648" s="6"/>
      <c r="H1648" s="43">
        <v>732</v>
      </c>
      <c r="I1648" s="325" t="s">
        <v>44</v>
      </c>
      <c r="J1648" s="255" t="str">
        <f>IF(ISBLANK(INDEX('Policy Characteristics'!D:D,MATCH($C1648,'Policy Characteristics'!$C:$C,0))),"",INDEX('Policy Characteristics'!D:D,MATCH($C1648,'Policy Characteristics'!$C:$C,0)))</f>
        <v>Fuel Price Deregulation</v>
      </c>
      <c r="K1648" s="254" t="str">
        <f>IF(ISBLANK(INDEX('Policy Characteristics'!E:E,MATCH($C1648,'Policy Characteristics'!$C:$C,0))),"",INDEX('Policy Characteristics'!E:E,MATCH($C1648,'Policy Characteristics'!$C:$C,0)))</f>
        <v>cross fuel price deregulation</v>
      </c>
      <c r="L1648" s="261">
        <f>IF(ISBLANK(INDEX('Policy Characteristics'!F:F,MATCH($C1648,'Policy Characteristics'!$C:$C,0))),"",INDEX('Policy Characteristics'!F:F,MATCH($C1648,'Policy Characteristics'!$C:$C,0)))</f>
        <v>0</v>
      </c>
      <c r="M1648" s="261">
        <f>IF(ISBLANK(INDEX('Policy Characteristics'!G:G,MATCH($C1648,'Policy Characteristics'!$C:$C,0))),"",INDEX('Policy Characteristics'!G:G,MATCH($C1648,'Policy Characteristics'!$C:$C,0)))</f>
        <v>1</v>
      </c>
      <c r="N1648" s="261">
        <f>IF(ISBLANK(INDEX('Policy Characteristics'!H:H,MATCH($C1648,'Policy Characteristics'!$C:$C,0))),"",INDEX('Policy Characteristics'!H:H,MATCH($C1648,'Policy Characteristics'!$C:$C,0)))</f>
        <v>0.01</v>
      </c>
      <c r="O1648" s="254" t="str">
        <f>IF(ISBLANK(INDEX('Policy Characteristics'!I:I,MATCH($C1648,'Policy Characteristics'!$C:$C,0))),"",INDEX('Policy Characteristics'!I:I,MATCH($C1648,'Policy Characteristics'!$C:$C,0)))</f>
        <v>% of price deregulated</v>
      </c>
      <c r="P1648" s="254" t="str">
        <f>IF(ISBLANK(INDEX('Policy Characteristics'!J:J,MATCH($C1648,'Policy Characteristics'!$C:$C,0))),"",INDEX('Policy Characteristics'!J:J,MATCH($C1648,'Policy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8" s="254" t="str">
        <f>IF(ISBLANK(INDEX('Policy Characteristics'!K:K,MATCH($C1648,'Policy Characteristics'!$C:$C,0))),"",INDEX('Policy Characteristics'!K:K,MATCH($C1648,'Policy Characteristics'!$C:$C,0)))</f>
        <v>fuels.html#fuel-price-deregulation</v>
      </c>
      <c r="R1648" s="254" t="str">
        <f>IF(ISBLANK(INDEX('Policy Characteristics'!L:L,MATCH($C1648,'Policy Characteristics'!$C:$C,0))),"",INDEX('Policy Characteristics'!L:L,MATCH($C1648,'Policy Characteristics'!$C:$C,0)))</f>
        <v/>
      </c>
    </row>
    <row r="1649" spans="1:18" s="2" customFormat="1" x14ac:dyDescent="0.3">
      <c r="A1649" s="254" t="str">
        <f>IF(ISBLANK(INDEX('Policy Characteristics'!A:A,MATCH($C1649,'Policy Characteristics'!$C:$C,0))),"",INDEX('Policy Characteristics'!A:A,MATCH($C1649,'Policy Characteristics'!$C:$C,0)))</f>
        <v>Cross-Sector</v>
      </c>
      <c r="B1649" s="262" t="str">
        <f>IF(ISBLANK(INDEX('Policy Characteristics'!B:B,MATCH($C1649,'Policy Characteristics'!$C:$C,0))),"",INDEX('Policy Characteristics'!B:B,MATCH($C1649,'Policy Characteristics'!$C:$C,0)))</f>
        <v>Fuel Price Deregulation</v>
      </c>
      <c r="C1649" s="254" t="str">
        <f t="shared" si="65"/>
        <v>Fuel Price Deregulation</v>
      </c>
      <c r="D1649" s="6" t="s">
        <v>2465</v>
      </c>
      <c r="E1649" s="45"/>
      <c r="F1649" s="6" t="s">
        <v>2469</v>
      </c>
      <c r="G1649" s="6"/>
      <c r="H1649" s="43">
        <v>733</v>
      </c>
      <c r="I1649" s="325" t="s">
        <v>44</v>
      </c>
      <c r="J1649" s="255" t="str">
        <f>IF(ISBLANK(INDEX('Policy Characteristics'!D:D,MATCH($C1649,'Policy Characteristics'!$C:$C,0))),"",INDEX('Policy Characteristics'!D:D,MATCH($C1649,'Policy Characteristics'!$C:$C,0)))</f>
        <v>Fuel Price Deregulation</v>
      </c>
      <c r="K1649" s="254" t="str">
        <f>IF(ISBLANK(INDEX('Policy Characteristics'!E:E,MATCH($C1649,'Policy Characteristics'!$C:$C,0))),"",INDEX('Policy Characteristics'!E:E,MATCH($C1649,'Policy Characteristics'!$C:$C,0)))</f>
        <v>cross fuel price deregulation</v>
      </c>
      <c r="L1649" s="261">
        <f>IF(ISBLANK(INDEX('Policy Characteristics'!F:F,MATCH($C1649,'Policy Characteristics'!$C:$C,0))),"",INDEX('Policy Characteristics'!F:F,MATCH($C1649,'Policy Characteristics'!$C:$C,0)))</f>
        <v>0</v>
      </c>
      <c r="M1649" s="261">
        <f>IF(ISBLANK(INDEX('Policy Characteristics'!G:G,MATCH($C1649,'Policy Characteristics'!$C:$C,0))),"",INDEX('Policy Characteristics'!G:G,MATCH($C1649,'Policy Characteristics'!$C:$C,0)))</f>
        <v>1</v>
      </c>
      <c r="N1649" s="261">
        <f>IF(ISBLANK(INDEX('Policy Characteristics'!H:H,MATCH($C1649,'Policy Characteristics'!$C:$C,0))),"",INDEX('Policy Characteristics'!H:H,MATCH($C1649,'Policy Characteristics'!$C:$C,0)))</f>
        <v>0.01</v>
      </c>
      <c r="O1649" s="254" t="str">
        <f>IF(ISBLANK(INDEX('Policy Characteristics'!I:I,MATCH($C1649,'Policy Characteristics'!$C:$C,0))),"",INDEX('Policy Characteristics'!I:I,MATCH($C1649,'Policy Characteristics'!$C:$C,0)))</f>
        <v>% of price deregulated</v>
      </c>
      <c r="P1649" s="254" t="str">
        <f>IF(ISBLANK(INDEX('Policy Characteristics'!J:J,MATCH($C1649,'Policy Characteristics'!$C:$C,0))),"",INDEX('Policy Characteristics'!J:J,MATCH($C1649,'Policy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49" s="254" t="str">
        <f>IF(ISBLANK(INDEX('Policy Characteristics'!K:K,MATCH($C1649,'Policy Characteristics'!$C:$C,0))),"",INDEX('Policy Characteristics'!K:K,MATCH($C1649,'Policy Characteristics'!$C:$C,0)))</f>
        <v>fuels.html#fuel-price-deregulation</v>
      </c>
      <c r="R1649" s="254" t="str">
        <f>IF(ISBLANK(INDEX('Policy Characteristics'!L:L,MATCH($C1649,'Policy Characteristics'!$C:$C,0))),"",INDEX('Policy Characteristics'!L:L,MATCH($C1649,'Policy Characteristics'!$C:$C,0)))</f>
        <v/>
      </c>
    </row>
    <row r="1650" spans="1:18" s="2" customFormat="1" x14ac:dyDescent="0.3">
      <c r="A1650" s="254" t="str">
        <f>IF(ISBLANK(INDEX('Policy Characteristics'!A:A,MATCH($C1650,'Policy Characteristics'!$C:$C,0))),"",INDEX('Policy Characteristics'!A:A,MATCH($C1650,'Policy Characteristics'!$C:$C,0)))</f>
        <v>Cross-Sector</v>
      </c>
      <c r="B1650" s="262" t="str">
        <f>IF(ISBLANK(INDEX('Policy Characteristics'!B:B,MATCH($C1650,'Policy Characteristics'!$C:$C,0))),"",INDEX('Policy Characteristics'!B:B,MATCH($C1650,'Policy Characteristics'!$C:$C,0)))</f>
        <v>Fuel Price Deregulation</v>
      </c>
      <c r="C1650" s="254" t="str">
        <f t="shared" si="65"/>
        <v>Fuel Price Deregulation</v>
      </c>
      <c r="D1650" s="6" t="s">
        <v>2475</v>
      </c>
      <c r="E1650" s="45"/>
      <c r="F1650" s="6" t="s">
        <v>2476</v>
      </c>
      <c r="G1650" s="6"/>
      <c r="H1650" s="43">
        <v>734</v>
      </c>
      <c r="I1650" s="325" t="s">
        <v>44</v>
      </c>
      <c r="J1650" s="255" t="str">
        <f>IF(ISBLANK(INDEX('Policy Characteristics'!D:D,MATCH($C1650,'Policy Characteristics'!$C:$C,0))),"",INDEX('Policy Characteristics'!D:D,MATCH($C1650,'Policy Characteristics'!$C:$C,0)))</f>
        <v>Fuel Price Deregulation</v>
      </c>
      <c r="K1650" s="254" t="str">
        <f>IF(ISBLANK(INDEX('Policy Characteristics'!E:E,MATCH($C1650,'Policy Characteristics'!$C:$C,0))),"",INDEX('Policy Characteristics'!E:E,MATCH($C1650,'Policy Characteristics'!$C:$C,0)))</f>
        <v>cross fuel price deregulation</v>
      </c>
      <c r="L1650" s="261">
        <f>IF(ISBLANK(INDEX('Policy Characteristics'!F:F,MATCH($C1650,'Policy Characteristics'!$C:$C,0))),"",INDEX('Policy Characteristics'!F:F,MATCH($C1650,'Policy Characteristics'!$C:$C,0)))</f>
        <v>0</v>
      </c>
      <c r="M1650" s="261">
        <f>IF(ISBLANK(INDEX('Policy Characteristics'!G:G,MATCH($C1650,'Policy Characteristics'!$C:$C,0))),"",INDEX('Policy Characteristics'!G:G,MATCH($C1650,'Policy Characteristics'!$C:$C,0)))</f>
        <v>1</v>
      </c>
      <c r="N1650" s="261">
        <f>IF(ISBLANK(INDEX('Policy Characteristics'!H:H,MATCH($C1650,'Policy Characteristics'!$C:$C,0))),"",INDEX('Policy Characteristics'!H:H,MATCH($C1650,'Policy Characteristics'!$C:$C,0)))</f>
        <v>0.01</v>
      </c>
      <c r="O1650" s="254" t="str">
        <f>IF(ISBLANK(INDEX('Policy Characteristics'!I:I,MATCH($C1650,'Policy Characteristics'!$C:$C,0))),"",INDEX('Policy Characteristics'!I:I,MATCH($C1650,'Policy Characteristics'!$C:$C,0)))</f>
        <v>% of price deregulated</v>
      </c>
      <c r="P1650" s="254" t="str">
        <f>IF(ISBLANK(INDEX('Policy Characteristics'!J:J,MATCH($C1650,'Policy Characteristics'!$C:$C,0))),"",INDEX('Policy Characteristics'!J:J,MATCH($C1650,'Policy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0" s="254" t="str">
        <f>IF(ISBLANK(INDEX('Policy Characteristics'!K:K,MATCH($C1650,'Policy Characteristics'!$C:$C,0))),"",INDEX('Policy Characteristics'!K:K,MATCH($C1650,'Policy Characteristics'!$C:$C,0)))</f>
        <v>fuels.html#fuel-price-deregulation</v>
      </c>
      <c r="R1650" s="254" t="str">
        <f>IF(ISBLANK(INDEX('Policy Characteristics'!L:L,MATCH($C1650,'Policy Characteristics'!$C:$C,0))),"",INDEX('Policy Characteristics'!L:L,MATCH($C1650,'Policy Characteristics'!$C:$C,0)))</f>
        <v/>
      </c>
    </row>
    <row r="1651" spans="1:18" s="2" customFormat="1" x14ac:dyDescent="0.3">
      <c r="A1651" s="254" t="str">
        <f>IF(ISBLANK(INDEX('Policy Characteristics'!A:A,MATCH($C1651,'Policy Characteristics'!$C:$C,0))),"",INDEX('Policy Characteristics'!A:A,MATCH($C1651,'Policy Characteristics'!$C:$C,0)))</f>
        <v>Cross-Sector</v>
      </c>
      <c r="B1651" s="262" t="str">
        <f>IF(ISBLANK(INDEX('Policy Characteristics'!B:B,MATCH($C1651,'Policy Characteristics'!$C:$C,0))),"",INDEX('Policy Characteristics'!B:B,MATCH($C1651,'Policy Characteristics'!$C:$C,0)))</f>
        <v>Fuel Price Deregulation</v>
      </c>
      <c r="C1651" s="254" t="str">
        <f t="shared" si="65"/>
        <v>Fuel Price Deregulation</v>
      </c>
      <c r="D1651" s="6" t="s">
        <v>2466</v>
      </c>
      <c r="E1651" s="45"/>
      <c r="F1651" s="6" t="s">
        <v>2470</v>
      </c>
      <c r="G1651" s="6"/>
      <c r="H1651" s="43">
        <v>735</v>
      </c>
      <c r="I1651" s="325" t="s">
        <v>44</v>
      </c>
      <c r="J1651" s="255" t="str">
        <f>IF(ISBLANK(INDEX('Policy Characteristics'!D:D,MATCH($C1651,'Policy Characteristics'!$C:$C,0))),"",INDEX('Policy Characteristics'!D:D,MATCH($C1651,'Policy Characteristics'!$C:$C,0)))</f>
        <v>Fuel Price Deregulation</v>
      </c>
      <c r="K1651" s="254" t="str">
        <f>IF(ISBLANK(INDEX('Policy Characteristics'!E:E,MATCH($C1651,'Policy Characteristics'!$C:$C,0))),"",INDEX('Policy Characteristics'!E:E,MATCH($C1651,'Policy Characteristics'!$C:$C,0)))</f>
        <v>cross fuel price deregulation</v>
      </c>
      <c r="L1651" s="261">
        <f>IF(ISBLANK(INDEX('Policy Characteristics'!F:F,MATCH($C1651,'Policy Characteristics'!$C:$C,0))),"",INDEX('Policy Characteristics'!F:F,MATCH($C1651,'Policy Characteristics'!$C:$C,0)))</f>
        <v>0</v>
      </c>
      <c r="M1651" s="261">
        <f>IF(ISBLANK(INDEX('Policy Characteristics'!G:G,MATCH($C1651,'Policy Characteristics'!$C:$C,0))),"",INDEX('Policy Characteristics'!G:G,MATCH($C1651,'Policy Characteristics'!$C:$C,0)))</f>
        <v>1</v>
      </c>
      <c r="N1651" s="261">
        <f>IF(ISBLANK(INDEX('Policy Characteristics'!H:H,MATCH($C1651,'Policy Characteristics'!$C:$C,0))),"",INDEX('Policy Characteristics'!H:H,MATCH($C1651,'Policy Characteristics'!$C:$C,0)))</f>
        <v>0.01</v>
      </c>
      <c r="O1651" s="254" t="str">
        <f>IF(ISBLANK(INDEX('Policy Characteristics'!I:I,MATCH($C1651,'Policy Characteristics'!$C:$C,0))),"",INDEX('Policy Characteristics'!I:I,MATCH($C1651,'Policy Characteristics'!$C:$C,0)))</f>
        <v>% of price deregulated</v>
      </c>
      <c r="P1651" s="254" t="str">
        <f>IF(ISBLANK(INDEX('Policy Characteristics'!J:J,MATCH($C1651,'Policy Characteristics'!$C:$C,0))),"",INDEX('Policy Characteristics'!J:J,MATCH($C1651,'Policy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1" s="254" t="str">
        <f>IF(ISBLANK(INDEX('Policy Characteristics'!K:K,MATCH($C1651,'Policy Characteristics'!$C:$C,0))),"",INDEX('Policy Characteristics'!K:K,MATCH($C1651,'Policy Characteristics'!$C:$C,0)))</f>
        <v>fuels.html#fuel-price-deregulation</v>
      </c>
      <c r="R1651" s="254" t="str">
        <f>IF(ISBLANK(INDEX('Policy Characteristics'!L:L,MATCH($C1651,'Policy Characteristics'!$C:$C,0))),"",INDEX('Policy Characteristics'!L:L,MATCH($C1651,'Policy Characteristics'!$C:$C,0)))</f>
        <v/>
      </c>
    </row>
    <row r="1652" spans="1:18" s="2" customFormat="1" x14ac:dyDescent="0.3">
      <c r="A1652" s="254" t="str">
        <f>IF(ISBLANK(INDEX('Policy Characteristics'!A:A,MATCH($C1652,'Policy Characteristics'!$C:$C,0))),"",INDEX('Policy Characteristics'!A:A,MATCH($C1652,'Policy Characteristics'!$C:$C,0)))</f>
        <v>Cross-Sector</v>
      </c>
      <c r="B1652" s="262" t="str">
        <f>IF(ISBLANK(INDEX('Policy Characteristics'!B:B,MATCH($C1652,'Policy Characteristics'!$C:$C,0))),"",INDEX('Policy Characteristics'!B:B,MATCH($C1652,'Policy Characteristics'!$C:$C,0)))</f>
        <v>Fuel Price Deregulation</v>
      </c>
      <c r="C1652" s="254" t="str">
        <f t="shared" si="65"/>
        <v>Fuel Price Deregulation</v>
      </c>
      <c r="D1652" s="6" t="s">
        <v>2467</v>
      </c>
      <c r="E1652" s="45"/>
      <c r="F1652" s="6" t="s">
        <v>2471</v>
      </c>
      <c r="G1652" s="6"/>
      <c r="H1652" s="43">
        <v>736</v>
      </c>
      <c r="I1652" s="325" t="s">
        <v>44</v>
      </c>
      <c r="J1652" s="255" t="str">
        <f>IF(ISBLANK(INDEX('Policy Characteristics'!D:D,MATCH($C1652,'Policy Characteristics'!$C:$C,0))),"",INDEX('Policy Characteristics'!D:D,MATCH($C1652,'Policy Characteristics'!$C:$C,0)))</f>
        <v>Fuel Price Deregulation</v>
      </c>
      <c r="K1652" s="254" t="str">
        <f>IF(ISBLANK(INDEX('Policy Characteristics'!E:E,MATCH($C1652,'Policy Characteristics'!$C:$C,0))),"",INDEX('Policy Characteristics'!E:E,MATCH($C1652,'Policy Characteristics'!$C:$C,0)))</f>
        <v>cross fuel price deregulation</v>
      </c>
      <c r="L1652" s="261">
        <f>IF(ISBLANK(INDEX('Policy Characteristics'!F:F,MATCH($C1652,'Policy Characteristics'!$C:$C,0))),"",INDEX('Policy Characteristics'!F:F,MATCH($C1652,'Policy Characteristics'!$C:$C,0)))</f>
        <v>0</v>
      </c>
      <c r="M1652" s="261">
        <f>IF(ISBLANK(INDEX('Policy Characteristics'!G:G,MATCH($C1652,'Policy Characteristics'!$C:$C,0))),"",INDEX('Policy Characteristics'!G:G,MATCH($C1652,'Policy Characteristics'!$C:$C,0)))</f>
        <v>1</v>
      </c>
      <c r="N1652" s="261">
        <f>IF(ISBLANK(INDEX('Policy Characteristics'!H:H,MATCH($C1652,'Policy Characteristics'!$C:$C,0))),"",INDEX('Policy Characteristics'!H:H,MATCH($C1652,'Policy Characteristics'!$C:$C,0)))</f>
        <v>0.01</v>
      </c>
      <c r="O1652" s="254" t="str">
        <f>IF(ISBLANK(INDEX('Policy Characteristics'!I:I,MATCH($C1652,'Policy Characteristics'!$C:$C,0))),"",INDEX('Policy Characteristics'!I:I,MATCH($C1652,'Policy Characteristics'!$C:$C,0)))</f>
        <v>% of price deregulated</v>
      </c>
      <c r="P1652" s="254" t="str">
        <f>IF(ISBLANK(INDEX('Policy Characteristics'!J:J,MATCH($C1652,'Policy Characteristics'!$C:$C,0))),"",INDEX('Policy Characteristics'!J:J,MATCH($C1652,'Policy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2" s="254" t="str">
        <f>IF(ISBLANK(INDEX('Policy Characteristics'!K:K,MATCH($C1652,'Policy Characteristics'!$C:$C,0))),"",INDEX('Policy Characteristics'!K:K,MATCH($C1652,'Policy Characteristics'!$C:$C,0)))</f>
        <v>fuels.html#fuel-price-deregulation</v>
      </c>
      <c r="R1652" s="254" t="str">
        <f>IF(ISBLANK(INDEX('Policy Characteristics'!L:L,MATCH($C1652,'Policy Characteristics'!$C:$C,0))),"",INDEX('Policy Characteristics'!L:L,MATCH($C1652,'Policy Characteristics'!$C:$C,0)))</f>
        <v/>
      </c>
    </row>
    <row r="1653" spans="1:18" s="2" customFormat="1" x14ac:dyDescent="0.3">
      <c r="A1653" s="254" t="str">
        <f>IF(ISBLANK(INDEX('Policy Characteristics'!A:A,MATCH($C1653,'Policy Characteristics'!$C:$C,0))),"",INDEX('Policy Characteristics'!A:A,MATCH($C1653,'Policy Characteristics'!$C:$C,0)))</f>
        <v>Cross-Sector</v>
      </c>
      <c r="B1653" s="262" t="str">
        <f>IF(ISBLANK(INDEX('Policy Characteristics'!B:B,MATCH($C1653,'Policy Characteristics'!$C:$C,0))),"",INDEX('Policy Characteristics'!B:B,MATCH($C1653,'Policy Characteristics'!$C:$C,0)))</f>
        <v>Fuel Price Deregulation</v>
      </c>
      <c r="C1653" s="254" t="str">
        <f t="shared" si="65"/>
        <v>Fuel Price Deregulation</v>
      </c>
      <c r="D1653" s="6" t="s">
        <v>2468</v>
      </c>
      <c r="E1653" s="45"/>
      <c r="F1653" s="6" t="s">
        <v>2472</v>
      </c>
      <c r="G1653" s="6"/>
      <c r="H1653" s="43">
        <v>737</v>
      </c>
      <c r="I1653" s="325" t="s">
        <v>44</v>
      </c>
      <c r="J1653" s="255" t="str">
        <f>IF(ISBLANK(INDEX('Policy Characteristics'!D:D,MATCH($C1653,'Policy Characteristics'!$C:$C,0))),"",INDEX('Policy Characteristics'!D:D,MATCH($C1653,'Policy Characteristics'!$C:$C,0)))</f>
        <v>Fuel Price Deregulation</v>
      </c>
      <c r="K1653" s="254" t="str">
        <f>IF(ISBLANK(INDEX('Policy Characteristics'!E:E,MATCH($C1653,'Policy Characteristics'!$C:$C,0))),"",INDEX('Policy Characteristics'!E:E,MATCH($C1653,'Policy Characteristics'!$C:$C,0)))</f>
        <v>cross fuel price deregulation</v>
      </c>
      <c r="L1653" s="261">
        <f>IF(ISBLANK(INDEX('Policy Characteristics'!F:F,MATCH($C1653,'Policy Characteristics'!$C:$C,0))),"",INDEX('Policy Characteristics'!F:F,MATCH($C1653,'Policy Characteristics'!$C:$C,0)))</f>
        <v>0</v>
      </c>
      <c r="M1653" s="261">
        <f>IF(ISBLANK(INDEX('Policy Characteristics'!G:G,MATCH($C1653,'Policy Characteristics'!$C:$C,0))),"",INDEX('Policy Characteristics'!G:G,MATCH($C1653,'Policy Characteristics'!$C:$C,0)))</f>
        <v>1</v>
      </c>
      <c r="N1653" s="261">
        <f>IF(ISBLANK(INDEX('Policy Characteristics'!H:H,MATCH($C1653,'Policy Characteristics'!$C:$C,0))),"",INDEX('Policy Characteristics'!H:H,MATCH($C1653,'Policy Characteristics'!$C:$C,0)))</f>
        <v>0.01</v>
      </c>
      <c r="O1653" s="254" t="str">
        <f>IF(ISBLANK(INDEX('Policy Characteristics'!I:I,MATCH($C1653,'Policy Characteristics'!$C:$C,0))),"",INDEX('Policy Characteristics'!I:I,MATCH($C1653,'Policy Characteristics'!$C:$C,0)))</f>
        <v>% of price deregulated</v>
      </c>
      <c r="P1653" s="254" t="str">
        <f>IF(ISBLANK(INDEX('Policy Characteristics'!J:J,MATCH($C1653,'Policy Characteristics'!$C:$C,0))),"",INDEX('Policy Characteristics'!J:J,MATCH($C1653,'Policy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53" s="254" t="str">
        <f>IF(ISBLANK(INDEX('Policy Characteristics'!K:K,MATCH($C1653,'Policy Characteristics'!$C:$C,0))),"",INDEX('Policy Characteristics'!K:K,MATCH($C1653,'Policy Characteristics'!$C:$C,0)))</f>
        <v>fuels.html#fuel-price-deregulation</v>
      </c>
      <c r="R1653" s="254" t="str">
        <f>IF(ISBLANK(INDEX('Policy Characteristics'!L:L,MATCH($C1653,'Policy Characteristics'!$C:$C,0))),"",INDEX('Policy Characteristics'!L:L,MATCH($C1653,'Policy Characteristics'!$C:$C,0)))</f>
        <v/>
      </c>
    </row>
    <row r="1654" spans="1:18" s="4" customFormat="1" x14ac:dyDescent="0.3">
      <c r="A1654" s="254" t="str">
        <f>IF(ISBLANK(INDEX('Policy Characteristics'!A:A,MATCH($C1654,'Policy Characteristics'!$C:$C,0))),"",INDEX('Policy Characteristics'!A:A,MATCH($C1654,'Policy Characteristics'!$C:$C,0)))</f>
        <v>Cross-Sector</v>
      </c>
      <c r="B1654" s="262" t="str">
        <f>IF(ISBLANK(INDEX('Policy Characteristics'!B:B,MATCH($C1654,'Policy Characteristics'!$C:$C,0))),"",INDEX('Policy Characteristics'!B:B,MATCH($C1654,'Policy Characteristics'!$C:$C,0)))</f>
        <v>Fuel Taxes or Subsidies</v>
      </c>
      <c r="C1654" t="s">
        <v>3269</v>
      </c>
      <c r="D1654" s="45" t="s">
        <v>52</v>
      </c>
      <c r="E1654" s="45" t="s">
        <v>332</v>
      </c>
      <c r="F1654" s="45" t="s">
        <v>93</v>
      </c>
      <c r="G1654" s="45" t="s">
        <v>4</v>
      </c>
      <c r="H1654" s="43">
        <v>78</v>
      </c>
      <c r="I1654" s="324" t="s">
        <v>43</v>
      </c>
      <c r="J1654" s="255" t="str">
        <f>IF(ISBLANK(INDEX('Policy Characteristics'!D:D,MATCH($C1654,'Policy Characteristics'!$C:$C,0))),"",INDEX('Policy Characteristics'!D:D,MATCH($C1654,'Policy Characteristics'!$C:$C,0)))</f>
        <v>Fuel Taxes or Subsidies</v>
      </c>
      <c r="K1654" s="254" t="str">
        <f>IF(ISBLANK(INDEX('Policy Characteristics'!E:E,MATCH($C1654,'Policy Characteristics'!$C:$C,0))),"",INDEX('Policy Characteristics'!E:E,MATCH($C1654,'Policy Characteristics'!$C:$C,0)))</f>
        <v>cross fuel tax</v>
      </c>
      <c r="L1654" s="261">
        <f>IF(ISBLANK(INDEX('Policy Characteristics'!F:F,MATCH($C1654,'Policy Characteristics'!$C:$C,0))),"",INDEX('Policy Characteristics'!F:F,MATCH($C1654,'Policy Characteristics'!$C:$C,0)))</f>
        <v>-0.9</v>
      </c>
      <c r="M1654" s="261">
        <f>IF(ISBLANK(INDEX('Policy Characteristics'!G:G,MATCH($C1654,'Policy Characteristics'!$C:$C,0))),"",INDEX('Policy Characteristics'!G:G,MATCH($C1654,'Policy Characteristics'!$C:$C,0)))</f>
        <v>0.9</v>
      </c>
      <c r="N1654" s="261">
        <f>IF(ISBLANK(INDEX('Policy Characteristics'!H:H,MATCH($C1654,'Policy Characteristics'!$C:$C,0))),"",INDEX('Policy Characteristics'!H:H,MATCH($C1654,'Policy Characteristics'!$C:$C,0)))</f>
        <v>0.01</v>
      </c>
      <c r="O1654" s="254" t="str">
        <f>IF(ISBLANK(INDEX('Policy Characteristics'!I:I,MATCH($C1654,'Policy Characteristics'!$C:$C,0))),"",INDEX('Policy Characteristics'!I:I,MATCH($C1654,'Policy Characteristics'!$C:$C,0)))</f>
        <v>% of BAU price</v>
      </c>
      <c r="P1654" s="254" t="str">
        <f>IF(ISBLANK(INDEX('Policy Characteristics'!J:J,MATCH($C1654,'Policy Characteristics'!$C:$C,0))),"",INDEX('Policy Characteristics'!J:J,MATCH($C1654,'Policy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4" s="254" t="str">
        <f>IF(ISBLANK(INDEX('Policy Characteristics'!K:K,MATCH($C1654,'Policy Characteristics'!$C:$C,0))),"",INDEX('Policy Characteristics'!K:K,MATCH($C1654,'Policy Characteristics'!$C:$C,0)))</f>
        <v>fuels.html#fuel-taxes</v>
      </c>
      <c r="R1654" s="254" t="str">
        <f>IF(ISBLANK(INDEX('Policy Characteristics'!L:L,MATCH($C1654,'Policy Characteristics'!$C:$C,0))),"",INDEX('Policy Characteristics'!L:L,MATCH($C1654,'Policy Characteristics'!$C:$C,0)))</f>
        <v>fuel-taxes.html</v>
      </c>
    </row>
    <row r="1655" spans="1:18" s="4" customFormat="1" x14ac:dyDescent="0.3">
      <c r="A1655" s="254" t="str">
        <f>IF(ISBLANK(INDEX('Policy Characteristics'!A:A,MATCH($C1655,'Policy Characteristics'!$C:$C,0))),"",INDEX('Policy Characteristics'!A:A,MATCH($C1655,'Policy Characteristics'!$C:$C,0)))</f>
        <v>Cross-Sector</v>
      </c>
      <c r="B1655" s="262" t="str">
        <f>IF(ISBLANK(INDEX('Policy Characteristics'!B:B,MATCH($C1655,'Policy Characteristics'!$C:$C,0))),"",INDEX('Policy Characteristics'!B:B,MATCH($C1655,'Policy Characteristics'!$C:$C,0)))</f>
        <v>Fuel Taxes or Subsidies</v>
      </c>
      <c r="C1655" s="320" t="str">
        <f t="shared" ref="C1655:C1718" si="66">C$1654</f>
        <v>Additional Fuel Tax or Subsidy Rate by Fuel</v>
      </c>
      <c r="D1655" s="6" t="s">
        <v>449</v>
      </c>
      <c r="E1655" s="45" t="s">
        <v>332</v>
      </c>
      <c r="F1655" s="6" t="s">
        <v>446</v>
      </c>
      <c r="G1655" s="45" t="s">
        <v>4</v>
      </c>
      <c r="H1655" s="43">
        <v>79</v>
      </c>
      <c r="I1655" s="325" t="s">
        <v>44</v>
      </c>
      <c r="J1655" s="255" t="str">
        <f>IF(ISBLANK(INDEX('Policy Characteristics'!D:D,MATCH($C1655,'Policy Characteristics'!$C:$C,0))),"",INDEX('Policy Characteristics'!D:D,MATCH($C1655,'Policy Characteristics'!$C:$C,0)))</f>
        <v>Fuel Taxes or Subsidies</v>
      </c>
      <c r="K1655" s="254" t="str">
        <f>IF(ISBLANK(INDEX('Policy Characteristics'!E:E,MATCH($C1655,'Policy Characteristics'!$C:$C,0))),"",INDEX('Policy Characteristics'!E:E,MATCH($C1655,'Policy Characteristics'!$C:$C,0)))</f>
        <v>cross fuel tax</v>
      </c>
      <c r="L1655" s="261">
        <f>IF(ISBLANK(INDEX('Policy Characteristics'!F:F,MATCH($C1655,'Policy Characteristics'!$C:$C,0))),"",INDEX('Policy Characteristics'!F:F,MATCH($C1655,'Policy Characteristics'!$C:$C,0)))</f>
        <v>-0.9</v>
      </c>
      <c r="M1655" s="261">
        <f>IF(ISBLANK(INDEX('Policy Characteristics'!G:G,MATCH($C1655,'Policy Characteristics'!$C:$C,0))),"",INDEX('Policy Characteristics'!G:G,MATCH($C1655,'Policy Characteristics'!$C:$C,0)))</f>
        <v>0.9</v>
      </c>
      <c r="N1655" s="261">
        <f>IF(ISBLANK(INDEX('Policy Characteristics'!H:H,MATCH($C1655,'Policy Characteristics'!$C:$C,0))),"",INDEX('Policy Characteristics'!H:H,MATCH($C1655,'Policy Characteristics'!$C:$C,0)))</f>
        <v>0.01</v>
      </c>
      <c r="O1655" s="254" t="str">
        <f>IF(ISBLANK(INDEX('Policy Characteristics'!I:I,MATCH($C1655,'Policy Characteristics'!$C:$C,0))),"",INDEX('Policy Characteristics'!I:I,MATCH($C1655,'Policy Characteristics'!$C:$C,0)))</f>
        <v>% of BAU price</v>
      </c>
      <c r="P1655" s="254" t="str">
        <f>IF(ISBLANK(INDEX('Policy Characteristics'!J:J,MATCH($C1655,'Policy Characteristics'!$C:$C,0))),"",INDEX('Policy Characteristics'!J:J,MATCH($C1655,'Policy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5" s="254" t="str">
        <f>IF(ISBLANK(INDEX('Policy Characteristics'!K:K,MATCH($C1655,'Policy Characteristics'!$C:$C,0))),"",INDEX('Policy Characteristics'!K:K,MATCH($C1655,'Policy Characteristics'!$C:$C,0)))</f>
        <v>fuels.html#fuel-taxes</v>
      </c>
      <c r="R1655" s="254" t="str">
        <f>IF(ISBLANK(INDEX('Policy Characteristics'!L:L,MATCH($C1655,'Policy Characteristics'!$C:$C,0))),"",INDEX('Policy Characteristics'!L:L,MATCH($C1655,'Policy Characteristics'!$C:$C,0)))</f>
        <v>fuel-taxes.html</v>
      </c>
    </row>
    <row r="1656" spans="1:18" s="4" customFormat="1" x14ac:dyDescent="0.3">
      <c r="A1656" s="254" t="str">
        <f>IF(ISBLANK(INDEX('Policy Characteristics'!A:A,MATCH($C1656,'Policy Characteristics'!$C:$C,0))),"",INDEX('Policy Characteristics'!A:A,MATCH($C1656,'Policy Characteristics'!$C:$C,0)))</f>
        <v>Cross-Sector</v>
      </c>
      <c r="B1656" s="262" t="str">
        <f>IF(ISBLANK(INDEX('Policy Characteristics'!B:B,MATCH($C1656,'Policy Characteristics'!$C:$C,0))),"",INDEX('Policy Characteristics'!B:B,MATCH($C1656,'Policy Characteristics'!$C:$C,0)))</f>
        <v>Fuel Taxes or Subsidies</v>
      </c>
      <c r="C1656" s="320" t="str">
        <f t="shared" si="66"/>
        <v>Additional Fuel Tax or Subsidy Rate by Fuel</v>
      </c>
      <c r="D1656" s="6" t="s">
        <v>46</v>
      </c>
      <c r="E1656" s="45" t="s">
        <v>332</v>
      </c>
      <c r="F1656" s="6" t="s">
        <v>87</v>
      </c>
      <c r="G1656" s="45" t="s">
        <v>4</v>
      </c>
      <c r="H1656" s="43">
        <v>80</v>
      </c>
      <c r="I1656" s="325" t="s">
        <v>43</v>
      </c>
      <c r="J1656" s="255" t="str">
        <f>IF(ISBLANK(INDEX('Policy Characteristics'!D:D,MATCH($C1656,'Policy Characteristics'!$C:$C,0))),"",INDEX('Policy Characteristics'!D:D,MATCH($C1656,'Policy Characteristics'!$C:$C,0)))</f>
        <v>Fuel Taxes or Subsidies</v>
      </c>
      <c r="K1656" s="254" t="str">
        <f>IF(ISBLANK(INDEX('Policy Characteristics'!E:E,MATCH($C1656,'Policy Characteristics'!$C:$C,0))),"",INDEX('Policy Characteristics'!E:E,MATCH($C1656,'Policy Characteristics'!$C:$C,0)))</f>
        <v>cross fuel tax</v>
      </c>
      <c r="L1656" s="261">
        <f>IF(ISBLANK(INDEX('Policy Characteristics'!F:F,MATCH($C1656,'Policy Characteristics'!$C:$C,0))),"",INDEX('Policy Characteristics'!F:F,MATCH($C1656,'Policy Characteristics'!$C:$C,0)))</f>
        <v>-0.9</v>
      </c>
      <c r="M1656" s="261">
        <f>IF(ISBLANK(INDEX('Policy Characteristics'!G:G,MATCH($C1656,'Policy Characteristics'!$C:$C,0))),"",INDEX('Policy Characteristics'!G:G,MATCH($C1656,'Policy Characteristics'!$C:$C,0)))</f>
        <v>0.9</v>
      </c>
      <c r="N1656" s="261">
        <f>IF(ISBLANK(INDEX('Policy Characteristics'!H:H,MATCH($C1656,'Policy Characteristics'!$C:$C,0))),"",INDEX('Policy Characteristics'!H:H,MATCH($C1656,'Policy Characteristics'!$C:$C,0)))</f>
        <v>0.01</v>
      </c>
      <c r="O1656" s="254" t="str">
        <f>IF(ISBLANK(INDEX('Policy Characteristics'!I:I,MATCH($C1656,'Policy Characteristics'!$C:$C,0))),"",INDEX('Policy Characteristics'!I:I,MATCH($C1656,'Policy Characteristics'!$C:$C,0)))</f>
        <v>% of BAU price</v>
      </c>
      <c r="P1656" s="254" t="str">
        <f>IF(ISBLANK(INDEX('Policy Characteristics'!J:J,MATCH($C1656,'Policy Characteristics'!$C:$C,0))),"",INDEX('Policy Characteristics'!J:J,MATCH($C1656,'Policy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6" s="254" t="str">
        <f>IF(ISBLANK(INDEX('Policy Characteristics'!K:K,MATCH($C1656,'Policy Characteristics'!$C:$C,0))),"",INDEX('Policy Characteristics'!K:K,MATCH($C1656,'Policy Characteristics'!$C:$C,0)))</f>
        <v>fuels.html#fuel-taxes</v>
      </c>
      <c r="R1656" s="254" t="str">
        <f>IF(ISBLANK(INDEX('Policy Characteristics'!L:L,MATCH($C1656,'Policy Characteristics'!$C:$C,0))),"",INDEX('Policy Characteristics'!L:L,MATCH($C1656,'Policy Characteristics'!$C:$C,0)))</f>
        <v>fuel-taxes.html</v>
      </c>
    </row>
    <row r="1657" spans="1:18" s="4" customFormat="1" x14ac:dyDescent="0.3">
      <c r="A1657" s="254" t="str">
        <f>IF(ISBLANK(INDEX('Policy Characteristics'!A:A,MATCH($C1657,'Policy Characteristics'!$C:$C,0))),"",INDEX('Policy Characteristics'!A:A,MATCH($C1657,'Policy Characteristics'!$C:$C,0)))</f>
        <v>Cross-Sector</v>
      </c>
      <c r="B1657" s="262" t="str">
        <f>IF(ISBLANK(INDEX('Policy Characteristics'!B:B,MATCH($C1657,'Policy Characteristics'!$C:$C,0))),"",INDEX('Policy Characteristics'!B:B,MATCH($C1657,'Policy Characteristics'!$C:$C,0)))</f>
        <v>Fuel Taxes or Subsidies</v>
      </c>
      <c r="C1657" s="320" t="str">
        <f t="shared" si="66"/>
        <v>Additional Fuel Tax or Subsidy Rate by Fuel</v>
      </c>
      <c r="D1657" s="6" t="s">
        <v>47</v>
      </c>
      <c r="E1657" s="45" t="s">
        <v>332</v>
      </c>
      <c r="F1657" s="6" t="s">
        <v>88</v>
      </c>
      <c r="G1657" s="45" t="s">
        <v>4</v>
      </c>
      <c r="H1657" s="43">
        <v>738</v>
      </c>
      <c r="I1657" s="325" t="s">
        <v>44</v>
      </c>
      <c r="J1657" s="255" t="str">
        <f>IF(ISBLANK(INDEX('Policy Characteristics'!D:D,MATCH($C1657,'Policy Characteristics'!$C:$C,0))),"",INDEX('Policy Characteristics'!D:D,MATCH($C1657,'Policy Characteristics'!$C:$C,0)))</f>
        <v>Fuel Taxes or Subsidies</v>
      </c>
      <c r="K1657" s="254" t="str">
        <f>IF(ISBLANK(INDEX('Policy Characteristics'!E:E,MATCH($C1657,'Policy Characteristics'!$C:$C,0))),"",INDEX('Policy Characteristics'!E:E,MATCH($C1657,'Policy Characteristics'!$C:$C,0)))</f>
        <v>cross fuel tax</v>
      </c>
      <c r="L1657" s="261">
        <f>IF(ISBLANK(INDEX('Policy Characteristics'!F:F,MATCH($C1657,'Policy Characteristics'!$C:$C,0))),"",INDEX('Policy Characteristics'!F:F,MATCH($C1657,'Policy Characteristics'!$C:$C,0)))</f>
        <v>-0.9</v>
      </c>
      <c r="M1657" s="261">
        <f>IF(ISBLANK(INDEX('Policy Characteristics'!G:G,MATCH($C1657,'Policy Characteristics'!$C:$C,0))),"",INDEX('Policy Characteristics'!G:G,MATCH($C1657,'Policy Characteristics'!$C:$C,0)))</f>
        <v>0.9</v>
      </c>
      <c r="N1657" s="261">
        <f>IF(ISBLANK(INDEX('Policy Characteristics'!H:H,MATCH($C1657,'Policy Characteristics'!$C:$C,0))),"",INDEX('Policy Characteristics'!H:H,MATCH($C1657,'Policy Characteristics'!$C:$C,0)))</f>
        <v>0.01</v>
      </c>
      <c r="O1657" s="254" t="str">
        <f>IF(ISBLANK(INDEX('Policy Characteristics'!I:I,MATCH($C1657,'Policy Characteristics'!$C:$C,0))),"",INDEX('Policy Characteristics'!I:I,MATCH($C1657,'Policy Characteristics'!$C:$C,0)))</f>
        <v>% of BAU price</v>
      </c>
      <c r="P1657" s="254" t="str">
        <f>IF(ISBLANK(INDEX('Policy Characteristics'!J:J,MATCH($C1657,'Policy Characteristics'!$C:$C,0))),"",INDEX('Policy Characteristics'!J:J,MATCH($C1657,'Policy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7" s="254" t="str">
        <f>IF(ISBLANK(INDEX('Policy Characteristics'!K:K,MATCH($C1657,'Policy Characteristics'!$C:$C,0))),"",INDEX('Policy Characteristics'!K:K,MATCH($C1657,'Policy Characteristics'!$C:$C,0)))</f>
        <v>fuels.html#fuel-taxes</v>
      </c>
      <c r="R1657" s="254" t="str">
        <f>IF(ISBLANK(INDEX('Policy Characteristics'!L:L,MATCH($C1657,'Policy Characteristics'!$C:$C,0))),"",INDEX('Policy Characteristics'!L:L,MATCH($C1657,'Policy Characteristics'!$C:$C,0)))</f>
        <v>fuel-taxes.html</v>
      </c>
    </row>
    <row r="1658" spans="1:18" s="4" customFormat="1" x14ac:dyDescent="0.3">
      <c r="A1658" s="254" t="str">
        <f>IF(ISBLANK(INDEX('Policy Characteristics'!A:A,MATCH($C1658,'Policy Characteristics'!$C:$C,0))),"",INDEX('Policy Characteristics'!A:A,MATCH($C1658,'Policy Characteristics'!$C:$C,0)))</f>
        <v>Cross-Sector</v>
      </c>
      <c r="B1658" s="262" t="str">
        <f>IF(ISBLANK(INDEX('Policy Characteristics'!B:B,MATCH($C1658,'Policy Characteristics'!$C:$C,0))),"",INDEX('Policy Characteristics'!B:B,MATCH($C1658,'Policy Characteristics'!$C:$C,0)))</f>
        <v>Fuel Taxes or Subsidies</v>
      </c>
      <c r="C1658" s="320" t="str">
        <f t="shared" si="66"/>
        <v>Additional Fuel Tax or Subsidy Rate by Fuel</v>
      </c>
      <c r="D1658" s="6" t="s">
        <v>51</v>
      </c>
      <c r="E1658" s="45" t="s">
        <v>332</v>
      </c>
      <c r="F1658" s="6" t="s">
        <v>92</v>
      </c>
      <c r="G1658" s="45" t="s">
        <v>4</v>
      </c>
      <c r="H1658" s="43">
        <v>739</v>
      </c>
      <c r="I1658" s="325" t="s">
        <v>44</v>
      </c>
      <c r="J1658" s="255" t="str">
        <f>IF(ISBLANK(INDEX('Policy Characteristics'!D:D,MATCH($C1658,'Policy Characteristics'!$C:$C,0))),"",INDEX('Policy Characteristics'!D:D,MATCH($C1658,'Policy Characteristics'!$C:$C,0)))</f>
        <v>Fuel Taxes or Subsidies</v>
      </c>
      <c r="K1658" s="254" t="str">
        <f>IF(ISBLANK(INDEX('Policy Characteristics'!E:E,MATCH($C1658,'Policy Characteristics'!$C:$C,0))),"",INDEX('Policy Characteristics'!E:E,MATCH($C1658,'Policy Characteristics'!$C:$C,0)))</f>
        <v>cross fuel tax</v>
      </c>
      <c r="L1658" s="261">
        <f>IF(ISBLANK(INDEX('Policy Characteristics'!F:F,MATCH($C1658,'Policy Characteristics'!$C:$C,0))),"",INDEX('Policy Characteristics'!F:F,MATCH($C1658,'Policy Characteristics'!$C:$C,0)))</f>
        <v>-0.9</v>
      </c>
      <c r="M1658" s="261">
        <f>IF(ISBLANK(INDEX('Policy Characteristics'!G:G,MATCH($C1658,'Policy Characteristics'!$C:$C,0))),"",INDEX('Policy Characteristics'!G:G,MATCH($C1658,'Policy Characteristics'!$C:$C,0)))</f>
        <v>0.9</v>
      </c>
      <c r="N1658" s="261">
        <f>IF(ISBLANK(INDEX('Policy Characteristics'!H:H,MATCH($C1658,'Policy Characteristics'!$C:$C,0))),"",INDEX('Policy Characteristics'!H:H,MATCH($C1658,'Policy Characteristics'!$C:$C,0)))</f>
        <v>0.01</v>
      </c>
      <c r="O1658" s="254" t="str">
        <f>IF(ISBLANK(INDEX('Policy Characteristics'!I:I,MATCH($C1658,'Policy Characteristics'!$C:$C,0))),"",INDEX('Policy Characteristics'!I:I,MATCH($C1658,'Policy Characteristics'!$C:$C,0)))</f>
        <v>% of BAU price</v>
      </c>
      <c r="P1658" s="254" t="str">
        <f>IF(ISBLANK(INDEX('Policy Characteristics'!J:J,MATCH($C1658,'Policy Characteristics'!$C:$C,0))),"",INDEX('Policy Characteristics'!J:J,MATCH($C1658,'Policy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8" s="254" t="str">
        <f>IF(ISBLANK(INDEX('Policy Characteristics'!K:K,MATCH($C1658,'Policy Characteristics'!$C:$C,0))),"",INDEX('Policy Characteristics'!K:K,MATCH($C1658,'Policy Characteristics'!$C:$C,0)))</f>
        <v>fuels.html#fuel-taxes</v>
      </c>
      <c r="R1658" s="254" t="str">
        <f>IF(ISBLANK(INDEX('Policy Characteristics'!L:L,MATCH($C1658,'Policy Characteristics'!$C:$C,0))),"",INDEX('Policy Characteristics'!L:L,MATCH($C1658,'Policy Characteristics'!$C:$C,0)))</f>
        <v>fuel-taxes.html</v>
      </c>
    </row>
    <row r="1659" spans="1:18" s="4" customFormat="1" x14ac:dyDescent="0.3">
      <c r="A1659" s="254" t="str">
        <f>IF(ISBLANK(INDEX('Policy Characteristics'!A:A,MATCH($C1659,'Policy Characteristics'!$C:$C,0))),"",INDEX('Policy Characteristics'!A:A,MATCH($C1659,'Policy Characteristics'!$C:$C,0)))</f>
        <v>Cross-Sector</v>
      </c>
      <c r="B1659" s="262" t="str">
        <f>IF(ISBLANK(INDEX('Policy Characteristics'!B:B,MATCH($C1659,'Policy Characteristics'!$C:$C,0))),"",INDEX('Policy Characteristics'!B:B,MATCH($C1659,'Policy Characteristics'!$C:$C,0)))</f>
        <v>Fuel Taxes or Subsidies</v>
      </c>
      <c r="C1659" s="320" t="str">
        <f t="shared" si="66"/>
        <v>Additional Fuel Tax or Subsidy Rate by Fuel</v>
      </c>
      <c r="D1659" s="6" t="s">
        <v>53</v>
      </c>
      <c r="E1659" s="45" t="s">
        <v>332</v>
      </c>
      <c r="F1659" s="6" t="s">
        <v>95</v>
      </c>
      <c r="G1659" s="45" t="s">
        <v>4</v>
      </c>
      <c r="H1659" s="43">
        <v>81</v>
      </c>
      <c r="I1659" s="325" t="s">
        <v>43</v>
      </c>
      <c r="J1659" s="255" t="str">
        <f>IF(ISBLANK(INDEX('Policy Characteristics'!D:D,MATCH($C1659,'Policy Characteristics'!$C:$C,0))),"",INDEX('Policy Characteristics'!D:D,MATCH($C1659,'Policy Characteristics'!$C:$C,0)))</f>
        <v>Fuel Taxes or Subsidies</v>
      </c>
      <c r="K1659" s="254" t="str">
        <f>IF(ISBLANK(INDEX('Policy Characteristics'!E:E,MATCH($C1659,'Policy Characteristics'!$C:$C,0))),"",INDEX('Policy Characteristics'!E:E,MATCH($C1659,'Policy Characteristics'!$C:$C,0)))</f>
        <v>cross fuel tax</v>
      </c>
      <c r="L1659" s="261">
        <f>IF(ISBLANK(INDEX('Policy Characteristics'!F:F,MATCH($C1659,'Policy Characteristics'!$C:$C,0))),"",INDEX('Policy Characteristics'!F:F,MATCH($C1659,'Policy Characteristics'!$C:$C,0)))</f>
        <v>-0.9</v>
      </c>
      <c r="M1659" s="261">
        <f>IF(ISBLANK(INDEX('Policy Characteristics'!G:G,MATCH($C1659,'Policy Characteristics'!$C:$C,0))),"",INDEX('Policy Characteristics'!G:G,MATCH($C1659,'Policy Characteristics'!$C:$C,0)))</f>
        <v>0.9</v>
      </c>
      <c r="N1659" s="261">
        <f>IF(ISBLANK(INDEX('Policy Characteristics'!H:H,MATCH($C1659,'Policy Characteristics'!$C:$C,0))),"",INDEX('Policy Characteristics'!H:H,MATCH($C1659,'Policy Characteristics'!$C:$C,0)))</f>
        <v>0.01</v>
      </c>
      <c r="O1659" s="254" t="str">
        <f>IF(ISBLANK(INDEX('Policy Characteristics'!I:I,MATCH($C1659,'Policy Characteristics'!$C:$C,0))),"",INDEX('Policy Characteristics'!I:I,MATCH($C1659,'Policy Characteristics'!$C:$C,0)))</f>
        <v>% of BAU price</v>
      </c>
      <c r="P1659" s="254" t="str">
        <f>IF(ISBLANK(INDEX('Policy Characteristics'!J:J,MATCH($C1659,'Policy Characteristics'!$C:$C,0))),"",INDEX('Policy Characteristics'!J:J,MATCH($C1659,'Policy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59" s="254" t="str">
        <f>IF(ISBLANK(INDEX('Policy Characteristics'!K:K,MATCH($C1659,'Policy Characteristics'!$C:$C,0))),"",INDEX('Policy Characteristics'!K:K,MATCH($C1659,'Policy Characteristics'!$C:$C,0)))</f>
        <v>fuels.html#fuel-taxes</v>
      </c>
      <c r="R1659" s="254" t="str">
        <f>IF(ISBLANK(INDEX('Policy Characteristics'!L:L,MATCH($C1659,'Policy Characteristics'!$C:$C,0))),"",INDEX('Policy Characteristics'!L:L,MATCH($C1659,'Policy Characteristics'!$C:$C,0)))</f>
        <v>fuel-taxes.html</v>
      </c>
    </row>
    <row r="1660" spans="1:18" s="4" customFormat="1" x14ac:dyDescent="0.3">
      <c r="A1660" s="254" t="str">
        <f>IF(ISBLANK(INDEX('Policy Characteristics'!A:A,MATCH($C1660,'Policy Characteristics'!$C:$C,0))),"",INDEX('Policy Characteristics'!A:A,MATCH($C1660,'Policy Characteristics'!$C:$C,0)))</f>
        <v>Cross-Sector</v>
      </c>
      <c r="B1660" s="262" t="str">
        <f>IF(ISBLANK(INDEX('Policy Characteristics'!B:B,MATCH($C1660,'Policy Characteristics'!$C:$C,0))),"",INDEX('Policy Characteristics'!B:B,MATCH($C1660,'Policy Characteristics'!$C:$C,0)))</f>
        <v>Fuel Taxes or Subsidies</v>
      </c>
      <c r="C1660" s="320" t="str">
        <f t="shared" si="66"/>
        <v>Additional Fuel Tax or Subsidy Rate by Fuel</v>
      </c>
      <c r="D1660" s="6" t="s">
        <v>54</v>
      </c>
      <c r="E1660" s="45" t="s">
        <v>332</v>
      </c>
      <c r="F1660" s="6" t="s">
        <v>96</v>
      </c>
      <c r="G1660" s="45" t="s">
        <v>4</v>
      </c>
      <c r="H1660" s="43">
        <v>82</v>
      </c>
      <c r="I1660" s="325" t="s">
        <v>43</v>
      </c>
      <c r="J1660" s="255" t="str">
        <f>IF(ISBLANK(INDEX('Policy Characteristics'!D:D,MATCH($C1660,'Policy Characteristics'!$C:$C,0))),"",INDEX('Policy Characteristics'!D:D,MATCH($C1660,'Policy Characteristics'!$C:$C,0)))</f>
        <v>Fuel Taxes or Subsidies</v>
      </c>
      <c r="K1660" s="254" t="str">
        <f>IF(ISBLANK(INDEX('Policy Characteristics'!E:E,MATCH($C1660,'Policy Characteristics'!$C:$C,0))),"",INDEX('Policy Characteristics'!E:E,MATCH($C1660,'Policy Characteristics'!$C:$C,0)))</f>
        <v>cross fuel tax</v>
      </c>
      <c r="L1660" s="261">
        <f>IF(ISBLANK(INDEX('Policy Characteristics'!F:F,MATCH($C1660,'Policy Characteristics'!$C:$C,0))),"",INDEX('Policy Characteristics'!F:F,MATCH($C1660,'Policy Characteristics'!$C:$C,0)))</f>
        <v>-0.9</v>
      </c>
      <c r="M1660" s="261">
        <f>IF(ISBLANK(INDEX('Policy Characteristics'!G:G,MATCH($C1660,'Policy Characteristics'!$C:$C,0))),"",INDEX('Policy Characteristics'!G:G,MATCH($C1660,'Policy Characteristics'!$C:$C,0)))</f>
        <v>0.9</v>
      </c>
      <c r="N1660" s="261">
        <f>IF(ISBLANK(INDEX('Policy Characteristics'!H:H,MATCH($C1660,'Policy Characteristics'!$C:$C,0))),"",INDEX('Policy Characteristics'!H:H,MATCH($C1660,'Policy Characteristics'!$C:$C,0)))</f>
        <v>0.01</v>
      </c>
      <c r="O1660" s="254" t="str">
        <f>IF(ISBLANK(INDEX('Policy Characteristics'!I:I,MATCH($C1660,'Policy Characteristics'!$C:$C,0))),"",INDEX('Policy Characteristics'!I:I,MATCH($C1660,'Policy Characteristics'!$C:$C,0)))</f>
        <v>% of BAU price</v>
      </c>
      <c r="P1660" s="254" t="str">
        <f>IF(ISBLANK(INDEX('Policy Characteristics'!J:J,MATCH($C1660,'Policy Characteristics'!$C:$C,0))),"",INDEX('Policy Characteristics'!J:J,MATCH($C1660,'Policy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0" s="254" t="str">
        <f>IF(ISBLANK(INDEX('Policy Characteristics'!K:K,MATCH($C1660,'Policy Characteristics'!$C:$C,0))),"",INDEX('Policy Characteristics'!K:K,MATCH($C1660,'Policy Characteristics'!$C:$C,0)))</f>
        <v>fuels.html#fuel-taxes</v>
      </c>
      <c r="R1660" s="254" t="str">
        <f>IF(ISBLANK(INDEX('Policy Characteristics'!L:L,MATCH($C1660,'Policy Characteristics'!$C:$C,0))),"",INDEX('Policy Characteristics'!L:L,MATCH($C1660,'Policy Characteristics'!$C:$C,0)))</f>
        <v>fuel-taxes.html</v>
      </c>
    </row>
    <row r="1661" spans="1:18" s="4" customFormat="1" x14ac:dyDescent="0.3">
      <c r="A1661" s="254" t="str">
        <f>IF(ISBLANK(INDEX('Policy Characteristics'!A:A,MATCH($C1661,'Policy Characteristics'!$C:$C,0))),"",INDEX('Policy Characteristics'!A:A,MATCH($C1661,'Policy Characteristics'!$C:$C,0)))</f>
        <v>Cross-Sector</v>
      </c>
      <c r="B1661" s="262" t="str">
        <f>IF(ISBLANK(INDEX('Policy Characteristics'!B:B,MATCH($C1661,'Policy Characteristics'!$C:$C,0))),"",INDEX('Policy Characteristics'!B:B,MATCH($C1661,'Policy Characteristics'!$C:$C,0)))</f>
        <v>Fuel Taxes or Subsidies</v>
      </c>
      <c r="C1661" s="320" t="str">
        <f t="shared" si="66"/>
        <v>Additional Fuel Tax or Subsidy Rate by Fuel</v>
      </c>
      <c r="D1661" s="6" t="s">
        <v>55</v>
      </c>
      <c r="E1661" s="45" t="s">
        <v>332</v>
      </c>
      <c r="F1661" s="6" t="s">
        <v>97</v>
      </c>
      <c r="G1661" s="45" t="s">
        <v>4</v>
      </c>
      <c r="H1661" s="43">
        <v>740</v>
      </c>
      <c r="I1661" s="325" t="s">
        <v>43</v>
      </c>
      <c r="J1661" s="255" t="str">
        <f>IF(ISBLANK(INDEX('Policy Characteristics'!D:D,MATCH($C1661,'Policy Characteristics'!$C:$C,0))),"",INDEX('Policy Characteristics'!D:D,MATCH($C1661,'Policy Characteristics'!$C:$C,0)))</f>
        <v>Fuel Taxes or Subsidies</v>
      </c>
      <c r="K1661" s="254" t="str">
        <f>IF(ISBLANK(INDEX('Policy Characteristics'!E:E,MATCH($C1661,'Policy Characteristics'!$C:$C,0))),"",INDEX('Policy Characteristics'!E:E,MATCH($C1661,'Policy Characteristics'!$C:$C,0)))</f>
        <v>cross fuel tax</v>
      </c>
      <c r="L1661" s="261">
        <f>IF(ISBLANK(INDEX('Policy Characteristics'!F:F,MATCH($C1661,'Policy Characteristics'!$C:$C,0))),"",INDEX('Policy Characteristics'!F:F,MATCH($C1661,'Policy Characteristics'!$C:$C,0)))</f>
        <v>-0.9</v>
      </c>
      <c r="M1661" s="261">
        <f>IF(ISBLANK(INDEX('Policy Characteristics'!G:G,MATCH($C1661,'Policy Characteristics'!$C:$C,0))),"",INDEX('Policy Characteristics'!G:G,MATCH($C1661,'Policy Characteristics'!$C:$C,0)))</f>
        <v>0.9</v>
      </c>
      <c r="N1661" s="261">
        <f>IF(ISBLANK(INDEX('Policy Characteristics'!H:H,MATCH($C1661,'Policy Characteristics'!$C:$C,0))),"",INDEX('Policy Characteristics'!H:H,MATCH($C1661,'Policy Characteristics'!$C:$C,0)))</f>
        <v>0.01</v>
      </c>
      <c r="O1661" s="254" t="str">
        <f>IF(ISBLANK(INDEX('Policy Characteristics'!I:I,MATCH($C1661,'Policy Characteristics'!$C:$C,0))),"",INDEX('Policy Characteristics'!I:I,MATCH($C1661,'Policy Characteristics'!$C:$C,0)))</f>
        <v>% of BAU price</v>
      </c>
      <c r="P1661" s="254" t="str">
        <f>IF(ISBLANK(INDEX('Policy Characteristics'!J:J,MATCH($C1661,'Policy Characteristics'!$C:$C,0))),"",INDEX('Policy Characteristics'!J:J,MATCH($C1661,'Policy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1" s="254" t="str">
        <f>IF(ISBLANK(INDEX('Policy Characteristics'!K:K,MATCH($C1661,'Policy Characteristics'!$C:$C,0))),"",INDEX('Policy Characteristics'!K:K,MATCH($C1661,'Policy Characteristics'!$C:$C,0)))</f>
        <v>fuels.html#fuel-taxes</v>
      </c>
      <c r="R1661" s="254" t="str">
        <f>IF(ISBLANK(INDEX('Policy Characteristics'!L:L,MATCH($C1661,'Policy Characteristics'!$C:$C,0))),"",INDEX('Policy Characteristics'!L:L,MATCH($C1661,'Policy Characteristics'!$C:$C,0)))</f>
        <v>fuel-taxes.html</v>
      </c>
    </row>
    <row r="1662" spans="1:18" s="4" customFormat="1" x14ac:dyDescent="0.3">
      <c r="A1662" s="254" t="str">
        <f>IF(ISBLANK(INDEX('Policy Characteristics'!A:A,MATCH($C1662,'Policy Characteristics'!$C:$C,0))),"",INDEX('Policy Characteristics'!A:A,MATCH($C1662,'Policy Characteristics'!$C:$C,0)))</f>
        <v>Cross-Sector</v>
      </c>
      <c r="B1662" s="262" t="str">
        <f>IF(ISBLANK(INDEX('Policy Characteristics'!B:B,MATCH($C1662,'Policy Characteristics'!$C:$C,0))),"",INDEX('Policy Characteristics'!B:B,MATCH($C1662,'Policy Characteristics'!$C:$C,0)))</f>
        <v>Fuel Taxes or Subsidies</v>
      </c>
      <c r="C1662" s="320" t="str">
        <f t="shared" si="66"/>
        <v>Additional Fuel Tax or Subsidy Rate by Fuel</v>
      </c>
      <c r="D1662" s="6" t="s">
        <v>56</v>
      </c>
      <c r="E1662" s="45" t="s">
        <v>332</v>
      </c>
      <c r="F1662" s="6" t="s">
        <v>98</v>
      </c>
      <c r="G1662" s="45" t="s">
        <v>4</v>
      </c>
      <c r="H1662" s="43">
        <v>741</v>
      </c>
      <c r="I1662" s="325" t="s">
        <v>43</v>
      </c>
      <c r="J1662" s="255" t="str">
        <f>IF(ISBLANK(INDEX('Policy Characteristics'!D:D,MATCH($C1662,'Policy Characteristics'!$C:$C,0))),"",INDEX('Policy Characteristics'!D:D,MATCH($C1662,'Policy Characteristics'!$C:$C,0)))</f>
        <v>Fuel Taxes or Subsidies</v>
      </c>
      <c r="K1662" s="254" t="str">
        <f>IF(ISBLANK(INDEX('Policy Characteristics'!E:E,MATCH($C1662,'Policy Characteristics'!$C:$C,0))),"",INDEX('Policy Characteristics'!E:E,MATCH($C1662,'Policy Characteristics'!$C:$C,0)))</f>
        <v>cross fuel tax</v>
      </c>
      <c r="L1662" s="261">
        <f>IF(ISBLANK(INDEX('Policy Characteristics'!F:F,MATCH($C1662,'Policy Characteristics'!$C:$C,0))),"",INDEX('Policy Characteristics'!F:F,MATCH($C1662,'Policy Characteristics'!$C:$C,0)))</f>
        <v>-0.9</v>
      </c>
      <c r="M1662" s="261">
        <f>IF(ISBLANK(INDEX('Policy Characteristics'!G:G,MATCH($C1662,'Policy Characteristics'!$C:$C,0))),"",INDEX('Policy Characteristics'!G:G,MATCH($C1662,'Policy Characteristics'!$C:$C,0)))</f>
        <v>0.9</v>
      </c>
      <c r="N1662" s="261">
        <f>IF(ISBLANK(INDEX('Policy Characteristics'!H:H,MATCH($C1662,'Policy Characteristics'!$C:$C,0))),"",INDEX('Policy Characteristics'!H:H,MATCH($C1662,'Policy Characteristics'!$C:$C,0)))</f>
        <v>0.01</v>
      </c>
      <c r="O1662" s="254" t="str">
        <f>IF(ISBLANK(INDEX('Policy Characteristics'!I:I,MATCH($C1662,'Policy Characteristics'!$C:$C,0))),"",INDEX('Policy Characteristics'!I:I,MATCH($C1662,'Policy Characteristics'!$C:$C,0)))</f>
        <v>% of BAU price</v>
      </c>
      <c r="P1662" s="254" t="str">
        <f>IF(ISBLANK(INDEX('Policy Characteristics'!J:J,MATCH($C1662,'Policy Characteristics'!$C:$C,0))),"",INDEX('Policy Characteristics'!J:J,MATCH($C1662,'Policy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2" s="254" t="str">
        <f>IF(ISBLANK(INDEX('Policy Characteristics'!K:K,MATCH($C1662,'Policy Characteristics'!$C:$C,0))),"",INDEX('Policy Characteristics'!K:K,MATCH($C1662,'Policy Characteristics'!$C:$C,0)))</f>
        <v>fuels.html#fuel-taxes</v>
      </c>
      <c r="R1662" s="254" t="str">
        <f>IF(ISBLANK(INDEX('Policy Characteristics'!L:L,MATCH($C1662,'Policy Characteristics'!$C:$C,0))),"",INDEX('Policy Characteristics'!L:L,MATCH($C1662,'Policy Characteristics'!$C:$C,0)))</f>
        <v>fuel-taxes.html</v>
      </c>
    </row>
    <row r="1663" spans="1:18" x14ac:dyDescent="0.3">
      <c r="A1663" s="254" t="str">
        <f>IF(ISBLANK(INDEX('Policy Characteristics'!A:A,MATCH($C1663,'Policy Characteristics'!$C:$C,0))),"",INDEX('Policy Characteristics'!A:A,MATCH($C1663,'Policy Characteristics'!$C:$C,0)))</f>
        <v>Cross-Sector</v>
      </c>
      <c r="B1663" s="262" t="str">
        <f>IF(ISBLANK(INDEX('Policy Characteristics'!B:B,MATCH($C1663,'Policy Characteristics'!$C:$C,0))),"",INDEX('Policy Characteristics'!B:B,MATCH($C1663,'Policy Characteristics'!$C:$C,0)))</f>
        <v>Fuel Taxes or Subsidies</v>
      </c>
      <c r="C1663" s="320" t="str">
        <f t="shared" si="66"/>
        <v>Additional Fuel Tax or Subsidy Rate by Fuel</v>
      </c>
      <c r="D1663" s="6" t="s">
        <v>2473</v>
      </c>
      <c r="E1663" s="45" t="s">
        <v>332</v>
      </c>
      <c r="F1663" s="6" t="s">
        <v>2474</v>
      </c>
      <c r="G1663" s="45" t="s">
        <v>4</v>
      </c>
      <c r="H1663" s="43">
        <v>742</v>
      </c>
      <c r="I1663" s="325" t="s">
        <v>43</v>
      </c>
      <c r="J1663" s="255" t="str">
        <f>IF(ISBLANK(INDEX('Policy Characteristics'!D:D,MATCH($C1663,'Policy Characteristics'!$C:$C,0))),"",INDEX('Policy Characteristics'!D:D,MATCH($C1663,'Policy Characteristics'!$C:$C,0)))</f>
        <v>Fuel Taxes or Subsidies</v>
      </c>
      <c r="K1663" s="254" t="str">
        <f>IF(ISBLANK(INDEX('Policy Characteristics'!E:E,MATCH($C1663,'Policy Characteristics'!$C:$C,0))),"",INDEX('Policy Characteristics'!E:E,MATCH($C1663,'Policy Characteristics'!$C:$C,0)))</f>
        <v>cross fuel tax</v>
      </c>
      <c r="L1663" s="261">
        <f>IF(ISBLANK(INDEX('Policy Characteristics'!F:F,MATCH($C1663,'Policy Characteristics'!$C:$C,0))),"",INDEX('Policy Characteristics'!F:F,MATCH($C1663,'Policy Characteristics'!$C:$C,0)))</f>
        <v>-0.9</v>
      </c>
      <c r="M1663" s="261">
        <f>IF(ISBLANK(INDEX('Policy Characteristics'!G:G,MATCH($C1663,'Policy Characteristics'!$C:$C,0))),"",INDEX('Policy Characteristics'!G:G,MATCH($C1663,'Policy Characteristics'!$C:$C,0)))</f>
        <v>0.9</v>
      </c>
      <c r="N1663" s="261">
        <f>IF(ISBLANK(INDEX('Policy Characteristics'!H:H,MATCH($C1663,'Policy Characteristics'!$C:$C,0))),"",INDEX('Policy Characteristics'!H:H,MATCH($C1663,'Policy Characteristics'!$C:$C,0)))</f>
        <v>0.01</v>
      </c>
      <c r="O1663" s="254" t="str">
        <f>IF(ISBLANK(INDEX('Policy Characteristics'!I:I,MATCH($C1663,'Policy Characteristics'!$C:$C,0))),"",INDEX('Policy Characteristics'!I:I,MATCH($C1663,'Policy Characteristics'!$C:$C,0)))</f>
        <v>% of BAU price</v>
      </c>
      <c r="P1663" s="254" t="str">
        <f>IF(ISBLANK(INDEX('Policy Characteristics'!J:J,MATCH($C1663,'Policy Characteristics'!$C:$C,0))),"",INDEX('Policy Characteristics'!J:J,MATCH($C1663,'Policy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3" s="254" t="str">
        <f>IF(ISBLANK(INDEX('Policy Characteristics'!K:K,MATCH($C1663,'Policy Characteristics'!$C:$C,0))),"",INDEX('Policy Characteristics'!K:K,MATCH($C1663,'Policy Characteristics'!$C:$C,0)))</f>
        <v>fuels.html#fuel-taxes</v>
      </c>
      <c r="R1663" s="254" t="str">
        <f>IF(ISBLANK(INDEX('Policy Characteristics'!L:L,MATCH($C1663,'Policy Characteristics'!$C:$C,0))),"",INDEX('Policy Characteristics'!L:L,MATCH($C1663,'Policy Characteristics'!$C:$C,0)))</f>
        <v>fuel-taxes.html</v>
      </c>
    </row>
    <row r="1664" spans="1:18" x14ac:dyDescent="0.3">
      <c r="A1664" s="254" t="str">
        <f>IF(ISBLANK(INDEX('Policy Characteristics'!A:A,MATCH($C1664,'Policy Characteristics'!$C:$C,0))),"",INDEX('Policy Characteristics'!A:A,MATCH($C1664,'Policy Characteristics'!$C:$C,0)))</f>
        <v>Cross-Sector</v>
      </c>
      <c r="B1664" s="262" t="str">
        <f>IF(ISBLANK(INDEX('Policy Characteristics'!B:B,MATCH($C1664,'Policy Characteristics'!$C:$C,0))),"",INDEX('Policy Characteristics'!B:B,MATCH($C1664,'Policy Characteristics'!$C:$C,0)))</f>
        <v>Fuel Taxes or Subsidies</v>
      </c>
      <c r="C1664" s="320" t="str">
        <f t="shared" si="66"/>
        <v>Additional Fuel Tax or Subsidy Rate by Fuel</v>
      </c>
      <c r="D1664" s="6" t="s">
        <v>75</v>
      </c>
      <c r="E1664" s="45" t="s">
        <v>332</v>
      </c>
      <c r="F1664" s="6" t="s">
        <v>99</v>
      </c>
      <c r="G1664" s="45" t="s">
        <v>4</v>
      </c>
      <c r="H1664" s="43">
        <v>743</v>
      </c>
      <c r="I1664" s="325" t="s">
        <v>44</v>
      </c>
      <c r="J1664" s="255" t="str">
        <f>IF(ISBLANK(INDEX('Policy Characteristics'!D:D,MATCH($C1664,'Policy Characteristics'!$C:$C,0))),"",INDEX('Policy Characteristics'!D:D,MATCH($C1664,'Policy Characteristics'!$C:$C,0)))</f>
        <v>Fuel Taxes or Subsidies</v>
      </c>
      <c r="K1664" s="254" t="str">
        <f>IF(ISBLANK(INDEX('Policy Characteristics'!E:E,MATCH($C1664,'Policy Characteristics'!$C:$C,0))),"",INDEX('Policy Characteristics'!E:E,MATCH($C1664,'Policy Characteristics'!$C:$C,0)))</f>
        <v>cross fuel tax</v>
      </c>
      <c r="L1664" s="261">
        <f>IF(ISBLANK(INDEX('Policy Characteristics'!F:F,MATCH($C1664,'Policy Characteristics'!$C:$C,0))),"",INDEX('Policy Characteristics'!F:F,MATCH($C1664,'Policy Characteristics'!$C:$C,0)))</f>
        <v>-0.9</v>
      </c>
      <c r="M1664" s="261">
        <f>IF(ISBLANK(INDEX('Policy Characteristics'!G:G,MATCH($C1664,'Policy Characteristics'!$C:$C,0))),"",INDEX('Policy Characteristics'!G:G,MATCH($C1664,'Policy Characteristics'!$C:$C,0)))</f>
        <v>0.9</v>
      </c>
      <c r="N1664" s="261">
        <f>IF(ISBLANK(INDEX('Policy Characteristics'!H:H,MATCH($C1664,'Policy Characteristics'!$C:$C,0))),"",INDEX('Policy Characteristics'!H:H,MATCH($C1664,'Policy Characteristics'!$C:$C,0)))</f>
        <v>0.01</v>
      </c>
      <c r="O1664" s="254" t="str">
        <f>IF(ISBLANK(INDEX('Policy Characteristics'!I:I,MATCH($C1664,'Policy Characteristics'!$C:$C,0))),"",INDEX('Policy Characteristics'!I:I,MATCH($C1664,'Policy Characteristics'!$C:$C,0)))</f>
        <v>% of BAU price</v>
      </c>
      <c r="P1664" s="254" t="str">
        <f>IF(ISBLANK(INDEX('Policy Characteristics'!J:J,MATCH($C1664,'Policy Characteristics'!$C:$C,0))),"",INDEX('Policy Characteristics'!J:J,MATCH($C1664,'Policy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4" s="254" t="str">
        <f>IF(ISBLANK(INDEX('Policy Characteristics'!K:K,MATCH($C1664,'Policy Characteristics'!$C:$C,0))),"",INDEX('Policy Characteristics'!K:K,MATCH($C1664,'Policy Characteristics'!$C:$C,0)))</f>
        <v>fuels.html#fuel-taxes</v>
      </c>
      <c r="R1664" s="254" t="str">
        <f>IF(ISBLANK(INDEX('Policy Characteristics'!L:L,MATCH($C1664,'Policy Characteristics'!$C:$C,0))),"",INDEX('Policy Characteristics'!L:L,MATCH($C1664,'Policy Characteristics'!$C:$C,0)))</f>
        <v>fuel-taxes.html</v>
      </c>
    </row>
    <row r="1665" spans="1:18" x14ac:dyDescent="0.3">
      <c r="A1665" s="254" t="str">
        <f>IF(ISBLANK(INDEX('Policy Characteristics'!A:A,MATCH($C1665,'Policy Characteristics'!$C:$C,0))),"",INDEX('Policy Characteristics'!A:A,MATCH($C1665,'Policy Characteristics'!$C:$C,0)))</f>
        <v>Cross-Sector</v>
      </c>
      <c r="B1665" s="262" t="str">
        <f>IF(ISBLANK(INDEX('Policy Characteristics'!B:B,MATCH($C1665,'Policy Characteristics'!$C:$C,0))),"",INDEX('Policy Characteristics'!B:B,MATCH($C1665,'Policy Characteristics'!$C:$C,0)))</f>
        <v>Fuel Taxes or Subsidies</v>
      </c>
      <c r="C1665" s="320" t="str">
        <f t="shared" si="66"/>
        <v>Additional Fuel Tax or Subsidy Rate by Fuel</v>
      </c>
      <c r="D1665" s="6" t="s">
        <v>442</v>
      </c>
      <c r="E1665" s="45" t="s">
        <v>332</v>
      </c>
      <c r="F1665" s="6" t="s">
        <v>443</v>
      </c>
      <c r="G1665" s="45" t="s">
        <v>4</v>
      </c>
      <c r="H1665" s="43">
        <v>744</v>
      </c>
      <c r="I1665" s="325" t="s">
        <v>44</v>
      </c>
      <c r="J1665" s="255" t="str">
        <f>IF(ISBLANK(INDEX('Policy Characteristics'!D:D,MATCH($C1665,'Policy Characteristics'!$C:$C,0))),"",INDEX('Policy Characteristics'!D:D,MATCH($C1665,'Policy Characteristics'!$C:$C,0)))</f>
        <v>Fuel Taxes or Subsidies</v>
      </c>
      <c r="K1665" s="254" t="str">
        <f>IF(ISBLANK(INDEX('Policy Characteristics'!E:E,MATCH($C1665,'Policy Characteristics'!$C:$C,0))),"",INDEX('Policy Characteristics'!E:E,MATCH($C1665,'Policy Characteristics'!$C:$C,0)))</f>
        <v>cross fuel tax</v>
      </c>
      <c r="L1665" s="261">
        <f>IF(ISBLANK(INDEX('Policy Characteristics'!F:F,MATCH($C1665,'Policy Characteristics'!$C:$C,0))),"",INDEX('Policy Characteristics'!F:F,MATCH($C1665,'Policy Characteristics'!$C:$C,0)))</f>
        <v>-0.9</v>
      </c>
      <c r="M1665" s="261">
        <f>IF(ISBLANK(INDEX('Policy Characteristics'!G:G,MATCH($C1665,'Policy Characteristics'!$C:$C,0))),"",INDEX('Policy Characteristics'!G:G,MATCH($C1665,'Policy Characteristics'!$C:$C,0)))</f>
        <v>0.9</v>
      </c>
      <c r="N1665" s="261">
        <f>IF(ISBLANK(INDEX('Policy Characteristics'!H:H,MATCH($C1665,'Policy Characteristics'!$C:$C,0))),"",INDEX('Policy Characteristics'!H:H,MATCH($C1665,'Policy Characteristics'!$C:$C,0)))</f>
        <v>0.01</v>
      </c>
      <c r="O1665" s="254" t="str">
        <f>IF(ISBLANK(INDEX('Policy Characteristics'!I:I,MATCH($C1665,'Policy Characteristics'!$C:$C,0))),"",INDEX('Policy Characteristics'!I:I,MATCH($C1665,'Policy Characteristics'!$C:$C,0)))</f>
        <v>% of BAU price</v>
      </c>
      <c r="P1665" s="254" t="str">
        <f>IF(ISBLANK(INDEX('Policy Characteristics'!J:J,MATCH($C1665,'Policy Characteristics'!$C:$C,0))),"",INDEX('Policy Characteristics'!J:J,MATCH($C1665,'Policy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5" s="254" t="str">
        <f>IF(ISBLANK(INDEX('Policy Characteristics'!K:K,MATCH($C1665,'Policy Characteristics'!$C:$C,0))),"",INDEX('Policy Characteristics'!K:K,MATCH($C1665,'Policy Characteristics'!$C:$C,0)))</f>
        <v>fuels.html#fuel-taxes</v>
      </c>
      <c r="R1665" s="254" t="str">
        <f>IF(ISBLANK(INDEX('Policy Characteristics'!L:L,MATCH($C1665,'Policy Characteristics'!$C:$C,0))),"",INDEX('Policy Characteristics'!L:L,MATCH($C1665,'Policy Characteristics'!$C:$C,0)))</f>
        <v>fuel-taxes.html</v>
      </c>
    </row>
    <row r="1666" spans="1:18" x14ac:dyDescent="0.3">
      <c r="A1666" s="254" t="str">
        <f>IF(ISBLANK(INDEX('Policy Characteristics'!A:A,MATCH($C1666,'Policy Characteristics'!$C:$C,0))),"",INDEX('Policy Characteristics'!A:A,MATCH($C1666,'Policy Characteristics'!$C:$C,0)))</f>
        <v>Cross-Sector</v>
      </c>
      <c r="B1666" s="262" t="str">
        <f>IF(ISBLANK(INDEX('Policy Characteristics'!B:B,MATCH($C1666,'Policy Characteristics'!$C:$C,0))),"",INDEX('Policy Characteristics'!B:B,MATCH($C1666,'Policy Characteristics'!$C:$C,0)))</f>
        <v>Fuel Taxes or Subsidies</v>
      </c>
      <c r="C1666" s="320" t="str">
        <f t="shared" si="66"/>
        <v>Additional Fuel Tax or Subsidy Rate by Fuel</v>
      </c>
      <c r="D1666" s="6" t="s">
        <v>2465</v>
      </c>
      <c r="E1666" s="45" t="s">
        <v>332</v>
      </c>
      <c r="F1666" s="6" t="s">
        <v>2469</v>
      </c>
      <c r="G1666" s="45" t="s">
        <v>4</v>
      </c>
      <c r="H1666" s="43">
        <v>745</v>
      </c>
      <c r="I1666" s="325" t="s">
        <v>44</v>
      </c>
      <c r="J1666" s="255" t="str">
        <f>IF(ISBLANK(INDEX('Policy Characteristics'!D:D,MATCH($C1666,'Policy Characteristics'!$C:$C,0))),"",INDEX('Policy Characteristics'!D:D,MATCH($C1666,'Policy Characteristics'!$C:$C,0)))</f>
        <v>Fuel Taxes or Subsidies</v>
      </c>
      <c r="K1666" s="254" t="str">
        <f>IF(ISBLANK(INDEX('Policy Characteristics'!E:E,MATCH($C1666,'Policy Characteristics'!$C:$C,0))),"",INDEX('Policy Characteristics'!E:E,MATCH($C1666,'Policy Characteristics'!$C:$C,0)))</f>
        <v>cross fuel tax</v>
      </c>
      <c r="L1666" s="261">
        <f>IF(ISBLANK(INDEX('Policy Characteristics'!F:F,MATCH($C1666,'Policy Characteristics'!$C:$C,0))),"",INDEX('Policy Characteristics'!F:F,MATCH($C1666,'Policy Characteristics'!$C:$C,0)))</f>
        <v>-0.9</v>
      </c>
      <c r="M1666" s="261">
        <f>IF(ISBLANK(INDEX('Policy Characteristics'!G:G,MATCH($C1666,'Policy Characteristics'!$C:$C,0))),"",INDEX('Policy Characteristics'!G:G,MATCH($C1666,'Policy Characteristics'!$C:$C,0)))</f>
        <v>0.9</v>
      </c>
      <c r="N1666" s="261">
        <f>IF(ISBLANK(INDEX('Policy Characteristics'!H:H,MATCH($C1666,'Policy Characteristics'!$C:$C,0))),"",INDEX('Policy Characteristics'!H:H,MATCH($C1666,'Policy Characteristics'!$C:$C,0)))</f>
        <v>0.01</v>
      </c>
      <c r="O1666" s="254" t="str">
        <f>IF(ISBLANK(INDEX('Policy Characteristics'!I:I,MATCH($C1666,'Policy Characteristics'!$C:$C,0))),"",INDEX('Policy Characteristics'!I:I,MATCH($C1666,'Policy Characteristics'!$C:$C,0)))</f>
        <v>% of BAU price</v>
      </c>
      <c r="P1666" s="254" t="str">
        <f>IF(ISBLANK(INDEX('Policy Characteristics'!J:J,MATCH($C1666,'Policy Characteristics'!$C:$C,0))),"",INDEX('Policy Characteristics'!J:J,MATCH($C1666,'Policy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6" s="254" t="str">
        <f>IF(ISBLANK(INDEX('Policy Characteristics'!K:K,MATCH($C1666,'Policy Characteristics'!$C:$C,0))),"",INDEX('Policy Characteristics'!K:K,MATCH($C1666,'Policy Characteristics'!$C:$C,0)))</f>
        <v>fuels.html#fuel-taxes</v>
      </c>
      <c r="R1666" s="254" t="str">
        <f>IF(ISBLANK(INDEX('Policy Characteristics'!L:L,MATCH($C1666,'Policy Characteristics'!$C:$C,0))),"",INDEX('Policy Characteristics'!L:L,MATCH($C1666,'Policy Characteristics'!$C:$C,0)))</f>
        <v>fuel-taxes.html</v>
      </c>
    </row>
    <row r="1667" spans="1:18" x14ac:dyDescent="0.3">
      <c r="A1667" s="254" t="str">
        <f>IF(ISBLANK(INDEX('Policy Characteristics'!A:A,MATCH($C1667,'Policy Characteristics'!$C:$C,0))),"",INDEX('Policy Characteristics'!A:A,MATCH($C1667,'Policy Characteristics'!$C:$C,0)))</f>
        <v>Cross-Sector</v>
      </c>
      <c r="B1667" s="262" t="str">
        <f>IF(ISBLANK(INDEX('Policy Characteristics'!B:B,MATCH($C1667,'Policy Characteristics'!$C:$C,0))),"",INDEX('Policy Characteristics'!B:B,MATCH($C1667,'Policy Characteristics'!$C:$C,0)))</f>
        <v>Fuel Taxes or Subsidies</v>
      </c>
      <c r="C1667" s="320" t="str">
        <f t="shared" si="66"/>
        <v>Additional Fuel Tax or Subsidy Rate by Fuel</v>
      </c>
      <c r="D1667" s="6" t="s">
        <v>2475</v>
      </c>
      <c r="E1667" s="45" t="s">
        <v>332</v>
      </c>
      <c r="F1667" s="6" t="s">
        <v>2476</v>
      </c>
      <c r="G1667" s="45" t="s">
        <v>4</v>
      </c>
      <c r="H1667" s="43">
        <v>746</v>
      </c>
      <c r="I1667" s="325" t="s">
        <v>44</v>
      </c>
      <c r="J1667" s="255" t="str">
        <f>IF(ISBLANK(INDEX('Policy Characteristics'!D:D,MATCH($C1667,'Policy Characteristics'!$C:$C,0))),"",INDEX('Policy Characteristics'!D:D,MATCH($C1667,'Policy Characteristics'!$C:$C,0)))</f>
        <v>Fuel Taxes or Subsidies</v>
      </c>
      <c r="K1667" s="254" t="str">
        <f>IF(ISBLANK(INDEX('Policy Characteristics'!E:E,MATCH($C1667,'Policy Characteristics'!$C:$C,0))),"",INDEX('Policy Characteristics'!E:E,MATCH($C1667,'Policy Characteristics'!$C:$C,0)))</f>
        <v>cross fuel tax</v>
      </c>
      <c r="L1667" s="261">
        <f>IF(ISBLANK(INDEX('Policy Characteristics'!F:F,MATCH($C1667,'Policy Characteristics'!$C:$C,0))),"",INDEX('Policy Characteristics'!F:F,MATCH($C1667,'Policy Characteristics'!$C:$C,0)))</f>
        <v>-0.9</v>
      </c>
      <c r="M1667" s="261">
        <f>IF(ISBLANK(INDEX('Policy Characteristics'!G:G,MATCH($C1667,'Policy Characteristics'!$C:$C,0))),"",INDEX('Policy Characteristics'!G:G,MATCH($C1667,'Policy Characteristics'!$C:$C,0)))</f>
        <v>0.9</v>
      </c>
      <c r="N1667" s="261">
        <f>IF(ISBLANK(INDEX('Policy Characteristics'!H:H,MATCH($C1667,'Policy Characteristics'!$C:$C,0))),"",INDEX('Policy Characteristics'!H:H,MATCH($C1667,'Policy Characteristics'!$C:$C,0)))</f>
        <v>0.01</v>
      </c>
      <c r="O1667" s="254" t="str">
        <f>IF(ISBLANK(INDEX('Policy Characteristics'!I:I,MATCH($C1667,'Policy Characteristics'!$C:$C,0))),"",INDEX('Policy Characteristics'!I:I,MATCH($C1667,'Policy Characteristics'!$C:$C,0)))</f>
        <v>% of BAU price</v>
      </c>
      <c r="P1667" s="254" t="str">
        <f>IF(ISBLANK(INDEX('Policy Characteristics'!J:J,MATCH($C1667,'Policy Characteristics'!$C:$C,0))),"",INDEX('Policy Characteristics'!J:J,MATCH($C1667,'Policy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7" s="254" t="str">
        <f>IF(ISBLANK(INDEX('Policy Characteristics'!K:K,MATCH($C1667,'Policy Characteristics'!$C:$C,0))),"",INDEX('Policy Characteristics'!K:K,MATCH($C1667,'Policy Characteristics'!$C:$C,0)))</f>
        <v>fuels.html#fuel-taxes</v>
      </c>
      <c r="R1667" s="254" t="str">
        <f>IF(ISBLANK(INDEX('Policy Characteristics'!L:L,MATCH($C1667,'Policy Characteristics'!$C:$C,0))),"",INDEX('Policy Characteristics'!L:L,MATCH($C1667,'Policy Characteristics'!$C:$C,0)))</f>
        <v>fuel-taxes.html</v>
      </c>
    </row>
    <row r="1668" spans="1:18" x14ac:dyDescent="0.3">
      <c r="A1668" s="254" t="str">
        <f>IF(ISBLANK(INDEX('Policy Characteristics'!A:A,MATCH($C1668,'Policy Characteristics'!$C:$C,0))),"",INDEX('Policy Characteristics'!A:A,MATCH($C1668,'Policy Characteristics'!$C:$C,0)))</f>
        <v>Cross-Sector</v>
      </c>
      <c r="B1668" s="262" t="str">
        <f>IF(ISBLANK(INDEX('Policy Characteristics'!B:B,MATCH($C1668,'Policy Characteristics'!$C:$C,0))),"",INDEX('Policy Characteristics'!B:B,MATCH($C1668,'Policy Characteristics'!$C:$C,0)))</f>
        <v>Fuel Taxes or Subsidies</v>
      </c>
      <c r="C1668" s="320" t="str">
        <f t="shared" si="66"/>
        <v>Additional Fuel Tax or Subsidy Rate by Fuel</v>
      </c>
      <c r="D1668" s="6" t="s">
        <v>2466</v>
      </c>
      <c r="E1668" s="45" t="s">
        <v>332</v>
      </c>
      <c r="F1668" s="6" t="s">
        <v>2470</v>
      </c>
      <c r="G1668" s="45" t="s">
        <v>4</v>
      </c>
      <c r="H1668" s="43">
        <v>747</v>
      </c>
      <c r="I1668" s="325" t="s">
        <v>44</v>
      </c>
      <c r="J1668" s="255" t="str">
        <f>IF(ISBLANK(INDEX('Policy Characteristics'!D:D,MATCH($C1668,'Policy Characteristics'!$C:$C,0))),"",INDEX('Policy Characteristics'!D:D,MATCH($C1668,'Policy Characteristics'!$C:$C,0)))</f>
        <v>Fuel Taxes or Subsidies</v>
      </c>
      <c r="K1668" s="254" t="str">
        <f>IF(ISBLANK(INDEX('Policy Characteristics'!E:E,MATCH($C1668,'Policy Characteristics'!$C:$C,0))),"",INDEX('Policy Characteristics'!E:E,MATCH($C1668,'Policy Characteristics'!$C:$C,0)))</f>
        <v>cross fuel tax</v>
      </c>
      <c r="L1668" s="261">
        <f>IF(ISBLANK(INDEX('Policy Characteristics'!F:F,MATCH($C1668,'Policy Characteristics'!$C:$C,0))),"",INDEX('Policy Characteristics'!F:F,MATCH($C1668,'Policy Characteristics'!$C:$C,0)))</f>
        <v>-0.9</v>
      </c>
      <c r="M1668" s="261">
        <f>IF(ISBLANK(INDEX('Policy Characteristics'!G:G,MATCH($C1668,'Policy Characteristics'!$C:$C,0))),"",INDEX('Policy Characteristics'!G:G,MATCH($C1668,'Policy Characteristics'!$C:$C,0)))</f>
        <v>0.9</v>
      </c>
      <c r="N1668" s="261">
        <f>IF(ISBLANK(INDEX('Policy Characteristics'!H:H,MATCH($C1668,'Policy Characteristics'!$C:$C,0))),"",INDEX('Policy Characteristics'!H:H,MATCH($C1668,'Policy Characteristics'!$C:$C,0)))</f>
        <v>0.01</v>
      </c>
      <c r="O1668" s="254" t="str">
        <f>IF(ISBLANK(INDEX('Policy Characteristics'!I:I,MATCH($C1668,'Policy Characteristics'!$C:$C,0))),"",INDEX('Policy Characteristics'!I:I,MATCH($C1668,'Policy Characteristics'!$C:$C,0)))</f>
        <v>% of BAU price</v>
      </c>
      <c r="P1668" s="254" t="str">
        <f>IF(ISBLANK(INDEX('Policy Characteristics'!J:J,MATCH($C1668,'Policy Characteristics'!$C:$C,0))),"",INDEX('Policy Characteristics'!J:J,MATCH($C1668,'Policy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8" s="254" t="str">
        <f>IF(ISBLANK(INDEX('Policy Characteristics'!K:K,MATCH($C1668,'Policy Characteristics'!$C:$C,0))),"",INDEX('Policy Characteristics'!K:K,MATCH($C1668,'Policy Characteristics'!$C:$C,0)))</f>
        <v>fuels.html#fuel-taxes</v>
      </c>
      <c r="R1668" s="254" t="str">
        <f>IF(ISBLANK(INDEX('Policy Characteristics'!L:L,MATCH($C1668,'Policy Characteristics'!$C:$C,0))),"",INDEX('Policy Characteristics'!L:L,MATCH($C1668,'Policy Characteristics'!$C:$C,0)))</f>
        <v>fuel-taxes.html</v>
      </c>
    </row>
    <row r="1669" spans="1:18" x14ac:dyDescent="0.3">
      <c r="A1669" s="254" t="str">
        <f>IF(ISBLANK(INDEX('Policy Characteristics'!A:A,MATCH($C1669,'Policy Characteristics'!$C:$C,0))),"",INDEX('Policy Characteristics'!A:A,MATCH($C1669,'Policy Characteristics'!$C:$C,0)))</f>
        <v>Cross-Sector</v>
      </c>
      <c r="B1669" s="262" t="str">
        <f>IF(ISBLANK(INDEX('Policy Characteristics'!B:B,MATCH($C1669,'Policy Characteristics'!$C:$C,0))),"",INDEX('Policy Characteristics'!B:B,MATCH($C1669,'Policy Characteristics'!$C:$C,0)))</f>
        <v>Fuel Taxes or Subsidies</v>
      </c>
      <c r="C1669" s="320" t="str">
        <f t="shared" si="66"/>
        <v>Additional Fuel Tax or Subsidy Rate by Fuel</v>
      </c>
      <c r="D1669" s="6" t="s">
        <v>2467</v>
      </c>
      <c r="E1669" s="45" t="s">
        <v>332</v>
      </c>
      <c r="F1669" s="6" t="s">
        <v>2471</v>
      </c>
      <c r="G1669" s="45" t="s">
        <v>4</v>
      </c>
      <c r="H1669" s="43">
        <v>748</v>
      </c>
      <c r="I1669" s="325" t="s">
        <v>44</v>
      </c>
      <c r="J1669" s="255" t="str">
        <f>IF(ISBLANK(INDEX('Policy Characteristics'!D:D,MATCH($C1669,'Policy Characteristics'!$C:$C,0))),"",INDEX('Policy Characteristics'!D:D,MATCH($C1669,'Policy Characteristics'!$C:$C,0)))</f>
        <v>Fuel Taxes or Subsidies</v>
      </c>
      <c r="K1669" s="254" t="str">
        <f>IF(ISBLANK(INDEX('Policy Characteristics'!E:E,MATCH($C1669,'Policy Characteristics'!$C:$C,0))),"",INDEX('Policy Characteristics'!E:E,MATCH($C1669,'Policy Characteristics'!$C:$C,0)))</f>
        <v>cross fuel tax</v>
      </c>
      <c r="L1669" s="261">
        <f>IF(ISBLANK(INDEX('Policy Characteristics'!F:F,MATCH($C1669,'Policy Characteristics'!$C:$C,0))),"",INDEX('Policy Characteristics'!F:F,MATCH($C1669,'Policy Characteristics'!$C:$C,0)))</f>
        <v>-0.9</v>
      </c>
      <c r="M1669" s="261">
        <f>IF(ISBLANK(INDEX('Policy Characteristics'!G:G,MATCH($C1669,'Policy Characteristics'!$C:$C,0))),"",INDEX('Policy Characteristics'!G:G,MATCH($C1669,'Policy Characteristics'!$C:$C,0)))</f>
        <v>0.9</v>
      </c>
      <c r="N1669" s="261">
        <f>IF(ISBLANK(INDEX('Policy Characteristics'!H:H,MATCH($C1669,'Policy Characteristics'!$C:$C,0))),"",INDEX('Policy Characteristics'!H:H,MATCH($C1669,'Policy Characteristics'!$C:$C,0)))</f>
        <v>0.01</v>
      </c>
      <c r="O1669" s="254" t="str">
        <f>IF(ISBLANK(INDEX('Policy Characteristics'!I:I,MATCH($C1669,'Policy Characteristics'!$C:$C,0))),"",INDEX('Policy Characteristics'!I:I,MATCH($C1669,'Policy Characteristics'!$C:$C,0)))</f>
        <v>% of BAU price</v>
      </c>
      <c r="P1669" s="254" t="str">
        <f>IF(ISBLANK(INDEX('Policy Characteristics'!J:J,MATCH($C1669,'Policy Characteristics'!$C:$C,0))),"",INDEX('Policy Characteristics'!J:J,MATCH($C1669,'Policy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69" s="254" t="str">
        <f>IF(ISBLANK(INDEX('Policy Characteristics'!K:K,MATCH($C1669,'Policy Characteristics'!$C:$C,0))),"",INDEX('Policy Characteristics'!K:K,MATCH($C1669,'Policy Characteristics'!$C:$C,0)))</f>
        <v>fuels.html#fuel-taxes</v>
      </c>
      <c r="R1669" s="254" t="str">
        <f>IF(ISBLANK(INDEX('Policy Characteristics'!L:L,MATCH($C1669,'Policy Characteristics'!$C:$C,0))),"",INDEX('Policy Characteristics'!L:L,MATCH($C1669,'Policy Characteristics'!$C:$C,0)))</f>
        <v>fuel-taxes.html</v>
      </c>
    </row>
    <row r="1670" spans="1:18" x14ac:dyDescent="0.3">
      <c r="A1670" s="254" t="str">
        <f>IF(ISBLANK(INDEX('Policy Characteristics'!A:A,MATCH($C1670,'Policy Characteristics'!$C:$C,0))),"",INDEX('Policy Characteristics'!A:A,MATCH($C1670,'Policy Characteristics'!$C:$C,0)))</f>
        <v>Cross-Sector</v>
      </c>
      <c r="B1670" s="262" t="str">
        <f>IF(ISBLANK(INDEX('Policy Characteristics'!B:B,MATCH($C1670,'Policy Characteristics'!$C:$C,0))),"",INDEX('Policy Characteristics'!B:B,MATCH($C1670,'Policy Characteristics'!$C:$C,0)))</f>
        <v>Fuel Taxes or Subsidies</v>
      </c>
      <c r="C1670" s="320" t="str">
        <f t="shared" si="66"/>
        <v>Additional Fuel Tax or Subsidy Rate by Fuel</v>
      </c>
      <c r="D1670" s="6" t="s">
        <v>2468</v>
      </c>
      <c r="E1670" s="45" t="s">
        <v>332</v>
      </c>
      <c r="F1670" s="6" t="s">
        <v>2472</v>
      </c>
      <c r="G1670" s="45" t="s">
        <v>4</v>
      </c>
      <c r="H1670" s="43">
        <v>749</v>
      </c>
      <c r="I1670" s="325" t="s">
        <v>43</v>
      </c>
      <c r="J1670" s="255" t="str">
        <f>IF(ISBLANK(INDEX('Policy Characteristics'!D:D,MATCH($C1670,'Policy Characteristics'!$C:$C,0))),"",INDEX('Policy Characteristics'!D:D,MATCH($C1670,'Policy Characteristics'!$C:$C,0)))</f>
        <v>Fuel Taxes or Subsidies</v>
      </c>
      <c r="K1670" s="254" t="str">
        <f>IF(ISBLANK(INDEX('Policy Characteristics'!E:E,MATCH($C1670,'Policy Characteristics'!$C:$C,0))),"",INDEX('Policy Characteristics'!E:E,MATCH($C1670,'Policy Characteristics'!$C:$C,0)))</f>
        <v>cross fuel tax</v>
      </c>
      <c r="L1670" s="261">
        <f>IF(ISBLANK(INDEX('Policy Characteristics'!F:F,MATCH($C1670,'Policy Characteristics'!$C:$C,0))),"",INDEX('Policy Characteristics'!F:F,MATCH($C1670,'Policy Characteristics'!$C:$C,0)))</f>
        <v>-0.9</v>
      </c>
      <c r="M1670" s="261">
        <f>IF(ISBLANK(INDEX('Policy Characteristics'!G:G,MATCH($C1670,'Policy Characteristics'!$C:$C,0))),"",INDEX('Policy Characteristics'!G:G,MATCH($C1670,'Policy Characteristics'!$C:$C,0)))</f>
        <v>0.9</v>
      </c>
      <c r="N1670" s="261">
        <f>IF(ISBLANK(INDEX('Policy Characteristics'!H:H,MATCH($C1670,'Policy Characteristics'!$C:$C,0))),"",INDEX('Policy Characteristics'!H:H,MATCH($C1670,'Policy Characteristics'!$C:$C,0)))</f>
        <v>0.01</v>
      </c>
      <c r="O1670" s="254" t="str">
        <f>IF(ISBLANK(INDEX('Policy Characteristics'!I:I,MATCH($C1670,'Policy Characteristics'!$C:$C,0))),"",INDEX('Policy Characteristics'!I:I,MATCH($C1670,'Policy Characteristics'!$C:$C,0)))</f>
        <v>% of BAU price</v>
      </c>
      <c r="P1670" s="254" t="str">
        <f>IF(ISBLANK(INDEX('Policy Characteristics'!J:J,MATCH($C1670,'Policy Characteristics'!$C:$C,0))),"",INDEX('Policy Characteristics'!J:J,MATCH($C1670,'Policy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0" s="254" t="str">
        <f>IF(ISBLANK(INDEX('Policy Characteristics'!K:K,MATCH($C1670,'Policy Characteristics'!$C:$C,0))),"",INDEX('Policy Characteristics'!K:K,MATCH($C1670,'Policy Characteristics'!$C:$C,0)))</f>
        <v>fuels.html#fuel-taxes</v>
      </c>
      <c r="R1670" s="254" t="str">
        <f>IF(ISBLANK(INDEX('Policy Characteristics'!L:L,MATCH($C1670,'Policy Characteristics'!$C:$C,0))),"",INDEX('Policy Characteristics'!L:L,MATCH($C1670,'Policy Characteristics'!$C:$C,0)))</f>
        <v>fuel-taxes.html</v>
      </c>
    </row>
    <row r="1671" spans="1:18" s="4" customFormat="1" x14ac:dyDescent="0.3">
      <c r="A1671" s="254" t="str">
        <f>IF(ISBLANK(INDEX('Policy Characteristics'!A:A,MATCH($C1671,'Policy Characteristics'!$C:$C,0))),"",INDEX('Policy Characteristics'!A:A,MATCH($C1671,'Policy Characteristics'!$C:$C,0)))</f>
        <v>Cross-Sector</v>
      </c>
      <c r="B1671" s="262" t="str">
        <f>IF(ISBLANK(INDEX('Policy Characteristics'!B:B,MATCH($C1671,'Policy Characteristics'!$C:$C,0))),"",INDEX('Policy Characteristics'!B:B,MATCH($C1671,'Policy Characteristics'!$C:$C,0)))</f>
        <v>Fuel Taxes or Subsidies</v>
      </c>
      <c r="C1671" s="320" t="str">
        <f t="shared" si="66"/>
        <v>Additional Fuel Tax or Subsidy Rate by Fuel</v>
      </c>
      <c r="D1671" s="45" t="s">
        <v>52</v>
      </c>
      <c r="E1671" s="45" t="s">
        <v>340</v>
      </c>
      <c r="F1671" s="45" t="s">
        <v>93</v>
      </c>
      <c r="G1671" s="45" t="s">
        <v>93</v>
      </c>
      <c r="H1671" s="43">
        <v>2314</v>
      </c>
      <c r="I1671" s="324" t="s">
        <v>44</v>
      </c>
      <c r="J1671" s="255" t="str">
        <f>IF(ISBLANK(INDEX('Policy Characteristics'!D:D,MATCH($C1671,'Policy Characteristics'!$C:$C,0))),"",INDEX('Policy Characteristics'!D:D,MATCH($C1671,'Policy Characteristics'!$C:$C,0)))</f>
        <v>Fuel Taxes or Subsidies</v>
      </c>
      <c r="K1671" s="254" t="str">
        <f>IF(ISBLANK(INDEX('Policy Characteristics'!E:E,MATCH($C1671,'Policy Characteristics'!$C:$C,0))),"",INDEX('Policy Characteristics'!E:E,MATCH($C1671,'Policy Characteristics'!$C:$C,0)))</f>
        <v>cross fuel tax</v>
      </c>
      <c r="L1671" s="261">
        <f>IF(ISBLANK(INDEX('Policy Characteristics'!F:F,MATCH($C1671,'Policy Characteristics'!$C:$C,0))),"",INDEX('Policy Characteristics'!F:F,MATCH($C1671,'Policy Characteristics'!$C:$C,0)))</f>
        <v>-0.9</v>
      </c>
      <c r="M1671" s="261">
        <f>IF(ISBLANK(INDEX('Policy Characteristics'!G:G,MATCH($C1671,'Policy Characteristics'!$C:$C,0))),"",INDEX('Policy Characteristics'!G:G,MATCH($C1671,'Policy Characteristics'!$C:$C,0)))</f>
        <v>0.9</v>
      </c>
      <c r="N1671" s="261">
        <f>IF(ISBLANK(INDEX('Policy Characteristics'!H:H,MATCH($C1671,'Policy Characteristics'!$C:$C,0))),"",INDEX('Policy Characteristics'!H:H,MATCH($C1671,'Policy Characteristics'!$C:$C,0)))</f>
        <v>0.01</v>
      </c>
      <c r="O1671" s="254" t="str">
        <f>IF(ISBLANK(INDEX('Policy Characteristics'!I:I,MATCH($C1671,'Policy Characteristics'!$C:$C,0))),"",INDEX('Policy Characteristics'!I:I,MATCH($C1671,'Policy Characteristics'!$C:$C,0)))</f>
        <v>% of BAU price</v>
      </c>
      <c r="P1671" s="254" t="str">
        <f>IF(ISBLANK(INDEX('Policy Characteristics'!J:J,MATCH($C1671,'Policy Characteristics'!$C:$C,0))),"",INDEX('Policy Characteristics'!J:J,MATCH($C1671,'Policy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1" s="254" t="str">
        <f>IF(ISBLANK(INDEX('Policy Characteristics'!K:K,MATCH($C1671,'Policy Characteristics'!$C:$C,0))),"",INDEX('Policy Characteristics'!K:K,MATCH($C1671,'Policy Characteristics'!$C:$C,0)))</f>
        <v>fuels.html#fuel-taxes</v>
      </c>
      <c r="R1671" s="254" t="str">
        <f>IF(ISBLANK(INDEX('Policy Characteristics'!L:L,MATCH($C1671,'Policy Characteristics'!$C:$C,0))),"",INDEX('Policy Characteristics'!L:L,MATCH($C1671,'Policy Characteristics'!$C:$C,0)))</f>
        <v>fuel-taxes.html</v>
      </c>
    </row>
    <row r="1672" spans="1:18" s="4" customFormat="1" x14ac:dyDescent="0.3">
      <c r="A1672" s="254" t="str">
        <f>IF(ISBLANK(INDEX('Policy Characteristics'!A:A,MATCH($C1672,'Policy Characteristics'!$C:$C,0))),"",INDEX('Policy Characteristics'!A:A,MATCH($C1672,'Policy Characteristics'!$C:$C,0)))</f>
        <v>Cross-Sector</v>
      </c>
      <c r="B1672" s="262" t="str">
        <f>IF(ISBLANK(INDEX('Policy Characteristics'!B:B,MATCH($C1672,'Policy Characteristics'!$C:$C,0))),"",INDEX('Policy Characteristics'!B:B,MATCH($C1672,'Policy Characteristics'!$C:$C,0)))</f>
        <v>Fuel Taxes or Subsidies</v>
      </c>
      <c r="C1672" s="320" t="str">
        <f t="shared" si="66"/>
        <v>Additional Fuel Tax or Subsidy Rate by Fuel</v>
      </c>
      <c r="D1672" s="6" t="s">
        <v>449</v>
      </c>
      <c r="E1672" s="45" t="s">
        <v>340</v>
      </c>
      <c r="F1672" s="6" t="s">
        <v>446</v>
      </c>
      <c r="G1672" s="45" t="s">
        <v>93</v>
      </c>
      <c r="H1672" s="43">
        <v>2315</v>
      </c>
      <c r="I1672" s="325" t="s">
        <v>43</v>
      </c>
      <c r="J1672" s="255" t="str">
        <f>IF(ISBLANK(INDEX('Policy Characteristics'!D:D,MATCH($C1672,'Policy Characteristics'!$C:$C,0))),"",INDEX('Policy Characteristics'!D:D,MATCH($C1672,'Policy Characteristics'!$C:$C,0)))</f>
        <v>Fuel Taxes or Subsidies</v>
      </c>
      <c r="K1672" s="254" t="str">
        <f>IF(ISBLANK(INDEX('Policy Characteristics'!E:E,MATCH($C1672,'Policy Characteristics'!$C:$C,0))),"",INDEX('Policy Characteristics'!E:E,MATCH($C1672,'Policy Characteristics'!$C:$C,0)))</f>
        <v>cross fuel tax</v>
      </c>
      <c r="L1672" s="261">
        <f>IF(ISBLANK(INDEX('Policy Characteristics'!F:F,MATCH($C1672,'Policy Characteristics'!$C:$C,0))),"",INDEX('Policy Characteristics'!F:F,MATCH($C1672,'Policy Characteristics'!$C:$C,0)))</f>
        <v>-0.9</v>
      </c>
      <c r="M1672" s="261">
        <f>IF(ISBLANK(INDEX('Policy Characteristics'!G:G,MATCH($C1672,'Policy Characteristics'!$C:$C,0))),"",INDEX('Policy Characteristics'!G:G,MATCH($C1672,'Policy Characteristics'!$C:$C,0)))</f>
        <v>0.9</v>
      </c>
      <c r="N1672" s="261">
        <f>IF(ISBLANK(INDEX('Policy Characteristics'!H:H,MATCH($C1672,'Policy Characteristics'!$C:$C,0))),"",INDEX('Policy Characteristics'!H:H,MATCH($C1672,'Policy Characteristics'!$C:$C,0)))</f>
        <v>0.01</v>
      </c>
      <c r="O1672" s="254" t="str">
        <f>IF(ISBLANK(INDEX('Policy Characteristics'!I:I,MATCH($C1672,'Policy Characteristics'!$C:$C,0))),"",INDEX('Policy Characteristics'!I:I,MATCH($C1672,'Policy Characteristics'!$C:$C,0)))</f>
        <v>% of BAU price</v>
      </c>
      <c r="P1672" s="254" t="str">
        <f>IF(ISBLANK(INDEX('Policy Characteristics'!J:J,MATCH($C1672,'Policy Characteristics'!$C:$C,0))),"",INDEX('Policy Characteristics'!J:J,MATCH($C1672,'Policy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2" s="254" t="str">
        <f>IF(ISBLANK(INDEX('Policy Characteristics'!K:K,MATCH($C1672,'Policy Characteristics'!$C:$C,0))),"",INDEX('Policy Characteristics'!K:K,MATCH($C1672,'Policy Characteristics'!$C:$C,0)))</f>
        <v>fuels.html#fuel-taxes</v>
      </c>
      <c r="R1672" s="254" t="str">
        <f>IF(ISBLANK(INDEX('Policy Characteristics'!L:L,MATCH($C1672,'Policy Characteristics'!$C:$C,0))),"",INDEX('Policy Characteristics'!L:L,MATCH($C1672,'Policy Characteristics'!$C:$C,0)))</f>
        <v>fuel-taxes.html</v>
      </c>
    </row>
    <row r="1673" spans="1:18" s="4" customFormat="1" x14ac:dyDescent="0.3">
      <c r="A1673" s="254" t="str">
        <f>IF(ISBLANK(INDEX('Policy Characteristics'!A:A,MATCH($C1673,'Policy Characteristics'!$C:$C,0))),"",INDEX('Policy Characteristics'!A:A,MATCH($C1673,'Policy Characteristics'!$C:$C,0)))</f>
        <v>Cross-Sector</v>
      </c>
      <c r="B1673" s="262" t="str">
        <f>IF(ISBLANK(INDEX('Policy Characteristics'!B:B,MATCH($C1673,'Policy Characteristics'!$C:$C,0))),"",INDEX('Policy Characteristics'!B:B,MATCH($C1673,'Policy Characteristics'!$C:$C,0)))</f>
        <v>Fuel Taxes or Subsidies</v>
      </c>
      <c r="C1673" s="320" t="str">
        <f t="shared" si="66"/>
        <v>Additional Fuel Tax or Subsidy Rate by Fuel</v>
      </c>
      <c r="D1673" s="6" t="s">
        <v>46</v>
      </c>
      <c r="E1673" s="45" t="s">
        <v>340</v>
      </c>
      <c r="F1673" s="6" t="s">
        <v>87</v>
      </c>
      <c r="G1673" s="45" t="s">
        <v>93</v>
      </c>
      <c r="H1673" s="43">
        <v>2316</v>
      </c>
      <c r="I1673" s="325" t="s">
        <v>43</v>
      </c>
      <c r="J1673" s="255" t="str">
        <f>IF(ISBLANK(INDEX('Policy Characteristics'!D:D,MATCH($C1673,'Policy Characteristics'!$C:$C,0))),"",INDEX('Policy Characteristics'!D:D,MATCH($C1673,'Policy Characteristics'!$C:$C,0)))</f>
        <v>Fuel Taxes or Subsidies</v>
      </c>
      <c r="K1673" s="254" t="str">
        <f>IF(ISBLANK(INDEX('Policy Characteristics'!E:E,MATCH($C1673,'Policy Characteristics'!$C:$C,0))),"",INDEX('Policy Characteristics'!E:E,MATCH($C1673,'Policy Characteristics'!$C:$C,0)))</f>
        <v>cross fuel tax</v>
      </c>
      <c r="L1673" s="261">
        <f>IF(ISBLANK(INDEX('Policy Characteristics'!F:F,MATCH($C1673,'Policy Characteristics'!$C:$C,0))),"",INDEX('Policy Characteristics'!F:F,MATCH($C1673,'Policy Characteristics'!$C:$C,0)))</f>
        <v>-0.9</v>
      </c>
      <c r="M1673" s="261">
        <f>IF(ISBLANK(INDEX('Policy Characteristics'!G:G,MATCH($C1673,'Policy Characteristics'!$C:$C,0))),"",INDEX('Policy Characteristics'!G:G,MATCH($C1673,'Policy Characteristics'!$C:$C,0)))</f>
        <v>0.9</v>
      </c>
      <c r="N1673" s="261">
        <f>IF(ISBLANK(INDEX('Policy Characteristics'!H:H,MATCH($C1673,'Policy Characteristics'!$C:$C,0))),"",INDEX('Policy Characteristics'!H:H,MATCH($C1673,'Policy Characteristics'!$C:$C,0)))</f>
        <v>0.01</v>
      </c>
      <c r="O1673" s="254" t="str">
        <f>IF(ISBLANK(INDEX('Policy Characteristics'!I:I,MATCH($C1673,'Policy Characteristics'!$C:$C,0))),"",INDEX('Policy Characteristics'!I:I,MATCH($C1673,'Policy Characteristics'!$C:$C,0)))</f>
        <v>% of BAU price</v>
      </c>
      <c r="P1673" s="254" t="str">
        <f>IF(ISBLANK(INDEX('Policy Characteristics'!J:J,MATCH($C1673,'Policy Characteristics'!$C:$C,0))),"",INDEX('Policy Characteristics'!J:J,MATCH($C1673,'Policy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3" s="254" t="str">
        <f>IF(ISBLANK(INDEX('Policy Characteristics'!K:K,MATCH($C1673,'Policy Characteristics'!$C:$C,0))),"",INDEX('Policy Characteristics'!K:K,MATCH($C1673,'Policy Characteristics'!$C:$C,0)))</f>
        <v>fuels.html#fuel-taxes</v>
      </c>
      <c r="R1673" s="254" t="str">
        <f>IF(ISBLANK(INDEX('Policy Characteristics'!L:L,MATCH($C1673,'Policy Characteristics'!$C:$C,0))),"",INDEX('Policy Characteristics'!L:L,MATCH($C1673,'Policy Characteristics'!$C:$C,0)))</f>
        <v>fuel-taxes.html</v>
      </c>
    </row>
    <row r="1674" spans="1:18" s="4" customFormat="1" x14ac:dyDescent="0.3">
      <c r="A1674" s="254" t="str">
        <f>IF(ISBLANK(INDEX('Policy Characteristics'!A:A,MATCH($C1674,'Policy Characteristics'!$C:$C,0))),"",INDEX('Policy Characteristics'!A:A,MATCH($C1674,'Policy Characteristics'!$C:$C,0)))</f>
        <v>Cross-Sector</v>
      </c>
      <c r="B1674" s="262" t="str">
        <f>IF(ISBLANK(INDEX('Policy Characteristics'!B:B,MATCH($C1674,'Policy Characteristics'!$C:$C,0))),"",INDEX('Policy Characteristics'!B:B,MATCH($C1674,'Policy Characteristics'!$C:$C,0)))</f>
        <v>Fuel Taxes or Subsidies</v>
      </c>
      <c r="C1674" s="320" t="str">
        <f t="shared" si="66"/>
        <v>Additional Fuel Tax or Subsidy Rate by Fuel</v>
      </c>
      <c r="D1674" s="6" t="s">
        <v>47</v>
      </c>
      <c r="E1674" s="45" t="s">
        <v>340</v>
      </c>
      <c r="F1674" s="6" t="s">
        <v>88</v>
      </c>
      <c r="G1674" s="45" t="s">
        <v>93</v>
      </c>
      <c r="H1674" s="43">
        <v>2317</v>
      </c>
      <c r="I1674" s="325" t="s">
        <v>44</v>
      </c>
      <c r="J1674" s="255" t="str">
        <f>IF(ISBLANK(INDEX('Policy Characteristics'!D:D,MATCH($C1674,'Policy Characteristics'!$C:$C,0))),"",INDEX('Policy Characteristics'!D:D,MATCH($C1674,'Policy Characteristics'!$C:$C,0)))</f>
        <v>Fuel Taxes or Subsidies</v>
      </c>
      <c r="K1674" s="254" t="str">
        <f>IF(ISBLANK(INDEX('Policy Characteristics'!E:E,MATCH($C1674,'Policy Characteristics'!$C:$C,0))),"",INDEX('Policy Characteristics'!E:E,MATCH($C1674,'Policy Characteristics'!$C:$C,0)))</f>
        <v>cross fuel tax</v>
      </c>
      <c r="L1674" s="261">
        <f>IF(ISBLANK(INDEX('Policy Characteristics'!F:F,MATCH($C1674,'Policy Characteristics'!$C:$C,0))),"",INDEX('Policy Characteristics'!F:F,MATCH($C1674,'Policy Characteristics'!$C:$C,0)))</f>
        <v>-0.9</v>
      </c>
      <c r="M1674" s="261">
        <f>IF(ISBLANK(INDEX('Policy Characteristics'!G:G,MATCH($C1674,'Policy Characteristics'!$C:$C,0))),"",INDEX('Policy Characteristics'!G:G,MATCH($C1674,'Policy Characteristics'!$C:$C,0)))</f>
        <v>0.9</v>
      </c>
      <c r="N1674" s="261">
        <f>IF(ISBLANK(INDEX('Policy Characteristics'!H:H,MATCH($C1674,'Policy Characteristics'!$C:$C,0))),"",INDEX('Policy Characteristics'!H:H,MATCH($C1674,'Policy Characteristics'!$C:$C,0)))</f>
        <v>0.01</v>
      </c>
      <c r="O1674" s="254" t="str">
        <f>IF(ISBLANK(INDEX('Policy Characteristics'!I:I,MATCH($C1674,'Policy Characteristics'!$C:$C,0))),"",INDEX('Policy Characteristics'!I:I,MATCH($C1674,'Policy Characteristics'!$C:$C,0)))</f>
        <v>% of BAU price</v>
      </c>
      <c r="P1674" s="254" t="str">
        <f>IF(ISBLANK(INDEX('Policy Characteristics'!J:J,MATCH($C1674,'Policy Characteristics'!$C:$C,0))),"",INDEX('Policy Characteristics'!J:J,MATCH($C1674,'Policy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4" s="254" t="str">
        <f>IF(ISBLANK(INDEX('Policy Characteristics'!K:K,MATCH($C1674,'Policy Characteristics'!$C:$C,0))),"",INDEX('Policy Characteristics'!K:K,MATCH($C1674,'Policy Characteristics'!$C:$C,0)))</f>
        <v>fuels.html#fuel-taxes</v>
      </c>
      <c r="R1674" s="254" t="str">
        <f>IF(ISBLANK(INDEX('Policy Characteristics'!L:L,MATCH($C1674,'Policy Characteristics'!$C:$C,0))),"",INDEX('Policy Characteristics'!L:L,MATCH($C1674,'Policy Characteristics'!$C:$C,0)))</f>
        <v>fuel-taxes.html</v>
      </c>
    </row>
    <row r="1675" spans="1:18" s="4" customFormat="1" x14ac:dyDescent="0.3">
      <c r="A1675" s="254" t="str">
        <f>IF(ISBLANK(INDEX('Policy Characteristics'!A:A,MATCH($C1675,'Policy Characteristics'!$C:$C,0))),"",INDEX('Policy Characteristics'!A:A,MATCH($C1675,'Policy Characteristics'!$C:$C,0)))</f>
        <v>Cross-Sector</v>
      </c>
      <c r="B1675" s="262" t="str">
        <f>IF(ISBLANK(INDEX('Policy Characteristics'!B:B,MATCH($C1675,'Policy Characteristics'!$C:$C,0))),"",INDEX('Policy Characteristics'!B:B,MATCH($C1675,'Policy Characteristics'!$C:$C,0)))</f>
        <v>Fuel Taxes or Subsidies</v>
      </c>
      <c r="C1675" s="320" t="str">
        <f t="shared" si="66"/>
        <v>Additional Fuel Tax or Subsidy Rate by Fuel</v>
      </c>
      <c r="D1675" s="6" t="s">
        <v>51</v>
      </c>
      <c r="E1675" s="45" t="s">
        <v>340</v>
      </c>
      <c r="F1675" s="6" t="s">
        <v>92</v>
      </c>
      <c r="G1675" s="45" t="s">
        <v>93</v>
      </c>
      <c r="H1675" s="43">
        <v>2318</v>
      </c>
      <c r="I1675" s="325" t="s">
        <v>44</v>
      </c>
      <c r="J1675" s="255" t="str">
        <f>IF(ISBLANK(INDEX('Policy Characteristics'!D:D,MATCH($C1675,'Policy Characteristics'!$C:$C,0))),"",INDEX('Policy Characteristics'!D:D,MATCH($C1675,'Policy Characteristics'!$C:$C,0)))</f>
        <v>Fuel Taxes or Subsidies</v>
      </c>
      <c r="K1675" s="254" t="str">
        <f>IF(ISBLANK(INDEX('Policy Characteristics'!E:E,MATCH($C1675,'Policy Characteristics'!$C:$C,0))),"",INDEX('Policy Characteristics'!E:E,MATCH($C1675,'Policy Characteristics'!$C:$C,0)))</f>
        <v>cross fuel tax</v>
      </c>
      <c r="L1675" s="261">
        <f>IF(ISBLANK(INDEX('Policy Characteristics'!F:F,MATCH($C1675,'Policy Characteristics'!$C:$C,0))),"",INDEX('Policy Characteristics'!F:F,MATCH($C1675,'Policy Characteristics'!$C:$C,0)))</f>
        <v>-0.9</v>
      </c>
      <c r="M1675" s="261">
        <f>IF(ISBLANK(INDEX('Policy Characteristics'!G:G,MATCH($C1675,'Policy Characteristics'!$C:$C,0))),"",INDEX('Policy Characteristics'!G:G,MATCH($C1675,'Policy Characteristics'!$C:$C,0)))</f>
        <v>0.9</v>
      </c>
      <c r="N1675" s="261">
        <f>IF(ISBLANK(INDEX('Policy Characteristics'!H:H,MATCH($C1675,'Policy Characteristics'!$C:$C,0))),"",INDEX('Policy Characteristics'!H:H,MATCH($C1675,'Policy Characteristics'!$C:$C,0)))</f>
        <v>0.01</v>
      </c>
      <c r="O1675" s="254" t="str">
        <f>IF(ISBLANK(INDEX('Policy Characteristics'!I:I,MATCH($C1675,'Policy Characteristics'!$C:$C,0))),"",INDEX('Policy Characteristics'!I:I,MATCH($C1675,'Policy Characteristics'!$C:$C,0)))</f>
        <v>% of BAU price</v>
      </c>
      <c r="P1675" s="254" t="str">
        <f>IF(ISBLANK(INDEX('Policy Characteristics'!J:J,MATCH($C1675,'Policy Characteristics'!$C:$C,0))),"",INDEX('Policy Characteristics'!J:J,MATCH($C1675,'Policy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5" s="254" t="str">
        <f>IF(ISBLANK(INDEX('Policy Characteristics'!K:K,MATCH($C1675,'Policy Characteristics'!$C:$C,0))),"",INDEX('Policy Characteristics'!K:K,MATCH($C1675,'Policy Characteristics'!$C:$C,0)))</f>
        <v>fuels.html#fuel-taxes</v>
      </c>
      <c r="R1675" s="254" t="str">
        <f>IF(ISBLANK(INDEX('Policy Characteristics'!L:L,MATCH($C1675,'Policy Characteristics'!$C:$C,0))),"",INDEX('Policy Characteristics'!L:L,MATCH($C1675,'Policy Characteristics'!$C:$C,0)))</f>
        <v>fuel-taxes.html</v>
      </c>
    </row>
    <row r="1676" spans="1:18" s="4" customFormat="1" x14ac:dyDescent="0.3">
      <c r="A1676" s="254" t="str">
        <f>IF(ISBLANK(INDEX('Policy Characteristics'!A:A,MATCH($C1676,'Policy Characteristics'!$C:$C,0))),"",INDEX('Policy Characteristics'!A:A,MATCH($C1676,'Policy Characteristics'!$C:$C,0)))</f>
        <v>Cross-Sector</v>
      </c>
      <c r="B1676" s="262" t="str">
        <f>IF(ISBLANK(INDEX('Policy Characteristics'!B:B,MATCH($C1676,'Policy Characteristics'!$C:$C,0))),"",INDEX('Policy Characteristics'!B:B,MATCH($C1676,'Policy Characteristics'!$C:$C,0)))</f>
        <v>Fuel Taxes or Subsidies</v>
      </c>
      <c r="C1676" s="320" t="str">
        <f t="shared" si="66"/>
        <v>Additional Fuel Tax or Subsidy Rate by Fuel</v>
      </c>
      <c r="D1676" s="6" t="s">
        <v>53</v>
      </c>
      <c r="E1676" s="45" t="s">
        <v>340</v>
      </c>
      <c r="F1676" s="6" t="s">
        <v>95</v>
      </c>
      <c r="G1676" s="45" t="s">
        <v>93</v>
      </c>
      <c r="H1676" s="43">
        <v>2319</v>
      </c>
      <c r="I1676" s="325" t="s">
        <v>44</v>
      </c>
      <c r="J1676" s="255" t="str">
        <f>IF(ISBLANK(INDEX('Policy Characteristics'!D:D,MATCH($C1676,'Policy Characteristics'!$C:$C,0))),"",INDEX('Policy Characteristics'!D:D,MATCH($C1676,'Policy Characteristics'!$C:$C,0)))</f>
        <v>Fuel Taxes or Subsidies</v>
      </c>
      <c r="K1676" s="254" t="str">
        <f>IF(ISBLANK(INDEX('Policy Characteristics'!E:E,MATCH($C1676,'Policy Characteristics'!$C:$C,0))),"",INDEX('Policy Characteristics'!E:E,MATCH($C1676,'Policy Characteristics'!$C:$C,0)))</f>
        <v>cross fuel tax</v>
      </c>
      <c r="L1676" s="261">
        <f>IF(ISBLANK(INDEX('Policy Characteristics'!F:F,MATCH($C1676,'Policy Characteristics'!$C:$C,0))),"",INDEX('Policy Characteristics'!F:F,MATCH($C1676,'Policy Characteristics'!$C:$C,0)))</f>
        <v>-0.9</v>
      </c>
      <c r="M1676" s="261">
        <f>IF(ISBLANK(INDEX('Policy Characteristics'!G:G,MATCH($C1676,'Policy Characteristics'!$C:$C,0))),"",INDEX('Policy Characteristics'!G:G,MATCH($C1676,'Policy Characteristics'!$C:$C,0)))</f>
        <v>0.9</v>
      </c>
      <c r="N1676" s="261">
        <f>IF(ISBLANK(INDEX('Policy Characteristics'!H:H,MATCH($C1676,'Policy Characteristics'!$C:$C,0))),"",INDEX('Policy Characteristics'!H:H,MATCH($C1676,'Policy Characteristics'!$C:$C,0)))</f>
        <v>0.01</v>
      </c>
      <c r="O1676" s="254" t="str">
        <f>IF(ISBLANK(INDEX('Policy Characteristics'!I:I,MATCH($C1676,'Policy Characteristics'!$C:$C,0))),"",INDEX('Policy Characteristics'!I:I,MATCH($C1676,'Policy Characteristics'!$C:$C,0)))</f>
        <v>% of BAU price</v>
      </c>
      <c r="P1676" s="254" t="str">
        <f>IF(ISBLANK(INDEX('Policy Characteristics'!J:J,MATCH($C1676,'Policy Characteristics'!$C:$C,0))),"",INDEX('Policy Characteristics'!J:J,MATCH($C1676,'Policy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6" s="254" t="str">
        <f>IF(ISBLANK(INDEX('Policy Characteristics'!K:K,MATCH($C1676,'Policy Characteristics'!$C:$C,0))),"",INDEX('Policy Characteristics'!K:K,MATCH($C1676,'Policy Characteristics'!$C:$C,0)))</f>
        <v>fuels.html#fuel-taxes</v>
      </c>
      <c r="R1676" s="254" t="str">
        <f>IF(ISBLANK(INDEX('Policy Characteristics'!L:L,MATCH($C1676,'Policy Characteristics'!$C:$C,0))),"",INDEX('Policy Characteristics'!L:L,MATCH($C1676,'Policy Characteristics'!$C:$C,0)))</f>
        <v>fuel-taxes.html</v>
      </c>
    </row>
    <row r="1677" spans="1:18" s="4" customFormat="1" x14ac:dyDescent="0.3">
      <c r="A1677" s="254" t="str">
        <f>IF(ISBLANK(INDEX('Policy Characteristics'!A:A,MATCH($C1677,'Policy Characteristics'!$C:$C,0))),"",INDEX('Policy Characteristics'!A:A,MATCH($C1677,'Policy Characteristics'!$C:$C,0)))</f>
        <v>Cross-Sector</v>
      </c>
      <c r="B1677" s="262" t="str">
        <f>IF(ISBLANK(INDEX('Policy Characteristics'!B:B,MATCH($C1677,'Policy Characteristics'!$C:$C,0))),"",INDEX('Policy Characteristics'!B:B,MATCH($C1677,'Policy Characteristics'!$C:$C,0)))</f>
        <v>Fuel Taxes or Subsidies</v>
      </c>
      <c r="C1677" s="320" t="str">
        <f t="shared" si="66"/>
        <v>Additional Fuel Tax or Subsidy Rate by Fuel</v>
      </c>
      <c r="D1677" s="6" t="s">
        <v>54</v>
      </c>
      <c r="E1677" s="45" t="s">
        <v>340</v>
      </c>
      <c r="F1677" s="6" t="s">
        <v>96</v>
      </c>
      <c r="G1677" s="45" t="s">
        <v>93</v>
      </c>
      <c r="H1677" s="43">
        <v>2320</v>
      </c>
      <c r="I1677" s="325" t="s">
        <v>44</v>
      </c>
      <c r="J1677" s="255" t="str">
        <f>IF(ISBLANK(INDEX('Policy Characteristics'!D:D,MATCH($C1677,'Policy Characteristics'!$C:$C,0))),"",INDEX('Policy Characteristics'!D:D,MATCH($C1677,'Policy Characteristics'!$C:$C,0)))</f>
        <v>Fuel Taxes or Subsidies</v>
      </c>
      <c r="K1677" s="254" t="str">
        <f>IF(ISBLANK(INDEX('Policy Characteristics'!E:E,MATCH($C1677,'Policy Characteristics'!$C:$C,0))),"",INDEX('Policy Characteristics'!E:E,MATCH($C1677,'Policy Characteristics'!$C:$C,0)))</f>
        <v>cross fuel tax</v>
      </c>
      <c r="L1677" s="261">
        <f>IF(ISBLANK(INDEX('Policy Characteristics'!F:F,MATCH($C1677,'Policy Characteristics'!$C:$C,0))),"",INDEX('Policy Characteristics'!F:F,MATCH($C1677,'Policy Characteristics'!$C:$C,0)))</f>
        <v>-0.9</v>
      </c>
      <c r="M1677" s="261">
        <f>IF(ISBLANK(INDEX('Policy Characteristics'!G:G,MATCH($C1677,'Policy Characteristics'!$C:$C,0))),"",INDEX('Policy Characteristics'!G:G,MATCH($C1677,'Policy Characteristics'!$C:$C,0)))</f>
        <v>0.9</v>
      </c>
      <c r="N1677" s="261">
        <f>IF(ISBLANK(INDEX('Policy Characteristics'!H:H,MATCH($C1677,'Policy Characteristics'!$C:$C,0))),"",INDEX('Policy Characteristics'!H:H,MATCH($C1677,'Policy Characteristics'!$C:$C,0)))</f>
        <v>0.01</v>
      </c>
      <c r="O1677" s="254" t="str">
        <f>IF(ISBLANK(INDEX('Policy Characteristics'!I:I,MATCH($C1677,'Policy Characteristics'!$C:$C,0))),"",INDEX('Policy Characteristics'!I:I,MATCH($C1677,'Policy Characteristics'!$C:$C,0)))</f>
        <v>% of BAU price</v>
      </c>
      <c r="P1677" s="254" t="str">
        <f>IF(ISBLANK(INDEX('Policy Characteristics'!J:J,MATCH($C1677,'Policy Characteristics'!$C:$C,0))),"",INDEX('Policy Characteristics'!J:J,MATCH($C1677,'Policy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7" s="254" t="str">
        <f>IF(ISBLANK(INDEX('Policy Characteristics'!K:K,MATCH($C1677,'Policy Characteristics'!$C:$C,0))),"",INDEX('Policy Characteristics'!K:K,MATCH($C1677,'Policy Characteristics'!$C:$C,0)))</f>
        <v>fuels.html#fuel-taxes</v>
      </c>
      <c r="R1677" s="254" t="str">
        <f>IF(ISBLANK(INDEX('Policy Characteristics'!L:L,MATCH($C1677,'Policy Characteristics'!$C:$C,0))),"",INDEX('Policy Characteristics'!L:L,MATCH($C1677,'Policy Characteristics'!$C:$C,0)))</f>
        <v>fuel-taxes.html</v>
      </c>
    </row>
    <row r="1678" spans="1:18" s="4" customFormat="1" x14ac:dyDescent="0.3">
      <c r="A1678" s="254" t="str">
        <f>IF(ISBLANK(INDEX('Policy Characteristics'!A:A,MATCH($C1678,'Policy Characteristics'!$C:$C,0))),"",INDEX('Policy Characteristics'!A:A,MATCH($C1678,'Policy Characteristics'!$C:$C,0)))</f>
        <v>Cross-Sector</v>
      </c>
      <c r="B1678" s="262" t="str">
        <f>IF(ISBLANK(INDEX('Policy Characteristics'!B:B,MATCH($C1678,'Policy Characteristics'!$C:$C,0))),"",INDEX('Policy Characteristics'!B:B,MATCH($C1678,'Policy Characteristics'!$C:$C,0)))</f>
        <v>Fuel Taxes or Subsidies</v>
      </c>
      <c r="C1678" s="320" t="str">
        <f t="shared" si="66"/>
        <v>Additional Fuel Tax or Subsidy Rate by Fuel</v>
      </c>
      <c r="D1678" s="6" t="s">
        <v>55</v>
      </c>
      <c r="E1678" s="45" t="s">
        <v>340</v>
      </c>
      <c r="F1678" s="6" t="s">
        <v>97</v>
      </c>
      <c r="G1678" s="45" t="s">
        <v>93</v>
      </c>
      <c r="H1678" s="43">
        <v>2321</v>
      </c>
      <c r="I1678" s="325" t="s">
        <v>44</v>
      </c>
      <c r="J1678" s="255" t="str">
        <f>IF(ISBLANK(INDEX('Policy Characteristics'!D:D,MATCH($C1678,'Policy Characteristics'!$C:$C,0))),"",INDEX('Policy Characteristics'!D:D,MATCH($C1678,'Policy Characteristics'!$C:$C,0)))</f>
        <v>Fuel Taxes or Subsidies</v>
      </c>
      <c r="K1678" s="254" t="str">
        <f>IF(ISBLANK(INDEX('Policy Characteristics'!E:E,MATCH($C1678,'Policy Characteristics'!$C:$C,0))),"",INDEX('Policy Characteristics'!E:E,MATCH($C1678,'Policy Characteristics'!$C:$C,0)))</f>
        <v>cross fuel tax</v>
      </c>
      <c r="L1678" s="261">
        <f>IF(ISBLANK(INDEX('Policy Characteristics'!F:F,MATCH($C1678,'Policy Characteristics'!$C:$C,0))),"",INDEX('Policy Characteristics'!F:F,MATCH($C1678,'Policy Characteristics'!$C:$C,0)))</f>
        <v>-0.9</v>
      </c>
      <c r="M1678" s="261">
        <f>IF(ISBLANK(INDEX('Policy Characteristics'!G:G,MATCH($C1678,'Policy Characteristics'!$C:$C,0))),"",INDEX('Policy Characteristics'!G:G,MATCH($C1678,'Policy Characteristics'!$C:$C,0)))</f>
        <v>0.9</v>
      </c>
      <c r="N1678" s="261">
        <f>IF(ISBLANK(INDEX('Policy Characteristics'!H:H,MATCH($C1678,'Policy Characteristics'!$C:$C,0))),"",INDEX('Policy Characteristics'!H:H,MATCH($C1678,'Policy Characteristics'!$C:$C,0)))</f>
        <v>0.01</v>
      </c>
      <c r="O1678" s="254" t="str">
        <f>IF(ISBLANK(INDEX('Policy Characteristics'!I:I,MATCH($C1678,'Policy Characteristics'!$C:$C,0))),"",INDEX('Policy Characteristics'!I:I,MATCH($C1678,'Policy Characteristics'!$C:$C,0)))</f>
        <v>% of BAU price</v>
      </c>
      <c r="P1678" s="254" t="str">
        <f>IF(ISBLANK(INDEX('Policy Characteristics'!J:J,MATCH($C1678,'Policy Characteristics'!$C:$C,0))),"",INDEX('Policy Characteristics'!J:J,MATCH($C1678,'Policy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8" s="254" t="str">
        <f>IF(ISBLANK(INDEX('Policy Characteristics'!K:K,MATCH($C1678,'Policy Characteristics'!$C:$C,0))),"",INDEX('Policy Characteristics'!K:K,MATCH($C1678,'Policy Characteristics'!$C:$C,0)))</f>
        <v>fuels.html#fuel-taxes</v>
      </c>
      <c r="R1678" s="254" t="str">
        <f>IF(ISBLANK(INDEX('Policy Characteristics'!L:L,MATCH($C1678,'Policy Characteristics'!$C:$C,0))),"",INDEX('Policy Characteristics'!L:L,MATCH($C1678,'Policy Characteristics'!$C:$C,0)))</f>
        <v>fuel-taxes.html</v>
      </c>
    </row>
    <row r="1679" spans="1:18" s="4" customFormat="1" x14ac:dyDescent="0.3">
      <c r="A1679" s="254" t="str">
        <f>IF(ISBLANK(INDEX('Policy Characteristics'!A:A,MATCH($C1679,'Policy Characteristics'!$C:$C,0))),"",INDEX('Policy Characteristics'!A:A,MATCH($C1679,'Policy Characteristics'!$C:$C,0)))</f>
        <v>Cross-Sector</v>
      </c>
      <c r="B1679" s="262" t="str">
        <f>IF(ISBLANK(INDEX('Policy Characteristics'!B:B,MATCH($C1679,'Policy Characteristics'!$C:$C,0))),"",INDEX('Policy Characteristics'!B:B,MATCH($C1679,'Policy Characteristics'!$C:$C,0)))</f>
        <v>Fuel Taxes or Subsidies</v>
      </c>
      <c r="C1679" s="320" t="str">
        <f t="shared" si="66"/>
        <v>Additional Fuel Tax or Subsidy Rate by Fuel</v>
      </c>
      <c r="D1679" s="6" t="s">
        <v>56</v>
      </c>
      <c r="E1679" s="45" t="s">
        <v>340</v>
      </c>
      <c r="F1679" s="6" t="s">
        <v>98</v>
      </c>
      <c r="G1679" s="45" t="s">
        <v>93</v>
      </c>
      <c r="H1679" s="43">
        <v>2322</v>
      </c>
      <c r="I1679" s="325" t="s">
        <v>44</v>
      </c>
      <c r="J1679" s="255" t="str">
        <f>IF(ISBLANK(INDEX('Policy Characteristics'!D:D,MATCH($C1679,'Policy Characteristics'!$C:$C,0))),"",INDEX('Policy Characteristics'!D:D,MATCH($C1679,'Policy Characteristics'!$C:$C,0)))</f>
        <v>Fuel Taxes or Subsidies</v>
      </c>
      <c r="K1679" s="254" t="str">
        <f>IF(ISBLANK(INDEX('Policy Characteristics'!E:E,MATCH($C1679,'Policy Characteristics'!$C:$C,0))),"",INDEX('Policy Characteristics'!E:E,MATCH($C1679,'Policy Characteristics'!$C:$C,0)))</f>
        <v>cross fuel tax</v>
      </c>
      <c r="L1679" s="261">
        <f>IF(ISBLANK(INDEX('Policy Characteristics'!F:F,MATCH($C1679,'Policy Characteristics'!$C:$C,0))),"",INDEX('Policy Characteristics'!F:F,MATCH($C1679,'Policy Characteristics'!$C:$C,0)))</f>
        <v>-0.9</v>
      </c>
      <c r="M1679" s="261">
        <f>IF(ISBLANK(INDEX('Policy Characteristics'!G:G,MATCH($C1679,'Policy Characteristics'!$C:$C,0))),"",INDEX('Policy Characteristics'!G:G,MATCH($C1679,'Policy Characteristics'!$C:$C,0)))</f>
        <v>0.9</v>
      </c>
      <c r="N1679" s="261">
        <f>IF(ISBLANK(INDEX('Policy Characteristics'!H:H,MATCH($C1679,'Policy Characteristics'!$C:$C,0))),"",INDEX('Policy Characteristics'!H:H,MATCH($C1679,'Policy Characteristics'!$C:$C,0)))</f>
        <v>0.01</v>
      </c>
      <c r="O1679" s="254" t="str">
        <f>IF(ISBLANK(INDEX('Policy Characteristics'!I:I,MATCH($C1679,'Policy Characteristics'!$C:$C,0))),"",INDEX('Policy Characteristics'!I:I,MATCH($C1679,'Policy Characteristics'!$C:$C,0)))</f>
        <v>% of BAU price</v>
      </c>
      <c r="P1679" s="254" t="str">
        <f>IF(ISBLANK(INDEX('Policy Characteristics'!J:J,MATCH($C1679,'Policy Characteristics'!$C:$C,0))),"",INDEX('Policy Characteristics'!J:J,MATCH($C1679,'Policy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79" s="254" t="str">
        <f>IF(ISBLANK(INDEX('Policy Characteristics'!K:K,MATCH($C1679,'Policy Characteristics'!$C:$C,0))),"",INDEX('Policy Characteristics'!K:K,MATCH($C1679,'Policy Characteristics'!$C:$C,0)))</f>
        <v>fuels.html#fuel-taxes</v>
      </c>
      <c r="R1679" s="254" t="str">
        <f>IF(ISBLANK(INDEX('Policy Characteristics'!L:L,MATCH($C1679,'Policy Characteristics'!$C:$C,0))),"",INDEX('Policy Characteristics'!L:L,MATCH($C1679,'Policy Characteristics'!$C:$C,0)))</f>
        <v>fuel-taxes.html</v>
      </c>
    </row>
    <row r="1680" spans="1:18" x14ac:dyDescent="0.3">
      <c r="A1680" s="254" t="str">
        <f>IF(ISBLANK(INDEX('Policy Characteristics'!A:A,MATCH($C1680,'Policy Characteristics'!$C:$C,0))),"",INDEX('Policy Characteristics'!A:A,MATCH($C1680,'Policy Characteristics'!$C:$C,0)))</f>
        <v>Cross-Sector</v>
      </c>
      <c r="B1680" s="262" t="str">
        <f>IF(ISBLANK(INDEX('Policy Characteristics'!B:B,MATCH($C1680,'Policy Characteristics'!$C:$C,0))),"",INDEX('Policy Characteristics'!B:B,MATCH($C1680,'Policy Characteristics'!$C:$C,0)))</f>
        <v>Fuel Taxes or Subsidies</v>
      </c>
      <c r="C1680" s="320" t="str">
        <f t="shared" si="66"/>
        <v>Additional Fuel Tax or Subsidy Rate by Fuel</v>
      </c>
      <c r="D1680" s="6" t="s">
        <v>2473</v>
      </c>
      <c r="E1680" s="45" t="s">
        <v>340</v>
      </c>
      <c r="F1680" s="6" t="s">
        <v>2474</v>
      </c>
      <c r="G1680" s="45" t="s">
        <v>93</v>
      </c>
      <c r="H1680" s="43">
        <v>2323</v>
      </c>
      <c r="I1680" s="325" t="s">
        <v>44</v>
      </c>
      <c r="J1680" s="255" t="str">
        <f>IF(ISBLANK(INDEX('Policy Characteristics'!D:D,MATCH($C1680,'Policy Characteristics'!$C:$C,0))),"",INDEX('Policy Characteristics'!D:D,MATCH($C1680,'Policy Characteristics'!$C:$C,0)))</f>
        <v>Fuel Taxes or Subsidies</v>
      </c>
      <c r="K1680" s="254" t="str">
        <f>IF(ISBLANK(INDEX('Policy Characteristics'!E:E,MATCH($C1680,'Policy Characteristics'!$C:$C,0))),"",INDEX('Policy Characteristics'!E:E,MATCH($C1680,'Policy Characteristics'!$C:$C,0)))</f>
        <v>cross fuel tax</v>
      </c>
      <c r="L1680" s="261">
        <f>IF(ISBLANK(INDEX('Policy Characteristics'!F:F,MATCH($C1680,'Policy Characteristics'!$C:$C,0))),"",INDEX('Policy Characteristics'!F:F,MATCH($C1680,'Policy Characteristics'!$C:$C,0)))</f>
        <v>-0.9</v>
      </c>
      <c r="M1680" s="261">
        <f>IF(ISBLANK(INDEX('Policy Characteristics'!G:G,MATCH($C1680,'Policy Characteristics'!$C:$C,0))),"",INDEX('Policy Characteristics'!G:G,MATCH($C1680,'Policy Characteristics'!$C:$C,0)))</f>
        <v>0.9</v>
      </c>
      <c r="N1680" s="261">
        <f>IF(ISBLANK(INDEX('Policy Characteristics'!H:H,MATCH($C1680,'Policy Characteristics'!$C:$C,0))),"",INDEX('Policy Characteristics'!H:H,MATCH($C1680,'Policy Characteristics'!$C:$C,0)))</f>
        <v>0.01</v>
      </c>
      <c r="O1680" s="254" t="str">
        <f>IF(ISBLANK(INDEX('Policy Characteristics'!I:I,MATCH($C1680,'Policy Characteristics'!$C:$C,0))),"",INDEX('Policy Characteristics'!I:I,MATCH($C1680,'Policy Characteristics'!$C:$C,0)))</f>
        <v>% of BAU price</v>
      </c>
      <c r="P1680" s="254" t="str">
        <f>IF(ISBLANK(INDEX('Policy Characteristics'!J:J,MATCH($C1680,'Policy Characteristics'!$C:$C,0))),"",INDEX('Policy Characteristics'!J:J,MATCH($C1680,'Policy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0" s="254" t="str">
        <f>IF(ISBLANK(INDEX('Policy Characteristics'!K:K,MATCH($C1680,'Policy Characteristics'!$C:$C,0))),"",INDEX('Policy Characteristics'!K:K,MATCH($C1680,'Policy Characteristics'!$C:$C,0)))</f>
        <v>fuels.html#fuel-taxes</v>
      </c>
      <c r="R1680" s="254" t="str">
        <f>IF(ISBLANK(INDEX('Policy Characteristics'!L:L,MATCH($C1680,'Policy Characteristics'!$C:$C,0))),"",INDEX('Policy Characteristics'!L:L,MATCH($C1680,'Policy Characteristics'!$C:$C,0)))</f>
        <v>fuel-taxes.html</v>
      </c>
    </row>
    <row r="1681" spans="1:18" x14ac:dyDescent="0.3">
      <c r="A1681" s="254" t="str">
        <f>IF(ISBLANK(INDEX('Policy Characteristics'!A:A,MATCH($C1681,'Policy Characteristics'!$C:$C,0))),"",INDEX('Policy Characteristics'!A:A,MATCH($C1681,'Policy Characteristics'!$C:$C,0)))</f>
        <v>Cross-Sector</v>
      </c>
      <c r="B1681" s="262" t="str">
        <f>IF(ISBLANK(INDEX('Policy Characteristics'!B:B,MATCH($C1681,'Policy Characteristics'!$C:$C,0))),"",INDEX('Policy Characteristics'!B:B,MATCH($C1681,'Policy Characteristics'!$C:$C,0)))</f>
        <v>Fuel Taxes or Subsidies</v>
      </c>
      <c r="C1681" s="320" t="str">
        <f t="shared" si="66"/>
        <v>Additional Fuel Tax or Subsidy Rate by Fuel</v>
      </c>
      <c r="D1681" s="6" t="s">
        <v>75</v>
      </c>
      <c r="E1681" s="45" t="s">
        <v>340</v>
      </c>
      <c r="F1681" s="6" t="s">
        <v>99</v>
      </c>
      <c r="G1681" s="45" t="s">
        <v>93</v>
      </c>
      <c r="H1681" s="43">
        <v>2324</v>
      </c>
      <c r="I1681" s="325" t="s">
        <v>44</v>
      </c>
      <c r="J1681" s="255" t="str">
        <f>IF(ISBLANK(INDEX('Policy Characteristics'!D:D,MATCH($C1681,'Policy Characteristics'!$C:$C,0))),"",INDEX('Policy Characteristics'!D:D,MATCH($C1681,'Policy Characteristics'!$C:$C,0)))</f>
        <v>Fuel Taxes or Subsidies</v>
      </c>
      <c r="K1681" s="254" t="str">
        <f>IF(ISBLANK(INDEX('Policy Characteristics'!E:E,MATCH($C1681,'Policy Characteristics'!$C:$C,0))),"",INDEX('Policy Characteristics'!E:E,MATCH($C1681,'Policy Characteristics'!$C:$C,0)))</f>
        <v>cross fuel tax</v>
      </c>
      <c r="L1681" s="261">
        <f>IF(ISBLANK(INDEX('Policy Characteristics'!F:F,MATCH($C1681,'Policy Characteristics'!$C:$C,0))),"",INDEX('Policy Characteristics'!F:F,MATCH($C1681,'Policy Characteristics'!$C:$C,0)))</f>
        <v>-0.9</v>
      </c>
      <c r="M1681" s="261">
        <f>IF(ISBLANK(INDEX('Policy Characteristics'!G:G,MATCH($C1681,'Policy Characteristics'!$C:$C,0))),"",INDEX('Policy Characteristics'!G:G,MATCH($C1681,'Policy Characteristics'!$C:$C,0)))</f>
        <v>0.9</v>
      </c>
      <c r="N1681" s="261">
        <f>IF(ISBLANK(INDEX('Policy Characteristics'!H:H,MATCH($C1681,'Policy Characteristics'!$C:$C,0))),"",INDEX('Policy Characteristics'!H:H,MATCH($C1681,'Policy Characteristics'!$C:$C,0)))</f>
        <v>0.01</v>
      </c>
      <c r="O1681" s="254" t="str">
        <f>IF(ISBLANK(INDEX('Policy Characteristics'!I:I,MATCH($C1681,'Policy Characteristics'!$C:$C,0))),"",INDEX('Policy Characteristics'!I:I,MATCH($C1681,'Policy Characteristics'!$C:$C,0)))</f>
        <v>% of BAU price</v>
      </c>
      <c r="P1681" s="254" t="str">
        <f>IF(ISBLANK(INDEX('Policy Characteristics'!J:J,MATCH($C1681,'Policy Characteristics'!$C:$C,0))),"",INDEX('Policy Characteristics'!J:J,MATCH($C1681,'Policy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1" s="254" t="str">
        <f>IF(ISBLANK(INDEX('Policy Characteristics'!K:K,MATCH($C1681,'Policy Characteristics'!$C:$C,0))),"",INDEX('Policy Characteristics'!K:K,MATCH($C1681,'Policy Characteristics'!$C:$C,0)))</f>
        <v>fuels.html#fuel-taxes</v>
      </c>
      <c r="R1681" s="254" t="str">
        <f>IF(ISBLANK(INDEX('Policy Characteristics'!L:L,MATCH($C1681,'Policy Characteristics'!$C:$C,0))),"",INDEX('Policy Characteristics'!L:L,MATCH($C1681,'Policy Characteristics'!$C:$C,0)))</f>
        <v>fuel-taxes.html</v>
      </c>
    </row>
    <row r="1682" spans="1:18" x14ac:dyDescent="0.3">
      <c r="A1682" s="254" t="str">
        <f>IF(ISBLANK(INDEX('Policy Characteristics'!A:A,MATCH($C1682,'Policy Characteristics'!$C:$C,0))),"",INDEX('Policy Characteristics'!A:A,MATCH($C1682,'Policy Characteristics'!$C:$C,0)))</f>
        <v>Cross-Sector</v>
      </c>
      <c r="B1682" s="262" t="str">
        <f>IF(ISBLANK(INDEX('Policy Characteristics'!B:B,MATCH($C1682,'Policy Characteristics'!$C:$C,0))),"",INDEX('Policy Characteristics'!B:B,MATCH($C1682,'Policy Characteristics'!$C:$C,0)))</f>
        <v>Fuel Taxes or Subsidies</v>
      </c>
      <c r="C1682" s="320" t="str">
        <f t="shared" si="66"/>
        <v>Additional Fuel Tax or Subsidy Rate by Fuel</v>
      </c>
      <c r="D1682" s="6" t="s">
        <v>442</v>
      </c>
      <c r="E1682" s="45" t="s">
        <v>340</v>
      </c>
      <c r="F1682" s="6" t="s">
        <v>443</v>
      </c>
      <c r="G1682" s="45" t="s">
        <v>93</v>
      </c>
      <c r="H1682" s="43">
        <v>2325</v>
      </c>
      <c r="I1682" s="325" t="s">
        <v>44</v>
      </c>
      <c r="J1682" s="255" t="str">
        <f>IF(ISBLANK(INDEX('Policy Characteristics'!D:D,MATCH($C1682,'Policy Characteristics'!$C:$C,0))),"",INDEX('Policy Characteristics'!D:D,MATCH($C1682,'Policy Characteristics'!$C:$C,0)))</f>
        <v>Fuel Taxes or Subsidies</v>
      </c>
      <c r="K1682" s="254" t="str">
        <f>IF(ISBLANK(INDEX('Policy Characteristics'!E:E,MATCH($C1682,'Policy Characteristics'!$C:$C,0))),"",INDEX('Policy Characteristics'!E:E,MATCH($C1682,'Policy Characteristics'!$C:$C,0)))</f>
        <v>cross fuel tax</v>
      </c>
      <c r="L1682" s="261">
        <f>IF(ISBLANK(INDEX('Policy Characteristics'!F:F,MATCH($C1682,'Policy Characteristics'!$C:$C,0))),"",INDEX('Policy Characteristics'!F:F,MATCH($C1682,'Policy Characteristics'!$C:$C,0)))</f>
        <v>-0.9</v>
      </c>
      <c r="M1682" s="261">
        <f>IF(ISBLANK(INDEX('Policy Characteristics'!G:G,MATCH($C1682,'Policy Characteristics'!$C:$C,0))),"",INDEX('Policy Characteristics'!G:G,MATCH($C1682,'Policy Characteristics'!$C:$C,0)))</f>
        <v>0.9</v>
      </c>
      <c r="N1682" s="261">
        <f>IF(ISBLANK(INDEX('Policy Characteristics'!H:H,MATCH($C1682,'Policy Characteristics'!$C:$C,0))),"",INDEX('Policy Characteristics'!H:H,MATCH($C1682,'Policy Characteristics'!$C:$C,0)))</f>
        <v>0.01</v>
      </c>
      <c r="O1682" s="254" t="str">
        <f>IF(ISBLANK(INDEX('Policy Characteristics'!I:I,MATCH($C1682,'Policy Characteristics'!$C:$C,0))),"",INDEX('Policy Characteristics'!I:I,MATCH($C1682,'Policy Characteristics'!$C:$C,0)))</f>
        <v>% of BAU price</v>
      </c>
      <c r="P1682" s="254" t="str">
        <f>IF(ISBLANK(INDEX('Policy Characteristics'!J:J,MATCH($C1682,'Policy Characteristics'!$C:$C,0))),"",INDEX('Policy Characteristics'!J:J,MATCH($C1682,'Policy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2" s="254" t="str">
        <f>IF(ISBLANK(INDEX('Policy Characteristics'!K:K,MATCH($C1682,'Policy Characteristics'!$C:$C,0))),"",INDEX('Policy Characteristics'!K:K,MATCH($C1682,'Policy Characteristics'!$C:$C,0)))</f>
        <v>fuels.html#fuel-taxes</v>
      </c>
      <c r="R1682" s="254" t="str">
        <f>IF(ISBLANK(INDEX('Policy Characteristics'!L:L,MATCH($C1682,'Policy Characteristics'!$C:$C,0))),"",INDEX('Policy Characteristics'!L:L,MATCH($C1682,'Policy Characteristics'!$C:$C,0)))</f>
        <v>fuel-taxes.html</v>
      </c>
    </row>
    <row r="1683" spans="1:18" x14ac:dyDescent="0.3">
      <c r="A1683" s="254" t="str">
        <f>IF(ISBLANK(INDEX('Policy Characteristics'!A:A,MATCH($C1683,'Policy Characteristics'!$C:$C,0))),"",INDEX('Policy Characteristics'!A:A,MATCH($C1683,'Policy Characteristics'!$C:$C,0)))</f>
        <v>Cross-Sector</v>
      </c>
      <c r="B1683" s="262" t="str">
        <f>IF(ISBLANK(INDEX('Policy Characteristics'!B:B,MATCH($C1683,'Policy Characteristics'!$C:$C,0))),"",INDEX('Policy Characteristics'!B:B,MATCH($C1683,'Policy Characteristics'!$C:$C,0)))</f>
        <v>Fuel Taxes or Subsidies</v>
      </c>
      <c r="C1683" s="320" t="str">
        <f t="shared" si="66"/>
        <v>Additional Fuel Tax or Subsidy Rate by Fuel</v>
      </c>
      <c r="D1683" s="6" t="s">
        <v>2465</v>
      </c>
      <c r="E1683" s="45" t="s">
        <v>340</v>
      </c>
      <c r="F1683" s="6" t="s">
        <v>2469</v>
      </c>
      <c r="G1683" s="45" t="s">
        <v>93</v>
      </c>
      <c r="H1683" s="43">
        <v>2326</v>
      </c>
      <c r="I1683" s="325" t="s">
        <v>44</v>
      </c>
      <c r="J1683" s="255" t="str">
        <f>IF(ISBLANK(INDEX('Policy Characteristics'!D:D,MATCH($C1683,'Policy Characteristics'!$C:$C,0))),"",INDEX('Policy Characteristics'!D:D,MATCH($C1683,'Policy Characteristics'!$C:$C,0)))</f>
        <v>Fuel Taxes or Subsidies</v>
      </c>
      <c r="K1683" s="254" t="str">
        <f>IF(ISBLANK(INDEX('Policy Characteristics'!E:E,MATCH($C1683,'Policy Characteristics'!$C:$C,0))),"",INDEX('Policy Characteristics'!E:E,MATCH($C1683,'Policy Characteristics'!$C:$C,0)))</f>
        <v>cross fuel tax</v>
      </c>
      <c r="L1683" s="261">
        <f>IF(ISBLANK(INDEX('Policy Characteristics'!F:F,MATCH($C1683,'Policy Characteristics'!$C:$C,0))),"",INDEX('Policy Characteristics'!F:F,MATCH($C1683,'Policy Characteristics'!$C:$C,0)))</f>
        <v>-0.9</v>
      </c>
      <c r="M1683" s="261">
        <f>IF(ISBLANK(INDEX('Policy Characteristics'!G:G,MATCH($C1683,'Policy Characteristics'!$C:$C,0))),"",INDEX('Policy Characteristics'!G:G,MATCH($C1683,'Policy Characteristics'!$C:$C,0)))</f>
        <v>0.9</v>
      </c>
      <c r="N1683" s="261">
        <f>IF(ISBLANK(INDEX('Policy Characteristics'!H:H,MATCH($C1683,'Policy Characteristics'!$C:$C,0))),"",INDEX('Policy Characteristics'!H:H,MATCH($C1683,'Policy Characteristics'!$C:$C,0)))</f>
        <v>0.01</v>
      </c>
      <c r="O1683" s="254" t="str">
        <f>IF(ISBLANK(INDEX('Policy Characteristics'!I:I,MATCH($C1683,'Policy Characteristics'!$C:$C,0))),"",INDEX('Policy Characteristics'!I:I,MATCH($C1683,'Policy Characteristics'!$C:$C,0)))</f>
        <v>% of BAU price</v>
      </c>
      <c r="P1683" s="254" t="str">
        <f>IF(ISBLANK(INDEX('Policy Characteristics'!J:J,MATCH($C1683,'Policy Characteristics'!$C:$C,0))),"",INDEX('Policy Characteristics'!J:J,MATCH($C1683,'Policy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3" s="254" t="str">
        <f>IF(ISBLANK(INDEX('Policy Characteristics'!K:K,MATCH($C1683,'Policy Characteristics'!$C:$C,0))),"",INDEX('Policy Characteristics'!K:K,MATCH($C1683,'Policy Characteristics'!$C:$C,0)))</f>
        <v>fuels.html#fuel-taxes</v>
      </c>
      <c r="R1683" s="254" t="str">
        <f>IF(ISBLANK(INDEX('Policy Characteristics'!L:L,MATCH($C1683,'Policy Characteristics'!$C:$C,0))),"",INDEX('Policy Characteristics'!L:L,MATCH($C1683,'Policy Characteristics'!$C:$C,0)))</f>
        <v>fuel-taxes.html</v>
      </c>
    </row>
    <row r="1684" spans="1:18" x14ac:dyDescent="0.3">
      <c r="A1684" s="254" t="str">
        <f>IF(ISBLANK(INDEX('Policy Characteristics'!A:A,MATCH($C1684,'Policy Characteristics'!$C:$C,0))),"",INDEX('Policy Characteristics'!A:A,MATCH($C1684,'Policy Characteristics'!$C:$C,0)))</f>
        <v>Cross-Sector</v>
      </c>
      <c r="B1684" s="262" t="str">
        <f>IF(ISBLANK(INDEX('Policy Characteristics'!B:B,MATCH($C1684,'Policy Characteristics'!$C:$C,0))),"",INDEX('Policy Characteristics'!B:B,MATCH($C1684,'Policy Characteristics'!$C:$C,0)))</f>
        <v>Fuel Taxes or Subsidies</v>
      </c>
      <c r="C1684" s="320" t="str">
        <f t="shared" si="66"/>
        <v>Additional Fuel Tax or Subsidy Rate by Fuel</v>
      </c>
      <c r="D1684" s="6" t="s">
        <v>2475</v>
      </c>
      <c r="E1684" s="45" t="s">
        <v>340</v>
      </c>
      <c r="F1684" s="6" t="s">
        <v>2476</v>
      </c>
      <c r="G1684" s="45" t="s">
        <v>93</v>
      </c>
      <c r="H1684" s="43">
        <v>2327</v>
      </c>
      <c r="I1684" s="325" t="s">
        <v>44</v>
      </c>
      <c r="J1684" s="255" t="str">
        <f>IF(ISBLANK(INDEX('Policy Characteristics'!D:D,MATCH($C1684,'Policy Characteristics'!$C:$C,0))),"",INDEX('Policy Characteristics'!D:D,MATCH($C1684,'Policy Characteristics'!$C:$C,0)))</f>
        <v>Fuel Taxes or Subsidies</v>
      </c>
      <c r="K1684" s="254" t="str">
        <f>IF(ISBLANK(INDEX('Policy Characteristics'!E:E,MATCH($C1684,'Policy Characteristics'!$C:$C,0))),"",INDEX('Policy Characteristics'!E:E,MATCH($C1684,'Policy Characteristics'!$C:$C,0)))</f>
        <v>cross fuel tax</v>
      </c>
      <c r="L1684" s="261">
        <f>IF(ISBLANK(INDEX('Policy Characteristics'!F:F,MATCH($C1684,'Policy Characteristics'!$C:$C,0))),"",INDEX('Policy Characteristics'!F:F,MATCH($C1684,'Policy Characteristics'!$C:$C,0)))</f>
        <v>-0.9</v>
      </c>
      <c r="M1684" s="261">
        <f>IF(ISBLANK(INDEX('Policy Characteristics'!G:G,MATCH($C1684,'Policy Characteristics'!$C:$C,0))),"",INDEX('Policy Characteristics'!G:G,MATCH($C1684,'Policy Characteristics'!$C:$C,0)))</f>
        <v>0.9</v>
      </c>
      <c r="N1684" s="261">
        <f>IF(ISBLANK(INDEX('Policy Characteristics'!H:H,MATCH($C1684,'Policy Characteristics'!$C:$C,0))),"",INDEX('Policy Characteristics'!H:H,MATCH($C1684,'Policy Characteristics'!$C:$C,0)))</f>
        <v>0.01</v>
      </c>
      <c r="O1684" s="254" t="str">
        <f>IF(ISBLANK(INDEX('Policy Characteristics'!I:I,MATCH($C1684,'Policy Characteristics'!$C:$C,0))),"",INDEX('Policy Characteristics'!I:I,MATCH($C1684,'Policy Characteristics'!$C:$C,0)))</f>
        <v>% of BAU price</v>
      </c>
      <c r="P1684" s="254" t="str">
        <f>IF(ISBLANK(INDEX('Policy Characteristics'!J:J,MATCH($C1684,'Policy Characteristics'!$C:$C,0))),"",INDEX('Policy Characteristics'!J:J,MATCH($C1684,'Policy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4" s="254" t="str">
        <f>IF(ISBLANK(INDEX('Policy Characteristics'!K:K,MATCH($C1684,'Policy Characteristics'!$C:$C,0))),"",INDEX('Policy Characteristics'!K:K,MATCH($C1684,'Policy Characteristics'!$C:$C,0)))</f>
        <v>fuels.html#fuel-taxes</v>
      </c>
      <c r="R1684" s="254" t="str">
        <f>IF(ISBLANK(INDEX('Policy Characteristics'!L:L,MATCH($C1684,'Policy Characteristics'!$C:$C,0))),"",INDEX('Policy Characteristics'!L:L,MATCH($C1684,'Policy Characteristics'!$C:$C,0)))</f>
        <v>fuel-taxes.html</v>
      </c>
    </row>
    <row r="1685" spans="1:18" x14ac:dyDescent="0.3">
      <c r="A1685" s="254" t="str">
        <f>IF(ISBLANK(INDEX('Policy Characteristics'!A:A,MATCH($C1685,'Policy Characteristics'!$C:$C,0))),"",INDEX('Policy Characteristics'!A:A,MATCH($C1685,'Policy Characteristics'!$C:$C,0)))</f>
        <v>Cross-Sector</v>
      </c>
      <c r="B1685" s="262" t="str">
        <f>IF(ISBLANK(INDEX('Policy Characteristics'!B:B,MATCH($C1685,'Policy Characteristics'!$C:$C,0))),"",INDEX('Policy Characteristics'!B:B,MATCH($C1685,'Policy Characteristics'!$C:$C,0)))</f>
        <v>Fuel Taxes or Subsidies</v>
      </c>
      <c r="C1685" s="320" t="str">
        <f t="shared" si="66"/>
        <v>Additional Fuel Tax or Subsidy Rate by Fuel</v>
      </c>
      <c r="D1685" s="6" t="s">
        <v>2466</v>
      </c>
      <c r="E1685" s="45" t="s">
        <v>340</v>
      </c>
      <c r="F1685" s="6" t="s">
        <v>2470</v>
      </c>
      <c r="G1685" s="45" t="s">
        <v>93</v>
      </c>
      <c r="H1685" s="43">
        <v>2328</v>
      </c>
      <c r="I1685" s="325" t="s">
        <v>44</v>
      </c>
      <c r="J1685" s="255" t="str">
        <f>IF(ISBLANK(INDEX('Policy Characteristics'!D:D,MATCH($C1685,'Policy Characteristics'!$C:$C,0))),"",INDEX('Policy Characteristics'!D:D,MATCH($C1685,'Policy Characteristics'!$C:$C,0)))</f>
        <v>Fuel Taxes or Subsidies</v>
      </c>
      <c r="K1685" s="254" t="str">
        <f>IF(ISBLANK(INDEX('Policy Characteristics'!E:E,MATCH($C1685,'Policy Characteristics'!$C:$C,0))),"",INDEX('Policy Characteristics'!E:E,MATCH($C1685,'Policy Characteristics'!$C:$C,0)))</f>
        <v>cross fuel tax</v>
      </c>
      <c r="L1685" s="261">
        <f>IF(ISBLANK(INDEX('Policy Characteristics'!F:F,MATCH($C1685,'Policy Characteristics'!$C:$C,0))),"",INDEX('Policy Characteristics'!F:F,MATCH($C1685,'Policy Characteristics'!$C:$C,0)))</f>
        <v>-0.9</v>
      </c>
      <c r="M1685" s="261">
        <f>IF(ISBLANK(INDEX('Policy Characteristics'!G:G,MATCH($C1685,'Policy Characteristics'!$C:$C,0))),"",INDEX('Policy Characteristics'!G:G,MATCH($C1685,'Policy Characteristics'!$C:$C,0)))</f>
        <v>0.9</v>
      </c>
      <c r="N1685" s="261">
        <f>IF(ISBLANK(INDEX('Policy Characteristics'!H:H,MATCH($C1685,'Policy Characteristics'!$C:$C,0))),"",INDEX('Policy Characteristics'!H:H,MATCH($C1685,'Policy Characteristics'!$C:$C,0)))</f>
        <v>0.01</v>
      </c>
      <c r="O1685" s="254" t="str">
        <f>IF(ISBLANK(INDEX('Policy Characteristics'!I:I,MATCH($C1685,'Policy Characteristics'!$C:$C,0))),"",INDEX('Policy Characteristics'!I:I,MATCH($C1685,'Policy Characteristics'!$C:$C,0)))</f>
        <v>% of BAU price</v>
      </c>
      <c r="P1685" s="254" t="str">
        <f>IF(ISBLANK(INDEX('Policy Characteristics'!J:J,MATCH($C1685,'Policy Characteristics'!$C:$C,0))),"",INDEX('Policy Characteristics'!J:J,MATCH($C1685,'Policy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5" s="254" t="str">
        <f>IF(ISBLANK(INDEX('Policy Characteristics'!K:K,MATCH($C1685,'Policy Characteristics'!$C:$C,0))),"",INDEX('Policy Characteristics'!K:K,MATCH($C1685,'Policy Characteristics'!$C:$C,0)))</f>
        <v>fuels.html#fuel-taxes</v>
      </c>
      <c r="R1685" s="254" t="str">
        <f>IF(ISBLANK(INDEX('Policy Characteristics'!L:L,MATCH($C1685,'Policy Characteristics'!$C:$C,0))),"",INDEX('Policy Characteristics'!L:L,MATCH($C1685,'Policy Characteristics'!$C:$C,0)))</f>
        <v>fuel-taxes.html</v>
      </c>
    </row>
    <row r="1686" spans="1:18" x14ac:dyDescent="0.3">
      <c r="A1686" s="254" t="str">
        <f>IF(ISBLANK(INDEX('Policy Characteristics'!A:A,MATCH($C1686,'Policy Characteristics'!$C:$C,0))),"",INDEX('Policy Characteristics'!A:A,MATCH($C1686,'Policy Characteristics'!$C:$C,0)))</f>
        <v>Cross-Sector</v>
      </c>
      <c r="B1686" s="262" t="str">
        <f>IF(ISBLANK(INDEX('Policy Characteristics'!B:B,MATCH($C1686,'Policy Characteristics'!$C:$C,0))),"",INDEX('Policy Characteristics'!B:B,MATCH($C1686,'Policy Characteristics'!$C:$C,0)))</f>
        <v>Fuel Taxes or Subsidies</v>
      </c>
      <c r="C1686" s="320" t="str">
        <f t="shared" si="66"/>
        <v>Additional Fuel Tax or Subsidy Rate by Fuel</v>
      </c>
      <c r="D1686" s="6" t="s">
        <v>2467</v>
      </c>
      <c r="E1686" s="45" t="s">
        <v>340</v>
      </c>
      <c r="F1686" s="6" t="s">
        <v>2471</v>
      </c>
      <c r="G1686" s="45" t="s">
        <v>93</v>
      </c>
      <c r="H1686" s="43">
        <v>2329</v>
      </c>
      <c r="I1686" s="325" t="s">
        <v>44</v>
      </c>
      <c r="J1686" s="255" t="str">
        <f>IF(ISBLANK(INDEX('Policy Characteristics'!D:D,MATCH($C1686,'Policy Characteristics'!$C:$C,0))),"",INDEX('Policy Characteristics'!D:D,MATCH($C1686,'Policy Characteristics'!$C:$C,0)))</f>
        <v>Fuel Taxes or Subsidies</v>
      </c>
      <c r="K1686" s="254" t="str">
        <f>IF(ISBLANK(INDEX('Policy Characteristics'!E:E,MATCH($C1686,'Policy Characteristics'!$C:$C,0))),"",INDEX('Policy Characteristics'!E:E,MATCH($C1686,'Policy Characteristics'!$C:$C,0)))</f>
        <v>cross fuel tax</v>
      </c>
      <c r="L1686" s="261">
        <f>IF(ISBLANK(INDEX('Policy Characteristics'!F:F,MATCH($C1686,'Policy Characteristics'!$C:$C,0))),"",INDEX('Policy Characteristics'!F:F,MATCH($C1686,'Policy Characteristics'!$C:$C,0)))</f>
        <v>-0.9</v>
      </c>
      <c r="M1686" s="261">
        <f>IF(ISBLANK(INDEX('Policy Characteristics'!G:G,MATCH($C1686,'Policy Characteristics'!$C:$C,0))),"",INDEX('Policy Characteristics'!G:G,MATCH($C1686,'Policy Characteristics'!$C:$C,0)))</f>
        <v>0.9</v>
      </c>
      <c r="N1686" s="261">
        <f>IF(ISBLANK(INDEX('Policy Characteristics'!H:H,MATCH($C1686,'Policy Characteristics'!$C:$C,0))),"",INDEX('Policy Characteristics'!H:H,MATCH($C1686,'Policy Characteristics'!$C:$C,0)))</f>
        <v>0.01</v>
      </c>
      <c r="O1686" s="254" t="str">
        <f>IF(ISBLANK(INDEX('Policy Characteristics'!I:I,MATCH($C1686,'Policy Characteristics'!$C:$C,0))),"",INDEX('Policy Characteristics'!I:I,MATCH($C1686,'Policy Characteristics'!$C:$C,0)))</f>
        <v>% of BAU price</v>
      </c>
      <c r="P1686" s="254" t="str">
        <f>IF(ISBLANK(INDEX('Policy Characteristics'!J:J,MATCH($C1686,'Policy Characteristics'!$C:$C,0))),"",INDEX('Policy Characteristics'!J:J,MATCH($C1686,'Policy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6" s="254" t="str">
        <f>IF(ISBLANK(INDEX('Policy Characteristics'!K:K,MATCH($C1686,'Policy Characteristics'!$C:$C,0))),"",INDEX('Policy Characteristics'!K:K,MATCH($C1686,'Policy Characteristics'!$C:$C,0)))</f>
        <v>fuels.html#fuel-taxes</v>
      </c>
      <c r="R1686" s="254" t="str">
        <f>IF(ISBLANK(INDEX('Policy Characteristics'!L:L,MATCH($C1686,'Policy Characteristics'!$C:$C,0))),"",INDEX('Policy Characteristics'!L:L,MATCH($C1686,'Policy Characteristics'!$C:$C,0)))</f>
        <v>fuel-taxes.html</v>
      </c>
    </row>
    <row r="1687" spans="1:18" x14ac:dyDescent="0.3">
      <c r="A1687" s="254" t="str">
        <f>IF(ISBLANK(INDEX('Policy Characteristics'!A:A,MATCH($C1687,'Policy Characteristics'!$C:$C,0))),"",INDEX('Policy Characteristics'!A:A,MATCH($C1687,'Policy Characteristics'!$C:$C,0)))</f>
        <v>Cross-Sector</v>
      </c>
      <c r="B1687" s="262" t="str">
        <f>IF(ISBLANK(INDEX('Policy Characteristics'!B:B,MATCH($C1687,'Policy Characteristics'!$C:$C,0))),"",INDEX('Policy Characteristics'!B:B,MATCH($C1687,'Policy Characteristics'!$C:$C,0)))</f>
        <v>Fuel Taxes or Subsidies</v>
      </c>
      <c r="C1687" s="320" t="str">
        <f t="shared" si="66"/>
        <v>Additional Fuel Tax or Subsidy Rate by Fuel</v>
      </c>
      <c r="D1687" s="6" t="s">
        <v>2468</v>
      </c>
      <c r="E1687" s="45" t="s">
        <v>340</v>
      </c>
      <c r="F1687" s="6" t="s">
        <v>2472</v>
      </c>
      <c r="G1687" s="45" t="s">
        <v>93</v>
      </c>
      <c r="H1687" s="43">
        <v>2330</v>
      </c>
      <c r="I1687" s="325" t="s">
        <v>43</v>
      </c>
      <c r="J1687" s="255" t="str">
        <f>IF(ISBLANK(INDEX('Policy Characteristics'!D:D,MATCH($C1687,'Policy Characteristics'!$C:$C,0))),"",INDEX('Policy Characteristics'!D:D,MATCH($C1687,'Policy Characteristics'!$C:$C,0)))</f>
        <v>Fuel Taxes or Subsidies</v>
      </c>
      <c r="K1687" s="254" t="str">
        <f>IF(ISBLANK(INDEX('Policy Characteristics'!E:E,MATCH($C1687,'Policy Characteristics'!$C:$C,0))),"",INDEX('Policy Characteristics'!E:E,MATCH($C1687,'Policy Characteristics'!$C:$C,0)))</f>
        <v>cross fuel tax</v>
      </c>
      <c r="L1687" s="261">
        <f>IF(ISBLANK(INDEX('Policy Characteristics'!F:F,MATCH($C1687,'Policy Characteristics'!$C:$C,0))),"",INDEX('Policy Characteristics'!F:F,MATCH($C1687,'Policy Characteristics'!$C:$C,0)))</f>
        <v>-0.9</v>
      </c>
      <c r="M1687" s="261">
        <f>IF(ISBLANK(INDEX('Policy Characteristics'!G:G,MATCH($C1687,'Policy Characteristics'!$C:$C,0))),"",INDEX('Policy Characteristics'!G:G,MATCH($C1687,'Policy Characteristics'!$C:$C,0)))</f>
        <v>0.9</v>
      </c>
      <c r="N1687" s="261">
        <f>IF(ISBLANK(INDEX('Policy Characteristics'!H:H,MATCH($C1687,'Policy Characteristics'!$C:$C,0))),"",INDEX('Policy Characteristics'!H:H,MATCH($C1687,'Policy Characteristics'!$C:$C,0)))</f>
        <v>0.01</v>
      </c>
      <c r="O1687" s="254" t="str">
        <f>IF(ISBLANK(INDEX('Policy Characteristics'!I:I,MATCH($C1687,'Policy Characteristics'!$C:$C,0))),"",INDEX('Policy Characteristics'!I:I,MATCH($C1687,'Policy Characteristics'!$C:$C,0)))</f>
        <v>% of BAU price</v>
      </c>
      <c r="P1687" s="254" t="str">
        <f>IF(ISBLANK(INDEX('Policy Characteristics'!J:J,MATCH($C1687,'Policy Characteristics'!$C:$C,0))),"",INDEX('Policy Characteristics'!J:J,MATCH($C1687,'Policy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7" s="254" t="str">
        <f>IF(ISBLANK(INDEX('Policy Characteristics'!K:K,MATCH($C1687,'Policy Characteristics'!$C:$C,0))),"",INDEX('Policy Characteristics'!K:K,MATCH($C1687,'Policy Characteristics'!$C:$C,0)))</f>
        <v>fuels.html#fuel-taxes</v>
      </c>
      <c r="R1687" s="254" t="str">
        <f>IF(ISBLANK(INDEX('Policy Characteristics'!L:L,MATCH($C1687,'Policy Characteristics'!$C:$C,0))),"",INDEX('Policy Characteristics'!L:L,MATCH($C1687,'Policy Characteristics'!$C:$C,0)))</f>
        <v>fuel-taxes.html</v>
      </c>
    </row>
    <row r="1688" spans="1:18" s="4" customFormat="1" x14ac:dyDescent="0.3">
      <c r="A1688" s="254" t="str">
        <f>IF(ISBLANK(INDEX('Policy Characteristics'!A:A,MATCH($C1688,'Policy Characteristics'!$C:$C,0))),"",INDEX('Policy Characteristics'!A:A,MATCH($C1688,'Policy Characteristics'!$C:$C,0)))</f>
        <v>Cross-Sector</v>
      </c>
      <c r="B1688" s="262" t="str">
        <f>IF(ISBLANK(INDEX('Policy Characteristics'!B:B,MATCH($C1688,'Policy Characteristics'!$C:$C,0))),"",INDEX('Policy Characteristics'!B:B,MATCH($C1688,'Policy Characteristics'!$C:$C,0)))</f>
        <v>Fuel Taxes or Subsidies</v>
      </c>
      <c r="C1688" s="320" t="str">
        <f t="shared" si="66"/>
        <v>Additional Fuel Tax or Subsidy Rate by Fuel</v>
      </c>
      <c r="D1688" s="45" t="s">
        <v>52</v>
      </c>
      <c r="E1688" s="45" t="s">
        <v>334</v>
      </c>
      <c r="F1688" s="45" t="s">
        <v>93</v>
      </c>
      <c r="G1688" s="45" t="s">
        <v>3774</v>
      </c>
      <c r="H1688" s="43">
        <v>2331</v>
      </c>
      <c r="I1688" s="324" t="s">
        <v>43</v>
      </c>
      <c r="J1688" s="255" t="str">
        <f>IF(ISBLANK(INDEX('Policy Characteristics'!D:D,MATCH($C1688,'Policy Characteristics'!$C:$C,0))),"",INDEX('Policy Characteristics'!D:D,MATCH($C1688,'Policy Characteristics'!$C:$C,0)))</f>
        <v>Fuel Taxes or Subsidies</v>
      </c>
      <c r="K1688" s="254" t="str">
        <f>IF(ISBLANK(INDEX('Policy Characteristics'!E:E,MATCH($C1688,'Policy Characteristics'!$C:$C,0))),"",INDEX('Policy Characteristics'!E:E,MATCH($C1688,'Policy Characteristics'!$C:$C,0)))</f>
        <v>cross fuel tax</v>
      </c>
      <c r="L1688" s="261">
        <f>IF(ISBLANK(INDEX('Policy Characteristics'!F:F,MATCH($C1688,'Policy Characteristics'!$C:$C,0))),"",INDEX('Policy Characteristics'!F:F,MATCH($C1688,'Policy Characteristics'!$C:$C,0)))</f>
        <v>-0.9</v>
      </c>
      <c r="M1688" s="261">
        <f>IF(ISBLANK(INDEX('Policy Characteristics'!G:G,MATCH($C1688,'Policy Characteristics'!$C:$C,0))),"",INDEX('Policy Characteristics'!G:G,MATCH($C1688,'Policy Characteristics'!$C:$C,0)))</f>
        <v>0.9</v>
      </c>
      <c r="N1688" s="261">
        <f>IF(ISBLANK(INDEX('Policy Characteristics'!H:H,MATCH($C1688,'Policy Characteristics'!$C:$C,0))),"",INDEX('Policy Characteristics'!H:H,MATCH($C1688,'Policy Characteristics'!$C:$C,0)))</f>
        <v>0.01</v>
      </c>
      <c r="O1688" s="254" t="str">
        <f>IF(ISBLANK(INDEX('Policy Characteristics'!I:I,MATCH($C1688,'Policy Characteristics'!$C:$C,0))),"",INDEX('Policy Characteristics'!I:I,MATCH($C1688,'Policy Characteristics'!$C:$C,0)))</f>
        <v>% of BAU price</v>
      </c>
      <c r="P1688" s="254" t="str">
        <f>IF(ISBLANK(INDEX('Policy Characteristics'!J:J,MATCH($C1688,'Policy Characteristics'!$C:$C,0))),"",INDEX('Policy Characteristics'!J:J,MATCH($C1688,'Policy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8" s="254" t="str">
        <f>IF(ISBLANK(INDEX('Policy Characteristics'!K:K,MATCH($C1688,'Policy Characteristics'!$C:$C,0))),"",INDEX('Policy Characteristics'!K:K,MATCH($C1688,'Policy Characteristics'!$C:$C,0)))</f>
        <v>fuels.html#fuel-taxes</v>
      </c>
      <c r="R1688" s="254" t="str">
        <f>IF(ISBLANK(INDEX('Policy Characteristics'!L:L,MATCH($C1688,'Policy Characteristics'!$C:$C,0))),"",INDEX('Policy Characteristics'!L:L,MATCH($C1688,'Policy Characteristics'!$C:$C,0)))</f>
        <v>fuel-taxes.html</v>
      </c>
    </row>
    <row r="1689" spans="1:18" s="4" customFormat="1" x14ac:dyDescent="0.3">
      <c r="A1689" s="254" t="str">
        <f>IF(ISBLANK(INDEX('Policy Characteristics'!A:A,MATCH($C1689,'Policy Characteristics'!$C:$C,0))),"",INDEX('Policy Characteristics'!A:A,MATCH($C1689,'Policy Characteristics'!$C:$C,0)))</f>
        <v>Cross-Sector</v>
      </c>
      <c r="B1689" s="262" t="str">
        <f>IF(ISBLANK(INDEX('Policy Characteristics'!B:B,MATCH($C1689,'Policy Characteristics'!$C:$C,0))),"",INDEX('Policy Characteristics'!B:B,MATCH($C1689,'Policy Characteristics'!$C:$C,0)))</f>
        <v>Fuel Taxes or Subsidies</v>
      </c>
      <c r="C1689" s="320" t="str">
        <f t="shared" si="66"/>
        <v>Additional Fuel Tax or Subsidy Rate by Fuel</v>
      </c>
      <c r="D1689" s="6" t="s">
        <v>449</v>
      </c>
      <c r="E1689" s="45" t="s">
        <v>334</v>
      </c>
      <c r="F1689" s="6" t="s">
        <v>446</v>
      </c>
      <c r="G1689" s="45" t="s">
        <v>3774</v>
      </c>
      <c r="H1689" s="43">
        <v>2332</v>
      </c>
      <c r="I1689" s="325" t="s">
        <v>44</v>
      </c>
      <c r="J1689" s="255" t="str">
        <f>IF(ISBLANK(INDEX('Policy Characteristics'!D:D,MATCH($C1689,'Policy Characteristics'!$C:$C,0))),"",INDEX('Policy Characteristics'!D:D,MATCH($C1689,'Policy Characteristics'!$C:$C,0)))</f>
        <v>Fuel Taxes or Subsidies</v>
      </c>
      <c r="K1689" s="254" t="str">
        <f>IF(ISBLANK(INDEX('Policy Characteristics'!E:E,MATCH($C1689,'Policy Characteristics'!$C:$C,0))),"",INDEX('Policy Characteristics'!E:E,MATCH($C1689,'Policy Characteristics'!$C:$C,0)))</f>
        <v>cross fuel tax</v>
      </c>
      <c r="L1689" s="261">
        <f>IF(ISBLANK(INDEX('Policy Characteristics'!F:F,MATCH($C1689,'Policy Characteristics'!$C:$C,0))),"",INDEX('Policy Characteristics'!F:F,MATCH($C1689,'Policy Characteristics'!$C:$C,0)))</f>
        <v>-0.9</v>
      </c>
      <c r="M1689" s="261">
        <f>IF(ISBLANK(INDEX('Policy Characteristics'!G:G,MATCH($C1689,'Policy Characteristics'!$C:$C,0))),"",INDEX('Policy Characteristics'!G:G,MATCH($C1689,'Policy Characteristics'!$C:$C,0)))</f>
        <v>0.9</v>
      </c>
      <c r="N1689" s="261">
        <f>IF(ISBLANK(INDEX('Policy Characteristics'!H:H,MATCH($C1689,'Policy Characteristics'!$C:$C,0))),"",INDEX('Policy Characteristics'!H:H,MATCH($C1689,'Policy Characteristics'!$C:$C,0)))</f>
        <v>0.01</v>
      </c>
      <c r="O1689" s="254" t="str">
        <f>IF(ISBLANK(INDEX('Policy Characteristics'!I:I,MATCH($C1689,'Policy Characteristics'!$C:$C,0))),"",INDEX('Policy Characteristics'!I:I,MATCH($C1689,'Policy Characteristics'!$C:$C,0)))</f>
        <v>% of BAU price</v>
      </c>
      <c r="P1689" s="254" t="str">
        <f>IF(ISBLANK(INDEX('Policy Characteristics'!J:J,MATCH($C1689,'Policy Characteristics'!$C:$C,0))),"",INDEX('Policy Characteristics'!J:J,MATCH($C1689,'Policy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89" s="254" t="str">
        <f>IF(ISBLANK(INDEX('Policy Characteristics'!K:K,MATCH($C1689,'Policy Characteristics'!$C:$C,0))),"",INDEX('Policy Characteristics'!K:K,MATCH($C1689,'Policy Characteristics'!$C:$C,0)))</f>
        <v>fuels.html#fuel-taxes</v>
      </c>
      <c r="R1689" s="254" t="str">
        <f>IF(ISBLANK(INDEX('Policy Characteristics'!L:L,MATCH($C1689,'Policy Characteristics'!$C:$C,0))),"",INDEX('Policy Characteristics'!L:L,MATCH($C1689,'Policy Characteristics'!$C:$C,0)))</f>
        <v>fuel-taxes.html</v>
      </c>
    </row>
    <row r="1690" spans="1:18" s="4" customFormat="1" x14ac:dyDescent="0.3">
      <c r="A1690" s="254" t="str">
        <f>IF(ISBLANK(INDEX('Policy Characteristics'!A:A,MATCH($C1690,'Policy Characteristics'!$C:$C,0))),"",INDEX('Policy Characteristics'!A:A,MATCH($C1690,'Policy Characteristics'!$C:$C,0)))</f>
        <v>Cross-Sector</v>
      </c>
      <c r="B1690" s="262" t="str">
        <f>IF(ISBLANK(INDEX('Policy Characteristics'!B:B,MATCH($C1690,'Policy Characteristics'!$C:$C,0))),"",INDEX('Policy Characteristics'!B:B,MATCH($C1690,'Policy Characteristics'!$C:$C,0)))</f>
        <v>Fuel Taxes or Subsidies</v>
      </c>
      <c r="C1690" s="320" t="str">
        <f t="shared" si="66"/>
        <v>Additional Fuel Tax or Subsidy Rate by Fuel</v>
      </c>
      <c r="D1690" s="6" t="s">
        <v>46</v>
      </c>
      <c r="E1690" s="45" t="s">
        <v>334</v>
      </c>
      <c r="F1690" s="6" t="s">
        <v>87</v>
      </c>
      <c r="G1690" s="45" t="s">
        <v>3774</v>
      </c>
      <c r="H1690" s="43">
        <v>2333</v>
      </c>
      <c r="I1690" s="325" t="s">
        <v>43</v>
      </c>
      <c r="J1690" s="255" t="str">
        <f>IF(ISBLANK(INDEX('Policy Characteristics'!D:D,MATCH($C1690,'Policy Characteristics'!$C:$C,0))),"",INDEX('Policy Characteristics'!D:D,MATCH($C1690,'Policy Characteristics'!$C:$C,0)))</f>
        <v>Fuel Taxes or Subsidies</v>
      </c>
      <c r="K1690" s="254" t="str">
        <f>IF(ISBLANK(INDEX('Policy Characteristics'!E:E,MATCH($C1690,'Policy Characteristics'!$C:$C,0))),"",INDEX('Policy Characteristics'!E:E,MATCH($C1690,'Policy Characteristics'!$C:$C,0)))</f>
        <v>cross fuel tax</v>
      </c>
      <c r="L1690" s="261">
        <f>IF(ISBLANK(INDEX('Policy Characteristics'!F:F,MATCH($C1690,'Policy Characteristics'!$C:$C,0))),"",INDEX('Policy Characteristics'!F:F,MATCH($C1690,'Policy Characteristics'!$C:$C,0)))</f>
        <v>-0.9</v>
      </c>
      <c r="M1690" s="261">
        <f>IF(ISBLANK(INDEX('Policy Characteristics'!G:G,MATCH($C1690,'Policy Characteristics'!$C:$C,0))),"",INDEX('Policy Characteristics'!G:G,MATCH($C1690,'Policy Characteristics'!$C:$C,0)))</f>
        <v>0.9</v>
      </c>
      <c r="N1690" s="261">
        <f>IF(ISBLANK(INDEX('Policy Characteristics'!H:H,MATCH($C1690,'Policy Characteristics'!$C:$C,0))),"",INDEX('Policy Characteristics'!H:H,MATCH($C1690,'Policy Characteristics'!$C:$C,0)))</f>
        <v>0.01</v>
      </c>
      <c r="O1690" s="254" t="str">
        <f>IF(ISBLANK(INDEX('Policy Characteristics'!I:I,MATCH($C1690,'Policy Characteristics'!$C:$C,0))),"",INDEX('Policy Characteristics'!I:I,MATCH($C1690,'Policy Characteristics'!$C:$C,0)))</f>
        <v>% of BAU price</v>
      </c>
      <c r="P1690" s="254" t="str">
        <f>IF(ISBLANK(INDEX('Policy Characteristics'!J:J,MATCH($C1690,'Policy Characteristics'!$C:$C,0))),"",INDEX('Policy Characteristics'!J:J,MATCH($C1690,'Policy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0" s="254" t="str">
        <f>IF(ISBLANK(INDEX('Policy Characteristics'!K:K,MATCH($C1690,'Policy Characteristics'!$C:$C,0))),"",INDEX('Policy Characteristics'!K:K,MATCH($C1690,'Policy Characteristics'!$C:$C,0)))</f>
        <v>fuels.html#fuel-taxes</v>
      </c>
      <c r="R1690" s="254" t="str">
        <f>IF(ISBLANK(INDEX('Policy Characteristics'!L:L,MATCH($C1690,'Policy Characteristics'!$C:$C,0))),"",INDEX('Policy Characteristics'!L:L,MATCH($C1690,'Policy Characteristics'!$C:$C,0)))</f>
        <v>fuel-taxes.html</v>
      </c>
    </row>
    <row r="1691" spans="1:18" s="4" customFormat="1" x14ac:dyDescent="0.3">
      <c r="A1691" s="254" t="str">
        <f>IF(ISBLANK(INDEX('Policy Characteristics'!A:A,MATCH($C1691,'Policy Characteristics'!$C:$C,0))),"",INDEX('Policy Characteristics'!A:A,MATCH($C1691,'Policy Characteristics'!$C:$C,0)))</f>
        <v>Cross-Sector</v>
      </c>
      <c r="B1691" s="262" t="str">
        <f>IF(ISBLANK(INDEX('Policy Characteristics'!B:B,MATCH($C1691,'Policy Characteristics'!$C:$C,0))),"",INDEX('Policy Characteristics'!B:B,MATCH($C1691,'Policy Characteristics'!$C:$C,0)))</f>
        <v>Fuel Taxes or Subsidies</v>
      </c>
      <c r="C1691" s="320" t="str">
        <f t="shared" si="66"/>
        <v>Additional Fuel Tax or Subsidy Rate by Fuel</v>
      </c>
      <c r="D1691" s="6" t="s">
        <v>47</v>
      </c>
      <c r="E1691" s="45" t="s">
        <v>334</v>
      </c>
      <c r="F1691" s="6" t="s">
        <v>88</v>
      </c>
      <c r="G1691" s="45" t="s">
        <v>3774</v>
      </c>
      <c r="H1691" s="43">
        <v>2334</v>
      </c>
      <c r="I1691" s="325" t="s">
        <v>44</v>
      </c>
      <c r="J1691" s="255" t="str">
        <f>IF(ISBLANK(INDEX('Policy Characteristics'!D:D,MATCH($C1691,'Policy Characteristics'!$C:$C,0))),"",INDEX('Policy Characteristics'!D:D,MATCH($C1691,'Policy Characteristics'!$C:$C,0)))</f>
        <v>Fuel Taxes or Subsidies</v>
      </c>
      <c r="K1691" s="254" t="str">
        <f>IF(ISBLANK(INDEX('Policy Characteristics'!E:E,MATCH($C1691,'Policy Characteristics'!$C:$C,0))),"",INDEX('Policy Characteristics'!E:E,MATCH($C1691,'Policy Characteristics'!$C:$C,0)))</f>
        <v>cross fuel tax</v>
      </c>
      <c r="L1691" s="261">
        <f>IF(ISBLANK(INDEX('Policy Characteristics'!F:F,MATCH($C1691,'Policy Characteristics'!$C:$C,0))),"",INDEX('Policy Characteristics'!F:F,MATCH($C1691,'Policy Characteristics'!$C:$C,0)))</f>
        <v>-0.9</v>
      </c>
      <c r="M1691" s="261">
        <f>IF(ISBLANK(INDEX('Policy Characteristics'!G:G,MATCH($C1691,'Policy Characteristics'!$C:$C,0))),"",INDEX('Policy Characteristics'!G:G,MATCH($C1691,'Policy Characteristics'!$C:$C,0)))</f>
        <v>0.9</v>
      </c>
      <c r="N1691" s="261">
        <f>IF(ISBLANK(INDEX('Policy Characteristics'!H:H,MATCH($C1691,'Policy Characteristics'!$C:$C,0))),"",INDEX('Policy Characteristics'!H:H,MATCH($C1691,'Policy Characteristics'!$C:$C,0)))</f>
        <v>0.01</v>
      </c>
      <c r="O1691" s="254" t="str">
        <f>IF(ISBLANK(INDEX('Policy Characteristics'!I:I,MATCH($C1691,'Policy Characteristics'!$C:$C,0))),"",INDEX('Policy Characteristics'!I:I,MATCH($C1691,'Policy Characteristics'!$C:$C,0)))</f>
        <v>% of BAU price</v>
      </c>
      <c r="P1691" s="254" t="str">
        <f>IF(ISBLANK(INDEX('Policy Characteristics'!J:J,MATCH($C1691,'Policy Characteristics'!$C:$C,0))),"",INDEX('Policy Characteristics'!J:J,MATCH($C1691,'Policy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1" s="254" t="str">
        <f>IF(ISBLANK(INDEX('Policy Characteristics'!K:K,MATCH($C1691,'Policy Characteristics'!$C:$C,0))),"",INDEX('Policy Characteristics'!K:K,MATCH($C1691,'Policy Characteristics'!$C:$C,0)))</f>
        <v>fuels.html#fuel-taxes</v>
      </c>
      <c r="R1691" s="254" t="str">
        <f>IF(ISBLANK(INDEX('Policy Characteristics'!L:L,MATCH($C1691,'Policy Characteristics'!$C:$C,0))),"",INDEX('Policy Characteristics'!L:L,MATCH($C1691,'Policy Characteristics'!$C:$C,0)))</f>
        <v>fuel-taxes.html</v>
      </c>
    </row>
    <row r="1692" spans="1:18" s="4" customFormat="1" x14ac:dyDescent="0.3">
      <c r="A1692" s="254" t="str">
        <f>IF(ISBLANK(INDEX('Policy Characteristics'!A:A,MATCH($C1692,'Policy Characteristics'!$C:$C,0))),"",INDEX('Policy Characteristics'!A:A,MATCH($C1692,'Policy Characteristics'!$C:$C,0)))</f>
        <v>Cross-Sector</v>
      </c>
      <c r="B1692" s="262" t="str">
        <f>IF(ISBLANK(INDEX('Policy Characteristics'!B:B,MATCH($C1692,'Policy Characteristics'!$C:$C,0))),"",INDEX('Policy Characteristics'!B:B,MATCH($C1692,'Policy Characteristics'!$C:$C,0)))</f>
        <v>Fuel Taxes or Subsidies</v>
      </c>
      <c r="C1692" s="320" t="str">
        <f t="shared" si="66"/>
        <v>Additional Fuel Tax or Subsidy Rate by Fuel</v>
      </c>
      <c r="D1692" s="6" t="s">
        <v>51</v>
      </c>
      <c r="E1692" s="45" t="s">
        <v>334</v>
      </c>
      <c r="F1692" s="6" t="s">
        <v>92</v>
      </c>
      <c r="G1692" s="45" t="s">
        <v>3774</v>
      </c>
      <c r="H1692" s="43">
        <v>2335</v>
      </c>
      <c r="I1692" s="325" t="s">
        <v>44</v>
      </c>
      <c r="J1692" s="255" t="str">
        <f>IF(ISBLANK(INDEX('Policy Characteristics'!D:D,MATCH($C1692,'Policy Characteristics'!$C:$C,0))),"",INDEX('Policy Characteristics'!D:D,MATCH($C1692,'Policy Characteristics'!$C:$C,0)))</f>
        <v>Fuel Taxes or Subsidies</v>
      </c>
      <c r="K1692" s="254" t="str">
        <f>IF(ISBLANK(INDEX('Policy Characteristics'!E:E,MATCH($C1692,'Policy Characteristics'!$C:$C,0))),"",INDEX('Policy Characteristics'!E:E,MATCH($C1692,'Policy Characteristics'!$C:$C,0)))</f>
        <v>cross fuel tax</v>
      </c>
      <c r="L1692" s="261">
        <f>IF(ISBLANK(INDEX('Policy Characteristics'!F:F,MATCH($C1692,'Policy Characteristics'!$C:$C,0))),"",INDEX('Policy Characteristics'!F:F,MATCH($C1692,'Policy Characteristics'!$C:$C,0)))</f>
        <v>-0.9</v>
      </c>
      <c r="M1692" s="261">
        <f>IF(ISBLANK(INDEX('Policy Characteristics'!G:G,MATCH($C1692,'Policy Characteristics'!$C:$C,0))),"",INDEX('Policy Characteristics'!G:G,MATCH($C1692,'Policy Characteristics'!$C:$C,0)))</f>
        <v>0.9</v>
      </c>
      <c r="N1692" s="261">
        <f>IF(ISBLANK(INDEX('Policy Characteristics'!H:H,MATCH($C1692,'Policy Characteristics'!$C:$C,0))),"",INDEX('Policy Characteristics'!H:H,MATCH($C1692,'Policy Characteristics'!$C:$C,0)))</f>
        <v>0.01</v>
      </c>
      <c r="O1692" s="254" t="str">
        <f>IF(ISBLANK(INDEX('Policy Characteristics'!I:I,MATCH($C1692,'Policy Characteristics'!$C:$C,0))),"",INDEX('Policy Characteristics'!I:I,MATCH($C1692,'Policy Characteristics'!$C:$C,0)))</f>
        <v>% of BAU price</v>
      </c>
      <c r="P1692" s="254" t="str">
        <f>IF(ISBLANK(INDEX('Policy Characteristics'!J:J,MATCH($C1692,'Policy Characteristics'!$C:$C,0))),"",INDEX('Policy Characteristics'!J:J,MATCH($C1692,'Policy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2" s="254" t="str">
        <f>IF(ISBLANK(INDEX('Policy Characteristics'!K:K,MATCH($C1692,'Policy Characteristics'!$C:$C,0))),"",INDEX('Policy Characteristics'!K:K,MATCH($C1692,'Policy Characteristics'!$C:$C,0)))</f>
        <v>fuels.html#fuel-taxes</v>
      </c>
      <c r="R1692" s="254" t="str">
        <f>IF(ISBLANK(INDEX('Policy Characteristics'!L:L,MATCH($C1692,'Policy Characteristics'!$C:$C,0))),"",INDEX('Policy Characteristics'!L:L,MATCH($C1692,'Policy Characteristics'!$C:$C,0)))</f>
        <v>fuel-taxes.html</v>
      </c>
    </row>
    <row r="1693" spans="1:18" s="4" customFormat="1" x14ac:dyDescent="0.3">
      <c r="A1693" s="254" t="str">
        <f>IF(ISBLANK(INDEX('Policy Characteristics'!A:A,MATCH($C1693,'Policy Characteristics'!$C:$C,0))),"",INDEX('Policy Characteristics'!A:A,MATCH($C1693,'Policy Characteristics'!$C:$C,0)))</f>
        <v>Cross-Sector</v>
      </c>
      <c r="B1693" s="262" t="str">
        <f>IF(ISBLANK(INDEX('Policy Characteristics'!B:B,MATCH($C1693,'Policy Characteristics'!$C:$C,0))),"",INDEX('Policy Characteristics'!B:B,MATCH($C1693,'Policy Characteristics'!$C:$C,0)))</f>
        <v>Fuel Taxes or Subsidies</v>
      </c>
      <c r="C1693" s="320" t="str">
        <f t="shared" si="66"/>
        <v>Additional Fuel Tax or Subsidy Rate by Fuel</v>
      </c>
      <c r="D1693" s="6" t="s">
        <v>53</v>
      </c>
      <c r="E1693" s="45" t="s">
        <v>334</v>
      </c>
      <c r="F1693" s="6" t="s">
        <v>95</v>
      </c>
      <c r="G1693" s="45" t="s">
        <v>3774</v>
      </c>
      <c r="H1693" s="43">
        <v>2336</v>
      </c>
      <c r="I1693" s="325" t="s">
        <v>44</v>
      </c>
      <c r="J1693" s="255" t="str">
        <f>IF(ISBLANK(INDEX('Policy Characteristics'!D:D,MATCH($C1693,'Policy Characteristics'!$C:$C,0))),"",INDEX('Policy Characteristics'!D:D,MATCH($C1693,'Policy Characteristics'!$C:$C,0)))</f>
        <v>Fuel Taxes or Subsidies</v>
      </c>
      <c r="K1693" s="254" t="str">
        <f>IF(ISBLANK(INDEX('Policy Characteristics'!E:E,MATCH($C1693,'Policy Characteristics'!$C:$C,0))),"",INDEX('Policy Characteristics'!E:E,MATCH($C1693,'Policy Characteristics'!$C:$C,0)))</f>
        <v>cross fuel tax</v>
      </c>
      <c r="L1693" s="261">
        <f>IF(ISBLANK(INDEX('Policy Characteristics'!F:F,MATCH($C1693,'Policy Characteristics'!$C:$C,0))),"",INDEX('Policy Characteristics'!F:F,MATCH($C1693,'Policy Characteristics'!$C:$C,0)))</f>
        <v>-0.9</v>
      </c>
      <c r="M1693" s="261">
        <f>IF(ISBLANK(INDEX('Policy Characteristics'!G:G,MATCH($C1693,'Policy Characteristics'!$C:$C,0))),"",INDEX('Policy Characteristics'!G:G,MATCH($C1693,'Policy Characteristics'!$C:$C,0)))</f>
        <v>0.9</v>
      </c>
      <c r="N1693" s="261">
        <f>IF(ISBLANK(INDEX('Policy Characteristics'!H:H,MATCH($C1693,'Policy Characteristics'!$C:$C,0))),"",INDEX('Policy Characteristics'!H:H,MATCH($C1693,'Policy Characteristics'!$C:$C,0)))</f>
        <v>0.01</v>
      </c>
      <c r="O1693" s="254" t="str">
        <f>IF(ISBLANK(INDEX('Policy Characteristics'!I:I,MATCH($C1693,'Policy Characteristics'!$C:$C,0))),"",INDEX('Policy Characteristics'!I:I,MATCH($C1693,'Policy Characteristics'!$C:$C,0)))</f>
        <v>% of BAU price</v>
      </c>
      <c r="P1693" s="254" t="str">
        <f>IF(ISBLANK(INDEX('Policy Characteristics'!J:J,MATCH($C1693,'Policy Characteristics'!$C:$C,0))),"",INDEX('Policy Characteristics'!J:J,MATCH($C1693,'Policy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3" s="254" t="str">
        <f>IF(ISBLANK(INDEX('Policy Characteristics'!K:K,MATCH($C1693,'Policy Characteristics'!$C:$C,0))),"",INDEX('Policy Characteristics'!K:K,MATCH($C1693,'Policy Characteristics'!$C:$C,0)))</f>
        <v>fuels.html#fuel-taxes</v>
      </c>
      <c r="R1693" s="254" t="str">
        <f>IF(ISBLANK(INDEX('Policy Characteristics'!L:L,MATCH($C1693,'Policy Characteristics'!$C:$C,0))),"",INDEX('Policy Characteristics'!L:L,MATCH($C1693,'Policy Characteristics'!$C:$C,0)))</f>
        <v>fuel-taxes.html</v>
      </c>
    </row>
    <row r="1694" spans="1:18" s="4" customFormat="1" x14ac:dyDescent="0.3">
      <c r="A1694" s="254" t="str">
        <f>IF(ISBLANK(INDEX('Policy Characteristics'!A:A,MATCH($C1694,'Policy Characteristics'!$C:$C,0))),"",INDEX('Policy Characteristics'!A:A,MATCH($C1694,'Policy Characteristics'!$C:$C,0)))</f>
        <v>Cross-Sector</v>
      </c>
      <c r="B1694" s="262" t="str">
        <f>IF(ISBLANK(INDEX('Policy Characteristics'!B:B,MATCH($C1694,'Policy Characteristics'!$C:$C,0))),"",INDEX('Policy Characteristics'!B:B,MATCH($C1694,'Policy Characteristics'!$C:$C,0)))</f>
        <v>Fuel Taxes or Subsidies</v>
      </c>
      <c r="C1694" s="320" t="str">
        <f t="shared" si="66"/>
        <v>Additional Fuel Tax or Subsidy Rate by Fuel</v>
      </c>
      <c r="D1694" s="6" t="s">
        <v>54</v>
      </c>
      <c r="E1694" s="45" t="s">
        <v>334</v>
      </c>
      <c r="F1694" s="6" t="s">
        <v>96</v>
      </c>
      <c r="G1694" s="45" t="s">
        <v>3774</v>
      </c>
      <c r="H1694" s="43">
        <v>2337</v>
      </c>
      <c r="I1694" s="325" t="s">
        <v>43</v>
      </c>
      <c r="J1694" s="255" t="str">
        <f>IF(ISBLANK(INDEX('Policy Characteristics'!D:D,MATCH($C1694,'Policy Characteristics'!$C:$C,0))),"",INDEX('Policy Characteristics'!D:D,MATCH($C1694,'Policy Characteristics'!$C:$C,0)))</f>
        <v>Fuel Taxes or Subsidies</v>
      </c>
      <c r="K1694" s="254" t="str">
        <f>IF(ISBLANK(INDEX('Policy Characteristics'!E:E,MATCH($C1694,'Policy Characteristics'!$C:$C,0))),"",INDEX('Policy Characteristics'!E:E,MATCH($C1694,'Policy Characteristics'!$C:$C,0)))</f>
        <v>cross fuel tax</v>
      </c>
      <c r="L1694" s="261">
        <f>IF(ISBLANK(INDEX('Policy Characteristics'!F:F,MATCH($C1694,'Policy Characteristics'!$C:$C,0))),"",INDEX('Policy Characteristics'!F:F,MATCH($C1694,'Policy Characteristics'!$C:$C,0)))</f>
        <v>-0.9</v>
      </c>
      <c r="M1694" s="261">
        <f>IF(ISBLANK(INDEX('Policy Characteristics'!G:G,MATCH($C1694,'Policy Characteristics'!$C:$C,0))),"",INDEX('Policy Characteristics'!G:G,MATCH($C1694,'Policy Characteristics'!$C:$C,0)))</f>
        <v>0.9</v>
      </c>
      <c r="N1694" s="261">
        <f>IF(ISBLANK(INDEX('Policy Characteristics'!H:H,MATCH($C1694,'Policy Characteristics'!$C:$C,0))),"",INDEX('Policy Characteristics'!H:H,MATCH($C1694,'Policy Characteristics'!$C:$C,0)))</f>
        <v>0.01</v>
      </c>
      <c r="O1694" s="254" t="str">
        <f>IF(ISBLANK(INDEX('Policy Characteristics'!I:I,MATCH($C1694,'Policy Characteristics'!$C:$C,0))),"",INDEX('Policy Characteristics'!I:I,MATCH($C1694,'Policy Characteristics'!$C:$C,0)))</f>
        <v>% of BAU price</v>
      </c>
      <c r="P1694" s="254" t="str">
        <f>IF(ISBLANK(INDEX('Policy Characteristics'!J:J,MATCH($C1694,'Policy Characteristics'!$C:$C,0))),"",INDEX('Policy Characteristics'!J:J,MATCH($C1694,'Policy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4" s="254" t="str">
        <f>IF(ISBLANK(INDEX('Policy Characteristics'!K:K,MATCH($C1694,'Policy Characteristics'!$C:$C,0))),"",INDEX('Policy Characteristics'!K:K,MATCH($C1694,'Policy Characteristics'!$C:$C,0)))</f>
        <v>fuels.html#fuel-taxes</v>
      </c>
      <c r="R1694" s="254" t="str">
        <f>IF(ISBLANK(INDEX('Policy Characteristics'!L:L,MATCH($C1694,'Policy Characteristics'!$C:$C,0))),"",INDEX('Policy Characteristics'!L:L,MATCH($C1694,'Policy Characteristics'!$C:$C,0)))</f>
        <v>fuel-taxes.html</v>
      </c>
    </row>
    <row r="1695" spans="1:18" s="4" customFormat="1" x14ac:dyDescent="0.3">
      <c r="A1695" s="254" t="str">
        <f>IF(ISBLANK(INDEX('Policy Characteristics'!A:A,MATCH($C1695,'Policy Characteristics'!$C:$C,0))),"",INDEX('Policy Characteristics'!A:A,MATCH($C1695,'Policy Characteristics'!$C:$C,0)))</f>
        <v>Cross-Sector</v>
      </c>
      <c r="B1695" s="262" t="str">
        <f>IF(ISBLANK(INDEX('Policy Characteristics'!B:B,MATCH($C1695,'Policy Characteristics'!$C:$C,0))),"",INDEX('Policy Characteristics'!B:B,MATCH($C1695,'Policy Characteristics'!$C:$C,0)))</f>
        <v>Fuel Taxes or Subsidies</v>
      </c>
      <c r="C1695" s="320" t="str">
        <f t="shared" si="66"/>
        <v>Additional Fuel Tax or Subsidy Rate by Fuel</v>
      </c>
      <c r="D1695" s="6" t="s">
        <v>55</v>
      </c>
      <c r="E1695" s="45" t="s">
        <v>334</v>
      </c>
      <c r="F1695" s="6" t="s">
        <v>97</v>
      </c>
      <c r="G1695" s="45" t="s">
        <v>3774</v>
      </c>
      <c r="H1695" s="43">
        <v>2338</v>
      </c>
      <c r="I1695" s="325" t="s">
        <v>44</v>
      </c>
      <c r="J1695" s="255" t="str">
        <f>IF(ISBLANK(INDEX('Policy Characteristics'!D:D,MATCH($C1695,'Policy Characteristics'!$C:$C,0))),"",INDEX('Policy Characteristics'!D:D,MATCH($C1695,'Policy Characteristics'!$C:$C,0)))</f>
        <v>Fuel Taxes or Subsidies</v>
      </c>
      <c r="K1695" s="254" t="str">
        <f>IF(ISBLANK(INDEX('Policy Characteristics'!E:E,MATCH($C1695,'Policy Characteristics'!$C:$C,0))),"",INDEX('Policy Characteristics'!E:E,MATCH($C1695,'Policy Characteristics'!$C:$C,0)))</f>
        <v>cross fuel tax</v>
      </c>
      <c r="L1695" s="261">
        <f>IF(ISBLANK(INDEX('Policy Characteristics'!F:F,MATCH($C1695,'Policy Characteristics'!$C:$C,0))),"",INDEX('Policy Characteristics'!F:F,MATCH($C1695,'Policy Characteristics'!$C:$C,0)))</f>
        <v>-0.9</v>
      </c>
      <c r="M1695" s="261">
        <f>IF(ISBLANK(INDEX('Policy Characteristics'!G:G,MATCH($C1695,'Policy Characteristics'!$C:$C,0))),"",INDEX('Policy Characteristics'!G:G,MATCH($C1695,'Policy Characteristics'!$C:$C,0)))</f>
        <v>0.9</v>
      </c>
      <c r="N1695" s="261">
        <f>IF(ISBLANK(INDEX('Policy Characteristics'!H:H,MATCH($C1695,'Policy Characteristics'!$C:$C,0))),"",INDEX('Policy Characteristics'!H:H,MATCH($C1695,'Policy Characteristics'!$C:$C,0)))</f>
        <v>0.01</v>
      </c>
      <c r="O1695" s="254" t="str">
        <f>IF(ISBLANK(INDEX('Policy Characteristics'!I:I,MATCH($C1695,'Policy Characteristics'!$C:$C,0))),"",INDEX('Policy Characteristics'!I:I,MATCH($C1695,'Policy Characteristics'!$C:$C,0)))</f>
        <v>% of BAU price</v>
      </c>
      <c r="P1695" s="254" t="str">
        <f>IF(ISBLANK(INDEX('Policy Characteristics'!J:J,MATCH($C1695,'Policy Characteristics'!$C:$C,0))),"",INDEX('Policy Characteristics'!J:J,MATCH($C1695,'Policy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5" s="254" t="str">
        <f>IF(ISBLANK(INDEX('Policy Characteristics'!K:K,MATCH($C1695,'Policy Characteristics'!$C:$C,0))),"",INDEX('Policy Characteristics'!K:K,MATCH($C1695,'Policy Characteristics'!$C:$C,0)))</f>
        <v>fuels.html#fuel-taxes</v>
      </c>
      <c r="R1695" s="254" t="str">
        <f>IF(ISBLANK(INDEX('Policy Characteristics'!L:L,MATCH($C1695,'Policy Characteristics'!$C:$C,0))),"",INDEX('Policy Characteristics'!L:L,MATCH($C1695,'Policy Characteristics'!$C:$C,0)))</f>
        <v>fuel-taxes.html</v>
      </c>
    </row>
    <row r="1696" spans="1:18" s="4" customFormat="1" x14ac:dyDescent="0.3">
      <c r="A1696" s="254" t="str">
        <f>IF(ISBLANK(INDEX('Policy Characteristics'!A:A,MATCH($C1696,'Policy Characteristics'!$C:$C,0))),"",INDEX('Policy Characteristics'!A:A,MATCH($C1696,'Policy Characteristics'!$C:$C,0)))</f>
        <v>Cross-Sector</v>
      </c>
      <c r="B1696" s="262" t="str">
        <f>IF(ISBLANK(INDEX('Policy Characteristics'!B:B,MATCH($C1696,'Policy Characteristics'!$C:$C,0))),"",INDEX('Policy Characteristics'!B:B,MATCH($C1696,'Policy Characteristics'!$C:$C,0)))</f>
        <v>Fuel Taxes or Subsidies</v>
      </c>
      <c r="C1696" s="320" t="str">
        <f t="shared" si="66"/>
        <v>Additional Fuel Tax or Subsidy Rate by Fuel</v>
      </c>
      <c r="D1696" s="6" t="s">
        <v>56</v>
      </c>
      <c r="E1696" s="45" t="s">
        <v>334</v>
      </c>
      <c r="F1696" s="6" t="s">
        <v>98</v>
      </c>
      <c r="G1696" s="45" t="s">
        <v>3774</v>
      </c>
      <c r="H1696" s="43">
        <v>2339</v>
      </c>
      <c r="I1696" s="325" t="s">
        <v>44</v>
      </c>
      <c r="J1696" s="255" t="str">
        <f>IF(ISBLANK(INDEX('Policy Characteristics'!D:D,MATCH($C1696,'Policy Characteristics'!$C:$C,0))),"",INDEX('Policy Characteristics'!D:D,MATCH($C1696,'Policy Characteristics'!$C:$C,0)))</f>
        <v>Fuel Taxes or Subsidies</v>
      </c>
      <c r="K1696" s="254" t="str">
        <f>IF(ISBLANK(INDEX('Policy Characteristics'!E:E,MATCH($C1696,'Policy Characteristics'!$C:$C,0))),"",INDEX('Policy Characteristics'!E:E,MATCH($C1696,'Policy Characteristics'!$C:$C,0)))</f>
        <v>cross fuel tax</v>
      </c>
      <c r="L1696" s="261">
        <f>IF(ISBLANK(INDEX('Policy Characteristics'!F:F,MATCH($C1696,'Policy Characteristics'!$C:$C,0))),"",INDEX('Policy Characteristics'!F:F,MATCH($C1696,'Policy Characteristics'!$C:$C,0)))</f>
        <v>-0.9</v>
      </c>
      <c r="M1696" s="261">
        <f>IF(ISBLANK(INDEX('Policy Characteristics'!G:G,MATCH($C1696,'Policy Characteristics'!$C:$C,0))),"",INDEX('Policy Characteristics'!G:G,MATCH($C1696,'Policy Characteristics'!$C:$C,0)))</f>
        <v>0.9</v>
      </c>
      <c r="N1696" s="261">
        <f>IF(ISBLANK(INDEX('Policy Characteristics'!H:H,MATCH($C1696,'Policy Characteristics'!$C:$C,0))),"",INDEX('Policy Characteristics'!H:H,MATCH($C1696,'Policy Characteristics'!$C:$C,0)))</f>
        <v>0.01</v>
      </c>
      <c r="O1696" s="254" t="str">
        <f>IF(ISBLANK(INDEX('Policy Characteristics'!I:I,MATCH($C1696,'Policy Characteristics'!$C:$C,0))),"",INDEX('Policy Characteristics'!I:I,MATCH($C1696,'Policy Characteristics'!$C:$C,0)))</f>
        <v>% of BAU price</v>
      </c>
      <c r="P1696" s="254" t="str">
        <f>IF(ISBLANK(INDEX('Policy Characteristics'!J:J,MATCH($C1696,'Policy Characteristics'!$C:$C,0))),"",INDEX('Policy Characteristics'!J:J,MATCH($C1696,'Policy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6" s="254" t="str">
        <f>IF(ISBLANK(INDEX('Policy Characteristics'!K:K,MATCH($C1696,'Policy Characteristics'!$C:$C,0))),"",INDEX('Policy Characteristics'!K:K,MATCH($C1696,'Policy Characteristics'!$C:$C,0)))</f>
        <v>fuels.html#fuel-taxes</v>
      </c>
      <c r="R1696" s="254" t="str">
        <f>IF(ISBLANK(INDEX('Policy Characteristics'!L:L,MATCH($C1696,'Policy Characteristics'!$C:$C,0))),"",INDEX('Policy Characteristics'!L:L,MATCH($C1696,'Policy Characteristics'!$C:$C,0)))</f>
        <v>fuel-taxes.html</v>
      </c>
    </row>
    <row r="1697" spans="1:18" x14ac:dyDescent="0.3">
      <c r="A1697" s="254" t="str">
        <f>IF(ISBLANK(INDEX('Policy Characteristics'!A:A,MATCH($C1697,'Policy Characteristics'!$C:$C,0))),"",INDEX('Policy Characteristics'!A:A,MATCH($C1697,'Policy Characteristics'!$C:$C,0)))</f>
        <v>Cross-Sector</v>
      </c>
      <c r="B1697" s="262" t="str">
        <f>IF(ISBLANK(INDEX('Policy Characteristics'!B:B,MATCH($C1697,'Policy Characteristics'!$C:$C,0))),"",INDEX('Policy Characteristics'!B:B,MATCH($C1697,'Policy Characteristics'!$C:$C,0)))</f>
        <v>Fuel Taxes or Subsidies</v>
      </c>
      <c r="C1697" s="320" t="str">
        <f t="shared" si="66"/>
        <v>Additional Fuel Tax or Subsidy Rate by Fuel</v>
      </c>
      <c r="D1697" s="6" t="s">
        <v>2473</v>
      </c>
      <c r="E1697" s="45" t="s">
        <v>334</v>
      </c>
      <c r="F1697" s="6" t="s">
        <v>2474</v>
      </c>
      <c r="G1697" s="45" t="s">
        <v>3774</v>
      </c>
      <c r="H1697" s="43">
        <v>2340</v>
      </c>
      <c r="I1697" s="325" t="s">
        <v>44</v>
      </c>
      <c r="J1697" s="255" t="str">
        <f>IF(ISBLANK(INDEX('Policy Characteristics'!D:D,MATCH($C1697,'Policy Characteristics'!$C:$C,0))),"",INDEX('Policy Characteristics'!D:D,MATCH($C1697,'Policy Characteristics'!$C:$C,0)))</f>
        <v>Fuel Taxes or Subsidies</v>
      </c>
      <c r="K1697" s="254" t="str">
        <f>IF(ISBLANK(INDEX('Policy Characteristics'!E:E,MATCH($C1697,'Policy Characteristics'!$C:$C,0))),"",INDEX('Policy Characteristics'!E:E,MATCH($C1697,'Policy Characteristics'!$C:$C,0)))</f>
        <v>cross fuel tax</v>
      </c>
      <c r="L1697" s="261">
        <f>IF(ISBLANK(INDEX('Policy Characteristics'!F:F,MATCH($C1697,'Policy Characteristics'!$C:$C,0))),"",INDEX('Policy Characteristics'!F:F,MATCH($C1697,'Policy Characteristics'!$C:$C,0)))</f>
        <v>-0.9</v>
      </c>
      <c r="M1697" s="261">
        <f>IF(ISBLANK(INDEX('Policy Characteristics'!G:G,MATCH($C1697,'Policy Characteristics'!$C:$C,0))),"",INDEX('Policy Characteristics'!G:G,MATCH($C1697,'Policy Characteristics'!$C:$C,0)))</f>
        <v>0.9</v>
      </c>
      <c r="N1697" s="261">
        <f>IF(ISBLANK(INDEX('Policy Characteristics'!H:H,MATCH($C1697,'Policy Characteristics'!$C:$C,0))),"",INDEX('Policy Characteristics'!H:H,MATCH($C1697,'Policy Characteristics'!$C:$C,0)))</f>
        <v>0.01</v>
      </c>
      <c r="O1697" s="254" t="str">
        <f>IF(ISBLANK(INDEX('Policy Characteristics'!I:I,MATCH($C1697,'Policy Characteristics'!$C:$C,0))),"",INDEX('Policy Characteristics'!I:I,MATCH($C1697,'Policy Characteristics'!$C:$C,0)))</f>
        <v>% of BAU price</v>
      </c>
      <c r="P1697" s="254" t="str">
        <f>IF(ISBLANK(INDEX('Policy Characteristics'!J:J,MATCH($C1697,'Policy Characteristics'!$C:$C,0))),"",INDEX('Policy Characteristics'!J:J,MATCH($C1697,'Policy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7" s="254" t="str">
        <f>IF(ISBLANK(INDEX('Policy Characteristics'!K:K,MATCH($C1697,'Policy Characteristics'!$C:$C,0))),"",INDEX('Policy Characteristics'!K:K,MATCH($C1697,'Policy Characteristics'!$C:$C,0)))</f>
        <v>fuels.html#fuel-taxes</v>
      </c>
      <c r="R1697" s="254" t="str">
        <f>IF(ISBLANK(INDEX('Policy Characteristics'!L:L,MATCH($C1697,'Policy Characteristics'!$C:$C,0))),"",INDEX('Policy Characteristics'!L:L,MATCH($C1697,'Policy Characteristics'!$C:$C,0)))</f>
        <v>fuel-taxes.html</v>
      </c>
    </row>
    <row r="1698" spans="1:18" x14ac:dyDescent="0.3">
      <c r="A1698" s="254" t="str">
        <f>IF(ISBLANK(INDEX('Policy Characteristics'!A:A,MATCH($C1698,'Policy Characteristics'!$C:$C,0))),"",INDEX('Policy Characteristics'!A:A,MATCH($C1698,'Policy Characteristics'!$C:$C,0)))</f>
        <v>Cross-Sector</v>
      </c>
      <c r="B1698" s="262" t="str">
        <f>IF(ISBLANK(INDEX('Policy Characteristics'!B:B,MATCH($C1698,'Policy Characteristics'!$C:$C,0))),"",INDEX('Policy Characteristics'!B:B,MATCH($C1698,'Policy Characteristics'!$C:$C,0)))</f>
        <v>Fuel Taxes or Subsidies</v>
      </c>
      <c r="C1698" s="320" t="str">
        <f t="shared" si="66"/>
        <v>Additional Fuel Tax or Subsidy Rate by Fuel</v>
      </c>
      <c r="D1698" s="6" t="s">
        <v>75</v>
      </c>
      <c r="E1698" s="45" t="s">
        <v>334</v>
      </c>
      <c r="F1698" s="6" t="s">
        <v>99</v>
      </c>
      <c r="G1698" s="45" t="s">
        <v>3774</v>
      </c>
      <c r="H1698" s="43">
        <v>2341</v>
      </c>
      <c r="I1698" s="325" t="s">
        <v>44</v>
      </c>
      <c r="J1698" s="255" t="str">
        <f>IF(ISBLANK(INDEX('Policy Characteristics'!D:D,MATCH($C1698,'Policy Characteristics'!$C:$C,0))),"",INDEX('Policy Characteristics'!D:D,MATCH($C1698,'Policy Characteristics'!$C:$C,0)))</f>
        <v>Fuel Taxes or Subsidies</v>
      </c>
      <c r="K1698" s="254" t="str">
        <f>IF(ISBLANK(INDEX('Policy Characteristics'!E:E,MATCH($C1698,'Policy Characteristics'!$C:$C,0))),"",INDEX('Policy Characteristics'!E:E,MATCH($C1698,'Policy Characteristics'!$C:$C,0)))</f>
        <v>cross fuel tax</v>
      </c>
      <c r="L1698" s="261">
        <f>IF(ISBLANK(INDEX('Policy Characteristics'!F:F,MATCH($C1698,'Policy Characteristics'!$C:$C,0))),"",INDEX('Policy Characteristics'!F:F,MATCH($C1698,'Policy Characteristics'!$C:$C,0)))</f>
        <v>-0.9</v>
      </c>
      <c r="M1698" s="261">
        <f>IF(ISBLANK(INDEX('Policy Characteristics'!G:G,MATCH($C1698,'Policy Characteristics'!$C:$C,0))),"",INDEX('Policy Characteristics'!G:G,MATCH($C1698,'Policy Characteristics'!$C:$C,0)))</f>
        <v>0.9</v>
      </c>
      <c r="N1698" s="261">
        <f>IF(ISBLANK(INDEX('Policy Characteristics'!H:H,MATCH($C1698,'Policy Characteristics'!$C:$C,0))),"",INDEX('Policy Characteristics'!H:H,MATCH($C1698,'Policy Characteristics'!$C:$C,0)))</f>
        <v>0.01</v>
      </c>
      <c r="O1698" s="254" t="str">
        <f>IF(ISBLANK(INDEX('Policy Characteristics'!I:I,MATCH($C1698,'Policy Characteristics'!$C:$C,0))),"",INDEX('Policy Characteristics'!I:I,MATCH($C1698,'Policy Characteristics'!$C:$C,0)))</f>
        <v>% of BAU price</v>
      </c>
      <c r="P1698" s="254" t="str">
        <f>IF(ISBLANK(INDEX('Policy Characteristics'!J:J,MATCH($C1698,'Policy Characteristics'!$C:$C,0))),"",INDEX('Policy Characteristics'!J:J,MATCH($C1698,'Policy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8" s="254" t="str">
        <f>IF(ISBLANK(INDEX('Policy Characteristics'!K:K,MATCH($C1698,'Policy Characteristics'!$C:$C,0))),"",INDEX('Policy Characteristics'!K:K,MATCH($C1698,'Policy Characteristics'!$C:$C,0)))</f>
        <v>fuels.html#fuel-taxes</v>
      </c>
      <c r="R1698" s="254" t="str">
        <f>IF(ISBLANK(INDEX('Policy Characteristics'!L:L,MATCH($C1698,'Policy Characteristics'!$C:$C,0))),"",INDEX('Policy Characteristics'!L:L,MATCH($C1698,'Policy Characteristics'!$C:$C,0)))</f>
        <v>fuel-taxes.html</v>
      </c>
    </row>
    <row r="1699" spans="1:18" x14ac:dyDescent="0.3">
      <c r="A1699" s="254" t="str">
        <f>IF(ISBLANK(INDEX('Policy Characteristics'!A:A,MATCH($C1699,'Policy Characteristics'!$C:$C,0))),"",INDEX('Policy Characteristics'!A:A,MATCH($C1699,'Policy Characteristics'!$C:$C,0)))</f>
        <v>Cross-Sector</v>
      </c>
      <c r="B1699" s="262" t="str">
        <f>IF(ISBLANK(INDEX('Policy Characteristics'!B:B,MATCH($C1699,'Policy Characteristics'!$C:$C,0))),"",INDEX('Policy Characteristics'!B:B,MATCH($C1699,'Policy Characteristics'!$C:$C,0)))</f>
        <v>Fuel Taxes or Subsidies</v>
      </c>
      <c r="C1699" s="320" t="str">
        <f t="shared" si="66"/>
        <v>Additional Fuel Tax or Subsidy Rate by Fuel</v>
      </c>
      <c r="D1699" s="6" t="s">
        <v>442</v>
      </c>
      <c r="E1699" s="45" t="s">
        <v>334</v>
      </c>
      <c r="F1699" s="6" t="s">
        <v>443</v>
      </c>
      <c r="G1699" s="45" t="s">
        <v>3774</v>
      </c>
      <c r="H1699" s="43">
        <v>2342</v>
      </c>
      <c r="I1699" s="325" t="s">
        <v>44</v>
      </c>
      <c r="J1699" s="255" t="str">
        <f>IF(ISBLANK(INDEX('Policy Characteristics'!D:D,MATCH($C1699,'Policy Characteristics'!$C:$C,0))),"",INDEX('Policy Characteristics'!D:D,MATCH($C1699,'Policy Characteristics'!$C:$C,0)))</f>
        <v>Fuel Taxes or Subsidies</v>
      </c>
      <c r="K1699" s="254" t="str">
        <f>IF(ISBLANK(INDEX('Policy Characteristics'!E:E,MATCH($C1699,'Policy Characteristics'!$C:$C,0))),"",INDEX('Policy Characteristics'!E:E,MATCH($C1699,'Policy Characteristics'!$C:$C,0)))</f>
        <v>cross fuel tax</v>
      </c>
      <c r="L1699" s="261">
        <f>IF(ISBLANK(INDEX('Policy Characteristics'!F:F,MATCH($C1699,'Policy Characteristics'!$C:$C,0))),"",INDEX('Policy Characteristics'!F:F,MATCH($C1699,'Policy Characteristics'!$C:$C,0)))</f>
        <v>-0.9</v>
      </c>
      <c r="M1699" s="261">
        <f>IF(ISBLANK(INDEX('Policy Characteristics'!G:G,MATCH($C1699,'Policy Characteristics'!$C:$C,0))),"",INDEX('Policy Characteristics'!G:G,MATCH($C1699,'Policy Characteristics'!$C:$C,0)))</f>
        <v>0.9</v>
      </c>
      <c r="N1699" s="261">
        <f>IF(ISBLANK(INDEX('Policy Characteristics'!H:H,MATCH($C1699,'Policy Characteristics'!$C:$C,0))),"",INDEX('Policy Characteristics'!H:H,MATCH($C1699,'Policy Characteristics'!$C:$C,0)))</f>
        <v>0.01</v>
      </c>
      <c r="O1699" s="254" t="str">
        <f>IF(ISBLANK(INDEX('Policy Characteristics'!I:I,MATCH($C1699,'Policy Characteristics'!$C:$C,0))),"",INDEX('Policy Characteristics'!I:I,MATCH($C1699,'Policy Characteristics'!$C:$C,0)))</f>
        <v>% of BAU price</v>
      </c>
      <c r="P1699" s="254" t="str">
        <f>IF(ISBLANK(INDEX('Policy Characteristics'!J:J,MATCH($C1699,'Policy Characteristics'!$C:$C,0))),"",INDEX('Policy Characteristics'!J:J,MATCH($C1699,'Policy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699" s="254" t="str">
        <f>IF(ISBLANK(INDEX('Policy Characteristics'!K:K,MATCH($C1699,'Policy Characteristics'!$C:$C,0))),"",INDEX('Policy Characteristics'!K:K,MATCH($C1699,'Policy Characteristics'!$C:$C,0)))</f>
        <v>fuels.html#fuel-taxes</v>
      </c>
      <c r="R1699" s="254" t="str">
        <f>IF(ISBLANK(INDEX('Policy Characteristics'!L:L,MATCH($C1699,'Policy Characteristics'!$C:$C,0))),"",INDEX('Policy Characteristics'!L:L,MATCH($C1699,'Policy Characteristics'!$C:$C,0)))</f>
        <v>fuel-taxes.html</v>
      </c>
    </row>
    <row r="1700" spans="1:18" x14ac:dyDescent="0.3">
      <c r="A1700" s="254" t="str">
        <f>IF(ISBLANK(INDEX('Policy Characteristics'!A:A,MATCH($C1700,'Policy Characteristics'!$C:$C,0))),"",INDEX('Policy Characteristics'!A:A,MATCH($C1700,'Policy Characteristics'!$C:$C,0)))</f>
        <v>Cross-Sector</v>
      </c>
      <c r="B1700" s="262" t="str">
        <f>IF(ISBLANK(INDEX('Policy Characteristics'!B:B,MATCH($C1700,'Policy Characteristics'!$C:$C,0))),"",INDEX('Policy Characteristics'!B:B,MATCH($C1700,'Policy Characteristics'!$C:$C,0)))</f>
        <v>Fuel Taxes or Subsidies</v>
      </c>
      <c r="C1700" s="320" t="str">
        <f t="shared" si="66"/>
        <v>Additional Fuel Tax or Subsidy Rate by Fuel</v>
      </c>
      <c r="D1700" s="6" t="s">
        <v>2465</v>
      </c>
      <c r="E1700" s="45" t="s">
        <v>334</v>
      </c>
      <c r="F1700" s="6" t="s">
        <v>2469</v>
      </c>
      <c r="G1700" s="45" t="s">
        <v>3774</v>
      </c>
      <c r="H1700" s="43">
        <v>2343</v>
      </c>
      <c r="I1700" s="325" t="s">
        <v>44</v>
      </c>
      <c r="J1700" s="255" t="str">
        <f>IF(ISBLANK(INDEX('Policy Characteristics'!D:D,MATCH($C1700,'Policy Characteristics'!$C:$C,0))),"",INDEX('Policy Characteristics'!D:D,MATCH($C1700,'Policy Characteristics'!$C:$C,0)))</f>
        <v>Fuel Taxes or Subsidies</v>
      </c>
      <c r="K1700" s="254" t="str">
        <f>IF(ISBLANK(INDEX('Policy Characteristics'!E:E,MATCH($C1700,'Policy Characteristics'!$C:$C,0))),"",INDEX('Policy Characteristics'!E:E,MATCH($C1700,'Policy Characteristics'!$C:$C,0)))</f>
        <v>cross fuel tax</v>
      </c>
      <c r="L1700" s="261">
        <f>IF(ISBLANK(INDEX('Policy Characteristics'!F:F,MATCH($C1700,'Policy Characteristics'!$C:$C,0))),"",INDEX('Policy Characteristics'!F:F,MATCH($C1700,'Policy Characteristics'!$C:$C,0)))</f>
        <v>-0.9</v>
      </c>
      <c r="M1700" s="261">
        <f>IF(ISBLANK(INDEX('Policy Characteristics'!G:G,MATCH($C1700,'Policy Characteristics'!$C:$C,0))),"",INDEX('Policy Characteristics'!G:G,MATCH($C1700,'Policy Characteristics'!$C:$C,0)))</f>
        <v>0.9</v>
      </c>
      <c r="N1700" s="261">
        <f>IF(ISBLANK(INDEX('Policy Characteristics'!H:H,MATCH($C1700,'Policy Characteristics'!$C:$C,0))),"",INDEX('Policy Characteristics'!H:H,MATCH($C1700,'Policy Characteristics'!$C:$C,0)))</f>
        <v>0.01</v>
      </c>
      <c r="O1700" s="254" t="str">
        <f>IF(ISBLANK(INDEX('Policy Characteristics'!I:I,MATCH($C1700,'Policy Characteristics'!$C:$C,0))),"",INDEX('Policy Characteristics'!I:I,MATCH($C1700,'Policy Characteristics'!$C:$C,0)))</f>
        <v>% of BAU price</v>
      </c>
      <c r="P1700" s="254" t="str">
        <f>IF(ISBLANK(INDEX('Policy Characteristics'!J:J,MATCH($C1700,'Policy Characteristics'!$C:$C,0))),"",INDEX('Policy Characteristics'!J:J,MATCH($C1700,'Policy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0" s="254" t="str">
        <f>IF(ISBLANK(INDEX('Policy Characteristics'!K:K,MATCH($C1700,'Policy Characteristics'!$C:$C,0))),"",INDEX('Policy Characteristics'!K:K,MATCH($C1700,'Policy Characteristics'!$C:$C,0)))</f>
        <v>fuels.html#fuel-taxes</v>
      </c>
      <c r="R1700" s="254" t="str">
        <f>IF(ISBLANK(INDEX('Policy Characteristics'!L:L,MATCH($C1700,'Policy Characteristics'!$C:$C,0))),"",INDEX('Policy Characteristics'!L:L,MATCH($C1700,'Policy Characteristics'!$C:$C,0)))</f>
        <v>fuel-taxes.html</v>
      </c>
    </row>
    <row r="1701" spans="1:18" x14ac:dyDescent="0.3">
      <c r="A1701" s="254" t="str">
        <f>IF(ISBLANK(INDEX('Policy Characteristics'!A:A,MATCH($C1701,'Policy Characteristics'!$C:$C,0))),"",INDEX('Policy Characteristics'!A:A,MATCH($C1701,'Policy Characteristics'!$C:$C,0)))</f>
        <v>Cross-Sector</v>
      </c>
      <c r="B1701" s="262" t="str">
        <f>IF(ISBLANK(INDEX('Policy Characteristics'!B:B,MATCH($C1701,'Policy Characteristics'!$C:$C,0))),"",INDEX('Policy Characteristics'!B:B,MATCH($C1701,'Policy Characteristics'!$C:$C,0)))</f>
        <v>Fuel Taxes or Subsidies</v>
      </c>
      <c r="C1701" s="320" t="str">
        <f t="shared" si="66"/>
        <v>Additional Fuel Tax or Subsidy Rate by Fuel</v>
      </c>
      <c r="D1701" s="6" t="s">
        <v>2475</v>
      </c>
      <c r="E1701" s="45" t="s">
        <v>334</v>
      </c>
      <c r="F1701" s="6" t="s">
        <v>2476</v>
      </c>
      <c r="G1701" s="45" t="s">
        <v>3774</v>
      </c>
      <c r="H1701" s="43">
        <v>2344</v>
      </c>
      <c r="I1701" s="325" t="s">
        <v>44</v>
      </c>
      <c r="J1701" s="255" t="str">
        <f>IF(ISBLANK(INDEX('Policy Characteristics'!D:D,MATCH($C1701,'Policy Characteristics'!$C:$C,0))),"",INDEX('Policy Characteristics'!D:D,MATCH($C1701,'Policy Characteristics'!$C:$C,0)))</f>
        <v>Fuel Taxes or Subsidies</v>
      </c>
      <c r="K1701" s="254" t="str">
        <f>IF(ISBLANK(INDEX('Policy Characteristics'!E:E,MATCH($C1701,'Policy Characteristics'!$C:$C,0))),"",INDEX('Policy Characteristics'!E:E,MATCH($C1701,'Policy Characteristics'!$C:$C,0)))</f>
        <v>cross fuel tax</v>
      </c>
      <c r="L1701" s="261">
        <f>IF(ISBLANK(INDEX('Policy Characteristics'!F:F,MATCH($C1701,'Policy Characteristics'!$C:$C,0))),"",INDEX('Policy Characteristics'!F:F,MATCH($C1701,'Policy Characteristics'!$C:$C,0)))</f>
        <v>-0.9</v>
      </c>
      <c r="M1701" s="261">
        <f>IF(ISBLANK(INDEX('Policy Characteristics'!G:G,MATCH($C1701,'Policy Characteristics'!$C:$C,0))),"",INDEX('Policy Characteristics'!G:G,MATCH($C1701,'Policy Characteristics'!$C:$C,0)))</f>
        <v>0.9</v>
      </c>
      <c r="N1701" s="261">
        <f>IF(ISBLANK(INDEX('Policy Characteristics'!H:H,MATCH($C1701,'Policy Characteristics'!$C:$C,0))),"",INDEX('Policy Characteristics'!H:H,MATCH($C1701,'Policy Characteristics'!$C:$C,0)))</f>
        <v>0.01</v>
      </c>
      <c r="O1701" s="254" t="str">
        <f>IF(ISBLANK(INDEX('Policy Characteristics'!I:I,MATCH($C1701,'Policy Characteristics'!$C:$C,0))),"",INDEX('Policy Characteristics'!I:I,MATCH($C1701,'Policy Characteristics'!$C:$C,0)))</f>
        <v>% of BAU price</v>
      </c>
      <c r="P1701" s="254" t="str">
        <f>IF(ISBLANK(INDEX('Policy Characteristics'!J:J,MATCH($C1701,'Policy Characteristics'!$C:$C,0))),"",INDEX('Policy Characteristics'!J:J,MATCH($C1701,'Policy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1" s="254" t="str">
        <f>IF(ISBLANK(INDEX('Policy Characteristics'!K:K,MATCH($C1701,'Policy Characteristics'!$C:$C,0))),"",INDEX('Policy Characteristics'!K:K,MATCH($C1701,'Policy Characteristics'!$C:$C,0)))</f>
        <v>fuels.html#fuel-taxes</v>
      </c>
      <c r="R1701" s="254" t="str">
        <f>IF(ISBLANK(INDEX('Policy Characteristics'!L:L,MATCH($C1701,'Policy Characteristics'!$C:$C,0))),"",INDEX('Policy Characteristics'!L:L,MATCH($C1701,'Policy Characteristics'!$C:$C,0)))</f>
        <v>fuel-taxes.html</v>
      </c>
    </row>
    <row r="1702" spans="1:18" x14ac:dyDescent="0.3">
      <c r="A1702" s="254" t="str">
        <f>IF(ISBLANK(INDEX('Policy Characteristics'!A:A,MATCH($C1702,'Policy Characteristics'!$C:$C,0))),"",INDEX('Policy Characteristics'!A:A,MATCH($C1702,'Policy Characteristics'!$C:$C,0)))</f>
        <v>Cross-Sector</v>
      </c>
      <c r="B1702" s="262" t="str">
        <f>IF(ISBLANK(INDEX('Policy Characteristics'!B:B,MATCH($C1702,'Policy Characteristics'!$C:$C,0))),"",INDEX('Policy Characteristics'!B:B,MATCH($C1702,'Policy Characteristics'!$C:$C,0)))</f>
        <v>Fuel Taxes or Subsidies</v>
      </c>
      <c r="C1702" s="320" t="str">
        <f t="shared" si="66"/>
        <v>Additional Fuel Tax or Subsidy Rate by Fuel</v>
      </c>
      <c r="D1702" s="6" t="s">
        <v>2466</v>
      </c>
      <c r="E1702" s="45" t="s">
        <v>334</v>
      </c>
      <c r="F1702" s="6" t="s">
        <v>2470</v>
      </c>
      <c r="G1702" s="45" t="s">
        <v>3774</v>
      </c>
      <c r="H1702" s="43">
        <v>2345</v>
      </c>
      <c r="I1702" s="325" t="s">
        <v>44</v>
      </c>
      <c r="J1702" s="255" t="str">
        <f>IF(ISBLANK(INDEX('Policy Characteristics'!D:D,MATCH($C1702,'Policy Characteristics'!$C:$C,0))),"",INDEX('Policy Characteristics'!D:D,MATCH($C1702,'Policy Characteristics'!$C:$C,0)))</f>
        <v>Fuel Taxes or Subsidies</v>
      </c>
      <c r="K1702" s="254" t="str">
        <f>IF(ISBLANK(INDEX('Policy Characteristics'!E:E,MATCH($C1702,'Policy Characteristics'!$C:$C,0))),"",INDEX('Policy Characteristics'!E:E,MATCH($C1702,'Policy Characteristics'!$C:$C,0)))</f>
        <v>cross fuel tax</v>
      </c>
      <c r="L1702" s="261">
        <f>IF(ISBLANK(INDEX('Policy Characteristics'!F:F,MATCH($C1702,'Policy Characteristics'!$C:$C,0))),"",INDEX('Policy Characteristics'!F:F,MATCH($C1702,'Policy Characteristics'!$C:$C,0)))</f>
        <v>-0.9</v>
      </c>
      <c r="M1702" s="261">
        <f>IF(ISBLANK(INDEX('Policy Characteristics'!G:G,MATCH($C1702,'Policy Characteristics'!$C:$C,0))),"",INDEX('Policy Characteristics'!G:G,MATCH($C1702,'Policy Characteristics'!$C:$C,0)))</f>
        <v>0.9</v>
      </c>
      <c r="N1702" s="261">
        <f>IF(ISBLANK(INDEX('Policy Characteristics'!H:H,MATCH($C1702,'Policy Characteristics'!$C:$C,0))),"",INDEX('Policy Characteristics'!H:H,MATCH($C1702,'Policy Characteristics'!$C:$C,0)))</f>
        <v>0.01</v>
      </c>
      <c r="O1702" s="254" t="str">
        <f>IF(ISBLANK(INDEX('Policy Characteristics'!I:I,MATCH($C1702,'Policy Characteristics'!$C:$C,0))),"",INDEX('Policy Characteristics'!I:I,MATCH($C1702,'Policy Characteristics'!$C:$C,0)))</f>
        <v>% of BAU price</v>
      </c>
      <c r="P1702" s="254" t="str">
        <f>IF(ISBLANK(INDEX('Policy Characteristics'!J:J,MATCH($C1702,'Policy Characteristics'!$C:$C,0))),"",INDEX('Policy Characteristics'!J:J,MATCH($C1702,'Policy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2" s="254" t="str">
        <f>IF(ISBLANK(INDEX('Policy Characteristics'!K:K,MATCH($C1702,'Policy Characteristics'!$C:$C,0))),"",INDEX('Policy Characteristics'!K:K,MATCH($C1702,'Policy Characteristics'!$C:$C,0)))</f>
        <v>fuels.html#fuel-taxes</v>
      </c>
      <c r="R1702" s="254" t="str">
        <f>IF(ISBLANK(INDEX('Policy Characteristics'!L:L,MATCH($C1702,'Policy Characteristics'!$C:$C,0))),"",INDEX('Policy Characteristics'!L:L,MATCH($C1702,'Policy Characteristics'!$C:$C,0)))</f>
        <v>fuel-taxes.html</v>
      </c>
    </row>
    <row r="1703" spans="1:18" x14ac:dyDescent="0.3">
      <c r="A1703" s="254" t="str">
        <f>IF(ISBLANK(INDEX('Policy Characteristics'!A:A,MATCH($C1703,'Policy Characteristics'!$C:$C,0))),"",INDEX('Policy Characteristics'!A:A,MATCH($C1703,'Policy Characteristics'!$C:$C,0)))</f>
        <v>Cross-Sector</v>
      </c>
      <c r="B1703" s="262" t="str">
        <f>IF(ISBLANK(INDEX('Policy Characteristics'!B:B,MATCH($C1703,'Policy Characteristics'!$C:$C,0))),"",INDEX('Policy Characteristics'!B:B,MATCH($C1703,'Policy Characteristics'!$C:$C,0)))</f>
        <v>Fuel Taxes or Subsidies</v>
      </c>
      <c r="C1703" s="320" t="str">
        <f t="shared" si="66"/>
        <v>Additional Fuel Tax or Subsidy Rate by Fuel</v>
      </c>
      <c r="D1703" s="6" t="s">
        <v>2467</v>
      </c>
      <c r="E1703" s="45" t="s">
        <v>334</v>
      </c>
      <c r="F1703" s="6" t="s">
        <v>2471</v>
      </c>
      <c r="G1703" s="45" t="s">
        <v>3774</v>
      </c>
      <c r="H1703" s="43">
        <v>2346</v>
      </c>
      <c r="I1703" s="325" t="s">
        <v>44</v>
      </c>
      <c r="J1703" s="255" t="str">
        <f>IF(ISBLANK(INDEX('Policy Characteristics'!D:D,MATCH($C1703,'Policy Characteristics'!$C:$C,0))),"",INDEX('Policy Characteristics'!D:D,MATCH($C1703,'Policy Characteristics'!$C:$C,0)))</f>
        <v>Fuel Taxes or Subsidies</v>
      </c>
      <c r="K1703" s="254" t="str">
        <f>IF(ISBLANK(INDEX('Policy Characteristics'!E:E,MATCH($C1703,'Policy Characteristics'!$C:$C,0))),"",INDEX('Policy Characteristics'!E:E,MATCH($C1703,'Policy Characteristics'!$C:$C,0)))</f>
        <v>cross fuel tax</v>
      </c>
      <c r="L1703" s="261">
        <f>IF(ISBLANK(INDEX('Policy Characteristics'!F:F,MATCH($C1703,'Policy Characteristics'!$C:$C,0))),"",INDEX('Policy Characteristics'!F:F,MATCH($C1703,'Policy Characteristics'!$C:$C,0)))</f>
        <v>-0.9</v>
      </c>
      <c r="M1703" s="261">
        <f>IF(ISBLANK(INDEX('Policy Characteristics'!G:G,MATCH($C1703,'Policy Characteristics'!$C:$C,0))),"",INDEX('Policy Characteristics'!G:G,MATCH($C1703,'Policy Characteristics'!$C:$C,0)))</f>
        <v>0.9</v>
      </c>
      <c r="N1703" s="261">
        <f>IF(ISBLANK(INDEX('Policy Characteristics'!H:H,MATCH($C1703,'Policy Characteristics'!$C:$C,0))),"",INDEX('Policy Characteristics'!H:H,MATCH($C1703,'Policy Characteristics'!$C:$C,0)))</f>
        <v>0.01</v>
      </c>
      <c r="O1703" s="254" t="str">
        <f>IF(ISBLANK(INDEX('Policy Characteristics'!I:I,MATCH($C1703,'Policy Characteristics'!$C:$C,0))),"",INDEX('Policy Characteristics'!I:I,MATCH($C1703,'Policy Characteristics'!$C:$C,0)))</f>
        <v>% of BAU price</v>
      </c>
      <c r="P1703" s="254"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4" t="str">
        <f>IF(ISBLANK(INDEX('Policy Characteristics'!K:K,MATCH($C1703,'Policy Characteristics'!$C:$C,0))),"",INDEX('Policy Characteristics'!K:K,MATCH($C1703,'Policy Characteristics'!$C:$C,0)))</f>
        <v>fuels.html#fuel-taxes</v>
      </c>
      <c r="R1703" s="254" t="str">
        <f>IF(ISBLANK(INDEX('Policy Characteristics'!L:L,MATCH($C1703,'Policy Characteristics'!$C:$C,0))),"",INDEX('Policy Characteristics'!L:L,MATCH($C1703,'Policy Characteristics'!$C:$C,0)))</f>
        <v>fuel-taxes.html</v>
      </c>
    </row>
    <row r="1704" spans="1:18" x14ac:dyDescent="0.3">
      <c r="A1704" s="254" t="str">
        <f>IF(ISBLANK(INDEX('Policy Characteristics'!A:A,MATCH($C1704,'Policy Characteristics'!$C:$C,0))),"",INDEX('Policy Characteristics'!A:A,MATCH($C1704,'Policy Characteristics'!$C:$C,0)))</f>
        <v>Cross-Sector</v>
      </c>
      <c r="B1704" s="262" t="str">
        <f>IF(ISBLANK(INDEX('Policy Characteristics'!B:B,MATCH($C1704,'Policy Characteristics'!$C:$C,0))),"",INDEX('Policy Characteristics'!B:B,MATCH($C1704,'Policy Characteristics'!$C:$C,0)))</f>
        <v>Fuel Taxes or Subsidies</v>
      </c>
      <c r="C1704" s="320" t="str">
        <f t="shared" si="66"/>
        <v>Additional Fuel Tax or Subsidy Rate by Fuel</v>
      </c>
      <c r="D1704" s="6" t="s">
        <v>2468</v>
      </c>
      <c r="E1704" s="45" t="s">
        <v>334</v>
      </c>
      <c r="F1704" s="6" t="s">
        <v>2472</v>
      </c>
      <c r="G1704" s="45" t="s">
        <v>3774</v>
      </c>
      <c r="H1704" s="43">
        <v>2347</v>
      </c>
      <c r="I1704" s="325" t="s">
        <v>44</v>
      </c>
      <c r="J1704" s="255" t="str">
        <f>IF(ISBLANK(INDEX('Policy Characteristics'!D:D,MATCH($C1704,'Policy Characteristics'!$C:$C,0))),"",INDEX('Policy Characteristics'!D:D,MATCH($C1704,'Policy Characteristics'!$C:$C,0)))</f>
        <v>Fuel Taxes or Subsidies</v>
      </c>
      <c r="K1704" s="254" t="str">
        <f>IF(ISBLANK(INDEX('Policy Characteristics'!E:E,MATCH($C1704,'Policy Characteristics'!$C:$C,0))),"",INDEX('Policy Characteristics'!E:E,MATCH($C1704,'Policy Characteristics'!$C:$C,0)))</f>
        <v>cross fuel tax</v>
      </c>
      <c r="L1704" s="261">
        <f>IF(ISBLANK(INDEX('Policy Characteristics'!F:F,MATCH($C1704,'Policy Characteristics'!$C:$C,0))),"",INDEX('Policy Characteristics'!F:F,MATCH($C1704,'Policy Characteristics'!$C:$C,0)))</f>
        <v>-0.9</v>
      </c>
      <c r="M1704" s="261">
        <f>IF(ISBLANK(INDEX('Policy Characteristics'!G:G,MATCH($C1704,'Policy Characteristics'!$C:$C,0))),"",INDEX('Policy Characteristics'!G:G,MATCH($C1704,'Policy Characteristics'!$C:$C,0)))</f>
        <v>0.9</v>
      </c>
      <c r="N1704" s="261">
        <f>IF(ISBLANK(INDEX('Policy Characteristics'!H:H,MATCH($C1704,'Policy Characteristics'!$C:$C,0))),"",INDEX('Policy Characteristics'!H:H,MATCH($C1704,'Policy Characteristics'!$C:$C,0)))</f>
        <v>0.01</v>
      </c>
      <c r="O1704" s="254" t="str">
        <f>IF(ISBLANK(INDEX('Policy Characteristics'!I:I,MATCH($C1704,'Policy Characteristics'!$C:$C,0))),"",INDEX('Policy Characteristics'!I:I,MATCH($C1704,'Policy Characteristics'!$C:$C,0)))</f>
        <v>% of BAU price</v>
      </c>
      <c r="P1704" s="254"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4" t="str">
        <f>IF(ISBLANK(INDEX('Policy Characteristics'!K:K,MATCH($C1704,'Policy Characteristics'!$C:$C,0))),"",INDEX('Policy Characteristics'!K:K,MATCH($C1704,'Policy Characteristics'!$C:$C,0)))</f>
        <v>fuels.html#fuel-taxes</v>
      </c>
      <c r="R1704" s="254" t="str">
        <f>IF(ISBLANK(INDEX('Policy Characteristics'!L:L,MATCH($C1704,'Policy Characteristics'!$C:$C,0))),"",INDEX('Policy Characteristics'!L:L,MATCH($C1704,'Policy Characteristics'!$C:$C,0)))</f>
        <v>fuel-taxes.html</v>
      </c>
    </row>
    <row r="1705" spans="1:18" s="4" customFormat="1" x14ac:dyDescent="0.3">
      <c r="A1705" s="254" t="str">
        <f>IF(ISBLANK(INDEX('Policy Characteristics'!A:A,MATCH($C1705,'Policy Characteristics'!$C:$C,0))),"",INDEX('Policy Characteristics'!A:A,MATCH($C1705,'Policy Characteristics'!$C:$C,0)))</f>
        <v>Cross-Sector</v>
      </c>
      <c r="B1705" s="262" t="str">
        <f>IF(ISBLANK(INDEX('Policy Characteristics'!B:B,MATCH($C1705,'Policy Characteristics'!$C:$C,0))),"",INDEX('Policy Characteristics'!B:B,MATCH($C1705,'Policy Characteristics'!$C:$C,0)))</f>
        <v>Fuel Taxes or Subsidies</v>
      </c>
      <c r="C1705" s="320" t="str">
        <f t="shared" si="66"/>
        <v>Additional Fuel Tax or Subsidy Rate by Fuel</v>
      </c>
      <c r="D1705" s="45" t="s">
        <v>52</v>
      </c>
      <c r="E1705" s="45" t="s">
        <v>335</v>
      </c>
      <c r="F1705" s="45" t="s">
        <v>93</v>
      </c>
      <c r="G1705" s="45" t="s">
        <v>2586</v>
      </c>
      <c r="H1705" s="43">
        <v>2348</v>
      </c>
      <c r="I1705" s="324" t="s">
        <v>43</v>
      </c>
      <c r="J1705" s="255" t="str">
        <f>IF(ISBLANK(INDEX('Policy Characteristics'!D:D,MATCH($C1705,'Policy Characteristics'!$C:$C,0))),"",INDEX('Policy Characteristics'!D:D,MATCH($C1705,'Policy Characteristics'!$C:$C,0)))</f>
        <v>Fuel Taxes or Subsidies</v>
      </c>
      <c r="K1705" s="254" t="str">
        <f>IF(ISBLANK(INDEX('Policy Characteristics'!E:E,MATCH($C1705,'Policy Characteristics'!$C:$C,0))),"",INDEX('Policy Characteristics'!E:E,MATCH($C1705,'Policy Characteristics'!$C:$C,0)))</f>
        <v>cross fuel tax</v>
      </c>
      <c r="L1705" s="261">
        <f>IF(ISBLANK(INDEX('Policy Characteristics'!F:F,MATCH($C1705,'Policy Characteristics'!$C:$C,0))),"",INDEX('Policy Characteristics'!F:F,MATCH($C1705,'Policy Characteristics'!$C:$C,0)))</f>
        <v>-0.9</v>
      </c>
      <c r="M1705" s="261">
        <f>IF(ISBLANK(INDEX('Policy Characteristics'!G:G,MATCH($C1705,'Policy Characteristics'!$C:$C,0))),"",INDEX('Policy Characteristics'!G:G,MATCH($C1705,'Policy Characteristics'!$C:$C,0)))</f>
        <v>0.9</v>
      </c>
      <c r="N1705" s="261">
        <f>IF(ISBLANK(INDEX('Policy Characteristics'!H:H,MATCH($C1705,'Policy Characteristics'!$C:$C,0))),"",INDEX('Policy Characteristics'!H:H,MATCH($C1705,'Policy Characteristics'!$C:$C,0)))</f>
        <v>0.01</v>
      </c>
      <c r="O1705" s="254" t="str">
        <f>IF(ISBLANK(INDEX('Policy Characteristics'!I:I,MATCH($C1705,'Policy Characteristics'!$C:$C,0))),"",INDEX('Policy Characteristics'!I:I,MATCH($C1705,'Policy Characteristics'!$C:$C,0)))</f>
        <v>% of BAU price</v>
      </c>
      <c r="P1705" s="254"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4" t="str">
        <f>IF(ISBLANK(INDEX('Policy Characteristics'!K:K,MATCH($C1705,'Policy Characteristics'!$C:$C,0))),"",INDEX('Policy Characteristics'!K:K,MATCH($C1705,'Policy Characteristics'!$C:$C,0)))</f>
        <v>fuels.html#fuel-taxes</v>
      </c>
      <c r="R1705" s="254" t="str">
        <f>IF(ISBLANK(INDEX('Policy Characteristics'!L:L,MATCH($C1705,'Policy Characteristics'!$C:$C,0))),"",INDEX('Policy Characteristics'!L:L,MATCH($C1705,'Policy Characteristics'!$C:$C,0)))</f>
        <v>fuel-taxes.html</v>
      </c>
    </row>
    <row r="1706" spans="1:18" s="4" customFormat="1" x14ac:dyDescent="0.3">
      <c r="A1706" s="254" t="str">
        <f>IF(ISBLANK(INDEX('Policy Characteristics'!A:A,MATCH($C1706,'Policy Characteristics'!$C:$C,0))),"",INDEX('Policy Characteristics'!A:A,MATCH($C1706,'Policy Characteristics'!$C:$C,0)))</f>
        <v>Cross-Sector</v>
      </c>
      <c r="B1706" s="262" t="str">
        <f>IF(ISBLANK(INDEX('Policy Characteristics'!B:B,MATCH($C1706,'Policy Characteristics'!$C:$C,0))),"",INDEX('Policy Characteristics'!B:B,MATCH($C1706,'Policy Characteristics'!$C:$C,0)))</f>
        <v>Fuel Taxes or Subsidies</v>
      </c>
      <c r="C1706" s="320" t="str">
        <f t="shared" si="66"/>
        <v>Additional Fuel Tax or Subsidy Rate by Fuel</v>
      </c>
      <c r="D1706" s="6" t="s">
        <v>449</v>
      </c>
      <c r="E1706" s="45" t="s">
        <v>335</v>
      </c>
      <c r="F1706" s="6" t="s">
        <v>446</v>
      </c>
      <c r="G1706" s="45" t="s">
        <v>2586</v>
      </c>
      <c r="H1706" s="43">
        <v>2349</v>
      </c>
      <c r="I1706" s="325" t="s">
        <v>44</v>
      </c>
      <c r="J1706" s="255" t="str">
        <f>IF(ISBLANK(INDEX('Policy Characteristics'!D:D,MATCH($C1706,'Policy Characteristics'!$C:$C,0))),"",INDEX('Policy Characteristics'!D:D,MATCH($C1706,'Policy Characteristics'!$C:$C,0)))</f>
        <v>Fuel Taxes or Subsidies</v>
      </c>
      <c r="K1706" s="254" t="str">
        <f>IF(ISBLANK(INDEX('Policy Characteristics'!E:E,MATCH($C1706,'Policy Characteristics'!$C:$C,0))),"",INDEX('Policy Characteristics'!E:E,MATCH($C1706,'Policy Characteristics'!$C:$C,0)))</f>
        <v>cross fuel tax</v>
      </c>
      <c r="L1706" s="261">
        <f>IF(ISBLANK(INDEX('Policy Characteristics'!F:F,MATCH($C1706,'Policy Characteristics'!$C:$C,0))),"",INDEX('Policy Characteristics'!F:F,MATCH($C1706,'Policy Characteristics'!$C:$C,0)))</f>
        <v>-0.9</v>
      </c>
      <c r="M1706" s="261">
        <f>IF(ISBLANK(INDEX('Policy Characteristics'!G:G,MATCH($C1706,'Policy Characteristics'!$C:$C,0))),"",INDEX('Policy Characteristics'!G:G,MATCH($C1706,'Policy Characteristics'!$C:$C,0)))</f>
        <v>0.9</v>
      </c>
      <c r="N1706" s="261">
        <f>IF(ISBLANK(INDEX('Policy Characteristics'!H:H,MATCH($C1706,'Policy Characteristics'!$C:$C,0))),"",INDEX('Policy Characteristics'!H:H,MATCH($C1706,'Policy Characteristics'!$C:$C,0)))</f>
        <v>0.01</v>
      </c>
      <c r="O1706" s="254" t="str">
        <f>IF(ISBLANK(INDEX('Policy Characteristics'!I:I,MATCH($C1706,'Policy Characteristics'!$C:$C,0))),"",INDEX('Policy Characteristics'!I:I,MATCH($C1706,'Policy Characteristics'!$C:$C,0)))</f>
        <v>% of BAU price</v>
      </c>
      <c r="P1706" s="254"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4" t="str">
        <f>IF(ISBLANK(INDEX('Policy Characteristics'!K:K,MATCH($C1706,'Policy Characteristics'!$C:$C,0))),"",INDEX('Policy Characteristics'!K:K,MATCH($C1706,'Policy Characteristics'!$C:$C,0)))</f>
        <v>fuels.html#fuel-taxes</v>
      </c>
      <c r="R1706" s="254" t="str">
        <f>IF(ISBLANK(INDEX('Policy Characteristics'!L:L,MATCH($C1706,'Policy Characteristics'!$C:$C,0))),"",INDEX('Policy Characteristics'!L:L,MATCH($C1706,'Policy Characteristics'!$C:$C,0)))</f>
        <v>fuel-taxes.html</v>
      </c>
    </row>
    <row r="1707" spans="1:18" s="4" customFormat="1" x14ac:dyDescent="0.3">
      <c r="A1707" s="254" t="str">
        <f>IF(ISBLANK(INDEX('Policy Characteristics'!A:A,MATCH($C1707,'Policy Characteristics'!$C:$C,0))),"",INDEX('Policy Characteristics'!A:A,MATCH($C1707,'Policy Characteristics'!$C:$C,0)))</f>
        <v>Cross-Sector</v>
      </c>
      <c r="B1707" s="262" t="str">
        <f>IF(ISBLANK(INDEX('Policy Characteristics'!B:B,MATCH($C1707,'Policy Characteristics'!$C:$C,0))),"",INDEX('Policy Characteristics'!B:B,MATCH($C1707,'Policy Characteristics'!$C:$C,0)))</f>
        <v>Fuel Taxes or Subsidies</v>
      </c>
      <c r="C1707" s="320" t="str">
        <f t="shared" si="66"/>
        <v>Additional Fuel Tax or Subsidy Rate by Fuel</v>
      </c>
      <c r="D1707" s="6" t="s">
        <v>46</v>
      </c>
      <c r="E1707" s="45" t="s">
        <v>335</v>
      </c>
      <c r="F1707" s="6" t="s">
        <v>87</v>
      </c>
      <c r="G1707" s="45" t="s">
        <v>2586</v>
      </c>
      <c r="H1707" s="43">
        <v>2350</v>
      </c>
      <c r="I1707" s="325" t="s">
        <v>43</v>
      </c>
      <c r="J1707" s="255" t="str">
        <f>IF(ISBLANK(INDEX('Policy Characteristics'!D:D,MATCH($C1707,'Policy Characteristics'!$C:$C,0))),"",INDEX('Policy Characteristics'!D:D,MATCH($C1707,'Policy Characteristics'!$C:$C,0)))</f>
        <v>Fuel Taxes or Subsidies</v>
      </c>
      <c r="K1707" s="254" t="str">
        <f>IF(ISBLANK(INDEX('Policy Characteristics'!E:E,MATCH($C1707,'Policy Characteristics'!$C:$C,0))),"",INDEX('Policy Characteristics'!E:E,MATCH($C1707,'Policy Characteristics'!$C:$C,0)))</f>
        <v>cross fuel tax</v>
      </c>
      <c r="L1707" s="261">
        <f>IF(ISBLANK(INDEX('Policy Characteristics'!F:F,MATCH($C1707,'Policy Characteristics'!$C:$C,0))),"",INDEX('Policy Characteristics'!F:F,MATCH($C1707,'Policy Characteristics'!$C:$C,0)))</f>
        <v>-0.9</v>
      </c>
      <c r="M1707" s="261">
        <f>IF(ISBLANK(INDEX('Policy Characteristics'!G:G,MATCH($C1707,'Policy Characteristics'!$C:$C,0))),"",INDEX('Policy Characteristics'!G:G,MATCH($C1707,'Policy Characteristics'!$C:$C,0)))</f>
        <v>0.9</v>
      </c>
      <c r="N1707" s="261">
        <f>IF(ISBLANK(INDEX('Policy Characteristics'!H:H,MATCH($C1707,'Policy Characteristics'!$C:$C,0))),"",INDEX('Policy Characteristics'!H:H,MATCH($C1707,'Policy Characteristics'!$C:$C,0)))</f>
        <v>0.01</v>
      </c>
      <c r="O1707" s="254" t="str">
        <f>IF(ISBLANK(INDEX('Policy Characteristics'!I:I,MATCH($C1707,'Policy Characteristics'!$C:$C,0))),"",INDEX('Policy Characteristics'!I:I,MATCH($C1707,'Policy Characteristics'!$C:$C,0)))</f>
        <v>% of BAU price</v>
      </c>
      <c r="P1707" s="254"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4" t="str">
        <f>IF(ISBLANK(INDEX('Policy Characteristics'!K:K,MATCH($C1707,'Policy Characteristics'!$C:$C,0))),"",INDEX('Policy Characteristics'!K:K,MATCH($C1707,'Policy Characteristics'!$C:$C,0)))</f>
        <v>fuels.html#fuel-taxes</v>
      </c>
      <c r="R1707" s="254" t="str">
        <f>IF(ISBLANK(INDEX('Policy Characteristics'!L:L,MATCH($C1707,'Policy Characteristics'!$C:$C,0))),"",INDEX('Policy Characteristics'!L:L,MATCH($C1707,'Policy Characteristics'!$C:$C,0)))</f>
        <v>fuel-taxes.html</v>
      </c>
    </row>
    <row r="1708" spans="1:18" s="4" customFormat="1" x14ac:dyDescent="0.3">
      <c r="A1708" s="254" t="str">
        <f>IF(ISBLANK(INDEX('Policy Characteristics'!A:A,MATCH($C1708,'Policy Characteristics'!$C:$C,0))),"",INDEX('Policy Characteristics'!A:A,MATCH($C1708,'Policy Characteristics'!$C:$C,0)))</f>
        <v>Cross-Sector</v>
      </c>
      <c r="B1708" s="262" t="str">
        <f>IF(ISBLANK(INDEX('Policy Characteristics'!B:B,MATCH($C1708,'Policy Characteristics'!$C:$C,0))),"",INDEX('Policy Characteristics'!B:B,MATCH($C1708,'Policy Characteristics'!$C:$C,0)))</f>
        <v>Fuel Taxes or Subsidies</v>
      </c>
      <c r="C1708" s="320" t="str">
        <f t="shared" si="66"/>
        <v>Additional Fuel Tax or Subsidy Rate by Fuel</v>
      </c>
      <c r="D1708" s="6" t="s">
        <v>47</v>
      </c>
      <c r="E1708" s="45" t="s">
        <v>335</v>
      </c>
      <c r="F1708" s="6" t="s">
        <v>88</v>
      </c>
      <c r="G1708" s="45" t="s">
        <v>2586</v>
      </c>
      <c r="H1708" s="43">
        <v>2351</v>
      </c>
      <c r="I1708" s="325" t="s">
        <v>44</v>
      </c>
      <c r="J1708" s="255" t="str">
        <f>IF(ISBLANK(INDEX('Policy Characteristics'!D:D,MATCH($C1708,'Policy Characteristics'!$C:$C,0))),"",INDEX('Policy Characteristics'!D:D,MATCH($C1708,'Policy Characteristics'!$C:$C,0)))</f>
        <v>Fuel Taxes or Subsidies</v>
      </c>
      <c r="K1708" s="254" t="str">
        <f>IF(ISBLANK(INDEX('Policy Characteristics'!E:E,MATCH($C1708,'Policy Characteristics'!$C:$C,0))),"",INDEX('Policy Characteristics'!E:E,MATCH($C1708,'Policy Characteristics'!$C:$C,0)))</f>
        <v>cross fuel tax</v>
      </c>
      <c r="L1708" s="261">
        <f>IF(ISBLANK(INDEX('Policy Characteristics'!F:F,MATCH($C1708,'Policy Characteristics'!$C:$C,0))),"",INDEX('Policy Characteristics'!F:F,MATCH($C1708,'Policy Characteristics'!$C:$C,0)))</f>
        <v>-0.9</v>
      </c>
      <c r="M1708" s="261">
        <f>IF(ISBLANK(INDEX('Policy Characteristics'!G:G,MATCH($C1708,'Policy Characteristics'!$C:$C,0))),"",INDEX('Policy Characteristics'!G:G,MATCH($C1708,'Policy Characteristics'!$C:$C,0)))</f>
        <v>0.9</v>
      </c>
      <c r="N1708" s="261">
        <f>IF(ISBLANK(INDEX('Policy Characteristics'!H:H,MATCH($C1708,'Policy Characteristics'!$C:$C,0))),"",INDEX('Policy Characteristics'!H:H,MATCH($C1708,'Policy Characteristics'!$C:$C,0)))</f>
        <v>0.01</v>
      </c>
      <c r="O1708" s="254" t="str">
        <f>IF(ISBLANK(INDEX('Policy Characteristics'!I:I,MATCH($C1708,'Policy Characteristics'!$C:$C,0))),"",INDEX('Policy Characteristics'!I:I,MATCH($C1708,'Policy Characteristics'!$C:$C,0)))</f>
        <v>% of BAU price</v>
      </c>
      <c r="P1708" s="254"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4" t="str">
        <f>IF(ISBLANK(INDEX('Policy Characteristics'!K:K,MATCH($C1708,'Policy Characteristics'!$C:$C,0))),"",INDEX('Policy Characteristics'!K:K,MATCH($C1708,'Policy Characteristics'!$C:$C,0)))</f>
        <v>fuels.html#fuel-taxes</v>
      </c>
      <c r="R1708" s="254" t="str">
        <f>IF(ISBLANK(INDEX('Policy Characteristics'!L:L,MATCH($C1708,'Policy Characteristics'!$C:$C,0))),"",INDEX('Policy Characteristics'!L:L,MATCH($C1708,'Policy Characteristics'!$C:$C,0)))</f>
        <v>fuel-taxes.html</v>
      </c>
    </row>
    <row r="1709" spans="1:18" s="4" customFormat="1" x14ac:dyDescent="0.3">
      <c r="A1709" s="254" t="str">
        <f>IF(ISBLANK(INDEX('Policy Characteristics'!A:A,MATCH($C1709,'Policy Characteristics'!$C:$C,0))),"",INDEX('Policy Characteristics'!A:A,MATCH($C1709,'Policy Characteristics'!$C:$C,0)))</f>
        <v>Cross-Sector</v>
      </c>
      <c r="B1709" s="262" t="str">
        <f>IF(ISBLANK(INDEX('Policy Characteristics'!B:B,MATCH($C1709,'Policy Characteristics'!$C:$C,0))),"",INDEX('Policy Characteristics'!B:B,MATCH($C1709,'Policy Characteristics'!$C:$C,0)))</f>
        <v>Fuel Taxes or Subsidies</v>
      </c>
      <c r="C1709" s="320" t="str">
        <f t="shared" si="66"/>
        <v>Additional Fuel Tax or Subsidy Rate by Fuel</v>
      </c>
      <c r="D1709" s="6" t="s">
        <v>51</v>
      </c>
      <c r="E1709" s="45" t="s">
        <v>335</v>
      </c>
      <c r="F1709" s="6" t="s">
        <v>92</v>
      </c>
      <c r="G1709" s="45" t="s">
        <v>2586</v>
      </c>
      <c r="H1709" s="43">
        <v>2352</v>
      </c>
      <c r="I1709" s="325" t="s">
        <v>44</v>
      </c>
      <c r="J1709" s="255" t="str">
        <f>IF(ISBLANK(INDEX('Policy Characteristics'!D:D,MATCH($C1709,'Policy Characteristics'!$C:$C,0))),"",INDEX('Policy Characteristics'!D:D,MATCH($C1709,'Policy Characteristics'!$C:$C,0)))</f>
        <v>Fuel Taxes or Subsidies</v>
      </c>
      <c r="K1709" s="254" t="str">
        <f>IF(ISBLANK(INDEX('Policy Characteristics'!E:E,MATCH($C1709,'Policy Characteristics'!$C:$C,0))),"",INDEX('Policy Characteristics'!E:E,MATCH($C1709,'Policy Characteristics'!$C:$C,0)))</f>
        <v>cross fuel tax</v>
      </c>
      <c r="L1709" s="261">
        <f>IF(ISBLANK(INDEX('Policy Characteristics'!F:F,MATCH($C1709,'Policy Characteristics'!$C:$C,0))),"",INDEX('Policy Characteristics'!F:F,MATCH($C1709,'Policy Characteristics'!$C:$C,0)))</f>
        <v>-0.9</v>
      </c>
      <c r="M1709" s="261">
        <f>IF(ISBLANK(INDEX('Policy Characteristics'!G:G,MATCH($C1709,'Policy Characteristics'!$C:$C,0))),"",INDEX('Policy Characteristics'!G:G,MATCH($C1709,'Policy Characteristics'!$C:$C,0)))</f>
        <v>0.9</v>
      </c>
      <c r="N1709" s="261">
        <f>IF(ISBLANK(INDEX('Policy Characteristics'!H:H,MATCH($C1709,'Policy Characteristics'!$C:$C,0))),"",INDEX('Policy Characteristics'!H:H,MATCH($C1709,'Policy Characteristics'!$C:$C,0)))</f>
        <v>0.01</v>
      </c>
      <c r="O1709" s="254" t="str">
        <f>IF(ISBLANK(INDEX('Policy Characteristics'!I:I,MATCH($C1709,'Policy Characteristics'!$C:$C,0))),"",INDEX('Policy Characteristics'!I:I,MATCH($C1709,'Policy Characteristics'!$C:$C,0)))</f>
        <v>% of BAU price</v>
      </c>
      <c r="P1709" s="254"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4" t="str">
        <f>IF(ISBLANK(INDEX('Policy Characteristics'!K:K,MATCH($C1709,'Policy Characteristics'!$C:$C,0))),"",INDEX('Policy Characteristics'!K:K,MATCH($C1709,'Policy Characteristics'!$C:$C,0)))</f>
        <v>fuels.html#fuel-taxes</v>
      </c>
      <c r="R1709" s="254" t="str">
        <f>IF(ISBLANK(INDEX('Policy Characteristics'!L:L,MATCH($C1709,'Policy Characteristics'!$C:$C,0))),"",INDEX('Policy Characteristics'!L:L,MATCH($C1709,'Policy Characteristics'!$C:$C,0)))</f>
        <v>fuel-taxes.html</v>
      </c>
    </row>
    <row r="1710" spans="1:18" s="4" customFormat="1" x14ac:dyDescent="0.3">
      <c r="A1710" s="254" t="str">
        <f>IF(ISBLANK(INDEX('Policy Characteristics'!A:A,MATCH($C1710,'Policy Characteristics'!$C:$C,0))),"",INDEX('Policy Characteristics'!A:A,MATCH($C1710,'Policy Characteristics'!$C:$C,0)))</f>
        <v>Cross-Sector</v>
      </c>
      <c r="B1710" s="262" t="str">
        <f>IF(ISBLANK(INDEX('Policy Characteristics'!B:B,MATCH($C1710,'Policy Characteristics'!$C:$C,0))),"",INDEX('Policy Characteristics'!B:B,MATCH($C1710,'Policy Characteristics'!$C:$C,0)))</f>
        <v>Fuel Taxes or Subsidies</v>
      </c>
      <c r="C1710" s="320" t="str">
        <f t="shared" si="66"/>
        <v>Additional Fuel Tax or Subsidy Rate by Fuel</v>
      </c>
      <c r="D1710" s="6" t="s">
        <v>53</v>
      </c>
      <c r="E1710" s="45" t="s">
        <v>335</v>
      </c>
      <c r="F1710" s="6" t="s">
        <v>95</v>
      </c>
      <c r="G1710" s="45" t="s">
        <v>2586</v>
      </c>
      <c r="H1710" s="43">
        <v>2353</v>
      </c>
      <c r="I1710" s="325" t="s">
        <v>44</v>
      </c>
      <c r="J1710" s="255" t="str">
        <f>IF(ISBLANK(INDEX('Policy Characteristics'!D:D,MATCH($C1710,'Policy Characteristics'!$C:$C,0))),"",INDEX('Policy Characteristics'!D:D,MATCH($C1710,'Policy Characteristics'!$C:$C,0)))</f>
        <v>Fuel Taxes or Subsidies</v>
      </c>
      <c r="K1710" s="254" t="str">
        <f>IF(ISBLANK(INDEX('Policy Characteristics'!E:E,MATCH($C1710,'Policy Characteristics'!$C:$C,0))),"",INDEX('Policy Characteristics'!E:E,MATCH($C1710,'Policy Characteristics'!$C:$C,0)))</f>
        <v>cross fuel tax</v>
      </c>
      <c r="L1710" s="261">
        <f>IF(ISBLANK(INDEX('Policy Characteristics'!F:F,MATCH($C1710,'Policy Characteristics'!$C:$C,0))),"",INDEX('Policy Characteristics'!F:F,MATCH($C1710,'Policy Characteristics'!$C:$C,0)))</f>
        <v>-0.9</v>
      </c>
      <c r="M1710" s="261">
        <f>IF(ISBLANK(INDEX('Policy Characteristics'!G:G,MATCH($C1710,'Policy Characteristics'!$C:$C,0))),"",INDEX('Policy Characteristics'!G:G,MATCH($C1710,'Policy Characteristics'!$C:$C,0)))</f>
        <v>0.9</v>
      </c>
      <c r="N1710" s="261">
        <f>IF(ISBLANK(INDEX('Policy Characteristics'!H:H,MATCH($C1710,'Policy Characteristics'!$C:$C,0))),"",INDEX('Policy Characteristics'!H:H,MATCH($C1710,'Policy Characteristics'!$C:$C,0)))</f>
        <v>0.01</v>
      </c>
      <c r="O1710" s="254" t="str">
        <f>IF(ISBLANK(INDEX('Policy Characteristics'!I:I,MATCH($C1710,'Policy Characteristics'!$C:$C,0))),"",INDEX('Policy Characteristics'!I:I,MATCH($C1710,'Policy Characteristics'!$C:$C,0)))</f>
        <v>% of BAU price</v>
      </c>
      <c r="P1710" s="254"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4" t="str">
        <f>IF(ISBLANK(INDEX('Policy Characteristics'!K:K,MATCH($C1710,'Policy Characteristics'!$C:$C,0))),"",INDEX('Policy Characteristics'!K:K,MATCH($C1710,'Policy Characteristics'!$C:$C,0)))</f>
        <v>fuels.html#fuel-taxes</v>
      </c>
      <c r="R1710" s="254" t="str">
        <f>IF(ISBLANK(INDEX('Policy Characteristics'!L:L,MATCH($C1710,'Policy Characteristics'!$C:$C,0))),"",INDEX('Policy Characteristics'!L:L,MATCH($C1710,'Policy Characteristics'!$C:$C,0)))</f>
        <v>fuel-taxes.html</v>
      </c>
    </row>
    <row r="1711" spans="1:18" s="4" customFormat="1" x14ac:dyDescent="0.3">
      <c r="A1711" s="254" t="str">
        <f>IF(ISBLANK(INDEX('Policy Characteristics'!A:A,MATCH($C1711,'Policy Characteristics'!$C:$C,0))),"",INDEX('Policy Characteristics'!A:A,MATCH($C1711,'Policy Characteristics'!$C:$C,0)))</f>
        <v>Cross-Sector</v>
      </c>
      <c r="B1711" s="262" t="str">
        <f>IF(ISBLANK(INDEX('Policy Characteristics'!B:B,MATCH($C1711,'Policy Characteristics'!$C:$C,0))),"",INDEX('Policy Characteristics'!B:B,MATCH($C1711,'Policy Characteristics'!$C:$C,0)))</f>
        <v>Fuel Taxes or Subsidies</v>
      </c>
      <c r="C1711" s="320" t="str">
        <f t="shared" si="66"/>
        <v>Additional Fuel Tax or Subsidy Rate by Fuel</v>
      </c>
      <c r="D1711" s="6" t="s">
        <v>54</v>
      </c>
      <c r="E1711" s="45" t="s">
        <v>335</v>
      </c>
      <c r="F1711" s="6" t="s">
        <v>96</v>
      </c>
      <c r="G1711" s="45" t="s">
        <v>2586</v>
      </c>
      <c r="H1711" s="43">
        <v>2354</v>
      </c>
      <c r="I1711" s="325" t="s">
        <v>43</v>
      </c>
      <c r="J1711" s="255" t="str">
        <f>IF(ISBLANK(INDEX('Policy Characteristics'!D:D,MATCH($C1711,'Policy Characteristics'!$C:$C,0))),"",INDEX('Policy Characteristics'!D:D,MATCH($C1711,'Policy Characteristics'!$C:$C,0)))</f>
        <v>Fuel Taxes or Subsidies</v>
      </c>
      <c r="K1711" s="254" t="str">
        <f>IF(ISBLANK(INDEX('Policy Characteristics'!E:E,MATCH($C1711,'Policy Characteristics'!$C:$C,0))),"",INDEX('Policy Characteristics'!E:E,MATCH($C1711,'Policy Characteristics'!$C:$C,0)))</f>
        <v>cross fuel tax</v>
      </c>
      <c r="L1711" s="261">
        <f>IF(ISBLANK(INDEX('Policy Characteristics'!F:F,MATCH($C1711,'Policy Characteristics'!$C:$C,0))),"",INDEX('Policy Characteristics'!F:F,MATCH($C1711,'Policy Characteristics'!$C:$C,0)))</f>
        <v>-0.9</v>
      </c>
      <c r="M1711" s="261">
        <f>IF(ISBLANK(INDEX('Policy Characteristics'!G:G,MATCH($C1711,'Policy Characteristics'!$C:$C,0))),"",INDEX('Policy Characteristics'!G:G,MATCH($C1711,'Policy Characteristics'!$C:$C,0)))</f>
        <v>0.9</v>
      </c>
      <c r="N1711" s="261">
        <f>IF(ISBLANK(INDEX('Policy Characteristics'!H:H,MATCH($C1711,'Policy Characteristics'!$C:$C,0))),"",INDEX('Policy Characteristics'!H:H,MATCH($C1711,'Policy Characteristics'!$C:$C,0)))</f>
        <v>0.01</v>
      </c>
      <c r="O1711" s="254" t="str">
        <f>IF(ISBLANK(INDEX('Policy Characteristics'!I:I,MATCH($C1711,'Policy Characteristics'!$C:$C,0))),"",INDEX('Policy Characteristics'!I:I,MATCH($C1711,'Policy Characteristics'!$C:$C,0)))</f>
        <v>% of BAU price</v>
      </c>
      <c r="P1711" s="254"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4" t="str">
        <f>IF(ISBLANK(INDEX('Policy Characteristics'!K:K,MATCH($C1711,'Policy Characteristics'!$C:$C,0))),"",INDEX('Policy Characteristics'!K:K,MATCH($C1711,'Policy Characteristics'!$C:$C,0)))</f>
        <v>fuels.html#fuel-taxes</v>
      </c>
      <c r="R1711" s="254" t="str">
        <f>IF(ISBLANK(INDEX('Policy Characteristics'!L:L,MATCH($C1711,'Policy Characteristics'!$C:$C,0))),"",INDEX('Policy Characteristics'!L:L,MATCH($C1711,'Policy Characteristics'!$C:$C,0)))</f>
        <v>fuel-taxes.html</v>
      </c>
    </row>
    <row r="1712" spans="1:18" s="4" customFormat="1" x14ac:dyDescent="0.3">
      <c r="A1712" s="254" t="str">
        <f>IF(ISBLANK(INDEX('Policy Characteristics'!A:A,MATCH($C1712,'Policy Characteristics'!$C:$C,0))),"",INDEX('Policy Characteristics'!A:A,MATCH($C1712,'Policy Characteristics'!$C:$C,0)))</f>
        <v>Cross-Sector</v>
      </c>
      <c r="B1712" s="262" t="str">
        <f>IF(ISBLANK(INDEX('Policy Characteristics'!B:B,MATCH($C1712,'Policy Characteristics'!$C:$C,0))),"",INDEX('Policy Characteristics'!B:B,MATCH($C1712,'Policy Characteristics'!$C:$C,0)))</f>
        <v>Fuel Taxes or Subsidies</v>
      </c>
      <c r="C1712" s="320" t="str">
        <f t="shared" si="66"/>
        <v>Additional Fuel Tax or Subsidy Rate by Fuel</v>
      </c>
      <c r="D1712" s="6" t="s">
        <v>55</v>
      </c>
      <c r="E1712" s="45" t="s">
        <v>335</v>
      </c>
      <c r="F1712" s="6" t="s">
        <v>97</v>
      </c>
      <c r="G1712" s="45" t="s">
        <v>2586</v>
      </c>
      <c r="H1712" s="43">
        <v>2355</v>
      </c>
      <c r="I1712" s="325" t="s">
        <v>44</v>
      </c>
      <c r="J1712" s="255" t="str">
        <f>IF(ISBLANK(INDEX('Policy Characteristics'!D:D,MATCH($C1712,'Policy Characteristics'!$C:$C,0))),"",INDEX('Policy Characteristics'!D:D,MATCH($C1712,'Policy Characteristics'!$C:$C,0)))</f>
        <v>Fuel Taxes or Subsidies</v>
      </c>
      <c r="K1712" s="254" t="str">
        <f>IF(ISBLANK(INDEX('Policy Characteristics'!E:E,MATCH($C1712,'Policy Characteristics'!$C:$C,0))),"",INDEX('Policy Characteristics'!E:E,MATCH($C1712,'Policy Characteristics'!$C:$C,0)))</f>
        <v>cross fuel tax</v>
      </c>
      <c r="L1712" s="261">
        <f>IF(ISBLANK(INDEX('Policy Characteristics'!F:F,MATCH($C1712,'Policy Characteristics'!$C:$C,0))),"",INDEX('Policy Characteristics'!F:F,MATCH($C1712,'Policy Characteristics'!$C:$C,0)))</f>
        <v>-0.9</v>
      </c>
      <c r="M1712" s="261">
        <f>IF(ISBLANK(INDEX('Policy Characteristics'!G:G,MATCH($C1712,'Policy Characteristics'!$C:$C,0))),"",INDEX('Policy Characteristics'!G:G,MATCH($C1712,'Policy Characteristics'!$C:$C,0)))</f>
        <v>0.9</v>
      </c>
      <c r="N1712" s="261">
        <f>IF(ISBLANK(INDEX('Policy Characteristics'!H:H,MATCH($C1712,'Policy Characteristics'!$C:$C,0))),"",INDEX('Policy Characteristics'!H:H,MATCH($C1712,'Policy Characteristics'!$C:$C,0)))</f>
        <v>0.01</v>
      </c>
      <c r="O1712" s="254" t="str">
        <f>IF(ISBLANK(INDEX('Policy Characteristics'!I:I,MATCH($C1712,'Policy Characteristics'!$C:$C,0))),"",INDEX('Policy Characteristics'!I:I,MATCH($C1712,'Policy Characteristics'!$C:$C,0)))</f>
        <v>% of BAU price</v>
      </c>
      <c r="P1712" s="254"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4" t="str">
        <f>IF(ISBLANK(INDEX('Policy Characteristics'!K:K,MATCH($C1712,'Policy Characteristics'!$C:$C,0))),"",INDEX('Policy Characteristics'!K:K,MATCH($C1712,'Policy Characteristics'!$C:$C,0)))</f>
        <v>fuels.html#fuel-taxes</v>
      </c>
      <c r="R1712" s="254" t="str">
        <f>IF(ISBLANK(INDEX('Policy Characteristics'!L:L,MATCH($C1712,'Policy Characteristics'!$C:$C,0))),"",INDEX('Policy Characteristics'!L:L,MATCH($C1712,'Policy Characteristics'!$C:$C,0)))</f>
        <v>fuel-taxes.html</v>
      </c>
    </row>
    <row r="1713" spans="1:18" s="4" customFormat="1" x14ac:dyDescent="0.3">
      <c r="A1713" s="254" t="str">
        <f>IF(ISBLANK(INDEX('Policy Characteristics'!A:A,MATCH($C1713,'Policy Characteristics'!$C:$C,0))),"",INDEX('Policy Characteristics'!A:A,MATCH($C1713,'Policy Characteristics'!$C:$C,0)))</f>
        <v>Cross-Sector</v>
      </c>
      <c r="B1713" s="262" t="str">
        <f>IF(ISBLANK(INDEX('Policy Characteristics'!B:B,MATCH($C1713,'Policy Characteristics'!$C:$C,0))),"",INDEX('Policy Characteristics'!B:B,MATCH($C1713,'Policy Characteristics'!$C:$C,0)))</f>
        <v>Fuel Taxes or Subsidies</v>
      </c>
      <c r="C1713" s="320" t="str">
        <f t="shared" si="66"/>
        <v>Additional Fuel Tax or Subsidy Rate by Fuel</v>
      </c>
      <c r="D1713" s="6" t="s">
        <v>56</v>
      </c>
      <c r="E1713" s="45" t="s">
        <v>335</v>
      </c>
      <c r="F1713" s="6" t="s">
        <v>98</v>
      </c>
      <c r="G1713" s="45" t="s">
        <v>2586</v>
      </c>
      <c r="H1713" s="43">
        <v>2356</v>
      </c>
      <c r="I1713" s="325" t="s">
        <v>44</v>
      </c>
      <c r="J1713" s="255" t="str">
        <f>IF(ISBLANK(INDEX('Policy Characteristics'!D:D,MATCH($C1713,'Policy Characteristics'!$C:$C,0))),"",INDEX('Policy Characteristics'!D:D,MATCH($C1713,'Policy Characteristics'!$C:$C,0)))</f>
        <v>Fuel Taxes or Subsidies</v>
      </c>
      <c r="K1713" s="254" t="str">
        <f>IF(ISBLANK(INDEX('Policy Characteristics'!E:E,MATCH($C1713,'Policy Characteristics'!$C:$C,0))),"",INDEX('Policy Characteristics'!E:E,MATCH($C1713,'Policy Characteristics'!$C:$C,0)))</f>
        <v>cross fuel tax</v>
      </c>
      <c r="L1713" s="261">
        <f>IF(ISBLANK(INDEX('Policy Characteristics'!F:F,MATCH($C1713,'Policy Characteristics'!$C:$C,0))),"",INDEX('Policy Characteristics'!F:F,MATCH($C1713,'Policy Characteristics'!$C:$C,0)))</f>
        <v>-0.9</v>
      </c>
      <c r="M1713" s="261">
        <f>IF(ISBLANK(INDEX('Policy Characteristics'!G:G,MATCH($C1713,'Policy Characteristics'!$C:$C,0))),"",INDEX('Policy Characteristics'!G:G,MATCH($C1713,'Policy Characteristics'!$C:$C,0)))</f>
        <v>0.9</v>
      </c>
      <c r="N1713" s="261">
        <f>IF(ISBLANK(INDEX('Policy Characteristics'!H:H,MATCH($C1713,'Policy Characteristics'!$C:$C,0))),"",INDEX('Policy Characteristics'!H:H,MATCH($C1713,'Policy Characteristics'!$C:$C,0)))</f>
        <v>0.01</v>
      </c>
      <c r="O1713" s="254" t="str">
        <f>IF(ISBLANK(INDEX('Policy Characteristics'!I:I,MATCH($C1713,'Policy Characteristics'!$C:$C,0))),"",INDEX('Policy Characteristics'!I:I,MATCH($C1713,'Policy Characteristics'!$C:$C,0)))</f>
        <v>% of BAU price</v>
      </c>
      <c r="P1713" s="254"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4" t="str">
        <f>IF(ISBLANK(INDEX('Policy Characteristics'!K:K,MATCH($C1713,'Policy Characteristics'!$C:$C,0))),"",INDEX('Policy Characteristics'!K:K,MATCH($C1713,'Policy Characteristics'!$C:$C,0)))</f>
        <v>fuels.html#fuel-taxes</v>
      </c>
      <c r="R1713" s="254" t="str">
        <f>IF(ISBLANK(INDEX('Policy Characteristics'!L:L,MATCH($C1713,'Policy Characteristics'!$C:$C,0))),"",INDEX('Policy Characteristics'!L:L,MATCH($C1713,'Policy Characteristics'!$C:$C,0)))</f>
        <v>fuel-taxes.html</v>
      </c>
    </row>
    <row r="1714" spans="1:18" x14ac:dyDescent="0.3">
      <c r="A1714" s="254" t="str">
        <f>IF(ISBLANK(INDEX('Policy Characteristics'!A:A,MATCH($C1714,'Policy Characteristics'!$C:$C,0))),"",INDEX('Policy Characteristics'!A:A,MATCH($C1714,'Policy Characteristics'!$C:$C,0)))</f>
        <v>Cross-Sector</v>
      </c>
      <c r="B1714" s="262" t="str">
        <f>IF(ISBLANK(INDEX('Policy Characteristics'!B:B,MATCH($C1714,'Policy Characteristics'!$C:$C,0))),"",INDEX('Policy Characteristics'!B:B,MATCH($C1714,'Policy Characteristics'!$C:$C,0)))</f>
        <v>Fuel Taxes or Subsidies</v>
      </c>
      <c r="C1714" s="320" t="str">
        <f t="shared" si="66"/>
        <v>Additional Fuel Tax or Subsidy Rate by Fuel</v>
      </c>
      <c r="D1714" s="6" t="s">
        <v>2473</v>
      </c>
      <c r="E1714" s="45" t="s">
        <v>335</v>
      </c>
      <c r="F1714" s="6" t="s">
        <v>2474</v>
      </c>
      <c r="G1714" s="45" t="s">
        <v>2586</v>
      </c>
      <c r="H1714" s="43">
        <v>2357</v>
      </c>
      <c r="I1714" s="325" t="s">
        <v>44</v>
      </c>
      <c r="J1714" s="255" t="str">
        <f>IF(ISBLANK(INDEX('Policy Characteristics'!D:D,MATCH($C1714,'Policy Characteristics'!$C:$C,0))),"",INDEX('Policy Characteristics'!D:D,MATCH($C1714,'Policy Characteristics'!$C:$C,0)))</f>
        <v>Fuel Taxes or Subsidies</v>
      </c>
      <c r="K1714" s="254" t="str">
        <f>IF(ISBLANK(INDEX('Policy Characteristics'!E:E,MATCH($C1714,'Policy Characteristics'!$C:$C,0))),"",INDEX('Policy Characteristics'!E:E,MATCH($C1714,'Policy Characteristics'!$C:$C,0)))</f>
        <v>cross fuel tax</v>
      </c>
      <c r="L1714" s="261">
        <f>IF(ISBLANK(INDEX('Policy Characteristics'!F:F,MATCH($C1714,'Policy Characteristics'!$C:$C,0))),"",INDEX('Policy Characteristics'!F:F,MATCH($C1714,'Policy Characteristics'!$C:$C,0)))</f>
        <v>-0.9</v>
      </c>
      <c r="M1714" s="261">
        <f>IF(ISBLANK(INDEX('Policy Characteristics'!G:G,MATCH($C1714,'Policy Characteristics'!$C:$C,0))),"",INDEX('Policy Characteristics'!G:G,MATCH($C1714,'Policy Characteristics'!$C:$C,0)))</f>
        <v>0.9</v>
      </c>
      <c r="N1714" s="261">
        <f>IF(ISBLANK(INDEX('Policy Characteristics'!H:H,MATCH($C1714,'Policy Characteristics'!$C:$C,0))),"",INDEX('Policy Characteristics'!H:H,MATCH($C1714,'Policy Characteristics'!$C:$C,0)))</f>
        <v>0.01</v>
      </c>
      <c r="O1714" s="254" t="str">
        <f>IF(ISBLANK(INDEX('Policy Characteristics'!I:I,MATCH($C1714,'Policy Characteristics'!$C:$C,0))),"",INDEX('Policy Characteristics'!I:I,MATCH($C1714,'Policy Characteristics'!$C:$C,0)))</f>
        <v>% of BAU price</v>
      </c>
      <c r="P1714" s="254"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4" t="str">
        <f>IF(ISBLANK(INDEX('Policy Characteristics'!K:K,MATCH($C1714,'Policy Characteristics'!$C:$C,0))),"",INDEX('Policy Characteristics'!K:K,MATCH($C1714,'Policy Characteristics'!$C:$C,0)))</f>
        <v>fuels.html#fuel-taxes</v>
      </c>
      <c r="R1714" s="254" t="str">
        <f>IF(ISBLANK(INDEX('Policy Characteristics'!L:L,MATCH($C1714,'Policy Characteristics'!$C:$C,0))),"",INDEX('Policy Characteristics'!L:L,MATCH($C1714,'Policy Characteristics'!$C:$C,0)))</f>
        <v>fuel-taxes.html</v>
      </c>
    </row>
    <row r="1715" spans="1:18" x14ac:dyDescent="0.3">
      <c r="A1715" s="254" t="str">
        <f>IF(ISBLANK(INDEX('Policy Characteristics'!A:A,MATCH($C1715,'Policy Characteristics'!$C:$C,0))),"",INDEX('Policy Characteristics'!A:A,MATCH($C1715,'Policy Characteristics'!$C:$C,0)))</f>
        <v>Cross-Sector</v>
      </c>
      <c r="B1715" s="262" t="str">
        <f>IF(ISBLANK(INDEX('Policy Characteristics'!B:B,MATCH($C1715,'Policy Characteristics'!$C:$C,0))),"",INDEX('Policy Characteristics'!B:B,MATCH($C1715,'Policy Characteristics'!$C:$C,0)))</f>
        <v>Fuel Taxes or Subsidies</v>
      </c>
      <c r="C1715" s="320" t="str">
        <f t="shared" si="66"/>
        <v>Additional Fuel Tax or Subsidy Rate by Fuel</v>
      </c>
      <c r="D1715" s="6" t="s">
        <v>75</v>
      </c>
      <c r="E1715" s="45" t="s">
        <v>335</v>
      </c>
      <c r="F1715" s="6" t="s">
        <v>99</v>
      </c>
      <c r="G1715" s="45" t="s">
        <v>2586</v>
      </c>
      <c r="H1715" s="43">
        <v>2358</v>
      </c>
      <c r="I1715" s="325" t="s">
        <v>44</v>
      </c>
      <c r="J1715" s="255" t="str">
        <f>IF(ISBLANK(INDEX('Policy Characteristics'!D:D,MATCH($C1715,'Policy Characteristics'!$C:$C,0))),"",INDEX('Policy Characteristics'!D:D,MATCH($C1715,'Policy Characteristics'!$C:$C,0)))</f>
        <v>Fuel Taxes or Subsidies</v>
      </c>
      <c r="K1715" s="254" t="str">
        <f>IF(ISBLANK(INDEX('Policy Characteristics'!E:E,MATCH($C1715,'Policy Characteristics'!$C:$C,0))),"",INDEX('Policy Characteristics'!E:E,MATCH($C1715,'Policy Characteristics'!$C:$C,0)))</f>
        <v>cross fuel tax</v>
      </c>
      <c r="L1715" s="261">
        <f>IF(ISBLANK(INDEX('Policy Characteristics'!F:F,MATCH($C1715,'Policy Characteristics'!$C:$C,0))),"",INDEX('Policy Characteristics'!F:F,MATCH($C1715,'Policy Characteristics'!$C:$C,0)))</f>
        <v>-0.9</v>
      </c>
      <c r="M1715" s="261">
        <f>IF(ISBLANK(INDEX('Policy Characteristics'!G:G,MATCH($C1715,'Policy Characteristics'!$C:$C,0))),"",INDEX('Policy Characteristics'!G:G,MATCH($C1715,'Policy Characteristics'!$C:$C,0)))</f>
        <v>0.9</v>
      </c>
      <c r="N1715" s="261">
        <f>IF(ISBLANK(INDEX('Policy Characteristics'!H:H,MATCH($C1715,'Policy Characteristics'!$C:$C,0))),"",INDEX('Policy Characteristics'!H:H,MATCH($C1715,'Policy Characteristics'!$C:$C,0)))</f>
        <v>0.01</v>
      </c>
      <c r="O1715" s="254" t="str">
        <f>IF(ISBLANK(INDEX('Policy Characteristics'!I:I,MATCH($C1715,'Policy Characteristics'!$C:$C,0))),"",INDEX('Policy Characteristics'!I:I,MATCH($C1715,'Policy Characteristics'!$C:$C,0)))</f>
        <v>% of BAU price</v>
      </c>
      <c r="P1715" s="254"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4" t="str">
        <f>IF(ISBLANK(INDEX('Policy Characteristics'!K:K,MATCH($C1715,'Policy Characteristics'!$C:$C,0))),"",INDEX('Policy Characteristics'!K:K,MATCH($C1715,'Policy Characteristics'!$C:$C,0)))</f>
        <v>fuels.html#fuel-taxes</v>
      </c>
      <c r="R1715" s="254" t="str">
        <f>IF(ISBLANK(INDEX('Policy Characteristics'!L:L,MATCH($C1715,'Policy Characteristics'!$C:$C,0))),"",INDEX('Policy Characteristics'!L:L,MATCH($C1715,'Policy Characteristics'!$C:$C,0)))</f>
        <v>fuel-taxes.html</v>
      </c>
    </row>
    <row r="1716" spans="1:18" x14ac:dyDescent="0.3">
      <c r="A1716" s="254" t="str">
        <f>IF(ISBLANK(INDEX('Policy Characteristics'!A:A,MATCH($C1716,'Policy Characteristics'!$C:$C,0))),"",INDEX('Policy Characteristics'!A:A,MATCH($C1716,'Policy Characteristics'!$C:$C,0)))</f>
        <v>Cross-Sector</v>
      </c>
      <c r="B1716" s="262" t="str">
        <f>IF(ISBLANK(INDEX('Policy Characteristics'!B:B,MATCH($C1716,'Policy Characteristics'!$C:$C,0))),"",INDEX('Policy Characteristics'!B:B,MATCH($C1716,'Policy Characteristics'!$C:$C,0)))</f>
        <v>Fuel Taxes or Subsidies</v>
      </c>
      <c r="C1716" s="320" t="str">
        <f t="shared" si="66"/>
        <v>Additional Fuel Tax or Subsidy Rate by Fuel</v>
      </c>
      <c r="D1716" s="6" t="s">
        <v>442</v>
      </c>
      <c r="E1716" s="45" t="s">
        <v>335</v>
      </c>
      <c r="F1716" s="6" t="s">
        <v>443</v>
      </c>
      <c r="G1716" s="45" t="s">
        <v>2586</v>
      </c>
      <c r="H1716" s="43">
        <v>2359</v>
      </c>
      <c r="I1716" s="325" t="s">
        <v>44</v>
      </c>
      <c r="J1716" s="255" t="str">
        <f>IF(ISBLANK(INDEX('Policy Characteristics'!D:D,MATCH($C1716,'Policy Characteristics'!$C:$C,0))),"",INDEX('Policy Characteristics'!D:D,MATCH($C1716,'Policy Characteristics'!$C:$C,0)))</f>
        <v>Fuel Taxes or Subsidies</v>
      </c>
      <c r="K1716" s="254" t="str">
        <f>IF(ISBLANK(INDEX('Policy Characteristics'!E:E,MATCH($C1716,'Policy Characteristics'!$C:$C,0))),"",INDEX('Policy Characteristics'!E:E,MATCH($C1716,'Policy Characteristics'!$C:$C,0)))</f>
        <v>cross fuel tax</v>
      </c>
      <c r="L1716" s="261">
        <f>IF(ISBLANK(INDEX('Policy Characteristics'!F:F,MATCH($C1716,'Policy Characteristics'!$C:$C,0))),"",INDEX('Policy Characteristics'!F:F,MATCH($C1716,'Policy Characteristics'!$C:$C,0)))</f>
        <v>-0.9</v>
      </c>
      <c r="M1716" s="261">
        <f>IF(ISBLANK(INDEX('Policy Characteristics'!G:G,MATCH($C1716,'Policy Characteristics'!$C:$C,0))),"",INDEX('Policy Characteristics'!G:G,MATCH($C1716,'Policy Characteristics'!$C:$C,0)))</f>
        <v>0.9</v>
      </c>
      <c r="N1716" s="261">
        <f>IF(ISBLANK(INDEX('Policy Characteristics'!H:H,MATCH($C1716,'Policy Characteristics'!$C:$C,0))),"",INDEX('Policy Characteristics'!H:H,MATCH($C1716,'Policy Characteristics'!$C:$C,0)))</f>
        <v>0.01</v>
      </c>
      <c r="O1716" s="254" t="str">
        <f>IF(ISBLANK(INDEX('Policy Characteristics'!I:I,MATCH($C1716,'Policy Characteristics'!$C:$C,0))),"",INDEX('Policy Characteristics'!I:I,MATCH($C1716,'Policy Characteristics'!$C:$C,0)))</f>
        <v>% of BAU price</v>
      </c>
      <c r="P1716" s="254"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4" t="str">
        <f>IF(ISBLANK(INDEX('Policy Characteristics'!K:K,MATCH($C1716,'Policy Characteristics'!$C:$C,0))),"",INDEX('Policy Characteristics'!K:K,MATCH($C1716,'Policy Characteristics'!$C:$C,0)))</f>
        <v>fuels.html#fuel-taxes</v>
      </c>
      <c r="R1716" s="254" t="str">
        <f>IF(ISBLANK(INDEX('Policy Characteristics'!L:L,MATCH($C1716,'Policy Characteristics'!$C:$C,0))),"",INDEX('Policy Characteristics'!L:L,MATCH($C1716,'Policy Characteristics'!$C:$C,0)))</f>
        <v>fuel-taxes.html</v>
      </c>
    </row>
    <row r="1717" spans="1:18" x14ac:dyDescent="0.3">
      <c r="A1717" s="254" t="str">
        <f>IF(ISBLANK(INDEX('Policy Characteristics'!A:A,MATCH($C1717,'Policy Characteristics'!$C:$C,0))),"",INDEX('Policy Characteristics'!A:A,MATCH($C1717,'Policy Characteristics'!$C:$C,0)))</f>
        <v>Cross-Sector</v>
      </c>
      <c r="B1717" s="262" t="str">
        <f>IF(ISBLANK(INDEX('Policy Characteristics'!B:B,MATCH($C1717,'Policy Characteristics'!$C:$C,0))),"",INDEX('Policy Characteristics'!B:B,MATCH($C1717,'Policy Characteristics'!$C:$C,0)))</f>
        <v>Fuel Taxes or Subsidies</v>
      </c>
      <c r="C1717" s="320" t="str">
        <f t="shared" si="66"/>
        <v>Additional Fuel Tax or Subsidy Rate by Fuel</v>
      </c>
      <c r="D1717" s="6" t="s">
        <v>2465</v>
      </c>
      <c r="E1717" s="45" t="s">
        <v>335</v>
      </c>
      <c r="F1717" s="6" t="s">
        <v>2469</v>
      </c>
      <c r="G1717" s="45" t="s">
        <v>2586</v>
      </c>
      <c r="H1717" s="43">
        <v>2360</v>
      </c>
      <c r="I1717" s="325" t="s">
        <v>44</v>
      </c>
      <c r="J1717" s="255" t="str">
        <f>IF(ISBLANK(INDEX('Policy Characteristics'!D:D,MATCH($C1717,'Policy Characteristics'!$C:$C,0))),"",INDEX('Policy Characteristics'!D:D,MATCH($C1717,'Policy Characteristics'!$C:$C,0)))</f>
        <v>Fuel Taxes or Subsidies</v>
      </c>
      <c r="K1717" s="254" t="str">
        <f>IF(ISBLANK(INDEX('Policy Characteristics'!E:E,MATCH($C1717,'Policy Characteristics'!$C:$C,0))),"",INDEX('Policy Characteristics'!E:E,MATCH($C1717,'Policy Characteristics'!$C:$C,0)))</f>
        <v>cross fuel tax</v>
      </c>
      <c r="L1717" s="261">
        <f>IF(ISBLANK(INDEX('Policy Characteristics'!F:F,MATCH($C1717,'Policy Characteristics'!$C:$C,0))),"",INDEX('Policy Characteristics'!F:F,MATCH($C1717,'Policy Characteristics'!$C:$C,0)))</f>
        <v>-0.9</v>
      </c>
      <c r="M1717" s="261">
        <f>IF(ISBLANK(INDEX('Policy Characteristics'!G:G,MATCH($C1717,'Policy Characteristics'!$C:$C,0))),"",INDEX('Policy Characteristics'!G:G,MATCH($C1717,'Policy Characteristics'!$C:$C,0)))</f>
        <v>0.9</v>
      </c>
      <c r="N1717" s="261">
        <f>IF(ISBLANK(INDEX('Policy Characteristics'!H:H,MATCH($C1717,'Policy Characteristics'!$C:$C,0))),"",INDEX('Policy Characteristics'!H:H,MATCH($C1717,'Policy Characteristics'!$C:$C,0)))</f>
        <v>0.01</v>
      </c>
      <c r="O1717" s="254" t="str">
        <f>IF(ISBLANK(INDEX('Policy Characteristics'!I:I,MATCH($C1717,'Policy Characteristics'!$C:$C,0))),"",INDEX('Policy Characteristics'!I:I,MATCH($C1717,'Policy Characteristics'!$C:$C,0)))</f>
        <v>% of BAU price</v>
      </c>
      <c r="P1717" s="254"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4" t="str">
        <f>IF(ISBLANK(INDEX('Policy Characteristics'!K:K,MATCH($C1717,'Policy Characteristics'!$C:$C,0))),"",INDEX('Policy Characteristics'!K:K,MATCH($C1717,'Policy Characteristics'!$C:$C,0)))</f>
        <v>fuels.html#fuel-taxes</v>
      </c>
      <c r="R1717" s="254" t="str">
        <f>IF(ISBLANK(INDEX('Policy Characteristics'!L:L,MATCH($C1717,'Policy Characteristics'!$C:$C,0))),"",INDEX('Policy Characteristics'!L:L,MATCH($C1717,'Policy Characteristics'!$C:$C,0)))</f>
        <v>fuel-taxes.html</v>
      </c>
    </row>
    <row r="1718" spans="1:18" x14ac:dyDescent="0.3">
      <c r="A1718" s="254" t="str">
        <f>IF(ISBLANK(INDEX('Policy Characteristics'!A:A,MATCH($C1718,'Policy Characteristics'!$C:$C,0))),"",INDEX('Policy Characteristics'!A:A,MATCH($C1718,'Policy Characteristics'!$C:$C,0)))</f>
        <v>Cross-Sector</v>
      </c>
      <c r="B1718" s="262" t="str">
        <f>IF(ISBLANK(INDEX('Policy Characteristics'!B:B,MATCH($C1718,'Policy Characteristics'!$C:$C,0))),"",INDEX('Policy Characteristics'!B:B,MATCH($C1718,'Policy Characteristics'!$C:$C,0)))</f>
        <v>Fuel Taxes or Subsidies</v>
      </c>
      <c r="C1718" s="320" t="str">
        <f t="shared" si="66"/>
        <v>Additional Fuel Tax or Subsidy Rate by Fuel</v>
      </c>
      <c r="D1718" s="6" t="s">
        <v>2475</v>
      </c>
      <c r="E1718" s="45" t="s">
        <v>335</v>
      </c>
      <c r="F1718" s="6" t="s">
        <v>2476</v>
      </c>
      <c r="G1718" s="45" t="s">
        <v>2586</v>
      </c>
      <c r="H1718" s="43">
        <v>2361</v>
      </c>
      <c r="I1718" s="325" t="s">
        <v>44</v>
      </c>
      <c r="J1718" s="255" t="str">
        <f>IF(ISBLANK(INDEX('Policy Characteristics'!D:D,MATCH($C1718,'Policy Characteristics'!$C:$C,0))),"",INDEX('Policy Characteristics'!D:D,MATCH($C1718,'Policy Characteristics'!$C:$C,0)))</f>
        <v>Fuel Taxes or Subsidies</v>
      </c>
      <c r="K1718" s="254" t="str">
        <f>IF(ISBLANK(INDEX('Policy Characteristics'!E:E,MATCH($C1718,'Policy Characteristics'!$C:$C,0))),"",INDEX('Policy Characteristics'!E:E,MATCH($C1718,'Policy Characteristics'!$C:$C,0)))</f>
        <v>cross fuel tax</v>
      </c>
      <c r="L1718" s="261">
        <f>IF(ISBLANK(INDEX('Policy Characteristics'!F:F,MATCH($C1718,'Policy Characteristics'!$C:$C,0))),"",INDEX('Policy Characteristics'!F:F,MATCH($C1718,'Policy Characteristics'!$C:$C,0)))</f>
        <v>-0.9</v>
      </c>
      <c r="M1718" s="261">
        <f>IF(ISBLANK(INDEX('Policy Characteristics'!G:G,MATCH($C1718,'Policy Characteristics'!$C:$C,0))),"",INDEX('Policy Characteristics'!G:G,MATCH($C1718,'Policy Characteristics'!$C:$C,0)))</f>
        <v>0.9</v>
      </c>
      <c r="N1718" s="261">
        <f>IF(ISBLANK(INDEX('Policy Characteristics'!H:H,MATCH($C1718,'Policy Characteristics'!$C:$C,0))),"",INDEX('Policy Characteristics'!H:H,MATCH($C1718,'Policy Characteristics'!$C:$C,0)))</f>
        <v>0.01</v>
      </c>
      <c r="O1718" s="254" t="str">
        <f>IF(ISBLANK(INDEX('Policy Characteristics'!I:I,MATCH($C1718,'Policy Characteristics'!$C:$C,0))),"",INDEX('Policy Characteristics'!I:I,MATCH($C1718,'Policy Characteristics'!$C:$C,0)))</f>
        <v>% of BAU price</v>
      </c>
      <c r="P1718" s="254"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4" t="str">
        <f>IF(ISBLANK(INDEX('Policy Characteristics'!K:K,MATCH($C1718,'Policy Characteristics'!$C:$C,0))),"",INDEX('Policy Characteristics'!K:K,MATCH($C1718,'Policy Characteristics'!$C:$C,0)))</f>
        <v>fuels.html#fuel-taxes</v>
      </c>
      <c r="R1718" s="254" t="str">
        <f>IF(ISBLANK(INDEX('Policy Characteristics'!L:L,MATCH($C1718,'Policy Characteristics'!$C:$C,0))),"",INDEX('Policy Characteristics'!L:L,MATCH($C1718,'Policy Characteristics'!$C:$C,0)))</f>
        <v>fuel-taxes.html</v>
      </c>
    </row>
    <row r="1719" spans="1:18" x14ac:dyDescent="0.3">
      <c r="A1719" s="254" t="str">
        <f>IF(ISBLANK(INDEX('Policy Characteristics'!A:A,MATCH($C1719,'Policy Characteristics'!$C:$C,0))),"",INDEX('Policy Characteristics'!A:A,MATCH($C1719,'Policy Characteristics'!$C:$C,0)))</f>
        <v>Cross-Sector</v>
      </c>
      <c r="B1719" s="262" t="str">
        <f>IF(ISBLANK(INDEX('Policy Characteristics'!B:B,MATCH($C1719,'Policy Characteristics'!$C:$C,0))),"",INDEX('Policy Characteristics'!B:B,MATCH($C1719,'Policy Characteristics'!$C:$C,0)))</f>
        <v>Fuel Taxes or Subsidies</v>
      </c>
      <c r="C1719" s="320" t="str">
        <f t="shared" ref="C1719:C1782" si="67">C$1654</f>
        <v>Additional Fuel Tax or Subsidy Rate by Fuel</v>
      </c>
      <c r="D1719" s="6" t="s">
        <v>2466</v>
      </c>
      <c r="E1719" s="45" t="s">
        <v>335</v>
      </c>
      <c r="F1719" s="6" t="s">
        <v>2470</v>
      </c>
      <c r="G1719" s="45" t="s">
        <v>2586</v>
      </c>
      <c r="H1719" s="43">
        <v>2362</v>
      </c>
      <c r="I1719" s="325" t="s">
        <v>44</v>
      </c>
      <c r="J1719" s="255" t="str">
        <f>IF(ISBLANK(INDEX('Policy Characteristics'!D:D,MATCH($C1719,'Policy Characteristics'!$C:$C,0))),"",INDEX('Policy Characteristics'!D:D,MATCH($C1719,'Policy Characteristics'!$C:$C,0)))</f>
        <v>Fuel Taxes or Subsidies</v>
      </c>
      <c r="K1719" s="254" t="str">
        <f>IF(ISBLANK(INDEX('Policy Characteristics'!E:E,MATCH($C1719,'Policy Characteristics'!$C:$C,0))),"",INDEX('Policy Characteristics'!E:E,MATCH($C1719,'Policy Characteristics'!$C:$C,0)))</f>
        <v>cross fuel tax</v>
      </c>
      <c r="L1719" s="261">
        <f>IF(ISBLANK(INDEX('Policy Characteristics'!F:F,MATCH($C1719,'Policy Characteristics'!$C:$C,0))),"",INDEX('Policy Characteristics'!F:F,MATCH($C1719,'Policy Characteristics'!$C:$C,0)))</f>
        <v>-0.9</v>
      </c>
      <c r="M1719" s="261">
        <f>IF(ISBLANK(INDEX('Policy Characteristics'!G:G,MATCH($C1719,'Policy Characteristics'!$C:$C,0))),"",INDEX('Policy Characteristics'!G:G,MATCH($C1719,'Policy Characteristics'!$C:$C,0)))</f>
        <v>0.9</v>
      </c>
      <c r="N1719" s="261">
        <f>IF(ISBLANK(INDEX('Policy Characteristics'!H:H,MATCH($C1719,'Policy Characteristics'!$C:$C,0))),"",INDEX('Policy Characteristics'!H:H,MATCH($C1719,'Policy Characteristics'!$C:$C,0)))</f>
        <v>0.01</v>
      </c>
      <c r="O1719" s="254" t="str">
        <f>IF(ISBLANK(INDEX('Policy Characteristics'!I:I,MATCH($C1719,'Policy Characteristics'!$C:$C,0))),"",INDEX('Policy Characteristics'!I:I,MATCH($C1719,'Policy Characteristics'!$C:$C,0)))</f>
        <v>% of BAU price</v>
      </c>
      <c r="P1719" s="254"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4" t="str">
        <f>IF(ISBLANK(INDEX('Policy Characteristics'!K:K,MATCH($C1719,'Policy Characteristics'!$C:$C,0))),"",INDEX('Policy Characteristics'!K:K,MATCH($C1719,'Policy Characteristics'!$C:$C,0)))</f>
        <v>fuels.html#fuel-taxes</v>
      </c>
      <c r="R1719" s="254" t="str">
        <f>IF(ISBLANK(INDEX('Policy Characteristics'!L:L,MATCH($C1719,'Policy Characteristics'!$C:$C,0))),"",INDEX('Policy Characteristics'!L:L,MATCH($C1719,'Policy Characteristics'!$C:$C,0)))</f>
        <v>fuel-taxes.html</v>
      </c>
    </row>
    <row r="1720" spans="1:18" x14ac:dyDescent="0.3">
      <c r="A1720" s="254" t="str">
        <f>IF(ISBLANK(INDEX('Policy Characteristics'!A:A,MATCH($C1720,'Policy Characteristics'!$C:$C,0))),"",INDEX('Policy Characteristics'!A:A,MATCH($C1720,'Policy Characteristics'!$C:$C,0)))</f>
        <v>Cross-Sector</v>
      </c>
      <c r="B1720" s="262" t="str">
        <f>IF(ISBLANK(INDEX('Policy Characteristics'!B:B,MATCH($C1720,'Policy Characteristics'!$C:$C,0))),"",INDEX('Policy Characteristics'!B:B,MATCH($C1720,'Policy Characteristics'!$C:$C,0)))</f>
        <v>Fuel Taxes or Subsidies</v>
      </c>
      <c r="C1720" s="320" t="str">
        <f t="shared" si="67"/>
        <v>Additional Fuel Tax or Subsidy Rate by Fuel</v>
      </c>
      <c r="D1720" s="6" t="s">
        <v>2467</v>
      </c>
      <c r="E1720" s="45" t="s">
        <v>335</v>
      </c>
      <c r="F1720" s="6" t="s">
        <v>2471</v>
      </c>
      <c r="G1720" s="45" t="s">
        <v>2586</v>
      </c>
      <c r="H1720" s="43">
        <v>2363</v>
      </c>
      <c r="I1720" s="325" t="s">
        <v>44</v>
      </c>
      <c r="J1720" s="255" t="str">
        <f>IF(ISBLANK(INDEX('Policy Characteristics'!D:D,MATCH($C1720,'Policy Characteristics'!$C:$C,0))),"",INDEX('Policy Characteristics'!D:D,MATCH($C1720,'Policy Characteristics'!$C:$C,0)))</f>
        <v>Fuel Taxes or Subsidies</v>
      </c>
      <c r="K1720" s="254" t="str">
        <f>IF(ISBLANK(INDEX('Policy Characteristics'!E:E,MATCH($C1720,'Policy Characteristics'!$C:$C,0))),"",INDEX('Policy Characteristics'!E:E,MATCH($C1720,'Policy Characteristics'!$C:$C,0)))</f>
        <v>cross fuel tax</v>
      </c>
      <c r="L1720" s="261">
        <f>IF(ISBLANK(INDEX('Policy Characteristics'!F:F,MATCH($C1720,'Policy Characteristics'!$C:$C,0))),"",INDEX('Policy Characteristics'!F:F,MATCH($C1720,'Policy Characteristics'!$C:$C,0)))</f>
        <v>-0.9</v>
      </c>
      <c r="M1720" s="261">
        <f>IF(ISBLANK(INDEX('Policy Characteristics'!G:G,MATCH($C1720,'Policy Characteristics'!$C:$C,0))),"",INDEX('Policy Characteristics'!G:G,MATCH($C1720,'Policy Characteristics'!$C:$C,0)))</f>
        <v>0.9</v>
      </c>
      <c r="N1720" s="261">
        <f>IF(ISBLANK(INDEX('Policy Characteristics'!H:H,MATCH($C1720,'Policy Characteristics'!$C:$C,0))),"",INDEX('Policy Characteristics'!H:H,MATCH($C1720,'Policy Characteristics'!$C:$C,0)))</f>
        <v>0.01</v>
      </c>
      <c r="O1720" s="254" t="str">
        <f>IF(ISBLANK(INDEX('Policy Characteristics'!I:I,MATCH($C1720,'Policy Characteristics'!$C:$C,0))),"",INDEX('Policy Characteristics'!I:I,MATCH($C1720,'Policy Characteristics'!$C:$C,0)))</f>
        <v>% of BAU price</v>
      </c>
      <c r="P1720" s="254"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4" t="str">
        <f>IF(ISBLANK(INDEX('Policy Characteristics'!K:K,MATCH($C1720,'Policy Characteristics'!$C:$C,0))),"",INDEX('Policy Characteristics'!K:K,MATCH($C1720,'Policy Characteristics'!$C:$C,0)))</f>
        <v>fuels.html#fuel-taxes</v>
      </c>
      <c r="R1720" s="254" t="str">
        <f>IF(ISBLANK(INDEX('Policy Characteristics'!L:L,MATCH($C1720,'Policy Characteristics'!$C:$C,0))),"",INDEX('Policy Characteristics'!L:L,MATCH($C1720,'Policy Characteristics'!$C:$C,0)))</f>
        <v>fuel-taxes.html</v>
      </c>
    </row>
    <row r="1721" spans="1:18" x14ac:dyDescent="0.3">
      <c r="A1721" s="254" t="str">
        <f>IF(ISBLANK(INDEX('Policy Characteristics'!A:A,MATCH($C1721,'Policy Characteristics'!$C:$C,0))),"",INDEX('Policy Characteristics'!A:A,MATCH($C1721,'Policy Characteristics'!$C:$C,0)))</f>
        <v>Cross-Sector</v>
      </c>
      <c r="B1721" s="262" t="str">
        <f>IF(ISBLANK(INDEX('Policy Characteristics'!B:B,MATCH($C1721,'Policy Characteristics'!$C:$C,0))),"",INDEX('Policy Characteristics'!B:B,MATCH($C1721,'Policy Characteristics'!$C:$C,0)))</f>
        <v>Fuel Taxes or Subsidies</v>
      </c>
      <c r="C1721" s="320" t="str">
        <f t="shared" si="67"/>
        <v>Additional Fuel Tax or Subsidy Rate by Fuel</v>
      </c>
      <c r="D1721" s="6" t="s">
        <v>2468</v>
      </c>
      <c r="E1721" s="45" t="s">
        <v>335</v>
      </c>
      <c r="F1721" s="6" t="s">
        <v>2472</v>
      </c>
      <c r="G1721" s="45" t="s">
        <v>2586</v>
      </c>
      <c r="H1721" s="43">
        <v>2364</v>
      </c>
      <c r="I1721" s="325" t="s">
        <v>44</v>
      </c>
      <c r="J1721" s="255" t="str">
        <f>IF(ISBLANK(INDEX('Policy Characteristics'!D:D,MATCH($C1721,'Policy Characteristics'!$C:$C,0))),"",INDEX('Policy Characteristics'!D:D,MATCH($C1721,'Policy Characteristics'!$C:$C,0)))</f>
        <v>Fuel Taxes or Subsidies</v>
      </c>
      <c r="K1721" s="254" t="str">
        <f>IF(ISBLANK(INDEX('Policy Characteristics'!E:E,MATCH($C1721,'Policy Characteristics'!$C:$C,0))),"",INDEX('Policy Characteristics'!E:E,MATCH($C1721,'Policy Characteristics'!$C:$C,0)))</f>
        <v>cross fuel tax</v>
      </c>
      <c r="L1721" s="261">
        <f>IF(ISBLANK(INDEX('Policy Characteristics'!F:F,MATCH($C1721,'Policy Characteristics'!$C:$C,0))),"",INDEX('Policy Characteristics'!F:F,MATCH($C1721,'Policy Characteristics'!$C:$C,0)))</f>
        <v>-0.9</v>
      </c>
      <c r="M1721" s="261">
        <f>IF(ISBLANK(INDEX('Policy Characteristics'!G:G,MATCH($C1721,'Policy Characteristics'!$C:$C,0))),"",INDEX('Policy Characteristics'!G:G,MATCH($C1721,'Policy Characteristics'!$C:$C,0)))</f>
        <v>0.9</v>
      </c>
      <c r="N1721" s="261">
        <f>IF(ISBLANK(INDEX('Policy Characteristics'!H:H,MATCH($C1721,'Policy Characteristics'!$C:$C,0))),"",INDEX('Policy Characteristics'!H:H,MATCH($C1721,'Policy Characteristics'!$C:$C,0)))</f>
        <v>0.01</v>
      </c>
      <c r="O1721" s="254" t="str">
        <f>IF(ISBLANK(INDEX('Policy Characteristics'!I:I,MATCH($C1721,'Policy Characteristics'!$C:$C,0))),"",INDEX('Policy Characteristics'!I:I,MATCH($C1721,'Policy Characteristics'!$C:$C,0)))</f>
        <v>% of BAU price</v>
      </c>
      <c r="P1721" s="254"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4" t="str">
        <f>IF(ISBLANK(INDEX('Policy Characteristics'!K:K,MATCH($C1721,'Policy Characteristics'!$C:$C,0))),"",INDEX('Policy Characteristics'!K:K,MATCH($C1721,'Policy Characteristics'!$C:$C,0)))</f>
        <v>fuels.html#fuel-taxes</v>
      </c>
      <c r="R1721" s="254" t="str">
        <f>IF(ISBLANK(INDEX('Policy Characteristics'!L:L,MATCH($C1721,'Policy Characteristics'!$C:$C,0))),"",INDEX('Policy Characteristics'!L:L,MATCH($C1721,'Policy Characteristics'!$C:$C,0)))</f>
        <v>fuel-taxes.html</v>
      </c>
    </row>
    <row r="1722" spans="1:18" s="4" customFormat="1" x14ac:dyDescent="0.3">
      <c r="A1722" s="254" t="str">
        <f>IF(ISBLANK(INDEX('Policy Characteristics'!A:A,MATCH($C1722,'Policy Characteristics'!$C:$C,0))),"",INDEX('Policy Characteristics'!A:A,MATCH($C1722,'Policy Characteristics'!$C:$C,0)))</f>
        <v>Cross-Sector</v>
      </c>
      <c r="B1722" s="262" t="str">
        <f>IF(ISBLANK(INDEX('Policy Characteristics'!B:B,MATCH($C1722,'Policy Characteristics'!$C:$C,0))),"",INDEX('Policy Characteristics'!B:B,MATCH($C1722,'Policy Characteristics'!$C:$C,0)))</f>
        <v>Fuel Taxes or Subsidies</v>
      </c>
      <c r="C1722" s="320" t="str">
        <f t="shared" si="67"/>
        <v>Additional Fuel Tax or Subsidy Rate by Fuel</v>
      </c>
      <c r="D1722" s="45" t="s">
        <v>52</v>
      </c>
      <c r="E1722" s="45" t="s">
        <v>333</v>
      </c>
      <c r="F1722" s="45" t="s">
        <v>93</v>
      </c>
      <c r="G1722" s="45" t="s">
        <v>9</v>
      </c>
      <c r="H1722" s="43">
        <v>2365</v>
      </c>
      <c r="I1722" s="324" t="s">
        <v>43</v>
      </c>
      <c r="J1722" s="255" t="str">
        <f>IF(ISBLANK(INDEX('Policy Characteristics'!D:D,MATCH($C1722,'Policy Characteristics'!$C:$C,0))),"",INDEX('Policy Characteristics'!D:D,MATCH($C1722,'Policy Characteristics'!$C:$C,0)))</f>
        <v>Fuel Taxes or Subsidies</v>
      </c>
      <c r="K1722" s="254" t="str">
        <f>IF(ISBLANK(INDEX('Policy Characteristics'!E:E,MATCH($C1722,'Policy Characteristics'!$C:$C,0))),"",INDEX('Policy Characteristics'!E:E,MATCH($C1722,'Policy Characteristics'!$C:$C,0)))</f>
        <v>cross fuel tax</v>
      </c>
      <c r="L1722" s="261">
        <f>IF(ISBLANK(INDEX('Policy Characteristics'!F:F,MATCH($C1722,'Policy Characteristics'!$C:$C,0))),"",INDEX('Policy Characteristics'!F:F,MATCH($C1722,'Policy Characteristics'!$C:$C,0)))</f>
        <v>-0.9</v>
      </c>
      <c r="M1722" s="261">
        <f>IF(ISBLANK(INDEX('Policy Characteristics'!G:G,MATCH($C1722,'Policy Characteristics'!$C:$C,0))),"",INDEX('Policy Characteristics'!G:G,MATCH($C1722,'Policy Characteristics'!$C:$C,0)))</f>
        <v>0.9</v>
      </c>
      <c r="N1722" s="261">
        <f>IF(ISBLANK(INDEX('Policy Characteristics'!H:H,MATCH($C1722,'Policy Characteristics'!$C:$C,0))),"",INDEX('Policy Characteristics'!H:H,MATCH($C1722,'Policy Characteristics'!$C:$C,0)))</f>
        <v>0.01</v>
      </c>
      <c r="O1722" s="254" t="str">
        <f>IF(ISBLANK(INDEX('Policy Characteristics'!I:I,MATCH($C1722,'Policy Characteristics'!$C:$C,0))),"",INDEX('Policy Characteristics'!I:I,MATCH($C1722,'Policy Characteristics'!$C:$C,0)))</f>
        <v>% of BAU price</v>
      </c>
      <c r="P1722" s="254"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4" t="str">
        <f>IF(ISBLANK(INDEX('Policy Characteristics'!K:K,MATCH($C1722,'Policy Characteristics'!$C:$C,0))),"",INDEX('Policy Characteristics'!K:K,MATCH($C1722,'Policy Characteristics'!$C:$C,0)))</f>
        <v>fuels.html#fuel-taxes</v>
      </c>
      <c r="R1722" s="254" t="str">
        <f>IF(ISBLANK(INDEX('Policy Characteristics'!L:L,MATCH($C1722,'Policy Characteristics'!$C:$C,0))),"",INDEX('Policy Characteristics'!L:L,MATCH($C1722,'Policy Characteristics'!$C:$C,0)))</f>
        <v>fuel-taxes.html</v>
      </c>
    </row>
    <row r="1723" spans="1:18" s="4" customFormat="1" x14ac:dyDescent="0.3">
      <c r="A1723" s="254" t="str">
        <f>IF(ISBLANK(INDEX('Policy Characteristics'!A:A,MATCH($C1723,'Policy Characteristics'!$C:$C,0))),"",INDEX('Policy Characteristics'!A:A,MATCH($C1723,'Policy Characteristics'!$C:$C,0)))</f>
        <v>Cross-Sector</v>
      </c>
      <c r="B1723" s="262" t="str">
        <f>IF(ISBLANK(INDEX('Policy Characteristics'!B:B,MATCH($C1723,'Policy Characteristics'!$C:$C,0))),"",INDEX('Policy Characteristics'!B:B,MATCH($C1723,'Policy Characteristics'!$C:$C,0)))</f>
        <v>Fuel Taxes or Subsidies</v>
      </c>
      <c r="C1723" s="320" t="str">
        <f t="shared" si="67"/>
        <v>Additional Fuel Tax or Subsidy Rate by Fuel</v>
      </c>
      <c r="D1723" s="6" t="s">
        <v>449</v>
      </c>
      <c r="E1723" s="45" t="s">
        <v>333</v>
      </c>
      <c r="F1723" s="6" t="s">
        <v>446</v>
      </c>
      <c r="G1723" s="45" t="s">
        <v>9</v>
      </c>
      <c r="H1723" s="43">
        <v>2366</v>
      </c>
      <c r="I1723" s="325" t="s">
        <v>43</v>
      </c>
      <c r="J1723" s="255" t="str">
        <f>IF(ISBLANK(INDEX('Policy Characteristics'!D:D,MATCH($C1723,'Policy Characteristics'!$C:$C,0))),"",INDEX('Policy Characteristics'!D:D,MATCH($C1723,'Policy Characteristics'!$C:$C,0)))</f>
        <v>Fuel Taxes or Subsidies</v>
      </c>
      <c r="K1723" s="254" t="str">
        <f>IF(ISBLANK(INDEX('Policy Characteristics'!E:E,MATCH($C1723,'Policy Characteristics'!$C:$C,0))),"",INDEX('Policy Characteristics'!E:E,MATCH($C1723,'Policy Characteristics'!$C:$C,0)))</f>
        <v>cross fuel tax</v>
      </c>
      <c r="L1723" s="261">
        <f>IF(ISBLANK(INDEX('Policy Characteristics'!F:F,MATCH($C1723,'Policy Characteristics'!$C:$C,0))),"",INDEX('Policy Characteristics'!F:F,MATCH($C1723,'Policy Characteristics'!$C:$C,0)))</f>
        <v>-0.9</v>
      </c>
      <c r="M1723" s="261">
        <f>IF(ISBLANK(INDEX('Policy Characteristics'!G:G,MATCH($C1723,'Policy Characteristics'!$C:$C,0))),"",INDEX('Policy Characteristics'!G:G,MATCH($C1723,'Policy Characteristics'!$C:$C,0)))</f>
        <v>0.9</v>
      </c>
      <c r="N1723" s="261">
        <f>IF(ISBLANK(INDEX('Policy Characteristics'!H:H,MATCH($C1723,'Policy Characteristics'!$C:$C,0))),"",INDEX('Policy Characteristics'!H:H,MATCH($C1723,'Policy Characteristics'!$C:$C,0)))</f>
        <v>0.01</v>
      </c>
      <c r="O1723" s="254" t="str">
        <f>IF(ISBLANK(INDEX('Policy Characteristics'!I:I,MATCH($C1723,'Policy Characteristics'!$C:$C,0))),"",INDEX('Policy Characteristics'!I:I,MATCH($C1723,'Policy Characteristics'!$C:$C,0)))</f>
        <v>% of BAU price</v>
      </c>
      <c r="P1723" s="254"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4" t="str">
        <f>IF(ISBLANK(INDEX('Policy Characteristics'!K:K,MATCH($C1723,'Policy Characteristics'!$C:$C,0))),"",INDEX('Policy Characteristics'!K:K,MATCH($C1723,'Policy Characteristics'!$C:$C,0)))</f>
        <v>fuels.html#fuel-taxes</v>
      </c>
      <c r="R1723" s="254" t="str">
        <f>IF(ISBLANK(INDEX('Policy Characteristics'!L:L,MATCH($C1723,'Policy Characteristics'!$C:$C,0))),"",INDEX('Policy Characteristics'!L:L,MATCH($C1723,'Policy Characteristics'!$C:$C,0)))</f>
        <v>fuel-taxes.html</v>
      </c>
    </row>
    <row r="1724" spans="1:18" s="4" customFormat="1" x14ac:dyDescent="0.3">
      <c r="A1724" s="254" t="str">
        <f>IF(ISBLANK(INDEX('Policy Characteristics'!A:A,MATCH($C1724,'Policy Characteristics'!$C:$C,0))),"",INDEX('Policy Characteristics'!A:A,MATCH($C1724,'Policy Characteristics'!$C:$C,0)))</f>
        <v>Cross-Sector</v>
      </c>
      <c r="B1724" s="262" t="str">
        <f>IF(ISBLANK(INDEX('Policy Characteristics'!B:B,MATCH($C1724,'Policy Characteristics'!$C:$C,0))),"",INDEX('Policy Characteristics'!B:B,MATCH($C1724,'Policy Characteristics'!$C:$C,0)))</f>
        <v>Fuel Taxes or Subsidies</v>
      </c>
      <c r="C1724" s="320" t="str">
        <f t="shared" si="67"/>
        <v>Additional Fuel Tax or Subsidy Rate by Fuel</v>
      </c>
      <c r="D1724" s="6" t="s">
        <v>46</v>
      </c>
      <c r="E1724" s="45" t="s">
        <v>333</v>
      </c>
      <c r="F1724" s="6" t="s">
        <v>87</v>
      </c>
      <c r="G1724" s="45" t="s">
        <v>9</v>
      </c>
      <c r="H1724" s="43">
        <v>2367</v>
      </c>
      <c r="I1724" s="325" t="s">
        <v>43</v>
      </c>
      <c r="J1724" s="255" t="str">
        <f>IF(ISBLANK(INDEX('Policy Characteristics'!D:D,MATCH($C1724,'Policy Characteristics'!$C:$C,0))),"",INDEX('Policy Characteristics'!D:D,MATCH($C1724,'Policy Characteristics'!$C:$C,0)))</f>
        <v>Fuel Taxes or Subsidies</v>
      </c>
      <c r="K1724" s="254" t="str">
        <f>IF(ISBLANK(INDEX('Policy Characteristics'!E:E,MATCH($C1724,'Policy Characteristics'!$C:$C,0))),"",INDEX('Policy Characteristics'!E:E,MATCH($C1724,'Policy Characteristics'!$C:$C,0)))</f>
        <v>cross fuel tax</v>
      </c>
      <c r="L1724" s="261">
        <f>IF(ISBLANK(INDEX('Policy Characteristics'!F:F,MATCH($C1724,'Policy Characteristics'!$C:$C,0))),"",INDEX('Policy Characteristics'!F:F,MATCH($C1724,'Policy Characteristics'!$C:$C,0)))</f>
        <v>-0.9</v>
      </c>
      <c r="M1724" s="261">
        <f>IF(ISBLANK(INDEX('Policy Characteristics'!G:G,MATCH($C1724,'Policy Characteristics'!$C:$C,0))),"",INDEX('Policy Characteristics'!G:G,MATCH($C1724,'Policy Characteristics'!$C:$C,0)))</f>
        <v>0.9</v>
      </c>
      <c r="N1724" s="261">
        <f>IF(ISBLANK(INDEX('Policy Characteristics'!H:H,MATCH($C1724,'Policy Characteristics'!$C:$C,0))),"",INDEX('Policy Characteristics'!H:H,MATCH($C1724,'Policy Characteristics'!$C:$C,0)))</f>
        <v>0.01</v>
      </c>
      <c r="O1724" s="254" t="str">
        <f>IF(ISBLANK(INDEX('Policy Characteristics'!I:I,MATCH($C1724,'Policy Characteristics'!$C:$C,0))),"",INDEX('Policy Characteristics'!I:I,MATCH($C1724,'Policy Characteristics'!$C:$C,0)))</f>
        <v>% of BAU price</v>
      </c>
      <c r="P1724" s="254"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4" t="str">
        <f>IF(ISBLANK(INDEX('Policy Characteristics'!K:K,MATCH($C1724,'Policy Characteristics'!$C:$C,0))),"",INDEX('Policy Characteristics'!K:K,MATCH($C1724,'Policy Characteristics'!$C:$C,0)))</f>
        <v>fuels.html#fuel-taxes</v>
      </c>
      <c r="R1724" s="254" t="str">
        <f>IF(ISBLANK(INDEX('Policy Characteristics'!L:L,MATCH($C1724,'Policy Characteristics'!$C:$C,0))),"",INDEX('Policy Characteristics'!L:L,MATCH($C1724,'Policy Characteristics'!$C:$C,0)))</f>
        <v>fuel-taxes.html</v>
      </c>
    </row>
    <row r="1725" spans="1:18" s="4" customFormat="1" x14ac:dyDescent="0.3">
      <c r="A1725" s="254" t="str">
        <f>IF(ISBLANK(INDEX('Policy Characteristics'!A:A,MATCH($C1725,'Policy Characteristics'!$C:$C,0))),"",INDEX('Policy Characteristics'!A:A,MATCH($C1725,'Policy Characteristics'!$C:$C,0)))</f>
        <v>Cross-Sector</v>
      </c>
      <c r="B1725" s="262" t="str">
        <f>IF(ISBLANK(INDEX('Policy Characteristics'!B:B,MATCH($C1725,'Policy Characteristics'!$C:$C,0))),"",INDEX('Policy Characteristics'!B:B,MATCH($C1725,'Policy Characteristics'!$C:$C,0)))</f>
        <v>Fuel Taxes or Subsidies</v>
      </c>
      <c r="C1725" s="320" t="str">
        <f t="shared" si="67"/>
        <v>Additional Fuel Tax or Subsidy Rate by Fuel</v>
      </c>
      <c r="D1725" s="6" t="s">
        <v>47</v>
      </c>
      <c r="E1725" s="45" t="s">
        <v>333</v>
      </c>
      <c r="F1725" s="6" t="s">
        <v>88</v>
      </c>
      <c r="G1725" s="45" t="s">
        <v>9</v>
      </c>
      <c r="H1725" s="43">
        <v>2368</v>
      </c>
      <c r="I1725" s="325" t="s">
        <v>44</v>
      </c>
      <c r="J1725" s="255" t="str">
        <f>IF(ISBLANK(INDEX('Policy Characteristics'!D:D,MATCH($C1725,'Policy Characteristics'!$C:$C,0))),"",INDEX('Policy Characteristics'!D:D,MATCH($C1725,'Policy Characteristics'!$C:$C,0)))</f>
        <v>Fuel Taxes or Subsidies</v>
      </c>
      <c r="K1725" s="254" t="str">
        <f>IF(ISBLANK(INDEX('Policy Characteristics'!E:E,MATCH($C1725,'Policy Characteristics'!$C:$C,0))),"",INDEX('Policy Characteristics'!E:E,MATCH($C1725,'Policy Characteristics'!$C:$C,0)))</f>
        <v>cross fuel tax</v>
      </c>
      <c r="L1725" s="261">
        <f>IF(ISBLANK(INDEX('Policy Characteristics'!F:F,MATCH($C1725,'Policy Characteristics'!$C:$C,0))),"",INDEX('Policy Characteristics'!F:F,MATCH($C1725,'Policy Characteristics'!$C:$C,0)))</f>
        <v>-0.9</v>
      </c>
      <c r="M1725" s="261">
        <f>IF(ISBLANK(INDEX('Policy Characteristics'!G:G,MATCH($C1725,'Policy Characteristics'!$C:$C,0))),"",INDEX('Policy Characteristics'!G:G,MATCH($C1725,'Policy Characteristics'!$C:$C,0)))</f>
        <v>0.9</v>
      </c>
      <c r="N1725" s="261">
        <f>IF(ISBLANK(INDEX('Policy Characteristics'!H:H,MATCH($C1725,'Policy Characteristics'!$C:$C,0))),"",INDEX('Policy Characteristics'!H:H,MATCH($C1725,'Policy Characteristics'!$C:$C,0)))</f>
        <v>0.01</v>
      </c>
      <c r="O1725" s="254" t="str">
        <f>IF(ISBLANK(INDEX('Policy Characteristics'!I:I,MATCH($C1725,'Policy Characteristics'!$C:$C,0))),"",INDEX('Policy Characteristics'!I:I,MATCH($C1725,'Policy Characteristics'!$C:$C,0)))</f>
        <v>% of BAU price</v>
      </c>
      <c r="P1725" s="254"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4" t="str">
        <f>IF(ISBLANK(INDEX('Policy Characteristics'!K:K,MATCH($C1725,'Policy Characteristics'!$C:$C,0))),"",INDEX('Policy Characteristics'!K:K,MATCH($C1725,'Policy Characteristics'!$C:$C,0)))</f>
        <v>fuels.html#fuel-taxes</v>
      </c>
      <c r="R1725" s="254" t="str">
        <f>IF(ISBLANK(INDEX('Policy Characteristics'!L:L,MATCH($C1725,'Policy Characteristics'!$C:$C,0))),"",INDEX('Policy Characteristics'!L:L,MATCH($C1725,'Policy Characteristics'!$C:$C,0)))</f>
        <v>fuel-taxes.html</v>
      </c>
    </row>
    <row r="1726" spans="1:18" s="4" customFormat="1" x14ac:dyDescent="0.3">
      <c r="A1726" s="254" t="str">
        <f>IF(ISBLANK(INDEX('Policy Characteristics'!A:A,MATCH($C1726,'Policy Characteristics'!$C:$C,0))),"",INDEX('Policy Characteristics'!A:A,MATCH($C1726,'Policy Characteristics'!$C:$C,0)))</f>
        <v>Cross-Sector</v>
      </c>
      <c r="B1726" s="262" t="str">
        <f>IF(ISBLANK(INDEX('Policy Characteristics'!B:B,MATCH($C1726,'Policy Characteristics'!$C:$C,0))),"",INDEX('Policy Characteristics'!B:B,MATCH($C1726,'Policy Characteristics'!$C:$C,0)))</f>
        <v>Fuel Taxes or Subsidies</v>
      </c>
      <c r="C1726" s="320" t="str">
        <f t="shared" si="67"/>
        <v>Additional Fuel Tax or Subsidy Rate by Fuel</v>
      </c>
      <c r="D1726" s="6" t="s">
        <v>51</v>
      </c>
      <c r="E1726" s="45" t="s">
        <v>333</v>
      </c>
      <c r="F1726" s="6" t="s">
        <v>92</v>
      </c>
      <c r="G1726" s="45" t="s">
        <v>9</v>
      </c>
      <c r="H1726" s="43">
        <v>2369</v>
      </c>
      <c r="I1726" s="325" t="s">
        <v>44</v>
      </c>
      <c r="J1726" s="255" t="str">
        <f>IF(ISBLANK(INDEX('Policy Characteristics'!D:D,MATCH($C1726,'Policy Characteristics'!$C:$C,0))),"",INDEX('Policy Characteristics'!D:D,MATCH($C1726,'Policy Characteristics'!$C:$C,0)))</f>
        <v>Fuel Taxes or Subsidies</v>
      </c>
      <c r="K1726" s="254" t="str">
        <f>IF(ISBLANK(INDEX('Policy Characteristics'!E:E,MATCH($C1726,'Policy Characteristics'!$C:$C,0))),"",INDEX('Policy Characteristics'!E:E,MATCH($C1726,'Policy Characteristics'!$C:$C,0)))</f>
        <v>cross fuel tax</v>
      </c>
      <c r="L1726" s="261">
        <f>IF(ISBLANK(INDEX('Policy Characteristics'!F:F,MATCH($C1726,'Policy Characteristics'!$C:$C,0))),"",INDEX('Policy Characteristics'!F:F,MATCH($C1726,'Policy Characteristics'!$C:$C,0)))</f>
        <v>-0.9</v>
      </c>
      <c r="M1726" s="261">
        <f>IF(ISBLANK(INDEX('Policy Characteristics'!G:G,MATCH($C1726,'Policy Characteristics'!$C:$C,0))),"",INDEX('Policy Characteristics'!G:G,MATCH($C1726,'Policy Characteristics'!$C:$C,0)))</f>
        <v>0.9</v>
      </c>
      <c r="N1726" s="261">
        <f>IF(ISBLANK(INDEX('Policy Characteristics'!H:H,MATCH($C1726,'Policy Characteristics'!$C:$C,0))),"",INDEX('Policy Characteristics'!H:H,MATCH($C1726,'Policy Characteristics'!$C:$C,0)))</f>
        <v>0.01</v>
      </c>
      <c r="O1726" s="254" t="str">
        <f>IF(ISBLANK(INDEX('Policy Characteristics'!I:I,MATCH($C1726,'Policy Characteristics'!$C:$C,0))),"",INDEX('Policy Characteristics'!I:I,MATCH($C1726,'Policy Characteristics'!$C:$C,0)))</f>
        <v>% of BAU price</v>
      </c>
      <c r="P1726" s="254"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4" t="str">
        <f>IF(ISBLANK(INDEX('Policy Characteristics'!K:K,MATCH($C1726,'Policy Characteristics'!$C:$C,0))),"",INDEX('Policy Characteristics'!K:K,MATCH($C1726,'Policy Characteristics'!$C:$C,0)))</f>
        <v>fuels.html#fuel-taxes</v>
      </c>
      <c r="R1726" s="254" t="str">
        <f>IF(ISBLANK(INDEX('Policy Characteristics'!L:L,MATCH($C1726,'Policy Characteristics'!$C:$C,0))),"",INDEX('Policy Characteristics'!L:L,MATCH($C1726,'Policy Characteristics'!$C:$C,0)))</f>
        <v>fuel-taxes.html</v>
      </c>
    </row>
    <row r="1727" spans="1:18" s="4" customFormat="1" x14ac:dyDescent="0.3">
      <c r="A1727" s="254" t="str">
        <f>IF(ISBLANK(INDEX('Policy Characteristics'!A:A,MATCH($C1727,'Policy Characteristics'!$C:$C,0))),"",INDEX('Policy Characteristics'!A:A,MATCH($C1727,'Policy Characteristics'!$C:$C,0)))</f>
        <v>Cross-Sector</v>
      </c>
      <c r="B1727" s="262" t="str">
        <f>IF(ISBLANK(INDEX('Policy Characteristics'!B:B,MATCH($C1727,'Policy Characteristics'!$C:$C,0))),"",INDEX('Policy Characteristics'!B:B,MATCH($C1727,'Policy Characteristics'!$C:$C,0)))</f>
        <v>Fuel Taxes or Subsidies</v>
      </c>
      <c r="C1727" s="320" t="str">
        <f t="shared" si="67"/>
        <v>Additional Fuel Tax or Subsidy Rate by Fuel</v>
      </c>
      <c r="D1727" s="6" t="s">
        <v>53</v>
      </c>
      <c r="E1727" s="45" t="s">
        <v>333</v>
      </c>
      <c r="F1727" s="6" t="s">
        <v>95</v>
      </c>
      <c r="G1727" s="45" t="s">
        <v>9</v>
      </c>
      <c r="H1727" s="43">
        <v>2370</v>
      </c>
      <c r="I1727" s="325" t="s">
        <v>44</v>
      </c>
      <c r="J1727" s="255" t="str">
        <f>IF(ISBLANK(INDEX('Policy Characteristics'!D:D,MATCH($C1727,'Policy Characteristics'!$C:$C,0))),"",INDEX('Policy Characteristics'!D:D,MATCH($C1727,'Policy Characteristics'!$C:$C,0)))</f>
        <v>Fuel Taxes or Subsidies</v>
      </c>
      <c r="K1727" s="254" t="str">
        <f>IF(ISBLANK(INDEX('Policy Characteristics'!E:E,MATCH($C1727,'Policy Characteristics'!$C:$C,0))),"",INDEX('Policy Characteristics'!E:E,MATCH($C1727,'Policy Characteristics'!$C:$C,0)))</f>
        <v>cross fuel tax</v>
      </c>
      <c r="L1727" s="261">
        <f>IF(ISBLANK(INDEX('Policy Characteristics'!F:F,MATCH($C1727,'Policy Characteristics'!$C:$C,0))),"",INDEX('Policy Characteristics'!F:F,MATCH($C1727,'Policy Characteristics'!$C:$C,0)))</f>
        <v>-0.9</v>
      </c>
      <c r="M1727" s="261">
        <f>IF(ISBLANK(INDEX('Policy Characteristics'!G:G,MATCH($C1727,'Policy Characteristics'!$C:$C,0))),"",INDEX('Policy Characteristics'!G:G,MATCH($C1727,'Policy Characteristics'!$C:$C,0)))</f>
        <v>0.9</v>
      </c>
      <c r="N1727" s="261">
        <f>IF(ISBLANK(INDEX('Policy Characteristics'!H:H,MATCH($C1727,'Policy Characteristics'!$C:$C,0))),"",INDEX('Policy Characteristics'!H:H,MATCH($C1727,'Policy Characteristics'!$C:$C,0)))</f>
        <v>0.01</v>
      </c>
      <c r="O1727" s="254" t="str">
        <f>IF(ISBLANK(INDEX('Policy Characteristics'!I:I,MATCH($C1727,'Policy Characteristics'!$C:$C,0))),"",INDEX('Policy Characteristics'!I:I,MATCH($C1727,'Policy Characteristics'!$C:$C,0)))</f>
        <v>% of BAU price</v>
      </c>
      <c r="P1727" s="254"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4" t="str">
        <f>IF(ISBLANK(INDEX('Policy Characteristics'!K:K,MATCH($C1727,'Policy Characteristics'!$C:$C,0))),"",INDEX('Policy Characteristics'!K:K,MATCH($C1727,'Policy Characteristics'!$C:$C,0)))</f>
        <v>fuels.html#fuel-taxes</v>
      </c>
      <c r="R1727" s="254" t="str">
        <f>IF(ISBLANK(INDEX('Policy Characteristics'!L:L,MATCH($C1727,'Policy Characteristics'!$C:$C,0))),"",INDEX('Policy Characteristics'!L:L,MATCH($C1727,'Policy Characteristics'!$C:$C,0)))</f>
        <v>fuel-taxes.html</v>
      </c>
    </row>
    <row r="1728" spans="1:18" s="4" customFormat="1" x14ac:dyDescent="0.3">
      <c r="A1728" s="254" t="str">
        <f>IF(ISBLANK(INDEX('Policy Characteristics'!A:A,MATCH($C1728,'Policy Characteristics'!$C:$C,0))),"",INDEX('Policy Characteristics'!A:A,MATCH($C1728,'Policy Characteristics'!$C:$C,0)))</f>
        <v>Cross-Sector</v>
      </c>
      <c r="B1728" s="262" t="str">
        <f>IF(ISBLANK(INDEX('Policy Characteristics'!B:B,MATCH($C1728,'Policy Characteristics'!$C:$C,0))),"",INDEX('Policy Characteristics'!B:B,MATCH($C1728,'Policy Characteristics'!$C:$C,0)))</f>
        <v>Fuel Taxes or Subsidies</v>
      </c>
      <c r="C1728" s="320" t="str">
        <f t="shared" si="67"/>
        <v>Additional Fuel Tax or Subsidy Rate by Fuel</v>
      </c>
      <c r="D1728" s="6" t="s">
        <v>54</v>
      </c>
      <c r="E1728" s="45" t="s">
        <v>333</v>
      </c>
      <c r="F1728" s="6" t="s">
        <v>96</v>
      </c>
      <c r="G1728" s="45" t="s">
        <v>9</v>
      </c>
      <c r="H1728" s="43">
        <v>2371</v>
      </c>
      <c r="I1728" s="325" t="s">
        <v>43</v>
      </c>
      <c r="J1728" s="255" t="str">
        <f>IF(ISBLANK(INDEX('Policy Characteristics'!D:D,MATCH($C1728,'Policy Characteristics'!$C:$C,0))),"",INDEX('Policy Characteristics'!D:D,MATCH($C1728,'Policy Characteristics'!$C:$C,0)))</f>
        <v>Fuel Taxes or Subsidies</v>
      </c>
      <c r="K1728" s="254" t="str">
        <f>IF(ISBLANK(INDEX('Policy Characteristics'!E:E,MATCH($C1728,'Policy Characteristics'!$C:$C,0))),"",INDEX('Policy Characteristics'!E:E,MATCH($C1728,'Policy Characteristics'!$C:$C,0)))</f>
        <v>cross fuel tax</v>
      </c>
      <c r="L1728" s="261">
        <f>IF(ISBLANK(INDEX('Policy Characteristics'!F:F,MATCH($C1728,'Policy Characteristics'!$C:$C,0))),"",INDEX('Policy Characteristics'!F:F,MATCH($C1728,'Policy Characteristics'!$C:$C,0)))</f>
        <v>-0.9</v>
      </c>
      <c r="M1728" s="261">
        <f>IF(ISBLANK(INDEX('Policy Characteristics'!G:G,MATCH($C1728,'Policy Characteristics'!$C:$C,0))),"",INDEX('Policy Characteristics'!G:G,MATCH($C1728,'Policy Characteristics'!$C:$C,0)))</f>
        <v>0.9</v>
      </c>
      <c r="N1728" s="261">
        <f>IF(ISBLANK(INDEX('Policy Characteristics'!H:H,MATCH($C1728,'Policy Characteristics'!$C:$C,0))),"",INDEX('Policy Characteristics'!H:H,MATCH($C1728,'Policy Characteristics'!$C:$C,0)))</f>
        <v>0.01</v>
      </c>
      <c r="O1728" s="254" t="str">
        <f>IF(ISBLANK(INDEX('Policy Characteristics'!I:I,MATCH($C1728,'Policy Characteristics'!$C:$C,0))),"",INDEX('Policy Characteristics'!I:I,MATCH($C1728,'Policy Characteristics'!$C:$C,0)))</f>
        <v>% of BAU price</v>
      </c>
      <c r="P1728" s="254"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4" t="str">
        <f>IF(ISBLANK(INDEX('Policy Characteristics'!K:K,MATCH($C1728,'Policy Characteristics'!$C:$C,0))),"",INDEX('Policy Characteristics'!K:K,MATCH($C1728,'Policy Characteristics'!$C:$C,0)))</f>
        <v>fuels.html#fuel-taxes</v>
      </c>
      <c r="R1728" s="254" t="str">
        <f>IF(ISBLANK(INDEX('Policy Characteristics'!L:L,MATCH($C1728,'Policy Characteristics'!$C:$C,0))),"",INDEX('Policy Characteristics'!L:L,MATCH($C1728,'Policy Characteristics'!$C:$C,0)))</f>
        <v>fuel-taxes.html</v>
      </c>
    </row>
    <row r="1729" spans="1:18" s="4" customFormat="1" x14ac:dyDescent="0.3">
      <c r="A1729" s="254" t="str">
        <f>IF(ISBLANK(INDEX('Policy Characteristics'!A:A,MATCH($C1729,'Policy Characteristics'!$C:$C,0))),"",INDEX('Policy Characteristics'!A:A,MATCH($C1729,'Policy Characteristics'!$C:$C,0)))</f>
        <v>Cross-Sector</v>
      </c>
      <c r="B1729" s="262" t="str">
        <f>IF(ISBLANK(INDEX('Policy Characteristics'!B:B,MATCH($C1729,'Policy Characteristics'!$C:$C,0))),"",INDEX('Policy Characteristics'!B:B,MATCH($C1729,'Policy Characteristics'!$C:$C,0)))</f>
        <v>Fuel Taxes or Subsidies</v>
      </c>
      <c r="C1729" s="320" t="str">
        <f t="shared" si="67"/>
        <v>Additional Fuel Tax or Subsidy Rate by Fuel</v>
      </c>
      <c r="D1729" s="6" t="s">
        <v>55</v>
      </c>
      <c r="E1729" s="45" t="s">
        <v>333</v>
      </c>
      <c r="F1729" s="6" t="s">
        <v>97</v>
      </c>
      <c r="G1729" s="45" t="s">
        <v>9</v>
      </c>
      <c r="H1729" s="43">
        <v>2372</v>
      </c>
      <c r="I1729" s="325" t="s">
        <v>44</v>
      </c>
      <c r="J1729" s="255" t="str">
        <f>IF(ISBLANK(INDEX('Policy Characteristics'!D:D,MATCH($C1729,'Policy Characteristics'!$C:$C,0))),"",INDEX('Policy Characteristics'!D:D,MATCH($C1729,'Policy Characteristics'!$C:$C,0)))</f>
        <v>Fuel Taxes or Subsidies</v>
      </c>
      <c r="K1729" s="254" t="str">
        <f>IF(ISBLANK(INDEX('Policy Characteristics'!E:E,MATCH($C1729,'Policy Characteristics'!$C:$C,0))),"",INDEX('Policy Characteristics'!E:E,MATCH($C1729,'Policy Characteristics'!$C:$C,0)))</f>
        <v>cross fuel tax</v>
      </c>
      <c r="L1729" s="261">
        <f>IF(ISBLANK(INDEX('Policy Characteristics'!F:F,MATCH($C1729,'Policy Characteristics'!$C:$C,0))),"",INDEX('Policy Characteristics'!F:F,MATCH($C1729,'Policy Characteristics'!$C:$C,0)))</f>
        <v>-0.9</v>
      </c>
      <c r="M1729" s="261">
        <f>IF(ISBLANK(INDEX('Policy Characteristics'!G:G,MATCH($C1729,'Policy Characteristics'!$C:$C,0))),"",INDEX('Policy Characteristics'!G:G,MATCH($C1729,'Policy Characteristics'!$C:$C,0)))</f>
        <v>0.9</v>
      </c>
      <c r="N1729" s="261">
        <f>IF(ISBLANK(INDEX('Policy Characteristics'!H:H,MATCH($C1729,'Policy Characteristics'!$C:$C,0))),"",INDEX('Policy Characteristics'!H:H,MATCH($C1729,'Policy Characteristics'!$C:$C,0)))</f>
        <v>0.01</v>
      </c>
      <c r="O1729" s="254" t="str">
        <f>IF(ISBLANK(INDEX('Policy Characteristics'!I:I,MATCH($C1729,'Policy Characteristics'!$C:$C,0))),"",INDEX('Policy Characteristics'!I:I,MATCH($C1729,'Policy Characteristics'!$C:$C,0)))</f>
        <v>% of BAU price</v>
      </c>
      <c r="P1729" s="254"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4" t="str">
        <f>IF(ISBLANK(INDEX('Policy Characteristics'!K:K,MATCH($C1729,'Policy Characteristics'!$C:$C,0))),"",INDEX('Policy Characteristics'!K:K,MATCH($C1729,'Policy Characteristics'!$C:$C,0)))</f>
        <v>fuels.html#fuel-taxes</v>
      </c>
      <c r="R1729" s="254" t="str">
        <f>IF(ISBLANK(INDEX('Policy Characteristics'!L:L,MATCH($C1729,'Policy Characteristics'!$C:$C,0))),"",INDEX('Policy Characteristics'!L:L,MATCH($C1729,'Policy Characteristics'!$C:$C,0)))</f>
        <v>fuel-taxes.html</v>
      </c>
    </row>
    <row r="1730" spans="1:18" s="4" customFormat="1" x14ac:dyDescent="0.3">
      <c r="A1730" s="254" t="str">
        <f>IF(ISBLANK(INDEX('Policy Characteristics'!A:A,MATCH($C1730,'Policy Characteristics'!$C:$C,0))),"",INDEX('Policy Characteristics'!A:A,MATCH($C1730,'Policy Characteristics'!$C:$C,0)))</f>
        <v>Cross-Sector</v>
      </c>
      <c r="B1730" s="262" t="str">
        <f>IF(ISBLANK(INDEX('Policy Characteristics'!B:B,MATCH($C1730,'Policy Characteristics'!$C:$C,0))),"",INDEX('Policy Characteristics'!B:B,MATCH($C1730,'Policy Characteristics'!$C:$C,0)))</f>
        <v>Fuel Taxes or Subsidies</v>
      </c>
      <c r="C1730" s="320" t="str">
        <f t="shared" si="67"/>
        <v>Additional Fuel Tax or Subsidy Rate by Fuel</v>
      </c>
      <c r="D1730" s="6" t="s">
        <v>56</v>
      </c>
      <c r="E1730" s="45" t="s">
        <v>333</v>
      </c>
      <c r="F1730" s="6" t="s">
        <v>98</v>
      </c>
      <c r="G1730" s="45" t="s">
        <v>9</v>
      </c>
      <c r="H1730" s="43">
        <v>2373</v>
      </c>
      <c r="I1730" s="325" t="s">
        <v>44</v>
      </c>
      <c r="J1730" s="255" t="str">
        <f>IF(ISBLANK(INDEX('Policy Characteristics'!D:D,MATCH($C1730,'Policy Characteristics'!$C:$C,0))),"",INDEX('Policy Characteristics'!D:D,MATCH($C1730,'Policy Characteristics'!$C:$C,0)))</f>
        <v>Fuel Taxes or Subsidies</v>
      </c>
      <c r="K1730" s="254" t="str">
        <f>IF(ISBLANK(INDEX('Policy Characteristics'!E:E,MATCH($C1730,'Policy Characteristics'!$C:$C,0))),"",INDEX('Policy Characteristics'!E:E,MATCH($C1730,'Policy Characteristics'!$C:$C,0)))</f>
        <v>cross fuel tax</v>
      </c>
      <c r="L1730" s="261">
        <f>IF(ISBLANK(INDEX('Policy Characteristics'!F:F,MATCH($C1730,'Policy Characteristics'!$C:$C,0))),"",INDEX('Policy Characteristics'!F:F,MATCH($C1730,'Policy Characteristics'!$C:$C,0)))</f>
        <v>-0.9</v>
      </c>
      <c r="M1730" s="261">
        <f>IF(ISBLANK(INDEX('Policy Characteristics'!G:G,MATCH($C1730,'Policy Characteristics'!$C:$C,0))),"",INDEX('Policy Characteristics'!G:G,MATCH($C1730,'Policy Characteristics'!$C:$C,0)))</f>
        <v>0.9</v>
      </c>
      <c r="N1730" s="261">
        <f>IF(ISBLANK(INDEX('Policy Characteristics'!H:H,MATCH($C1730,'Policy Characteristics'!$C:$C,0))),"",INDEX('Policy Characteristics'!H:H,MATCH($C1730,'Policy Characteristics'!$C:$C,0)))</f>
        <v>0.01</v>
      </c>
      <c r="O1730" s="254" t="str">
        <f>IF(ISBLANK(INDEX('Policy Characteristics'!I:I,MATCH($C1730,'Policy Characteristics'!$C:$C,0))),"",INDEX('Policy Characteristics'!I:I,MATCH($C1730,'Policy Characteristics'!$C:$C,0)))</f>
        <v>% of BAU price</v>
      </c>
      <c r="P1730" s="254"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4" t="str">
        <f>IF(ISBLANK(INDEX('Policy Characteristics'!K:K,MATCH($C1730,'Policy Characteristics'!$C:$C,0))),"",INDEX('Policy Characteristics'!K:K,MATCH($C1730,'Policy Characteristics'!$C:$C,0)))</f>
        <v>fuels.html#fuel-taxes</v>
      </c>
      <c r="R1730" s="254" t="str">
        <f>IF(ISBLANK(INDEX('Policy Characteristics'!L:L,MATCH($C1730,'Policy Characteristics'!$C:$C,0))),"",INDEX('Policy Characteristics'!L:L,MATCH($C1730,'Policy Characteristics'!$C:$C,0)))</f>
        <v>fuel-taxes.html</v>
      </c>
    </row>
    <row r="1731" spans="1:18" x14ac:dyDescent="0.3">
      <c r="A1731" s="254" t="str">
        <f>IF(ISBLANK(INDEX('Policy Characteristics'!A:A,MATCH($C1731,'Policy Characteristics'!$C:$C,0))),"",INDEX('Policy Characteristics'!A:A,MATCH($C1731,'Policy Characteristics'!$C:$C,0)))</f>
        <v>Cross-Sector</v>
      </c>
      <c r="B1731" s="262" t="str">
        <f>IF(ISBLANK(INDEX('Policy Characteristics'!B:B,MATCH($C1731,'Policy Characteristics'!$C:$C,0))),"",INDEX('Policy Characteristics'!B:B,MATCH($C1731,'Policy Characteristics'!$C:$C,0)))</f>
        <v>Fuel Taxes or Subsidies</v>
      </c>
      <c r="C1731" s="320" t="str">
        <f t="shared" si="67"/>
        <v>Additional Fuel Tax or Subsidy Rate by Fuel</v>
      </c>
      <c r="D1731" s="6" t="s">
        <v>2473</v>
      </c>
      <c r="E1731" s="45" t="s">
        <v>333</v>
      </c>
      <c r="F1731" s="6" t="s">
        <v>2474</v>
      </c>
      <c r="G1731" s="45" t="s">
        <v>9</v>
      </c>
      <c r="H1731" s="43">
        <v>2374</v>
      </c>
      <c r="I1731" s="325" t="s">
        <v>43</v>
      </c>
      <c r="J1731" s="255" t="str">
        <f>IF(ISBLANK(INDEX('Policy Characteristics'!D:D,MATCH($C1731,'Policy Characteristics'!$C:$C,0))),"",INDEX('Policy Characteristics'!D:D,MATCH($C1731,'Policy Characteristics'!$C:$C,0)))</f>
        <v>Fuel Taxes or Subsidies</v>
      </c>
      <c r="K1731" s="254" t="str">
        <f>IF(ISBLANK(INDEX('Policy Characteristics'!E:E,MATCH($C1731,'Policy Characteristics'!$C:$C,0))),"",INDEX('Policy Characteristics'!E:E,MATCH($C1731,'Policy Characteristics'!$C:$C,0)))</f>
        <v>cross fuel tax</v>
      </c>
      <c r="L1731" s="261">
        <f>IF(ISBLANK(INDEX('Policy Characteristics'!F:F,MATCH($C1731,'Policy Characteristics'!$C:$C,0))),"",INDEX('Policy Characteristics'!F:F,MATCH($C1731,'Policy Characteristics'!$C:$C,0)))</f>
        <v>-0.9</v>
      </c>
      <c r="M1731" s="261">
        <f>IF(ISBLANK(INDEX('Policy Characteristics'!G:G,MATCH($C1731,'Policy Characteristics'!$C:$C,0))),"",INDEX('Policy Characteristics'!G:G,MATCH($C1731,'Policy Characteristics'!$C:$C,0)))</f>
        <v>0.9</v>
      </c>
      <c r="N1731" s="261">
        <f>IF(ISBLANK(INDEX('Policy Characteristics'!H:H,MATCH($C1731,'Policy Characteristics'!$C:$C,0))),"",INDEX('Policy Characteristics'!H:H,MATCH($C1731,'Policy Characteristics'!$C:$C,0)))</f>
        <v>0.01</v>
      </c>
      <c r="O1731" s="254" t="str">
        <f>IF(ISBLANK(INDEX('Policy Characteristics'!I:I,MATCH($C1731,'Policy Characteristics'!$C:$C,0))),"",INDEX('Policy Characteristics'!I:I,MATCH($C1731,'Policy Characteristics'!$C:$C,0)))</f>
        <v>% of BAU price</v>
      </c>
      <c r="P1731" s="254"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4" t="str">
        <f>IF(ISBLANK(INDEX('Policy Characteristics'!K:K,MATCH($C1731,'Policy Characteristics'!$C:$C,0))),"",INDEX('Policy Characteristics'!K:K,MATCH($C1731,'Policy Characteristics'!$C:$C,0)))</f>
        <v>fuels.html#fuel-taxes</v>
      </c>
      <c r="R1731" s="254" t="str">
        <f>IF(ISBLANK(INDEX('Policy Characteristics'!L:L,MATCH($C1731,'Policy Characteristics'!$C:$C,0))),"",INDEX('Policy Characteristics'!L:L,MATCH($C1731,'Policy Characteristics'!$C:$C,0)))</f>
        <v>fuel-taxes.html</v>
      </c>
    </row>
    <row r="1732" spans="1:18" x14ac:dyDescent="0.3">
      <c r="A1732" s="254" t="str">
        <f>IF(ISBLANK(INDEX('Policy Characteristics'!A:A,MATCH($C1732,'Policy Characteristics'!$C:$C,0))),"",INDEX('Policy Characteristics'!A:A,MATCH($C1732,'Policy Characteristics'!$C:$C,0)))</f>
        <v>Cross-Sector</v>
      </c>
      <c r="B1732" s="262" t="str">
        <f>IF(ISBLANK(INDEX('Policy Characteristics'!B:B,MATCH($C1732,'Policy Characteristics'!$C:$C,0))),"",INDEX('Policy Characteristics'!B:B,MATCH($C1732,'Policy Characteristics'!$C:$C,0)))</f>
        <v>Fuel Taxes or Subsidies</v>
      </c>
      <c r="C1732" s="320" t="str">
        <f t="shared" si="67"/>
        <v>Additional Fuel Tax or Subsidy Rate by Fuel</v>
      </c>
      <c r="D1732" s="6" t="s">
        <v>75</v>
      </c>
      <c r="E1732" s="45" t="s">
        <v>333</v>
      </c>
      <c r="F1732" s="6" t="s">
        <v>99</v>
      </c>
      <c r="G1732" s="45" t="s">
        <v>9</v>
      </c>
      <c r="H1732" s="43">
        <v>2375</v>
      </c>
      <c r="I1732" s="325" t="s">
        <v>44</v>
      </c>
      <c r="J1732" s="255" t="str">
        <f>IF(ISBLANK(INDEX('Policy Characteristics'!D:D,MATCH($C1732,'Policy Characteristics'!$C:$C,0))),"",INDEX('Policy Characteristics'!D:D,MATCH($C1732,'Policy Characteristics'!$C:$C,0)))</f>
        <v>Fuel Taxes or Subsidies</v>
      </c>
      <c r="K1732" s="254" t="str">
        <f>IF(ISBLANK(INDEX('Policy Characteristics'!E:E,MATCH($C1732,'Policy Characteristics'!$C:$C,0))),"",INDEX('Policy Characteristics'!E:E,MATCH($C1732,'Policy Characteristics'!$C:$C,0)))</f>
        <v>cross fuel tax</v>
      </c>
      <c r="L1732" s="261">
        <f>IF(ISBLANK(INDEX('Policy Characteristics'!F:F,MATCH($C1732,'Policy Characteristics'!$C:$C,0))),"",INDEX('Policy Characteristics'!F:F,MATCH($C1732,'Policy Characteristics'!$C:$C,0)))</f>
        <v>-0.9</v>
      </c>
      <c r="M1732" s="261">
        <f>IF(ISBLANK(INDEX('Policy Characteristics'!G:G,MATCH($C1732,'Policy Characteristics'!$C:$C,0))),"",INDEX('Policy Characteristics'!G:G,MATCH($C1732,'Policy Characteristics'!$C:$C,0)))</f>
        <v>0.9</v>
      </c>
      <c r="N1732" s="261">
        <f>IF(ISBLANK(INDEX('Policy Characteristics'!H:H,MATCH($C1732,'Policy Characteristics'!$C:$C,0))),"",INDEX('Policy Characteristics'!H:H,MATCH($C1732,'Policy Characteristics'!$C:$C,0)))</f>
        <v>0.01</v>
      </c>
      <c r="O1732" s="254" t="str">
        <f>IF(ISBLANK(INDEX('Policy Characteristics'!I:I,MATCH($C1732,'Policy Characteristics'!$C:$C,0))),"",INDEX('Policy Characteristics'!I:I,MATCH($C1732,'Policy Characteristics'!$C:$C,0)))</f>
        <v>% of BAU price</v>
      </c>
      <c r="P1732" s="254"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4" t="str">
        <f>IF(ISBLANK(INDEX('Policy Characteristics'!K:K,MATCH($C1732,'Policy Characteristics'!$C:$C,0))),"",INDEX('Policy Characteristics'!K:K,MATCH($C1732,'Policy Characteristics'!$C:$C,0)))</f>
        <v>fuels.html#fuel-taxes</v>
      </c>
      <c r="R1732" s="254" t="str">
        <f>IF(ISBLANK(INDEX('Policy Characteristics'!L:L,MATCH($C1732,'Policy Characteristics'!$C:$C,0))),"",INDEX('Policy Characteristics'!L:L,MATCH($C1732,'Policy Characteristics'!$C:$C,0)))</f>
        <v>fuel-taxes.html</v>
      </c>
    </row>
    <row r="1733" spans="1:18" x14ac:dyDescent="0.3">
      <c r="A1733" s="254" t="str">
        <f>IF(ISBLANK(INDEX('Policy Characteristics'!A:A,MATCH($C1733,'Policy Characteristics'!$C:$C,0))),"",INDEX('Policy Characteristics'!A:A,MATCH($C1733,'Policy Characteristics'!$C:$C,0)))</f>
        <v>Cross-Sector</v>
      </c>
      <c r="B1733" s="262" t="str">
        <f>IF(ISBLANK(INDEX('Policy Characteristics'!B:B,MATCH($C1733,'Policy Characteristics'!$C:$C,0))),"",INDEX('Policy Characteristics'!B:B,MATCH($C1733,'Policy Characteristics'!$C:$C,0)))</f>
        <v>Fuel Taxes or Subsidies</v>
      </c>
      <c r="C1733" s="320" t="str">
        <f t="shared" si="67"/>
        <v>Additional Fuel Tax or Subsidy Rate by Fuel</v>
      </c>
      <c r="D1733" s="6" t="s">
        <v>442</v>
      </c>
      <c r="E1733" s="45" t="s">
        <v>333</v>
      </c>
      <c r="F1733" s="6" t="s">
        <v>443</v>
      </c>
      <c r="G1733" s="45" t="s">
        <v>9</v>
      </c>
      <c r="H1733" s="43">
        <v>2376</v>
      </c>
      <c r="I1733" s="325" t="s">
        <v>44</v>
      </c>
      <c r="J1733" s="255" t="str">
        <f>IF(ISBLANK(INDEX('Policy Characteristics'!D:D,MATCH($C1733,'Policy Characteristics'!$C:$C,0))),"",INDEX('Policy Characteristics'!D:D,MATCH($C1733,'Policy Characteristics'!$C:$C,0)))</f>
        <v>Fuel Taxes or Subsidies</v>
      </c>
      <c r="K1733" s="254" t="str">
        <f>IF(ISBLANK(INDEX('Policy Characteristics'!E:E,MATCH($C1733,'Policy Characteristics'!$C:$C,0))),"",INDEX('Policy Characteristics'!E:E,MATCH($C1733,'Policy Characteristics'!$C:$C,0)))</f>
        <v>cross fuel tax</v>
      </c>
      <c r="L1733" s="261">
        <f>IF(ISBLANK(INDEX('Policy Characteristics'!F:F,MATCH($C1733,'Policy Characteristics'!$C:$C,0))),"",INDEX('Policy Characteristics'!F:F,MATCH($C1733,'Policy Characteristics'!$C:$C,0)))</f>
        <v>-0.9</v>
      </c>
      <c r="M1733" s="261">
        <f>IF(ISBLANK(INDEX('Policy Characteristics'!G:G,MATCH($C1733,'Policy Characteristics'!$C:$C,0))),"",INDEX('Policy Characteristics'!G:G,MATCH($C1733,'Policy Characteristics'!$C:$C,0)))</f>
        <v>0.9</v>
      </c>
      <c r="N1733" s="261">
        <f>IF(ISBLANK(INDEX('Policy Characteristics'!H:H,MATCH($C1733,'Policy Characteristics'!$C:$C,0))),"",INDEX('Policy Characteristics'!H:H,MATCH($C1733,'Policy Characteristics'!$C:$C,0)))</f>
        <v>0.01</v>
      </c>
      <c r="O1733" s="254" t="str">
        <f>IF(ISBLANK(INDEX('Policy Characteristics'!I:I,MATCH($C1733,'Policy Characteristics'!$C:$C,0))),"",INDEX('Policy Characteristics'!I:I,MATCH($C1733,'Policy Characteristics'!$C:$C,0)))</f>
        <v>% of BAU price</v>
      </c>
      <c r="P1733" s="254"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4" t="str">
        <f>IF(ISBLANK(INDEX('Policy Characteristics'!K:K,MATCH($C1733,'Policy Characteristics'!$C:$C,0))),"",INDEX('Policy Characteristics'!K:K,MATCH($C1733,'Policy Characteristics'!$C:$C,0)))</f>
        <v>fuels.html#fuel-taxes</v>
      </c>
      <c r="R1733" s="254" t="str">
        <f>IF(ISBLANK(INDEX('Policy Characteristics'!L:L,MATCH($C1733,'Policy Characteristics'!$C:$C,0))),"",INDEX('Policy Characteristics'!L:L,MATCH($C1733,'Policy Characteristics'!$C:$C,0)))</f>
        <v>fuel-taxes.html</v>
      </c>
    </row>
    <row r="1734" spans="1:18" x14ac:dyDescent="0.3">
      <c r="A1734" s="254" t="str">
        <f>IF(ISBLANK(INDEX('Policy Characteristics'!A:A,MATCH($C1734,'Policy Characteristics'!$C:$C,0))),"",INDEX('Policy Characteristics'!A:A,MATCH($C1734,'Policy Characteristics'!$C:$C,0)))</f>
        <v>Cross-Sector</v>
      </c>
      <c r="B1734" s="262" t="str">
        <f>IF(ISBLANK(INDEX('Policy Characteristics'!B:B,MATCH($C1734,'Policy Characteristics'!$C:$C,0))),"",INDEX('Policy Characteristics'!B:B,MATCH($C1734,'Policy Characteristics'!$C:$C,0)))</f>
        <v>Fuel Taxes or Subsidies</v>
      </c>
      <c r="C1734" s="320" t="str">
        <f t="shared" si="67"/>
        <v>Additional Fuel Tax or Subsidy Rate by Fuel</v>
      </c>
      <c r="D1734" s="6" t="s">
        <v>2465</v>
      </c>
      <c r="E1734" s="45" t="s">
        <v>333</v>
      </c>
      <c r="F1734" s="6" t="s">
        <v>2469</v>
      </c>
      <c r="G1734" s="45" t="s">
        <v>9</v>
      </c>
      <c r="H1734" s="43">
        <v>2377</v>
      </c>
      <c r="I1734" s="325" t="s">
        <v>44</v>
      </c>
      <c r="J1734" s="255" t="str">
        <f>IF(ISBLANK(INDEX('Policy Characteristics'!D:D,MATCH($C1734,'Policy Characteristics'!$C:$C,0))),"",INDEX('Policy Characteristics'!D:D,MATCH($C1734,'Policy Characteristics'!$C:$C,0)))</f>
        <v>Fuel Taxes or Subsidies</v>
      </c>
      <c r="K1734" s="254" t="str">
        <f>IF(ISBLANK(INDEX('Policy Characteristics'!E:E,MATCH($C1734,'Policy Characteristics'!$C:$C,0))),"",INDEX('Policy Characteristics'!E:E,MATCH($C1734,'Policy Characteristics'!$C:$C,0)))</f>
        <v>cross fuel tax</v>
      </c>
      <c r="L1734" s="261">
        <f>IF(ISBLANK(INDEX('Policy Characteristics'!F:F,MATCH($C1734,'Policy Characteristics'!$C:$C,0))),"",INDEX('Policy Characteristics'!F:F,MATCH($C1734,'Policy Characteristics'!$C:$C,0)))</f>
        <v>-0.9</v>
      </c>
      <c r="M1734" s="261">
        <f>IF(ISBLANK(INDEX('Policy Characteristics'!G:G,MATCH($C1734,'Policy Characteristics'!$C:$C,0))),"",INDEX('Policy Characteristics'!G:G,MATCH($C1734,'Policy Characteristics'!$C:$C,0)))</f>
        <v>0.9</v>
      </c>
      <c r="N1734" s="261">
        <f>IF(ISBLANK(INDEX('Policy Characteristics'!H:H,MATCH($C1734,'Policy Characteristics'!$C:$C,0))),"",INDEX('Policy Characteristics'!H:H,MATCH($C1734,'Policy Characteristics'!$C:$C,0)))</f>
        <v>0.01</v>
      </c>
      <c r="O1734" s="254" t="str">
        <f>IF(ISBLANK(INDEX('Policy Characteristics'!I:I,MATCH($C1734,'Policy Characteristics'!$C:$C,0))),"",INDEX('Policy Characteristics'!I:I,MATCH($C1734,'Policy Characteristics'!$C:$C,0)))</f>
        <v>% of BAU price</v>
      </c>
      <c r="P1734" s="254"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4" t="str">
        <f>IF(ISBLANK(INDEX('Policy Characteristics'!K:K,MATCH($C1734,'Policy Characteristics'!$C:$C,0))),"",INDEX('Policy Characteristics'!K:K,MATCH($C1734,'Policy Characteristics'!$C:$C,0)))</f>
        <v>fuels.html#fuel-taxes</v>
      </c>
      <c r="R1734" s="254" t="str">
        <f>IF(ISBLANK(INDEX('Policy Characteristics'!L:L,MATCH($C1734,'Policy Characteristics'!$C:$C,0))),"",INDEX('Policy Characteristics'!L:L,MATCH($C1734,'Policy Characteristics'!$C:$C,0)))</f>
        <v>fuel-taxes.html</v>
      </c>
    </row>
    <row r="1735" spans="1:18" x14ac:dyDescent="0.3">
      <c r="A1735" s="254" t="str">
        <f>IF(ISBLANK(INDEX('Policy Characteristics'!A:A,MATCH($C1735,'Policy Characteristics'!$C:$C,0))),"",INDEX('Policy Characteristics'!A:A,MATCH($C1735,'Policy Characteristics'!$C:$C,0)))</f>
        <v>Cross-Sector</v>
      </c>
      <c r="B1735" s="262" t="str">
        <f>IF(ISBLANK(INDEX('Policy Characteristics'!B:B,MATCH($C1735,'Policy Characteristics'!$C:$C,0))),"",INDEX('Policy Characteristics'!B:B,MATCH($C1735,'Policy Characteristics'!$C:$C,0)))</f>
        <v>Fuel Taxes or Subsidies</v>
      </c>
      <c r="C1735" s="320" t="str">
        <f t="shared" si="67"/>
        <v>Additional Fuel Tax or Subsidy Rate by Fuel</v>
      </c>
      <c r="D1735" s="6" t="s">
        <v>2475</v>
      </c>
      <c r="E1735" s="45" t="s">
        <v>333</v>
      </c>
      <c r="F1735" s="6" t="s">
        <v>2476</v>
      </c>
      <c r="G1735" s="45" t="s">
        <v>9</v>
      </c>
      <c r="H1735" s="43">
        <v>2378</v>
      </c>
      <c r="I1735" s="325" t="s">
        <v>43</v>
      </c>
      <c r="J1735" s="255" t="str">
        <f>IF(ISBLANK(INDEX('Policy Characteristics'!D:D,MATCH($C1735,'Policy Characteristics'!$C:$C,0))),"",INDEX('Policy Characteristics'!D:D,MATCH($C1735,'Policy Characteristics'!$C:$C,0)))</f>
        <v>Fuel Taxes or Subsidies</v>
      </c>
      <c r="K1735" s="254" t="str">
        <f>IF(ISBLANK(INDEX('Policy Characteristics'!E:E,MATCH($C1735,'Policy Characteristics'!$C:$C,0))),"",INDEX('Policy Characteristics'!E:E,MATCH($C1735,'Policy Characteristics'!$C:$C,0)))</f>
        <v>cross fuel tax</v>
      </c>
      <c r="L1735" s="261">
        <f>IF(ISBLANK(INDEX('Policy Characteristics'!F:F,MATCH($C1735,'Policy Characteristics'!$C:$C,0))),"",INDEX('Policy Characteristics'!F:F,MATCH($C1735,'Policy Characteristics'!$C:$C,0)))</f>
        <v>-0.9</v>
      </c>
      <c r="M1735" s="261">
        <f>IF(ISBLANK(INDEX('Policy Characteristics'!G:G,MATCH($C1735,'Policy Characteristics'!$C:$C,0))),"",INDEX('Policy Characteristics'!G:G,MATCH($C1735,'Policy Characteristics'!$C:$C,0)))</f>
        <v>0.9</v>
      </c>
      <c r="N1735" s="261">
        <f>IF(ISBLANK(INDEX('Policy Characteristics'!H:H,MATCH($C1735,'Policy Characteristics'!$C:$C,0))),"",INDEX('Policy Characteristics'!H:H,MATCH($C1735,'Policy Characteristics'!$C:$C,0)))</f>
        <v>0.01</v>
      </c>
      <c r="O1735" s="254" t="str">
        <f>IF(ISBLANK(INDEX('Policy Characteristics'!I:I,MATCH($C1735,'Policy Characteristics'!$C:$C,0))),"",INDEX('Policy Characteristics'!I:I,MATCH($C1735,'Policy Characteristics'!$C:$C,0)))</f>
        <v>% of BAU price</v>
      </c>
      <c r="P1735" s="254"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4" t="str">
        <f>IF(ISBLANK(INDEX('Policy Characteristics'!K:K,MATCH($C1735,'Policy Characteristics'!$C:$C,0))),"",INDEX('Policy Characteristics'!K:K,MATCH($C1735,'Policy Characteristics'!$C:$C,0)))</f>
        <v>fuels.html#fuel-taxes</v>
      </c>
      <c r="R1735" s="254" t="str">
        <f>IF(ISBLANK(INDEX('Policy Characteristics'!L:L,MATCH($C1735,'Policy Characteristics'!$C:$C,0))),"",INDEX('Policy Characteristics'!L:L,MATCH($C1735,'Policy Characteristics'!$C:$C,0)))</f>
        <v>fuel-taxes.html</v>
      </c>
    </row>
    <row r="1736" spans="1:18" x14ac:dyDescent="0.3">
      <c r="A1736" s="254" t="str">
        <f>IF(ISBLANK(INDEX('Policy Characteristics'!A:A,MATCH($C1736,'Policy Characteristics'!$C:$C,0))),"",INDEX('Policy Characteristics'!A:A,MATCH($C1736,'Policy Characteristics'!$C:$C,0)))</f>
        <v>Cross-Sector</v>
      </c>
      <c r="B1736" s="262" t="str">
        <f>IF(ISBLANK(INDEX('Policy Characteristics'!B:B,MATCH($C1736,'Policy Characteristics'!$C:$C,0))),"",INDEX('Policy Characteristics'!B:B,MATCH($C1736,'Policy Characteristics'!$C:$C,0)))</f>
        <v>Fuel Taxes or Subsidies</v>
      </c>
      <c r="C1736" s="320" t="str">
        <f t="shared" si="67"/>
        <v>Additional Fuel Tax or Subsidy Rate by Fuel</v>
      </c>
      <c r="D1736" s="6" t="s">
        <v>2466</v>
      </c>
      <c r="E1736" s="45" t="s">
        <v>333</v>
      </c>
      <c r="F1736" s="6" t="s">
        <v>2470</v>
      </c>
      <c r="G1736" s="45" t="s">
        <v>9</v>
      </c>
      <c r="H1736" s="43">
        <v>2379</v>
      </c>
      <c r="I1736" s="325" t="s">
        <v>43</v>
      </c>
      <c r="J1736" s="255" t="str">
        <f>IF(ISBLANK(INDEX('Policy Characteristics'!D:D,MATCH($C1736,'Policy Characteristics'!$C:$C,0))),"",INDEX('Policy Characteristics'!D:D,MATCH($C1736,'Policy Characteristics'!$C:$C,0)))</f>
        <v>Fuel Taxes or Subsidies</v>
      </c>
      <c r="K1736" s="254" t="str">
        <f>IF(ISBLANK(INDEX('Policy Characteristics'!E:E,MATCH($C1736,'Policy Characteristics'!$C:$C,0))),"",INDEX('Policy Characteristics'!E:E,MATCH($C1736,'Policy Characteristics'!$C:$C,0)))</f>
        <v>cross fuel tax</v>
      </c>
      <c r="L1736" s="261">
        <f>IF(ISBLANK(INDEX('Policy Characteristics'!F:F,MATCH($C1736,'Policy Characteristics'!$C:$C,0))),"",INDEX('Policy Characteristics'!F:F,MATCH($C1736,'Policy Characteristics'!$C:$C,0)))</f>
        <v>-0.9</v>
      </c>
      <c r="M1736" s="261">
        <f>IF(ISBLANK(INDEX('Policy Characteristics'!G:G,MATCH($C1736,'Policy Characteristics'!$C:$C,0))),"",INDEX('Policy Characteristics'!G:G,MATCH($C1736,'Policy Characteristics'!$C:$C,0)))</f>
        <v>0.9</v>
      </c>
      <c r="N1736" s="261">
        <f>IF(ISBLANK(INDEX('Policy Characteristics'!H:H,MATCH($C1736,'Policy Characteristics'!$C:$C,0))),"",INDEX('Policy Characteristics'!H:H,MATCH($C1736,'Policy Characteristics'!$C:$C,0)))</f>
        <v>0.01</v>
      </c>
      <c r="O1736" s="254" t="str">
        <f>IF(ISBLANK(INDEX('Policy Characteristics'!I:I,MATCH($C1736,'Policy Characteristics'!$C:$C,0))),"",INDEX('Policy Characteristics'!I:I,MATCH($C1736,'Policy Characteristics'!$C:$C,0)))</f>
        <v>% of BAU price</v>
      </c>
      <c r="P1736" s="254"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4" t="str">
        <f>IF(ISBLANK(INDEX('Policy Characteristics'!K:K,MATCH($C1736,'Policy Characteristics'!$C:$C,0))),"",INDEX('Policy Characteristics'!K:K,MATCH($C1736,'Policy Characteristics'!$C:$C,0)))</f>
        <v>fuels.html#fuel-taxes</v>
      </c>
      <c r="R1736" s="254" t="str">
        <f>IF(ISBLANK(INDEX('Policy Characteristics'!L:L,MATCH($C1736,'Policy Characteristics'!$C:$C,0))),"",INDEX('Policy Characteristics'!L:L,MATCH($C1736,'Policy Characteristics'!$C:$C,0)))</f>
        <v>fuel-taxes.html</v>
      </c>
    </row>
    <row r="1737" spans="1:18" x14ac:dyDescent="0.3">
      <c r="A1737" s="254" t="str">
        <f>IF(ISBLANK(INDEX('Policy Characteristics'!A:A,MATCH($C1737,'Policy Characteristics'!$C:$C,0))),"",INDEX('Policy Characteristics'!A:A,MATCH($C1737,'Policy Characteristics'!$C:$C,0)))</f>
        <v>Cross-Sector</v>
      </c>
      <c r="B1737" s="262" t="str">
        <f>IF(ISBLANK(INDEX('Policy Characteristics'!B:B,MATCH($C1737,'Policy Characteristics'!$C:$C,0))),"",INDEX('Policy Characteristics'!B:B,MATCH($C1737,'Policy Characteristics'!$C:$C,0)))</f>
        <v>Fuel Taxes or Subsidies</v>
      </c>
      <c r="C1737" s="320" t="str">
        <f t="shared" si="67"/>
        <v>Additional Fuel Tax or Subsidy Rate by Fuel</v>
      </c>
      <c r="D1737" s="6" t="s">
        <v>2467</v>
      </c>
      <c r="E1737" s="45" t="s">
        <v>333</v>
      </c>
      <c r="F1737" s="6" t="s">
        <v>2471</v>
      </c>
      <c r="G1737" s="45" t="s">
        <v>9</v>
      </c>
      <c r="H1737" s="43">
        <v>2380</v>
      </c>
      <c r="I1737" s="325" t="s">
        <v>44</v>
      </c>
      <c r="J1737" s="255" t="str">
        <f>IF(ISBLANK(INDEX('Policy Characteristics'!D:D,MATCH($C1737,'Policy Characteristics'!$C:$C,0))),"",INDEX('Policy Characteristics'!D:D,MATCH($C1737,'Policy Characteristics'!$C:$C,0)))</f>
        <v>Fuel Taxes or Subsidies</v>
      </c>
      <c r="K1737" s="254" t="str">
        <f>IF(ISBLANK(INDEX('Policy Characteristics'!E:E,MATCH($C1737,'Policy Characteristics'!$C:$C,0))),"",INDEX('Policy Characteristics'!E:E,MATCH($C1737,'Policy Characteristics'!$C:$C,0)))</f>
        <v>cross fuel tax</v>
      </c>
      <c r="L1737" s="261">
        <f>IF(ISBLANK(INDEX('Policy Characteristics'!F:F,MATCH($C1737,'Policy Characteristics'!$C:$C,0))),"",INDEX('Policy Characteristics'!F:F,MATCH($C1737,'Policy Characteristics'!$C:$C,0)))</f>
        <v>-0.9</v>
      </c>
      <c r="M1737" s="261">
        <f>IF(ISBLANK(INDEX('Policy Characteristics'!G:G,MATCH($C1737,'Policy Characteristics'!$C:$C,0))),"",INDEX('Policy Characteristics'!G:G,MATCH($C1737,'Policy Characteristics'!$C:$C,0)))</f>
        <v>0.9</v>
      </c>
      <c r="N1737" s="261">
        <f>IF(ISBLANK(INDEX('Policy Characteristics'!H:H,MATCH($C1737,'Policy Characteristics'!$C:$C,0))),"",INDEX('Policy Characteristics'!H:H,MATCH($C1737,'Policy Characteristics'!$C:$C,0)))</f>
        <v>0.01</v>
      </c>
      <c r="O1737" s="254" t="str">
        <f>IF(ISBLANK(INDEX('Policy Characteristics'!I:I,MATCH($C1737,'Policy Characteristics'!$C:$C,0))),"",INDEX('Policy Characteristics'!I:I,MATCH($C1737,'Policy Characteristics'!$C:$C,0)))</f>
        <v>% of BAU price</v>
      </c>
      <c r="P1737" s="254"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4" t="str">
        <f>IF(ISBLANK(INDEX('Policy Characteristics'!K:K,MATCH($C1737,'Policy Characteristics'!$C:$C,0))),"",INDEX('Policy Characteristics'!K:K,MATCH($C1737,'Policy Characteristics'!$C:$C,0)))</f>
        <v>fuels.html#fuel-taxes</v>
      </c>
      <c r="R1737" s="254" t="str">
        <f>IF(ISBLANK(INDEX('Policy Characteristics'!L:L,MATCH($C1737,'Policy Characteristics'!$C:$C,0))),"",INDEX('Policy Characteristics'!L:L,MATCH($C1737,'Policy Characteristics'!$C:$C,0)))</f>
        <v>fuel-taxes.html</v>
      </c>
    </row>
    <row r="1738" spans="1:18" x14ac:dyDescent="0.3">
      <c r="A1738" s="254" t="str">
        <f>IF(ISBLANK(INDEX('Policy Characteristics'!A:A,MATCH($C1738,'Policy Characteristics'!$C:$C,0))),"",INDEX('Policy Characteristics'!A:A,MATCH($C1738,'Policy Characteristics'!$C:$C,0)))</f>
        <v>Cross-Sector</v>
      </c>
      <c r="B1738" s="262" t="str">
        <f>IF(ISBLANK(INDEX('Policy Characteristics'!B:B,MATCH($C1738,'Policy Characteristics'!$C:$C,0))),"",INDEX('Policy Characteristics'!B:B,MATCH($C1738,'Policy Characteristics'!$C:$C,0)))</f>
        <v>Fuel Taxes or Subsidies</v>
      </c>
      <c r="C1738" s="320" t="str">
        <f t="shared" si="67"/>
        <v>Additional Fuel Tax or Subsidy Rate by Fuel</v>
      </c>
      <c r="D1738" s="6" t="s">
        <v>2468</v>
      </c>
      <c r="E1738" s="45" t="s">
        <v>333</v>
      </c>
      <c r="F1738" s="6" t="s">
        <v>2472</v>
      </c>
      <c r="G1738" s="45" t="s">
        <v>9</v>
      </c>
      <c r="H1738" s="43">
        <v>2381</v>
      </c>
      <c r="I1738" s="325" t="s">
        <v>43</v>
      </c>
      <c r="J1738" s="255" t="str">
        <f>IF(ISBLANK(INDEX('Policy Characteristics'!D:D,MATCH($C1738,'Policy Characteristics'!$C:$C,0))),"",INDEX('Policy Characteristics'!D:D,MATCH($C1738,'Policy Characteristics'!$C:$C,0)))</f>
        <v>Fuel Taxes or Subsidies</v>
      </c>
      <c r="K1738" s="254" t="str">
        <f>IF(ISBLANK(INDEX('Policy Characteristics'!E:E,MATCH($C1738,'Policy Characteristics'!$C:$C,0))),"",INDEX('Policy Characteristics'!E:E,MATCH($C1738,'Policy Characteristics'!$C:$C,0)))</f>
        <v>cross fuel tax</v>
      </c>
      <c r="L1738" s="261">
        <f>IF(ISBLANK(INDEX('Policy Characteristics'!F:F,MATCH($C1738,'Policy Characteristics'!$C:$C,0))),"",INDEX('Policy Characteristics'!F:F,MATCH($C1738,'Policy Characteristics'!$C:$C,0)))</f>
        <v>-0.9</v>
      </c>
      <c r="M1738" s="261">
        <f>IF(ISBLANK(INDEX('Policy Characteristics'!G:G,MATCH($C1738,'Policy Characteristics'!$C:$C,0))),"",INDEX('Policy Characteristics'!G:G,MATCH($C1738,'Policy Characteristics'!$C:$C,0)))</f>
        <v>0.9</v>
      </c>
      <c r="N1738" s="261">
        <f>IF(ISBLANK(INDEX('Policy Characteristics'!H:H,MATCH($C1738,'Policy Characteristics'!$C:$C,0))),"",INDEX('Policy Characteristics'!H:H,MATCH($C1738,'Policy Characteristics'!$C:$C,0)))</f>
        <v>0.01</v>
      </c>
      <c r="O1738" s="254" t="str">
        <f>IF(ISBLANK(INDEX('Policy Characteristics'!I:I,MATCH($C1738,'Policy Characteristics'!$C:$C,0))),"",INDEX('Policy Characteristics'!I:I,MATCH($C1738,'Policy Characteristics'!$C:$C,0)))</f>
        <v>% of BAU price</v>
      </c>
      <c r="P1738" s="254"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4" t="str">
        <f>IF(ISBLANK(INDEX('Policy Characteristics'!K:K,MATCH($C1738,'Policy Characteristics'!$C:$C,0))),"",INDEX('Policy Characteristics'!K:K,MATCH($C1738,'Policy Characteristics'!$C:$C,0)))</f>
        <v>fuels.html#fuel-taxes</v>
      </c>
      <c r="R1738" s="254" t="str">
        <f>IF(ISBLANK(INDEX('Policy Characteristics'!L:L,MATCH($C1738,'Policy Characteristics'!$C:$C,0))),"",INDEX('Policy Characteristics'!L:L,MATCH($C1738,'Policy Characteristics'!$C:$C,0)))</f>
        <v>fuel-taxes.html</v>
      </c>
    </row>
    <row r="1739" spans="1:18" s="4" customFormat="1" x14ac:dyDescent="0.3">
      <c r="A1739" s="254" t="str">
        <f>IF(ISBLANK(INDEX('Policy Characteristics'!A:A,MATCH($C1739,'Policy Characteristics'!$C:$C,0))),"",INDEX('Policy Characteristics'!A:A,MATCH($C1739,'Policy Characteristics'!$C:$C,0)))</f>
        <v>Cross-Sector</v>
      </c>
      <c r="B1739" s="262" t="str">
        <f>IF(ISBLANK(INDEX('Policy Characteristics'!B:B,MATCH($C1739,'Policy Characteristics'!$C:$C,0))),"",INDEX('Policy Characteristics'!B:B,MATCH($C1739,'Policy Characteristics'!$C:$C,0)))</f>
        <v>Fuel Taxes or Subsidies</v>
      </c>
      <c r="C1739" s="320" t="str">
        <f t="shared" si="67"/>
        <v>Additional Fuel Tax or Subsidy Rate by Fuel</v>
      </c>
      <c r="D1739" s="45" t="s">
        <v>52</v>
      </c>
      <c r="E1739" s="45" t="s">
        <v>2495</v>
      </c>
      <c r="F1739" s="45" t="s">
        <v>93</v>
      </c>
      <c r="G1739" s="45" t="s">
        <v>2488</v>
      </c>
      <c r="H1739" s="43">
        <v>2382</v>
      </c>
      <c r="I1739" s="324" t="s">
        <v>43</v>
      </c>
      <c r="J1739" s="255" t="str">
        <f>IF(ISBLANK(INDEX('Policy Characteristics'!D:D,MATCH($C1739,'Policy Characteristics'!$C:$C,0))),"",INDEX('Policy Characteristics'!D:D,MATCH($C1739,'Policy Characteristics'!$C:$C,0)))</f>
        <v>Fuel Taxes or Subsidies</v>
      </c>
      <c r="K1739" s="254" t="str">
        <f>IF(ISBLANK(INDEX('Policy Characteristics'!E:E,MATCH($C1739,'Policy Characteristics'!$C:$C,0))),"",INDEX('Policy Characteristics'!E:E,MATCH($C1739,'Policy Characteristics'!$C:$C,0)))</f>
        <v>cross fuel tax</v>
      </c>
      <c r="L1739" s="261">
        <f>IF(ISBLANK(INDEX('Policy Characteristics'!F:F,MATCH($C1739,'Policy Characteristics'!$C:$C,0))),"",INDEX('Policy Characteristics'!F:F,MATCH($C1739,'Policy Characteristics'!$C:$C,0)))</f>
        <v>-0.9</v>
      </c>
      <c r="M1739" s="261">
        <f>IF(ISBLANK(INDEX('Policy Characteristics'!G:G,MATCH($C1739,'Policy Characteristics'!$C:$C,0))),"",INDEX('Policy Characteristics'!G:G,MATCH($C1739,'Policy Characteristics'!$C:$C,0)))</f>
        <v>0.9</v>
      </c>
      <c r="N1739" s="261">
        <f>IF(ISBLANK(INDEX('Policy Characteristics'!H:H,MATCH($C1739,'Policy Characteristics'!$C:$C,0))),"",INDEX('Policy Characteristics'!H:H,MATCH($C1739,'Policy Characteristics'!$C:$C,0)))</f>
        <v>0.01</v>
      </c>
      <c r="O1739" s="254" t="str">
        <f>IF(ISBLANK(INDEX('Policy Characteristics'!I:I,MATCH($C1739,'Policy Characteristics'!$C:$C,0))),"",INDEX('Policy Characteristics'!I:I,MATCH($C1739,'Policy Characteristics'!$C:$C,0)))</f>
        <v>% of BAU price</v>
      </c>
      <c r="P1739" s="254"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4" t="str">
        <f>IF(ISBLANK(INDEX('Policy Characteristics'!K:K,MATCH($C1739,'Policy Characteristics'!$C:$C,0))),"",INDEX('Policy Characteristics'!K:K,MATCH($C1739,'Policy Characteristics'!$C:$C,0)))</f>
        <v>fuels.html#fuel-taxes</v>
      </c>
      <c r="R1739" s="254" t="str">
        <f>IF(ISBLANK(INDEX('Policy Characteristics'!L:L,MATCH($C1739,'Policy Characteristics'!$C:$C,0))),"",INDEX('Policy Characteristics'!L:L,MATCH($C1739,'Policy Characteristics'!$C:$C,0)))</f>
        <v>fuel-taxes.html</v>
      </c>
    </row>
    <row r="1740" spans="1:18" s="4" customFormat="1" x14ac:dyDescent="0.3">
      <c r="A1740" s="254" t="str">
        <f>IF(ISBLANK(INDEX('Policy Characteristics'!A:A,MATCH($C1740,'Policy Characteristics'!$C:$C,0))),"",INDEX('Policy Characteristics'!A:A,MATCH($C1740,'Policy Characteristics'!$C:$C,0)))</f>
        <v>Cross-Sector</v>
      </c>
      <c r="B1740" s="262" t="str">
        <f>IF(ISBLANK(INDEX('Policy Characteristics'!B:B,MATCH($C1740,'Policy Characteristics'!$C:$C,0))),"",INDEX('Policy Characteristics'!B:B,MATCH($C1740,'Policy Characteristics'!$C:$C,0)))</f>
        <v>Fuel Taxes or Subsidies</v>
      </c>
      <c r="C1740" s="320" t="str">
        <f t="shared" si="67"/>
        <v>Additional Fuel Tax or Subsidy Rate by Fuel</v>
      </c>
      <c r="D1740" s="6" t="s">
        <v>449</v>
      </c>
      <c r="E1740" s="45" t="s">
        <v>2495</v>
      </c>
      <c r="F1740" s="6" t="s">
        <v>446</v>
      </c>
      <c r="G1740" s="45" t="s">
        <v>2488</v>
      </c>
      <c r="H1740" s="43">
        <v>2383</v>
      </c>
      <c r="I1740" s="325" t="s">
        <v>44</v>
      </c>
      <c r="J1740" s="255" t="str">
        <f>IF(ISBLANK(INDEX('Policy Characteristics'!D:D,MATCH($C1740,'Policy Characteristics'!$C:$C,0))),"",INDEX('Policy Characteristics'!D:D,MATCH($C1740,'Policy Characteristics'!$C:$C,0)))</f>
        <v>Fuel Taxes or Subsidies</v>
      </c>
      <c r="K1740" s="254" t="str">
        <f>IF(ISBLANK(INDEX('Policy Characteristics'!E:E,MATCH($C1740,'Policy Characteristics'!$C:$C,0))),"",INDEX('Policy Characteristics'!E:E,MATCH($C1740,'Policy Characteristics'!$C:$C,0)))</f>
        <v>cross fuel tax</v>
      </c>
      <c r="L1740" s="261">
        <f>IF(ISBLANK(INDEX('Policy Characteristics'!F:F,MATCH($C1740,'Policy Characteristics'!$C:$C,0))),"",INDEX('Policy Characteristics'!F:F,MATCH($C1740,'Policy Characteristics'!$C:$C,0)))</f>
        <v>-0.9</v>
      </c>
      <c r="M1740" s="261">
        <f>IF(ISBLANK(INDEX('Policy Characteristics'!G:G,MATCH($C1740,'Policy Characteristics'!$C:$C,0))),"",INDEX('Policy Characteristics'!G:G,MATCH($C1740,'Policy Characteristics'!$C:$C,0)))</f>
        <v>0.9</v>
      </c>
      <c r="N1740" s="261">
        <f>IF(ISBLANK(INDEX('Policy Characteristics'!H:H,MATCH($C1740,'Policy Characteristics'!$C:$C,0))),"",INDEX('Policy Characteristics'!H:H,MATCH($C1740,'Policy Characteristics'!$C:$C,0)))</f>
        <v>0.01</v>
      </c>
      <c r="O1740" s="254" t="str">
        <f>IF(ISBLANK(INDEX('Policy Characteristics'!I:I,MATCH($C1740,'Policy Characteristics'!$C:$C,0))),"",INDEX('Policy Characteristics'!I:I,MATCH($C1740,'Policy Characteristics'!$C:$C,0)))</f>
        <v>% of BAU price</v>
      </c>
      <c r="P1740" s="254"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4" t="str">
        <f>IF(ISBLANK(INDEX('Policy Characteristics'!K:K,MATCH($C1740,'Policy Characteristics'!$C:$C,0))),"",INDEX('Policy Characteristics'!K:K,MATCH($C1740,'Policy Characteristics'!$C:$C,0)))</f>
        <v>fuels.html#fuel-taxes</v>
      </c>
      <c r="R1740" s="254" t="str">
        <f>IF(ISBLANK(INDEX('Policy Characteristics'!L:L,MATCH($C1740,'Policy Characteristics'!$C:$C,0))),"",INDEX('Policy Characteristics'!L:L,MATCH($C1740,'Policy Characteristics'!$C:$C,0)))</f>
        <v>fuel-taxes.html</v>
      </c>
    </row>
    <row r="1741" spans="1:18" s="4" customFormat="1" x14ac:dyDescent="0.3">
      <c r="A1741" s="254" t="str">
        <f>IF(ISBLANK(INDEX('Policy Characteristics'!A:A,MATCH($C1741,'Policy Characteristics'!$C:$C,0))),"",INDEX('Policy Characteristics'!A:A,MATCH($C1741,'Policy Characteristics'!$C:$C,0)))</f>
        <v>Cross-Sector</v>
      </c>
      <c r="B1741" s="262" t="str">
        <f>IF(ISBLANK(INDEX('Policy Characteristics'!B:B,MATCH($C1741,'Policy Characteristics'!$C:$C,0))),"",INDEX('Policy Characteristics'!B:B,MATCH($C1741,'Policy Characteristics'!$C:$C,0)))</f>
        <v>Fuel Taxes or Subsidies</v>
      </c>
      <c r="C1741" s="320" t="str">
        <f t="shared" si="67"/>
        <v>Additional Fuel Tax or Subsidy Rate by Fuel</v>
      </c>
      <c r="D1741" s="6" t="s">
        <v>46</v>
      </c>
      <c r="E1741" s="45" t="s">
        <v>2495</v>
      </c>
      <c r="F1741" s="6" t="s">
        <v>87</v>
      </c>
      <c r="G1741" s="45" t="s">
        <v>2488</v>
      </c>
      <c r="H1741" s="43">
        <v>2384</v>
      </c>
      <c r="I1741" s="325" t="s">
        <v>43</v>
      </c>
      <c r="J1741" s="255" t="str">
        <f>IF(ISBLANK(INDEX('Policy Characteristics'!D:D,MATCH($C1741,'Policy Characteristics'!$C:$C,0))),"",INDEX('Policy Characteristics'!D:D,MATCH($C1741,'Policy Characteristics'!$C:$C,0)))</f>
        <v>Fuel Taxes or Subsidies</v>
      </c>
      <c r="K1741" s="254" t="str">
        <f>IF(ISBLANK(INDEX('Policy Characteristics'!E:E,MATCH($C1741,'Policy Characteristics'!$C:$C,0))),"",INDEX('Policy Characteristics'!E:E,MATCH($C1741,'Policy Characteristics'!$C:$C,0)))</f>
        <v>cross fuel tax</v>
      </c>
      <c r="L1741" s="261">
        <f>IF(ISBLANK(INDEX('Policy Characteristics'!F:F,MATCH($C1741,'Policy Characteristics'!$C:$C,0))),"",INDEX('Policy Characteristics'!F:F,MATCH($C1741,'Policy Characteristics'!$C:$C,0)))</f>
        <v>-0.9</v>
      </c>
      <c r="M1741" s="261">
        <f>IF(ISBLANK(INDEX('Policy Characteristics'!G:G,MATCH($C1741,'Policy Characteristics'!$C:$C,0))),"",INDEX('Policy Characteristics'!G:G,MATCH($C1741,'Policy Characteristics'!$C:$C,0)))</f>
        <v>0.9</v>
      </c>
      <c r="N1741" s="261">
        <f>IF(ISBLANK(INDEX('Policy Characteristics'!H:H,MATCH($C1741,'Policy Characteristics'!$C:$C,0))),"",INDEX('Policy Characteristics'!H:H,MATCH($C1741,'Policy Characteristics'!$C:$C,0)))</f>
        <v>0.01</v>
      </c>
      <c r="O1741" s="254" t="str">
        <f>IF(ISBLANK(INDEX('Policy Characteristics'!I:I,MATCH($C1741,'Policy Characteristics'!$C:$C,0))),"",INDEX('Policy Characteristics'!I:I,MATCH($C1741,'Policy Characteristics'!$C:$C,0)))</f>
        <v>% of BAU price</v>
      </c>
      <c r="P1741" s="254"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4" t="str">
        <f>IF(ISBLANK(INDEX('Policy Characteristics'!K:K,MATCH($C1741,'Policy Characteristics'!$C:$C,0))),"",INDEX('Policy Characteristics'!K:K,MATCH($C1741,'Policy Characteristics'!$C:$C,0)))</f>
        <v>fuels.html#fuel-taxes</v>
      </c>
      <c r="R1741" s="254" t="str">
        <f>IF(ISBLANK(INDEX('Policy Characteristics'!L:L,MATCH($C1741,'Policy Characteristics'!$C:$C,0))),"",INDEX('Policy Characteristics'!L:L,MATCH($C1741,'Policy Characteristics'!$C:$C,0)))</f>
        <v>fuel-taxes.html</v>
      </c>
    </row>
    <row r="1742" spans="1:18" s="4" customFormat="1" x14ac:dyDescent="0.3">
      <c r="A1742" s="254" t="str">
        <f>IF(ISBLANK(INDEX('Policy Characteristics'!A:A,MATCH($C1742,'Policy Characteristics'!$C:$C,0))),"",INDEX('Policy Characteristics'!A:A,MATCH($C1742,'Policy Characteristics'!$C:$C,0)))</f>
        <v>Cross-Sector</v>
      </c>
      <c r="B1742" s="262" t="str">
        <f>IF(ISBLANK(INDEX('Policy Characteristics'!B:B,MATCH($C1742,'Policy Characteristics'!$C:$C,0))),"",INDEX('Policy Characteristics'!B:B,MATCH($C1742,'Policy Characteristics'!$C:$C,0)))</f>
        <v>Fuel Taxes or Subsidies</v>
      </c>
      <c r="C1742" s="320" t="str">
        <f t="shared" si="67"/>
        <v>Additional Fuel Tax or Subsidy Rate by Fuel</v>
      </c>
      <c r="D1742" s="6" t="s">
        <v>47</v>
      </c>
      <c r="E1742" s="45" t="s">
        <v>2495</v>
      </c>
      <c r="F1742" s="6" t="s">
        <v>88</v>
      </c>
      <c r="G1742" s="45" t="s">
        <v>2488</v>
      </c>
      <c r="H1742" s="43">
        <v>2385</v>
      </c>
      <c r="I1742" s="325" t="s">
        <v>44</v>
      </c>
      <c r="J1742" s="255" t="str">
        <f>IF(ISBLANK(INDEX('Policy Characteristics'!D:D,MATCH($C1742,'Policy Characteristics'!$C:$C,0))),"",INDEX('Policy Characteristics'!D:D,MATCH($C1742,'Policy Characteristics'!$C:$C,0)))</f>
        <v>Fuel Taxes or Subsidies</v>
      </c>
      <c r="K1742" s="254" t="str">
        <f>IF(ISBLANK(INDEX('Policy Characteristics'!E:E,MATCH($C1742,'Policy Characteristics'!$C:$C,0))),"",INDEX('Policy Characteristics'!E:E,MATCH($C1742,'Policy Characteristics'!$C:$C,0)))</f>
        <v>cross fuel tax</v>
      </c>
      <c r="L1742" s="261">
        <f>IF(ISBLANK(INDEX('Policy Characteristics'!F:F,MATCH($C1742,'Policy Characteristics'!$C:$C,0))),"",INDEX('Policy Characteristics'!F:F,MATCH($C1742,'Policy Characteristics'!$C:$C,0)))</f>
        <v>-0.9</v>
      </c>
      <c r="M1742" s="261">
        <f>IF(ISBLANK(INDEX('Policy Characteristics'!G:G,MATCH($C1742,'Policy Characteristics'!$C:$C,0))),"",INDEX('Policy Characteristics'!G:G,MATCH($C1742,'Policy Characteristics'!$C:$C,0)))</f>
        <v>0.9</v>
      </c>
      <c r="N1742" s="261">
        <f>IF(ISBLANK(INDEX('Policy Characteristics'!H:H,MATCH($C1742,'Policy Characteristics'!$C:$C,0))),"",INDEX('Policy Characteristics'!H:H,MATCH($C1742,'Policy Characteristics'!$C:$C,0)))</f>
        <v>0.01</v>
      </c>
      <c r="O1742" s="254" t="str">
        <f>IF(ISBLANK(INDEX('Policy Characteristics'!I:I,MATCH($C1742,'Policy Characteristics'!$C:$C,0))),"",INDEX('Policy Characteristics'!I:I,MATCH($C1742,'Policy Characteristics'!$C:$C,0)))</f>
        <v>% of BAU price</v>
      </c>
      <c r="P1742" s="254"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4" t="str">
        <f>IF(ISBLANK(INDEX('Policy Characteristics'!K:K,MATCH($C1742,'Policy Characteristics'!$C:$C,0))),"",INDEX('Policy Characteristics'!K:K,MATCH($C1742,'Policy Characteristics'!$C:$C,0)))</f>
        <v>fuels.html#fuel-taxes</v>
      </c>
      <c r="R1742" s="254" t="str">
        <f>IF(ISBLANK(INDEX('Policy Characteristics'!L:L,MATCH($C1742,'Policy Characteristics'!$C:$C,0))),"",INDEX('Policy Characteristics'!L:L,MATCH($C1742,'Policy Characteristics'!$C:$C,0)))</f>
        <v>fuel-taxes.html</v>
      </c>
    </row>
    <row r="1743" spans="1:18" s="4" customFormat="1" x14ac:dyDescent="0.3">
      <c r="A1743" s="254" t="str">
        <f>IF(ISBLANK(INDEX('Policy Characteristics'!A:A,MATCH($C1743,'Policy Characteristics'!$C:$C,0))),"",INDEX('Policy Characteristics'!A:A,MATCH($C1743,'Policy Characteristics'!$C:$C,0)))</f>
        <v>Cross-Sector</v>
      </c>
      <c r="B1743" s="262" t="str">
        <f>IF(ISBLANK(INDEX('Policy Characteristics'!B:B,MATCH($C1743,'Policy Characteristics'!$C:$C,0))),"",INDEX('Policy Characteristics'!B:B,MATCH($C1743,'Policy Characteristics'!$C:$C,0)))</f>
        <v>Fuel Taxes or Subsidies</v>
      </c>
      <c r="C1743" s="320" t="str">
        <f t="shared" si="67"/>
        <v>Additional Fuel Tax or Subsidy Rate by Fuel</v>
      </c>
      <c r="D1743" s="6" t="s">
        <v>51</v>
      </c>
      <c r="E1743" s="45" t="s">
        <v>2495</v>
      </c>
      <c r="F1743" s="6" t="s">
        <v>92</v>
      </c>
      <c r="G1743" s="45" t="s">
        <v>2488</v>
      </c>
      <c r="H1743" s="43">
        <v>2386</v>
      </c>
      <c r="I1743" s="325" t="s">
        <v>44</v>
      </c>
      <c r="J1743" s="255" t="str">
        <f>IF(ISBLANK(INDEX('Policy Characteristics'!D:D,MATCH($C1743,'Policy Characteristics'!$C:$C,0))),"",INDEX('Policy Characteristics'!D:D,MATCH($C1743,'Policy Characteristics'!$C:$C,0)))</f>
        <v>Fuel Taxes or Subsidies</v>
      </c>
      <c r="K1743" s="254" t="str">
        <f>IF(ISBLANK(INDEX('Policy Characteristics'!E:E,MATCH($C1743,'Policy Characteristics'!$C:$C,0))),"",INDEX('Policy Characteristics'!E:E,MATCH($C1743,'Policy Characteristics'!$C:$C,0)))</f>
        <v>cross fuel tax</v>
      </c>
      <c r="L1743" s="261">
        <f>IF(ISBLANK(INDEX('Policy Characteristics'!F:F,MATCH($C1743,'Policy Characteristics'!$C:$C,0))),"",INDEX('Policy Characteristics'!F:F,MATCH($C1743,'Policy Characteristics'!$C:$C,0)))</f>
        <v>-0.9</v>
      </c>
      <c r="M1743" s="261">
        <f>IF(ISBLANK(INDEX('Policy Characteristics'!G:G,MATCH($C1743,'Policy Characteristics'!$C:$C,0))),"",INDEX('Policy Characteristics'!G:G,MATCH($C1743,'Policy Characteristics'!$C:$C,0)))</f>
        <v>0.9</v>
      </c>
      <c r="N1743" s="261">
        <f>IF(ISBLANK(INDEX('Policy Characteristics'!H:H,MATCH($C1743,'Policy Characteristics'!$C:$C,0))),"",INDEX('Policy Characteristics'!H:H,MATCH($C1743,'Policy Characteristics'!$C:$C,0)))</f>
        <v>0.01</v>
      </c>
      <c r="O1743" s="254" t="str">
        <f>IF(ISBLANK(INDEX('Policy Characteristics'!I:I,MATCH($C1743,'Policy Characteristics'!$C:$C,0))),"",INDEX('Policy Characteristics'!I:I,MATCH($C1743,'Policy Characteristics'!$C:$C,0)))</f>
        <v>% of BAU price</v>
      </c>
      <c r="P1743" s="254"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4" t="str">
        <f>IF(ISBLANK(INDEX('Policy Characteristics'!K:K,MATCH($C1743,'Policy Characteristics'!$C:$C,0))),"",INDEX('Policy Characteristics'!K:K,MATCH($C1743,'Policy Characteristics'!$C:$C,0)))</f>
        <v>fuels.html#fuel-taxes</v>
      </c>
      <c r="R1743" s="254" t="str">
        <f>IF(ISBLANK(INDEX('Policy Characteristics'!L:L,MATCH($C1743,'Policy Characteristics'!$C:$C,0))),"",INDEX('Policy Characteristics'!L:L,MATCH($C1743,'Policy Characteristics'!$C:$C,0)))</f>
        <v>fuel-taxes.html</v>
      </c>
    </row>
    <row r="1744" spans="1:18" s="4" customFormat="1" x14ac:dyDescent="0.3">
      <c r="A1744" s="254" t="str">
        <f>IF(ISBLANK(INDEX('Policy Characteristics'!A:A,MATCH($C1744,'Policy Characteristics'!$C:$C,0))),"",INDEX('Policy Characteristics'!A:A,MATCH($C1744,'Policy Characteristics'!$C:$C,0)))</f>
        <v>Cross-Sector</v>
      </c>
      <c r="B1744" s="262" t="str">
        <f>IF(ISBLANK(INDEX('Policy Characteristics'!B:B,MATCH($C1744,'Policy Characteristics'!$C:$C,0))),"",INDEX('Policy Characteristics'!B:B,MATCH($C1744,'Policy Characteristics'!$C:$C,0)))</f>
        <v>Fuel Taxes or Subsidies</v>
      </c>
      <c r="C1744" s="320" t="str">
        <f t="shared" si="67"/>
        <v>Additional Fuel Tax or Subsidy Rate by Fuel</v>
      </c>
      <c r="D1744" s="6" t="s">
        <v>53</v>
      </c>
      <c r="E1744" s="45" t="s">
        <v>2495</v>
      </c>
      <c r="F1744" s="6" t="s">
        <v>95</v>
      </c>
      <c r="G1744" s="45" t="s">
        <v>2488</v>
      </c>
      <c r="H1744" s="43">
        <v>2387</v>
      </c>
      <c r="I1744" s="325" t="s">
        <v>44</v>
      </c>
      <c r="J1744" s="255" t="str">
        <f>IF(ISBLANK(INDEX('Policy Characteristics'!D:D,MATCH($C1744,'Policy Characteristics'!$C:$C,0))),"",INDEX('Policy Characteristics'!D:D,MATCH($C1744,'Policy Characteristics'!$C:$C,0)))</f>
        <v>Fuel Taxes or Subsidies</v>
      </c>
      <c r="K1744" s="254" t="str">
        <f>IF(ISBLANK(INDEX('Policy Characteristics'!E:E,MATCH($C1744,'Policy Characteristics'!$C:$C,0))),"",INDEX('Policy Characteristics'!E:E,MATCH($C1744,'Policy Characteristics'!$C:$C,0)))</f>
        <v>cross fuel tax</v>
      </c>
      <c r="L1744" s="261">
        <f>IF(ISBLANK(INDEX('Policy Characteristics'!F:F,MATCH($C1744,'Policy Characteristics'!$C:$C,0))),"",INDEX('Policy Characteristics'!F:F,MATCH($C1744,'Policy Characteristics'!$C:$C,0)))</f>
        <v>-0.9</v>
      </c>
      <c r="M1744" s="261">
        <f>IF(ISBLANK(INDEX('Policy Characteristics'!G:G,MATCH($C1744,'Policy Characteristics'!$C:$C,0))),"",INDEX('Policy Characteristics'!G:G,MATCH($C1744,'Policy Characteristics'!$C:$C,0)))</f>
        <v>0.9</v>
      </c>
      <c r="N1744" s="261">
        <f>IF(ISBLANK(INDEX('Policy Characteristics'!H:H,MATCH($C1744,'Policy Characteristics'!$C:$C,0))),"",INDEX('Policy Characteristics'!H:H,MATCH($C1744,'Policy Characteristics'!$C:$C,0)))</f>
        <v>0.01</v>
      </c>
      <c r="O1744" s="254" t="str">
        <f>IF(ISBLANK(INDEX('Policy Characteristics'!I:I,MATCH($C1744,'Policy Characteristics'!$C:$C,0))),"",INDEX('Policy Characteristics'!I:I,MATCH($C1744,'Policy Characteristics'!$C:$C,0)))</f>
        <v>% of BAU price</v>
      </c>
      <c r="P1744" s="254"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4" t="str">
        <f>IF(ISBLANK(INDEX('Policy Characteristics'!K:K,MATCH($C1744,'Policy Characteristics'!$C:$C,0))),"",INDEX('Policy Characteristics'!K:K,MATCH($C1744,'Policy Characteristics'!$C:$C,0)))</f>
        <v>fuels.html#fuel-taxes</v>
      </c>
      <c r="R1744" s="254" t="str">
        <f>IF(ISBLANK(INDEX('Policy Characteristics'!L:L,MATCH($C1744,'Policy Characteristics'!$C:$C,0))),"",INDEX('Policy Characteristics'!L:L,MATCH($C1744,'Policy Characteristics'!$C:$C,0)))</f>
        <v>fuel-taxes.html</v>
      </c>
    </row>
    <row r="1745" spans="1:18" s="4" customFormat="1" x14ac:dyDescent="0.3">
      <c r="A1745" s="254" t="str">
        <f>IF(ISBLANK(INDEX('Policy Characteristics'!A:A,MATCH($C1745,'Policy Characteristics'!$C:$C,0))),"",INDEX('Policy Characteristics'!A:A,MATCH($C1745,'Policy Characteristics'!$C:$C,0)))</f>
        <v>Cross-Sector</v>
      </c>
      <c r="B1745" s="262" t="str">
        <f>IF(ISBLANK(INDEX('Policy Characteristics'!B:B,MATCH($C1745,'Policy Characteristics'!$C:$C,0))),"",INDEX('Policy Characteristics'!B:B,MATCH($C1745,'Policy Characteristics'!$C:$C,0)))</f>
        <v>Fuel Taxes or Subsidies</v>
      </c>
      <c r="C1745" s="320" t="str">
        <f t="shared" si="67"/>
        <v>Additional Fuel Tax or Subsidy Rate by Fuel</v>
      </c>
      <c r="D1745" s="6" t="s">
        <v>54</v>
      </c>
      <c r="E1745" s="45" t="s">
        <v>2495</v>
      </c>
      <c r="F1745" s="6" t="s">
        <v>96</v>
      </c>
      <c r="G1745" s="45" t="s">
        <v>2488</v>
      </c>
      <c r="H1745" s="43">
        <v>2388</v>
      </c>
      <c r="I1745" s="325" t="s">
        <v>44</v>
      </c>
      <c r="J1745" s="255" t="str">
        <f>IF(ISBLANK(INDEX('Policy Characteristics'!D:D,MATCH($C1745,'Policy Characteristics'!$C:$C,0))),"",INDEX('Policy Characteristics'!D:D,MATCH($C1745,'Policy Characteristics'!$C:$C,0)))</f>
        <v>Fuel Taxes or Subsidies</v>
      </c>
      <c r="K1745" s="254" t="str">
        <f>IF(ISBLANK(INDEX('Policy Characteristics'!E:E,MATCH($C1745,'Policy Characteristics'!$C:$C,0))),"",INDEX('Policy Characteristics'!E:E,MATCH($C1745,'Policy Characteristics'!$C:$C,0)))</f>
        <v>cross fuel tax</v>
      </c>
      <c r="L1745" s="261">
        <f>IF(ISBLANK(INDEX('Policy Characteristics'!F:F,MATCH($C1745,'Policy Characteristics'!$C:$C,0))),"",INDEX('Policy Characteristics'!F:F,MATCH($C1745,'Policy Characteristics'!$C:$C,0)))</f>
        <v>-0.9</v>
      </c>
      <c r="M1745" s="261">
        <f>IF(ISBLANK(INDEX('Policy Characteristics'!G:G,MATCH($C1745,'Policy Characteristics'!$C:$C,0))),"",INDEX('Policy Characteristics'!G:G,MATCH($C1745,'Policy Characteristics'!$C:$C,0)))</f>
        <v>0.9</v>
      </c>
      <c r="N1745" s="261">
        <f>IF(ISBLANK(INDEX('Policy Characteristics'!H:H,MATCH($C1745,'Policy Characteristics'!$C:$C,0))),"",INDEX('Policy Characteristics'!H:H,MATCH($C1745,'Policy Characteristics'!$C:$C,0)))</f>
        <v>0.01</v>
      </c>
      <c r="O1745" s="254" t="str">
        <f>IF(ISBLANK(INDEX('Policy Characteristics'!I:I,MATCH($C1745,'Policy Characteristics'!$C:$C,0))),"",INDEX('Policy Characteristics'!I:I,MATCH($C1745,'Policy Characteristics'!$C:$C,0)))</f>
        <v>% of BAU price</v>
      </c>
      <c r="P1745" s="254"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4" t="str">
        <f>IF(ISBLANK(INDEX('Policy Characteristics'!K:K,MATCH($C1745,'Policy Characteristics'!$C:$C,0))),"",INDEX('Policy Characteristics'!K:K,MATCH($C1745,'Policy Characteristics'!$C:$C,0)))</f>
        <v>fuels.html#fuel-taxes</v>
      </c>
      <c r="R1745" s="254" t="str">
        <f>IF(ISBLANK(INDEX('Policy Characteristics'!L:L,MATCH($C1745,'Policy Characteristics'!$C:$C,0))),"",INDEX('Policy Characteristics'!L:L,MATCH($C1745,'Policy Characteristics'!$C:$C,0)))</f>
        <v>fuel-taxes.html</v>
      </c>
    </row>
    <row r="1746" spans="1:18" s="4" customFormat="1" x14ac:dyDescent="0.3">
      <c r="A1746" s="254" t="str">
        <f>IF(ISBLANK(INDEX('Policy Characteristics'!A:A,MATCH($C1746,'Policy Characteristics'!$C:$C,0))),"",INDEX('Policy Characteristics'!A:A,MATCH($C1746,'Policy Characteristics'!$C:$C,0)))</f>
        <v>Cross-Sector</v>
      </c>
      <c r="B1746" s="262" t="str">
        <f>IF(ISBLANK(INDEX('Policy Characteristics'!B:B,MATCH($C1746,'Policy Characteristics'!$C:$C,0))),"",INDEX('Policy Characteristics'!B:B,MATCH($C1746,'Policy Characteristics'!$C:$C,0)))</f>
        <v>Fuel Taxes or Subsidies</v>
      </c>
      <c r="C1746" s="320" t="str">
        <f t="shared" si="67"/>
        <v>Additional Fuel Tax or Subsidy Rate by Fuel</v>
      </c>
      <c r="D1746" s="6" t="s">
        <v>55</v>
      </c>
      <c r="E1746" s="45" t="s">
        <v>2495</v>
      </c>
      <c r="F1746" s="6" t="s">
        <v>97</v>
      </c>
      <c r="G1746" s="45" t="s">
        <v>2488</v>
      </c>
      <c r="H1746" s="43">
        <v>2389</v>
      </c>
      <c r="I1746" s="325" t="s">
        <v>44</v>
      </c>
      <c r="J1746" s="255" t="str">
        <f>IF(ISBLANK(INDEX('Policy Characteristics'!D:D,MATCH($C1746,'Policy Characteristics'!$C:$C,0))),"",INDEX('Policy Characteristics'!D:D,MATCH($C1746,'Policy Characteristics'!$C:$C,0)))</f>
        <v>Fuel Taxes or Subsidies</v>
      </c>
      <c r="K1746" s="254" t="str">
        <f>IF(ISBLANK(INDEX('Policy Characteristics'!E:E,MATCH($C1746,'Policy Characteristics'!$C:$C,0))),"",INDEX('Policy Characteristics'!E:E,MATCH($C1746,'Policy Characteristics'!$C:$C,0)))</f>
        <v>cross fuel tax</v>
      </c>
      <c r="L1746" s="261">
        <f>IF(ISBLANK(INDEX('Policy Characteristics'!F:F,MATCH($C1746,'Policy Characteristics'!$C:$C,0))),"",INDEX('Policy Characteristics'!F:F,MATCH($C1746,'Policy Characteristics'!$C:$C,0)))</f>
        <v>-0.9</v>
      </c>
      <c r="M1746" s="261">
        <f>IF(ISBLANK(INDEX('Policy Characteristics'!G:G,MATCH($C1746,'Policy Characteristics'!$C:$C,0))),"",INDEX('Policy Characteristics'!G:G,MATCH($C1746,'Policy Characteristics'!$C:$C,0)))</f>
        <v>0.9</v>
      </c>
      <c r="N1746" s="261">
        <f>IF(ISBLANK(INDEX('Policy Characteristics'!H:H,MATCH($C1746,'Policy Characteristics'!$C:$C,0))),"",INDEX('Policy Characteristics'!H:H,MATCH($C1746,'Policy Characteristics'!$C:$C,0)))</f>
        <v>0.01</v>
      </c>
      <c r="O1746" s="254" t="str">
        <f>IF(ISBLANK(INDEX('Policy Characteristics'!I:I,MATCH($C1746,'Policy Characteristics'!$C:$C,0))),"",INDEX('Policy Characteristics'!I:I,MATCH($C1746,'Policy Characteristics'!$C:$C,0)))</f>
        <v>% of BAU price</v>
      </c>
      <c r="P1746" s="254"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4" t="str">
        <f>IF(ISBLANK(INDEX('Policy Characteristics'!K:K,MATCH($C1746,'Policy Characteristics'!$C:$C,0))),"",INDEX('Policy Characteristics'!K:K,MATCH($C1746,'Policy Characteristics'!$C:$C,0)))</f>
        <v>fuels.html#fuel-taxes</v>
      </c>
      <c r="R1746" s="254" t="str">
        <f>IF(ISBLANK(INDEX('Policy Characteristics'!L:L,MATCH($C1746,'Policy Characteristics'!$C:$C,0))),"",INDEX('Policy Characteristics'!L:L,MATCH($C1746,'Policy Characteristics'!$C:$C,0)))</f>
        <v>fuel-taxes.html</v>
      </c>
    </row>
    <row r="1747" spans="1:18" s="4" customFormat="1" x14ac:dyDescent="0.3">
      <c r="A1747" s="254" t="str">
        <f>IF(ISBLANK(INDEX('Policy Characteristics'!A:A,MATCH($C1747,'Policy Characteristics'!$C:$C,0))),"",INDEX('Policy Characteristics'!A:A,MATCH($C1747,'Policy Characteristics'!$C:$C,0)))</f>
        <v>Cross-Sector</v>
      </c>
      <c r="B1747" s="262" t="str">
        <f>IF(ISBLANK(INDEX('Policy Characteristics'!B:B,MATCH($C1747,'Policy Characteristics'!$C:$C,0))),"",INDEX('Policy Characteristics'!B:B,MATCH($C1747,'Policy Characteristics'!$C:$C,0)))</f>
        <v>Fuel Taxes or Subsidies</v>
      </c>
      <c r="C1747" s="320" t="str">
        <f t="shared" si="67"/>
        <v>Additional Fuel Tax or Subsidy Rate by Fuel</v>
      </c>
      <c r="D1747" s="6" t="s">
        <v>56</v>
      </c>
      <c r="E1747" s="45" t="s">
        <v>2495</v>
      </c>
      <c r="F1747" s="6" t="s">
        <v>98</v>
      </c>
      <c r="G1747" s="45" t="s">
        <v>2488</v>
      </c>
      <c r="H1747" s="43">
        <v>2390</v>
      </c>
      <c r="I1747" s="325" t="s">
        <v>44</v>
      </c>
      <c r="J1747" s="255" t="str">
        <f>IF(ISBLANK(INDEX('Policy Characteristics'!D:D,MATCH($C1747,'Policy Characteristics'!$C:$C,0))),"",INDEX('Policy Characteristics'!D:D,MATCH($C1747,'Policy Characteristics'!$C:$C,0)))</f>
        <v>Fuel Taxes or Subsidies</v>
      </c>
      <c r="K1747" s="254" t="str">
        <f>IF(ISBLANK(INDEX('Policy Characteristics'!E:E,MATCH($C1747,'Policy Characteristics'!$C:$C,0))),"",INDEX('Policy Characteristics'!E:E,MATCH($C1747,'Policy Characteristics'!$C:$C,0)))</f>
        <v>cross fuel tax</v>
      </c>
      <c r="L1747" s="261">
        <f>IF(ISBLANK(INDEX('Policy Characteristics'!F:F,MATCH($C1747,'Policy Characteristics'!$C:$C,0))),"",INDEX('Policy Characteristics'!F:F,MATCH($C1747,'Policy Characteristics'!$C:$C,0)))</f>
        <v>-0.9</v>
      </c>
      <c r="M1747" s="261">
        <f>IF(ISBLANK(INDEX('Policy Characteristics'!G:G,MATCH($C1747,'Policy Characteristics'!$C:$C,0))),"",INDEX('Policy Characteristics'!G:G,MATCH($C1747,'Policy Characteristics'!$C:$C,0)))</f>
        <v>0.9</v>
      </c>
      <c r="N1747" s="261">
        <f>IF(ISBLANK(INDEX('Policy Characteristics'!H:H,MATCH($C1747,'Policy Characteristics'!$C:$C,0))),"",INDEX('Policy Characteristics'!H:H,MATCH($C1747,'Policy Characteristics'!$C:$C,0)))</f>
        <v>0.01</v>
      </c>
      <c r="O1747" s="254" t="str">
        <f>IF(ISBLANK(INDEX('Policy Characteristics'!I:I,MATCH($C1747,'Policy Characteristics'!$C:$C,0))),"",INDEX('Policy Characteristics'!I:I,MATCH($C1747,'Policy Characteristics'!$C:$C,0)))</f>
        <v>% of BAU price</v>
      </c>
      <c r="P1747" s="254"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4" t="str">
        <f>IF(ISBLANK(INDEX('Policy Characteristics'!K:K,MATCH($C1747,'Policy Characteristics'!$C:$C,0))),"",INDEX('Policy Characteristics'!K:K,MATCH($C1747,'Policy Characteristics'!$C:$C,0)))</f>
        <v>fuels.html#fuel-taxes</v>
      </c>
      <c r="R1747" s="254" t="str">
        <f>IF(ISBLANK(INDEX('Policy Characteristics'!L:L,MATCH($C1747,'Policy Characteristics'!$C:$C,0))),"",INDEX('Policy Characteristics'!L:L,MATCH($C1747,'Policy Characteristics'!$C:$C,0)))</f>
        <v>fuel-taxes.html</v>
      </c>
    </row>
    <row r="1748" spans="1:18" x14ac:dyDescent="0.3">
      <c r="A1748" s="254" t="str">
        <f>IF(ISBLANK(INDEX('Policy Characteristics'!A:A,MATCH($C1748,'Policy Characteristics'!$C:$C,0))),"",INDEX('Policy Characteristics'!A:A,MATCH($C1748,'Policy Characteristics'!$C:$C,0)))</f>
        <v>Cross-Sector</v>
      </c>
      <c r="B1748" s="262" t="str">
        <f>IF(ISBLANK(INDEX('Policy Characteristics'!B:B,MATCH($C1748,'Policy Characteristics'!$C:$C,0))),"",INDEX('Policy Characteristics'!B:B,MATCH($C1748,'Policy Characteristics'!$C:$C,0)))</f>
        <v>Fuel Taxes or Subsidies</v>
      </c>
      <c r="C1748" s="320" t="str">
        <f t="shared" si="67"/>
        <v>Additional Fuel Tax or Subsidy Rate by Fuel</v>
      </c>
      <c r="D1748" s="6" t="s">
        <v>2473</v>
      </c>
      <c r="E1748" s="45" t="s">
        <v>2495</v>
      </c>
      <c r="F1748" s="6" t="s">
        <v>2474</v>
      </c>
      <c r="G1748" s="45" t="s">
        <v>2488</v>
      </c>
      <c r="H1748" s="43">
        <v>2391</v>
      </c>
      <c r="I1748" s="325" t="s">
        <v>44</v>
      </c>
      <c r="J1748" s="255" t="str">
        <f>IF(ISBLANK(INDEX('Policy Characteristics'!D:D,MATCH($C1748,'Policy Characteristics'!$C:$C,0))),"",INDEX('Policy Characteristics'!D:D,MATCH($C1748,'Policy Characteristics'!$C:$C,0)))</f>
        <v>Fuel Taxes or Subsidies</v>
      </c>
      <c r="K1748" s="254" t="str">
        <f>IF(ISBLANK(INDEX('Policy Characteristics'!E:E,MATCH($C1748,'Policy Characteristics'!$C:$C,0))),"",INDEX('Policy Characteristics'!E:E,MATCH($C1748,'Policy Characteristics'!$C:$C,0)))</f>
        <v>cross fuel tax</v>
      </c>
      <c r="L1748" s="261">
        <f>IF(ISBLANK(INDEX('Policy Characteristics'!F:F,MATCH($C1748,'Policy Characteristics'!$C:$C,0))),"",INDEX('Policy Characteristics'!F:F,MATCH($C1748,'Policy Characteristics'!$C:$C,0)))</f>
        <v>-0.9</v>
      </c>
      <c r="M1748" s="261">
        <f>IF(ISBLANK(INDEX('Policy Characteristics'!G:G,MATCH($C1748,'Policy Characteristics'!$C:$C,0))),"",INDEX('Policy Characteristics'!G:G,MATCH($C1748,'Policy Characteristics'!$C:$C,0)))</f>
        <v>0.9</v>
      </c>
      <c r="N1748" s="261">
        <f>IF(ISBLANK(INDEX('Policy Characteristics'!H:H,MATCH($C1748,'Policy Characteristics'!$C:$C,0))),"",INDEX('Policy Characteristics'!H:H,MATCH($C1748,'Policy Characteristics'!$C:$C,0)))</f>
        <v>0.01</v>
      </c>
      <c r="O1748" s="254" t="str">
        <f>IF(ISBLANK(INDEX('Policy Characteristics'!I:I,MATCH($C1748,'Policy Characteristics'!$C:$C,0))),"",INDEX('Policy Characteristics'!I:I,MATCH($C1748,'Policy Characteristics'!$C:$C,0)))</f>
        <v>% of BAU price</v>
      </c>
      <c r="P1748" s="254"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4" t="str">
        <f>IF(ISBLANK(INDEX('Policy Characteristics'!K:K,MATCH($C1748,'Policy Characteristics'!$C:$C,0))),"",INDEX('Policy Characteristics'!K:K,MATCH($C1748,'Policy Characteristics'!$C:$C,0)))</f>
        <v>fuels.html#fuel-taxes</v>
      </c>
      <c r="R1748" s="254" t="str">
        <f>IF(ISBLANK(INDEX('Policy Characteristics'!L:L,MATCH($C1748,'Policy Characteristics'!$C:$C,0))),"",INDEX('Policy Characteristics'!L:L,MATCH($C1748,'Policy Characteristics'!$C:$C,0)))</f>
        <v>fuel-taxes.html</v>
      </c>
    </row>
    <row r="1749" spans="1:18" x14ac:dyDescent="0.3">
      <c r="A1749" s="254" t="str">
        <f>IF(ISBLANK(INDEX('Policy Characteristics'!A:A,MATCH($C1749,'Policy Characteristics'!$C:$C,0))),"",INDEX('Policy Characteristics'!A:A,MATCH($C1749,'Policy Characteristics'!$C:$C,0)))</f>
        <v>Cross-Sector</v>
      </c>
      <c r="B1749" s="262" t="str">
        <f>IF(ISBLANK(INDEX('Policy Characteristics'!B:B,MATCH($C1749,'Policy Characteristics'!$C:$C,0))),"",INDEX('Policy Characteristics'!B:B,MATCH($C1749,'Policy Characteristics'!$C:$C,0)))</f>
        <v>Fuel Taxes or Subsidies</v>
      </c>
      <c r="C1749" s="320" t="str">
        <f t="shared" si="67"/>
        <v>Additional Fuel Tax or Subsidy Rate by Fuel</v>
      </c>
      <c r="D1749" s="6" t="s">
        <v>75</v>
      </c>
      <c r="E1749" s="45" t="s">
        <v>2495</v>
      </c>
      <c r="F1749" s="6" t="s">
        <v>99</v>
      </c>
      <c r="G1749" s="45" t="s">
        <v>2488</v>
      </c>
      <c r="H1749" s="43">
        <v>2392</v>
      </c>
      <c r="I1749" s="325" t="s">
        <v>44</v>
      </c>
      <c r="J1749" s="255" t="str">
        <f>IF(ISBLANK(INDEX('Policy Characteristics'!D:D,MATCH($C1749,'Policy Characteristics'!$C:$C,0))),"",INDEX('Policy Characteristics'!D:D,MATCH($C1749,'Policy Characteristics'!$C:$C,0)))</f>
        <v>Fuel Taxes or Subsidies</v>
      </c>
      <c r="K1749" s="254" t="str">
        <f>IF(ISBLANK(INDEX('Policy Characteristics'!E:E,MATCH($C1749,'Policy Characteristics'!$C:$C,0))),"",INDEX('Policy Characteristics'!E:E,MATCH($C1749,'Policy Characteristics'!$C:$C,0)))</f>
        <v>cross fuel tax</v>
      </c>
      <c r="L1749" s="261">
        <f>IF(ISBLANK(INDEX('Policy Characteristics'!F:F,MATCH($C1749,'Policy Characteristics'!$C:$C,0))),"",INDEX('Policy Characteristics'!F:F,MATCH($C1749,'Policy Characteristics'!$C:$C,0)))</f>
        <v>-0.9</v>
      </c>
      <c r="M1749" s="261">
        <f>IF(ISBLANK(INDEX('Policy Characteristics'!G:G,MATCH($C1749,'Policy Characteristics'!$C:$C,0))),"",INDEX('Policy Characteristics'!G:G,MATCH($C1749,'Policy Characteristics'!$C:$C,0)))</f>
        <v>0.9</v>
      </c>
      <c r="N1749" s="261">
        <f>IF(ISBLANK(INDEX('Policy Characteristics'!H:H,MATCH($C1749,'Policy Characteristics'!$C:$C,0))),"",INDEX('Policy Characteristics'!H:H,MATCH($C1749,'Policy Characteristics'!$C:$C,0)))</f>
        <v>0.01</v>
      </c>
      <c r="O1749" s="254" t="str">
        <f>IF(ISBLANK(INDEX('Policy Characteristics'!I:I,MATCH($C1749,'Policy Characteristics'!$C:$C,0))),"",INDEX('Policy Characteristics'!I:I,MATCH($C1749,'Policy Characteristics'!$C:$C,0)))</f>
        <v>% of BAU price</v>
      </c>
      <c r="P1749" s="254"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4" t="str">
        <f>IF(ISBLANK(INDEX('Policy Characteristics'!K:K,MATCH($C1749,'Policy Characteristics'!$C:$C,0))),"",INDEX('Policy Characteristics'!K:K,MATCH($C1749,'Policy Characteristics'!$C:$C,0)))</f>
        <v>fuels.html#fuel-taxes</v>
      </c>
      <c r="R1749" s="254" t="str">
        <f>IF(ISBLANK(INDEX('Policy Characteristics'!L:L,MATCH($C1749,'Policy Characteristics'!$C:$C,0))),"",INDEX('Policy Characteristics'!L:L,MATCH($C1749,'Policy Characteristics'!$C:$C,0)))</f>
        <v>fuel-taxes.html</v>
      </c>
    </row>
    <row r="1750" spans="1:18" x14ac:dyDescent="0.3">
      <c r="A1750" s="254" t="str">
        <f>IF(ISBLANK(INDEX('Policy Characteristics'!A:A,MATCH($C1750,'Policy Characteristics'!$C:$C,0))),"",INDEX('Policy Characteristics'!A:A,MATCH($C1750,'Policy Characteristics'!$C:$C,0)))</f>
        <v>Cross-Sector</v>
      </c>
      <c r="B1750" s="262" t="str">
        <f>IF(ISBLANK(INDEX('Policy Characteristics'!B:B,MATCH($C1750,'Policy Characteristics'!$C:$C,0))),"",INDEX('Policy Characteristics'!B:B,MATCH($C1750,'Policy Characteristics'!$C:$C,0)))</f>
        <v>Fuel Taxes or Subsidies</v>
      </c>
      <c r="C1750" s="320" t="str">
        <f t="shared" si="67"/>
        <v>Additional Fuel Tax or Subsidy Rate by Fuel</v>
      </c>
      <c r="D1750" s="6" t="s">
        <v>442</v>
      </c>
      <c r="E1750" s="45" t="s">
        <v>2495</v>
      </c>
      <c r="F1750" s="6" t="s">
        <v>443</v>
      </c>
      <c r="G1750" s="45" t="s">
        <v>2488</v>
      </c>
      <c r="H1750" s="43">
        <v>2393</v>
      </c>
      <c r="I1750" s="325" t="s">
        <v>44</v>
      </c>
      <c r="J1750" s="255" t="str">
        <f>IF(ISBLANK(INDEX('Policy Characteristics'!D:D,MATCH($C1750,'Policy Characteristics'!$C:$C,0))),"",INDEX('Policy Characteristics'!D:D,MATCH($C1750,'Policy Characteristics'!$C:$C,0)))</f>
        <v>Fuel Taxes or Subsidies</v>
      </c>
      <c r="K1750" s="254" t="str">
        <f>IF(ISBLANK(INDEX('Policy Characteristics'!E:E,MATCH($C1750,'Policy Characteristics'!$C:$C,0))),"",INDEX('Policy Characteristics'!E:E,MATCH($C1750,'Policy Characteristics'!$C:$C,0)))</f>
        <v>cross fuel tax</v>
      </c>
      <c r="L1750" s="261">
        <f>IF(ISBLANK(INDEX('Policy Characteristics'!F:F,MATCH($C1750,'Policy Characteristics'!$C:$C,0))),"",INDEX('Policy Characteristics'!F:F,MATCH($C1750,'Policy Characteristics'!$C:$C,0)))</f>
        <v>-0.9</v>
      </c>
      <c r="M1750" s="261">
        <f>IF(ISBLANK(INDEX('Policy Characteristics'!G:G,MATCH($C1750,'Policy Characteristics'!$C:$C,0))),"",INDEX('Policy Characteristics'!G:G,MATCH($C1750,'Policy Characteristics'!$C:$C,0)))</f>
        <v>0.9</v>
      </c>
      <c r="N1750" s="261">
        <f>IF(ISBLANK(INDEX('Policy Characteristics'!H:H,MATCH($C1750,'Policy Characteristics'!$C:$C,0))),"",INDEX('Policy Characteristics'!H:H,MATCH($C1750,'Policy Characteristics'!$C:$C,0)))</f>
        <v>0.01</v>
      </c>
      <c r="O1750" s="254" t="str">
        <f>IF(ISBLANK(INDEX('Policy Characteristics'!I:I,MATCH($C1750,'Policy Characteristics'!$C:$C,0))),"",INDEX('Policy Characteristics'!I:I,MATCH($C1750,'Policy Characteristics'!$C:$C,0)))</f>
        <v>% of BAU price</v>
      </c>
      <c r="P1750" s="254"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4" t="str">
        <f>IF(ISBLANK(INDEX('Policy Characteristics'!K:K,MATCH($C1750,'Policy Characteristics'!$C:$C,0))),"",INDEX('Policy Characteristics'!K:K,MATCH($C1750,'Policy Characteristics'!$C:$C,0)))</f>
        <v>fuels.html#fuel-taxes</v>
      </c>
      <c r="R1750" s="254" t="str">
        <f>IF(ISBLANK(INDEX('Policy Characteristics'!L:L,MATCH($C1750,'Policy Characteristics'!$C:$C,0))),"",INDEX('Policy Characteristics'!L:L,MATCH($C1750,'Policy Characteristics'!$C:$C,0)))</f>
        <v>fuel-taxes.html</v>
      </c>
    </row>
    <row r="1751" spans="1:18" x14ac:dyDescent="0.3">
      <c r="A1751" s="254" t="str">
        <f>IF(ISBLANK(INDEX('Policy Characteristics'!A:A,MATCH($C1751,'Policy Characteristics'!$C:$C,0))),"",INDEX('Policy Characteristics'!A:A,MATCH($C1751,'Policy Characteristics'!$C:$C,0)))</f>
        <v>Cross-Sector</v>
      </c>
      <c r="B1751" s="262" t="str">
        <f>IF(ISBLANK(INDEX('Policy Characteristics'!B:B,MATCH($C1751,'Policy Characteristics'!$C:$C,0))),"",INDEX('Policy Characteristics'!B:B,MATCH($C1751,'Policy Characteristics'!$C:$C,0)))</f>
        <v>Fuel Taxes or Subsidies</v>
      </c>
      <c r="C1751" s="320" t="str">
        <f t="shared" si="67"/>
        <v>Additional Fuel Tax or Subsidy Rate by Fuel</v>
      </c>
      <c r="D1751" s="6" t="s">
        <v>2465</v>
      </c>
      <c r="E1751" s="45" t="s">
        <v>2495</v>
      </c>
      <c r="F1751" s="6" t="s">
        <v>2469</v>
      </c>
      <c r="G1751" s="45" t="s">
        <v>2488</v>
      </c>
      <c r="H1751" s="43">
        <v>2394</v>
      </c>
      <c r="I1751" s="325" t="s">
        <v>44</v>
      </c>
      <c r="J1751" s="255" t="str">
        <f>IF(ISBLANK(INDEX('Policy Characteristics'!D:D,MATCH($C1751,'Policy Characteristics'!$C:$C,0))),"",INDEX('Policy Characteristics'!D:D,MATCH($C1751,'Policy Characteristics'!$C:$C,0)))</f>
        <v>Fuel Taxes or Subsidies</v>
      </c>
      <c r="K1751" s="254" t="str">
        <f>IF(ISBLANK(INDEX('Policy Characteristics'!E:E,MATCH($C1751,'Policy Characteristics'!$C:$C,0))),"",INDEX('Policy Characteristics'!E:E,MATCH($C1751,'Policy Characteristics'!$C:$C,0)))</f>
        <v>cross fuel tax</v>
      </c>
      <c r="L1751" s="261">
        <f>IF(ISBLANK(INDEX('Policy Characteristics'!F:F,MATCH($C1751,'Policy Characteristics'!$C:$C,0))),"",INDEX('Policy Characteristics'!F:F,MATCH($C1751,'Policy Characteristics'!$C:$C,0)))</f>
        <v>-0.9</v>
      </c>
      <c r="M1751" s="261">
        <f>IF(ISBLANK(INDEX('Policy Characteristics'!G:G,MATCH($C1751,'Policy Characteristics'!$C:$C,0))),"",INDEX('Policy Characteristics'!G:G,MATCH($C1751,'Policy Characteristics'!$C:$C,0)))</f>
        <v>0.9</v>
      </c>
      <c r="N1751" s="261">
        <f>IF(ISBLANK(INDEX('Policy Characteristics'!H:H,MATCH($C1751,'Policy Characteristics'!$C:$C,0))),"",INDEX('Policy Characteristics'!H:H,MATCH($C1751,'Policy Characteristics'!$C:$C,0)))</f>
        <v>0.01</v>
      </c>
      <c r="O1751" s="254" t="str">
        <f>IF(ISBLANK(INDEX('Policy Characteristics'!I:I,MATCH($C1751,'Policy Characteristics'!$C:$C,0))),"",INDEX('Policy Characteristics'!I:I,MATCH($C1751,'Policy Characteristics'!$C:$C,0)))</f>
        <v>% of BAU price</v>
      </c>
      <c r="P1751" s="254"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4" t="str">
        <f>IF(ISBLANK(INDEX('Policy Characteristics'!K:K,MATCH($C1751,'Policy Characteristics'!$C:$C,0))),"",INDEX('Policy Characteristics'!K:K,MATCH($C1751,'Policy Characteristics'!$C:$C,0)))</f>
        <v>fuels.html#fuel-taxes</v>
      </c>
      <c r="R1751" s="254" t="str">
        <f>IF(ISBLANK(INDEX('Policy Characteristics'!L:L,MATCH($C1751,'Policy Characteristics'!$C:$C,0))),"",INDEX('Policy Characteristics'!L:L,MATCH($C1751,'Policy Characteristics'!$C:$C,0)))</f>
        <v>fuel-taxes.html</v>
      </c>
    </row>
    <row r="1752" spans="1:18" x14ac:dyDescent="0.3">
      <c r="A1752" s="254" t="str">
        <f>IF(ISBLANK(INDEX('Policy Characteristics'!A:A,MATCH($C1752,'Policy Characteristics'!$C:$C,0))),"",INDEX('Policy Characteristics'!A:A,MATCH($C1752,'Policy Characteristics'!$C:$C,0)))</f>
        <v>Cross-Sector</v>
      </c>
      <c r="B1752" s="262" t="str">
        <f>IF(ISBLANK(INDEX('Policy Characteristics'!B:B,MATCH($C1752,'Policy Characteristics'!$C:$C,0))),"",INDEX('Policy Characteristics'!B:B,MATCH($C1752,'Policy Characteristics'!$C:$C,0)))</f>
        <v>Fuel Taxes or Subsidies</v>
      </c>
      <c r="C1752" s="320" t="str">
        <f t="shared" si="67"/>
        <v>Additional Fuel Tax or Subsidy Rate by Fuel</v>
      </c>
      <c r="D1752" s="6" t="s">
        <v>2475</v>
      </c>
      <c r="E1752" s="45" t="s">
        <v>2495</v>
      </c>
      <c r="F1752" s="6" t="s">
        <v>2476</v>
      </c>
      <c r="G1752" s="45" t="s">
        <v>2488</v>
      </c>
      <c r="H1752" s="43">
        <v>2395</v>
      </c>
      <c r="I1752" s="325" t="s">
        <v>44</v>
      </c>
      <c r="J1752" s="255" t="str">
        <f>IF(ISBLANK(INDEX('Policy Characteristics'!D:D,MATCH($C1752,'Policy Characteristics'!$C:$C,0))),"",INDEX('Policy Characteristics'!D:D,MATCH($C1752,'Policy Characteristics'!$C:$C,0)))</f>
        <v>Fuel Taxes or Subsidies</v>
      </c>
      <c r="K1752" s="254" t="str">
        <f>IF(ISBLANK(INDEX('Policy Characteristics'!E:E,MATCH($C1752,'Policy Characteristics'!$C:$C,0))),"",INDEX('Policy Characteristics'!E:E,MATCH($C1752,'Policy Characteristics'!$C:$C,0)))</f>
        <v>cross fuel tax</v>
      </c>
      <c r="L1752" s="261">
        <f>IF(ISBLANK(INDEX('Policy Characteristics'!F:F,MATCH($C1752,'Policy Characteristics'!$C:$C,0))),"",INDEX('Policy Characteristics'!F:F,MATCH($C1752,'Policy Characteristics'!$C:$C,0)))</f>
        <v>-0.9</v>
      </c>
      <c r="M1752" s="261">
        <f>IF(ISBLANK(INDEX('Policy Characteristics'!G:G,MATCH($C1752,'Policy Characteristics'!$C:$C,0))),"",INDEX('Policy Characteristics'!G:G,MATCH($C1752,'Policy Characteristics'!$C:$C,0)))</f>
        <v>0.9</v>
      </c>
      <c r="N1752" s="261">
        <f>IF(ISBLANK(INDEX('Policy Characteristics'!H:H,MATCH($C1752,'Policy Characteristics'!$C:$C,0))),"",INDEX('Policy Characteristics'!H:H,MATCH($C1752,'Policy Characteristics'!$C:$C,0)))</f>
        <v>0.01</v>
      </c>
      <c r="O1752" s="254" t="str">
        <f>IF(ISBLANK(INDEX('Policy Characteristics'!I:I,MATCH($C1752,'Policy Characteristics'!$C:$C,0))),"",INDEX('Policy Characteristics'!I:I,MATCH($C1752,'Policy Characteristics'!$C:$C,0)))</f>
        <v>% of BAU price</v>
      </c>
      <c r="P1752" s="254"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4" t="str">
        <f>IF(ISBLANK(INDEX('Policy Characteristics'!K:K,MATCH($C1752,'Policy Characteristics'!$C:$C,0))),"",INDEX('Policy Characteristics'!K:K,MATCH($C1752,'Policy Characteristics'!$C:$C,0)))</f>
        <v>fuels.html#fuel-taxes</v>
      </c>
      <c r="R1752" s="254" t="str">
        <f>IF(ISBLANK(INDEX('Policy Characteristics'!L:L,MATCH($C1752,'Policy Characteristics'!$C:$C,0))),"",INDEX('Policy Characteristics'!L:L,MATCH($C1752,'Policy Characteristics'!$C:$C,0)))</f>
        <v>fuel-taxes.html</v>
      </c>
    </row>
    <row r="1753" spans="1:18" x14ac:dyDescent="0.3">
      <c r="A1753" s="254" t="str">
        <f>IF(ISBLANK(INDEX('Policy Characteristics'!A:A,MATCH($C1753,'Policy Characteristics'!$C:$C,0))),"",INDEX('Policy Characteristics'!A:A,MATCH($C1753,'Policy Characteristics'!$C:$C,0)))</f>
        <v>Cross-Sector</v>
      </c>
      <c r="B1753" s="262" t="str">
        <f>IF(ISBLANK(INDEX('Policy Characteristics'!B:B,MATCH($C1753,'Policy Characteristics'!$C:$C,0))),"",INDEX('Policy Characteristics'!B:B,MATCH($C1753,'Policy Characteristics'!$C:$C,0)))</f>
        <v>Fuel Taxes or Subsidies</v>
      </c>
      <c r="C1753" s="320" t="str">
        <f t="shared" si="67"/>
        <v>Additional Fuel Tax or Subsidy Rate by Fuel</v>
      </c>
      <c r="D1753" s="6" t="s">
        <v>2466</v>
      </c>
      <c r="E1753" s="45" t="s">
        <v>2495</v>
      </c>
      <c r="F1753" s="6" t="s">
        <v>2470</v>
      </c>
      <c r="G1753" s="45" t="s">
        <v>2488</v>
      </c>
      <c r="H1753" s="43">
        <v>2396</v>
      </c>
      <c r="I1753" s="325" t="s">
        <v>44</v>
      </c>
      <c r="J1753" s="255" t="str">
        <f>IF(ISBLANK(INDEX('Policy Characteristics'!D:D,MATCH($C1753,'Policy Characteristics'!$C:$C,0))),"",INDEX('Policy Characteristics'!D:D,MATCH($C1753,'Policy Characteristics'!$C:$C,0)))</f>
        <v>Fuel Taxes or Subsidies</v>
      </c>
      <c r="K1753" s="254" t="str">
        <f>IF(ISBLANK(INDEX('Policy Characteristics'!E:E,MATCH($C1753,'Policy Characteristics'!$C:$C,0))),"",INDEX('Policy Characteristics'!E:E,MATCH($C1753,'Policy Characteristics'!$C:$C,0)))</f>
        <v>cross fuel tax</v>
      </c>
      <c r="L1753" s="261">
        <f>IF(ISBLANK(INDEX('Policy Characteristics'!F:F,MATCH($C1753,'Policy Characteristics'!$C:$C,0))),"",INDEX('Policy Characteristics'!F:F,MATCH($C1753,'Policy Characteristics'!$C:$C,0)))</f>
        <v>-0.9</v>
      </c>
      <c r="M1753" s="261">
        <f>IF(ISBLANK(INDEX('Policy Characteristics'!G:G,MATCH($C1753,'Policy Characteristics'!$C:$C,0))),"",INDEX('Policy Characteristics'!G:G,MATCH($C1753,'Policy Characteristics'!$C:$C,0)))</f>
        <v>0.9</v>
      </c>
      <c r="N1753" s="261">
        <f>IF(ISBLANK(INDEX('Policy Characteristics'!H:H,MATCH($C1753,'Policy Characteristics'!$C:$C,0))),"",INDEX('Policy Characteristics'!H:H,MATCH($C1753,'Policy Characteristics'!$C:$C,0)))</f>
        <v>0.01</v>
      </c>
      <c r="O1753" s="254" t="str">
        <f>IF(ISBLANK(INDEX('Policy Characteristics'!I:I,MATCH($C1753,'Policy Characteristics'!$C:$C,0))),"",INDEX('Policy Characteristics'!I:I,MATCH($C1753,'Policy Characteristics'!$C:$C,0)))</f>
        <v>% of BAU price</v>
      </c>
      <c r="P1753" s="254"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4" t="str">
        <f>IF(ISBLANK(INDEX('Policy Characteristics'!K:K,MATCH($C1753,'Policy Characteristics'!$C:$C,0))),"",INDEX('Policy Characteristics'!K:K,MATCH($C1753,'Policy Characteristics'!$C:$C,0)))</f>
        <v>fuels.html#fuel-taxes</v>
      </c>
      <c r="R1753" s="254" t="str">
        <f>IF(ISBLANK(INDEX('Policy Characteristics'!L:L,MATCH($C1753,'Policy Characteristics'!$C:$C,0))),"",INDEX('Policy Characteristics'!L:L,MATCH($C1753,'Policy Characteristics'!$C:$C,0)))</f>
        <v>fuel-taxes.html</v>
      </c>
    </row>
    <row r="1754" spans="1:18" x14ac:dyDescent="0.3">
      <c r="A1754" s="254" t="str">
        <f>IF(ISBLANK(INDEX('Policy Characteristics'!A:A,MATCH($C1754,'Policy Characteristics'!$C:$C,0))),"",INDEX('Policy Characteristics'!A:A,MATCH($C1754,'Policy Characteristics'!$C:$C,0)))</f>
        <v>Cross-Sector</v>
      </c>
      <c r="B1754" s="262" t="str">
        <f>IF(ISBLANK(INDEX('Policy Characteristics'!B:B,MATCH($C1754,'Policy Characteristics'!$C:$C,0))),"",INDEX('Policy Characteristics'!B:B,MATCH($C1754,'Policy Characteristics'!$C:$C,0)))</f>
        <v>Fuel Taxes or Subsidies</v>
      </c>
      <c r="C1754" s="320" t="str">
        <f t="shared" si="67"/>
        <v>Additional Fuel Tax or Subsidy Rate by Fuel</v>
      </c>
      <c r="D1754" s="6" t="s">
        <v>2467</v>
      </c>
      <c r="E1754" s="45" t="s">
        <v>2495</v>
      </c>
      <c r="F1754" s="6" t="s">
        <v>2471</v>
      </c>
      <c r="G1754" s="45" t="s">
        <v>2488</v>
      </c>
      <c r="H1754" s="43">
        <v>2397</v>
      </c>
      <c r="I1754" s="325" t="s">
        <v>44</v>
      </c>
      <c r="J1754" s="255" t="str">
        <f>IF(ISBLANK(INDEX('Policy Characteristics'!D:D,MATCH($C1754,'Policy Characteristics'!$C:$C,0))),"",INDEX('Policy Characteristics'!D:D,MATCH($C1754,'Policy Characteristics'!$C:$C,0)))</f>
        <v>Fuel Taxes or Subsidies</v>
      </c>
      <c r="K1754" s="254" t="str">
        <f>IF(ISBLANK(INDEX('Policy Characteristics'!E:E,MATCH($C1754,'Policy Characteristics'!$C:$C,0))),"",INDEX('Policy Characteristics'!E:E,MATCH($C1754,'Policy Characteristics'!$C:$C,0)))</f>
        <v>cross fuel tax</v>
      </c>
      <c r="L1754" s="261">
        <f>IF(ISBLANK(INDEX('Policy Characteristics'!F:F,MATCH($C1754,'Policy Characteristics'!$C:$C,0))),"",INDEX('Policy Characteristics'!F:F,MATCH($C1754,'Policy Characteristics'!$C:$C,0)))</f>
        <v>-0.9</v>
      </c>
      <c r="M1754" s="261">
        <f>IF(ISBLANK(INDEX('Policy Characteristics'!G:G,MATCH($C1754,'Policy Characteristics'!$C:$C,0))),"",INDEX('Policy Characteristics'!G:G,MATCH($C1754,'Policy Characteristics'!$C:$C,0)))</f>
        <v>0.9</v>
      </c>
      <c r="N1754" s="261">
        <f>IF(ISBLANK(INDEX('Policy Characteristics'!H:H,MATCH($C1754,'Policy Characteristics'!$C:$C,0))),"",INDEX('Policy Characteristics'!H:H,MATCH($C1754,'Policy Characteristics'!$C:$C,0)))</f>
        <v>0.01</v>
      </c>
      <c r="O1754" s="254" t="str">
        <f>IF(ISBLANK(INDEX('Policy Characteristics'!I:I,MATCH($C1754,'Policy Characteristics'!$C:$C,0))),"",INDEX('Policy Characteristics'!I:I,MATCH($C1754,'Policy Characteristics'!$C:$C,0)))</f>
        <v>% of BAU price</v>
      </c>
      <c r="P1754" s="254"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4" t="str">
        <f>IF(ISBLANK(INDEX('Policy Characteristics'!K:K,MATCH($C1754,'Policy Characteristics'!$C:$C,0))),"",INDEX('Policy Characteristics'!K:K,MATCH($C1754,'Policy Characteristics'!$C:$C,0)))</f>
        <v>fuels.html#fuel-taxes</v>
      </c>
      <c r="R1754" s="254" t="str">
        <f>IF(ISBLANK(INDEX('Policy Characteristics'!L:L,MATCH($C1754,'Policy Characteristics'!$C:$C,0))),"",INDEX('Policy Characteristics'!L:L,MATCH($C1754,'Policy Characteristics'!$C:$C,0)))</f>
        <v>fuel-taxes.html</v>
      </c>
    </row>
    <row r="1755" spans="1:18" x14ac:dyDescent="0.3">
      <c r="A1755" s="254" t="str">
        <f>IF(ISBLANK(INDEX('Policy Characteristics'!A:A,MATCH($C1755,'Policy Characteristics'!$C:$C,0))),"",INDEX('Policy Characteristics'!A:A,MATCH($C1755,'Policy Characteristics'!$C:$C,0)))</f>
        <v>Cross-Sector</v>
      </c>
      <c r="B1755" s="262" t="str">
        <f>IF(ISBLANK(INDEX('Policy Characteristics'!B:B,MATCH($C1755,'Policy Characteristics'!$C:$C,0))),"",INDEX('Policy Characteristics'!B:B,MATCH($C1755,'Policy Characteristics'!$C:$C,0)))</f>
        <v>Fuel Taxes or Subsidies</v>
      </c>
      <c r="C1755" s="320" t="str">
        <f t="shared" si="67"/>
        <v>Additional Fuel Tax or Subsidy Rate by Fuel</v>
      </c>
      <c r="D1755" s="6" t="s">
        <v>2468</v>
      </c>
      <c r="E1755" s="45" t="s">
        <v>2495</v>
      </c>
      <c r="F1755" s="6" t="s">
        <v>2472</v>
      </c>
      <c r="G1755" s="45" t="s">
        <v>2488</v>
      </c>
      <c r="H1755" s="43">
        <v>2398</v>
      </c>
      <c r="I1755" s="325" t="s">
        <v>44</v>
      </c>
      <c r="J1755" s="255" t="str">
        <f>IF(ISBLANK(INDEX('Policy Characteristics'!D:D,MATCH($C1755,'Policy Characteristics'!$C:$C,0))),"",INDEX('Policy Characteristics'!D:D,MATCH($C1755,'Policy Characteristics'!$C:$C,0)))</f>
        <v>Fuel Taxes or Subsidies</v>
      </c>
      <c r="K1755" s="254" t="str">
        <f>IF(ISBLANK(INDEX('Policy Characteristics'!E:E,MATCH($C1755,'Policy Characteristics'!$C:$C,0))),"",INDEX('Policy Characteristics'!E:E,MATCH($C1755,'Policy Characteristics'!$C:$C,0)))</f>
        <v>cross fuel tax</v>
      </c>
      <c r="L1755" s="261">
        <f>IF(ISBLANK(INDEX('Policy Characteristics'!F:F,MATCH($C1755,'Policy Characteristics'!$C:$C,0))),"",INDEX('Policy Characteristics'!F:F,MATCH($C1755,'Policy Characteristics'!$C:$C,0)))</f>
        <v>-0.9</v>
      </c>
      <c r="M1755" s="261">
        <f>IF(ISBLANK(INDEX('Policy Characteristics'!G:G,MATCH($C1755,'Policy Characteristics'!$C:$C,0))),"",INDEX('Policy Characteristics'!G:G,MATCH($C1755,'Policy Characteristics'!$C:$C,0)))</f>
        <v>0.9</v>
      </c>
      <c r="N1755" s="261">
        <f>IF(ISBLANK(INDEX('Policy Characteristics'!H:H,MATCH($C1755,'Policy Characteristics'!$C:$C,0))),"",INDEX('Policy Characteristics'!H:H,MATCH($C1755,'Policy Characteristics'!$C:$C,0)))</f>
        <v>0.01</v>
      </c>
      <c r="O1755" s="254" t="str">
        <f>IF(ISBLANK(INDEX('Policy Characteristics'!I:I,MATCH($C1755,'Policy Characteristics'!$C:$C,0))),"",INDEX('Policy Characteristics'!I:I,MATCH($C1755,'Policy Characteristics'!$C:$C,0)))</f>
        <v>% of BAU price</v>
      </c>
      <c r="P1755" s="254"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4" t="str">
        <f>IF(ISBLANK(INDEX('Policy Characteristics'!K:K,MATCH($C1755,'Policy Characteristics'!$C:$C,0))),"",INDEX('Policy Characteristics'!K:K,MATCH($C1755,'Policy Characteristics'!$C:$C,0)))</f>
        <v>fuels.html#fuel-taxes</v>
      </c>
      <c r="R1755" s="254" t="str">
        <f>IF(ISBLANK(INDEX('Policy Characteristics'!L:L,MATCH($C1755,'Policy Characteristics'!$C:$C,0))),"",INDEX('Policy Characteristics'!L:L,MATCH($C1755,'Policy Characteristics'!$C:$C,0)))</f>
        <v>fuel-taxes.html</v>
      </c>
    </row>
    <row r="1756" spans="1:18" s="4" customFormat="1" x14ac:dyDescent="0.3">
      <c r="A1756" s="254" t="str">
        <f>IF(ISBLANK(INDEX('Policy Characteristics'!A:A,MATCH($C1756,'Policy Characteristics'!$C:$C,0))),"",INDEX('Policy Characteristics'!A:A,MATCH($C1756,'Policy Characteristics'!$C:$C,0)))</f>
        <v>Cross-Sector</v>
      </c>
      <c r="B1756" s="262" t="str">
        <f>IF(ISBLANK(INDEX('Policy Characteristics'!B:B,MATCH($C1756,'Policy Characteristics'!$C:$C,0))),"",INDEX('Policy Characteristics'!B:B,MATCH($C1756,'Policy Characteristics'!$C:$C,0)))</f>
        <v>Fuel Taxes or Subsidies</v>
      </c>
      <c r="C1756" s="320" t="str">
        <f t="shared" si="67"/>
        <v>Additional Fuel Tax or Subsidy Rate by Fuel</v>
      </c>
      <c r="D1756" s="45" t="s">
        <v>52</v>
      </c>
      <c r="E1756" s="45" t="s">
        <v>3771</v>
      </c>
      <c r="F1756" s="45" t="s">
        <v>93</v>
      </c>
      <c r="G1756" s="45" t="s">
        <v>2428</v>
      </c>
      <c r="H1756" s="43">
        <v>2399</v>
      </c>
      <c r="I1756" s="324" t="s">
        <v>44</v>
      </c>
      <c r="J1756" s="255" t="str">
        <f>IF(ISBLANK(INDEX('Policy Characteristics'!D:D,MATCH($C1756,'Policy Characteristics'!$C:$C,0))),"",INDEX('Policy Characteristics'!D:D,MATCH($C1756,'Policy Characteristics'!$C:$C,0)))</f>
        <v>Fuel Taxes or Subsidies</v>
      </c>
      <c r="K1756" s="254" t="str">
        <f>IF(ISBLANK(INDEX('Policy Characteristics'!E:E,MATCH($C1756,'Policy Characteristics'!$C:$C,0))),"",INDEX('Policy Characteristics'!E:E,MATCH($C1756,'Policy Characteristics'!$C:$C,0)))</f>
        <v>cross fuel tax</v>
      </c>
      <c r="L1756" s="261">
        <f>IF(ISBLANK(INDEX('Policy Characteristics'!F:F,MATCH($C1756,'Policy Characteristics'!$C:$C,0))),"",INDEX('Policy Characteristics'!F:F,MATCH($C1756,'Policy Characteristics'!$C:$C,0)))</f>
        <v>-0.9</v>
      </c>
      <c r="M1756" s="261">
        <f>IF(ISBLANK(INDEX('Policy Characteristics'!G:G,MATCH($C1756,'Policy Characteristics'!$C:$C,0))),"",INDEX('Policy Characteristics'!G:G,MATCH($C1756,'Policy Characteristics'!$C:$C,0)))</f>
        <v>0.9</v>
      </c>
      <c r="N1756" s="261">
        <f>IF(ISBLANK(INDEX('Policy Characteristics'!H:H,MATCH($C1756,'Policy Characteristics'!$C:$C,0))),"",INDEX('Policy Characteristics'!H:H,MATCH($C1756,'Policy Characteristics'!$C:$C,0)))</f>
        <v>0.01</v>
      </c>
      <c r="O1756" s="254" t="str">
        <f>IF(ISBLANK(INDEX('Policy Characteristics'!I:I,MATCH($C1756,'Policy Characteristics'!$C:$C,0))),"",INDEX('Policy Characteristics'!I:I,MATCH($C1756,'Policy Characteristics'!$C:$C,0)))</f>
        <v>% of BAU price</v>
      </c>
      <c r="P1756" s="254"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4" t="str">
        <f>IF(ISBLANK(INDEX('Policy Characteristics'!K:K,MATCH($C1756,'Policy Characteristics'!$C:$C,0))),"",INDEX('Policy Characteristics'!K:K,MATCH($C1756,'Policy Characteristics'!$C:$C,0)))</f>
        <v>fuels.html#fuel-taxes</v>
      </c>
      <c r="R1756" s="254" t="str">
        <f>IF(ISBLANK(INDEX('Policy Characteristics'!L:L,MATCH($C1756,'Policy Characteristics'!$C:$C,0))),"",INDEX('Policy Characteristics'!L:L,MATCH($C1756,'Policy Characteristics'!$C:$C,0)))</f>
        <v>fuel-taxes.html</v>
      </c>
    </row>
    <row r="1757" spans="1:18" s="4" customFormat="1" x14ac:dyDescent="0.3">
      <c r="A1757" s="254" t="str">
        <f>IF(ISBLANK(INDEX('Policy Characteristics'!A:A,MATCH($C1757,'Policy Characteristics'!$C:$C,0))),"",INDEX('Policy Characteristics'!A:A,MATCH($C1757,'Policy Characteristics'!$C:$C,0)))</f>
        <v>Cross-Sector</v>
      </c>
      <c r="B1757" s="262" t="str">
        <f>IF(ISBLANK(INDEX('Policy Characteristics'!B:B,MATCH($C1757,'Policy Characteristics'!$C:$C,0))),"",INDEX('Policy Characteristics'!B:B,MATCH($C1757,'Policy Characteristics'!$C:$C,0)))</f>
        <v>Fuel Taxes or Subsidies</v>
      </c>
      <c r="C1757" s="320" t="str">
        <f t="shared" si="67"/>
        <v>Additional Fuel Tax or Subsidy Rate by Fuel</v>
      </c>
      <c r="D1757" s="6" t="s">
        <v>449</v>
      </c>
      <c r="E1757" s="45" t="s">
        <v>3771</v>
      </c>
      <c r="F1757" s="6" t="s">
        <v>446</v>
      </c>
      <c r="G1757" s="45" t="s">
        <v>2428</v>
      </c>
      <c r="H1757" s="43">
        <v>2400</v>
      </c>
      <c r="I1757" s="324" t="s">
        <v>44</v>
      </c>
      <c r="J1757" s="255" t="str">
        <f>IF(ISBLANK(INDEX('Policy Characteristics'!D:D,MATCH($C1757,'Policy Characteristics'!$C:$C,0))),"",INDEX('Policy Characteristics'!D:D,MATCH($C1757,'Policy Characteristics'!$C:$C,0)))</f>
        <v>Fuel Taxes or Subsidies</v>
      </c>
      <c r="K1757" s="254" t="str">
        <f>IF(ISBLANK(INDEX('Policy Characteristics'!E:E,MATCH($C1757,'Policy Characteristics'!$C:$C,0))),"",INDEX('Policy Characteristics'!E:E,MATCH($C1757,'Policy Characteristics'!$C:$C,0)))</f>
        <v>cross fuel tax</v>
      </c>
      <c r="L1757" s="261">
        <f>IF(ISBLANK(INDEX('Policy Characteristics'!F:F,MATCH($C1757,'Policy Characteristics'!$C:$C,0))),"",INDEX('Policy Characteristics'!F:F,MATCH($C1757,'Policy Characteristics'!$C:$C,0)))</f>
        <v>-0.9</v>
      </c>
      <c r="M1757" s="261">
        <f>IF(ISBLANK(INDEX('Policy Characteristics'!G:G,MATCH($C1757,'Policy Characteristics'!$C:$C,0))),"",INDEX('Policy Characteristics'!G:G,MATCH($C1757,'Policy Characteristics'!$C:$C,0)))</f>
        <v>0.9</v>
      </c>
      <c r="N1757" s="261">
        <f>IF(ISBLANK(INDEX('Policy Characteristics'!H:H,MATCH($C1757,'Policy Characteristics'!$C:$C,0))),"",INDEX('Policy Characteristics'!H:H,MATCH($C1757,'Policy Characteristics'!$C:$C,0)))</f>
        <v>0.01</v>
      </c>
      <c r="O1757" s="254" t="str">
        <f>IF(ISBLANK(INDEX('Policy Characteristics'!I:I,MATCH($C1757,'Policy Characteristics'!$C:$C,0))),"",INDEX('Policy Characteristics'!I:I,MATCH($C1757,'Policy Characteristics'!$C:$C,0)))</f>
        <v>% of BAU price</v>
      </c>
      <c r="P1757" s="254"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4" t="str">
        <f>IF(ISBLANK(INDEX('Policy Characteristics'!K:K,MATCH($C1757,'Policy Characteristics'!$C:$C,0))),"",INDEX('Policy Characteristics'!K:K,MATCH($C1757,'Policy Characteristics'!$C:$C,0)))</f>
        <v>fuels.html#fuel-taxes</v>
      </c>
      <c r="R1757" s="254" t="str">
        <f>IF(ISBLANK(INDEX('Policy Characteristics'!L:L,MATCH($C1757,'Policy Characteristics'!$C:$C,0))),"",INDEX('Policy Characteristics'!L:L,MATCH($C1757,'Policy Characteristics'!$C:$C,0)))</f>
        <v>fuel-taxes.html</v>
      </c>
    </row>
    <row r="1758" spans="1:18" s="4" customFormat="1" x14ac:dyDescent="0.3">
      <c r="A1758" s="254" t="str">
        <f>IF(ISBLANK(INDEX('Policy Characteristics'!A:A,MATCH($C1758,'Policy Characteristics'!$C:$C,0))),"",INDEX('Policy Characteristics'!A:A,MATCH($C1758,'Policy Characteristics'!$C:$C,0)))</f>
        <v>Cross-Sector</v>
      </c>
      <c r="B1758" s="262" t="str">
        <f>IF(ISBLANK(INDEX('Policy Characteristics'!B:B,MATCH($C1758,'Policy Characteristics'!$C:$C,0))),"",INDEX('Policy Characteristics'!B:B,MATCH($C1758,'Policy Characteristics'!$C:$C,0)))</f>
        <v>Fuel Taxes or Subsidies</v>
      </c>
      <c r="C1758" s="320" t="str">
        <f t="shared" si="67"/>
        <v>Additional Fuel Tax or Subsidy Rate by Fuel</v>
      </c>
      <c r="D1758" s="6" t="s">
        <v>46</v>
      </c>
      <c r="E1758" s="45" t="s">
        <v>3771</v>
      </c>
      <c r="F1758" s="6" t="s">
        <v>87</v>
      </c>
      <c r="G1758" s="45" t="s">
        <v>2428</v>
      </c>
      <c r="H1758" s="43">
        <v>2401</v>
      </c>
      <c r="I1758" s="324" t="s">
        <v>44</v>
      </c>
      <c r="J1758" s="255" t="str">
        <f>IF(ISBLANK(INDEX('Policy Characteristics'!D:D,MATCH($C1758,'Policy Characteristics'!$C:$C,0))),"",INDEX('Policy Characteristics'!D:D,MATCH($C1758,'Policy Characteristics'!$C:$C,0)))</f>
        <v>Fuel Taxes or Subsidies</v>
      </c>
      <c r="K1758" s="254" t="str">
        <f>IF(ISBLANK(INDEX('Policy Characteristics'!E:E,MATCH($C1758,'Policy Characteristics'!$C:$C,0))),"",INDEX('Policy Characteristics'!E:E,MATCH($C1758,'Policy Characteristics'!$C:$C,0)))</f>
        <v>cross fuel tax</v>
      </c>
      <c r="L1758" s="261">
        <f>IF(ISBLANK(INDEX('Policy Characteristics'!F:F,MATCH($C1758,'Policy Characteristics'!$C:$C,0))),"",INDEX('Policy Characteristics'!F:F,MATCH($C1758,'Policy Characteristics'!$C:$C,0)))</f>
        <v>-0.9</v>
      </c>
      <c r="M1758" s="261">
        <f>IF(ISBLANK(INDEX('Policy Characteristics'!G:G,MATCH($C1758,'Policy Characteristics'!$C:$C,0))),"",INDEX('Policy Characteristics'!G:G,MATCH($C1758,'Policy Characteristics'!$C:$C,0)))</f>
        <v>0.9</v>
      </c>
      <c r="N1758" s="261">
        <f>IF(ISBLANK(INDEX('Policy Characteristics'!H:H,MATCH($C1758,'Policy Characteristics'!$C:$C,0))),"",INDEX('Policy Characteristics'!H:H,MATCH($C1758,'Policy Characteristics'!$C:$C,0)))</f>
        <v>0.01</v>
      </c>
      <c r="O1758" s="254" t="str">
        <f>IF(ISBLANK(INDEX('Policy Characteristics'!I:I,MATCH($C1758,'Policy Characteristics'!$C:$C,0))),"",INDEX('Policy Characteristics'!I:I,MATCH($C1758,'Policy Characteristics'!$C:$C,0)))</f>
        <v>% of BAU price</v>
      </c>
      <c r="P1758" s="254"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4" t="str">
        <f>IF(ISBLANK(INDEX('Policy Characteristics'!K:K,MATCH($C1758,'Policy Characteristics'!$C:$C,0))),"",INDEX('Policy Characteristics'!K:K,MATCH($C1758,'Policy Characteristics'!$C:$C,0)))</f>
        <v>fuels.html#fuel-taxes</v>
      </c>
      <c r="R1758" s="254" t="str">
        <f>IF(ISBLANK(INDEX('Policy Characteristics'!L:L,MATCH($C1758,'Policy Characteristics'!$C:$C,0))),"",INDEX('Policy Characteristics'!L:L,MATCH($C1758,'Policy Characteristics'!$C:$C,0)))</f>
        <v>fuel-taxes.html</v>
      </c>
    </row>
    <row r="1759" spans="1:18" s="4" customFormat="1" x14ac:dyDescent="0.3">
      <c r="A1759" s="254" t="str">
        <f>IF(ISBLANK(INDEX('Policy Characteristics'!A:A,MATCH($C1759,'Policy Characteristics'!$C:$C,0))),"",INDEX('Policy Characteristics'!A:A,MATCH($C1759,'Policy Characteristics'!$C:$C,0)))</f>
        <v>Cross-Sector</v>
      </c>
      <c r="B1759" s="262" t="str">
        <f>IF(ISBLANK(INDEX('Policy Characteristics'!B:B,MATCH($C1759,'Policy Characteristics'!$C:$C,0))),"",INDEX('Policy Characteristics'!B:B,MATCH($C1759,'Policy Characteristics'!$C:$C,0)))</f>
        <v>Fuel Taxes or Subsidies</v>
      </c>
      <c r="C1759" s="320" t="str">
        <f t="shared" si="67"/>
        <v>Additional Fuel Tax or Subsidy Rate by Fuel</v>
      </c>
      <c r="D1759" s="6" t="s">
        <v>47</v>
      </c>
      <c r="E1759" s="45" t="s">
        <v>3771</v>
      </c>
      <c r="F1759" s="6" t="s">
        <v>88</v>
      </c>
      <c r="G1759" s="45" t="s">
        <v>2428</v>
      </c>
      <c r="H1759" s="43">
        <v>2402</v>
      </c>
      <c r="I1759" s="324" t="s">
        <v>44</v>
      </c>
      <c r="J1759" s="255" t="str">
        <f>IF(ISBLANK(INDEX('Policy Characteristics'!D:D,MATCH($C1759,'Policy Characteristics'!$C:$C,0))),"",INDEX('Policy Characteristics'!D:D,MATCH($C1759,'Policy Characteristics'!$C:$C,0)))</f>
        <v>Fuel Taxes or Subsidies</v>
      </c>
      <c r="K1759" s="254" t="str">
        <f>IF(ISBLANK(INDEX('Policy Characteristics'!E:E,MATCH($C1759,'Policy Characteristics'!$C:$C,0))),"",INDEX('Policy Characteristics'!E:E,MATCH($C1759,'Policy Characteristics'!$C:$C,0)))</f>
        <v>cross fuel tax</v>
      </c>
      <c r="L1759" s="261">
        <f>IF(ISBLANK(INDEX('Policy Characteristics'!F:F,MATCH($C1759,'Policy Characteristics'!$C:$C,0))),"",INDEX('Policy Characteristics'!F:F,MATCH($C1759,'Policy Characteristics'!$C:$C,0)))</f>
        <v>-0.9</v>
      </c>
      <c r="M1759" s="261">
        <f>IF(ISBLANK(INDEX('Policy Characteristics'!G:G,MATCH($C1759,'Policy Characteristics'!$C:$C,0))),"",INDEX('Policy Characteristics'!G:G,MATCH($C1759,'Policy Characteristics'!$C:$C,0)))</f>
        <v>0.9</v>
      </c>
      <c r="N1759" s="261">
        <f>IF(ISBLANK(INDEX('Policy Characteristics'!H:H,MATCH($C1759,'Policy Characteristics'!$C:$C,0))),"",INDEX('Policy Characteristics'!H:H,MATCH($C1759,'Policy Characteristics'!$C:$C,0)))</f>
        <v>0.01</v>
      </c>
      <c r="O1759" s="254" t="str">
        <f>IF(ISBLANK(INDEX('Policy Characteristics'!I:I,MATCH($C1759,'Policy Characteristics'!$C:$C,0))),"",INDEX('Policy Characteristics'!I:I,MATCH($C1759,'Policy Characteristics'!$C:$C,0)))</f>
        <v>% of BAU price</v>
      </c>
      <c r="P1759" s="254"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4" t="str">
        <f>IF(ISBLANK(INDEX('Policy Characteristics'!K:K,MATCH($C1759,'Policy Characteristics'!$C:$C,0))),"",INDEX('Policy Characteristics'!K:K,MATCH($C1759,'Policy Characteristics'!$C:$C,0)))</f>
        <v>fuels.html#fuel-taxes</v>
      </c>
      <c r="R1759" s="254" t="str">
        <f>IF(ISBLANK(INDEX('Policy Characteristics'!L:L,MATCH($C1759,'Policy Characteristics'!$C:$C,0))),"",INDEX('Policy Characteristics'!L:L,MATCH($C1759,'Policy Characteristics'!$C:$C,0)))</f>
        <v>fuel-taxes.html</v>
      </c>
    </row>
    <row r="1760" spans="1:18" s="4" customFormat="1" x14ac:dyDescent="0.3">
      <c r="A1760" s="254" t="str">
        <f>IF(ISBLANK(INDEX('Policy Characteristics'!A:A,MATCH($C1760,'Policy Characteristics'!$C:$C,0))),"",INDEX('Policy Characteristics'!A:A,MATCH($C1760,'Policy Characteristics'!$C:$C,0)))</f>
        <v>Cross-Sector</v>
      </c>
      <c r="B1760" s="262" t="str">
        <f>IF(ISBLANK(INDEX('Policy Characteristics'!B:B,MATCH($C1760,'Policy Characteristics'!$C:$C,0))),"",INDEX('Policy Characteristics'!B:B,MATCH($C1760,'Policy Characteristics'!$C:$C,0)))</f>
        <v>Fuel Taxes or Subsidies</v>
      </c>
      <c r="C1760" s="320" t="str">
        <f t="shared" si="67"/>
        <v>Additional Fuel Tax or Subsidy Rate by Fuel</v>
      </c>
      <c r="D1760" s="6" t="s">
        <v>51</v>
      </c>
      <c r="E1760" s="45" t="s">
        <v>3771</v>
      </c>
      <c r="F1760" s="6" t="s">
        <v>92</v>
      </c>
      <c r="G1760" s="45" t="s">
        <v>2428</v>
      </c>
      <c r="H1760" s="43">
        <v>2403</v>
      </c>
      <c r="I1760" s="324" t="s">
        <v>44</v>
      </c>
      <c r="J1760" s="255" t="str">
        <f>IF(ISBLANK(INDEX('Policy Characteristics'!D:D,MATCH($C1760,'Policy Characteristics'!$C:$C,0))),"",INDEX('Policy Characteristics'!D:D,MATCH($C1760,'Policy Characteristics'!$C:$C,0)))</f>
        <v>Fuel Taxes or Subsidies</v>
      </c>
      <c r="K1760" s="254" t="str">
        <f>IF(ISBLANK(INDEX('Policy Characteristics'!E:E,MATCH($C1760,'Policy Characteristics'!$C:$C,0))),"",INDEX('Policy Characteristics'!E:E,MATCH($C1760,'Policy Characteristics'!$C:$C,0)))</f>
        <v>cross fuel tax</v>
      </c>
      <c r="L1760" s="261">
        <f>IF(ISBLANK(INDEX('Policy Characteristics'!F:F,MATCH($C1760,'Policy Characteristics'!$C:$C,0))),"",INDEX('Policy Characteristics'!F:F,MATCH($C1760,'Policy Characteristics'!$C:$C,0)))</f>
        <v>-0.9</v>
      </c>
      <c r="M1760" s="261">
        <f>IF(ISBLANK(INDEX('Policy Characteristics'!G:G,MATCH($C1760,'Policy Characteristics'!$C:$C,0))),"",INDEX('Policy Characteristics'!G:G,MATCH($C1760,'Policy Characteristics'!$C:$C,0)))</f>
        <v>0.9</v>
      </c>
      <c r="N1760" s="261">
        <f>IF(ISBLANK(INDEX('Policy Characteristics'!H:H,MATCH($C1760,'Policy Characteristics'!$C:$C,0))),"",INDEX('Policy Characteristics'!H:H,MATCH($C1760,'Policy Characteristics'!$C:$C,0)))</f>
        <v>0.01</v>
      </c>
      <c r="O1760" s="254" t="str">
        <f>IF(ISBLANK(INDEX('Policy Characteristics'!I:I,MATCH($C1760,'Policy Characteristics'!$C:$C,0))),"",INDEX('Policy Characteristics'!I:I,MATCH($C1760,'Policy Characteristics'!$C:$C,0)))</f>
        <v>% of BAU price</v>
      </c>
      <c r="P1760" s="254"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4" t="str">
        <f>IF(ISBLANK(INDEX('Policy Characteristics'!K:K,MATCH($C1760,'Policy Characteristics'!$C:$C,0))),"",INDEX('Policy Characteristics'!K:K,MATCH($C1760,'Policy Characteristics'!$C:$C,0)))</f>
        <v>fuels.html#fuel-taxes</v>
      </c>
      <c r="R1760" s="254" t="str">
        <f>IF(ISBLANK(INDEX('Policy Characteristics'!L:L,MATCH($C1760,'Policy Characteristics'!$C:$C,0))),"",INDEX('Policy Characteristics'!L:L,MATCH($C1760,'Policy Characteristics'!$C:$C,0)))</f>
        <v>fuel-taxes.html</v>
      </c>
    </row>
    <row r="1761" spans="1:18" s="4" customFormat="1" x14ac:dyDescent="0.3">
      <c r="A1761" s="254" t="str">
        <f>IF(ISBLANK(INDEX('Policy Characteristics'!A:A,MATCH($C1761,'Policy Characteristics'!$C:$C,0))),"",INDEX('Policy Characteristics'!A:A,MATCH($C1761,'Policy Characteristics'!$C:$C,0)))</f>
        <v>Cross-Sector</v>
      </c>
      <c r="B1761" s="262" t="str">
        <f>IF(ISBLANK(INDEX('Policy Characteristics'!B:B,MATCH($C1761,'Policy Characteristics'!$C:$C,0))),"",INDEX('Policy Characteristics'!B:B,MATCH($C1761,'Policy Characteristics'!$C:$C,0)))</f>
        <v>Fuel Taxes or Subsidies</v>
      </c>
      <c r="C1761" s="320" t="str">
        <f t="shared" si="67"/>
        <v>Additional Fuel Tax or Subsidy Rate by Fuel</v>
      </c>
      <c r="D1761" s="6" t="s">
        <v>53</v>
      </c>
      <c r="E1761" s="45" t="s">
        <v>3771</v>
      </c>
      <c r="F1761" s="6" t="s">
        <v>95</v>
      </c>
      <c r="G1761" s="45" t="s">
        <v>2428</v>
      </c>
      <c r="H1761" s="43">
        <v>2404</v>
      </c>
      <c r="I1761" s="324" t="s">
        <v>44</v>
      </c>
      <c r="J1761" s="255" t="str">
        <f>IF(ISBLANK(INDEX('Policy Characteristics'!D:D,MATCH($C1761,'Policy Characteristics'!$C:$C,0))),"",INDEX('Policy Characteristics'!D:D,MATCH($C1761,'Policy Characteristics'!$C:$C,0)))</f>
        <v>Fuel Taxes or Subsidies</v>
      </c>
      <c r="K1761" s="254" t="str">
        <f>IF(ISBLANK(INDEX('Policy Characteristics'!E:E,MATCH($C1761,'Policy Characteristics'!$C:$C,0))),"",INDEX('Policy Characteristics'!E:E,MATCH($C1761,'Policy Characteristics'!$C:$C,0)))</f>
        <v>cross fuel tax</v>
      </c>
      <c r="L1761" s="261">
        <f>IF(ISBLANK(INDEX('Policy Characteristics'!F:F,MATCH($C1761,'Policy Characteristics'!$C:$C,0))),"",INDEX('Policy Characteristics'!F:F,MATCH($C1761,'Policy Characteristics'!$C:$C,0)))</f>
        <v>-0.9</v>
      </c>
      <c r="M1761" s="261">
        <f>IF(ISBLANK(INDEX('Policy Characteristics'!G:G,MATCH($C1761,'Policy Characteristics'!$C:$C,0))),"",INDEX('Policy Characteristics'!G:G,MATCH($C1761,'Policy Characteristics'!$C:$C,0)))</f>
        <v>0.9</v>
      </c>
      <c r="N1761" s="261">
        <f>IF(ISBLANK(INDEX('Policy Characteristics'!H:H,MATCH($C1761,'Policy Characteristics'!$C:$C,0))),"",INDEX('Policy Characteristics'!H:H,MATCH($C1761,'Policy Characteristics'!$C:$C,0)))</f>
        <v>0.01</v>
      </c>
      <c r="O1761" s="254" t="str">
        <f>IF(ISBLANK(INDEX('Policy Characteristics'!I:I,MATCH($C1761,'Policy Characteristics'!$C:$C,0))),"",INDEX('Policy Characteristics'!I:I,MATCH($C1761,'Policy Characteristics'!$C:$C,0)))</f>
        <v>% of BAU price</v>
      </c>
      <c r="P1761" s="254"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4" t="str">
        <f>IF(ISBLANK(INDEX('Policy Characteristics'!K:K,MATCH($C1761,'Policy Characteristics'!$C:$C,0))),"",INDEX('Policy Characteristics'!K:K,MATCH($C1761,'Policy Characteristics'!$C:$C,0)))</f>
        <v>fuels.html#fuel-taxes</v>
      </c>
      <c r="R1761" s="254" t="str">
        <f>IF(ISBLANK(INDEX('Policy Characteristics'!L:L,MATCH($C1761,'Policy Characteristics'!$C:$C,0))),"",INDEX('Policy Characteristics'!L:L,MATCH($C1761,'Policy Characteristics'!$C:$C,0)))</f>
        <v>fuel-taxes.html</v>
      </c>
    </row>
    <row r="1762" spans="1:18" s="4" customFormat="1" x14ac:dyDescent="0.3">
      <c r="A1762" s="254" t="str">
        <f>IF(ISBLANK(INDEX('Policy Characteristics'!A:A,MATCH($C1762,'Policy Characteristics'!$C:$C,0))),"",INDEX('Policy Characteristics'!A:A,MATCH($C1762,'Policy Characteristics'!$C:$C,0)))</f>
        <v>Cross-Sector</v>
      </c>
      <c r="B1762" s="262" t="str">
        <f>IF(ISBLANK(INDEX('Policy Characteristics'!B:B,MATCH($C1762,'Policy Characteristics'!$C:$C,0))),"",INDEX('Policy Characteristics'!B:B,MATCH($C1762,'Policy Characteristics'!$C:$C,0)))</f>
        <v>Fuel Taxes or Subsidies</v>
      </c>
      <c r="C1762" s="320" t="str">
        <f t="shared" si="67"/>
        <v>Additional Fuel Tax or Subsidy Rate by Fuel</v>
      </c>
      <c r="D1762" s="6" t="s">
        <v>54</v>
      </c>
      <c r="E1762" s="45" t="s">
        <v>3771</v>
      </c>
      <c r="F1762" s="6" t="s">
        <v>96</v>
      </c>
      <c r="G1762" s="45" t="s">
        <v>2428</v>
      </c>
      <c r="H1762" s="43">
        <v>2405</v>
      </c>
      <c r="I1762" s="324" t="s">
        <v>44</v>
      </c>
      <c r="J1762" s="255" t="str">
        <f>IF(ISBLANK(INDEX('Policy Characteristics'!D:D,MATCH($C1762,'Policy Characteristics'!$C:$C,0))),"",INDEX('Policy Characteristics'!D:D,MATCH($C1762,'Policy Characteristics'!$C:$C,0)))</f>
        <v>Fuel Taxes or Subsidies</v>
      </c>
      <c r="K1762" s="254" t="str">
        <f>IF(ISBLANK(INDEX('Policy Characteristics'!E:E,MATCH($C1762,'Policy Characteristics'!$C:$C,0))),"",INDEX('Policy Characteristics'!E:E,MATCH($C1762,'Policy Characteristics'!$C:$C,0)))</f>
        <v>cross fuel tax</v>
      </c>
      <c r="L1762" s="261">
        <f>IF(ISBLANK(INDEX('Policy Characteristics'!F:F,MATCH($C1762,'Policy Characteristics'!$C:$C,0))),"",INDEX('Policy Characteristics'!F:F,MATCH($C1762,'Policy Characteristics'!$C:$C,0)))</f>
        <v>-0.9</v>
      </c>
      <c r="M1762" s="261">
        <f>IF(ISBLANK(INDEX('Policy Characteristics'!G:G,MATCH($C1762,'Policy Characteristics'!$C:$C,0))),"",INDEX('Policy Characteristics'!G:G,MATCH($C1762,'Policy Characteristics'!$C:$C,0)))</f>
        <v>0.9</v>
      </c>
      <c r="N1762" s="261">
        <f>IF(ISBLANK(INDEX('Policy Characteristics'!H:H,MATCH($C1762,'Policy Characteristics'!$C:$C,0))),"",INDEX('Policy Characteristics'!H:H,MATCH($C1762,'Policy Characteristics'!$C:$C,0)))</f>
        <v>0.01</v>
      </c>
      <c r="O1762" s="254" t="str">
        <f>IF(ISBLANK(INDEX('Policy Characteristics'!I:I,MATCH($C1762,'Policy Characteristics'!$C:$C,0))),"",INDEX('Policy Characteristics'!I:I,MATCH($C1762,'Policy Characteristics'!$C:$C,0)))</f>
        <v>% of BAU price</v>
      </c>
      <c r="P1762" s="254"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4" t="str">
        <f>IF(ISBLANK(INDEX('Policy Characteristics'!K:K,MATCH($C1762,'Policy Characteristics'!$C:$C,0))),"",INDEX('Policy Characteristics'!K:K,MATCH($C1762,'Policy Characteristics'!$C:$C,0)))</f>
        <v>fuels.html#fuel-taxes</v>
      </c>
      <c r="R1762" s="254" t="str">
        <f>IF(ISBLANK(INDEX('Policy Characteristics'!L:L,MATCH($C1762,'Policy Characteristics'!$C:$C,0))),"",INDEX('Policy Characteristics'!L:L,MATCH($C1762,'Policy Characteristics'!$C:$C,0)))</f>
        <v>fuel-taxes.html</v>
      </c>
    </row>
    <row r="1763" spans="1:18" s="4" customFormat="1" x14ac:dyDescent="0.3">
      <c r="A1763" s="254" t="str">
        <f>IF(ISBLANK(INDEX('Policy Characteristics'!A:A,MATCH($C1763,'Policy Characteristics'!$C:$C,0))),"",INDEX('Policy Characteristics'!A:A,MATCH($C1763,'Policy Characteristics'!$C:$C,0)))</f>
        <v>Cross-Sector</v>
      </c>
      <c r="B1763" s="262" t="str">
        <f>IF(ISBLANK(INDEX('Policy Characteristics'!B:B,MATCH($C1763,'Policy Characteristics'!$C:$C,0))),"",INDEX('Policy Characteristics'!B:B,MATCH($C1763,'Policy Characteristics'!$C:$C,0)))</f>
        <v>Fuel Taxes or Subsidies</v>
      </c>
      <c r="C1763" s="320" t="str">
        <f t="shared" si="67"/>
        <v>Additional Fuel Tax or Subsidy Rate by Fuel</v>
      </c>
      <c r="D1763" s="6" t="s">
        <v>55</v>
      </c>
      <c r="E1763" s="45" t="s">
        <v>3771</v>
      </c>
      <c r="F1763" s="6" t="s">
        <v>97</v>
      </c>
      <c r="G1763" s="45" t="s">
        <v>2428</v>
      </c>
      <c r="H1763" s="43">
        <v>2406</v>
      </c>
      <c r="I1763" s="324" t="s">
        <v>44</v>
      </c>
      <c r="J1763" s="255" t="str">
        <f>IF(ISBLANK(INDEX('Policy Characteristics'!D:D,MATCH($C1763,'Policy Characteristics'!$C:$C,0))),"",INDEX('Policy Characteristics'!D:D,MATCH($C1763,'Policy Characteristics'!$C:$C,0)))</f>
        <v>Fuel Taxes or Subsidies</v>
      </c>
      <c r="K1763" s="254" t="str">
        <f>IF(ISBLANK(INDEX('Policy Characteristics'!E:E,MATCH($C1763,'Policy Characteristics'!$C:$C,0))),"",INDEX('Policy Characteristics'!E:E,MATCH($C1763,'Policy Characteristics'!$C:$C,0)))</f>
        <v>cross fuel tax</v>
      </c>
      <c r="L1763" s="261">
        <f>IF(ISBLANK(INDEX('Policy Characteristics'!F:F,MATCH($C1763,'Policy Characteristics'!$C:$C,0))),"",INDEX('Policy Characteristics'!F:F,MATCH($C1763,'Policy Characteristics'!$C:$C,0)))</f>
        <v>-0.9</v>
      </c>
      <c r="M1763" s="261">
        <f>IF(ISBLANK(INDEX('Policy Characteristics'!G:G,MATCH($C1763,'Policy Characteristics'!$C:$C,0))),"",INDEX('Policy Characteristics'!G:G,MATCH($C1763,'Policy Characteristics'!$C:$C,0)))</f>
        <v>0.9</v>
      </c>
      <c r="N1763" s="261">
        <f>IF(ISBLANK(INDEX('Policy Characteristics'!H:H,MATCH($C1763,'Policy Characteristics'!$C:$C,0))),"",INDEX('Policy Characteristics'!H:H,MATCH($C1763,'Policy Characteristics'!$C:$C,0)))</f>
        <v>0.01</v>
      </c>
      <c r="O1763" s="254" t="str">
        <f>IF(ISBLANK(INDEX('Policy Characteristics'!I:I,MATCH($C1763,'Policy Characteristics'!$C:$C,0))),"",INDEX('Policy Characteristics'!I:I,MATCH($C1763,'Policy Characteristics'!$C:$C,0)))</f>
        <v>% of BAU price</v>
      </c>
      <c r="P1763" s="254"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4" t="str">
        <f>IF(ISBLANK(INDEX('Policy Characteristics'!K:K,MATCH($C1763,'Policy Characteristics'!$C:$C,0))),"",INDEX('Policy Characteristics'!K:K,MATCH($C1763,'Policy Characteristics'!$C:$C,0)))</f>
        <v>fuels.html#fuel-taxes</v>
      </c>
      <c r="R1763" s="254" t="str">
        <f>IF(ISBLANK(INDEX('Policy Characteristics'!L:L,MATCH($C1763,'Policy Characteristics'!$C:$C,0))),"",INDEX('Policy Characteristics'!L:L,MATCH($C1763,'Policy Characteristics'!$C:$C,0)))</f>
        <v>fuel-taxes.html</v>
      </c>
    </row>
    <row r="1764" spans="1:18" s="4" customFormat="1" x14ac:dyDescent="0.3">
      <c r="A1764" s="254" t="str">
        <f>IF(ISBLANK(INDEX('Policy Characteristics'!A:A,MATCH($C1764,'Policy Characteristics'!$C:$C,0))),"",INDEX('Policy Characteristics'!A:A,MATCH($C1764,'Policy Characteristics'!$C:$C,0)))</f>
        <v>Cross-Sector</v>
      </c>
      <c r="B1764" s="262" t="str">
        <f>IF(ISBLANK(INDEX('Policy Characteristics'!B:B,MATCH($C1764,'Policy Characteristics'!$C:$C,0))),"",INDEX('Policy Characteristics'!B:B,MATCH($C1764,'Policy Characteristics'!$C:$C,0)))</f>
        <v>Fuel Taxes or Subsidies</v>
      </c>
      <c r="C1764" s="320" t="str">
        <f t="shared" si="67"/>
        <v>Additional Fuel Tax or Subsidy Rate by Fuel</v>
      </c>
      <c r="D1764" s="6" t="s">
        <v>56</v>
      </c>
      <c r="E1764" s="45" t="s">
        <v>3771</v>
      </c>
      <c r="F1764" s="6" t="s">
        <v>98</v>
      </c>
      <c r="G1764" s="45" t="s">
        <v>2428</v>
      </c>
      <c r="H1764" s="43">
        <v>2407</v>
      </c>
      <c r="I1764" s="324" t="s">
        <v>44</v>
      </c>
      <c r="J1764" s="255" t="str">
        <f>IF(ISBLANK(INDEX('Policy Characteristics'!D:D,MATCH($C1764,'Policy Characteristics'!$C:$C,0))),"",INDEX('Policy Characteristics'!D:D,MATCH($C1764,'Policy Characteristics'!$C:$C,0)))</f>
        <v>Fuel Taxes or Subsidies</v>
      </c>
      <c r="K1764" s="254" t="str">
        <f>IF(ISBLANK(INDEX('Policy Characteristics'!E:E,MATCH($C1764,'Policy Characteristics'!$C:$C,0))),"",INDEX('Policy Characteristics'!E:E,MATCH($C1764,'Policy Characteristics'!$C:$C,0)))</f>
        <v>cross fuel tax</v>
      </c>
      <c r="L1764" s="261">
        <f>IF(ISBLANK(INDEX('Policy Characteristics'!F:F,MATCH($C1764,'Policy Characteristics'!$C:$C,0))),"",INDEX('Policy Characteristics'!F:F,MATCH($C1764,'Policy Characteristics'!$C:$C,0)))</f>
        <v>-0.9</v>
      </c>
      <c r="M1764" s="261">
        <f>IF(ISBLANK(INDEX('Policy Characteristics'!G:G,MATCH($C1764,'Policy Characteristics'!$C:$C,0))),"",INDEX('Policy Characteristics'!G:G,MATCH($C1764,'Policy Characteristics'!$C:$C,0)))</f>
        <v>0.9</v>
      </c>
      <c r="N1764" s="261">
        <f>IF(ISBLANK(INDEX('Policy Characteristics'!H:H,MATCH($C1764,'Policy Characteristics'!$C:$C,0))),"",INDEX('Policy Characteristics'!H:H,MATCH($C1764,'Policy Characteristics'!$C:$C,0)))</f>
        <v>0.01</v>
      </c>
      <c r="O1764" s="254" t="str">
        <f>IF(ISBLANK(INDEX('Policy Characteristics'!I:I,MATCH($C1764,'Policy Characteristics'!$C:$C,0))),"",INDEX('Policy Characteristics'!I:I,MATCH($C1764,'Policy Characteristics'!$C:$C,0)))</f>
        <v>% of BAU price</v>
      </c>
      <c r="P1764" s="254"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4" t="str">
        <f>IF(ISBLANK(INDEX('Policy Characteristics'!K:K,MATCH($C1764,'Policy Characteristics'!$C:$C,0))),"",INDEX('Policy Characteristics'!K:K,MATCH($C1764,'Policy Characteristics'!$C:$C,0)))</f>
        <v>fuels.html#fuel-taxes</v>
      </c>
      <c r="R1764" s="254" t="str">
        <f>IF(ISBLANK(INDEX('Policy Characteristics'!L:L,MATCH($C1764,'Policy Characteristics'!$C:$C,0))),"",INDEX('Policy Characteristics'!L:L,MATCH($C1764,'Policy Characteristics'!$C:$C,0)))</f>
        <v>fuel-taxes.html</v>
      </c>
    </row>
    <row r="1765" spans="1:18" x14ac:dyDescent="0.3">
      <c r="A1765" s="254" t="str">
        <f>IF(ISBLANK(INDEX('Policy Characteristics'!A:A,MATCH($C1765,'Policy Characteristics'!$C:$C,0))),"",INDEX('Policy Characteristics'!A:A,MATCH($C1765,'Policy Characteristics'!$C:$C,0)))</f>
        <v>Cross-Sector</v>
      </c>
      <c r="B1765" s="262" t="str">
        <f>IF(ISBLANK(INDEX('Policy Characteristics'!B:B,MATCH($C1765,'Policy Characteristics'!$C:$C,0))),"",INDEX('Policy Characteristics'!B:B,MATCH($C1765,'Policy Characteristics'!$C:$C,0)))</f>
        <v>Fuel Taxes or Subsidies</v>
      </c>
      <c r="C1765" s="320" t="str">
        <f t="shared" si="67"/>
        <v>Additional Fuel Tax or Subsidy Rate by Fuel</v>
      </c>
      <c r="D1765" s="6" t="s">
        <v>2473</v>
      </c>
      <c r="E1765" s="45" t="s">
        <v>3771</v>
      </c>
      <c r="F1765" s="6" t="s">
        <v>2474</v>
      </c>
      <c r="G1765" s="45" t="s">
        <v>2428</v>
      </c>
      <c r="H1765" s="43">
        <v>2408</v>
      </c>
      <c r="I1765" s="324" t="s">
        <v>44</v>
      </c>
      <c r="J1765" s="255" t="str">
        <f>IF(ISBLANK(INDEX('Policy Characteristics'!D:D,MATCH($C1765,'Policy Characteristics'!$C:$C,0))),"",INDEX('Policy Characteristics'!D:D,MATCH($C1765,'Policy Characteristics'!$C:$C,0)))</f>
        <v>Fuel Taxes or Subsidies</v>
      </c>
      <c r="K1765" s="254" t="str">
        <f>IF(ISBLANK(INDEX('Policy Characteristics'!E:E,MATCH($C1765,'Policy Characteristics'!$C:$C,0))),"",INDEX('Policy Characteristics'!E:E,MATCH($C1765,'Policy Characteristics'!$C:$C,0)))</f>
        <v>cross fuel tax</v>
      </c>
      <c r="L1765" s="261">
        <f>IF(ISBLANK(INDEX('Policy Characteristics'!F:F,MATCH($C1765,'Policy Characteristics'!$C:$C,0))),"",INDEX('Policy Characteristics'!F:F,MATCH($C1765,'Policy Characteristics'!$C:$C,0)))</f>
        <v>-0.9</v>
      </c>
      <c r="M1765" s="261">
        <f>IF(ISBLANK(INDEX('Policy Characteristics'!G:G,MATCH($C1765,'Policy Characteristics'!$C:$C,0))),"",INDEX('Policy Characteristics'!G:G,MATCH($C1765,'Policy Characteristics'!$C:$C,0)))</f>
        <v>0.9</v>
      </c>
      <c r="N1765" s="261">
        <f>IF(ISBLANK(INDEX('Policy Characteristics'!H:H,MATCH($C1765,'Policy Characteristics'!$C:$C,0))),"",INDEX('Policy Characteristics'!H:H,MATCH($C1765,'Policy Characteristics'!$C:$C,0)))</f>
        <v>0.01</v>
      </c>
      <c r="O1765" s="254" t="str">
        <f>IF(ISBLANK(INDEX('Policy Characteristics'!I:I,MATCH($C1765,'Policy Characteristics'!$C:$C,0))),"",INDEX('Policy Characteristics'!I:I,MATCH($C1765,'Policy Characteristics'!$C:$C,0)))</f>
        <v>% of BAU price</v>
      </c>
      <c r="P1765" s="254"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4" t="str">
        <f>IF(ISBLANK(INDEX('Policy Characteristics'!K:K,MATCH($C1765,'Policy Characteristics'!$C:$C,0))),"",INDEX('Policy Characteristics'!K:K,MATCH($C1765,'Policy Characteristics'!$C:$C,0)))</f>
        <v>fuels.html#fuel-taxes</v>
      </c>
      <c r="R1765" s="254" t="str">
        <f>IF(ISBLANK(INDEX('Policy Characteristics'!L:L,MATCH($C1765,'Policy Characteristics'!$C:$C,0))),"",INDEX('Policy Characteristics'!L:L,MATCH($C1765,'Policy Characteristics'!$C:$C,0)))</f>
        <v>fuel-taxes.html</v>
      </c>
    </row>
    <row r="1766" spans="1:18" x14ac:dyDescent="0.3">
      <c r="A1766" s="254" t="str">
        <f>IF(ISBLANK(INDEX('Policy Characteristics'!A:A,MATCH($C1766,'Policy Characteristics'!$C:$C,0))),"",INDEX('Policy Characteristics'!A:A,MATCH($C1766,'Policy Characteristics'!$C:$C,0)))</f>
        <v>Cross-Sector</v>
      </c>
      <c r="B1766" s="262" t="str">
        <f>IF(ISBLANK(INDEX('Policy Characteristics'!B:B,MATCH($C1766,'Policy Characteristics'!$C:$C,0))),"",INDEX('Policy Characteristics'!B:B,MATCH($C1766,'Policy Characteristics'!$C:$C,0)))</f>
        <v>Fuel Taxes or Subsidies</v>
      </c>
      <c r="C1766" s="320" t="str">
        <f t="shared" si="67"/>
        <v>Additional Fuel Tax or Subsidy Rate by Fuel</v>
      </c>
      <c r="D1766" s="6" t="s">
        <v>75</v>
      </c>
      <c r="E1766" s="45" t="s">
        <v>3771</v>
      </c>
      <c r="F1766" s="6" t="s">
        <v>99</v>
      </c>
      <c r="G1766" s="45" t="s">
        <v>2428</v>
      </c>
      <c r="H1766" s="43">
        <v>2409</v>
      </c>
      <c r="I1766" s="324" t="s">
        <v>44</v>
      </c>
      <c r="J1766" s="255" t="str">
        <f>IF(ISBLANK(INDEX('Policy Characteristics'!D:D,MATCH($C1766,'Policy Characteristics'!$C:$C,0))),"",INDEX('Policy Characteristics'!D:D,MATCH($C1766,'Policy Characteristics'!$C:$C,0)))</f>
        <v>Fuel Taxes or Subsidies</v>
      </c>
      <c r="K1766" s="254" t="str">
        <f>IF(ISBLANK(INDEX('Policy Characteristics'!E:E,MATCH($C1766,'Policy Characteristics'!$C:$C,0))),"",INDEX('Policy Characteristics'!E:E,MATCH($C1766,'Policy Characteristics'!$C:$C,0)))</f>
        <v>cross fuel tax</v>
      </c>
      <c r="L1766" s="261">
        <f>IF(ISBLANK(INDEX('Policy Characteristics'!F:F,MATCH($C1766,'Policy Characteristics'!$C:$C,0))),"",INDEX('Policy Characteristics'!F:F,MATCH($C1766,'Policy Characteristics'!$C:$C,0)))</f>
        <v>-0.9</v>
      </c>
      <c r="M1766" s="261">
        <f>IF(ISBLANK(INDEX('Policy Characteristics'!G:G,MATCH($C1766,'Policy Characteristics'!$C:$C,0))),"",INDEX('Policy Characteristics'!G:G,MATCH($C1766,'Policy Characteristics'!$C:$C,0)))</f>
        <v>0.9</v>
      </c>
      <c r="N1766" s="261">
        <f>IF(ISBLANK(INDEX('Policy Characteristics'!H:H,MATCH($C1766,'Policy Characteristics'!$C:$C,0))),"",INDEX('Policy Characteristics'!H:H,MATCH($C1766,'Policy Characteristics'!$C:$C,0)))</f>
        <v>0.01</v>
      </c>
      <c r="O1766" s="254" t="str">
        <f>IF(ISBLANK(INDEX('Policy Characteristics'!I:I,MATCH($C1766,'Policy Characteristics'!$C:$C,0))),"",INDEX('Policy Characteristics'!I:I,MATCH($C1766,'Policy Characteristics'!$C:$C,0)))</f>
        <v>% of BAU price</v>
      </c>
      <c r="P1766" s="254"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4" t="str">
        <f>IF(ISBLANK(INDEX('Policy Characteristics'!K:K,MATCH($C1766,'Policy Characteristics'!$C:$C,0))),"",INDEX('Policy Characteristics'!K:K,MATCH($C1766,'Policy Characteristics'!$C:$C,0)))</f>
        <v>fuels.html#fuel-taxes</v>
      </c>
      <c r="R1766" s="254" t="str">
        <f>IF(ISBLANK(INDEX('Policy Characteristics'!L:L,MATCH($C1766,'Policy Characteristics'!$C:$C,0))),"",INDEX('Policy Characteristics'!L:L,MATCH($C1766,'Policy Characteristics'!$C:$C,0)))</f>
        <v>fuel-taxes.html</v>
      </c>
    </row>
    <row r="1767" spans="1:18" x14ac:dyDescent="0.3">
      <c r="A1767" s="254" t="str">
        <f>IF(ISBLANK(INDEX('Policy Characteristics'!A:A,MATCH($C1767,'Policy Characteristics'!$C:$C,0))),"",INDEX('Policy Characteristics'!A:A,MATCH($C1767,'Policy Characteristics'!$C:$C,0)))</f>
        <v>Cross-Sector</v>
      </c>
      <c r="B1767" s="262" t="str">
        <f>IF(ISBLANK(INDEX('Policy Characteristics'!B:B,MATCH($C1767,'Policy Characteristics'!$C:$C,0))),"",INDEX('Policy Characteristics'!B:B,MATCH($C1767,'Policy Characteristics'!$C:$C,0)))</f>
        <v>Fuel Taxes or Subsidies</v>
      </c>
      <c r="C1767" s="320" t="str">
        <f t="shared" si="67"/>
        <v>Additional Fuel Tax or Subsidy Rate by Fuel</v>
      </c>
      <c r="D1767" s="6" t="s">
        <v>442</v>
      </c>
      <c r="E1767" s="45" t="s">
        <v>3771</v>
      </c>
      <c r="F1767" s="6" t="s">
        <v>443</v>
      </c>
      <c r="G1767" s="45" t="s">
        <v>2428</v>
      </c>
      <c r="H1767" s="43">
        <v>2410</v>
      </c>
      <c r="I1767" s="324" t="s">
        <v>44</v>
      </c>
      <c r="J1767" s="255" t="str">
        <f>IF(ISBLANK(INDEX('Policy Characteristics'!D:D,MATCH($C1767,'Policy Characteristics'!$C:$C,0))),"",INDEX('Policy Characteristics'!D:D,MATCH($C1767,'Policy Characteristics'!$C:$C,0)))</f>
        <v>Fuel Taxes or Subsidies</v>
      </c>
      <c r="K1767" s="254" t="str">
        <f>IF(ISBLANK(INDEX('Policy Characteristics'!E:E,MATCH($C1767,'Policy Characteristics'!$C:$C,0))),"",INDEX('Policy Characteristics'!E:E,MATCH($C1767,'Policy Characteristics'!$C:$C,0)))</f>
        <v>cross fuel tax</v>
      </c>
      <c r="L1767" s="261">
        <f>IF(ISBLANK(INDEX('Policy Characteristics'!F:F,MATCH($C1767,'Policy Characteristics'!$C:$C,0))),"",INDEX('Policy Characteristics'!F:F,MATCH($C1767,'Policy Characteristics'!$C:$C,0)))</f>
        <v>-0.9</v>
      </c>
      <c r="M1767" s="261">
        <f>IF(ISBLANK(INDEX('Policy Characteristics'!G:G,MATCH($C1767,'Policy Characteristics'!$C:$C,0))),"",INDEX('Policy Characteristics'!G:G,MATCH($C1767,'Policy Characteristics'!$C:$C,0)))</f>
        <v>0.9</v>
      </c>
      <c r="N1767" s="261">
        <f>IF(ISBLANK(INDEX('Policy Characteristics'!H:H,MATCH($C1767,'Policy Characteristics'!$C:$C,0))),"",INDEX('Policy Characteristics'!H:H,MATCH($C1767,'Policy Characteristics'!$C:$C,0)))</f>
        <v>0.01</v>
      </c>
      <c r="O1767" s="254" t="str">
        <f>IF(ISBLANK(INDEX('Policy Characteristics'!I:I,MATCH($C1767,'Policy Characteristics'!$C:$C,0))),"",INDEX('Policy Characteristics'!I:I,MATCH($C1767,'Policy Characteristics'!$C:$C,0)))</f>
        <v>% of BAU price</v>
      </c>
      <c r="P1767" s="254"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4" t="str">
        <f>IF(ISBLANK(INDEX('Policy Characteristics'!K:K,MATCH($C1767,'Policy Characteristics'!$C:$C,0))),"",INDEX('Policy Characteristics'!K:K,MATCH($C1767,'Policy Characteristics'!$C:$C,0)))</f>
        <v>fuels.html#fuel-taxes</v>
      </c>
      <c r="R1767" s="254" t="str">
        <f>IF(ISBLANK(INDEX('Policy Characteristics'!L:L,MATCH($C1767,'Policy Characteristics'!$C:$C,0))),"",INDEX('Policy Characteristics'!L:L,MATCH($C1767,'Policy Characteristics'!$C:$C,0)))</f>
        <v>fuel-taxes.html</v>
      </c>
    </row>
    <row r="1768" spans="1:18" x14ac:dyDescent="0.3">
      <c r="A1768" s="254" t="str">
        <f>IF(ISBLANK(INDEX('Policy Characteristics'!A:A,MATCH($C1768,'Policy Characteristics'!$C:$C,0))),"",INDEX('Policy Characteristics'!A:A,MATCH($C1768,'Policy Characteristics'!$C:$C,0)))</f>
        <v>Cross-Sector</v>
      </c>
      <c r="B1768" s="262" t="str">
        <f>IF(ISBLANK(INDEX('Policy Characteristics'!B:B,MATCH($C1768,'Policy Characteristics'!$C:$C,0))),"",INDEX('Policy Characteristics'!B:B,MATCH($C1768,'Policy Characteristics'!$C:$C,0)))</f>
        <v>Fuel Taxes or Subsidies</v>
      </c>
      <c r="C1768" s="320" t="str">
        <f t="shared" si="67"/>
        <v>Additional Fuel Tax or Subsidy Rate by Fuel</v>
      </c>
      <c r="D1768" s="6" t="s">
        <v>2465</v>
      </c>
      <c r="E1768" s="45" t="s">
        <v>3771</v>
      </c>
      <c r="F1768" s="6" t="s">
        <v>2469</v>
      </c>
      <c r="G1768" s="45" t="s">
        <v>2428</v>
      </c>
      <c r="H1768" s="43">
        <v>2411</v>
      </c>
      <c r="I1768" s="324" t="s">
        <v>44</v>
      </c>
      <c r="J1768" s="255" t="str">
        <f>IF(ISBLANK(INDEX('Policy Characteristics'!D:D,MATCH($C1768,'Policy Characteristics'!$C:$C,0))),"",INDEX('Policy Characteristics'!D:D,MATCH($C1768,'Policy Characteristics'!$C:$C,0)))</f>
        <v>Fuel Taxes or Subsidies</v>
      </c>
      <c r="K1768" s="254" t="str">
        <f>IF(ISBLANK(INDEX('Policy Characteristics'!E:E,MATCH($C1768,'Policy Characteristics'!$C:$C,0))),"",INDEX('Policy Characteristics'!E:E,MATCH($C1768,'Policy Characteristics'!$C:$C,0)))</f>
        <v>cross fuel tax</v>
      </c>
      <c r="L1768" s="261">
        <f>IF(ISBLANK(INDEX('Policy Characteristics'!F:F,MATCH($C1768,'Policy Characteristics'!$C:$C,0))),"",INDEX('Policy Characteristics'!F:F,MATCH($C1768,'Policy Characteristics'!$C:$C,0)))</f>
        <v>-0.9</v>
      </c>
      <c r="M1768" s="261">
        <f>IF(ISBLANK(INDEX('Policy Characteristics'!G:G,MATCH($C1768,'Policy Characteristics'!$C:$C,0))),"",INDEX('Policy Characteristics'!G:G,MATCH($C1768,'Policy Characteristics'!$C:$C,0)))</f>
        <v>0.9</v>
      </c>
      <c r="N1768" s="261">
        <f>IF(ISBLANK(INDEX('Policy Characteristics'!H:H,MATCH($C1768,'Policy Characteristics'!$C:$C,0))),"",INDEX('Policy Characteristics'!H:H,MATCH($C1768,'Policy Characteristics'!$C:$C,0)))</f>
        <v>0.01</v>
      </c>
      <c r="O1768" s="254" t="str">
        <f>IF(ISBLANK(INDEX('Policy Characteristics'!I:I,MATCH($C1768,'Policy Characteristics'!$C:$C,0))),"",INDEX('Policy Characteristics'!I:I,MATCH($C1768,'Policy Characteristics'!$C:$C,0)))</f>
        <v>% of BAU price</v>
      </c>
      <c r="P1768" s="254"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4" t="str">
        <f>IF(ISBLANK(INDEX('Policy Characteristics'!K:K,MATCH($C1768,'Policy Characteristics'!$C:$C,0))),"",INDEX('Policy Characteristics'!K:K,MATCH($C1768,'Policy Characteristics'!$C:$C,0)))</f>
        <v>fuels.html#fuel-taxes</v>
      </c>
      <c r="R1768" s="254" t="str">
        <f>IF(ISBLANK(INDEX('Policy Characteristics'!L:L,MATCH($C1768,'Policy Characteristics'!$C:$C,0))),"",INDEX('Policy Characteristics'!L:L,MATCH($C1768,'Policy Characteristics'!$C:$C,0)))</f>
        <v>fuel-taxes.html</v>
      </c>
    </row>
    <row r="1769" spans="1:18" x14ac:dyDescent="0.3">
      <c r="A1769" s="254" t="str">
        <f>IF(ISBLANK(INDEX('Policy Characteristics'!A:A,MATCH($C1769,'Policy Characteristics'!$C:$C,0))),"",INDEX('Policy Characteristics'!A:A,MATCH($C1769,'Policy Characteristics'!$C:$C,0)))</f>
        <v>Cross-Sector</v>
      </c>
      <c r="B1769" s="262" t="str">
        <f>IF(ISBLANK(INDEX('Policy Characteristics'!B:B,MATCH($C1769,'Policy Characteristics'!$C:$C,0))),"",INDEX('Policy Characteristics'!B:B,MATCH($C1769,'Policy Characteristics'!$C:$C,0)))</f>
        <v>Fuel Taxes or Subsidies</v>
      </c>
      <c r="C1769" s="320" t="str">
        <f t="shared" si="67"/>
        <v>Additional Fuel Tax or Subsidy Rate by Fuel</v>
      </c>
      <c r="D1769" s="6" t="s">
        <v>2475</v>
      </c>
      <c r="E1769" s="45" t="s">
        <v>3771</v>
      </c>
      <c r="F1769" s="6" t="s">
        <v>2476</v>
      </c>
      <c r="G1769" s="45" t="s">
        <v>2428</v>
      </c>
      <c r="H1769" s="43">
        <v>2412</v>
      </c>
      <c r="I1769" s="324" t="s">
        <v>44</v>
      </c>
      <c r="J1769" s="255" t="str">
        <f>IF(ISBLANK(INDEX('Policy Characteristics'!D:D,MATCH($C1769,'Policy Characteristics'!$C:$C,0))),"",INDEX('Policy Characteristics'!D:D,MATCH($C1769,'Policy Characteristics'!$C:$C,0)))</f>
        <v>Fuel Taxes or Subsidies</v>
      </c>
      <c r="K1769" s="254" t="str">
        <f>IF(ISBLANK(INDEX('Policy Characteristics'!E:E,MATCH($C1769,'Policy Characteristics'!$C:$C,0))),"",INDEX('Policy Characteristics'!E:E,MATCH($C1769,'Policy Characteristics'!$C:$C,0)))</f>
        <v>cross fuel tax</v>
      </c>
      <c r="L1769" s="261">
        <f>IF(ISBLANK(INDEX('Policy Characteristics'!F:F,MATCH($C1769,'Policy Characteristics'!$C:$C,0))),"",INDEX('Policy Characteristics'!F:F,MATCH($C1769,'Policy Characteristics'!$C:$C,0)))</f>
        <v>-0.9</v>
      </c>
      <c r="M1769" s="261">
        <f>IF(ISBLANK(INDEX('Policy Characteristics'!G:G,MATCH($C1769,'Policy Characteristics'!$C:$C,0))),"",INDEX('Policy Characteristics'!G:G,MATCH($C1769,'Policy Characteristics'!$C:$C,0)))</f>
        <v>0.9</v>
      </c>
      <c r="N1769" s="261">
        <f>IF(ISBLANK(INDEX('Policy Characteristics'!H:H,MATCH($C1769,'Policy Characteristics'!$C:$C,0))),"",INDEX('Policy Characteristics'!H:H,MATCH($C1769,'Policy Characteristics'!$C:$C,0)))</f>
        <v>0.01</v>
      </c>
      <c r="O1769" s="254" t="str">
        <f>IF(ISBLANK(INDEX('Policy Characteristics'!I:I,MATCH($C1769,'Policy Characteristics'!$C:$C,0))),"",INDEX('Policy Characteristics'!I:I,MATCH($C1769,'Policy Characteristics'!$C:$C,0)))</f>
        <v>% of BAU price</v>
      </c>
      <c r="P1769" s="254"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4" t="str">
        <f>IF(ISBLANK(INDEX('Policy Characteristics'!K:K,MATCH($C1769,'Policy Characteristics'!$C:$C,0))),"",INDEX('Policy Characteristics'!K:K,MATCH($C1769,'Policy Characteristics'!$C:$C,0)))</f>
        <v>fuels.html#fuel-taxes</v>
      </c>
      <c r="R1769" s="254" t="str">
        <f>IF(ISBLANK(INDEX('Policy Characteristics'!L:L,MATCH($C1769,'Policy Characteristics'!$C:$C,0))),"",INDEX('Policy Characteristics'!L:L,MATCH($C1769,'Policy Characteristics'!$C:$C,0)))</f>
        <v>fuel-taxes.html</v>
      </c>
    </row>
    <row r="1770" spans="1:18" x14ac:dyDescent="0.3">
      <c r="A1770" s="254" t="str">
        <f>IF(ISBLANK(INDEX('Policy Characteristics'!A:A,MATCH($C1770,'Policy Characteristics'!$C:$C,0))),"",INDEX('Policy Characteristics'!A:A,MATCH($C1770,'Policy Characteristics'!$C:$C,0)))</f>
        <v>Cross-Sector</v>
      </c>
      <c r="B1770" s="262" t="str">
        <f>IF(ISBLANK(INDEX('Policy Characteristics'!B:B,MATCH($C1770,'Policy Characteristics'!$C:$C,0))),"",INDEX('Policy Characteristics'!B:B,MATCH($C1770,'Policy Characteristics'!$C:$C,0)))</f>
        <v>Fuel Taxes or Subsidies</v>
      </c>
      <c r="C1770" s="320" t="str">
        <f t="shared" si="67"/>
        <v>Additional Fuel Tax or Subsidy Rate by Fuel</v>
      </c>
      <c r="D1770" s="6" t="s">
        <v>2466</v>
      </c>
      <c r="E1770" s="45" t="s">
        <v>3771</v>
      </c>
      <c r="F1770" s="6" t="s">
        <v>2470</v>
      </c>
      <c r="G1770" s="45" t="s">
        <v>2428</v>
      </c>
      <c r="H1770" s="43">
        <v>2413</v>
      </c>
      <c r="I1770" s="324" t="s">
        <v>44</v>
      </c>
      <c r="J1770" s="255" t="str">
        <f>IF(ISBLANK(INDEX('Policy Characteristics'!D:D,MATCH($C1770,'Policy Characteristics'!$C:$C,0))),"",INDEX('Policy Characteristics'!D:D,MATCH($C1770,'Policy Characteristics'!$C:$C,0)))</f>
        <v>Fuel Taxes or Subsidies</v>
      </c>
      <c r="K1770" s="254" t="str">
        <f>IF(ISBLANK(INDEX('Policy Characteristics'!E:E,MATCH($C1770,'Policy Characteristics'!$C:$C,0))),"",INDEX('Policy Characteristics'!E:E,MATCH($C1770,'Policy Characteristics'!$C:$C,0)))</f>
        <v>cross fuel tax</v>
      </c>
      <c r="L1770" s="261">
        <f>IF(ISBLANK(INDEX('Policy Characteristics'!F:F,MATCH($C1770,'Policy Characteristics'!$C:$C,0))),"",INDEX('Policy Characteristics'!F:F,MATCH($C1770,'Policy Characteristics'!$C:$C,0)))</f>
        <v>-0.9</v>
      </c>
      <c r="M1770" s="261">
        <f>IF(ISBLANK(INDEX('Policy Characteristics'!G:G,MATCH($C1770,'Policy Characteristics'!$C:$C,0))),"",INDEX('Policy Characteristics'!G:G,MATCH($C1770,'Policy Characteristics'!$C:$C,0)))</f>
        <v>0.9</v>
      </c>
      <c r="N1770" s="261">
        <f>IF(ISBLANK(INDEX('Policy Characteristics'!H:H,MATCH($C1770,'Policy Characteristics'!$C:$C,0))),"",INDEX('Policy Characteristics'!H:H,MATCH($C1770,'Policy Characteristics'!$C:$C,0)))</f>
        <v>0.01</v>
      </c>
      <c r="O1770" s="254" t="str">
        <f>IF(ISBLANK(INDEX('Policy Characteristics'!I:I,MATCH($C1770,'Policy Characteristics'!$C:$C,0))),"",INDEX('Policy Characteristics'!I:I,MATCH($C1770,'Policy Characteristics'!$C:$C,0)))</f>
        <v>% of BAU price</v>
      </c>
      <c r="P1770" s="254"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4" t="str">
        <f>IF(ISBLANK(INDEX('Policy Characteristics'!K:K,MATCH($C1770,'Policy Characteristics'!$C:$C,0))),"",INDEX('Policy Characteristics'!K:K,MATCH($C1770,'Policy Characteristics'!$C:$C,0)))</f>
        <v>fuels.html#fuel-taxes</v>
      </c>
      <c r="R1770" s="254" t="str">
        <f>IF(ISBLANK(INDEX('Policy Characteristics'!L:L,MATCH($C1770,'Policy Characteristics'!$C:$C,0))),"",INDEX('Policy Characteristics'!L:L,MATCH($C1770,'Policy Characteristics'!$C:$C,0)))</f>
        <v>fuel-taxes.html</v>
      </c>
    </row>
    <row r="1771" spans="1:18" x14ac:dyDescent="0.3">
      <c r="A1771" s="254" t="str">
        <f>IF(ISBLANK(INDEX('Policy Characteristics'!A:A,MATCH($C1771,'Policy Characteristics'!$C:$C,0))),"",INDEX('Policy Characteristics'!A:A,MATCH($C1771,'Policy Characteristics'!$C:$C,0)))</f>
        <v>Cross-Sector</v>
      </c>
      <c r="B1771" s="262" t="str">
        <f>IF(ISBLANK(INDEX('Policy Characteristics'!B:B,MATCH($C1771,'Policy Characteristics'!$C:$C,0))),"",INDEX('Policy Characteristics'!B:B,MATCH($C1771,'Policy Characteristics'!$C:$C,0)))</f>
        <v>Fuel Taxes or Subsidies</v>
      </c>
      <c r="C1771" s="320" t="str">
        <f t="shared" si="67"/>
        <v>Additional Fuel Tax or Subsidy Rate by Fuel</v>
      </c>
      <c r="D1771" s="6" t="s">
        <v>2467</v>
      </c>
      <c r="E1771" s="45" t="s">
        <v>3771</v>
      </c>
      <c r="F1771" s="6" t="s">
        <v>2471</v>
      </c>
      <c r="G1771" s="45" t="s">
        <v>2428</v>
      </c>
      <c r="H1771" s="43">
        <v>2414</v>
      </c>
      <c r="I1771" s="324" t="s">
        <v>44</v>
      </c>
      <c r="J1771" s="255" t="str">
        <f>IF(ISBLANK(INDEX('Policy Characteristics'!D:D,MATCH($C1771,'Policy Characteristics'!$C:$C,0))),"",INDEX('Policy Characteristics'!D:D,MATCH($C1771,'Policy Characteristics'!$C:$C,0)))</f>
        <v>Fuel Taxes or Subsidies</v>
      </c>
      <c r="K1771" s="254" t="str">
        <f>IF(ISBLANK(INDEX('Policy Characteristics'!E:E,MATCH($C1771,'Policy Characteristics'!$C:$C,0))),"",INDEX('Policy Characteristics'!E:E,MATCH($C1771,'Policy Characteristics'!$C:$C,0)))</f>
        <v>cross fuel tax</v>
      </c>
      <c r="L1771" s="261">
        <f>IF(ISBLANK(INDEX('Policy Characteristics'!F:F,MATCH($C1771,'Policy Characteristics'!$C:$C,0))),"",INDEX('Policy Characteristics'!F:F,MATCH($C1771,'Policy Characteristics'!$C:$C,0)))</f>
        <v>-0.9</v>
      </c>
      <c r="M1771" s="261">
        <f>IF(ISBLANK(INDEX('Policy Characteristics'!G:G,MATCH($C1771,'Policy Characteristics'!$C:$C,0))),"",INDEX('Policy Characteristics'!G:G,MATCH($C1771,'Policy Characteristics'!$C:$C,0)))</f>
        <v>0.9</v>
      </c>
      <c r="N1771" s="261">
        <f>IF(ISBLANK(INDEX('Policy Characteristics'!H:H,MATCH($C1771,'Policy Characteristics'!$C:$C,0))),"",INDEX('Policy Characteristics'!H:H,MATCH($C1771,'Policy Characteristics'!$C:$C,0)))</f>
        <v>0.01</v>
      </c>
      <c r="O1771" s="254" t="str">
        <f>IF(ISBLANK(INDEX('Policy Characteristics'!I:I,MATCH($C1771,'Policy Characteristics'!$C:$C,0))),"",INDEX('Policy Characteristics'!I:I,MATCH($C1771,'Policy Characteristics'!$C:$C,0)))</f>
        <v>% of BAU price</v>
      </c>
      <c r="P1771" s="254"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4" t="str">
        <f>IF(ISBLANK(INDEX('Policy Characteristics'!K:K,MATCH($C1771,'Policy Characteristics'!$C:$C,0))),"",INDEX('Policy Characteristics'!K:K,MATCH($C1771,'Policy Characteristics'!$C:$C,0)))</f>
        <v>fuels.html#fuel-taxes</v>
      </c>
      <c r="R1771" s="254" t="str">
        <f>IF(ISBLANK(INDEX('Policy Characteristics'!L:L,MATCH($C1771,'Policy Characteristics'!$C:$C,0))),"",INDEX('Policy Characteristics'!L:L,MATCH($C1771,'Policy Characteristics'!$C:$C,0)))</f>
        <v>fuel-taxes.html</v>
      </c>
    </row>
    <row r="1772" spans="1:18" x14ac:dyDescent="0.3">
      <c r="A1772" s="254" t="str">
        <f>IF(ISBLANK(INDEX('Policy Characteristics'!A:A,MATCH($C1772,'Policy Characteristics'!$C:$C,0))),"",INDEX('Policy Characteristics'!A:A,MATCH($C1772,'Policy Characteristics'!$C:$C,0)))</f>
        <v>Cross-Sector</v>
      </c>
      <c r="B1772" s="262" t="str">
        <f>IF(ISBLANK(INDEX('Policy Characteristics'!B:B,MATCH($C1772,'Policy Characteristics'!$C:$C,0))),"",INDEX('Policy Characteristics'!B:B,MATCH($C1772,'Policy Characteristics'!$C:$C,0)))</f>
        <v>Fuel Taxes or Subsidies</v>
      </c>
      <c r="C1772" s="320" t="str">
        <f t="shared" si="67"/>
        <v>Additional Fuel Tax or Subsidy Rate by Fuel</v>
      </c>
      <c r="D1772" s="6" t="s">
        <v>2468</v>
      </c>
      <c r="E1772" s="45" t="s">
        <v>3771</v>
      </c>
      <c r="F1772" s="6" t="s">
        <v>2472</v>
      </c>
      <c r="G1772" s="45" t="s">
        <v>2428</v>
      </c>
      <c r="H1772" s="43">
        <v>2415</v>
      </c>
      <c r="I1772" s="324" t="s">
        <v>44</v>
      </c>
      <c r="J1772" s="255" t="str">
        <f>IF(ISBLANK(INDEX('Policy Characteristics'!D:D,MATCH($C1772,'Policy Characteristics'!$C:$C,0))),"",INDEX('Policy Characteristics'!D:D,MATCH($C1772,'Policy Characteristics'!$C:$C,0)))</f>
        <v>Fuel Taxes or Subsidies</v>
      </c>
      <c r="K1772" s="254" t="str">
        <f>IF(ISBLANK(INDEX('Policy Characteristics'!E:E,MATCH($C1772,'Policy Characteristics'!$C:$C,0))),"",INDEX('Policy Characteristics'!E:E,MATCH($C1772,'Policy Characteristics'!$C:$C,0)))</f>
        <v>cross fuel tax</v>
      </c>
      <c r="L1772" s="261">
        <f>IF(ISBLANK(INDEX('Policy Characteristics'!F:F,MATCH($C1772,'Policy Characteristics'!$C:$C,0))),"",INDEX('Policy Characteristics'!F:F,MATCH($C1772,'Policy Characteristics'!$C:$C,0)))</f>
        <v>-0.9</v>
      </c>
      <c r="M1772" s="261">
        <f>IF(ISBLANK(INDEX('Policy Characteristics'!G:G,MATCH($C1772,'Policy Characteristics'!$C:$C,0))),"",INDEX('Policy Characteristics'!G:G,MATCH($C1772,'Policy Characteristics'!$C:$C,0)))</f>
        <v>0.9</v>
      </c>
      <c r="N1772" s="261">
        <f>IF(ISBLANK(INDEX('Policy Characteristics'!H:H,MATCH($C1772,'Policy Characteristics'!$C:$C,0))),"",INDEX('Policy Characteristics'!H:H,MATCH($C1772,'Policy Characteristics'!$C:$C,0)))</f>
        <v>0.01</v>
      </c>
      <c r="O1772" s="254" t="str">
        <f>IF(ISBLANK(INDEX('Policy Characteristics'!I:I,MATCH($C1772,'Policy Characteristics'!$C:$C,0))),"",INDEX('Policy Characteristics'!I:I,MATCH($C1772,'Policy Characteristics'!$C:$C,0)))</f>
        <v>% of BAU price</v>
      </c>
      <c r="P1772" s="254"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4" t="str">
        <f>IF(ISBLANK(INDEX('Policy Characteristics'!K:K,MATCH($C1772,'Policy Characteristics'!$C:$C,0))),"",INDEX('Policy Characteristics'!K:K,MATCH($C1772,'Policy Characteristics'!$C:$C,0)))</f>
        <v>fuels.html#fuel-taxes</v>
      </c>
      <c r="R1772" s="254" t="str">
        <f>IF(ISBLANK(INDEX('Policy Characteristics'!L:L,MATCH($C1772,'Policy Characteristics'!$C:$C,0))),"",INDEX('Policy Characteristics'!L:L,MATCH($C1772,'Policy Characteristics'!$C:$C,0)))</f>
        <v>fuel-taxes.html</v>
      </c>
    </row>
    <row r="1773" spans="1:18" s="4" customFormat="1" x14ac:dyDescent="0.3">
      <c r="A1773" s="254" t="str">
        <f>IF(ISBLANK(INDEX('Policy Characteristics'!A:A,MATCH($C1773,'Policy Characteristics'!$C:$C,0))),"",INDEX('Policy Characteristics'!A:A,MATCH($C1773,'Policy Characteristics'!$C:$C,0)))</f>
        <v>Cross-Sector</v>
      </c>
      <c r="B1773" s="262" t="str">
        <f>IF(ISBLANK(INDEX('Policy Characteristics'!B:B,MATCH($C1773,'Policy Characteristics'!$C:$C,0))),"",INDEX('Policy Characteristics'!B:B,MATCH($C1773,'Policy Characteristics'!$C:$C,0)))</f>
        <v>Fuel Taxes or Subsidies</v>
      </c>
      <c r="C1773" s="320" t="str">
        <f t="shared" si="67"/>
        <v>Additional Fuel Tax or Subsidy Rate by Fuel</v>
      </c>
      <c r="D1773" s="45" t="s">
        <v>52</v>
      </c>
      <c r="E1773" s="45" t="s">
        <v>3772</v>
      </c>
      <c r="F1773" s="45" t="s">
        <v>93</v>
      </c>
      <c r="G1773" s="45" t="s">
        <v>2793</v>
      </c>
      <c r="H1773" s="43">
        <v>2416</v>
      </c>
      <c r="I1773" s="324" t="s">
        <v>43</v>
      </c>
      <c r="J1773" s="255" t="str">
        <f>IF(ISBLANK(INDEX('Policy Characteristics'!D:D,MATCH($C1773,'Policy Characteristics'!$C:$C,0))),"",INDEX('Policy Characteristics'!D:D,MATCH($C1773,'Policy Characteristics'!$C:$C,0)))</f>
        <v>Fuel Taxes or Subsidies</v>
      </c>
      <c r="K1773" s="254" t="str">
        <f>IF(ISBLANK(INDEX('Policy Characteristics'!E:E,MATCH($C1773,'Policy Characteristics'!$C:$C,0))),"",INDEX('Policy Characteristics'!E:E,MATCH($C1773,'Policy Characteristics'!$C:$C,0)))</f>
        <v>cross fuel tax</v>
      </c>
      <c r="L1773" s="261">
        <f>IF(ISBLANK(INDEX('Policy Characteristics'!F:F,MATCH($C1773,'Policy Characteristics'!$C:$C,0))),"",INDEX('Policy Characteristics'!F:F,MATCH($C1773,'Policy Characteristics'!$C:$C,0)))</f>
        <v>-0.9</v>
      </c>
      <c r="M1773" s="261">
        <f>IF(ISBLANK(INDEX('Policy Characteristics'!G:G,MATCH($C1773,'Policy Characteristics'!$C:$C,0))),"",INDEX('Policy Characteristics'!G:G,MATCH($C1773,'Policy Characteristics'!$C:$C,0)))</f>
        <v>0.9</v>
      </c>
      <c r="N1773" s="261">
        <f>IF(ISBLANK(INDEX('Policy Characteristics'!H:H,MATCH($C1773,'Policy Characteristics'!$C:$C,0))),"",INDEX('Policy Characteristics'!H:H,MATCH($C1773,'Policy Characteristics'!$C:$C,0)))</f>
        <v>0.01</v>
      </c>
      <c r="O1773" s="254" t="str">
        <f>IF(ISBLANK(INDEX('Policy Characteristics'!I:I,MATCH($C1773,'Policy Characteristics'!$C:$C,0))),"",INDEX('Policy Characteristics'!I:I,MATCH($C1773,'Policy Characteristics'!$C:$C,0)))</f>
        <v>% of BAU price</v>
      </c>
      <c r="P1773" s="254"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4" t="str">
        <f>IF(ISBLANK(INDEX('Policy Characteristics'!K:K,MATCH($C1773,'Policy Characteristics'!$C:$C,0))),"",INDEX('Policy Characteristics'!K:K,MATCH($C1773,'Policy Characteristics'!$C:$C,0)))</f>
        <v>fuels.html#fuel-taxes</v>
      </c>
      <c r="R1773" s="254" t="str">
        <f>IF(ISBLANK(INDEX('Policy Characteristics'!L:L,MATCH($C1773,'Policy Characteristics'!$C:$C,0))),"",INDEX('Policy Characteristics'!L:L,MATCH($C1773,'Policy Characteristics'!$C:$C,0)))</f>
        <v>fuel-taxes.html</v>
      </c>
    </row>
    <row r="1774" spans="1:18" s="4" customFormat="1" x14ac:dyDescent="0.3">
      <c r="A1774" s="254" t="str">
        <f>IF(ISBLANK(INDEX('Policy Characteristics'!A:A,MATCH($C1774,'Policy Characteristics'!$C:$C,0))),"",INDEX('Policy Characteristics'!A:A,MATCH($C1774,'Policy Characteristics'!$C:$C,0)))</f>
        <v>Cross-Sector</v>
      </c>
      <c r="B1774" s="262" t="str">
        <f>IF(ISBLANK(INDEX('Policy Characteristics'!B:B,MATCH($C1774,'Policy Characteristics'!$C:$C,0))),"",INDEX('Policy Characteristics'!B:B,MATCH($C1774,'Policy Characteristics'!$C:$C,0)))</f>
        <v>Fuel Taxes or Subsidies</v>
      </c>
      <c r="C1774" s="320" t="str">
        <f t="shared" si="67"/>
        <v>Additional Fuel Tax or Subsidy Rate by Fuel</v>
      </c>
      <c r="D1774" s="6" t="s">
        <v>449</v>
      </c>
      <c r="E1774" s="45" t="s">
        <v>3772</v>
      </c>
      <c r="F1774" s="6" t="s">
        <v>446</v>
      </c>
      <c r="G1774" s="45" t="s">
        <v>2793</v>
      </c>
      <c r="H1774" s="43">
        <v>2417</v>
      </c>
      <c r="I1774" s="325" t="s">
        <v>44</v>
      </c>
      <c r="J1774" s="255" t="str">
        <f>IF(ISBLANK(INDEX('Policy Characteristics'!D:D,MATCH($C1774,'Policy Characteristics'!$C:$C,0))),"",INDEX('Policy Characteristics'!D:D,MATCH($C1774,'Policy Characteristics'!$C:$C,0)))</f>
        <v>Fuel Taxes or Subsidies</v>
      </c>
      <c r="K1774" s="254" t="str">
        <f>IF(ISBLANK(INDEX('Policy Characteristics'!E:E,MATCH($C1774,'Policy Characteristics'!$C:$C,0))),"",INDEX('Policy Characteristics'!E:E,MATCH($C1774,'Policy Characteristics'!$C:$C,0)))</f>
        <v>cross fuel tax</v>
      </c>
      <c r="L1774" s="261">
        <f>IF(ISBLANK(INDEX('Policy Characteristics'!F:F,MATCH($C1774,'Policy Characteristics'!$C:$C,0))),"",INDEX('Policy Characteristics'!F:F,MATCH($C1774,'Policy Characteristics'!$C:$C,0)))</f>
        <v>-0.9</v>
      </c>
      <c r="M1774" s="261">
        <f>IF(ISBLANK(INDEX('Policy Characteristics'!G:G,MATCH($C1774,'Policy Characteristics'!$C:$C,0))),"",INDEX('Policy Characteristics'!G:G,MATCH($C1774,'Policy Characteristics'!$C:$C,0)))</f>
        <v>0.9</v>
      </c>
      <c r="N1774" s="261">
        <f>IF(ISBLANK(INDEX('Policy Characteristics'!H:H,MATCH($C1774,'Policy Characteristics'!$C:$C,0))),"",INDEX('Policy Characteristics'!H:H,MATCH($C1774,'Policy Characteristics'!$C:$C,0)))</f>
        <v>0.01</v>
      </c>
      <c r="O1774" s="254" t="str">
        <f>IF(ISBLANK(INDEX('Policy Characteristics'!I:I,MATCH($C1774,'Policy Characteristics'!$C:$C,0))),"",INDEX('Policy Characteristics'!I:I,MATCH($C1774,'Policy Characteristics'!$C:$C,0)))</f>
        <v>% of BAU price</v>
      </c>
      <c r="P1774" s="254"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4" t="str">
        <f>IF(ISBLANK(INDEX('Policy Characteristics'!K:K,MATCH($C1774,'Policy Characteristics'!$C:$C,0))),"",INDEX('Policy Characteristics'!K:K,MATCH($C1774,'Policy Characteristics'!$C:$C,0)))</f>
        <v>fuels.html#fuel-taxes</v>
      </c>
      <c r="R1774" s="254" t="str">
        <f>IF(ISBLANK(INDEX('Policy Characteristics'!L:L,MATCH($C1774,'Policy Characteristics'!$C:$C,0))),"",INDEX('Policy Characteristics'!L:L,MATCH($C1774,'Policy Characteristics'!$C:$C,0)))</f>
        <v>fuel-taxes.html</v>
      </c>
    </row>
    <row r="1775" spans="1:18" s="4" customFormat="1" x14ac:dyDescent="0.3">
      <c r="A1775" s="254" t="str">
        <f>IF(ISBLANK(INDEX('Policy Characteristics'!A:A,MATCH($C1775,'Policy Characteristics'!$C:$C,0))),"",INDEX('Policy Characteristics'!A:A,MATCH($C1775,'Policy Characteristics'!$C:$C,0)))</f>
        <v>Cross-Sector</v>
      </c>
      <c r="B1775" s="262" t="str">
        <f>IF(ISBLANK(INDEX('Policy Characteristics'!B:B,MATCH($C1775,'Policy Characteristics'!$C:$C,0))),"",INDEX('Policy Characteristics'!B:B,MATCH($C1775,'Policy Characteristics'!$C:$C,0)))</f>
        <v>Fuel Taxes or Subsidies</v>
      </c>
      <c r="C1775" s="320" t="str">
        <f t="shared" si="67"/>
        <v>Additional Fuel Tax or Subsidy Rate by Fuel</v>
      </c>
      <c r="D1775" s="6" t="s">
        <v>46</v>
      </c>
      <c r="E1775" s="45" t="s">
        <v>3772</v>
      </c>
      <c r="F1775" s="6" t="s">
        <v>87</v>
      </c>
      <c r="G1775" s="45" t="s">
        <v>2793</v>
      </c>
      <c r="H1775" s="43">
        <v>2418</v>
      </c>
      <c r="I1775" s="325" t="s">
        <v>44</v>
      </c>
      <c r="J1775" s="255" t="str">
        <f>IF(ISBLANK(INDEX('Policy Characteristics'!D:D,MATCH($C1775,'Policy Characteristics'!$C:$C,0))),"",INDEX('Policy Characteristics'!D:D,MATCH($C1775,'Policy Characteristics'!$C:$C,0)))</f>
        <v>Fuel Taxes or Subsidies</v>
      </c>
      <c r="K1775" s="254" t="str">
        <f>IF(ISBLANK(INDEX('Policy Characteristics'!E:E,MATCH($C1775,'Policy Characteristics'!$C:$C,0))),"",INDEX('Policy Characteristics'!E:E,MATCH($C1775,'Policy Characteristics'!$C:$C,0)))</f>
        <v>cross fuel tax</v>
      </c>
      <c r="L1775" s="261">
        <f>IF(ISBLANK(INDEX('Policy Characteristics'!F:F,MATCH($C1775,'Policy Characteristics'!$C:$C,0))),"",INDEX('Policy Characteristics'!F:F,MATCH($C1775,'Policy Characteristics'!$C:$C,0)))</f>
        <v>-0.9</v>
      </c>
      <c r="M1775" s="261">
        <f>IF(ISBLANK(INDEX('Policy Characteristics'!G:G,MATCH($C1775,'Policy Characteristics'!$C:$C,0))),"",INDEX('Policy Characteristics'!G:G,MATCH($C1775,'Policy Characteristics'!$C:$C,0)))</f>
        <v>0.9</v>
      </c>
      <c r="N1775" s="261">
        <f>IF(ISBLANK(INDEX('Policy Characteristics'!H:H,MATCH($C1775,'Policy Characteristics'!$C:$C,0))),"",INDEX('Policy Characteristics'!H:H,MATCH($C1775,'Policy Characteristics'!$C:$C,0)))</f>
        <v>0.01</v>
      </c>
      <c r="O1775" s="254" t="str">
        <f>IF(ISBLANK(INDEX('Policy Characteristics'!I:I,MATCH($C1775,'Policy Characteristics'!$C:$C,0))),"",INDEX('Policy Characteristics'!I:I,MATCH($C1775,'Policy Characteristics'!$C:$C,0)))</f>
        <v>% of BAU price</v>
      </c>
      <c r="P1775" s="254"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4" t="str">
        <f>IF(ISBLANK(INDEX('Policy Characteristics'!K:K,MATCH($C1775,'Policy Characteristics'!$C:$C,0))),"",INDEX('Policy Characteristics'!K:K,MATCH($C1775,'Policy Characteristics'!$C:$C,0)))</f>
        <v>fuels.html#fuel-taxes</v>
      </c>
      <c r="R1775" s="254" t="str">
        <f>IF(ISBLANK(INDEX('Policy Characteristics'!L:L,MATCH($C1775,'Policy Characteristics'!$C:$C,0))),"",INDEX('Policy Characteristics'!L:L,MATCH($C1775,'Policy Characteristics'!$C:$C,0)))</f>
        <v>fuel-taxes.html</v>
      </c>
    </row>
    <row r="1776" spans="1:18" s="4" customFormat="1" x14ac:dyDescent="0.3">
      <c r="A1776" s="254" t="str">
        <f>IF(ISBLANK(INDEX('Policy Characteristics'!A:A,MATCH($C1776,'Policy Characteristics'!$C:$C,0))),"",INDEX('Policy Characteristics'!A:A,MATCH($C1776,'Policy Characteristics'!$C:$C,0)))</f>
        <v>Cross-Sector</v>
      </c>
      <c r="B1776" s="262" t="str">
        <f>IF(ISBLANK(INDEX('Policy Characteristics'!B:B,MATCH($C1776,'Policy Characteristics'!$C:$C,0))),"",INDEX('Policy Characteristics'!B:B,MATCH($C1776,'Policy Characteristics'!$C:$C,0)))</f>
        <v>Fuel Taxes or Subsidies</v>
      </c>
      <c r="C1776" s="320" t="str">
        <f t="shared" si="67"/>
        <v>Additional Fuel Tax or Subsidy Rate by Fuel</v>
      </c>
      <c r="D1776" s="6" t="s">
        <v>47</v>
      </c>
      <c r="E1776" s="45" t="s">
        <v>3772</v>
      </c>
      <c r="F1776" s="6" t="s">
        <v>88</v>
      </c>
      <c r="G1776" s="45" t="s">
        <v>2793</v>
      </c>
      <c r="H1776" s="43">
        <v>2419</v>
      </c>
      <c r="I1776" s="325" t="s">
        <v>44</v>
      </c>
      <c r="J1776" s="255" t="str">
        <f>IF(ISBLANK(INDEX('Policy Characteristics'!D:D,MATCH($C1776,'Policy Characteristics'!$C:$C,0))),"",INDEX('Policy Characteristics'!D:D,MATCH($C1776,'Policy Characteristics'!$C:$C,0)))</f>
        <v>Fuel Taxes or Subsidies</v>
      </c>
      <c r="K1776" s="254" t="str">
        <f>IF(ISBLANK(INDEX('Policy Characteristics'!E:E,MATCH($C1776,'Policy Characteristics'!$C:$C,0))),"",INDEX('Policy Characteristics'!E:E,MATCH($C1776,'Policy Characteristics'!$C:$C,0)))</f>
        <v>cross fuel tax</v>
      </c>
      <c r="L1776" s="261">
        <f>IF(ISBLANK(INDEX('Policy Characteristics'!F:F,MATCH($C1776,'Policy Characteristics'!$C:$C,0))),"",INDEX('Policy Characteristics'!F:F,MATCH($C1776,'Policy Characteristics'!$C:$C,0)))</f>
        <v>-0.9</v>
      </c>
      <c r="M1776" s="261">
        <f>IF(ISBLANK(INDEX('Policy Characteristics'!G:G,MATCH($C1776,'Policy Characteristics'!$C:$C,0))),"",INDEX('Policy Characteristics'!G:G,MATCH($C1776,'Policy Characteristics'!$C:$C,0)))</f>
        <v>0.9</v>
      </c>
      <c r="N1776" s="261">
        <f>IF(ISBLANK(INDEX('Policy Characteristics'!H:H,MATCH($C1776,'Policy Characteristics'!$C:$C,0))),"",INDEX('Policy Characteristics'!H:H,MATCH($C1776,'Policy Characteristics'!$C:$C,0)))</f>
        <v>0.01</v>
      </c>
      <c r="O1776" s="254" t="str">
        <f>IF(ISBLANK(INDEX('Policy Characteristics'!I:I,MATCH($C1776,'Policy Characteristics'!$C:$C,0))),"",INDEX('Policy Characteristics'!I:I,MATCH($C1776,'Policy Characteristics'!$C:$C,0)))</f>
        <v>% of BAU price</v>
      </c>
      <c r="P1776" s="254"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4" t="str">
        <f>IF(ISBLANK(INDEX('Policy Characteristics'!K:K,MATCH($C1776,'Policy Characteristics'!$C:$C,0))),"",INDEX('Policy Characteristics'!K:K,MATCH($C1776,'Policy Characteristics'!$C:$C,0)))</f>
        <v>fuels.html#fuel-taxes</v>
      </c>
      <c r="R1776" s="254" t="str">
        <f>IF(ISBLANK(INDEX('Policy Characteristics'!L:L,MATCH($C1776,'Policy Characteristics'!$C:$C,0))),"",INDEX('Policy Characteristics'!L:L,MATCH($C1776,'Policy Characteristics'!$C:$C,0)))</f>
        <v>fuel-taxes.html</v>
      </c>
    </row>
    <row r="1777" spans="1:18" s="4" customFormat="1" x14ac:dyDescent="0.3">
      <c r="A1777" s="254" t="str">
        <f>IF(ISBLANK(INDEX('Policy Characteristics'!A:A,MATCH($C1777,'Policy Characteristics'!$C:$C,0))),"",INDEX('Policy Characteristics'!A:A,MATCH($C1777,'Policy Characteristics'!$C:$C,0)))</f>
        <v>Cross-Sector</v>
      </c>
      <c r="B1777" s="262" t="str">
        <f>IF(ISBLANK(INDEX('Policy Characteristics'!B:B,MATCH($C1777,'Policy Characteristics'!$C:$C,0))),"",INDEX('Policy Characteristics'!B:B,MATCH($C1777,'Policy Characteristics'!$C:$C,0)))</f>
        <v>Fuel Taxes or Subsidies</v>
      </c>
      <c r="C1777" s="320" t="str">
        <f t="shared" si="67"/>
        <v>Additional Fuel Tax or Subsidy Rate by Fuel</v>
      </c>
      <c r="D1777" s="6" t="s">
        <v>51</v>
      </c>
      <c r="E1777" s="45" t="s">
        <v>3772</v>
      </c>
      <c r="F1777" s="6" t="s">
        <v>92</v>
      </c>
      <c r="G1777" s="45" t="s">
        <v>2793</v>
      </c>
      <c r="H1777" s="43">
        <v>2420</v>
      </c>
      <c r="I1777" s="325" t="s">
        <v>44</v>
      </c>
      <c r="J1777" s="255" t="str">
        <f>IF(ISBLANK(INDEX('Policy Characteristics'!D:D,MATCH($C1777,'Policy Characteristics'!$C:$C,0))),"",INDEX('Policy Characteristics'!D:D,MATCH($C1777,'Policy Characteristics'!$C:$C,0)))</f>
        <v>Fuel Taxes or Subsidies</v>
      </c>
      <c r="K1777" s="254" t="str">
        <f>IF(ISBLANK(INDEX('Policy Characteristics'!E:E,MATCH($C1777,'Policy Characteristics'!$C:$C,0))),"",INDEX('Policy Characteristics'!E:E,MATCH($C1777,'Policy Characteristics'!$C:$C,0)))</f>
        <v>cross fuel tax</v>
      </c>
      <c r="L1777" s="261">
        <f>IF(ISBLANK(INDEX('Policy Characteristics'!F:F,MATCH($C1777,'Policy Characteristics'!$C:$C,0))),"",INDEX('Policy Characteristics'!F:F,MATCH($C1777,'Policy Characteristics'!$C:$C,0)))</f>
        <v>-0.9</v>
      </c>
      <c r="M1777" s="261">
        <f>IF(ISBLANK(INDEX('Policy Characteristics'!G:G,MATCH($C1777,'Policy Characteristics'!$C:$C,0))),"",INDEX('Policy Characteristics'!G:G,MATCH($C1777,'Policy Characteristics'!$C:$C,0)))</f>
        <v>0.9</v>
      </c>
      <c r="N1777" s="261">
        <f>IF(ISBLANK(INDEX('Policy Characteristics'!H:H,MATCH($C1777,'Policy Characteristics'!$C:$C,0))),"",INDEX('Policy Characteristics'!H:H,MATCH($C1777,'Policy Characteristics'!$C:$C,0)))</f>
        <v>0.01</v>
      </c>
      <c r="O1777" s="254" t="str">
        <f>IF(ISBLANK(INDEX('Policy Characteristics'!I:I,MATCH($C1777,'Policy Characteristics'!$C:$C,0))),"",INDEX('Policy Characteristics'!I:I,MATCH($C1777,'Policy Characteristics'!$C:$C,0)))</f>
        <v>% of BAU price</v>
      </c>
      <c r="P1777" s="254"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4" t="str">
        <f>IF(ISBLANK(INDEX('Policy Characteristics'!K:K,MATCH($C1777,'Policy Characteristics'!$C:$C,0))),"",INDEX('Policy Characteristics'!K:K,MATCH($C1777,'Policy Characteristics'!$C:$C,0)))</f>
        <v>fuels.html#fuel-taxes</v>
      </c>
      <c r="R1777" s="254" t="str">
        <f>IF(ISBLANK(INDEX('Policy Characteristics'!L:L,MATCH($C1777,'Policy Characteristics'!$C:$C,0))),"",INDEX('Policy Characteristics'!L:L,MATCH($C1777,'Policy Characteristics'!$C:$C,0)))</f>
        <v>fuel-taxes.html</v>
      </c>
    </row>
    <row r="1778" spans="1:18" s="4" customFormat="1" x14ac:dyDescent="0.3">
      <c r="A1778" s="254" t="str">
        <f>IF(ISBLANK(INDEX('Policy Characteristics'!A:A,MATCH($C1778,'Policy Characteristics'!$C:$C,0))),"",INDEX('Policy Characteristics'!A:A,MATCH($C1778,'Policy Characteristics'!$C:$C,0)))</f>
        <v>Cross-Sector</v>
      </c>
      <c r="B1778" s="262" t="str">
        <f>IF(ISBLANK(INDEX('Policy Characteristics'!B:B,MATCH($C1778,'Policy Characteristics'!$C:$C,0))),"",INDEX('Policy Characteristics'!B:B,MATCH($C1778,'Policy Characteristics'!$C:$C,0)))</f>
        <v>Fuel Taxes or Subsidies</v>
      </c>
      <c r="C1778" s="320" t="str">
        <f t="shared" si="67"/>
        <v>Additional Fuel Tax or Subsidy Rate by Fuel</v>
      </c>
      <c r="D1778" s="6" t="s">
        <v>53</v>
      </c>
      <c r="E1778" s="45" t="s">
        <v>3772</v>
      </c>
      <c r="F1778" s="6" t="s">
        <v>95</v>
      </c>
      <c r="G1778" s="45" t="s">
        <v>2793</v>
      </c>
      <c r="H1778" s="43">
        <v>2421</v>
      </c>
      <c r="I1778" s="325" t="s">
        <v>44</v>
      </c>
      <c r="J1778" s="255" t="str">
        <f>IF(ISBLANK(INDEX('Policy Characteristics'!D:D,MATCH($C1778,'Policy Characteristics'!$C:$C,0))),"",INDEX('Policy Characteristics'!D:D,MATCH($C1778,'Policy Characteristics'!$C:$C,0)))</f>
        <v>Fuel Taxes or Subsidies</v>
      </c>
      <c r="K1778" s="254" t="str">
        <f>IF(ISBLANK(INDEX('Policy Characteristics'!E:E,MATCH($C1778,'Policy Characteristics'!$C:$C,0))),"",INDEX('Policy Characteristics'!E:E,MATCH($C1778,'Policy Characteristics'!$C:$C,0)))</f>
        <v>cross fuel tax</v>
      </c>
      <c r="L1778" s="261">
        <f>IF(ISBLANK(INDEX('Policy Characteristics'!F:F,MATCH($C1778,'Policy Characteristics'!$C:$C,0))),"",INDEX('Policy Characteristics'!F:F,MATCH($C1778,'Policy Characteristics'!$C:$C,0)))</f>
        <v>-0.9</v>
      </c>
      <c r="M1778" s="261">
        <f>IF(ISBLANK(INDEX('Policy Characteristics'!G:G,MATCH($C1778,'Policy Characteristics'!$C:$C,0))),"",INDEX('Policy Characteristics'!G:G,MATCH($C1778,'Policy Characteristics'!$C:$C,0)))</f>
        <v>0.9</v>
      </c>
      <c r="N1778" s="261">
        <f>IF(ISBLANK(INDEX('Policy Characteristics'!H:H,MATCH($C1778,'Policy Characteristics'!$C:$C,0))),"",INDEX('Policy Characteristics'!H:H,MATCH($C1778,'Policy Characteristics'!$C:$C,0)))</f>
        <v>0.01</v>
      </c>
      <c r="O1778" s="254" t="str">
        <f>IF(ISBLANK(INDEX('Policy Characteristics'!I:I,MATCH($C1778,'Policy Characteristics'!$C:$C,0))),"",INDEX('Policy Characteristics'!I:I,MATCH($C1778,'Policy Characteristics'!$C:$C,0)))</f>
        <v>% of BAU price</v>
      </c>
      <c r="P1778" s="254"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4" t="str">
        <f>IF(ISBLANK(INDEX('Policy Characteristics'!K:K,MATCH($C1778,'Policy Characteristics'!$C:$C,0))),"",INDEX('Policy Characteristics'!K:K,MATCH($C1778,'Policy Characteristics'!$C:$C,0)))</f>
        <v>fuels.html#fuel-taxes</v>
      </c>
      <c r="R1778" s="254" t="str">
        <f>IF(ISBLANK(INDEX('Policy Characteristics'!L:L,MATCH($C1778,'Policy Characteristics'!$C:$C,0))),"",INDEX('Policy Characteristics'!L:L,MATCH($C1778,'Policy Characteristics'!$C:$C,0)))</f>
        <v>fuel-taxes.html</v>
      </c>
    </row>
    <row r="1779" spans="1:18" s="4" customFormat="1" x14ac:dyDescent="0.3">
      <c r="A1779" s="254" t="str">
        <f>IF(ISBLANK(INDEX('Policy Characteristics'!A:A,MATCH($C1779,'Policy Characteristics'!$C:$C,0))),"",INDEX('Policy Characteristics'!A:A,MATCH($C1779,'Policy Characteristics'!$C:$C,0)))</f>
        <v>Cross-Sector</v>
      </c>
      <c r="B1779" s="262" t="str">
        <f>IF(ISBLANK(INDEX('Policy Characteristics'!B:B,MATCH($C1779,'Policy Characteristics'!$C:$C,0))),"",INDEX('Policy Characteristics'!B:B,MATCH($C1779,'Policy Characteristics'!$C:$C,0)))</f>
        <v>Fuel Taxes or Subsidies</v>
      </c>
      <c r="C1779" s="320" t="str">
        <f t="shared" si="67"/>
        <v>Additional Fuel Tax or Subsidy Rate by Fuel</v>
      </c>
      <c r="D1779" s="6" t="s">
        <v>54</v>
      </c>
      <c r="E1779" s="45" t="s">
        <v>3772</v>
      </c>
      <c r="F1779" s="6" t="s">
        <v>96</v>
      </c>
      <c r="G1779" s="45" t="s">
        <v>2793</v>
      </c>
      <c r="H1779" s="43">
        <v>2422</v>
      </c>
      <c r="I1779" s="325" t="s">
        <v>44</v>
      </c>
      <c r="J1779" s="255" t="str">
        <f>IF(ISBLANK(INDEX('Policy Characteristics'!D:D,MATCH($C1779,'Policy Characteristics'!$C:$C,0))),"",INDEX('Policy Characteristics'!D:D,MATCH($C1779,'Policy Characteristics'!$C:$C,0)))</f>
        <v>Fuel Taxes or Subsidies</v>
      </c>
      <c r="K1779" s="254" t="str">
        <f>IF(ISBLANK(INDEX('Policy Characteristics'!E:E,MATCH($C1779,'Policy Characteristics'!$C:$C,0))),"",INDEX('Policy Characteristics'!E:E,MATCH($C1779,'Policy Characteristics'!$C:$C,0)))</f>
        <v>cross fuel tax</v>
      </c>
      <c r="L1779" s="261">
        <f>IF(ISBLANK(INDEX('Policy Characteristics'!F:F,MATCH($C1779,'Policy Characteristics'!$C:$C,0))),"",INDEX('Policy Characteristics'!F:F,MATCH($C1779,'Policy Characteristics'!$C:$C,0)))</f>
        <v>-0.9</v>
      </c>
      <c r="M1779" s="261">
        <f>IF(ISBLANK(INDEX('Policy Characteristics'!G:G,MATCH($C1779,'Policy Characteristics'!$C:$C,0))),"",INDEX('Policy Characteristics'!G:G,MATCH($C1779,'Policy Characteristics'!$C:$C,0)))</f>
        <v>0.9</v>
      </c>
      <c r="N1779" s="261">
        <f>IF(ISBLANK(INDEX('Policy Characteristics'!H:H,MATCH($C1779,'Policy Characteristics'!$C:$C,0))),"",INDEX('Policy Characteristics'!H:H,MATCH($C1779,'Policy Characteristics'!$C:$C,0)))</f>
        <v>0.01</v>
      </c>
      <c r="O1779" s="254" t="str">
        <f>IF(ISBLANK(INDEX('Policy Characteristics'!I:I,MATCH($C1779,'Policy Characteristics'!$C:$C,0))),"",INDEX('Policy Characteristics'!I:I,MATCH($C1779,'Policy Characteristics'!$C:$C,0)))</f>
        <v>% of BAU price</v>
      </c>
      <c r="P1779" s="254"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4" t="str">
        <f>IF(ISBLANK(INDEX('Policy Characteristics'!K:K,MATCH($C1779,'Policy Characteristics'!$C:$C,0))),"",INDEX('Policy Characteristics'!K:K,MATCH($C1779,'Policy Characteristics'!$C:$C,0)))</f>
        <v>fuels.html#fuel-taxes</v>
      </c>
      <c r="R1779" s="254" t="str">
        <f>IF(ISBLANK(INDEX('Policy Characteristics'!L:L,MATCH($C1779,'Policy Characteristics'!$C:$C,0))),"",INDEX('Policy Characteristics'!L:L,MATCH($C1779,'Policy Characteristics'!$C:$C,0)))</f>
        <v>fuel-taxes.html</v>
      </c>
    </row>
    <row r="1780" spans="1:18" s="4" customFormat="1" x14ac:dyDescent="0.3">
      <c r="A1780" s="254" t="str">
        <f>IF(ISBLANK(INDEX('Policy Characteristics'!A:A,MATCH($C1780,'Policy Characteristics'!$C:$C,0))),"",INDEX('Policy Characteristics'!A:A,MATCH($C1780,'Policy Characteristics'!$C:$C,0)))</f>
        <v>Cross-Sector</v>
      </c>
      <c r="B1780" s="262" t="str">
        <f>IF(ISBLANK(INDEX('Policy Characteristics'!B:B,MATCH($C1780,'Policy Characteristics'!$C:$C,0))),"",INDEX('Policy Characteristics'!B:B,MATCH($C1780,'Policy Characteristics'!$C:$C,0)))</f>
        <v>Fuel Taxes or Subsidies</v>
      </c>
      <c r="C1780" s="320" t="str">
        <f t="shared" si="67"/>
        <v>Additional Fuel Tax or Subsidy Rate by Fuel</v>
      </c>
      <c r="D1780" s="6" t="s">
        <v>55</v>
      </c>
      <c r="E1780" s="45" t="s">
        <v>3772</v>
      </c>
      <c r="F1780" s="6" t="s">
        <v>97</v>
      </c>
      <c r="G1780" s="45" t="s">
        <v>2793</v>
      </c>
      <c r="H1780" s="43">
        <v>2423</v>
      </c>
      <c r="I1780" s="325" t="s">
        <v>44</v>
      </c>
      <c r="J1780" s="255" t="str">
        <f>IF(ISBLANK(INDEX('Policy Characteristics'!D:D,MATCH($C1780,'Policy Characteristics'!$C:$C,0))),"",INDEX('Policy Characteristics'!D:D,MATCH($C1780,'Policy Characteristics'!$C:$C,0)))</f>
        <v>Fuel Taxes or Subsidies</v>
      </c>
      <c r="K1780" s="254" t="str">
        <f>IF(ISBLANK(INDEX('Policy Characteristics'!E:E,MATCH($C1780,'Policy Characteristics'!$C:$C,0))),"",INDEX('Policy Characteristics'!E:E,MATCH($C1780,'Policy Characteristics'!$C:$C,0)))</f>
        <v>cross fuel tax</v>
      </c>
      <c r="L1780" s="261">
        <f>IF(ISBLANK(INDEX('Policy Characteristics'!F:F,MATCH($C1780,'Policy Characteristics'!$C:$C,0))),"",INDEX('Policy Characteristics'!F:F,MATCH($C1780,'Policy Characteristics'!$C:$C,0)))</f>
        <v>-0.9</v>
      </c>
      <c r="M1780" s="261">
        <f>IF(ISBLANK(INDEX('Policy Characteristics'!G:G,MATCH($C1780,'Policy Characteristics'!$C:$C,0))),"",INDEX('Policy Characteristics'!G:G,MATCH($C1780,'Policy Characteristics'!$C:$C,0)))</f>
        <v>0.9</v>
      </c>
      <c r="N1780" s="261">
        <f>IF(ISBLANK(INDEX('Policy Characteristics'!H:H,MATCH($C1780,'Policy Characteristics'!$C:$C,0))),"",INDEX('Policy Characteristics'!H:H,MATCH($C1780,'Policy Characteristics'!$C:$C,0)))</f>
        <v>0.01</v>
      </c>
      <c r="O1780" s="254" t="str">
        <f>IF(ISBLANK(INDEX('Policy Characteristics'!I:I,MATCH($C1780,'Policy Characteristics'!$C:$C,0))),"",INDEX('Policy Characteristics'!I:I,MATCH($C1780,'Policy Characteristics'!$C:$C,0)))</f>
        <v>% of BAU price</v>
      </c>
      <c r="P1780" s="254"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4" t="str">
        <f>IF(ISBLANK(INDEX('Policy Characteristics'!K:K,MATCH($C1780,'Policy Characteristics'!$C:$C,0))),"",INDEX('Policy Characteristics'!K:K,MATCH($C1780,'Policy Characteristics'!$C:$C,0)))</f>
        <v>fuels.html#fuel-taxes</v>
      </c>
      <c r="R1780" s="254" t="str">
        <f>IF(ISBLANK(INDEX('Policy Characteristics'!L:L,MATCH($C1780,'Policy Characteristics'!$C:$C,0))),"",INDEX('Policy Characteristics'!L:L,MATCH($C1780,'Policy Characteristics'!$C:$C,0)))</f>
        <v>fuel-taxes.html</v>
      </c>
    </row>
    <row r="1781" spans="1:18" s="4" customFormat="1" x14ac:dyDescent="0.3">
      <c r="A1781" s="254" t="str">
        <f>IF(ISBLANK(INDEX('Policy Characteristics'!A:A,MATCH($C1781,'Policy Characteristics'!$C:$C,0))),"",INDEX('Policy Characteristics'!A:A,MATCH($C1781,'Policy Characteristics'!$C:$C,0)))</f>
        <v>Cross-Sector</v>
      </c>
      <c r="B1781" s="262" t="str">
        <f>IF(ISBLANK(INDEX('Policy Characteristics'!B:B,MATCH($C1781,'Policy Characteristics'!$C:$C,0))),"",INDEX('Policy Characteristics'!B:B,MATCH($C1781,'Policy Characteristics'!$C:$C,0)))</f>
        <v>Fuel Taxes or Subsidies</v>
      </c>
      <c r="C1781" s="320" t="str">
        <f t="shared" si="67"/>
        <v>Additional Fuel Tax or Subsidy Rate by Fuel</v>
      </c>
      <c r="D1781" s="6" t="s">
        <v>56</v>
      </c>
      <c r="E1781" s="45" t="s">
        <v>3772</v>
      </c>
      <c r="F1781" s="6" t="s">
        <v>98</v>
      </c>
      <c r="G1781" s="45" t="s">
        <v>2793</v>
      </c>
      <c r="H1781" s="43">
        <v>2424</v>
      </c>
      <c r="I1781" s="325" t="s">
        <v>44</v>
      </c>
      <c r="J1781" s="255" t="str">
        <f>IF(ISBLANK(INDEX('Policy Characteristics'!D:D,MATCH($C1781,'Policy Characteristics'!$C:$C,0))),"",INDEX('Policy Characteristics'!D:D,MATCH($C1781,'Policy Characteristics'!$C:$C,0)))</f>
        <v>Fuel Taxes or Subsidies</v>
      </c>
      <c r="K1781" s="254" t="str">
        <f>IF(ISBLANK(INDEX('Policy Characteristics'!E:E,MATCH($C1781,'Policy Characteristics'!$C:$C,0))),"",INDEX('Policy Characteristics'!E:E,MATCH($C1781,'Policy Characteristics'!$C:$C,0)))</f>
        <v>cross fuel tax</v>
      </c>
      <c r="L1781" s="261">
        <f>IF(ISBLANK(INDEX('Policy Characteristics'!F:F,MATCH($C1781,'Policy Characteristics'!$C:$C,0))),"",INDEX('Policy Characteristics'!F:F,MATCH($C1781,'Policy Characteristics'!$C:$C,0)))</f>
        <v>-0.9</v>
      </c>
      <c r="M1781" s="261">
        <f>IF(ISBLANK(INDEX('Policy Characteristics'!G:G,MATCH($C1781,'Policy Characteristics'!$C:$C,0))),"",INDEX('Policy Characteristics'!G:G,MATCH($C1781,'Policy Characteristics'!$C:$C,0)))</f>
        <v>0.9</v>
      </c>
      <c r="N1781" s="261">
        <f>IF(ISBLANK(INDEX('Policy Characteristics'!H:H,MATCH($C1781,'Policy Characteristics'!$C:$C,0))),"",INDEX('Policy Characteristics'!H:H,MATCH($C1781,'Policy Characteristics'!$C:$C,0)))</f>
        <v>0.01</v>
      </c>
      <c r="O1781" s="254" t="str">
        <f>IF(ISBLANK(INDEX('Policy Characteristics'!I:I,MATCH($C1781,'Policy Characteristics'!$C:$C,0))),"",INDEX('Policy Characteristics'!I:I,MATCH($C1781,'Policy Characteristics'!$C:$C,0)))</f>
        <v>% of BAU price</v>
      </c>
      <c r="P1781" s="254"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4" t="str">
        <f>IF(ISBLANK(INDEX('Policy Characteristics'!K:K,MATCH($C1781,'Policy Characteristics'!$C:$C,0))),"",INDEX('Policy Characteristics'!K:K,MATCH($C1781,'Policy Characteristics'!$C:$C,0)))</f>
        <v>fuels.html#fuel-taxes</v>
      </c>
      <c r="R1781" s="254" t="str">
        <f>IF(ISBLANK(INDEX('Policy Characteristics'!L:L,MATCH($C1781,'Policy Characteristics'!$C:$C,0))),"",INDEX('Policy Characteristics'!L:L,MATCH($C1781,'Policy Characteristics'!$C:$C,0)))</f>
        <v>fuel-taxes.html</v>
      </c>
    </row>
    <row r="1782" spans="1:18" x14ac:dyDescent="0.3">
      <c r="A1782" s="254" t="str">
        <f>IF(ISBLANK(INDEX('Policy Characteristics'!A:A,MATCH($C1782,'Policy Characteristics'!$C:$C,0))),"",INDEX('Policy Characteristics'!A:A,MATCH($C1782,'Policy Characteristics'!$C:$C,0)))</f>
        <v>Cross-Sector</v>
      </c>
      <c r="B1782" s="262" t="str">
        <f>IF(ISBLANK(INDEX('Policy Characteristics'!B:B,MATCH($C1782,'Policy Characteristics'!$C:$C,0))),"",INDEX('Policy Characteristics'!B:B,MATCH($C1782,'Policy Characteristics'!$C:$C,0)))</f>
        <v>Fuel Taxes or Subsidies</v>
      </c>
      <c r="C1782" s="320" t="str">
        <f t="shared" si="67"/>
        <v>Additional Fuel Tax or Subsidy Rate by Fuel</v>
      </c>
      <c r="D1782" s="6" t="s">
        <v>2473</v>
      </c>
      <c r="E1782" s="45" t="s">
        <v>3772</v>
      </c>
      <c r="F1782" s="6" t="s">
        <v>2474</v>
      </c>
      <c r="G1782" s="45" t="s">
        <v>2793</v>
      </c>
      <c r="H1782" s="43">
        <v>2425</v>
      </c>
      <c r="I1782" s="325" t="s">
        <v>44</v>
      </c>
      <c r="J1782" s="255" t="str">
        <f>IF(ISBLANK(INDEX('Policy Characteristics'!D:D,MATCH($C1782,'Policy Characteristics'!$C:$C,0))),"",INDEX('Policy Characteristics'!D:D,MATCH($C1782,'Policy Characteristics'!$C:$C,0)))</f>
        <v>Fuel Taxes or Subsidies</v>
      </c>
      <c r="K1782" s="254" t="str">
        <f>IF(ISBLANK(INDEX('Policy Characteristics'!E:E,MATCH($C1782,'Policy Characteristics'!$C:$C,0))),"",INDEX('Policy Characteristics'!E:E,MATCH($C1782,'Policy Characteristics'!$C:$C,0)))</f>
        <v>cross fuel tax</v>
      </c>
      <c r="L1782" s="261">
        <f>IF(ISBLANK(INDEX('Policy Characteristics'!F:F,MATCH($C1782,'Policy Characteristics'!$C:$C,0))),"",INDEX('Policy Characteristics'!F:F,MATCH($C1782,'Policy Characteristics'!$C:$C,0)))</f>
        <v>-0.9</v>
      </c>
      <c r="M1782" s="261">
        <f>IF(ISBLANK(INDEX('Policy Characteristics'!G:G,MATCH($C1782,'Policy Characteristics'!$C:$C,0))),"",INDEX('Policy Characteristics'!G:G,MATCH($C1782,'Policy Characteristics'!$C:$C,0)))</f>
        <v>0.9</v>
      </c>
      <c r="N1782" s="261">
        <f>IF(ISBLANK(INDEX('Policy Characteristics'!H:H,MATCH($C1782,'Policy Characteristics'!$C:$C,0))),"",INDEX('Policy Characteristics'!H:H,MATCH($C1782,'Policy Characteristics'!$C:$C,0)))</f>
        <v>0.01</v>
      </c>
      <c r="O1782" s="254" t="str">
        <f>IF(ISBLANK(INDEX('Policy Characteristics'!I:I,MATCH($C1782,'Policy Characteristics'!$C:$C,0))),"",INDEX('Policy Characteristics'!I:I,MATCH($C1782,'Policy Characteristics'!$C:$C,0)))</f>
        <v>% of BAU price</v>
      </c>
      <c r="P1782" s="254"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4" t="str">
        <f>IF(ISBLANK(INDEX('Policy Characteristics'!K:K,MATCH($C1782,'Policy Characteristics'!$C:$C,0))),"",INDEX('Policy Characteristics'!K:K,MATCH($C1782,'Policy Characteristics'!$C:$C,0)))</f>
        <v>fuels.html#fuel-taxes</v>
      </c>
      <c r="R1782" s="254" t="str">
        <f>IF(ISBLANK(INDEX('Policy Characteristics'!L:L,MATCH($C1782,'Policy Characteristics'!$C:$C,0))),"",INDEX('Policy Characteristics'!L:L,MATCH($C1782,'Policy Characteristics'!$C:$C,0)))</f>
        <v>fuel-taxes.html</v>
      </c>
    </row>
    <row r="1783" spans="1:18" x14ac:dyDescent="0.3">
      <c r="A1783" s="254" t="str">
        <f>IF(ISBLANK(INDEX('Policy Characteristics'!A:A,MATCH($C1783,'Policy Characteristics'!$C:$C,0))),"",INDEX('Policy Characteristics'!A:A,MATCH($C1783,'Policy Characteristics'!$C:$C,0)))</f>
        <v>Cross-Sector</v>
      </c>
      <c r="B1783" s="262" t="str">
        <f>IF(ISBLANK(INDEX('Policy Characteristics'!B:B,MATCH($C1783,'Policy Characteristics'!$C:$C,0))),"",INDEX('Policy Characteristics'!B:B,MATCH($C1783,'Policy Characteristics'!$C:$C,0)))</f>
        <v>Fuel Taxes or Subsidies</v>
      </c>
      <c r="C1783" s="320" t="str">
        <f t="shared" ref="C1783:C1789" si="68">C$1654</f>
        <v>Additional Fuel Tax or Subsidy Rate by Fuel</v>
      </c>
      <c r="D1783" s="6" t="s">
        <v>75</v>
      </c>
      <c r="E1783" s="45" t="s">
        <v>3772</v>
      </c>
      <c r="F1783" s="6" t="s">
        <v>99</v>
      </c>
      <c r="G1783" s="45" t="s">
        <v>2793</v>
      </c>
      <c r="H1783" s="43">
        <v>2426</v>
      </c>
      <c r="I1783" s="325" t="s">
        <v>44</v>
      </c>
      <c r="J1783" s="255" t="str">
        <f>IF(ISBLANK(INDEX('Policy Characteristics'!D:D,MATCH($C1783,'Policy Characteristics'!$C:$C,0))),"",INDEX('Policy Characteristics'!D:D,MATCH($C1783,'Policy Characteristics'!$C:$C,0)))</f>
        <v>Fuel Taxes or Subsidies</v>
      </c>
      <c r="K1783" s="254" t="str">
        <f>IF(ISBLANK(INDEX('Policy Characteristics'!E:E,MATCH($C1783,'Policy Characteristics'!$C:$C,0))),"",INDEX('Policy Characteristics'!E:E,MATCH($C1783,'Policy Characteristics'!$C:$C,0)))</f>
        <v>cross fuel tax</v>
      </c>
      <c r="L1783" s="261">
        <f>IF(ISBLANK(INDEX('Policy Characteristics'!F:F,MATCH($C1783,'Policy Characteristics'!$C:$C,0))),"",INDEX('Policy Characteristics'!F:F,MATCH($C1783,'Policy Characteristics'!$C:$C,0)))</f>
        <v>-0.9</v>
      </c>
      <c r="M1783" s="261">
        <f>IF(ISBLANK(INDEX('Policy Characteristics'!G:G,MATCH($C1783,'Policy Characteristics'!$C:$C,0))),"",INDEX('Policy Characteristics'!G:G,MATCH($C1783,'Policy Characteristics'!$C:$C,0)))</f>
        <v>0.9</v>
      </c>
      <c r="N1783" s="261">
        <f>IF(ISBLANK(INDEX('Policy Characteristics'!H:H,MATCH($C1783,'Policy Characteristics'!$C:$C,0))),"",INDEX('Policy Characteristics'!H:H,MATCH($C1783,'Policy Characteristics'!$C:$C,0)))</f>
        <v>0.01</v>
      </c>
      <c r="O1783" s="254" t="str">
        <f>IF(ISBLANK(INDEX('Policy Characteristics'!I:I,MATCH($C1783,'Policy Characteristics'!$C:$C,0))),"",INDEX('Policy Characteristics'!I:I,MATCH($C1783,'Policy Characteristics'!$C:$C,0)))</f>
        <v>% of BAU price</v>
      </c>
      <c r="P1783" s="254"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4" t="str">
        <f>IF(ISBLANK(INDEX('Policy Characteristics'!K:K,MATCH($C1783,'Policy Characteristics'!$C:$C,0))),"",INDEX('Policy Characteristics'!K:K,MATCH($C1783,'Policy Characteristics'!$C:$C,0)))</f>
        <v>fuels.html#fuel-taxes</v>
      </c>
      <c r="R1783" s="254" t="str">
        <f>IF(ISBLANK(INDEX('Policy Characteristics'!L:L,MATCH($C1783,'Policy Characteristics'!$C:$C,0))),"",INDEX('Policy Characteristics'!L:L,MATCH($C1783,'Policy Characteristics'!$C:$C,0)))</f>
        <v>fuel-taxes.html</v>
      </c>
    </row>
    <row r="1784" spans="1:18" x14ac:dyDescent="0.3">
      <c r="A1784" s="254" t="str">
        <f>IF(ISBLANK(INDEX('Policy Characteristics'!A:A,MATCH($C1784,'Policy Characteristics'!$C:$C,0))),"",INDEX('Policy Characteristics'!A:A,MATCH($C1784,'Policy Characteristics'!$C:$C,0)))</f>
        <v>Cross-Sector</v>
      </c>
      <c r="B1784" s="262" t="str">
        <f>IF(ISBLANK(INDEX('Policy Characteristics'!B:B,MATCH($C1784,'Policy Characteristics'!$C:$C,0))),"",INDEX('Policy Characteristics'!B:B,MATCH($C1784,'Policy Characteristics'!$C:$C,0)))</f>
        <v>Fuel Taxes or Subsidies</v>
      </c>
      <c r="C1784" s="320" t="str">
        <f t="shared" si="68"/>
        <v>Additional Fuel Tax or Subsidy Rate by Fuel</v>
      </c>
      <c r="D1784" s="6" t="s">
        <v>442</v>
      </c>
      <c r="E1784" s="45" t="s">
        <v>3772</v>
      </c>
      <c r="F1784" s="6" t="s">
        <v>443</v>
      </c>
      <c r="G1784" s="45" t="s">
        <v>2793</v>
      </c>
      <c r="H1784" s="43">
        <v>2427</v>
      </c>
      <c r="I1784" s="325" t="s">
        <v>44</v>
      </c>
      <c r="J1784" s="255" t="str">
        <f>IF(ISBLANK(INDEX('Policy Characteristics'!D:D,MATCH($C1784,'Policy Characteristics'!$C:$C,0))),"",INDEX('Policy Characteristics'!D:D,MATCH($C1784,'Policy Characteristics'!$C:$C,0)))</f>
        <v>Fuel Taxes or Subsidies</v>
      </c>
      <c r="K1784" s="254" t="str">
        <f>IF(ISBLANK(INDEX('Policy Characteristics'!E:E,MATCH($C1784,'Policy Characteristics'!$C:$C,0))),"",INDEX('Policy Characteristics'!E:E,MATCH($C1784,'Policy Characteristics'!$C:$C,0)))</f>
        <v>cross fuel tax</v>
      </c>
      <c r="L1784" s="261">
        <f>IF(ISBLANK(INDEX('Policy Characteristics'!F:F,MATCH($C1784,'Policy Characteristics'!$C:$C,0))),"",INDEX('Policy Characteristics'!F:F,MATCH($C1784,'Policy Characteristics'!$C:$C,0)))</f>
        <v>-0.9</v>
      </c>
      <c r="M1784" s="261">
        <f>IF(ISBLANK(INDEX('Policy Characteristics'!G:G,MATCH($C1784,'Policy Characteristics'!$C:$C,0))),"",INDEX('Policy Characteristics'!G:G,MATCH($C1784,'Policy Characteristics'!$C:$C,0)))</f>
        <v>0.9</v>
      </c>
      <c r="N1784" s="261">
        <f>IF(ISBLANK(INDEX('Policy Characteristics'!H:H,MATCH($C1784,'Policy Characteristics'!$C:$C,0))),"",INDEX('Policy Characteristics'!H:H,MATCH($C1784,'Policy Characteristics'!$C:$C,0)))</f>
        <v>0.01</v>
      </c>
      <c r="O1784" s="254" t="str">
        <f>IF(ISBLANK(INDEX('Policy Characteristics'!I:I,MATCH($C1784,'Policy Characteristics'!$C:$C,0))),"",INDEX('Policy Characteristics'!I:I,MATCH($C1784,'Policy Characteristics'!$C:$C,0)))</f>
        <v>% of BAU price</v>
      </c>
      <c r="P1784" s="254"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4" t="str">
        <f>IF(ISBLANK(INDEX('Policy Characteristics'!K:K,MATCH($C1784,'Policy Characteristics'!$C:$C,0))),"",INDEX('Policy Characteristics'!K:K,MATCH($C1784,'Policy Characteristics'!$C:$C,0)))</f>
        <v>fuels.html#fuel-taxes</v>
      </c>
      <c r="R1784" s="254" t="str">
        <f>IF(ISBLANK(INDEX('Policy Characteristics'!L:L,MATCH($C1784,'Policy Characteristics'!$C:$C,0))),"",INDEX('Policy Characteristics'!L:L,MATCH($C1784,'Policy Characteristics'!$C:$C,0)))</f>
        <v>fuel-taxes.html</v>
      </c>
    </row>
    <row r="1785" spans="1:18" x14ac:dyDescent="0.3">
      <c r="A1785" s="254" t="str">
        <f>IF(ISBLANK(INDEX('Policy Characteristics'!A:A,MATCH($C1785,'Policy Characteristics'!$C:$C,0))),"",INDEX('Policy Characteristics'!A:A,MATCH($C1785,'Policy Characteristics'!$C:$C,0)))</f>
        <v>Cross-Sector</v>
      </c>
      <c r="B1785" s="262" t="str">
        <f>IF(ISBLANK(INDEX('Policy Characteristics'!B:B,MATCH($C1785,'Policy Characteristics'!$C:$C,0))),"",INDEX('Policy Characteristics'!B:B,MATCH($C1785,'Policy Characteristics'!$C:$C,0)))</f>
        <v>Fuel Taxes or Subsidies</v>
      </c>
      <c r="C1785" s="320" t="str">
        <f t="shared" si="68"/>
        <v>Additional Fuel Tax or Subsidy Rate by Fuel</v>
      </c>
      <c r="D1785" s="6" t="s">
        <v>2465</v>
      </c>
      <c r="E1785" s="45" t="s">
        <v>3772</v>
      </c>
      <c r="F1785" s="6" t="s">
        <v>2469</v>
      </c>
      <c r="G1785" s="45" t="s">
        <v>2793</v>
      </c>
      <c r="H1785" s="43">
        <v>2428</v>
      </c>
      <c r="I1785" s="325" t="s">
        <v>44</v>
      </c>
      <c r="J1785" s="255" t="str">
        <f>IF(ISBLANK(INDEX('Policy Characteristics'!D:D,MATCH($C1785,'Policy Characteristics'!$C:$C,0))),"",INDEX('Policy Characteristics'!D:D,MATCH($C1785,'Policy Characteristics'!$C:$C,0)))</f>
        <v>Fuel Taxes or Subsidies</v>
      </c>
      <c r="K1785" s="254" t="str">
        <f>IF(ISBLANK(INDEX('Policy Characteristics'!E:E,MATCH($C1785,'Policy Characteristics'!$C:$C,0))),"",INDEX('Policy Characteristics'!E:E,MATCH($C1785,'Policy Characteristics'!$C:$C,0)))</f>
        <v>cross fuel tax</v>
      </c>
      <c r="L1785" s="261">
        <f>IF(ISBLANK(INDEX('Policy Characteristics'!F:F,MATCH($C1785,'Policy Characteristics'!$C:$C,0))),"",INDEX('Policy Characteristics'!F:F,MATCH($C1785,'Policy Characteristics'!$C:$C,0)))</f>
        <v>-0.9</v>
      </c>
      <c r="M1785" s="261">
        <f>IF(ISBLANK(INDEX('Policy Characteristics'!G:G,MATCH($C1785,'Policy Characteristics'!$C:$C,0))),"",INDEX('Policy Characteristics'!G:G,MATCH($C1785,'Policy Characteristics'!$C:$C,0)))</f>
        <v>0.9</v>
      </c>
      <c r="N1785" s="261">
        <f>IF(ISBLANK(INDEX('Policy Characteristics'!H:H,MATCH($C1785,'Policy Characteristics'!$C:$C,0))),"",INDEX('Policy Characteristics'!H:H,MATCH($C1785,'Policy Characteristics'!$C:$C,0)))</f>
        <v>0.01</v>
      </c>
      <c r="O1785" s="254" t="str">
        <f>IF(ISBLANK(INDEX('Policy Characteristics'!I:I,MATCH($C1785,'Policy Characteristics'!$C:$C,0))),"",INDEX('Policy Characteristics'!I:I,MATCH($C1785,'Policy Characteristics'!$C:$C,0)))</f>
        <v>% of BAU price</v>
      </c>
      <c r="P1785" s="254"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4" t="str">
        <f>IF(ISBLANK(INDEX('Policy Characteristics'!K:K,MATCH($C1785,'Policy Characteristics'!$C:$C,0))),"",INDEX('Policy Characteristics'!K:K,MATCH($C1785,'Policy Characteristics'!$C:$C,0)))</f>
        <v>fuels.html#fuel-taxes</v>
      </c>
      <c r="R1785" s="254" t="str">
        <f>IF(ISBLANK(INDEX('Policy Characteristics'!L:L,MATCH($C1785,'Policy Characteristics'!$C:$C,0))),"",INDEX('Policy Characteristics'!L:L,MATCH($C1785,'Policy Characteristics'!$C:$C,0)))</f>
        <v>fuel-taxes.html</v>
      </c>
    </row>
    <row r="1786" spans="1:18" x14ac:dyDescent="0.3">
      <c r="A1786" s="254" t="str">
        <f>IF(ISBLANK(INDEX('Policy Characteristics'!A:A,MATCH($C1786,'Policy Characteristics'!$C:$C,0))),"",INDEX('Policy Characteristics'!A:A,MATCH($C1786,'Policy Characteristics'!$C:$C,0)))</f>
        <v>Cross-Sector</v>
      </c>
      <c r="B1786" s="262" t="str">
        <f>IF(ISBLANK(INDEX('Policy Characteristics'!B:B,MATCH($C1786,'Policy Characteristics'!$C:$C,0))),"",INDEX('Policy Characteristics'!B:B,MATCH($C1786,'Policy Characteristics'!$C:$C,0)))</f>
        <v>Fuel Taxes or Subsidies</v>
      </c>
      <c r="C1786" s="320" t="str">
        <f t="shared" si="68"/>
        <v>Additional Fuel Tax or Subsidy Rate by Fuel</v>
      </c>
      <c r="D1786" s="6" t="s">
        <v>2475</v>
      </c>
      <c r="E1786" s="45" t="s">
        <v>3772</v>
      </c>
      <c r="F1786" s="6" t="s">
        <v>2476</v>
      </c>
      <c r="G1786" s="45" t="s">
        <v>2793</v>
      </c>
      <c r="H1786" s="43">
        <v>2429</v>
      </c>
      <c r="I1786" s="325" t="s">
        <v>44</v>
      </c>
      <c r="J1786" s="255" t="str">
        <f>IF(ISBLANK(INDEX('Policy Characteristics'!D:D,MATCH($C1786,'Policy Characteristics'!$C:$C,0))),"",INDEX('Policy Characteristics'!D:D,MATCH($C1786,'Policy Characteristics'!$C:$C,0)))</f>
        <v>Fuel Taxes or Subsidies</v>
      </c>
      <c r="K1786" s="254" t="str">
        <f>IF(ISBLANK(INDEX('Policy Characteristics'!E:E,MATCH($C1786,'Policy Characteristics'!$C:$C,0))),"",INDEX('Policy Characteristics'!E:E,MATCH($C1786,'Policy Characteristics'!$C:$C,0)))</f>
        <v>cross fuel tax</v>
      </c>
      <c r="L1786" s="261">
        <f>IF(ISBLANK(INDEX('Policy Characteristics'!F:F,MATCH($C1786,'Policy Characteristics'!$C:$C,0))),"",INDEX('Policy Characteristics'!F:F,MATCH($C1786,'Policy Characteristics'!$C:$C,0)))</f>
        <v>-0.9</v>
      </c>
      <c r="M1786" s="261">
        <f>IF(ISBLANK(INDEX('Policy Characteristics'!G:G,MATCH($C1786,'Policy Characteristics'!$C:$C,0))),"",INDEX('Policy Characteristics'!G:G,MATCH($C1786,'Policy Characteristics'!$C:$C,0)))</f>
        <v>0.9</v>
      </c>
      <c r="N1786" s="261">
        <f>IF(ISBLANK(INDEX('Policy Characteristics'!H:H,MATCH($C1786,'Policy Characteristics'!$C:$C,0))),"",INDEX('Policy Characteristics'!H:H,MATCH($C1786,'Policy Characteristics'!$C:$C,0)))</f>
        <v>0.01</v>
      </c>
      <c r="O1786" s="254" t="str">
        <f>IF(ISBLANK(INDEX('Policy Characteristics'!I:I,MATCH($C1786,'Policy Characteristics'!$C:$C,0))),"",INDEX('Policy Characteristics'!I:I,MATCH($C1786,'Policy Characteristics'!$C:$C,0)))</f>
        <v>% of BAU price</v>
      </c>
      <c r="P1786" s="254"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4" t="str">
        <f>IF(ISBLANK(INDEX('Policy Characteristics'!K:K,MATCH($C1786,'Policy Characteristics'!$C:$C,0))),"",INDEX('Policy Characteristics'!K:K,MATCH($C1786,'Policy Characteristics'!$C:$C,0)))</f>
        <v>fuels.html#fuel-taxes</v>
      </c>
      <c r="R1786" s="254" t="str">
        <f>IF(ISBLANK(INDEX('Policy Characteristics'!L:L,MATCH($C1786,'Policy Characteristics'!$C:$C,0))),"",INDEX('Policy Characteristics'!L:L,MATCH($C1786,'Policy Characteristics'!$C:$C,0)))</f>
        <v>fuel-taxes.html</v>
      </c>
    </row>
    <row r="1787" spans="1:18" x14ac:dyDescent="0.3">
      <c r="A1787" s="254" t="str">
        <f>IF(ISBLANK(INDEX('Policy Characteristics'!A:A,MATCH($C1787,'Policy Characteristics'!$C:$C,0))),"",INDEX('Policy Characteristics'!A:A,MATCH($C1787,'Policy Characteristics'!$C:$C,0)))</f>
        <v>Cross-Sector</v>
      </c>
      <c r="B1787" s="262" t="str">
        <f>IF(ISBLANK(INDEX('Policy Characteristics'!B:B,MATCH($C1787,'Policy Characteristics'!$C:$C,0))),"",INDEX('Policy Characteristics'!B:B,MATCH($C1787,'Policy Characteristics'!$C:$C,0)))</f>
        <v>Fuel Taxes or Subsidies</v>
      </c>
      <c r="C1787" s="320" t="str">
        <f t="shared" si="68"/>
        <v>Additional Fuel Tax or Subsidy Rate by Fuel</v>
      </c>
      <c r="D1787" s="6" t="s">
        <v>2466</v>
      </c>
      <c r="E1787" s="45" t="s">
        <v>3772</v>
      </c>
      <c r="F1787" s="6" t="s">
        <v>2470</v>
      </c>
      <c r="G1787" s="45" t="s">
        <v>2793</v>
      </c>
      <c r="H1787" s="43">
        <v>2430</v>
      </c>
      <c r="I1787" s="325" t="s">
        <v>44</v>
      </c>
      <c r="J1787" s="255" t="str">
        <f>IF(ISBLANK(INDEX('Policy Characteristics'!D:D,MATCH($C1787,'Policy Characteristics'!$C:$C,0))),"",INDEX('Policy Characteristics'!D:D,MATCH($C1787,'Policy Characteristics'!$C:$C,0)))</f>
        <v>Fuel Taxes or Subsidies</v>
      </c>
      <c r="K1787" s="254" t="str">
        <f>IF(ISBLANK(INDEX('Policy Characteristics'!E:E,MATCH($C1787,'Policy Characteristics'!$C:$C,0))),"",INDEX('Policy Characteristics'!E:E,MATCH($C1787,'Policy Characteristics'!$C:$C,0)))</f>
        <v>cross fuel tax</v>
      </c>
      <c r="L1787" s="261">
        <f>IF(ISBLANK(INDEX('Policy Characteristics'!F:F,MATCH($C1787,'Policy Characteristics'!$C:$C,0))),"",INDEX('Policy Characteristics'!F:F,MATCH($C1787,'Policy Characteristics'!$C:$C,0)))</f>
        <v>-0.9</v>
      </c>
      <c r="M1787" s="261">
        <f>IF(ISBLANK(INDEX('Policy Characteristics'!G:G,MATCH($C1787,'Policy Characteristics'!$C:$C,0))),"",INDEX('Policy Characteristics'!G:G,MATCH($C1787,'Policy Characteristics'!$C:$C,0)))</f>
        <v>0.9</v>
      </c>
      <c r="N1787" s="261">
        <f>IF(ISBLANK(INDEX('Policy Characteristics'!H:H,MATCH($C1787,'Policy Characteristics'!$C:$C,0))),"",INDEX('Policy Characteristics'!H:H,MATCH($C1787,'Policy Characteristics'!$C:$C,0)))</f>
        <v>0.01</v>
      </c>
      <c r="O1787" s="254" t="str">
        <f>IF(ISBLANK(INDEX('Policy Characteristics'!I:I,MATCH($C1787,'Policy Characteristics'!$C:$C,0))),"",INDEX('Policy Characteristics'!I:I,MATCH($C1787,'Policy Characteristics'!$C:$C,0)))</f>
        <v>% of BAU price</v>
      </c>
      <c r="P1787" s="254"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4" t="str">
        <f>IF(ISBLANK(INDEX('Policy Characteristics'!K:K,MATCH($C1787,'Policy Characteristics'!$C:$C,0))),"",INDEX('Policy Characteristics'!K:K,MATCH($C1787,'Policy Characteristics'!$C:$C,0)))</f>
        <v>fuels.html#fuel-taxes</v>
      </c>
      <c r="R1787" s="254" t="str">
        <f>IF(ISBLANK(INDEX('Policy Characteristics'!L:L,MATCH($C1787,'Policy Characteristics'!$C:$C,0))),"",INDEX('Policy Characteristics'!L:L,MATCH($C1787,'Policy Characteristics'!$C:$C,0)))</f>
        <v>fuel-taxes.html</v>
      </c>
    </row>
    <row r="1788" spans="1:18" x14ac:dyDescent="0.3">
      <c r="A1788" s="254" t="str">
        <f>IF(ISBLANK(INDEX('Policy Characteristics'!A:A,MATCH($C1788,'Policy Characteristics'!$C:$C,0))),"",INDEX('Policy Characteristics'!A:A,MATCH($C1788,'Policy Characteristics'!$C:$C,0)))</f>
        <v>Cross-Sector</v>
      </c>
      <c r="B1788" s="262" t="str">
        <f>IF(ISBLANK(INDEX('Policy Characteristics'!B:B,MATCH($C1788,'Policy Characteristics'!$C:$C,0))),"",INDEX('Policy Characteristics'!B:B,MATCH($C1788,'Policy Characteristics'!$C:$C,0)))</f>
        <v>Fuel Taxes or Subsidies</v>
      </c>
      <c r="C1788" s="320" t="str">
        <f t="shared" si="68"/>
        <v>Additional Fuel Tax or Subsidy Rate by Fuel</v>
      </c>
      <c r="D1788" s="6" t="s">
        <v>2467</v>
      </c>
      <c r="E1788" s="45" t="s">
        <v>3772</v>
      </c>
      <c r="F1788" s="6" t="s">
        <v>2471</v>
      </c>
      <c r="G1788" s="45" t="s">
        <v>2793</v>
      </c>
      <c r="H1788" s="43">
        <v>2431</v>
      </c>
      <c r="I1788" s="325" t="s">
        <v>44</v>
      </c>
      <c r="J1788" s="255" t="str">
        <f>IF(ISBLANK(INDEX('Policy Characteristics'!D:D,MATCH($C1788,'Policy Characteristics'!$C:$C,0))),"",INDEX('Policy Characteristics'!D:D,MATCH($C1788,'Policy Characteristics'!$C:$C,0)))</f>
        <v>Fuel Taxes or Subsidies</v>
      </c>
      <c r="K1788" s="254" t="str">
        <f>IF(ISBLANK(INDEX('Policy Characteristics'!E:E,MATCH($C1788,'Policy Characteristics'!$C:$C,0))),"",INDEX('Policy Characteristics'!E:E,MATCH($C1788,'Policy Characteristics'!$C:$C,0)))</f>
        <v>cross fuel tax</v>
      </c>
      <c r="L1788" s="261">
        <f>IF(ISBLANK(INDEX('Policy Characteristics'!F:F,MATCH($C1788,'Policy Characteristics'!$C:$C,0))),"",INDEX('Policy Characteristics'!F:F,MATCH($C1788,'Policy Characteristics'!$C:$C,0)))</f>
        <v>-0.9</v>
      </c>
      <c r="M1788" s="261">
        <f>IF(ISBLANK(INDEX('Policy Characteristics'!G:G,MATCH($C1788,'Policy Characteristics'!$C:$C,0))),"",INDEX('Policy Characteristics'!G:G,MATCH($C1788,'Policy Characteristics'!$C:$C,0)))</f>
        <v>0.9</v>
      </c>
      <c r="N1788" s="261">
        <f>IF(ISBLANK(INDEX('Policy Characteristics'!H:H,MATCH($C1788,'Policy Characteristics'!$C:$C,0))),"",INDEX('Policy Characteristics'!H:H,MATCH($C1788,'Policy Characteristics'!$C:$C,0)))</f>
        <v>0.01</v>
      </c>
      <c r="O1788" s="254" t="str">
        <f>IF(ISBLANK(INDEX('Policy Characteristics'!I:I,MATCH($C1788,'Policy Characteristics'!$C:$C,0))),"",INDEX('Policy Characteristics'!I:I,MATCH($C1788,'Policy Characteristics'!$C:$C,0)))</f>
        <v>% of BAU price</v>
      </c>
      <c r="P1788" s="254"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4" t="str">
        <f>IF(ISBLANK(INDEX('Policy Characteristics'!K:K,MATCH($C1788,'Policy Characteristics'!$C:$C,0))),"",INDEX('Policy Characteristics'!K:K,MATCH($C1788,'Policy Characteristics'!$C:$C,0)))</f>
        <v>fuels.html#fuel-taxes</v>
      </c>
      <c r="R1788" s="254" t="str">
        <f>IF(ISBLANK(INDEX('Policy Characteristics'!L:L,MATCH($C1788,'Policy Characteristics'!$C:$C,0))),"",INDEX('Policy Characteristics'!L:L,MATCH($C1788,'Policy Characteristics'!$C:$C,0)))</f>
        <v>fuel-taxes.html</v>
      </c>
    </row>
    <row r="1789" spans="1:18" x14ac:dyDescent="0.3">
      <c r="A1789" s="254" t="str">
        <f>IF(ISBLANK(INDEX('Policy Characteristics'!A:A,MATCH($C1789,'Policy Characteristics'!$C:$C,0))),"",INDEX('Policy Characteristics'!A:A,MATCH($C1789,'Policy Characteristics'!$C:$C,0)))</f>
        <v>Cross-Sector</v>
      </c>
      <c r="B1789" s="262" t="str">
        <f>IF(ISBLANK(INDEX('Policy Characteristics'!B:B,MATCH($C1789,'Policy Characteristics'!$C:$C,0))),"",INDEX('Policy Characteristics'!B:B,MATCH($C1789,'Policy Characteristics'!$C:$C,0)))</f>
        <v>Fuel Taxes or Subsidies</v>
      </c>
      <c r="C1789" s="320" t="str">
        <f t="shared" si="68"/>
        <v>Additional Fuel Tax or Subsidy Rate by Fuel</v>
      </c>
      <c r="D1789" s="6" t="s">
        <v>2468</v>
      </c>
      <c r="E1789" s="45" t="s">
        <v>3772</v>
      </c>
      <c r="F1789" s="6" t="s">
        <v>2472</v>
      </c>
      <c r="G1789" s="45" t="s">
        <v>2793</v>
      </c>
      <c r="H1789" s="43">
        <v>2432</v>
      </c>
      <c r="I1789" s="325" t="s">
        <v>44</v>
      </c>
      <c r="J1789" s="255" t="str">
        <f>IF(ISBLANK(INDEX('Policy Characteristics'!D:D,MATCH($C1789,'Policy Characteristics'!$C:$C,0))),"",INDEX('Policy Characteristics'!D:D,MATCH($C1789,'Policy Characteristics'!$C:$C,0)))</f>
        <v>Fuel Taxes or Subsidies</v>
      </c>
      <c r="K1789" s="254" t="str">
        <f>IF(ISBLANK(INDEX('Policy Characteristics'!E:E,MATCH($C1789,'Policy Characteristics'!$C:$C,0))),"",INDEX('Policy Characteristics'!E:E,MATCH($C1789,'Policy Characteristics'!$C:$C,0)))</f>
        <v>cross fuel tax</v>
      </c>
      <c r="L1789" s="261">
        <f>IF(ISBLANK(INDEX('Policy Characteristics'!F:F,MATCH($C1789,'Policy Characteristics'!$C:$C,0))),"",INDEX('Policy Characteristics'!F:F,MATCH($C1789,'Policy Characteristics'!$C:$C,0)))</f>
        <v>-0.9</v>
      </c>
      <c r="M1789" s="261">
        <f>IF(ISBLANK(INDEX('Policy Characteristics'!G:G,MATCH($C1789,'Policy Characteristics'!$C:$C,0))),"",INDEX('Policy Characteristics'!G:G,MATCH($C1789,'Policy Characteristics'!$C:$C,0)))</f>
        <v>0.9</v>
      </c>
      <c r="N1789" s="261">
        <f>IF(ISBLANK(INDEX('Policy Characteristics'!H:H,MATCH($C1789,'Policy Characteristics'!$C:$C,0))),"",INDEX('Policy Characteristics'!H:H,MATCH($C1789,'Policy Characteristics'!$C:$C,0)))</f>
        <v>0.01</v>
      </c>
      <c r="O1789" s="254" t="str">
        <f>IF(ISBLANK(INDEX('Policy Characteristics'!I:I,MATCH($C1789,'Policy Characteristics'!$C:$C,0))),"",INDEX('Policy Characteristics'!I:I,MATCH($C1789,'Policy Characteristics'!$C:$C,0)))</f>
        <v>% of BAU price</v>
      </c>
      <c r="P1789" s="254"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4" t="str">
        <f>IF(ISBLANK(INDEX('Policy Characteristics'!K:K,MATCH($C1789,'Policy Characteristics'!$C:$C,0))),"",INDEX('Policy Characteristics'!K:K,MATCH($C1789,'Policy Characteristics'!$C:$C,0)))</f>
        <v>fuels.html#fuel-taxes</v>
      </c>
      <c r="R1789" s="254" t="str">
        <f>IF(ISBLANK(INDEX('Policy Characteristics'!L:L,MATCH($C1789,'Policy Characteristics'!$C:$C,0))),"",INDEX('Policy Characteristics'!L:L,MATCH($C1789,'Policy Characteristics'!$C:$C,0)))</f>
        <v>fuel-taxes.html</v>
      </c>
    </row>
    <row r="1790" spans="1:18" x14ac:dyDescent="0.3">
      <c r="A1790" s="254" t="str">
        <f>IF(ISBLANK(INDEX('Policy Characteristics'!A:A,MATCH($C1790,'Policy Characteristics'!$C:$C,0))),"",INDEX('Policy Characteristics'!A:A,MATCH($C1790,'Policy Characteristics'!$C:$C,0)))</f>
        <v>Cross-Sector</v>
      </c>
      <c r="B1790" s="262" t="str">
        <f>IF(ISBLANK(INDEX('Policy Characteristics'!B:B,MATCH($C1790,'Policy Characteristics'!$C:$C,0))),"",INDEX('Policy Characteristics'!B:B,MATCH($C1790,'Policy Characteristics'!$C:$C,0)))</f>
        <v>Non BAU Carbon Tax Vehicle Qualification</v>
      </c>
      <c r="C1790" t="s">
        <v>3726</v>
      </c>
      <c r="H1790" s="43">
        <v>2286</v>
      </c>
      <c r="I1790" s="322" t="s">
        <v>43</v>
      </c>
      <c r="J1790" s="255" t="str">
        <f>IF(ISBLANK(INDEX('Policy Characteristics'!D:D,MATCH($C1790,'Policy Characteristics'!$C:$C,0))),"",INDEX('Policy Characteristics'!D:D,MATCH($C1790,'Policy Characteristics'!$C:$C,0)))</f>
        <v/>
      </c>
      <c r="K1790" s="254" t="str">
        <f>IF(ISBLANK(INDEX('Policy Characteristics'!E:E,MATCH($C1790,'Policy Characteristics'!$C:$C,0))),"",INDEX('Policy Characteristics'!E:E,MATCH($C1790,'Policy Characteristics'!$C:$C,0)))</f>
        <v/>
      </c>
      <c r="L1790" s="359">
        <f>IF(ISBLANK(INDEX('Policy Characteristics'!F:F,MATCH($C1790,'Policy Characteristics'!$C:$C,0))),"",INDEX('Policy Characteristics'!F:F,MATCH($C1790,'Policy Characteristics'!$C:$C,0)))</f>
        <v>0</v>
      </c>
      <c r="M1790" s="359">
        <f>IF(ISBLANK(INDEX('Policy Characteristics'!G:G,MATCH($C1790,'Policy Characteristics'!$C:$C,0))),"",INDEX('Policy Characteristics'!G:G,MATCH($C1790,'Policy Characteristics'!$C:$C,0)))</f>
        <v>1</v>
      </c>
      <c r="N1790" s="359">
        <f>IF(ISBLANK(INDEX('Policy Characteristics'!H:H,MATCH($C1790,'Policy Characteristics'!$C:$C,0))),"",INDEX('Policy Characteristics'!H:H,MATCH($C1790,'Policy Characteristics'!$C:$C,0)))</f>
        <v>1</v>
      </c>
      <c r="O1790" s="254" t="str">
        <f>IF(ISBLANK(INDEX('Policy Characteristics'!I:I,MATCH($C1790,'Policy Characteristics'!$C:$C,0))),"",INDEX('Policy Characteristics'!I:I,MATCH($C1790,'Policy Characteristics'!$C:$C,0)))</f>
        <v>on/off</v>
      </c>
      <c r="P1790" s="254" t="str">
        <f>IF(ISBLANK(INDEX('Policy Characteristics'!J:J,MATCH($C1790,'Policy Characteristics'!$C:$C,0))),"",INDEX('Policy Characteristics'!J:J,MATCH($C1790,'Policy Characteristics'!$C:$C,0)))</f>
        <v xml:space="preserve">**Description:** This lever determines which vehicle types are captured under the scope of a carbon tax. In some regions, only certain vehicle types are covered by a carbon tax or cap. </v>
      </c>
      <c r="Q1790" s="254" t="str">
        <f>IF(ISBLANK(INDEX('Policy Characteristics'!K:K,MATCH($C1790,'Policy Characteristics'!$C:$C,0))),"",INDEX('Policy Characteristics'!K:K,MATCH($C1790,'Policy Characteristics'!$C:$C,0)))</f>
        <v/>
      </c>
      <c r="R1790" s="254" t="str">
        <f>IF(ISBLANK(INDEX('Policy Characteristics'!L:L,MATCH($C1790,'Policy Characteristics'!$C:$C,0))),"",INDEX('Policy Characteristics'!L:L,MATCH($C1790,'Policy Characteristics'!$C:$C,0)))</f>
        <v/>
      </c>
    </row>
    <row r="1791" spans="1:18" x14ac:dyDescent="0.3">
      <c r="A1791" s="254" t="str">
        <f>IF(ISBLANK(INDEX('Policy Characteristics'!A:A,MATCH($C1791,'Policy Characteristics'!$C:$C,0))),"",INDEX('Policy Characteristics'!A:A,MATCH($C1791,'Policy Characteristics'!$C:$C,0)))</f>
        <v>Cross-Sector</v>
      </c>
      <c r="B1791" s="262" t="str">
        <f>IF(ISBLANK(INDEX('Policy Characteristics'!B:B,MATCH($C1791,'Policy Characteristics'!$C:$C,0))),"",INDEX('Policy Characteristics'!B:B,MATCH($C1791,'Policy Characteristics'!$C:$C,0)))</f>
        <v>Non BAU Carbon Tax Industry Qualification</v>
      </c>
      <c r="C1791" t="s">
        <v>3727</v>
      </c>
      <c r="H1791" s="43">
        <v>2287</v>
      </c>
      <c r="I1791" s="322" t="s">
        <v>43</v>
      </c>
      <c r="J1791" s="255" t="str">
        <f>IF(ISBLANK(INDEX('Policy Characteristics'!D:D,MATCH($C1791,'Policy Characteristics'!$C:$C,0))),"",INDEX('Policy Characteristics'!D:D,MATCH($C1791,'Policy Characteristics'!$C:$C,0)))</f>
        <v/>
      </c>
      <c r="K1791" s="254" t="str">
        <f>IF(ISBLANK(INDEX('Policy Characteristics'!E:E,MATCH($C1791,'Policy Characteristics'!$C:$C,0))),"",INDEX('Policy Characteristics'!E:E,MATCH($C1791,'Policy Characteristics'!$C:$C,0)))</f>
        <v/>
      </c>
      <c r="L1791" s="359">
        <f>IF(ISBLANK(INDEX('Policy Characteristics'!F:F,MATCH($C1791,'Policy Characteristics'!$C:$C,0))),"",INDEX('Policy Characteristics'!F:F,MATCH($C1791,'Policy Characteristics'!$C:$C,0)))</f>
        <v>0</v>
      </c>
      <c r="M1791" s="359">
        <f>IF(ISBLANK(INDEX('Policy Characteristics'!G:G,MATCH($C1791,'Policy Characteristics'!$C:$C,0))),"",INDEX('Policy Characteristics'!G:G,MATCH($C1791,'Policy Characteristics'!$C:$C,0)))</f>
        <v>1</v>
      </c>
      <c r="N1791" s="359">
        <f>IF(ISBLANK(INDEX('Policy Characteristics'!H:H,MATCH($C1791,'Policy Characteristics'!$C:$C,0))),"",INDEX('Policy Characteristics'!H:H,MATCH($C1791,'Policy Characteristics'!$C:$C,0)))</f>
        <v>1</v>
      </c>
      <c r="O1791" s="254" t="str">
        <f>IF(ISBLANK(INDEX('Policy Characteristics'!I:I,MATCH($C1791,'Policy Characteristics'!$C:$C,0))),"",INDEX('Policy Characteristics'!I:I,MATCH($C1791,'Policy Characteristics'!$C:$C,0)))</f>
        <v>on/off</v>
      </c>
      <c r="P1791" s="254" t="str">
        <f>IF(ISBLANK(INDEX('Policy Characteristics'!J:J,MATCH($C1791,'Policy Characteristics'!$C:$C,0))),"",INDEX('Policy Characteristics'!J:J,MATCH($C1791,'Policy Characteristics'!$C:$C,0)))</f>
        <v xml:space="preserve">**Description:** This lever determines which industry categories are captured under the scope of a carbon tax. In some regions, only certain industries are covered by a carbon tax or cap. </v>
      </c>
      <c r="Q1791" s="254" t="str">
        <f>IF(ISBLANK(INDEX('Policy Characteristics'!K:K,MATCH($C1791,'Policy Characteristics'!$C:$C,0))),"",INDEX('Policy Characteristics'!K:K,MATCH($C1791,'Policy Characteristics'!$C:$C,0)))</f>
        <v/>
      </c>
      <c r="R1791" s="254" t="str">
        <f>IF(ISBLANK(INDEX('Policy Characteristics'!L:L,MATCH($C1791,'Policy Characteristics'!$C:$C,0))),"",INDEX('Policy Characteristics'!L:L,MATCH($C1791,'Policy Characteristics'!$C:$C,0)))</f>
        <v/>
      </c>
    </row>
    <row r="1792" spans="1:18" x14ac:dyDescent="0.3">
      <c r="A1792" s="254" t="str">
        <f>IF(ISBLANK(INDEX('Policy Characteristics'!A:A,MATCH($C1792,'Policy Characteristics'!$C:$C,0))),"",INDEX('Policy Characteristics'!A:A,MATCH($C1792,'Policy Characteristics'!$C:$C,0)))</f>
        <v>Cross-Sector</v>
      </c>
      <c r="B1792" s="262" t="str">
        <f>IF(ISBLANK(INDEX('Policy Characteristics'!B:B,MATCH($C1792,'Policy Characteristics'!$C:$C,0))),"",INDEX('Policy Characteristics'!B:B,MATCH($C1792,'Policy Characteristics'!$C:$C,0)))</f>
        <v>Non BAU CBAM Industry Qualification</v>
      </c>
      <c r="C1792" t="s">
        <v>3728</v>
      </c>
      <c r="H1792" s="43">
        <v>2288</v>
      </c>
      <c r="I1792" s="322" t="s">
        <v>43</v>
      </c>
      <c r="J1792" s="255" t="str">
        <f>IF(ISBLANK(INDEX('Policy Characteristics'!D:D,MATCH($C1792,'Policy Characteristics'!$C:$C,0))),"",INDEX('Policy Characteristics'!D:D,MATCH($C1792,'Policy Characteristics'!$C:$C,0)))</f>
        <v/>
      </c>
      <c r="K1792" s="254" t="str">
        <f>IF(ISBLANK(INDEX('Policy Characteristics'!E:E,MATCH($C1792,'Policy Characteristics'!$C:$C,0))),"",INDEX('Policy Characteristics'!E:E,MATCH($C1792,'Policy Characteristics'!$C:$C,0)))</f>
        <v/>
      </c>
      <c r="L1792" s="359">
        <f>IF(ISBLANK(INDEX('Policy Characteristics'!F:F,MATCH($C1792,'Policy Characteristics'!$C:$C,0))),"",INDEX('Policy Characteristics'!F:F,MATCH($C1792,'Policy Characteristics'!$C:$C,0)))</f>
        <v>0</v>
      </c>
      <c r="M1792" s="359">
        <f>IF(ISBLANK(INDEX('Policy Characteristics'!G:G,MATCH($C1792,'Policy Characteristics'!$C:$C,0))),"",INDEX('Policy Characteristics'!G:G,MATCH($C1792,'Policy Characteristics'!$C:$C,0)))</f>
        <v>1</v>
      </c>
      <c r="N1792" s="359">
        <f>IF(ISBLANK(INDEX('Policy Characteristics'!H:H,MATCH($C1792,'Policy Characteristics'!$C:$C,0))),"",INDEX('Policy Characteristics'!H:H,MATCH($C1792,'Policy Characteristics'!$C:$C,0)))</f>
        <v>1</v>
      </c>
      <c r="O1792" s="254" t="str">
        <f>IF(ISBLANK(INDEX('Policy Characteristics'!I:I,MATCH($C1792,'Policy Characteristics'!$C:$C,0))),"",INDEX('Policy Characteristics'!I:I,MATCH($C1792,'Policy Characteristics'!$C:$C,0)))</f>
        <v>on/off</v>
      </c>
      <c r="P1792" s="254" t="str">
        <f>IF(ISBLANK(INDEX('Policy Characteristics'!J:J,MATCH($C1792,'Policy Characteristics'!$C:$C,0))),"",INDEX('Policy Characteristics'!J:J,MATCH($C1792,'Policy Characteristics'!$C:$C,0)))</f>
        <v>**Description:** This lever determines which industry categories are captured under the scope of a carbon border adjustment mechanism. In some regions, only certain industries are covered by a border mechanism.</v>
      </c>
      <c r="Q1792" s="254" t="str">
        <f>IF(ISBLANK(INDEX('Policy Characteristics'!K:K,MATCH($C1792,'Policy Characteristics'!$C:$C,0))),"",INDEX('Policy Characteristics'!K:K,MATCH($C1792,'Policy Characteristics'!$C:$C,0)))</f>
        <v/>
      </c>
      <c r="R1792" s="254" t="str">
        <f>IF(ISBLANK(INDEX('Policy Characteristics'!L:L,MATCH($C1792,'Policy Characteristics'!$C:$C,0))),"",INDEX('Policy Characteristics'!L:L,MATCH($C1792,'Policy Characteristics'!$C:$C,0)))</f>
        <v/>
      </c>
    </row>
    <row r="1793" spans="1:18" x14ac:dyDescent="0.3">
      <c r="A1793" s="254" t="str">
        <f>IF(ISBLANK(INDEX('Policy Characteristics'!A:A,MATCH($C1793,'Policy Characteristics'!$C:$C,0))),"",INDEX('Policy Characteristics'!A:A,MATCH($C1793,'Policy Characteristics'!$C:$C,0)))</f>
        <v>Research and Development</v>
      </c>
      <c r="B1793" s="262" t="str">
        <f>IF(ISBLANK(INDEX('Policy Characteristics'!B:B,MATCH($C1793,'Policy Characteristics'!$C:$C,0))),"",INDEX('Policy Characteristics'!B:B,MATCH($C1793,'Policy Characteristics'!$C:$C,0)))</f>
        <v>Capital Cost Reduction</v>
      </c>
      <c r="C1793" t="s">
        <v>288</v>
      </c>
      <c r="D1793" s="45" t="s">
        <v>115</v>
      </c>
      <c r="E1793" s="45"/>
      <c r="F1793" s="45" t="s">
        <v>315</v>
      </c>
      <c r="G1793" s="45"/>
      <c r="H1793" s="43">
        <v>85</v>
      </c>
      <c r="I1793" s="324" t="s">
        <v>43</v>
      </c>
      <c r="J1793" s="255" t="str">
        <f>IF(ISBLANK(INDEX('Policy Characteristics'!D:D,MATCH($C1793,'Policy Characteristics'!$C:$C,0))),"",INDEX('Policy Characteristics'!D:D,MATCH($C1793,'Policy Characteristics'!$C:$C,0)))</f>
        <v>R&amp;D Capital Cost Reductions</v>
      </c>
      <c r="K1793" s="254" t="str">
        <f>IF(ISBLANK(INDEX('Policy Characteristics'!E:E,MATCH($C1793,'Policy Characteristics'!$C:$C,0))),"",INDEX('Policy Characteristics'!E:E,MATCH($C1793,'Policy Characteristics'!$C:$C,0)))</f>
        <v>RnD building capital cost reduction</v>
      </c>
      <c r="L1793" s="261">
        <f>IF(ISBLANK(INDEX('Policy Characteristics'!F:F,MATCH($C1793,'Policy Characteristics'!$C:$C,0))),"",INDEX('Policy Characteristics'!F:F,MATCH($C1793,'Policy Characteristics'!$C:$C,0)))</f>
        <v>0</v>
      </c>
      <c r="M1793" s="261">
        <f>IF(ISBLANK(INDEX('Policy Characteristics'!G:G,MATCH($C1793,'Policy Characteristics'!$C:$C,0))),"",INDEX('Policy Characteristics'!G:G,MATCH($C1793,'Policy Characteristics'!$C:$C,0)))</f>
        <v>0.4</v>
      </c>
      <c r="N1793" s="261">
        <f>IF(ISBLANK(INDEX('Policy Characteristics'!H:H,MATCH($C1793,'Policy Characteristics'!$C:$C,0))),"",INDEX('Policy Characteristics'!H:H,MATCH($C1793,'Policy Characteristics'!$C:$C,0)))</f>
        <v>0.01</v>
      </c>
      <c r="O1793" s="254" t="str">
        <f>IF(ISBLANK(INDEX('Policy Characteristics'!I:I,MATCH($C1793,'Policy Characteristics'!$C:$C,0))),"",INDEX('Policy Characteristics'!I:I,MATCH($C1793,'Policy Characteristics'!$C:$C,0)))</f>
        <v>% reduction in cost</v>
      </c>
      <c r="P1793" s="254" t="str">
        <f>IF(ISBLANK(INDEX('Policy Characteristics'!J:J,MATCH($C1793,'Policy Characteristics'!$C:$C,0))),"",INDEX('Policy Characteristics'!J:J,MATCH($C1793,'Policy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3" s="254" t="str">
        <f>IF(ISBLANK(INDEX('Policy Characteristics'!K:K,MATCH($C1793,'Policy Characteristics'!$C:$C,0))),"",INDEX('Policy Characteristics'!K:K,MATCH($C1793,'Policy Characteristics'!$C:$C,0)))</f>
        <v>architectural-design.html#rnd</v>
      </c>
      <c r="R1793" s="254" t="str">
        <f>IF(ISBLANK(INDEX('Policy Characteristics'!L:L,MATCH($C1793,'Policy Characteristics'!$C:$C,0))),"",INDEX('Policy Characteristics'!L:L,MATCH($C1793,'Policy Characteristics'!$C:$C,0)))</f>
        <v>research-and-development.html</v>
      </c>
    </row>
    <row r="1794" spans="1:18" x14ac:dyDescent="0.3">
      <c r="A1794" s="254" t="str">
        <f>IF(ISBLANK(INDEX('Policy Characteristics'!A:A,MATCH($C1794,'Policy Characteristics'!$C:$C,0))),"",INDEX('Policy Characteristics'!A:A,MATCH($C1794,'Policy Characteristics'!$C:$C,0)))</f>
        <v>Research and Development</v>
      </c>
      <c r="B1794" s="262" t="str">
        <f>IF(ISBLANK(INDEX('Policy Characteristics'!B:B,MATCH($C1794,'Policy Characteristics'!$C:$C,0))),"",INDEX('Policy Characteristics'!B:B,MATCH($C1794,'Policy Characteristics'!$C:$C,0)))</f>
        <v>Capital Cost Reduction</v>
      </c>
      <c r="C1794" s="254" t="str">
        <f t="shared" ref="C1794:C1798" si="69">C$1793</f>
        <v>RnD Building Capital Cost Perc Reduction</v>
      </c>
      <c r="D1794" s="45" t="s">
        <v>116</v>
      </c>
      <c r="E1794" s="45"/>
      <c r="F1794" s="45" t="s">
        <v>316</v>
      </c>
      <c r="G1794" s="45"/>
      <c r="H1794" s="43">
        <v>86</v>
      </c>
      <c r="I1794" s="324" t="s">
        <v>43</v>
      </c>
      <c r="J1794" s="255" t="str">
        <f>IF(ISBLANK(INDEX('Policy Characteristics'!D:D,MATCH($C1794,'Policy Characteristics'!$C:$C,0))),"",INDEX('Policy Characteristics'!D:D,MATCH($C1794,'Policy Characteristics'!$C:$C,0)))</f>
        <v>R&amp;D Capital Cost Reductions</v>
      </c>
      <c r="K1794" s="254" t="str">
        <f>IF(ISBLANK(INDEX('Policy Characteristics'!E:E,MATCH($C1794,'Policy Characteristics'!$C:$C,0))),"",INDEX('Policy Characteristics'!E:E,MATCH($C1794,'Policy Characteristics'!$C:$C,0)))</f>
        <v>RnD building capital cost reduction</v>
      </c>
      <c r="L1794" s="261">
        <f>IF(ISBLANK(INDEX('Policy Characteristics'!F:F,MATCH($C1794,'Policy Characteristics'!$C:$C,0))),"",INDEX('Policy Characteristics'!F:F,MATCH($C1794,'Policy Characteristics'!$C:$C,0)))</f>
        <v>0</v>
      </c>
      <c r="M1794" s="261">
        <f>IF(ISBLANK(INDEX('Policy Characteristics'!G:G,MATCH($C1794,'Policy Characteristics'!$C:$C,0))),"",INDEX('Policy Characteristics'!G:G,MATCH($C1794,'Policy Characteristics'!$C:$C,0)))</f>
        <v>0.4</v>
      </c>
      <c r="N1794" s="261">
        <f>IF(ISBLANK(INDEX('Policy Characteristics'!H:H,MATCH($C1794,'Policy Characteristics'!$C:$C,0))),"",INDEX('Policy Characteristics'!H:H,MATCH($C1794,'Policy Characteristics'!$C:$C,0)))</f>
        <v>0.01</v>
      </c>
      <c r="O1794" s="254" t="str">
        <f>IF(ISBLANK(INDEX('Policy Characteristics'!I:I,MATCH($C1794,'Policy Characteristics'!$C:$C,0))),"",INDEX('Policy Characteristics'!I:I,MATCH($C1794,'Policy Characteristics'!$C:$C,0)))</f>
        <v>% reduction in cost</v>
      </c>
      <c r="P1794" s="254" t="str">
        <f>IF(ISBLANK(INDEX('Policy Characteristics'!J:J,MATCH($C1794,'Policy Characteristics'!$C:$C,0))),"",INDEX('Policy Characteristics'!J:J,MATCH($C1794,'Policy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4" s="254" t="str">
        <f>IF(ISBLANK(INDEX('Policy Characteristics'!K:K,MATCH($C1794,'Policy Characteristics'!$C:$C,0))),"",INDEX('Policy Characteristics'!K:K,MATCH($C1794,'Policy Characteristics'!$C:$C,0)))</f>
        <v>architectural-design.html#rnd</v>
      </c>
      <c r="R1794" s="254" t="str">
        <f>IF(ISBLANK(INDEX('Policy Characteristics'!L:L,MATCH($C1794,'Policy Characteristics'!$C:$C,0))),"",INDEX('Policy Characteristics'!L:L,MATCH($C1794,'Policy Characteristics'!$C:$C,0)))</f>
        <v>research-and-development.html</v>
      </c>
    </row>
    <row r="1795" spans="1:18" x14ac:dyDescent="0.3">
      <c r="A1795" s="254" t="str">
        <f>IF(ISBLANK(INDEX('Policy Characteristics'!A:A,MATCH($C1795,'Policy Characteristics'!$C:$C,0))),"",INDEX('Policy Characteristics'!A:A,MATCH($C1795,'Policy Characteristics'!$C:$C,0)))</f>
        <v>Research and Development</v>
      </c>
      <c r="B1795" s="262" t="str">
        <f>IF(ISBLANK(INDEX('Policy Characteristics'!B:B,MATCH($C1795,'Policy Characteristics'!$C:$C,0))),"",INDEX('Policy Characteristics'!B:B,MATCH($C1795,'Policy Characteristics'!$C:$C,0)))</f>
        <v>Capital Cost Reduction</v>
      </c>
      <c r="C1795" s="254" t="str">
        <f t="shared" si="69"/>
        <v>RnD Building Capital Cost Perc Reduction</v>
      </c>
      <c r="D1795" s="45" t="s">
        <v>117</v>
      </c>
      <c r="E1795" s="45"/>
      <c r="F1795" s="45" t="s">
        <v>317</v>
      </c>
      <c r="G1795" s="45"/>
      <c r="H1795" s="43">
        <v>87</v>
      </c>
      <c r="I1795" s="324" t="s">
        <v>43</v>
      </c>
      <c r="J1795" s="255" t="str">
        <f>IF(ISBLANK(INDEX('Policy Characteristics'!D:D,MATCH($C1795,'Policy Characteristics'!$C:$C,0))),"",INDEX('Policy Characteristics'!D:D,MATCH($C1795,'Policy Characteristics'!$C:$C,0)))</f>
        <v>R&amp;D Capital Cost Reductions</v>
      </c>
      <c r="K1795" s="254" t="str">
        <f>IF(ISBLANK(INDEX('Policy Characteristics'!E:E,MATCH($C1795,'Policy Characteristics'!$C:$C,0))),"",INDEX('Policy Characteristics'!E:E,MATCH($C1795,'Policy Characteristics'!$C:$C,0)))</f>
        <v>RnD building capital cost reduction</v>
      </c>
      <c r="L1795" s="261">
        <f>IF(ISBLANK(INDEX('Policy Characteristics'!F:F,MATCH($C1795,'Policy Characteristics'!$C:$C,0))),"",INDEX('Policy Characteristics'!F:F,MATCH($C1795,'Policy Characteristics'!$C:$C,0)))</f>
        <v>0</v>
      </c>
      <c r="M1795" s="261">
        <f>IF(ISBLANK(INDEX('Policy Characteristics'!G:G,MATCH($C1795,'Policy Characteristics'!$C:$C,0))),"",INDEX('Policy Characteristics'!G:G,MATCH($C1795,'Policy Characteristics'!$C:$C,0)))</f>
        <v>0.4</v>
      </c>
      <c r="N1795" s="261">
        <f>IF(ISBLANK(INDEX('Policy Characteristics'!H:H,MATCH($C1795,'Policy Characteristics'!$C:$C,0))),"",INDEX('Policy Characteristics'!H:H,MATCH($C1795,'Policy Characteristics'!$C:$C,0)))</f>
        <v>0.01</v>
      </c>
      <c r="O1795" s="254" t="str">
        <f>IF(ISBLANK(INDEX('Policy Characteristics'!I:I,MATCH($C1795,'Policy Characteristics'!$C:$C,0))),"",INDEX('Policy Characteristics'!I:I,MATCH($C1795,'Policy Characteristics'!$C:$C,0)))</f>
        <v>% reduction in cost</v>
      </c>
      <c r="P1795" s="254" t="str">
        <f>IF(ISBLANK(INDEX('Policy Characteristics'!J:J,MATCH($C1795,'Policy Characteristics'!$C:$C,0))),"",INDEX('Policy Characteristics'!J:J,MATCH($C1795,'Policy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5" s="254" t="str">
        <f>IF(ISBLANK(INDEX('Policy Characteristics'!K:K,MATCH($C1795,'Policy Characteristics'!$C:$C,0))),"",INDEX('Policy Characteristics'!K:K,MATCH($C1795,'Policy Characteristics'!$C:$C,0)))</f>
        <v>architectural-design.html#rnd</v>
      </c>
      <c r="R1795" s="254" t="str">
        <f>IF(ISBLANK(INDEX('Policy Characteristics'!L:L,MATCH($C1795,'Policy Characteristics'!$C:$C,0))),"",INDEX('Policy Characteristics'!L:L,MATCH($C1795,'Policy Characteristics'!$C:$C,0)))</f>
        <v>research-and-development.html</v>
      </c>
    </row>
    <row r="1796" spans="1:18" x14ac:dyDescent="0.3">
      <c r="A1796" s="254" t="str">
        <f>IF(ISBLANK(INDEX('Policy Characteristics'!A:A,MATCH($C1796,'Policy Characteristics'!$C:$C,0))),"",INDEX('Policy Characteristics'!A:A,MATCH($C1796,'Policy Characteristics'!$C:$C,0)))</f>
        <v>Research and Development</v>
      </c>
      <c r="B1796" s="262" t="str">
        <f>IF(ISBLANK(INDEX('Policy Characteristics'!B:B,MATCH($C1796,'Policy Characteristics'!$C:$C,0))),"",INDEX('Policy Characteristics'!B:B,MATCH($C1796,'Policy Characteristics'!$C:$C,0)))</f>
        <v>Capital Cost Reduction</v>
      </c>
      <c r="C1796" s="254" t="str">
        <f t="shared" si="69"/>
        <v>RnD Building Capital Cost Perc Reduction</v>
      </c>
      <c r="D1796" s="45" t="s">
        <v>118</v>
      </c>
      <c r="E1796" s="45"/>
      <c r="F1796" s="45" t="s">
        <v>318</v>
      </c>
      <c r="G1796" s="45"/>
      <c r="H1796" s="43">
        <v>88</v>
      </c>
      <c r="I1796" s="324" t="s">
        <v>43</v>
      </c>
      <c r="J1796" s="255" t="str">
        <f>IF(ISBLANK(INDEX('Policy Characteristics'!D:D,MATCH($C1796,'Policy Characteristics'!$C:$C,0))),"",INDEX('Policy Characteristics'!D:D,MATCH($C1796,'Policy Characteristics'!$C:$C,0)))</f>
        <v>R&amp;D Capital Cost Reductions</v>
      </c>
      <c r="K1796" s="254" t="str">
        <f>IF(ISBLANK(INDEX('Policy Characteristics'!E:E,MATCH($C1796,'Policy Characteristics'!$C:$C,0))),"",INDEX('Policy Characteristics'!E:E,MATCH($C1796,'Policy Characteristics'!$C:$C,0)))</f>
        <v>RnD building capital cost reduction</v>
      </c>
      <c r="L1796" s="261">
        <f>IF(ISBLANK(INDEX('Policy Characteristics'!F:F,MATCH($C1796,'Policy Characteristics'!$C:$C,0))),"",INDEX('Policy Characteristics'!F:F,MATCH($C1796,'Policy Characteristics'!$C:$C,0)))</f>
        <v>0</v>
      </c>
      <c r="M1796" s="261">
        <f>IF(ISBLANK(INDEX('Policy Characteristics'!G:G,MATCH($C1796,'Policy Characteristics'!$C:$C,0))),"",INDEX('Policy Characteristics'!G:G,MATCH($C1796,'Policy Characteristics'!$C:$C,0)))</f>
        <v>0.4</v>
      </c>
      <c r="N1796" s="261">
        <f>IF(ISBLANK(INDEX('Policy Characteristics'!H:H,MATCH($C1796,'Policy Characteristics'!$C:$C,0))),"",INDEX('Policy Characteristics'!H:H,MATCH($C1796,'Policy Characteristics'!$C:$C,0)))</f>
        <v>0.01</v>
      </c>
      <c r="O1796" s="254" t="str">
        <f>IF(ISBLANK(INDEX('Policy Characteristics'!I:I,MATCH($C1796,'Policy Characteristics'!$C:$C,0))),"",INDEX('Policy Characteristics'!I:I,MATCH($C1796,'Policy Characteristics'!$C:$C,0)))</f>
        <v>% reduction in cost</v>
      </c>
      <c r="P1796" s="254" t="str">
        <f>IF(ISBLANK(INDEX('Policy Characteristics'!J:J,MATCH($C1796,'Policy Characteristics'!$C:$C,0))),"",INDEX('Policy Characteristics'!J:J,MATCH($C1796,'Policy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6" s="254" t="str">
        <f>IF(ISBLANK(INDEX('Policy Characteristics'!K:K,MATCH($C1796,'Policy Characteristics'!$C:$C,0))),"",INDEX('Policy Characteristics'!K:K,MATCH($C1796,'Policy Characteristics'!$C:$C,0)))</f>
        <v>architectural-design.html#rnd</v>
      </c>
      <c r="R1796" s="254" t="str">
        <f>IF(ISBLANK(INDEX('Policy Characteristics'!L:L,MATCH($C1796,'Policy Characteristics'!$C:$C,0))),"",INDEX('Policy Characteristics'!L:L,MATCH($C1796,'Policy Characteristics'!$C:$C,0)))</f>
        <v>research-and-development.html</v>
      </c>
    </row>
    <row r="1797" spans="1:18" x14ac:dyDescent="0.3">
      <c r="A1797" s="254" t="str">
        <f>IF(ISBLANK(INDEX('Policy Characteristics'!A:A,MATCH($C1797,'Policy Characteristics'!$C:$C,0))),"",INDEX('Policy Characteristics'!A:A,MATCH($C1797,'Policy Characteristics'!$C:$C,0)))</f>
        <v>Research and Development</v>
      </c>
      <c r="B1797" s="262" t="str">
        <f>IF(ISBLANK(INDEX('Policy Characteristics'!B:B,MATCH($C1797,'Policy Characteristics'!$C:$C,0))),"",INDEX('Policy Characteristics'!B:B,MATCH($C1797,'Policy Characteristics'!$C:$C,0)))</f>
        <v>Capital Cost Reduction</v>
      </c>
      <c r="C1797" s="254" t="str">
        <f t="shared" si="69"/>
        <v>RnD Building Capital Cost Perc Reduction</v>
      </c>
      <c r="D1797" s="45" t="s">
        <v>119</v>
      </c>
      <c r="E1797" s="45"/>
      <c r="F1797" s="45" t="s">
        <v>319</v>
      </c>
      <c r="G1797" s="45"/>
      <c r="H1797" s="43">
        <v>89</v>
      </c>
      <c r="I1797" s="324" t="s">
        <v>43</v>
      </c>
      <c r="J1797" s="255" t="str">
        <f>IF(ISBLANK(INDEX('Policy Characteristics'!D:D,MATCH($C1797,'Policy Characteristics'!$C:$C,0))),"",INDEX('Policy Characteristics'!D:D,MATCH($C1797,'Policy Characteristics'!$C:$C,0)))</f>
        <v>R&amp;D Capital Cost Reductions</v>
      </c>
      <c r="K1797" s="254" t="str">
        <f>IF(ISBLANK(INDEX('Policy Characteristics'!E:E,MATCH($C1797,'Policy Characteristics'!$C:$C,0))),"",INDEX('Policy Characteristics'!E:E,MATCH($C1797,'Policy Characteristics'!$C:$C,0)))</f>
        <v>RnD building capital cost reduction</v>
      </c>
      <c r="L1797" s="261">
        <f>IF(ISBLANK(INDEX('Policy Characteristics'!F:F,MATCH($C1797,'Policy Characteristics'!$C:$C,0))),"",INDEX('Policy Characteristics'!F:F,MATCH($C1797,'Policy Characteristics'!$C:$C,0)))</f>
        <v>0</v>
      </c>
      <c r="M1797" s="261">
        <f>IF(ISBLANK(INDEX('Policy Characteristics'!G:G,MATCH($C1797,'Policy Characteristics'!$C:$C,0))),"",INDEX('Policy Characteristics'!G:G,MATCH($C1797,'Policy Characteristics'!$C:$C,0)))</f>
        <v>0.4</v>
      </c>
      <c r="N1797" s="261">
        <f>IF(ISBLANK(INDEX('Policy Characteristics'!H:H,MATCH($C1797,'Policy Characteristics'!$C:$C,0))),"",INDEX('Policy Characteristics'!H:H,MATCH($C1797,'Policy Characteristics'!$C:$C,0)))</f>
        <v>0.01</v>
      </c>
      <c r="O1797" s="254" t="str">
        <f>IF(ISBLANK(INDEX('Policy Characteristics'!I:I,MATCH($C1797,'Policy Characteristics'!$C:$C,0))),"",INDEX('Policy Characteristics'!I:I,MATCH($C1797,'Policy Characteristics'!$C:$C,0)))</f>
        <v>% reduction in cost</v>
      </c>
      <c r="P1797" s="254" t="str">
        <f>IF(ISBLANK(INDEX('Policy Characteristics'!J:J,MATCH($C1797,'Policy Characteristics'!$C:$C,0))),"",INDEX('Policy Characteristics'!J:J,MATCH($C1797,'Policy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7" s="254" t="str">
        <f>IF(ISBLANK(INDEX('Policy Characteristics'!K:K,MATCH($C1797,'Policy Characteristics'!$C:$C,0))),"",INDEX('Policy Characteristics'!K:K,MATCH($C1797,'Policy Characteristics'!$C:$C,0)))</f>
        <v>architectural-design.html#rnd</v>
      </c>
      <c r="R1797" s="254" t="str">
        <f>IF(ISBLANK(INDEX('Policy Characteristics'!L:L,MATCH($C1797,'Policy Characteristics'!$C:$C,0))),"",INDEX('Policy Characteristics'!L:L,MATCH($C1797,'Policy Characteristics'!$C:$C,0)))</f>
        <v>research-and-development.html</v>
      </c>
    </row>
    <row r="1798" spans="1:18" x14ac:dyDescent="0.3">
      <c r="A1798" s="254" t="str">
        <f>IF(ISBLANK(INDEX('Policy Characteristics'!A:A,MATCH($C1798,'Policy Characteristics'!$C:$C,0))),"",INDEX('Policy Characteristics'!A:A,MATCH($C1798,'Policy Characteristics'!$C:$C,0)))</f>
        <v>Research and Development</v>
      </c>
      <c r="B1798" s="262" t="str">
        <f>IF(ISBLANK(INDEX('Policy Characteristics'!B:B,MATCH($C1798,'Policy Characteristics'!$C:$C,0))),"",INDEX('Policy Characteristics'!B:B,MATCH($C1798,'Policy Characteristics'!$C:$C,0)))</f>
        <v>Capital Cost Reduction</v>
      </c>
      <c r="C1798" s="254" t="str">
        <f t="shared" si="69"/>
        <v>RnD Building Capital Cost Perc Reduction</v>
      </c>
      <c r="D1798" s="45" t="s">
        <v>120</v>
      </c>
      <c r="E1798" s="45"/>
      <c r="F1798" s="45" t="s">
        <v>320</v>
      </c>
      <c r="G1798" s="45"/>
      <c r="H1798" s="43">
        <v>90</v>
      </c>
      <c r="I1798" s="324" t="s">
        <v>43</v>
      </c>
      <c r="J1798" s="255" t="str">
        <f>IF(ISBLANK(INDEX('Policy Characteristics'!D:D,MATCH($C1798,'Policy Characteristics'!$C:$C,0))),"",INDEX('Policy Characteristics'!D:D,MATCH($C1798,'Policy Characteristics'!$C:$C,0)))</f>
        <v>R&amp;D Capital Cost Reductions</v>
      </c>
      <c r="K1798" s="254" t="str">
        <f>IF(ISBLANK(INDEX('Policy Characteristics'!E:E,MATCH($C1798,'Policy Characteristics'!$C:$C,0))),"",INDEX('Policy Characteristics'!E:E,MATCH($C1798,'Policy Characteristics'!$C:$C,0)))</f>
        <v>RnD building capital cost reduction</v>
      </c>
      <c r="L1798" s="261">
        <f>IF(ISBLANK(INDEX('Policy Characteristics'!F:F,MATCH($C1798,'Policy Characteristics'!$C:$C,0))),"",INDEX('Policy Characteristics'!F:F,MATCH($C1798,'Policy Characteristics'!$C:$C,0)))</f>
        <v>0</v>
      </c>
      <c r="M1798" s="261">
        <f>IF(ISBLANK(INDEX('Policy Characteristics'!G:G,MATCH($C1798,'Policy Characteristics'!$C:$C,0))),"",INDEX('Policy Characteristics'!G:G,MATCH($C1798,'Policy Characteristics'!$C:$C,0)))</f>
        <v>0.4</v>
      </c>
      <c r="N1798" s="261">
        <f>IF(ISBLANK(INDEX('Policy Characteristics'!H:H,MATCH($C1798,'Policy Characteristics'!$C:$C,0))),"",INDEX('Policy Characteristics'!H:H,MATCH($C1798,'Policy Characteristics'!$C:$C,0)))</f>
        <v>0.01</v>
      </c>
      <c r="O1798" s="254" t="str">
        <f>IF(ISBLANK(INDEX('Policy Characteristics'!I:I,MATCH($C1798,'Policy Characteristics'!$C:$C,0))),"",INDEX('Policy Characteristics'!I:I,MATCH($C1798,'Policy Characteristics'!$C:$C,0)))</f>
        <v>% reduction in cost</v>
      </c>
      <c r="P1798" s="254" t="str">
        <f>IF(ISBLANK(INDEX('Policy Characteristics'!J:J,MATCH($C1798,'Policy Characteristics'!$C:$C,0))),"",INDEX('Policy Characteristics'!J:J,MATCH($C1798,'Policy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8" s="254" t="str">
        <f>IF(ISBLANK(INDEX('Policy Characteristics'!K:K,MATCH($C1798,'Policy Characteristics'!$C:$C,0))),"",INDEX('Policy Characteristics'!K:K,MATCH($C1798,'Policy Characteristics'!$C:$C,0)))</f>
        <v>architectural-design.html#rnd</v>
      </c>
      <c r="R1798" s="254" t="str">
        <f>IF(ISBLANK(INDEX('Policy Characteristics'!L:L,MATCH($C1798,'Policy Characteristics'!$C:$C,0))),"",INDEX('Policy Characteristics'!L:L,MATCH($C1798,'Policy Characteristics'!$C:$C,0)))</f>
        <v>research-and-development.html</v>
      </c>
    </row>
    <row r="1799" spans="1:18" x14ac:dyDescent="0.3">
      <c r="A1799" s="254" t="str">
        <f>IF(ISBLANK(INDEX('Policy Characteristics'!A:A,MATCH($C1799,'Policy Characteristics'!$C:$C,0))),"",INDEX('Policy Characteristics'!A:A,MATCH($C1799,'Policy Characteristics'!$C:$C,0)))</f>
        <v>Research and Development</v>
      </c>
      <c r="B1799" s="262" t="str">
        <f>IF(ISBLANK(INDEX('Policy Characteristics'!B:B,MATCH($C1799,'Policy Characteristics'!$C:$C,0))),"",INDEX('Policy Characteristics'!B:B,MATCH($C1799,'Policy Characteristics'!$C:$C,0)))</f>
        <v>Capital Cost Reduction</v>
      </c>
      <c r="C1799" t="s">
        <v>289</v>
      </c>
      <c r="D1799" s="45"/>
      <c r="E1799" s="45"/>
      <c r="F1799" s="45" t="s">
        <v>26</v>
      </c>
      <c r="G1799" s="45"/>
      <c r="H1799" s="43">
        <v>91</v>
      </c>
      <c r="I1799" s="324" t="s">
        <v>43</v>
      </c>
      <c r="J1799" s="255" t="str">
        <f>IF(ISBLANK(INDEX('Policy Characteristics'!D:D,MATCH($C1799,'Policy Characteristics'!$C:$C,0))),"",INDEX('Policy Characteristics'!D:D,MATCH($C1799,'Policy Characteristics'!$C:$C,0)))</f>
        <v>R&amp;D Capital Cost Reductions</v>
      </c>
      <c r="K1799" s="254" t="str">
        <f>IF(ISBLANK(INDEX('Policy Characteristics'!E:E,MATCH($C1799,'Policy Characteristics'!$C:$C,0))),"",INDEX('Policy Characteristics'!E:E,MATCH($C1799,'Policy Characteristics'!$C:$C,0)))</f>
        <v>RnD CCS capital cost reduction</v>
      </c>
      <c r="L1799" s="261">
        <f>IF(ISBLANK(INDEX('Policy Characteristics'!F:F,MATCH($C1799,'Policy Characteristics'!$C:$C,0))),"",INDEX('Policy Characteristics'!F:F,MATCH($C1799,'Policy Characteristics'!$C:$C,0)))</f>
        <v>0</v>
      </c>
      <c r="M1799" s="261">
        <f>IF(ISBLANK(INDEX('Policy Characteristics'!G:G,MATCH($C1799,'Policy Characteristics'!$C:$C,0))),"",INDEX('Policy Characteristics'!G:G,MATCH($C1799,'Policy Characteristics'!$C:$C,0)))</f>
        <v>0.4</v>
      </c>
      <c r="N1799" s="261">
        <f>IF(ISBLANK(INDEX('Policy Characteristics'!H:H,MATCH($C1799,'Policy Characteristics'!$C:$C,0))),"",INDEX('Policy Characteristics'!H:H,MATCH($C1799,'Policy Characteristics'!$C:$C,0)))</f>
        <v>0.01</v>
      </c>
      <c r="O1799" s="254" t="str">
        <f>IF(ISBLANK(INDEX('Policy Characteristics'!I:I,MATCH($C1799,'Policy Characteristics'!$C:$C,0))),"",INDEX('Policy Characteristics'!I:I,MATCH($C1799,'Policy Characteristics'!$C:$C,0)))</f>
        <v>% reduction in cost</v>
      </c>
      <c r="P1799" s="254" t="str">
        <f>IF(ISBLANK(INDEX('Policy Characteristics'!J:J,MATCH($C1799,'Policy Characteristics'!$C:$C,0))),"",INDEX('Policy Characteristics'!J:J,MATCH($C1799,'Policy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799" s="254" t="str">
        <f>IF(ISBLANK(INDEX('Policy Characteristics'!K:K,MATCH($C1799,'Policy Characteristics'!$C:$C,0))),"",INDEX('Policy Characteristics'!K:K,MATCH($C1799,'Policy Characteristics'!$C:$C,0)))</f>
        <v>architectural-design.html#rnd</v>
      </c>
      <c r="R1799" s="254" t="str">
        <f>IF(ISBLANK(INDEX('Policy Characteristics'!L:L,MATCH($C1799,'Policy Characteristics'!$C:$C,0))),"",INDEX('Policy Characteristics'!L:L,MATCH($C1799,'Policy Characteristics'!$C:$C,0)))</f>
        <v>research-and-development.html</v>
      </c>
    </row>
    <row r="1800" spans="1:18" x14ac:dyDescent="0.3">
      <c r="A1800" s="254" t="str">
        <f>IF(ISBLANK(INDEX('Policy Characteristics'!A:A,MATCH($C1800,'Policy Characteristics'!$C:$C,0))),"",INDEX('Policy Characteristics'!A:A,MATCH($C1800,'Policy Characteristics'!$C:$C,0)))</f>
        <v>Research and Development</v>
      </c>
      <c r="B1800" s="262" t="str">
        <f>IF(ISBLANK(INDEX('Policy Characteristics'!B:B,MATCH($C1800,'Policy Characteristics'!$C:$C,0))),"",INDEX('Policy Characteristics'!B:B,MATCH($C1800,'Policy Characteristics'!$C:$C,0)))</f>
        <v>Capital Cost Reduction</v>
      </c>
      <c r="C1800" t="s">
        <v>290</v>
      </c>
      <c r="D1800" s="45" t="s">
        <v>447</v>
      </c>
      <c r="E1800" s="45"/>
      <c r="F1800" s="45" t="s">
        <v>450</v>
      </c>
      <c r="G1800" s="45"/>
      <c r="H1800" s="43">
        <v>92</v>
      </c>
      <c r="I1800" s="324" t="s">
        <v>43</v>
      </c>
      <c r="J1800" s="255" t="str">
        <f>IF(ISBLANK(INDEX('Policy Characteristics'!D:D,MATCH($C1800,'Policy Characteristics'!$C:$C,0))),"",INDEX('Policy Characteristics'!D:D,MATCH($C1800,'Policy Characteristics'!$C:$C,0)))</f>
        <v>R&amp;D Capital Cost Reductions</v>
      </c>
      <c r="K1800" s="254" t="str">
        <f>IF(ISBLANK(INDEX('Policy Characteristics'!E:E,MATCH($C1800,'Policy Characteristics'!$C:$C,0))),"",INDEX('Policy Characteristics'!E:E,MATCH($C1800,'Policy Characteristics'!$C:$C,0)))</f>
        <v>RnD electricity capital cost reduction</v>
      </c>
      <c r="L1800" s="261">
        <f>IF(ISBLANK(INDEX('Policy Characteristics'!F:F,MATCH($C1800,'Policy Characteristics'!$C:$C,0))),"",INDEX('Policy Characteristics'!F:F,MATCH($C1800,'Policy Characteristics'!$C:$C,0)))</f>
        <v>0</v>
      </c>
      <c r="M1800" s="261">
        <f>IF(ISBLANK(INDEX('Policy Characteristics'!G:G,MATCH($C1800,'Policy Characteristics'!$C:$C,0))),"",INDEX('Policy Characteristics'!G:G,MATCH($C1800,'Policy Characteristics'!$C:$C,0)))</f>
        <v>0.4</v>
      </c>
      <c r="N1800" s="261">
        <f>IF(ISBLANK(INDEX('Policy Characteristics'!H:H,MATCH($C1800,'Policy Characteristics'!$C:$C,0))),"",INDEX('Policy Characteristics'!H:H,MATCH($C1800,'Policy Characteristics'!$C:$C,0)))</f>
        <v>0.01</v>
      </c>
      <c r="O1800" s="254" t="str">
        <f>IF(ISBLANK(INDEX('Policy Characteristics'!I:I,MATCH($C1800,'Policy Characteristics'!$C:$C,0))),"",INDEX('Policy Characteristics'!I:I,MATCH($C1800,'Policy Characteristics'!$C:$C,0)))</f>
        <v>% reduction in cost</v>
      </c>
      <c r="P1800" s="254" t="str">
        <f>IF(ISBLANK(INDEX('Policy Characteristics'!J:J,MATCH($C1800,'Policy Characteristics'!$C:$C,0))),"",INDEX('Policy Characteristics'!J:J,MATCH($C1800,'Policy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0" s="254" t="str">
        <f>IF(ISBLANK(INDEX('Policy Characteristics'!K:K,MATCH($C1800,'Policy Characteristics'!$C:$C,0))),"",INDEX('Policy Characteristics'!K:K,MATCH($C1800,'Policy Characteristics'!$C:$C,0)))</f>
        <v>architectural-design.html#rnd</v>
      </c>
      <c r="R1800" s="254" t="str">
        <f>IF(ISBLANK(INDEX('Policy Characteristics'!L:L,MATCH($C1800,'Policy Characteristics'!$C:$C,0))),"",INDEX('Policy Characteristics'!L:L,MATCH($C1800,'Policy Characteristics'!$C:$C,0)))</f>
        <v>research-and-development.html</v>
      </c>
    </row>
    <row r="1801" spans="1:18" x14ac:dyDescent="0.3">
      <c r="A1801" s="254" t="str">
        <f>IF(ISBLANK(INDEX('Policy Characteristics'!A:A,MATCH($C1801,'Policy Characteristics'!$C:$C,0))),"",INDEX('Policy Characteristics'!A:A,MATCH($C1801,'Policy Characteristics'!$C:$C,0)))</f>
        <v>Research and Development</v>
      </c>
      <c r="B1801" s="262" t="str">
        <f>IF(ISBLANK(INDEX('Policy Characteristics'!B:B,MATCH($C1801,'Policy Characteristics'!$C:$C,0))),"",INDEX('Policy Characteristics'!B:B,MATCH($C1801,'Policy Characteristics'!$C:$C,0)))</f>
        <v>Capital Cost Reduction</v>
      </c>
      <c r="C1801" s="254" t="str">
        <f t="shared" ref="C1801:C1823" si="70">C$1800</f>
        <v>RnD Electricity Capital Cost Perc Reduction</v>
      </c>
      <c r="D1801" s="6" t="s">
        <v>3488</v>
      </c>
      <c r="E1801" s="45"/>
      <c r="F1801" s="6" t="s">
        <v>3501</v>
      </c>
      <c r="G1801" s="45"/>
      <c r="H1801" s="43">
        <v>93</v>
      </c>
      <c r="I1801" s="324" t="s">
        <v>43</v>
      </c>
      <c r="J1801" s="255" t="str">
        <f>IF(ISBLANK(INDEX('Policy Characteristics'!D:D,MATCH($C1801,'Policy Characteristics'!$C:$C,0))),"",INDEX('Policy Characteristics'!D:D,MATCH($C1801,'Policy Characteristics'!$C:$C,0)))</f>
        <v>R&amp;D Capital Cost Reductions</v>
      </c>
      <c r="K1801" s="254" t="str">
        <f>IF(ISBLANK(INDEX('Policy Characteristics'!E:E,MATCH($C1801,'Policy Characteristics'!$C:$C,0))),"",INDEX('Policy Characteristics'!E:E,MATCH($C1801,'Policy Characteristics'!$C:$C,0)))</f>
        <v>RnD electricity capital cost reduction</v>
      </c>
      <c r="L1801" s="261">
        <f>IF(ISBLANK(INDEX('Policy Characteristics'!F:F,MATCH($C1801,'Policy Characteristics'!$C:$C,0))),"",INDEX('Policy Characteristics'!F:F,MATCH($C1801,'Policy Characteristics'!$C:$C,0)))</f>
        <v>0</v>
      </c>
      <c r="M1801" s="261">
        <f>IF(ISBLANK(INDEX('Policy Characteristics'!G:G,MATCH($C1801,'Policy Characteristics'!$C:$C,0))),"",INDEX('Policy Characteristics'!G:G,MATCH($C1801,'Policy Characteristics'!$C:$C,0)))</f>
        <v>0.4</v>
      </c>
      <c r="N1801" s="261">
        <f>IF(ISBLANK(INDEX('Policy Characteristics'!H:H,MATCH($C1801,'Policy Characteristics'!$C:$C,0))),"",INDEX('Policy Characteristics'!H:H,MATCH($C1801,'Policy Characteristics'!$C:$C,0)))</f>
        <v>0.01</v>
      </c>
      <c r="O1801" s="254" t="str">
        <f>IF(ISBLANK(INDEX('Policy Characteristics'!I:I,MATCH($C1801,'Policy Characteristics'!$C:$C,0))),"",INDEX('Policy Characteristics'!I:I,MATCH($C1801,'Policy Characteristics'!$C:$C,0)))</f>
        <v>% reduction in cost</v>
      </c>
      <c r="P1801" s="254" t="str">
        <f>IF(ISBLANK(INDEX('Policy Characteristics'!J:J,MATCH($C1801,'Policy Characteristics'!$C:$C,0))),"",INDEX('Policy Characteristics'!J:J,MATCH($C1801,'Policy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1" s="254" t="str">
        <f>IF(ISBLANK(INDEX('Policy Characteristics'!K:K,MATCH($C1801,'Policy Characteristics'!$C:$C,0))),"",INDEX('Policy Characteristics'!K:K,MATCH($C1801,'Policy Characteristics'!$C:$C,0)))</f>
        <v>architectural-design.html#rnd</v>
      </c>
      <c r="R1801" s="254" t="str">
        <f>IF(ISBLANK(INDEX('Policy Characteristics'!L:L,MATCH($C1801,'Policy Characteristics'!$C:$C,0))),"",INDEX('Policy Characteristics'!L:L,MATCH($C1801,'Policy Characteristics'!$C:$C,0)))</f>
        <v>research-and-development.html</v>
      </c>
    </row>
    <row r="1802" spans="1:18" x14ac:dyDescent="0.3">
      <c r="A1802" s="254" t="str">
        <f>IF(ISBLANK(INDEX('Policy Characteristics'!A:A,MATCH($C1802,'Policy Characteristics'!$C:$C,0))),"",INDEX('Policy Characteristics'!A:A,MATCH($C1802,'Policy Characteristics'!$C:$C,0)))</f>
        <v>Research and Development</v>
      </c>
      <c r="B1802" s="262" t="str">
        <f>IF(ISBLANK(INDEX('Policy Characteristics'!B:B,MATCH($C1802,'Policy Characteristics'!$C:$C,0))),"",INDEX('Policy Characteristics'!B:B,MATCH($C1802,'Policy Characteristics'!$C:$C,0)))</f>
        <v>Capital Cost Reduction</v>
      </c>
      <c r="C1802" s="254" t="str">
        <f t="shared" si="70"/>
        <v>RnD Electricity Capital Cost Perc Reduction</v>
      </c>
      <c r="D1802" s="6" t="s">
        <v>3489</v>
      </c>
      <c r="E1802" s="45"/>
      <c r="F1802" s="6" t="s">
        <v>3502</v>
      </c>
      <c r="G1802" s="45"/>
      <c r="H1802" s="43">
        <v>1810</v>
      </c>
      <c r="I1802" s="324" t="s">
        <v>43</v>
      </c>
      <c r="J1802" s="255" t="str">
        <f>IF(ISBLANK(INDEX('Policy Characteristics'!D:D,MATCH($C1802,'Policy Characteristics'!$C:$C,0))),"",INDEX('Policy Characteristics'!D:D,MATCH($C1802,'Policy Characteristics'!$C:$C,0)))</f>
        <v>R&amp;D Capital Cost Reductions</v>
      </c>
      <c r="K1802" s="254" t="str">
        <f>IF(ISBLANK(INDEX('Policy Characteristics'!E:E,MATCH($C1802,'Policy Characteristics'!$C:$C,0))),"",INDEX('Policy Characteristics'!E:E,MATCH($C1802,'Policy Characteristics'!$C:$C,0)))</f>
        <v>RnD electricity capital cost reduction</v>
      </c>
      <c r="L1802" s="261">
        <f>IF(ISBLANK(INDEX('Policy Characteristics'!F:F,MATCH($C1802,'Policy Characteristics'!$C:$C,0))),"",INDEX('Policy Characteristics'!F:F,MATCH($C1802,'Policy Characteristics'!$C:$C,0)))</f>
        <v>0</v>
      </c>
      <c r="M1802" s="261">
        <f>IF(ISBLANK(INDEX('Policy Characteristics'!G:G,MATCH($C1802,'Policy Characteristics'!$C:$C,0))),"",INDEX('Policy Characteristics'!G:G,MATCH($C1802,'Policy Characteristics'!$C:$C,0)))</f>
        <v>0.4</v>
      </c>
      <c r="N1802" s="261">
        <f>IF(ISBLANK(INDEX('Policy Characteristics'!H:H,MATCH($C1802,'Policy Characteristics'!$C:$C,0))),"",INDEX('Policy Characteristics'!H:H,MATCH($C1802,'Policy Characteristics'!$C:$C,0)))</f>
        <v>0.01</v>
      </c>
      <c r="O1802" s="254" t="str">
        <f>IF(ISBLANK(INDEX('Policy Characteristics'!I:I,MATCH($C1802,'Policy Characteristics'!$C:$C,0))),"",INDEX('Policy Characteristics'!I:I,MATCH($C1802,'Policy Characteristics'!$C:$C,0)))</f>
        <v>% reduction in cost</v>
      </c>
      <c r="P1802" s="254" t="str">
        <f>IF(ISBLANK(INDEX('Policy Characteristics'!J:J,MATCH($C1802,'Policy Characteristics'!$C:$C,0))),"",INDEX('Policy Characteristics'!J:J,MATCH($C1802,'Policy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2" s="254" t="str">
        <f>IF(ISBLANK(INDEX('Policy Characteristics'!K:K,MATCH($C1802,'Policy Characteristics'!$C:$C,0))),"",INDEX('Policy Characteristics'!K:K,MATCH($C1802,'Policy Characteristics'!$C:$C,0)))</f>
        <v>architectural-design.html#rnd</v>
      </c>
      <c r="R1802" s="254" t="str">
        <f>IF(ISBLANK(INDEX('Policy Characteristics'!L:L,MATCH($C1802,'Policy Characteristics'!$C:$C,0))),"",INDEX('Policy Characteristics'!L:L,MATCH($C1802,'Policy Characteristics'!$C:$C,0)))</f>
        <v>research-and-development.html</v>
      </c>
    </row>
    <row r="1803" spans="1:18" x14ac:dyDescent="0.3">
      <c r="A1803" s="254" t="str">
        <f>IF(ISBLANK(INDEX('Policy Characteristics'!A:A,MATCH($C1803,'Policy Characteristics'!$C:$C,0))),"",INDEX('Policy Characteristics'!A:A,MATCH($C1803,'Policy Characteristics'!$C:$C,0)))</f>
        <v>Research and Development</v>
      </c>
      <c r="B1803" s="262" t="str">
        <f>IF(ISBLANK(INDEX('Policy Characteristics'!B:B,MATCH($C1803,'Policy Characteristics'!$C:$C,0))),"",INDEX('Policy Characteristics'!B:B,MATCH($C1803,'Policy Characteristics'!$C:$C,0)))</f>
        <v>Capital Cost Reduction</v>
      </c>
      <c r="C1803" s="254" t="str">
        <f t="shared" si="70"/>
        <v>RnD Electricity Capital Cost Perc Reduction</v>
      </c>
      <c r="D1803" s="6" t="s">
        <v>76</v>
      </c>
      <c r="E1803" s="45"/>
      <c r="F1803" s="6" t="s">
        <v>3503</v>
      </c>
      <c r="G1803" s="45"/>
      <c r="H1803" s="43">
        <v>94</v>
      </c>
      <c r="I1803" s="324" t="s">
        <v>43</v>
      </c>
      <c r="J1803" s="255" t="str">
        <f>IF(ISBLANK(INDEX('Policy Characteristics'!D:D,MATCH($C1803,'Policy Characteristics'!$C:$C,0))),"",INDEX('Policy Characteristics'!D:D,MATCH($C1803,'Policy Characteristics'!$C:$C,0)))</f>
        <v>R&amp;D Capital Cost Reductions</v>
      </c>
      <c r="K1803" s="254" t="str">
        <f>IF(ISBLANK(INDEX('Policy Characteristics'!E:E,MATCH($C1803,'Policy Characteristics'!$C:$C,0))),"",INDEX('Policy Characteristics'!E:E,MATCH($C1803,'Policy Characteristics'!$C:$C,0)))</f>
        <v>RnD electricity capital cost reduction</v>
      </c>
      <c r="L1803" s="261">
        <f>IF(ISBLANK(INDEX('Policy Characteristics'!F:F,MATCH($C1803,'Policy Characteristics'!$C:$C,0))),"",INDEX('Policy Characteristics'!F:F,MATCH($C1803,'Policy Characteristics'!$C:$C,0)))</f>
        <v>0</v>
      </c>
      <c r="M1803" s="261">
        <f>IF(ISBLANK(INDEX('Policy Characteristics'!G:G,MATCH($C1803,'Policy Characteristics'!$C:$C,0))),"",INDEX('Policy Characteristics'!G:G,MATCH($C1803,'Policy Characteristics'!$C:$C,0)))</f>
        <v>0.4</v>
      </c>
      <c r="N1803" s="261">
        <f>IF(ISBLANK(INDEX('Policy Characteristics'!H:H,MATCH($C1803,'Policy Characteristics'!$C:$C,0))),"",INDEX('Policy Characteristics'!H:H,MATCH($C1803,'Policy Characteristics'!$C:$C,0)))</f>
        <v>0.01</v>
      </c>
      <c r="O1803" s="254" t="str">
        <f>IF(ISBLANK(INDEX('Policy Characteristics'!I:I,MATCH($C1803,'Policy Characteristics'!$C:$C,0))),"",INDEX('Policy Characteristics'!I:I,MATCH($C1803,'Policy Characteristics'!$C:$C,0)))</f>
        <v>% reduction in cost</v>
      </c>
      <c r="P1803" s="254" t="str">
        <f>IF(ISBLANK(INDEX('Policy Characteristics'!J:J,MATCH($C1803,'Policy Characteristics'!$C:$C,0))),"",INDEX('Policy Characteristics'!J:J,MATCH($C1803,'Policy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3" s="254" t="str">
        <f>IF(ISBLANK(INDEX('Policy Characteristics'!K:K,MATCH($C1803,'Policy Characteristics'!$C:$C,0))),"",INDEX('Policy Characteristics'!K:K,MATCH($C1803,'Policy Characteristics'!$C:$C,0)))</f>
        <v>architectural-design.html#rnd</v>
      </c>
      <c r="R1803" s="254" t="str">
        <f>IF(ISBLANK(INDEX('Policy Characteristics'!L:L,MATCH($C1803,'Policy Characteristics'!$C:$C,0))),"",INDEX('Policy Characteristics'!L:L,MATCH($C1803,'Policy Characteristics'!$C:$C,0)))</f>
        <v>research-and-development.html</v>
      </c>
    </row>
    <row r="1804" spans="1:18" x14ac:dyDescent="0.3">
      <c r="A1804" s="254" t="str">
        <f>IF(ISBLANK(INDEX('Policy Characteristics'!A:A,MATCH($C1804,'Policy Characteristics'!$C:$C,0))),"",INDEX('Policy Characteristics'!A:A,MATCH($C1804,'Policy Characteristics'!$C:$C,0)))</f>
        <v>Research and Development</v>
      </c>
      <c r="B1804" s="262" t="str">
        <f>IF(ISBLANK(INDEX('Policy Characteristics'!B:B,MATCH($C1804,'Policy Characteristics'!$C:$C,0))),"",INDEX('Policy Characteristics'!B:B,MATCH($C1804,'Policy Characteristics'!$C:$C,0)))</f>
        <v>Capital Cost Reduction</v>
      </c>
      <c r="C1804" s="254" t="str">
        <f t="shared" si="70"/>
        <v>RnD Electricity Capital Cost Perc Reduction</v>
      </c>
      <c r="D1804" s="6" t="s">
        <v>77</v>
      </c>
      <c r="E1804" s="45"/>
      <c r="F1804" s="6" t="s">
        <v>321</v>
      </c>
      <c r="G1804" s="45"/>
      <c r="H1804" s="43">
        <v>95</v>
      </c>
      <c r="I1804" s="324" t="s">
        <v>43</v>
      </c>
      <c r="J1804" s="255" t="str">
        <f>IF(ISBLANK(INDEX('Policy Characteristics'!D:D,MATCH($C1804,'Policy Characteristics'!$C:$C,0))),"",INDEX('Policy Characteristics'!D:D,MATCH($C1804,'Policy Characteristics'!$C:$C,0)))</f>
        <v>R&amp;D Capital Cost Reductions</v>
      </c>
      <c r="K1804" s="254" t="str">
        <f>IF(ISBLANK(INDEX('Policy Characteristics'!E:E,MATCH($C1804,'Policy Characteristics'!$C:$C,0))),"",INDEX('Policy Characteristics'!E:E,MATCH($C1804,'Policy Characteristics'!$C:$C,0)))</f>
        <v>RnD electricity capital cost reduction</v>
      </c>
      <c r="L1804" s="261">
        <f>IF(ISBLANK(INDEX('Policy Characteristics'!F:F,MATCH($C1804,'Policy Characteristics'!$C:$C,0))),"",INDEX('Policy Characteristics'!F:F,MATCH($C1804,'Policy Characteristics'!$C:$C,0)))</f>
        <v>0</v>
      </c>
      <c r="M1804" s="261">
        <f>IF(ISBLANK(INDEX('Policy Characteristics'!G:G,MATCH($C1804,'Policy Characteristics'!$C:$C,0))),"",INDEX('Policy Characteristics'!G:G,MATCH($C1804,'Policy Characteristics'!$C:$C,0)))</f>
        <v>0.4</v>
      </c>
      <c r="N1804" s="261">
        <f>IF(ISBLANK(INDEX('Policy Characteristics'!H:H,MATCH($C1804,'Policy Characteristics'!$C:$C,0))),"",INDEX('Policy Characteristics'!H:H,MATCH($C1804,'Policy Characteristics'!$C:$C,0)))</f>
        <v>0.01</v>
      </c>
      <c r="O1804" s="254" t="str">
        <f>IF(ISBLANK(INDEX('Policy Characteristics'!I:I,MATCH($C1804,'Policy Characteristics'!$C:$C,0))),"",INDEX('Policy Characteristics'!I:I,MATCH($C1804,'Policy Characteristics'!$C:$C,0)))</f>
        <v>% reduction in cost</v>
      </c>
      <c r="P1804" s="254" t="str">
        <f>IF(ISBLANK(INDEX('Policy Characteristics'!J:J,MATCH($C1804,'Policy Characteristics'!$C:$C,0))),"",INDEX('Policy Characteristics'!J:J,MATCH($C1804,'Policy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4" s="254" t="str">
        <f>IF(ISBLANK(INDEX('Policy Characteristics'!K:K,MATCH($C1804,'Policy Characteristics'!$C:$C,0))),"",INDEX('Policy Characteristics'!K:K,MATCH($C1804,'Policy Characteristics'!$C:$C,0)))</f>
        <v>architectural-design.html#rnd</v>
      </c>
      <c r="R1804" s="254" t="str">
        <f>IF(ISBLANK(INDEX('Policy Characteristics'!L:L,MATCH($C1804,'Policy Characteristics'!$C:$C,0))),"",INDEX('Policy Characteristics'!L:L,MATCH($C1804,'Policy Characteristics'!$C:$C,0)))</f>
        <v>research-and-development.html</v>
      </c>
    </row>
    <row r="1805" spans="1:18" x14ac:dyDescent="0.3">
      <c r="A1805" s="254" t="str">
        <f>IF(ISBLANK(INDEX('Policy Characteristics'!A:A,MATCH($C1805,'Policy Characteristics'!$C:$C,0))),"",INDEX('Policy Characteristics'!A:A,MATCH($C1805,'Policy Characteristics'!$C:$C,0)))</f>
        <v>Research and Development</v>
      </c>
      <c r="B1805" s="262" t="str">
        <f>IF(ISBLANK(INDEX('Policy Characteristics'!B:B,MATCH($C1805,'Policy Characteristics'!$C:$C,0))),"",INDEX('Policy Characteristics'!B:B,MATCH($C1805,'Policy Characteristics'!$C:$C,0)))</f>
        <v>Capital Cost Reduction</v>
      </c>
      <c r="C1805" s="254" t="str">
        <f t="shared" si="70"/>
        <v>RnD Electricity Capital Cost Perc Reduction</v>
      </c>
      <c r="D1805" s="6" t="s">
        <v>448</v>
      </c>
      <c r="E1805" s="45"/>
      <c r="F1805" s="6" t="s">
        <v>452</v>
      </c>
      <c r="G1805" s="45"/>
      <c r="H1805" s="43">
        <v>96</v>
      </c>
      <c r="I1805" s="324" t="s">
        <v>43</v>
      </c>
      <c r="J1805" s="255" t="str">
        <f>IF(ISBLANK(INDEX('Policy Characteristics'!D:D,MATCH($C1805,'Policy Characteristics'!$C:$C,0))),"",INDEX('Policy Characteristics'!D:D,MATCH($C1805,'Policy Characteristics'!$C:$C,0)))</f>
        <v>R&amp;D Capital Cost Reductions</v>
      </c>
      <c r="K1805" s="254" t="str">
        <f>IF(ISBLANK(INDEX('Policy Characteristics'!E:E,MATCH($C1805,'Policy Characteristics'!$C:$C,0))),"",INDEX('Policy Characteristics'!E:E,MATCH($C1805,'Policy Characteristics'!$C:$C,0)))</f>
        <v>RnD electricity capital cost reduction</v>
      </c>
      <c r="L1805" s="261">
        <f>IF(ISBLANK(INDEX('Policy Characteristics'!F:F,MATCH($C1805,'Policy Characteristics'!$C:$C,0))),"",INDEX('Policy Characteristics'!F:F,MATCH($C1805,'Policy Characteristics'!$C:$C,0)))</f>
        <v>0</v>
      </c>
      <c r="M1805" s="261">
        <f>IF(ISBLANK(INDEX('Policy Characteristics'!G:G,MATCH($C1805,'Policy Characteristics'!$C:$C,0))),"",INDEX('Policy Characteristics'!G:G,MATCH($C1805,'Policy Characteristics'!$C:$C,0)))</f>
        <v>0.4</v>
      </c>
      <c r="N1805" s="261">
        <f>IF(ISBLANK(INDEX('Policy Characteristics'!H:H,MATCH($C1805,'Policy Characteristics'!$C:$C,0))),"",INDEX('Policy Characteristics'!H:H,MATCH($C1805,'Policy Characteristics'!$C:$C,0)))</f>
        <v>0.01</v>
      </c>
      <c r="O1805" s="254" t="str">
        <f>IF(ISBLANK(INDEX('Policy Characteristics'!I:I,MATCH($C1805,'Policy Characteristics'!$C:$C,0))),"",INDEX('Policy Characteristics'!I:I,MATCH($C1805,'Policy Characteristics'!$C:$C,0)))</f>
        <v>% reduction in cost</v>
      </c>
      <c r="P1805" s="254" t="str">
        <f>IF(ISBLANK(INDEX('Policy Characteristics'!J:J,MATCH($C1805,'Policy Characteristics'!$C:$C,0))),"",INDEX('Policy Characteristics'!J:J,MATCH($C1805,'Policy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5" s="254" t="str">
        <f>IF(ISBLANK(INDEX('Policy Characteristics'!K:K,MATCH($C1805,'Policy Characteristics'!$C:$C,0))),"",INDEX('Policy Characteristics'!K:K,MATCH($C1805,'Policy Characteristics'!$C:$C,0)))</f>
        <v>architectural-design.html#rnd</v>
      </c>
      <c r="R1805" s="254" t="str">
        <f>IF(ISBLANK(INDEX('Policy Characteristics'!L:L,MATCH($C1805,'Policy Characteristics'!$C:$C,0))),"",INDEX('Policy Characteristics'!L:L,MATCH($C1805,'Policy Characteristics'!$C:$C,0)))</f>
        <v>research-and-development.html</v>
      </c>
    </row>
    <row r="1806" spans="1:18" x14ac:dyDescent="0.3">
      <c r="A1806" s="254" t="str">
        <f>IF(ISBLANK(INDEX('Policy Characteristics'!A:A,MATCH($C1806,'Policy Characteristics'!$C:$C,0))),"",INDEX('Policy Characteristics'!A:A,MATCH($C1806,'Policy Characteristics'!$C:$C,0)))</f>
        <v>Research and Development</v>
      </c>
      <c r="B1806" s="262" t="str">
        <f>IF(ISBLANK(INDEX('Policy Characteristics'!B:B,MATCH($C1806,'Policy Characteristics'!$C:$C,0))),"",INDEX('Policy Characteristics'!B:B,MATCH($C1806,'Policy Characteristics'!$C:$C,0)))</f>
        <v>Capital Cost Reduction</v>
      </c>
      <c r="C1806" s="254" t="str">
        <f t="shared" si="70"/>
        <v>RnD Electricity Capital Cost Perc Reduction</v>
      </c>
      <c r="D1806" s="6" t="s">
        <v>78</v>
      </c>
      <c r="E1806" s="45"/>
      <c r="F1806" s="6" t="s">
        <v>322</v>
      </c>
      <c r="G1806" s="45"/>
      <c r="H1806" s="43">
        <v>97</v>
      </c>
      <c r="I1806" s="324" t="s">
        <v>43</v>
      </c>
      <c r="J1806" s="255" t="str">
        <f>IF(ISBLANK(INDEX('Policy Characteristics'!D:D,MATCH($C1806,'Policy Characteristics'!$C:$C,0))),"",INDEX('Policy Characteristics'!D:D,MATCH($C1806,'Policy Characteristics'!$C:$C,0)))</f>
        <v>R&amp;D Capital Cost Reductions</v>
      </c>
      <c r="K1806" s="254" t="str">
        <f>IF(ISBLANK(INDEX('Policy Characteristics'!E:E,MATCH($C1806,'Policy Characteristics'!$C:$C,0))),"",INDEX('Policy Characteristics'!E:E,MATCH($C1806,'Policy Characteristics'!$C:$C,0)))</f>
        <v>RnD electricity capital cost reduction</v>
      </c>
      <c r="L1806" s="261">
        <f>IF(ISBLANK(INDEX('Policy Characteristics'!F:F,MATCH($C1806,'Policy Characteristics'!$C:$C,0))),"",INDEX('Policy Characteristics'!F:F,MATCH($C1806,'Policy Characteristics'!$C:$C,0)))</f>
        <v>0</v>
      </c>
      <c r="M1806" s="261">
        <f>IF(ISBLANK(INDEX('Policy Characteristics'!G:G,MATCH($C1806,'Policy Characteristics'!$C:$C,0))),"",INDEX('Policy Characteristics'!G:G,MATCH($C1806,'Policy Characteristics'!$C:$C,0)))</f>
        <v>0.4</v>
      </c>
      <c r="N1806" s="261">
        <f>IF(ISBLANK(INDEX('Policy Characteristics'!H:H,MATCH($C1806,'Policy Characteristics'!$C:$C,0))),"",INDEX('Policy Characteristics'!H:H,MATCH($C1806,'Policy Characteristics'!$C:$C,0)))</f>
        <v>0.01</v>
      </c>
      <c r="O1806" s="254" t="str">
        <f>IF(ISBLANK(INDEX('Policy Characteristics'!I:I,MATCH($C1806,'Policy Characteristics'!$C:$C,0))),"",INDEX('Policy Characteristics'!I:I,MATCH($C1806,'Policy Characteristics'!$C:$C,0)))</f>
        <v>% reduction in cost</v>
      </c>
      <c r="P1806" s="254" t="str">
        <f>IF(ISBLANK(INDEX('Policy Characteristics'!J:J,MATCH($C1806,'Policy Characteristics'!$C:$C,0))),"",INDEX('Policy Characteristics'!J:J,MATCH($C1806,'Policy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6" s="254" t="str">
        <f>IF(ISBLANK(INDEX('Policy Characteristics'!K:K,MATCH($C1806,'Policy Characteristics'!$C:$C,0))),"",INDEX('Policy Characteristics'!K:K,MATCH($C1806,'Policy Characteristics'!$C:$C,0)))</f>
        <v>architectural-design.html#rnd</v>
      </c>
      <c r="R1806" s="254" t="str">
        <f>IF(ISBLANK(INDEX('Policy Characteristics'!L:L,MATCH($C1806,'Policy Characteristics'!$C:$C,0))),"",INDEX('Policy Characteristics'!L:L,MATCH($C1806,'Policy Characteristics'!$C:$C,0)))</f>
        <v>research-and-development.html</v>
      </c>
    </row>
    <row r="1807" spans="1:18" x14ac:dyDescent="0.3">
      <c r="A1807" s="254" t="str">
        <f>IF(ISBLANK(INDEX('Policy Characteristics'!A:A,MATCH($C1807,'Policy Characteristics'!$C:$C,0))),"",INDEX('Policy Characteristics'!A:A,MATCH($C1807,'Policy Characteristics'!$C:$C,0)))</f>
        <v>Research and Development</v>
      </c>
      <c r="B1807" s="262" t="str">
        <f>IF(ISBLANK(INDEX('Policy Characteristics'!B:B,MATCH($C1807,'Policy Characteristics'!$C:$C,0))),"",INDEX('Policy Characteristics'!B:B,MATCH($C1807,'Policy Characteristics'!$C:$C,0)))</f>
        <v>Capital Cost Reduction</v>
      </c>
      <c r="C1807" s="254" t="str">
        <f t="shared" si="70"/>
        <v>RnD Electricity Capital Cost Perc Reduction</v>
      </c>
      <c r="D1807" s="6" t="s">
        <v>79</v>
      </c>
      <c r="E1807" s="45"/>
      <c r="F1807" s="6" t="s">
        <v>323</v>
      </c>
      <c r="G1807" s="45"/>
      <c r="H1807" s="43">
        <v>98</v>
      </c>
      <c r="I1807" s="324" t="s">
        <v>43</v>
      </c>
      <c r="J1807" s="255" t="str">
        <f>IF(ISBLANK(INDEX('Policy Characteristics'!D:D,MATCH($C1807,'Policy Characteristics'!$C:$C,0))),"",INDEX('Policy Characteristics'!D:D,MATCH($C1807,'Policy Characteristics'!$C:$C,0)))</f>
        <v>R&amp;D Capital Cost Reductions</v>
      </c>
      <c r="K1807" s="254" t="str">
        <f>IF(ISBLANK(INDEX('Policy Characteristics'!E:E,MATCH($C1807,'Policy Characteristics'!$C:$C,0))),"",INDEX('Policy Characteristics'!E:E,MATCH($C1807,'Policy Characteristics'!$C:$C,0)))</f>
        <v>RnD electricity capital cost reduction</v>
      </c>
      <c r="L1807" s="261">
        <f>IF(ISBLANK(INDEX('Policy Characteristics'!F:F,MATCH($C1807,'Policy Characteristics'!$C:$C,0))),"",INDEX('Policy Characteristics'!F:F,MATCH($C1807,'Policy Characteristics'!$C:$C,0)))</f>
        <v>0</v>
      </c>
      <c r="M1807" s="261">
        <f>IF(ISBLANK(INDEX('Policy Characteristics'!G:G,MATCH($C1807,'Policy Characteristics'!$C:$C,0))),"",INDEX('Policy Characteristics'!G:G,MATCH($C1807,'Policy Characteristics'!$C:$C,0)))</f>
        <v>0.4</v>
      </c>
      <c r="N1807" s="261">
        <f>IF(ISBLANK(INDEX('Policy Characteristics'!H:H,MATCH($C1807,'Policy Characteristics'!$C:$C,0))),"",INDEX('Policy Characteristics'!H:H,MATCH($C1807,'Policy Characteristics'!$C:$C,0)))</f>
        <v>0.01</v>
      </c>
      <c r="O1807" s="254" t="str">
        <f>IF(ISBLANK(INDEX('Policy Characteristics'!I:I,MATCH($C1807,'Policy Characteristics'!$C:$C,0))),"",INDEX('Policy Characteristics'!I:I,MATCH($C1807,'Policy Characteristics'!$C:$C,0)))</f>
        <v>% reduction in cost</v>
      </c>
      <c r="P1807" s="254" t="str">
        <f>IF(ISBLANK(INDEX('Policy Characteristics'!J:J,MATCH($C1807,'Policy Characteristics'!$C:$C,0))),"",INDEX('Policy Characteristics'!J:J,MATCH($C1807,'Policy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7" s="254" t="str">
        <f>IF(ISBLANK(INDEX('Policy Characteristics'!K:K,MATCH($C1807,'Policy Characteristics'!$C:$C,0))),"",INDEX('Policy Characteristics'!K:K,MATCH($C1807,'Policy Characteristics'!$C:$C,0)))</f>
        <v>architectural-design.html#rnd</v>
      </c>
      <c r="R1807" s="254" t="str">
        <f>IF(ISBLANK(INDEX('Policy Characteristics'!L:L,MATCH($C1807,'Policy Characteristics'!$C:$C,0))),"",INDEX('Policy Characteristics'!L:L,MATCH($C1807,'Policy Characteristics'!$C:$C,0)))</f>
        <v>research-and-development.html</v>
      </c>
    </row>
    <row r="1808" spans="1:18" x14ac:dyDescent="0.3">
      <c r="A1808" s="254" t="str">
        <f>IF(ISBLANK(INDEX('Policy Characteristics'!A:A,MATCH($C1808,'Policy Characteristics'!$C:$C,0))),"",INDEX('Policy Characteristics'!A:A,MATCH($C1808,'Policy Characteristics'!$C:$C,0)))</f>
        <v>Research and Development</v>
      </c>
      <c r="B1808" s="262" t="str">
        <f>IF(ISBLANK(INDEX('Policy Characteristics'!B:B,MATCH($C1808,'Policy Characteristics'!$C:$C,0))),"",INDEX('Policy Characteristics'!B:B,MATCH($C1808,'Policy Characteristics'!$C:$C,0)))</f>
        <v>Capital Cost Reduction</v>
      </c>
      <c r="C1808" s="254" t="str">
        <f t="shared" si="70"/>
        <v>RnD Electricity Capital Cost Perc Reduction</v>
      </c>
      <c r="D1808" s="6" t="s">
        <v>80</v>
      </c>
      <c r="E1808" s="45"/>
      <c r="F1808" s="6" t="s">
        <v>324</v>
      </c>
      <c r="G1808" s="45"/>
      <c r="H1808" s="43">
        <v>99</v>
      </c>
      <c r="I1808" s="324" t="s">
        <v>43</v>
      </c>
      <c r="J1808" s="255" t="str">
        <f>IF(ISBLANK(INDEX('Policy Characteristics'!D:D,MATCH($C1808,'Policy Characteristics'!$C:$C,0))),"",INDEX('Policy Characteristics'!D:D,MATCH($C1808,'Policy Characteristics'!$C:$C,0)))</f>
        <v>R&amp;D Capital Cost Reductions</v>
      </c>
      <c r="K1808" s="254" t="str">
        <f>IF(ISBLANK(INDEX('Policy Characteristics'!E:E,MATCH($C1808,'Policy Characteristics'!$C:$C,0))),"",INDEX('Policy Characteristics'!E:E,MATCH($C1808,'Policy Characteristics'!$C:$C,0)))</f>
        <v>RnD electricity capital cost reduction</v>
      </c>
      <c r="L1808" s="261">
        <f>IF(ISBLANK(INDEX('Policy Characteristics'!F:F,MATCH($C1808,'Policy Characteristics'!$C:$C,0))),"",INDEX('Policy Characteristics'!F:F,MATCH($C1808,'Policy Characteristics'!$C:$C,0)))</f>
        <v>0</v>
      </c>
      <c r="M1808" s="261">
        <f>IF(ISBLANK(INDEX('Policy Characteristics'!G:G,MATCH($C1808,'Policy Characteristics'!$C:$C,0))),"",INDEX('Policy Characteristics'!G:G,MATCH($C1808,'Policy Characteristics'!$C:$C,0)))</f>
        <v>0.4</v>
      </c>
      <c r="N1808" s="261">
        <f>IF(ISBLANK(INDEX('Policy Characteristics'!H:H,MATCH($C1808,'Policy Characteristics'!$C:$C,0))),"",INDEX('Policy Characteristics'!H:H,MATCH($C1808,'Policy Characteristics'!$C:$C,0)))</f>
        <v>0.01</v>
      </c>
      <c r="O1808" s="254" t="str">
        <f>IF(ISBLANK(INDEX('Policy Characteristics'!I:I,MATCH($C1808,'Policy Characteristics'!$C:$C,0))),"",INDEX('Policy Characteristics'!I:I,MATCH($C1808,'Policy Characteristics'!$C:$C,0)))</f>
        <v>% reduction in cost</v>
      </c>
      <c r="P1808" s="254" t="str">
        <f>IF(ISBLANK(INDEX('Policy Characteristics'!J:J,MATCH($C1808,'Policy Characteristics'!$C:$C,0))),"",INDEX('Policy Characteristics'!J:J,MATCH($C1808,'Policy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8" s="254" t="str">
        <f>IF(ISBLANK(INDEX('Policy Characteristics'!K:K,MATCH($C1808,'Policy Characteristics'!$C:$C,0))),"",INDEX('Policy Characteristics'!K:K,MATCH($C1808,'Policy Characteristics'!$C:$C,0)))</f>
        <v>architectural-design.html#rnd</v>
      </c>
      <c r="R1808" s="254" t="str">
        <f>IF(ISBLANK(INDEX('Policy Characteristics'!L:L,MATCH($C1808,'Policy Characteristics'!$C:$C,0))),"",INDEX('Policy Characteristics'!L:L,MATCH($C1808,'Policy Characteristics'!$C:$C,0)))</f>
        <v>research-and-development.html</v>
      </c>
    </row>
    <row r="1809" spans="1:18" x14ac:dyDescent="0.3">
      <c r="A1809" s="254" t="str">
        <f>IF(ISBLANK(INDEX('Policy Characteristics'!A:A,MATCH($C1809,'Policy Characteristics'!$C:$C,0))),"",INDEX('Policy Characteristics'!A:A,MATCH($C1809,'Policy Characteristics'!$C:$C,0)))</f>
        <v>Research and Development</v>
      </c>
      <c r="B1809" s="262" t="str">
        <f>IF(ISBLANK(INDEX('Policy Characteristics'!B:B,MATCH($C1809,'Policy Characteristics'!$C:$C,0))),"",INDEX('Policy Characteristics'!B:B,MATCH($C1809,'Policy Characteristics'!$C:$C,0)))</f>
        <v>Capital Cost Reduction</v>
      </c>
      <c r="C1809" s="254" t="str">
        <f t="shared" si="70"/>
        <v>RnD Electricity Capital Cost Perc Reduction</v>
      </c>
      <c r="D1809" s="6" t="s">
        <v>2425</v>
      </c>
      <c r="E1809" s="45"/>
      <c r="F1809" s="6" t="s">
        <v>3504</v>
      </c>
      <c r="G1809" s="45"/>
      <c r="H1809" s="43">
        <v>192</v>
      </c>
      <c r="I1809" s="324" t="s">
        <v>43</v>
      </c>
      <c r="J1809" s="255" t="str">
        <f>IF(ISBLANK(INDEX('Policy Characteristics'!D:D,MATCH($C1809,'Policy Characteristics'!$C:$C,0))),"",INDEX('Policy Characteristics'!D:D,MATCH($C1809,'Policy Characteristics'!$C:$C,0)))</f>
        <v>R&amp;D Capital Cost Reductions</v>
      </c>
      <c r="K1809" s="254" t="str">
        <f>IF(ISBLANK(INDEX('Policy Characteristics'!E:E,MATCH($C1809,'Policy Characteristics'!$C:$C,0))),"",INDEX('Policy Characteristics'!E:E,MATCH($C1809,'Policy Characteristics'!$C:$C,0)))</f>
        <v>RnD electricity capital cost reduction</v>
      </c>
      <c r="L1809" s="261">
        <f>IF(ISBLANK(INDEX('Policy Characteristics'!F:F,MATCH($C1809,'Policy Characteristics'!$C:$C,0))),"",INDEX('Policy Characteristics'!F:F,MATCH($C1809,'Policy Characteristics'!$C:$C,0)))</f>
        <v>0</v>
      </c>
      <c r="M1809" s="261">
        <f>IF(ISBLANK(INDEX('Policy Characteristics'!G:G,MATCH($C1809,'Policy Characteristics'!$C:$C,0))),"",INDEX('Policy Characteristics'!G:G,MATCH($C1809,'Policy Characteristics'!$C:$C,0)))</f>
        <v>0.4</v>
      </c>
      <c r="N1809" s="261">
        <f>IF(ISBLANK(INDEX('Policy Characteristics'!H:H,MATCH($C1809,'Policy Characteristics'!$C:$C,0))),"",INDEX('Policy Characteristics'!H:H,MATCH($C1809,'Policy Characteristics'!$C:$C,0)))</f>
        <v>0.01</v>
      </c>
      <c r="O1809" s="254" t="str">
        <f>IF(ISBLANK(INDEX('Policy Characteristics'!I:I,MATCH($C1809,'Policy Characteristics'!$C:$C,0))),"",INDEX('Policy Characteristics'!I:I,MATCH($C1809,'Policy Characteristics'!$C:$C,0)))</f>
        <v>% reduction in cost</v>
      </c>
      <c r="P1809" s="254" t="str">
        <f>IF(ISBLANK(INDEX('Policy Characteristics'!J:J,MATCH($C1809,'Policy Characteristics'!$C:$C,0))),"",INDEX('Policy Characteristics'!J:J,MATCH($C1809,'Policy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09" s="254" t="str">
        <f>IF(ISBLANK(INDEX('Policy Characteristics'!K:K,MATCH($C1809,'Policy Characteristics'!$C:$C,0))),"",INDEX('Policy Characteristics'!K:K,MATCH($C1809,'Policy Characteristics'!$C:$C,0)))</f>
        <v>architectural-design.html#rnd</v>
      </c>
      <c r="R1809" s="254" t="str">
        <f>IF(ISBLANK(INDEX('Policy Characteristics'!L:L,MATCH($C1809,'Policy Characteristics'!$C:$C,0))),"",INDEX('Policy Characteristics'!L:L,MATCH($C1809,'Policy Characteristics'!$C:$C,0)))</f>
        <v>research-and-development.html</v>
      </c>
    </row>
    <row r="1810" spans="1:18" x14ac:dyDescent="0.3">
      <c r="A1810" s="254" t="str">
        <f>IF(ISBLANK(INDEX('Policy Characteristics'!A:A,MATCH($C1810,'Policy Characteristics'!$C:$C,0))),"",INDEX('Policy Characteristics'!A:A,MATCH($C1810,'Policy Characteristics'!$C:$C,0)))</f>
        <v>Research and Development</v>
      </c>
      <c r="B1810" s="262" t="str">
        <f>IF(ISBLANK(INDEX('Policy Characteristics'!B:B,MATCH($C1810,'Policy Characteristics'!$C:$C,0))),"",INDEX('Policy Characteristics'!B:B,MATCH($C1810,'Policy Characteristics'!$C:$C,0)))</f>
        <v>Capital Cost Reduction</v>
      </c>
      <c r="C1810" s="254" t="str">
        <f t="shared" si="70"/>
        <v>RnD Electricity Capital Cost Perc Reduction</v>
      </c>
      <c r="D1810" s="6" t="s">
        <v>308</v>
      </c>
      <c r="E1810" s="45"/>
      <c r="F1810" s="6" t="s">
        <v>3505</v>
      </c>
      <c r="G1810" s="45"/>
      <c r="H1810" s="43">
        <v>180</v>
      </c>
      <c r="I1810" s="324" t="s">
        <v>43</v>
      </c>
      <c r="J1810" s="255" t="str">
        <f>IF(ISBLANK(INDEX('Policy Characteristics'!D:D,MATCH($C1810,'Policy Characteristics'!$C:$C,0))),"",INDEX('Policy Characteristics'!D:D,MATCH($C1810,'Policy Characteristics'!$C:$C,0)))</f>
        <v>R&amp;D Capital Cost Reductions</v>
      </c>
      <c r="K1810" s="254" t="str">
        <f>IF(ISBLANK(INDEX('Policy Characteristics'!E:E,MATCH($C1810,'Policy Characteristics'!$C:$C,0))),"",INDEX('Policy Characteristics'!E:E,MATCH($C1810,'Policy Characteristics'!$C:$C,0)))</f>
        <v>RnD electricity capital cost reduction</v>
      </c>
      <c r="L1810" s="261">
        <f>IF(ISBLANK(INDEX('Policy Characteristics'!F:F,MATCH($C1810,'Policy Characteristics'!$C:$C,0))),"",INDEX('Policy Characteristics'!F:F,MATCH($C1810,'Policy Characteristics'!$C:$C,0)))</f>
        <v>0</v>
      </c>
      <c r="M1810" s="261">
        <f>IF(ISBLANK(INDEX('Policy Characteristics'!G:G,MATCH($C1810,'Policy Characteristics'!$C:$C,0))),"",INDEX('Policy Characteristics'!G:G,MATCH($C1810,'Policy Characteristics'!$C:$C,0)))</f>
        <v>0.4</v>
      </c>
      <c r="N1810" s="261">
        <f>IF(ISBLANK(INDEX('Policy Characteristics'!H:H,MATCH($C1810,'Policy Characteristics'!$C:$C,0))),"",INDEX('Policy Characteristics'!H:H,MATCH($C1810,'Policy Characteristics'!$C:$C,0)))</f>
        <v>0.01</v>
      </c>
      <c r="O1810" s="254" t="str">
        <f>IF(ISBLANK(INDEX('Policy Characteristics'!I:I,MATCH($C1810,'Policy Characteristics'!$C:$C,0))),"",INDEX('Policy Characteristics'!I:I,MATCH($C1810,'Policy Characteristics'!$C:$C,0)))</f>
        <v>% reduction in cost</v>
      </c>
      <c r="P1810" s="254" t="str">
        <f>IF(ISBLANK(INDEX('Policy Characteristics'!J:J,MATCH($C1810,'Policy Characteristics'!$C:$C,0))),"",INDEX('Policy Characteristics'!J:J,MATCH($C1810,'Policy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0" s="254" t="str">
        <f>IF(ISBLANK(INDEX('Policy Characteristics'!K:K,MATCH($C1810,'Policy Characteristics'!$C:$C,0))),"",INDEX('Policy Characteristics'!K:K,MATCH($C1810,'Policy Characteristics'!$C:$C,0)))</f>
        <v>architectural-design.html#rnd</v>
      </c>
      <c r="R1810" s="254" t="str">
        <f>IF(ISBLANK(INDEX('Policy Characteristics'!L:L,MATCH($C1810,'Policy Characteristics'!$C:$C,0))),"",INDEX('Policy Characteristics'!L:L,MATCH($C1810,'Policy Characteristics'!$C:$C,0)))</f>
        <v>research-and-development.html</v>
      </c>
    </row>
    <row r="1811" spans="1:18" x14ac:dyDescent="0.3">
      <c r="A1811" s="254" t="str">
        <f>IF(ISBLANK(INDEX('Policy Characteristics'!A:A,MATCH($C1811,'Policy Characteristics'!$C:$C,0))),"",INDEX('Policy Characteristics'!A:A,MATCH($C1811,'Policy Characteristics'!$C:$C,0)))</f>
        <v>Research and Development</v>
      </c>
      <c r="B1811" s="262" t="str">
        <f>IF(ISBLANK(INDEX('Policy Characteristics'!B:B,MATCH($C1811,'Policy Characteristics'!$C:$C,0))),"",INDEX('Policy Characteristics'!B:B,MATCH($C1811,'Policy Characteristics'!$C:$C,0)))</f>
        <v>Capital Cost Reduction</v>
      </c>
      <c r="C1811" s="254" t="str">
        <f t="shared" si="70"/>
        <v>RnD Electricity Capital Cost Perc Reduction</v>
      </c>
      <c r="D1811" s="6" t="s">
        <v>309</v>
      </c>
      <c r="E1811" s="45"/>
      <c r="F1811" s="6" t="s">
        <v>2257</v>
      </c>
      <c r="G1811" s="45"/>
      <c r="H1811" s="43">
        <v>183</v>
      </c>
      <c r="I1811" s="324" t="s">
        <v>43</v>
      </c>
      <c r="J1811" s="255" t="str">
        <f>IF(ISBLANK(INDEX('Policy Characteristics'!D:D,MATCH($C1811,'Policy Characteristics'!$C:$C,0))),"",INDEX('Policy Characteristics'!D:D,MATCH($C1811,'Policy Characteristics'!$C:$C,0)))</f>
        <v>R&amp;D Capital Cost Reductions</v>
      </c>
      <c r="K1811" s="254" t="str">
        <f>IF(ISBLANK(INDEX('Policy Characteristics'!E:E,MATCH($C1811,'Policy Characteristics'!$C:$C,0))),"",INDEX('Policy Characteristics'!E:E,MATCH($C1811,'Policy Characteristics'!$C:$C,0)))</f>
        <v>RnD electricity capital cost reduction</v>
      </c>
      <c r="L1811" s="261">
        <f>IF(ISBLANK(INDEX('Policy Characteristics'!F:F,MATCH($C1811,'Policy Characteristics'!$C:$C,0))),"",INDEX('Policy Characteristics'!F:F,MATCH($C1811,'Policy Characteristics'!$C:$C,0)))</f>
        <v>0</v>
      </c>
      <c r="M1811" s="261">
        <f>IF(ISBLANK(INDEX('Policy Characteristics'!G:G,MATCH($C1811,'Policy Characteristics'!$C:$C,0))),"",INDEX('Policy Characteristics'!G:G,MATCH($C1811,'Policy Characteristics'!$C:$C,0)))</f>
        <v>0.4</v>
      </c>
      <c r="N1811" s="261">
        <f>IF(ISBLANK(INDEX('Policy Characteristics'!H:H,MATCH($C1811,'Policy Characteristics'!$C:$C,0))),"",INDEX('Policy Characteristics'!H:H,MATCH($C1811,'Policy Characteristics'!$C:$C,0)))</f>
        <v>0.01</v>
      </c>
      <c r="O1811" s="254" t="str">
        <f>IF(ISBLANK(INDEX('Policy Characteristics'!I:I,MATCH($C1811,'Policy Characteristics'!$C:$C,0))),"",INDEX('Policy Characteristics'!I:I,MATCH($C1811,'Policy Characteristics'!$C:$C,0)))</f>
        <v>% reduction in cost</v>
      </c>
      <c r="P1811" s="254" t="str">
        <f>IF(ISBLANK(INDEX('Policy Characteristics'!J:J,MATCH($C1811,'Policy Characteristics'!$C:$C,0))),"",INDEX('Policy Characteristics'!J:J,MATCH($C1811,'Policy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1" s="254" t="str">
        <f>IF(ISBLANK(INDEX('Policy Characteristics'!K:K,MATCH($C1811,'Policy Characteristics'!$C:$C,0))),"",INDEX('Policy Characteristics'!K:K,MATCH($C1811,'Policy Characteristics'!$C:$C,0)))</f>
        <v>architectural-design.html#rnd</v>
      </c>
      <c r="R1811" s="254" t="str">
        <f>IF(ISBLANK(INDEX('Policy Characteristics'!L:L,MATCH($C1811,'Policy Characteristics'!$C:$C,0))),"",INDEX('Policy Characteristics'!L:L,MATCH($C1811,'Policy Characteristics'!$C:$C,0)))</f>
        <v>research-and-development.html</v>
      </c>
    </row>
    <row r="1812" spans="1:18" x14ac:dyDescent="0.3">
      <c r="A1812" s="254" t="str">
        <f>IF(ISBLANK(INDEX('Policy Characteristics'!A:A,MATCH($C1812,'Policy Characteristics'!$C:$C,0))),"",INDEX('Policy Characteristics'!A:A,MATCH($C1812,'Policy Characteristics'!$C:$C,0)))</f>
        <v>Research and Development</v>
      </c>
      <c r="B1812" s="262" t="str">
        <f>IF(ISBLANK(INDEX('Policy Characteristics'!B:B,MATCH($C1812,'Policy Characteristics'!$C:$C,0))),"",INDEX('Policy Characteristics'!B:B,MATCH($C1812,'Policy Characteristics'!$C:$C,0)))</f>
        <v>Capital Cost Reduction</v>
      </c>
      <c r="C1812" s="254" t="str">
        <f t="shared" si="70"/>
        <v>RnD Electricity Capital Cost Perc Reduction</v>
      </c>
      <c r="D1812" s="6" t="s">
        <v>444</v>
      </c>
      <c r="E1812" s="45"/>
      <c r="F1812" s="6" t="s">
        <v>445</v>
      </c>
      <c r="G1812" s="45"/>
      <c r="H1812" s="43">
        <v>1811</v>
      </c>
      <c r="I1812" s="324" t="s">
        <v>43</v>
      </c>
      <c r="J1812" s="255" t="str">
        <f>IF(ISBLANK(INDEX('Policy Characteristics'!D:D,MATCH($C1812,'Policy Characteristics'!$C:$C,0))),"",INDEX('Policy Characteristics'!D:D,MATCH($C1812,'Policy Characteristics'!$C:$C,0)))</f>
        <v>R&amp;D Capital Cost Reductions</v>
      </c>
      <c r="K1812" s="254" t="str">
        <f>IF(ISBLANK(INDEX('Policy Characteristics'!E:E,MATCH($C1812,'Policy Characteristics'!$C:$C,0))),"",INDEX('Policy Characteristics'!E:E,MATCH($C1812,'Policy Characteristics'!$C:$C,0)))</f>
        <v>RnD electricity capital cost reduction</v>
      </c>
      <c r="L1812" s="261">
        <f>IF(ISBLANK(INDEX('Policy Characteristics'!F:F,MATCH($C1812,'Policy Characteristics'!$C:$C,0))),"",INDEX('Policy Characteristics'!F:F,MATCH($C1812,'Policy Characteristics'!$C:$C,0)))</f>
        <v>0</v>
      </c>
      <c r="M1812" s="261">
        <f>IF(ISBLANK(INDEX('Policy Characteristics'!G:G,MATCH($C1812,'Policy Characteristics'!$C:$C,0))),"",INDEX('Policy Characteristics'!G:G,MATCH($C1812,'Policy Characteristics'!$C:$C,0)))</f>
        <v>0.4</v>
      </c>
      <c r="N1812" s="261">
        <f>IF(ISBLANK(INDEX('Policy Characteristics'!H:H,MATCH($C1812,'Policy Characteristics'!$C:$C,0))),"",INDEX('Policy Characteristics'!H:H,MATCH($C1812,'Policy Characteristics'!$C:$C,0)))</f>
        <v>0.01</v>
      </c>
      <c r="O1812" s="254" t="str">
        <f>IF(ISBLANK(INDEX('Policy Characteristics'!I:I,MATCH($C1812,'Policy Characteristics'!$C:$C,0))),"",INDEX('Policy Characteristics'!I:I,MATCH($C1812,'Policy Characteristics'!$C:$C,0)))</f>
        <v>% reduction in cost</v>
      </c>
      <c r="P1812" s="254" t="str">
        <f>IF(ISBLANK(INDEX('Policy Characteristics'!J:J,MATCH($C1812,'Policy Characteristics'!$C:$C,0))),"",INDEX('Policy Characteristics'!J:J,MATCH($C1812,'Policy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2" s="254" t="str">
        <f>IF(ISBLANK(INDEX('Policy Characteristics'!K:K,MATCH($C1812,'Policy Characteristics'!$C:$C,0))),"",INDEX('Policy Characteristics'!K:K,MATCH($C1812,'Policy Characteristics'!$C:$C,0)))</f>
        <v>architectural-design.html#rnd</v>
      </c>
      <c r="R1812" s="254" t="str">
        <f>IF(ISBLANK(INDEX('Policy Characteristics'!L:L,MATCH($C1812,'Policy Characteristics'!$C:$C,0))),"",INDEX('Policy Characteristics'!L:L,MATCH($C1812,'Policy Characteristics'!$C:$C,0)))</f>
        <v>research-and-development.html</v>
      </c>
    </row>
    <row r="1813" spans="1:18" x14ac:dyDescent="0.3">
      <c r="A1813" s="254" t="str">
        <f>IF(ISBLANK(INDEX('Policy Characteristics'!A:A,MATCH($C1813,'Policy Characteristics'!$C:$C,0))),"",INDEX('Policy Characteristics'!A:A,MATCH($C1813,'Policy Characteristics'!$C:$C,0)))</f>
        <v>Research and Development</v>
      </c>
      <c r="B1813" s="262" t="str">
        <f>IF(ISBLANK(INDEX('Policy Characteristics'!B:B,MATCH($C1813,'Policy Characteristics'!$C:$C,0))),"",INDEX('Policy Characteristics'!B:B,MATCH($C1813,'Policy Characteristics'!$C:$C,0)))</f>
        <v>Capital Cost Reduction</v>
      </c>
      <c r="C1813" s="254" t="str">
        <f t="shared" si="70"/>
        <v>RnD Electricity Capital Cost Perc Reduction</v>
      </c>
      <c r="D1813" s="6" t="s">
        <v>453</v>
      </c>
      <c r="E1813" s="45"/>
      <c r="F1813" s="6" t="s">
        <v>455</v>
      </c>
      <c r="G1813" s="45"/>
      <c r="H1813" s="43">
        <v>1812</v>
      </c>
      <c r="I1813" s="324" t="s">
        <v>43</v>
      </c>
      <c r="J1813" s="255" t="str">
        <f>IF(ISBLANK(INDEX('Policy Characteristics'!D:D,MATCH($C1813,'Policy Characteristics'!$C:$C,0))),"",INDEX('Policy Characteristics'!D:D,MATCH($C1813,'Policy Characteristics'!$C:$C,0)))</f>
        <v>R&amp;D Capital Cost Reductions</v>
      </c>
      <c r="K1813" s="254" t="str">
        <f>IF(ISBLANK(INDEX('Policy Characteristics'!E:E,MATCH($C1813,'Policy Characteristics'!$C:$C,0))),"",INDEX('Policy Characteristics'!E:E,MATCH($C1813,'Policy Characteristics'!$C:$C,0)))</f>
        <v>RnD electricity capital cost reduction</v>
      </c>
      <c r="L1813" s="261">
        <f>IF(ISBLANK(INDEX('Policy Characteristics'!F:F,MATCH($C1813,'Policy Characteristics'!$C:$C,0))),"",INDEX('Policy Characteristics'!F:F,MATCH($C1813,'Policy Characteristics'!$C:$C,0)))</f>
        <v>0</v>
      </c>
      <c r="M1813" s="261">
        <f>IF(ISBLANK(INDEX('Policy Characteristics'!G:G,MATCH($C1813,'Policy Characteristics'!$C:$C,0))),"",INDEX('Policy Characteristics'!G:G,MATCH($C1813,'Policy Characteristics'!$C:$C,0)))</f>
        <v>0.4</v>
      </c>
      <c r="N1813" s="261">
        <f>IF(ISBLANK(INDEX('Policy Characteristics'!H:H,MATCH($C1813,'Policy Characteristics'!$C:$C,0))),"",INDEX('Policy Characteristics'!H:H,MATCH($C1813,'Policy Characteristics'!$C:$C,0)))</f>
        <v>0.01</v>
      </c>
      <c r="O1813" s="254" t="str">
        <f>IF(ISBLANK(INDEX('Policy Characteristics'!I:I,MATCH($C1813,'Policy Characteristics'!$C:$C,0))),"",INDEX('Policy Characteristics'!I:I,MATCH($C1813,'Policy Characteristics'!$C:$C,0)))</f>
        <v>% reduction in cost</v>
      </c>
      <c r="P1813" s="254" t="str">
        <f>IF(ISBLANK(INDEX('Policy Characteristics'!J:J,MATCH($C1813,'Policy Characteristics'!$C:$C,0))),"",INDEX('Policy Characteristics'!J:J,MATCH($C1813,'Policy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3" s="254" t="str">
        <f>IF(ISBLANK(INDEX('Policy Characteristics'!K:K,MATCH($C1813,'Policy Characteristics'!$C:$C,0))),"",INDEX('Policy Characteristics'!K:K,MATCH($C1813,'Policy Characteristics'!$C:$C,0)))</f>
        <v>architectural-design.html#rnd</v>
      </c>
      <c r="R1813" s="254" t="str">
        <f>IF(ISBLANK(INDEX('Policy Characteristics'!L:L,MATCH($C1813,'Policy Characteristics'!$C:$C,0))),"",INDEX('Policy Characteristics'!L:L,MATCH($C1813,'Policy Characteristics'!$C:$C,0)))</f>
        <v>research-and-development.html</v>
      </c>
    </row>
    <row r="1814" spans="1:18" x14ac:dyDescent="0.3">
      <c r="A1814" s="254" t="str">
        <f>IF(ISBLANK(INDEX('Policy Characteristics'!A:A,MATCH($C1814,'Policy Characteristics'!$C:$C,0))),"",INDEX('Policy Characteristics'!A:A,MATCH($C1814,'Policy Characteristics'!$C:$C,0)))</f>
        <v>Research and Development</v>
      </c>
      <c r="B1814" s="262" t="str">
        <f>IF(ISBLANK(INDEX('Policy Characteristics'!B:B,MATCH($C1814,'Policy Characteristics'!$C:$C,0))),"",INDEX('Policy Characteristics'!B:B,MATCH($C1814,'Policy Characteristics'!$C:$C,0)))</f>
        <v>Capital Cost Reduction</v>
      </c>
      <c r="C1814" s="254" t="str">
        <f t="shared" si="70"/>
        <v>RnD Electricity Capital Cost Perc Reduction</v>
      </c>
      <c r="D1814" s="6" t="s">
        <v>2748</v>
      </c>
      <c r="E1814" s="45"/>
      <c r="F1814" s="6" t="s">
        <v>3506</v>
      </c>
      <c r="G1814" s="45"/>
      <c r="H1814" s="43">
        <v>1813</v>
      </c>
      <c r="I1814" s="324" t="s">
        <v>44</v>
      </c>
      <c r="J1814" s="255" t="str">
        <f>IF(ISBLANK(INDEX('Policy Characteristics'!D:D,MATCH($C1814,'Policy Characteristics'!$C:$C,0))),"",INDEX('Policy Characteristics'!D:D,MATCH($C1814,'Policy Characteristics'!$C:$C,0)))</f>
        <v>R&amp;D Capital Cost Reductions</v>
      </c>
      <c r="K1814" s="254" t="str">
        <f>IF(ISBLANK(INDEX('Policy Characteristics'!E:E,MATCH($C1814,'Policy Characteristics'!$C:$C,0))),"",INDEX('Policy Characteristics'!E:E,MATCH($C1814,'Policy Characteristics'!$C:$C,0)))</f>
        <v>RnD electricity capital cost reduction</v>
      </c>
      <c r="L1814" s="261">
        <f>IF(ISBLANK(INDEX('Policy Characteristics'!F:F,MATCH($C1814,'Policy Characteristics'!$C:$C,0))),"",INDEX('Policy Characteristics'!F:F,MATCH($C1814,'Policy Characteristics'!$C:$C,0)))</f>
        <v>0</v>
      </c>
      <c r="M1814" s="261">
        <f>IF(ISBLANK(INDEX('Policy Characteristics'!G:G,MATCH($C1814,'Policy Characteristics'!$C:$C,0))),"",INDEX('Policy Characteristics'!G:G,MATCH($C1814,'Policy Characteristics'!$C:$C,0)))</f>
        <v>0.4</v>
      </c>
      <c r="N1814" s="261">
        <f>IF(ISBLANK(INDEX('Policy Characteristics'!H:H,MATCH($C1814,'Policy Characteristics'!$C:$C,0))),"",INDEX('Policy Characteristics'!H:H,MATCH($C1814,'Policy Characteristics'!$C:$C,0)))</f>
        <v>0.01</v>
      </c>
      <c r="O1814" s="254" t="str">
        <f>IF(ISBLANK(INDEX('Policy Characteristics'!I:I,MATCH($C1814,'Policy Characteristics'!$C:$C,0))),"",INDEX('Policy Characteristics'!I:I,MATCH($C1814,'Policy Characteristics'!$C:$C,0)))</f>
        <v>% reduction in cost</v>
      </c>
      <c r="P1814" s="254" t="str">
        <f>IF(ISBLANK(INDEX('Policy Characteristics'!J:J,MATCH($C1814,'Policy Characteristics'!$C:$C,0))),"",INDEX('Policy Characteristics'!J:J,MATCH($C1814,'Policy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4" s="254" t="str">
        <f>IF(ISBLANK(INDEX('Policy Characteristics'!K:K,MATCH($C1814,'Policy Characteristics'!$C:$C,0))),"",INDEX('Policy Characteristics'!K:K,MATCH($C1814,'Policy Characteristics'!$C:$C,0)))</f>
        <v>architectural-design.html#rnd</v>
      </c>
      <c r="R1814" s="254" t="str">
        <f>IF(ISBLANK(INDEX('Policy Characteristics'!L:L,MATCH($C1814,'Policy Characteristics'!$C:$C,0))),"",INDEX('Policy Characteristics'!L:L,MATCH($C1814,'Policy Characteristics'!$C:$C,0)))</f>
        <v>research-and-development.html</v>
      </c>
    </row>
    <row r="1815" spans="1:18" x14ac:dyDescent="0.3">
      <c r="A1815" s="254" t="str">
        <f>IF(ISBLANK(INDEX('Policy Characteristics'!A:A,MATCH($C1815,'Policy Characteristics'!$C:$C,0))),"",INDEX('Policy Characteristics'!A:A,MATCH($C1815,'Policy Characteristics'!$C:$C,0)))</f>
        <v>Research and Development</v>
      </c>
      <c r="B1815" s="262" t="str">
        <f>IF(ISBLANK(INDEX('Policy Characteristics'!B:B,MATCH($C1815,'Policy Characteristics'!$C:$C,0))),"",INDEX('Policy Characteristics'!B:B,MATCH($C1815,'Policy Characteristics'!$C:$C,0)))</f>
        <v>Capital Cost Reduction</v>
      </c>
      <c r="C1815" s="254" t="str">
        <f t="shared" si="70"/>
        <v>RnD Electricity Capital Cost Perc Reduction</v>
      </c>
      <c r="D1815" s="6" t="s">
        <v>2749</v>
      </c>
      <c r="E1815" s="45"/>
      <c r="F1815" s="6" t="s">
        <v>3507</v>
      </c>
      <c r="G1815" s="45"/>
      <c r="H1815" s="43">
        <v>1814</v>
      </c>
      <c r="I1815" s="324" t="s">
        <v>44</v>
      </c>
      <c r="J1815" s="255" t="str">
        <f>IF(ISBLANK(INDEX('Policy Characteristics'!D:D,MATCH($C1815,'Policy Characteristics'!$C:$C,0))),"",INDEX('Policy Characteristics'!D:D,MATCH($C1815,'Policy Characteristics'!$C:$C,0)))</f>
        <v>R&amp;D Capital Cost Reductions</v>
      </c>
      <c r="K1815" s="254" t="str">
        <f>IF(ISBLANK(INDEX('Policy Characteristics'!E:E,MATCH($C1815,'Policy Characteristics'!$C:$C,0))),"",INDEX('Policy Characteristics'!E:E,MATCH($C1815,'Policy Characteristics'!$C:$C,0)))</f>
        <v>RnD electricity capital cost reduction</v>
      </c>
      <c r="L1815" s="261">
        <f>IF(ISBLANK(INDEX('Policy Characteristics'!F:F,MATCH($C1815,'Policy Characteristics'!$C:$C,0))),"",INDEX('Policy Characteristics'!F:F,MATCH($C1815,'Policy Characteristics'!$C:$C,0)))</f>
        <v>0</v>
      </c>
      <c r="M1815" s="261">
        <f>IF(ISBLANK(INDEX('Policy Characteristics'!G:G,MATCH($C1815,'Policy Characteristics'!$C:$C,0))),"",INDEX('Policy Characteristics'!G:G,MATCH($C1815,'Policy Characteristics'!$C:$C,0)))</f>
        <v>0.4</v>
      </c>
      <c r="N1815" s="261">
        <f>IF(ISBLANK(INDEX('Policy Characteristics'!H:H,MATCH($C1815,'Policy Characteristics'!$C:$C,0))),"",INDEX('Policy Characteristics'!H:H,MATCH($C1815,'Policy Characteristics'!$C:$C,0)))</f>
        <v>0.01</v>
      </c>
      <c r="O1815" s="254" t="str">
        <f>IF(ISBLANK(INDEX('Policy Characteristics'!I:I,MATCH($C1815,'Policy Characteristics'!$C:$C,0))),"",INDEX('Policy Characteristics'!I:I,MATCH($C1815,'Policy Characteristics'!$C:$C,0)))</f>
        <v>% reduction in cost</v>
      </c>
      <c r="P1815" s="254" t="str">
        <f>IF(ISBLANK(INDEX('Policy Characteristics'!J:J,MATCH($C1815,'Policy Characteristics'!$C:$C,0))),"",INDEX('Policy Characteristics'!J:J,MATCH($C1815,'Policy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5" s="254" t="str">
        <f>IF(ISBLANK(INDEX('Policy Characteristics'!K:K,MATCH($C1815,'Policy Characteristics'!$C:$C,0))),"",INDEX('Policy Characteristics'!K:K,MATCH($C1815,'Policy Characteristics'!$C:$C,0)))</f>
        <v>architectural-design.html#rnd</v>
      </c>
      <c r="R1815" s="254" t="str">
        <f>IF(ISBLANK(INDEX('Policy Characteristics'!L:L,MATCH($C1815,'Policy Characteristics'!$C:$C,0))),"",INDEX('Policy Characteristics'!L:L,MATCH($C1815,'Policy Characteristics'!$C:$C,0)))</f>
        <v>research-and-development.html</v>
      </c>
    </row>
    <row r="1816" spans="1:18" x14ac:dyDescent="0.3">
      <c r="A1816" s="254" t="str">
        <f>IF(ISBLANK(INDEX('Policy Characteristics'!A:A,MATCH($C1816,'Policy Characteristics'!$C:$C,0))),"",INDEX('Policy Characteristics'!A:A,MATCH($C1816,'Policy Characteristics'!$C:$C,0)))</f>
        <v>Research and Development</v>
      </c>
      <c r="B1816" s="262" t="str">
        <f>IF(ISBLANK(INDEX('Policy Characteristics'!B:B,MATCH($C1816,'Policy Characteristics'!$C:$C,0))),"",INDEX('Policy Characteristics'!B:B,MATCH($C1816,'Policy Characteristics'!$C:$C,0)))</f>
        <v>Capital Cost Reduction</v>
      </c>
      <c r="C1816" s="254" t="str">
        <f t="shared" si="70"/>
        <v>RnD Electricity Capital Cost Perc Reduction</v>
      </c>
      <c r="D1816" s="6" t="s">
        <v>2750</v>
      </c>
      <c r="E1816" s="45"/>
      <c r="F1816" s="6" t="s">
        <v>3508</v>
      </c>
      <c r="G1816" s="45"/>
      <c r="H1816" s="43">
        <v>1815</v>
      </c>
      <c r="I1816" s="324" t="s">
        <v>43</v>
      </c>
      <c r="J1816" s="255" t="str">
        <f>IF(ISBLANK(INDEX('Policy Characteristics'!D:D,MATCH($C1816,'Policy Characteristics'!$C:$C,0))),"",INDEX('Policy Characteristics'!D:D,MATCH($C1816,'Policy Characteristics'!$C:$C,0)))</f>
        <v>R&amp;D Capital Cost Reductions</v>
      </c>
      <c r="K1816" s="254" t="str">
        <f>IF(ISBLANK(INDEX('Policy Characteristics'!E:E,MATCH($C1816,'Policy Characteristics'!$C:$C,0))),"",INDEX('Policy Characteristics'!E:E,MATCH($C1816,'Policy Characteristics'!$C:$C,0)))</f>
        <v>RnD electricity capital cost reduction</v>
      </c>
      <c r="L1816" s="261">
        <f>IF(ISBLANK(INDEX('Policy Characteristics'!F:F,MATCH($C1816,'Policy Characteristics'!$C:$C,0))),"",INDEX('Policy Characteristics'!F:F,MATCH($C1816,'Policy Characteristics'!$C:$C,0)))</f>
        <v>0</v>
      </c>
      <c r="M1816" s="261">
        <f>IF(ISBLANK(INDEX('Policy Characteristics'!G:G,MATCH($C1816,'Policy Characteristics'!$C:$C,0))),"",INDEX('Policy Characteristics'!G:G,MATCH($C1816,'Policy Characteristics'!$C:$C,0)))</f>
        <v>0.4</v>
      </c>
      <c r="N1816" s="261">
        <f>IF(ISBLANK(INDEX('Policy Characteristics'!H:H,MATCH($C1816,'Policy Characteristics'!$C:$C,0))),"",INDEX('Policy Characteristics'!H:H,MATCH($C1816,'Policy Characteristics'!$C:$C,0)))</f>
        <v>0.01</v>
      </c>
      <c r="O1816" s="254" t="str">
        <f>IF(ISBLANK(INDEX('Policy Characteristics'!I:I,MATCH($C1816,'Policy Characteristics'!$C:$C,0))),"",INDEX('Policy Characteristics'!I:I,MATCH($C1816,'Policy Characteristics'!$C:$C,0)))</f>
        <v>% reduction in cost</v>
      </c>
      <c r="P1816" s="254" t="str">
        <f>IF(ISBLANK(INDEX('Policy Characteristics'!J:J,MATCH($C1816,'Policy Characteristics'!$C:$C,0))),"",INDEX('Policy Characteristics'!J:J,MATCH($C1816,'Policy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6" s="254" t="str">
        <f>IF(ISBLANK(INDEX('Policy Characteristics'!K:K,MATCH($C1816,'Policy Characteristics'!$C:$C,0))),"",INDEX('Policy Characteristics'!K:K,MATCH($C1816,'Policy Characteristics'!$C:$C,0)))</f>
        <v>architectural-design.html#rnd</v>
      </c>
      <c r="R1816" s="254" t="str">
        <f>IF(ISBLANK(INDEX('Policy Characteristics'!L:L,MATCH($C1816,'Policy Characteristics'!$C:$C,0))),"",INDEX('Policy Characteristics'!L:L,MATCH($C1816,'Policy Characteristics'!$C:$C,0)))</f>
        <v>research-and-development.html</v>
      </c>
    </row>
    <row r="1817" spans="1:18" x14ac:dyDescent="0.3">
      <c r="A1817" s="254" t="str">
        <f>IF(ISBLANK(INDEX('Policy Characteristics'!A:A,MATCH($C1817,'Policy Characteristics'!$C:$C,0))),"",INDEX('Policy Characteristics'!A:A,MATCH($C1817,'Policy Characteristics'!$C:$C,0)))</f>
        <v>Research and Development</v>
      </c>
      <c r="B1817" s="262" t="str">
        <f>IF(ISBLANK(INDEX('Policy Characteristics'!B:B,MATCH($C1817,'Policy Characteristics'!$C:$C,0))),"",INDEX('Policy Characteristics'!B:B,MATCH($C1817,'Policy Characteristics'!$C:$C,0)))</f>
        <v>Capital Cost Reduction</v>
      </c>
      <c r="C1817" s="254" t="str">
        <f t="shared" si="70"/>
        <v>RnD Electricity Capital Cost Perc Reduction</v>
      </c>
      <c r="D1817" s="6" t="s">
        <v>3487</v>
      </c>
      <c r="E1817" s="45"/>
      <c r="F1817" s="6" t="s">
        <v>3509</v>
      </c>
      <c r="G1817" s="45"/>
      <c r="H1817" s="43">
        <v>1816</v>
      </c>
      <c r="I1817" s="324" t="s">
        <v>43</v>
      </c>
      <c r="J1817" s="255" t="str">
        <f>IF(ISBLANK(INDEX('Policy Characteristics'!D:D,MATCH($C1817,'Policy Characteristics'!$C:$C,0))),"",INDEX('Policy Characteristics'!D:D,MATCH($C1817,'Policy Characteristics'!$C:$C,0)))</f>
        <v>R&amp;D Capital Cost Reductions</v>
      </c>
      <c r="K1817" s="254" t="str">
        <f>IF(ISBLANK(INDEX('Policy Characteristics'!E:E,MATCH($C1817,'Policy Characteristics'!$C:$C,0))),"",INDEX('Policy Characteristics'!E:E,MATCH($C1817,'Policy Characteristics'!$C:$C,0)))</f>
        <v>RnD electricity capital cost reduction</v>
      </c>
      <c r="L1817" s="261">
        <f>IF(ISBLANK(INDEX('Policy Characteristics'!F:F,MATCH($C1817,'Policy Characteristics'!$C:$C,0))),"",INDEX('Policy Characteristics'!F:F,MATCH($C1817,'Policy Characteristics'!$C:$C,0)))</f>
        <v>0</v>
      </c>
      <c r="M1817" s="261">
        <f>IF(ISBLANK(INDEX('Policy Characteristics'!G:G,MATCH($C1817,'Policy Characteristics'!$C:$C,0))),"",INDEX('Policy Characteristics'!G:G,MATCH($C1817,'Policy Characteristics'!$C:$C,0)))</f>
        <v>0.4</v>
      </c>
      <c r="N1817" s="261">
        <f>IF(ISBLANK(INDEX('Policy Characteristics'!H:H,MATCH($C1817,'Policy Characteristics'!$C:$C,0))),"",INDEX('Policy Characteristics'!H:H,MATCH($C1817,'Policy Characteristics'!$C:$C,0)))</f>
        <v>0.01</v>
      </c>
      <c r="O1817" s="254" t="str">
        <f>IF(ISBLANK(INDEX('Policy Characteristics'!I:I,MATCH($C1817,'Policy Characteristics'!$C:$C,0))),"",INDEX('Policy Characteristics'!I:I,MATCH($C1817,'Policy Characteristics'!$C:$C,0)))</f>
        <v>% reduction in cost</v>
      </c>
      <c r="P1817" s="254" t="str">
        <f>IF(ISBLANK(INDEX('Policy Characteristics'!J:J,MATCH($C1817,'Policy Characteristics'!$C:$C,0))),"",INDEX('Policy Characteristics'!J:J,MATCH($C1817,'Policy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7" s="254" t="str">
        <f>IF(ISBLANK(INDEX('Policy Characteristics'!K:K,MATCH($C1817,'Policy Characteristics'!$C:$C,0))),"",INDEX('Policy Characteristics'!K:K,MATCH($C1817,'Policy Characteristics'!$C:$C,0)))</f>
        <v>architectural-design.html#rnd</v>
      </c>
      <c r="R1817" s="254" t="str">
        <f>IF(ISBLANK(INDEX('Policy Characteristics'!L:L,MATCH($C1817,'Policy Characteristics'!$C:$C,0))),"",INDEX('Policy Characteristics'!L:L,MATCH($C1817,'Policy Characteristics'!$C:$C,0)))</f>
        <v>research-and-development.html</v>
      </c>
    </row>
    <row r="1818" spans="1:18" x14ac:dyDescent="0.3">
      <c r="A1818" s="254" t="str">
        <f>IF(ISBLANK(INDEX('Policy Characteristics'!A:A,MATCH($C1818,'Policy Characteristics'!$C:$C,0))),"",INDEX('Policy Characteristics'!A:A,MATCH($C1818,'Policy Characteristics'!$C:$C,0)))</f>
        <v>Research and Development</v>
      </c>
      <c r="B1818" s="262" t="str">
        <f>IF(ISBLANK(INDEX('Policy Characteristics'!B:B,MATCH($C1818,'Policy Characteristics'!$C:$C,0))),"",INDEX('Policy Characteristics'!B:B,MATCH($C1818,'Policy Characteristics'!$C:$C,0)))</f>
        <v>Capital Cost Reduction</v>
      </c>
      <c r="C1818" s="254" t="str">
        <f t="shared" si="70"/>
        <v>RnD Electricity Capital Cost Perc Reduction</v>
      </c>
      <c r="D1818" s="6" t="s">
        <v>3490</v>
      </c>
      <c r="E1818" s="45"/>
      <c r="F1818" s="6" t="s">
        <v>3510</v>
      </c>
      <c r="G1818" s="45"/>
      <c r="H1818" s="43">
        <v>1817</v>
      </c>
      <c r="I1818" s="324" t="s">
        <v>43</v>
      </c>
      <c r="J1818" s="255" t="str">
        <f>IF(ISBLANK(INDEX('Policy Characteristics'!D:D,MATCH($C1818,'Policy Characteristics'!$C:$C,0))),"",INDEX('Policy Characteristics'!D:D,MATCH($C1818,'Policy Characteristics'!$C:$C,0)))</f>
        <v>R&amp;D Capital Cost Reductions</v>
      </c>
      <c r="K1818" s="254" t="str">
        <f>IF(ISBLANK(INDEX('Policy Characteristics'!E:E,MATCH($C1818,'Policy Characteristics'!$C:$C,0))),"",INDEX('Policy Characteristics'!E:E,MATCH($C1818,'Policy Characteristics'!$C:$C,0)))</f>
        <v>RnD electricity capital cost reduction</v>
      </c>
      <c r="L1818" s="261">
        <f>IF(ISBLANK(INDEX('Policy Characteristics'!F:F,MATCH($C1818,'Policy Characteristics'!$C:$C,0))),"",INDEX('Policy Characteristics'!F:F,MATCH($C1818,'Policy Characteristics'!$C:$C,0)))</f>
        <v>0</v>
      </c>
      <c r="M1818" s="261">
        <f>IF(ISBLANK(INDEX('Policy Characteristics'!G:G,MATCH($C1818,'Policy Characteristics'!$C:$C,0))),"",INDEX('Policy Characteristics'!G:G,MATCH($C1818,'Policy Characteristics'!$C:$C,0)))</f>
        <v>0.4</v>
      </c>
      <c r="N1818" s="261">
        <f>IF(ISBLANK(INDEX('Policy Characteristics'!H:H,MATCH($C1818,'Policy Characteristics'!$C:$C,0))),"",INDEX('Policy Characteristics'!H:H,MATCH($C1818,'Policy Characteristics'!$C:$C,0)))</f>
        <v>0.01</v>
      </c>
      <c r="O1818" s="254" t="str">
        <f>IF(ISBLANK(INDEX('Policy Characteristics'!I:I,MATCH($C1818,'Policy Characteristics'!$C:$C,0))),"",INDEX('Policy Characteristics'!I:I,MATCH($C1818,'Policy Characteristics'!$C:$C,0)))</f>
        <v>% reduction in cost</v>
      </c>
      <c r="P1818" s="254" t="str">
        <f>IF(ISBLANK(INDEX('Policy Characteristics'!J:J,MATCH($C1818,'Policy Characteristics'!$C:$C,0))),"",INDEX('Policy Characteristics'!J:J,MATCH($C1818,'Policy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8" s="254" t="str">
        <f>IF(ISBLANK(INDEX('Policy Characteristics'!K:K,MATCH($C1818,'Policy Characteristics'!$C:$C,0))),"",INDEX('Policy Characteristics'!K:K,MATCH($C1818,'Policy Characteristics'!$C:$C,0)))</f>
        <v>architectural-design.html#rnd</v>
      </c>
      <c r="R1818" s="254" t="str">
        <f>IF(ISBLANK(INDEX('Policy Characteristics'!L:L,MATCH($C1818,'Policy Characteristics'!$C:$C,0))),"",INDEX('Policy Characteristics'!L:L,MATCH($C1818,'Policy Characteristics'!$C:$C,0)))</f>
        <v>research-and-development.html</v>
      </c>
    </row>
    <row r="1819" spans="1:18" x14ac:dyDescent="0.3">
      <c r="A1819" s="254" t="str">
        <f>IF(ISBLANK(INDEX('Policy Characteristics'!A:A,MATCH($C1819,'Policy Characteristics'!$C:$C,0))),"",INDEX('Policy Characteristics'!A:A,MATCH($C1819,'Policy Characteristics'!$C:$C,0)))</f>
        <v>Research and Development</v>
      </c>
      <c r="B1819" s="262" t="str">
        <f>IF(ISBLANK(INDEX('Policy Characteristics'!B:B,MATCH($C1819,'Policy Characteristics'!$C:$C,0))),"",INDEX('Policy Characteristics'!B:B,MATCH($C1819,'Policy Characteristics'!$C:$C,0)))</f>
        <v>Capital Cost Reduction</v>
      </c>
      <c r="C1819" s="254" t="str">
        <f t="shared" si="70"/>
        <v>RnD Electricity Capital Cost Perc Reduction</v>
      </c>
      <c r="D1819" s="6" t="s">
        <v>3491</v>
      </c>
      <c r="E1819" s="45"/>
      <c r="F1819" s="6" t="s">
        <v>3511</v>
      </c>
      <c r="G1819" s="45"/>
      <c r="H1819" s="43">
        <v>1818</v>
      </c>
      <c r="I1819" s="324" t="s">
        <v>43</v>
      </c>
      <c r="J1819" s="255" t="str">
        <f>IF(ISBLANK(INDEX('Policy Characteristics'!D:D,MATCH($C1819,'Policy Characteristics'!$C:$C,0))),"",INDEX('Policy Characteristics'!D:D,MATCH($C1819,'Policy Characteristics'!$C:$C,0)))</f>
        <v>R&amp;D Capital Cost Reductions</v>
      </c>
      <c r="K1819" s="254" t="str">
        <f>IF(ISBLANK(INDEX('Policy Characteristics'!E:E,MATCH($C1819,'Policy Characteristics'!$C:$C,0))),"",INDEX('Policy Characteristics'!E:E,MATCH($C1819,'Policy Characteristics'!$C:$C,0)))</f>
        <v>RnD electricity capital cost reduction</v>
      </c>
      <c r="L1819" s="261">
        <f>IF(ISBLANK(INDEX('Policy Characteristics'!F:F,MATCH($C1819,'Policy Characteristics'!$C:$C,0))),"",INDEX('Policy Characteristics'!F:F,MATCH($C1819,'Policy Characteristics'!$C:$C,0)))</f>
        <v>0</v>
      </c>
      <c r="M1819" s="261">
        <f>IF(ISBLANK(INDEX('Policy Characteristics'!G:G,MATCH($C1819,'Policy Characteristics'!$C:$C,0))),"",INDEX('Policy Characteristics'!G:G,MATCH($C1819,'Policy Characteristics'!$C:$C,0)))</f>
        <v>0.4</v>
      </c>
      <c r="N1819" s="261">
        <f>IF(ISBLANK(INDEX('Policy Characteristics'!H:H,MATCH($C1819,'Policy Characteristics'!$C:$C,0))),"",INDEX('Policy Characteristics'!H:H,MATCH($C1819,'Policy Characteristics'!$C:$C,0)))</f>
        <v>0.01</v>
      </c>
      <c r="O1819" s="254" t="str">
        <f>IF(ISBLANK(INDEX('Policy Characteristics'!I:I,MATCH($C1819,'Policy Characteristics'!$C:$C,0))),"",INDEX('Policy Characteristics'!I:I,MATCH($C1819,'Policy Characteristics'!$C:$C,0)))</f>
        <v>% reduction in cost</v>
      </c>
      <c r="P1819" s="254" t="str">
        <f>IF(ISBLANK(INDEX('Policy Characteristics'!J:J,MATCH($C1819,'Policy Characteristics'!$C:$C,0))),"",INDEX('Policy Characteristics'!J:J,MATCH($C1819,'Policy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19" s="254" t="str">
        <f>IF(ISBLANK(INDEX('Policy Characteristics'!K:K,MATCH($C1819,'Policy Characteristics'!$C:$C,0))),"",INDEX('Policy Characteristics'!K:K,MATCH($C1819,'Policy Characteristics'!$C:$C,0)))</f>
        <v>architectural-design.html#rnd</v>
      </c>
      <c r="R1819" s="254" t="str">
        <f>IF(ISBLANK(INDEX('Policy Characteristics'!L:L,MATCH($C1819,'Policy Characteristics'!$C:$C,0))),"",INDEX('Policy Characteristics'!L:L,MATCH($C1819,'Policy Characteristics'!$C:$C,0)))</f>
        <v>research-and-development.html</v>
      </c>
    </row>
    <row r="1820" spans="1:18" x14ac:dyDescent="0.3">
      <c r="A1820" s="254" t="str">
        <f>IF(ISBLANK(INDEX('Policy Characteristics'!A:A,MATCH($C1820,'Policy Characteristics'!$C:$C,0))),"",INDEX('Policy Characteristics'!A:A,MATCH($C1820,'Policy Characteristics'!$C:$C,0)))</f>
        <v>Research and Development</v>
      </c>
      <c r="B1820" s="262" t="str">
        <f>IF(ISBLANK(INDEX('Policy Characteristics'!B:B,MATCH($C1820,'Policy Characteristics'!$C:$C,0))),"",INDEX('Policy Characteristics'!B:B,MATCH($C1820,'Policy Characteristics'!$C:$C,0)))</f>
        <v>Capital Cost Reduction</v>
      </c>
      <c r="C1820" s="254" t="str">
        <f t="shared" si="70"/>
        <v>RnD Electricity Capital Cost Perc Reduction</v>
      </c>
      <c r="D1820" s="6" t="s">
        <v>3492</v>
      </c>
      <c r="E1820" s="45"/>
      <c r="F1820" s="6" t="s">
        <v>3512</v>
      </c>
      <c r="G1820" s="45"/>
      <c r="H1820" s="43">
        <v>1819</v>
      </c>
      <c r="I1820" s="324" t="s">
        <v>43</v>
      </c>
      <c r="J1820" s="255" t="str">
        <f>IF(ISBLANK(INDEX('Policy Characteristics'!D:D,MATCH($C1820,'Policy Characteristics'!$C:$C,0))),"",INDEX('Policy Characteristics'!D:D,MATCH($C1820,'Policy Characteristics'!$C:$C,0)))</f>
        <v>R&amp;D Capital Cost Reductions</v>
      </c>
      <c r="K1820" s="254" t="str">
        <f>IF(ISBLANK(INDEX('Policy Characteristics'!E:E,MATCH($C1820,'Policy Characteristics'!$C:$C,0))),"",INDEX('Policy Characteristics'!E:E,MATCH($C1820,'Policy Characteristics'!$C:$C,0)))</f>
        <v>RnD electricity capital cost reduction</v>
      </c>
      <c r="L1820" s="261">
        <f>IF(ISBLANK(INDEX('Policy Characteristics'!F:F,MATCH($C1820,'Policy Characteristics'!$C:$C,0))),"",INDEX('Policy Characteristics'!F:F,MATCH($C1820,'Policy Characteristics'!$C:$C,0)))</f>
        <v>0</v>
      </c>
      <c r="M1820" s="261">
        <f>IF(ISBLANK(INDEX('Policy Characteristics'!G:G,MATCH($C1820,'Policy Characteristics'!$C:$C,0))),"",INDEX('Policy Characteristics'!G:G,MATCH($C1820,'Policy Characteristics'!$C:$C,0)))</f>
        <v>0.4</v>
      </c>
      <c r="N1820" s="261">
        <f>IF(ISBLANK(INDEX('Policy Characteristics'!H:H,MATCH($C1820,'Policy Characteristics'!$C:$C,0))),"",INDEX('Policy Characteristics'!H:H,MATCH($C1820,'Policy Characteristics'!$C:$C,0)))</f>
        <v>0.01</v>
      </c>
      <c r="O1820" s="254" t="str">
        <f>IF(ISBLANK(INDEX('Policy Characteristics'!I:I,MATCH($C1820,'Policy Characteristics'!$C:$C,0))),"",INDEX('Policy Characteristics'!I:I,MATCH($C1820,'Policy Characteristics'!$C:$C,0)))</f>
        <v>% reduction in cost</v>
      </c>
      <c r="P1820" s="254" t="str">
        <f>IF(ISBLANK(INDEX('Policy Characteristics'!J:J,MATCH($C1820,'Policy Characteristics'!$C:$C,0))),"",INDEX('Policy Characteristics'!J:J,MATCH($C1820,'Policy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0" s="254" t="str">
        <f>IF(ISBLANK(INDEX('Policy Characteristics'!K:K,MATCH($C1820,'Policy Characteristics'!$C:$C,0))),"",INDEX('Policy Characteristics'!K:K,MATCH($C1820,'Policy Characteristics'!$C:$C,0)))</f>
        <v>architectural-design.html#rnd</v>
      </c>
      <c r="R1820" s="254" t="str">
        <f>IF(ISBLANK(INDEX('Policy Characteristics'!L:L,MATCH($C1820,'Policy Characteristics'!$C:$C,0))),"",INDEX('Policy Characteristics'!L:L,MATCH($C1820,'Policy Characteristics'!$C:$C,0)))</f>
        <v>research-and-development.html</v>
      </c>
    </row>
    <row r="1821" spans="1:18" x14ac:dyDescent="0.3">
      <c r="A1821" s="254" t="str">
        <f>IF(ISBLANK(INDEX('Policy Characteristics'!A:A,MATCH($C1821,'Policy Characteristics'!$C:$C,0))),"",INDEX('Policy Characteristics'!A:A,MATCH($C1821,'Policy Characteristics'!$C:$C,0)))</f>
        <v>Research and Development</v>
      </c>
      <c r="B1821" s="262" t="str">
        <f>IF(ISBLANK(INDEX('Policy Characteristics'!B:B,MATCH($C1821,'Policy Characteristics'!$C:$C,0))),"",INDEX('Policy Characteristics'!B:B,MATCH($C1821,'Policy Characteristics'!$C:$C,0)))</f>
        <v>Capital Cost Reduction</v>
      </c>
      <c r="C1821" s="254" t="str">
        <f t="shared" si="70"/>
        <v>RnD Electricity Capital Cost Perc Reduction</v>
      </c>
      <c r="D1821" s="6" t="s">
        <v>3493</v>
      </c>
      <c r="E1821" s="45"/>
      <c r="F1821" s="6" t="s">
        <v>3513</v>
      </c>
      <c r="G1821" s="45"/>
      <c r="H1821" s="43">
        <v>1820</v>
      </c>
      <c r="I1821" s="324" t="s">
        <v>43</v>
      </c>
      <c r="J1821" s="255" t="str">
        <f>IF(ISBLANK(INDEX('Policy Characteristics'!D:D,MATCH($C1821,'Policy Characteristics'!$C:$C,0))),"",INDEX('Policy Characteristics'!D:D,MATCH($C1821,'Policy Characteristics'!$C:$C,0)))</f>
        <v>R&amp;D Capital Cost Reductions</v>
      </c>
      <c r="K1821" s="254" t="str">
        <f>IF(ISBLANK(INDEX('Policy Characteristics'!E:E,MATCH($C1821,'Policy Characteristics'!$C:$C,0))),"",INDEX('Policy Characteristics'!E:E,MATCH($C1821,'Policy Characteristics'!$C:$C,0)))</f>
        <v>RnD electricity capital cost reduction</v>
      </c>
      <c r="L1821" s="261">
        <f>IF(ISBLANK(INDEX('Policy Characteristics'!F:F,MATCH($C1821,'Policy Characteristics'!$C:$C,0))),"",INDEX('Policy Characteristics'!F:F,MATCH($C1821,'Policy Characteristics'!$C:$C,0)))</f>
        <v>0</v>
      </c>
      <c r="M1821" s="261">
        <f>IF(ISBLANK(INDEX('Policy Characteristics'!G:G,MATCH($C1821,'Policy Characteristics'!$C:$C,0))),"",INDEX('Policy Characteristics'!G:G,MATCH($C1821,'Policy Characteristics'!$C:$C,0)))</f>
        <v>0.4</v>
      </c>
      <c r="N1821" s="261">
        <f>IF(ISBLANK(INDEX('Policy Characteristics'!H:H,MATCH($C1821,'Policy Characteristics'!$C:$C,0))),"",INDEX('Policy Characteristics'!H:H,MATCH($C1821,'Policy Characteristics'!$C:$C,0)))</f>
        <v>0.01</v>
      </c>
      <c r="O1821" s="254" t="str">
        <f>IF(ISBLANK(INDEX('Policy Characteristics'!I:I,MATCH($C1821,'Policy Characteristics'!$C:$C,0))),"",INDEX('Policy Characteristics'!I:I,MATCH($C1821,'Policy Characteristics'!$C:$C,0)))</f>
        <v>% reduction in cost</v>
      </c>
      <c r="P1821" s="254" t="str">
        <f>IF(ISBLANK(INDEX('Policy Characteristics'!J:J,MATCH($C1821,'Policy Characteristics'!$C:$C,0))),"",INDEX('Policy Characteristics'!J:J,MATCH($C1821,'Policy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1" s="254" t="str">
        <f>IF(ISBLANK(INDEX('Policy Characteristics'!K:K,MATCH($C1821,'Policy Characteristics'!$C:$C,0))),"",INDEX('Policy Characteristics'!K:K,MATCH($C1821,'Policy Characteristics'!$C:$C,0)))</f>
        <v>architectural-design.html#rnd</v>
      </c>
      <c r="R1821" s="254" t="str">
        <f>IF(ISBLANK(INDEX('Policy Characteristics'!L:L,MATCH($C1821,'Policy Characteristics'!$C:$C,0))),"",INDEX('Policy Characteristics'!L:L,MATCH($C1821,'Policy Characteristics'!$C:$C,0)))</f>
        <v>research-and-development.html</v>
      </c>
    </row>
    <row r="1822" spans="1:18" x14ac:dyDescent="0.3">
      <c r="A1822" s="254" t="str">
        <f>IF(ISBLANK(INDEX('Policy Characteristics'!A:A,MATCH($C1822,'Policy Characteristics'!$C:$C,0))),"",INDEX('Policy Characteristics'!A:A,MATCH($C1822,'Policy Characteristics'!$C:$C,0)))</f>
        <v>Research and Development</v>
      </c>
      <c r="B1822" s="262" t="str">
        <f>IF(ISBLANK(INDEX('Policy Characteristics'!B:B,MATCH($C1822,'Policy Characteristics'!$C:$C,0))),"",INDEX('Policy Characteristics'!B:B,MATCH($C1822,'Policy Characteristics'!$C:$C,0)))</f>
        <v>Capital Cost Reduction</v>
      </c>
      <c r="C1822" s="254" t="str">
        <f t="shared" si="70"/>
        <v>RnD Electricity Capital Cost Perc Reduction</v>
      </c>
      <c r="D1822" s="6" t="s">
        <v>3582</v>
      </c>
      <c r="E1822" s="45"/>
      <c r="F1822" s="6" t="s">
        <v>3584</v>
      </c>
      <c r="G1822" s="45"/>
      <c r="H1822" s="43">
        <v>1821</v>
      </c>
      <c r="I1822" s="324" t="s">
        <v>43</v>
      </c>
      <c r="J1822" s="255" t="str">
        <f>IF(ISBLANK(INDEX('Policy Characteristics'!D:D,MATCH($C1822,'Policy Characteristics'!$C:$C,0))),"",INDEX('Policy Characteristics'!D:D,MATCH($C1822,'Policy Characteristics'!$C:$C,0)))</f>
        <v>R&amp;D Capital Cost Reductions</v>
      </c>
      <c r="K1822" s="254" t="str">
        <f>IF(ISBLANK(INDEX('Policy Characteristics'!E:E,MATCH($C1822,'Policy Characteristics'!$C:$C,0))),"",INDEX('Policy Characteristics'!E:E,MATCH($C1822,'Policy Characteristics'!$C:$C,0)))</f>
        <v>RnD electricity capital cost reduction</v>
      </c>
      <c r="L1822" s="261">
        <f>IF(ISBLANK(INDEX('Policy Characteristics'!F:F,MATCH($C1822,'Policy Characteristics'!$C:$C,0))),"",INDEX('Policy Characteristics'!F:F,MATCH($C1822,'Policy Characteristics'!$C:$C,0)))</f>
        <v>0</v>
      </c>
      <c r="M1822" s="261">
        <f>IF(ISBLANK(INDEX('Policy Characteristics'!G:G,MATCH($C1822,'Policy Characteristics'!$C:$C,0))),"",INDEX('Policy Characteristics'!G:G,MATCH($C1822,'Policy Characteristics'!$C:$C,0)))</f>
        <v>0.4</v>
      </c>
      <c r="N1822" s="261">
        <f>IF(ISBLANK(INDEX('Policy Characteristics'!H:H,MATCH($C1822,'Policy Characteristics'!$C:$C,0))),"",INDEX('Policy Characteristics'!H:H,MATCH($C1822,'Policy Characteristics'!$C:$C,0)))</f>
        <v>0.01</v>
      </c>
      <c r="O1822" s="254" t="str">
        <f>IF(ISBLANK(INDEX('Policy Characteristics'!I:I,MATCH($C1822,'Policy Characteristics'!$C:$C,0))),"",INDEX('Policy Characteristics'!I:I,MATCH($C1822,'Policy Characteristics'!$C:$C,0)))</f>
        <v>% reduction in cost</v>
      </c>
      <c r="P1822" s="254" t="str">
        <f>IF(ISBLANK(INDEX('Policy Characteristics'!J:J,MATCH($C1822,'Policy Characteristics'!$C:$C,0))),"",INDEX('Policy Characteristics'!J:J,MATCH($C1822,'Policy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2" s="254" t="str">
        <f>IF(ISBLANK(INDEX('Policy Characteristics'!K:K,MATCH($C1822,'Policy Characteristics'!$C:$C,0))),"",INDEX('Policy Characteristics'!K:K,MATCH($C1822,'Policy Characteristics'!$C:$C,0)))</f>
        <v>architectural-design.html#rnd</v>
      </c>
      <c r="R1822" s="254" t="str">
        <f>IF(ISBLANK(INDEX('Policy Characteristics'!L:L,MATCH($C1822,'Policy Characteristics'!$C:$C,0))),"",INDEX('Policy Characteristics'!L:L,MATCH($C1822,'Policy Characteristics'!$C:$C,0)))</f>
        <v>research-and-development.html</v>
      </c>
    </row>
    <row r="1823" spans="1:18" x14ac:dyDescent="0.3">
      <c r="A1823" s="254" t="str">
        <f>IF(ISBLANK(INDEX('Policy Characteristics'!A:A,MATCH($C1823,'Policy Characteristics'!$C:$C,0))),"",INDEX('Policy Characteristics'!A:A,MATCH($C1823,'Policy Characteristics'!$C:$C,0)))</f>
        <v>Research and Development</v>
      </c>
      <c r="B1823" s="262" t="str">
        <f>IF(ISBLANK(INDEX('Policy Characteristics'!B:B,MATCH($C1823,'Policy Characteristics'!$C:$C,0))),"",INDEX('Policy Characteristics'!B:B,MATCH($C1823,'Policy Characteristics'!$C:$C,0)))</f>
        <v>Capital Cost Reduction</v>
      </c>
      <c r="C1823" s="254" t="str">
        <f t="shared" si="70"/>
        <v>RnD Electricity Capital Cost Perc Reduction</v>
      </c>
      <c r="D1823" s="6" t="s">
        <v>3583</v>
      </c>
      <c r="E1823" s="45"/>
      <c r="F1823" s="6" t="s">
        <v>3585</v>
      </c>
      <c r="G1823" s="45"/>
      <c r="H1823" s="43">
        <v>2245</v>
      </c>
      <c r="I1823" s="324" t="s">
        <v>43</v>
      </c>
      <c r="J1823" s="255" t="str">
        <f>IF(ISBLANK(INDEX('Policy Characteristics'!D:D,MATCH($C1823,'Policy Characteristics'!$C:$C,0))),"",INDEX('Policy Characteristics'!D:D,MATCH($C1823,'Policy Characteristics'!$C:$C,0)))</f>
        <v>R&amp;D Capital Cost Reductions</v>
      </c>
      <c r="K1823" s="254" t="str">
        <f>IF(ISBLANK(INDEX('Policy Characteristics'!E:E,MATCH($C1823,'Policy Characteristics'!$C:$C,0))),"",INDEX('Policy Characteristics'!E:E,MATCH($C1823,'Policy Characteristics'!$C:$C,0)))</f>
        <v>RnD electricity capital cost reduction</v>
      </c>
      <c r="L1823" s="261">
        <f>IF(ISBLANK(INDEX('Policy Characteristics'!F:F,MATCH($C1823,'Policy Characteristics'!$C:$C,0))),"",INDEX('Policy Characteristics'!F:F,MATCH($C1823,'Policy Characteristics'!$C:$C,0)))</f>
        <v>0</v>
      </c>
      <c r="M1823" s="261">
        <f>IF(ISBLANK(INDEX('Policy Characteristics'!G:G,MATCH($C1823,'Policy Characteristics'!$C:$C,0))),"",INDEX('Policy Characteristics'!G:G,MATCH($C1823,'Policy Characteristics'!$C:$C,0)))</f>
        <v>0.4</v>
      </c>
      <c r="N1823" s="261">
        <f>IF(ISBLANK(INDEX('Policy Characteristics'!H:H,MATCH($C1823,'Policy Characteristics'!$C:$C,0))),"",INDEX('Policy Characteristics'!H:H,MATCH($C1823,'Policy Characteristics'!$C:$C,0)))</f>
        <v>0.01</v>
      </c>
      <c r="O1823" s="254" t="str">
        <f>IF(ISBLANK(INDEX('Policy Characteristics'!I:I,MATCH($C1823,'Policy Characteristics'!$C:$C,0))),"",INDEX('Policy Characteristics'!I:I,MATCH($C1823,'Policy Characteristics'!$C:$C,0)))</f>
        <v>% reduction in cost</v>
      </c>
      <c r="P1823" s="254" t="str">
        <f>IF(ISBLANK(INDEX('Policy Characteristics'!J:J,MATCH($C1823,'Policy Characteristics'!$C:$C,0))),"",INDEX('Policy Characteristics'!J:J,MATCH($C1823,'Policy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3" s="254" t="str">
        <f>IF(ISBLANK(INDEX('Policy Characteristics'!K:K,MATCH($C1823,'Policy Characteristics'!$C:$C,0))),"",INDEX('Policy Characteristics'!K:K,MATCH($C1823,'Policy Characteristics'!$C:$C,0)))</f>
        <v>architectural-design.html#rnd</v>
      </c>
      <c r="R1823" s="254" t="str">
        <f>IF(ISBLANK(INDEX('Policy Characteristics'!L:L,MATCH($C1823,'Policy Characteristics'!$C:$C,0))),"",INDEX('Policy Characteristics'!L:L,MATCH($C1823,'Policy Characteristics'!$C:$C,0)))</f>
        <v>research-and-development.html</v>
      </c>
    </row>
    <row r="1824" spans="1:18" x14ac:dyDescent="0.3">
      <c r="A1824" s="254" t="str">
        <f>IF(ISBLANK(INDEX('Policy Characteristics'!A:A,MATCH($C1824,'Policy Characteristics'!$C:$C,0))),"",INDEX('Policy Characteristics'!A:A,MATCH($C1824,'Policy Characteristics'!$C:$C,0)))</f>
        <v>Research and Development</v>
      </c>
      <c r="B1824" s="262" t="str">
        <f>IF(ISBLANK(INDEX('Policy Characteristics'!B:B,MATCH($C1824,'Policy Characteristics'!$C:$C,0))),"",INDEX('Policy Characteristics'!B:B,MATCH($C1824,'Policy Characteristics'!$C:$C,0)))</f>
        <v>Capital Cost Reduction</v>
      </c>
      <c r="C1824" t="s">
        <v>291</v>
      </c>
      <c r="D1824" t="s">
        <v>3061</v>
      </c>
      <c r="E1824" s="45"/>
      <c r="F1824" s="6" t="s">
        <v>3088</v>
      </c>
      <c r="G1824" s="45"/>
      <c r="H1824" s="43">
        <v>1462</v>
      </c>
      <c r="I1824" s="324" t="s">
        <v>43</v>
      </c>
      <c r="J1824" s="255" t="str">
        <f>IF(ISBLANK(INDEX('Policy Characteristics'!D:D,MATCH($C1824,'Policy Characteristics'!$C:$C,0))),"",INDEX('Policy Characteristics'!D:D,MATCH($C1824,'Policy Characteristics'!$C:$C,0)))</f>
        <v>R&amp;D Capital Cost Reductions</v>
      </c>
      <c r="K1824" s="254" t="str">
        <f>IF(ISBLANK(INDEX('Policy Characteristics'!E:E,MATCH($C1824,'Policy Characteristics'!$C:$C,0))),"",INDEX('Policy Characteristics'!E:E,MATCH($C1824,'Policy Characteristics'!$C:$C,0)))</f>
        <v>RnD industry capital cost reduction</v>
      </c>
      <c r="L1824" s="261">
        <f>IF(ISBLANK(INDEX('Policy Characteristics'!F:F,MATCH($C1824,'Policy Characteristics'!$C:$C,0))),"",INDEX('Policy Characteristics'!F:F,MATCH($C1824,'Policy Characteristics'!$C:$C,0)))</f>
        <v>0</v>
      </c>
      <c r="M1824" s="261">
        <f>IF(ISBLANK(INDEX('Policy Characteristics'!G:G,MATCH($C1824,'Policy Characteristics'!$C:$C,0))),"",INDEX('Policy Characteristics'!G:G,MATCH($C1824,'Policy Characteristics'!$C:$C,0)))</f>
        <v>0.4</v>
      </c>
      <c r="N1824" s="261">
        <f>IF(ISBLANK(INDEX('Policy Characteristics'!H:H,MATCH($C1824,'Policy Characteristics'!$C:$C,0))),"",INDEX('Policy Characteristics'!H:H,MATCH($C1824,'Policy Characteristics'!$C:$C,0)))</f>
        <v>0.01</v>
      </c>
      <c r="O1824" s="254" t="str">
        <f>IF(ISBLANK(INDEX('Policy Characteristics'!I:I,MATCH($C1824,'Policy Characteristics'!$C:$C,0))),"",INDEX('Policy Characteristics'!I:I,MATCH($C1824,'Policy Characteristics'!$C:$C,0)))</f>
        <v>% reduction in cost</v>
      </c>
      <c r="P1824" s="254" t="str">
        <f>IF(ISBLANK(INDEX('Policy Characteristics'!J:J,MATCH($C1824,'Policy Characteristics'!$C:$C,0))),"",INDEX('Policy Characteristics'!J:J,MATCH($C1824,'Policy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4" s="254" t="str">
        <f>IF(ISBLANK(INDEX('Policy Characteristics'!K:K,MATCH($C1824,'Policy Characteristics'!$C:$C,0))),"",INDEX('Policy Characteristics'!K:K,MATCH($C1824,'Policy Characteristics'!$C:$C,0)))</f>
        <v>architectural-design.html#rnd</v>
      </c>
      <c r="R1824" s="254" t="str">
        <f>IF(ISBLANK(INDEX('Policy Characteristics'!L:L,MATCH($C1824,'Policy Characteristics'!$C:$C,0))),"",INDEX('Policy Characteristics'!L:L,MATCH($C1824,'Policy Characteristics'!$C:$C,0)))</f>
        <v>research-and-development.html</v>
      </c>
    </row>
    <row r="1825" spans="1:18" x14ac:dyDescent="0.3">
      <c r="A1825" s="254" t="str">
        <f>IF(ISBLANK(INDEX('Policy Characteristics'!A:A,MATCH($C1825,'Policy Characteristics'!$C:$C,0))),"",INDEX('Policy Characteristics'!A:A,MATCH($C1825,'Policy Characteristics'!$C:$C,0)))</f>
        <v>Research and Development</v>
      </c>
      <c r="B1825" s="262" t="str">
        <f>IF(ISBLANK(INDEX('Policy Characteristics'!B:B,MATCH($C1825,'Policy Characteristics'!$C:$C,0))),"",INDEX('Policy Characteristics'!B:B,MATCH($C1825,'Policy Characteristics'!$C:$C,0)))</f>
        <v>Capital Cost Reduction</v>
      </c>
      <c r="C1825" s="254" t="str">
        <f t="shared" ref="C1825:C1848" si="71">C$1824</f>
        <v>RnD Industry Capital Cost Perc Reduction</v>
      </c>
      <c r="D1825" t="s">
        <v>3062</v>
      </c>
      <c r="E1825" s="45"/>
      <c r="F1825" s="6" t="s">
        <v>3089</v>
      </c>
      <c r="G1825" s="45"/>
      <c r="H1825" s="43">
        <v>1463</v>
      </c>
      <c r="I1825" s="324" t="s">
        <v>43</v>
      </c>
      <c r="J1825" s="255" t="str">
        <f>IF(ISBLANK(INDEX('Policy Characteristics'!D:D,MATCH($C1825,'Policy Characteristics'!$C:$C,0))),"",INDEX('Policy Characteristics'!D:D,MATCH($C1825,'Policy Characteristics'!$C:$C,0)))</f>
        <v>R&amp;D Capital Cost Reductions</v>
      </c>
      <c r="K1825" s="254" t="str">
        <f>IF(ISBLANK(INDEX('Policy Characteristics'!E:E,MATCH($C1825,'Policy Characteristics'!$C:$C,0))),"",INDEX('Policy Characteristics'!E:E,MATCH($C1825,'Policy Characteristics'!$C:$C,0)))</f>
        <v>RnD industry capital cost reduction</v>
      </c>
      <c r="L1825" s="261">
        <f>IF(ISBLANK(INDEX('Policy Characteristics'!F:F,MATCH($C1825,'Policy Characteristics'!$C:$C,0))),"",INDEX('Policy Characteristics'!F:F,MATCH($C1825,'Policy Characteristics'!$C:$C,0)))</f>
        <v>0</v>
      </c>
      <c r="M1825" s="261">
        <f>IF(ISBLANK(INDEX('Policy Characteristics'!G:G,MATCH($C1825,'Policy Characteristics'!$C:$C,0))),"",INDEX('Policy Characteristics'!G:G,MATCH($C1825,'Policy Characteristics'!$C:$C,0)))</f>
        <v>0.4</v>
      </c>
      <c r="N1825" s="261">
        <f>IF(ISBLANK(INDEX('Policy Characteristics'!H:H,MATCH($C1825,'Policy Characteristics'!$C:$C,0))),"",INDEX('Policy Characteristics'!H:H,MATCH($C1825,'Policy Characteristics'!$C:$C,0)))</f>
        <v>0.01</v>
      </c>
      <c r="O1825" s="254" t="str">
        <f>IF(ISBLANK(INDEX('Policy Characteristics'!I:I,MATCH($C1825,'Policy Characteristics'!$C:$C,0))),"",INDEX('Policy Characteristics'!I:I,MATCH($C1825,'Policy Characteristics'!$C:$C,0)))</f>
        <v>% reduction in cost</v>
      </c>
      <c r="P1825" s="254" t="str">
        <f>IF(ISBLANK(INDEX('Policy Characteristics'!J:J,MATCH($C1825,'Policy Characteristics'!$C:$C,0))),"",INDEX('Policy Characteristics'!J:J,MATCH($C1825,'Policy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5" s="254" t="str">
        <f>IF(ISBLANK(INDEX('Policy Characteristics'!K:K,MATCH($C1825,'Policy Characteristics'!$C:$C,0))),"",INDEX('Policy Characteristics'!K:K,MATCH($C1825,'Policy Characteristics'!$C:$C,0)))</f>
        <v>architectural-design.html#rnd</v>
      </c>
      <c r="R1825" s="254" t="str">
        <f>IF(ISBLANK(INDEX('Policy Characteristics'!L:L,MATCH($C1825,'Policy Characteristics'!$C:$C,0))),"",INDEX('Policy Characteristics'!L:L,MATCH($C1825,'Policy Characteristics'!$C:$C,0)))</f>
        <v>research-and-development.html</v>
      </c>
    </row>
    <row r="1826" spans="1:18" x14ac:dyDescent="0.3">
      <c r="A1826" s="254" t="str">
        <f>IF(ISBLANK(INDEX('Policy Characteristics'!A:A,MATCH($C1826,'Policy Characteristics'!$C:$C,0))),"",INDEX('Policy Characteristics'!A:A,MATCH($C1826,'Policy Characteristics'!$C:$C,0)))</f>
        <v>Research and Development</v>
      </c>
      <c r="B1826" s="262" t="str">
        <f>IF(ISBLANK(INDEX('Policy Characteristics'!B:B,MATCH($C1826,'Policy Characteristics'!$C:$C,0))),"",INDEX('Policy Characteristics'!B:B,MATCH($C1826,'Policy Characteristics'!$C:$C,0)))</f>
        <v>Capital Cost Reduction</v>
      </c>
      <c r="C1826" s="254" t="str">
        <f t="shared" si="71"/>
        <v>RnD Industry Capital Cost Perc Reduction</v>
      </c>
      <c r="D1826" t="s">
        <v>3063</v>
      </c>
      <c r="E1826" s="45"/>
      <c r="F1826" s="6" t="s">
        <v>3090</v>
      </c>
      <c r="G1826" s="45"/>
      <c r="H1826" s="43">
        <v>1464</v>
      </c>
      <c r="I1826" s="324" t="s">
        <v>43</v>
      </c>
      <c r="J1826" s="255" t="str">
        <f>IF(ISBLANK(INDEX('Policy Characteristics'!D:D,MATCH($C1826,'Policy Characteristics'!$C:$C,0))),"",INDEX('Policy Characteristics'!D:D,MATCH($C1826,'Policy Characteristics'!$C:$C,0)))</f>
        <v>R&amp;D Capital Cost Reductions</v>
      </c>
      <c r="K1826" s="254" t="str">
        <f>IF(ISBLANK(INDEX('Policy Characteristics'!E:E,MATCH($C1826,'Policy Characteristics'!$C:$C,0))),"",INDEX('Policy Characteristics'!E:E,MATCH($C1826,'Policy Characteristics'!$C:$C,0)))</f>
        <v>RnD industry capital cost reduction</v>
      </c>
      <c r="L1826" s="261">
        <f>IF(ISBLANK(INDEX('Policy Characteristics'!F:F,MATCH($C1826,'Policy Characteristics'!$C:$C,0))),"",INDEX('Policy Characteristics'!F:F,MATCH($C1826,'Policy Characteristics'!$C:$C,0)))</f>
        <v>0</v>
      </c>
      <c r="M1826" s="261">
        <f>IF(ISBLANK(INDEX('Policy Characteristics'!G:G,MATCH($C1826,'Policy Characteristics'!$C:$C,0))),"",INDEX('Policy Characteristics'!G:G,MATCH($C1826,'Policy Characteristics'!$C:$C,0)))</f>
        <v>0.4</v>
      </c>
      <c r="N1826" s="261">
        <f>IF(ISBLANK(INDEX('Policy Characteristics'!H:H,MATCH($C1826,'Policy Characteristics'!$C:$C,0))),"",INDEX('Policy Characteristics'!H:H,MATCH($C1826,'Policy Characteristics'!$C:$C,0)))</f>
        <v>0.01</v>
      </c>
      <c r="O1826" s="254" t="str">
        <f>IF(ISBLANK(INDEX('Policy Characteristics'!I:I,MATCH($C1826,'Policy Characteristics'!$C:$C,0))),"",INDEX('Policy Characteristics'!I:I,MATCH($C1826,'Policy Characteristics'!$C:$C,0)))</f>
        <v>% reduction in cost</v>
      </c>
      <c r="P1826" s="254" t="str">
        <f>IF(ISBLANK(INDEX('Policy Characteristics'!J:J,MATCH($C1826,'Policy Characteristics'!$C:$C,0))),"",INDEX('Policy Characteristics'!J:J,MATCH($C1826,'Policy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6" s="254" t="str">
        <f>IF(ISBLANK(INDEX('Policy Characteristics'!K:K,MATCH($C1826,'Policy Characteristics'!$C:$C,0))),"",INDEX('Policy Characteristics'!K:K,MATCH($C1826,'Policy Characteristics'!$C:$C,0)))</f>
        <v>architectural-design.html#rnd</v>
      </c>
      <c r="R1826" s="254" t="str">
        <f>IF(ISBLANK(INDEX('Policy Characteristics'!L:L,MATCH($C1826,'Policy Characteristics'!$C:$C,0))),"",INDEX('Policy Characteristics'!L:L,MATCH($C1826,'Policy Characteristics'!$C:$C,0)))</f>
        <v>research-and-development.html</v>
      </c>
    </row>
    <row r="1827" spans="1:18" x14ac:dyDescent="0.3">
      <c r="A1827" s="254" t="str">
        <f>IF(ISBLANK(INDEX('Policy Characteristics'!A:A,MATCH($C1827,'Policy Characteristics'!$C:$C,0))),"",INDEX('Policy Characteristics'!A:A,MATCH($C1827,'Policy Characteristics'!$C:$C,0)))</f>
        <v>Research and Development</v>
      </c>
      <c r="B1827" s="262" t="str">
        <f>IF(ISBLANK(INDEX('Policy Characteristics'!B:B,MATCH($C1827,'Policy Characteristics'!$C:$C,0))),"",INDEX('Policy Characteristics'!B:B,MATCH($C1827,'Policy Characteristics'!$C:$C,0)))</f>
        <v>Capital Cost Reduction</v>
      </c>
      <c r="C1827" s="254" t="str">
        <f t="shared" si="71"/>
        <v>RnD Industry Capital Cost Perc Reduction</v>
      </c>
      <c r="D1827" t="s">
        <v>3064</v>
      </c>
      <c r="E1827" s="45"/>
      <c r="F1827" s="6" t="s">
        <v>3091</v>
      </c>
      <c r="G1827" s="45"/>
      <c r="H1827" s="43">
        <v>1465</v>
      </c>
      <c r="I1827" s="324" t="s">
        <v>43</v>
      </c>
      <c r="J1827" s="255" t="str">
        <f>IF(ISBLANK(INDEX('Policy Characteristics'!D:D,MATCH($C1827,'Policy Characteristics'!$C:$C,0))),"",INDEX('Policy Characteristics'!D:D,MATCH($C1827,'Policy Characteristics'!$C:$C,0)))</f>
        <v>R&amp;D Capital Cost Reductions</v>
      </c>
      <c r="K1827" s="254" t="str">
        <f>IF(ISBLANK(INDEX('Policy Characteristics'!E:E,MATCH($C1827,'Policy Characteristics'!$C:$C,0))),"",INDEX('Policy Characteristics'!E:E,MATCH($C1827,'Policy Characteristics'!$C:$C,0)))</f>
        <v>RnD industry capital cost reduction</v>
      </c>
      <c r="L1827" s="261">
        <f>IF(ISBLANK(INDEX('Policy Characteristics'!F:F,MATCH($C1827,'Policy Characteristics'!$C:$C,0))),"",INDEX('Policy Characteristics'!F:F,MATCH($C1827,'Policy Characteristics'!$C:$C,0)))</f>
        <v>0</v>
      </c>
      <c r="M1827" s="261">
        <f>IF(ISBLANK(INDEX('Policy Characteristics'!G:G,MATCH($C1827,'Policy Characteristics'!$C:$C,0))),"",INDEX('Policy Characteristics'!G:G,MATCH($C1827,'Policy Characteristics'!$C:$C,0)))</f>
        <v>0.4</v>
      </c>
      <c r="N1827" s="261">
        <f>IF(ISBLANK(INDEX('Policy Characteristics'!H:H,MATCH($C1827,'Policy Characteristics'!$C:$C,0))),"",INDEX('Policy Characteristics'!H:H,MATCH($C1827,'Policy Characteristics'!$C:$C,0)))</f>
        <v>0.01</v>
      </c>
      <c r="O1827" s="254" t="str">
        <f>IF(ISBLANK(INDEX('Policy Characteristics'!I:I,MATCH($C1827,'Policy Characteristics'!$C:$C,0))),"",INDEX('Policy Characteristics'!I:I,MATCH($C1827,'Policy Characteristics'!$C:$C,0)))</f>
        <v>% reduction in cost</v>
      </c>
      <c r="P1827" s="254" t="str">
        <f>IF(ISBLANK(INDEX('Policy Characteristics'!J:J,MATCH($C1827,'Policy Characteristics'!$C:$C,0))),"",INDEX('Policy Characteristics'!J:J,MATCH($C1827,'Policy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7" s="254" t="str">
        <f>IF(ISBLANK(INDEX('Policy Characteristics'!K:K,MATCH($C1827,'Policy Characteristics'!$C:$C,0))),"",INDEX('Policy Characteristics'!K:K,MATCH($C1827,'Policy Characteristics'!$C:$C,0)))</f>
        <v>architectural-design.html#rnd</v>
      </c>
      <c r="R1827" s="254" t="str">
        <f>IF(ISBLANK(INDEX('Policy Characteristics'!L:L,MATCH($C1827,'Policy Characteristics'!$C:$C,0))),"",INDEX('Policy Characteristics'!L:L,MATCH($C1827,'Policy Characteristics'!$C:$C,0)))</f>
        <v>research-and-development.html</v>
      </c>
    </row>
    <row r="1828" spans="1:18" x14ac:dyDescent="0.3">
      <c r="A1828" s="254" t="str">
        <f>IF(ISBLANK(INDEX('Policy Characteristics'!A:A,MATCH($C1828,'Policy Characteristics'!$C:$C,0))),"",INDEX('Policy Characteristics'!A:A,MATCH($C1828,'Policy Characteristics'!$C:$C,0)))</f>
        <v>Research and Development</v>
      </c>
      <c r="B1828" s="262" t="str">
        <f>IF(ISBLANK(INDEX('Policy Characteristics'!B:B,MATCH($C1828,'Policy Characteristics'!$C:$C,0))),"",INDEX('Policy Characteristics'!B:B,MATCH($C1828,'Policy Characteristics'!$C:$C,0)))</f>
        <v>Capital Cost Reduction</v>
      </c>
      <c r="C1828" s="254" t="str">
        <f t="shared" si="71"/>
        <v>RnD Industry Capital Cost Perc Reduction</v>
      </c>
      <c r="D1828" t="s">
        <v>3065</v>
      </c>
      <c r="E1828" s="45"/>
      <c r="F1828" s="6" t="s">
        <v>3092</v>
      </c>
      <c r="G1828" s="45"/>
      <c r="H1828" s="43">
        <v>1466</v>
      </c>
      <c r="I1828" s="324" t="s">
        <v>43</v>
      </c>
      <c r="J1828" s="255" t="str">
        <f>IF(ISBLANK(INDEX('Policy Characteristics'!D:D,MATCH($C1828,'Policy Characteristics'!$C:$C,0))),"",INDEX('Policy Characteristics'!D:D,MATCH($C1828,'Policy Characteristics'!$C:$C,0)))</f>
        <v>R&amp;D Capital Cost Reductions</v>
      </c>
      <c r="K1828" s="254" t="str">
        <f>IF(ISBLANK(INDEX('Policy Characteristics'!E:E,MATCH($C1828,'Policy Characteristics'!$C:$C,0))),"",INDEX('Policy Characteristics'!E:E,MATCH($C1828,'Policy Characteristics'!$C:$C,0)))</f>
        <v>RnD industry capital cost reduction</v>
      </c>
      <c r="L1828" s="261">
        <f>IF(ISBLANK(INDEX('Policy Characteristics'!F:F,MATCH($C1828,'Policy Characteristics'!$C:$C,0))),"",INDEX('Policy Characteristics'!F:F,MATCH($C1828,'Policy Characteristics'!$C:$C,0)))</f>
        <v>0</v>
      </c>
      <c r="M1828" s="261">
        <f>IF(ISBLANK(INDEX('Policy Characteristics'!G:G,MATCH($C1828,'Policy Characteristics'!$C:$C,0))),"",INDEX('Policy Characteristics'!G:G,MATCH($C1828,'Policy Characteristics'!$C:$C,0)))</f>
        <v>0.4</v>
      </c>
      <c r="N1828" s="261">
        <f>IF(ISBLANK(INDEX('Policy Characteristics'!H:H,MATCH($C1828,'Policy Characteristics'!$C:$C,0))),"",INDEX('Policy Characteristics'!H:H,MATCH($C1828,'Policy Characteristics'!$C:$C,0)))</f>
        <v>0.01</v>
      </c>
      <c r="O1828" s="254" t="str">
        <f>IF(ISBLANK(INDEX('Policy Characteristics'!I:I,MATCH($C1828,'Policy Characteristics'!$C:$C,0))),"",INDEX('Policy Characteristics'!I:I,MATCH($C1828,'Policy Characteristics'!$C:$C,0)))</f>
        <v>% reduction in cost</v>
      </c>
      <c r="P1828" s="254" t="str">
        <f>IF(ISBLANK(INDEX('Policy Characteristics'!J:J,MATCH($C1828,'Policy Characteristics'!$C:$C,0))),"",INDEX('Policy Characteristics'!J:J,MATCH($C1828,'Policy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8" s="254" t="str">
        <f>IF(ISBLANK(INDEX('Policy Characteristics'!K:K,MATCH($C1828,'Policy Characteristics'!$C:$C,0))),"",INDEX('Policy Characteristics'!K:K,MATCH($C1828,'Policy Characteristics'!$C:$C,0)))</f>
        <v>architectural-design.html#rnd</v>
      </c>
      <c r="R1828" s="254" t="str">
        <f>IF(ISBLANK(INDEX('Policy Characteristics'!L:L,MATCH($C1828,'Policy Characteristics'!$C:$C,0))),"",INDEX('Policy Characteristics'!L:L,MATCH($C1828,'Policy Characteristics'!$C:$C,0)))</f>
        <v>research-and-development.html</v>
      </c>
    </row>
    <row r="1829" spans="1:18" x14ac:dyDescent="0.3">
      <c r="A1829" s="254" t="str">
        <f>IF(ISBLANK(INDEX('Policy Characteristics'!A:A,MATCH($C1829,'Policy Characteristics'!$C:$C,0))),"",INDEX('Policy Characteristics'!A:A,MATCH($C1829,'Policy Characteristics'!$C:$C,0)))</f>
        <v>Research and Development</v>
      </c>
      <c r="B1829" s="262" t="str">
        <f>IF(ISBLANK(INDEX('Policy Characteristics'!B:B,MATCH($C1829,'Policy Characteristics'!$C:$C,0))),"",INDEX('Policy Characteristics'!B:B,MATCH($C1829,'Policy Characteristics'!$C:$C,0)))</f>
        <v>Capital Cost Reduction</v>
      </c>
      <c r="C1829" s="254" t="str">
        <f t="shared" si="71"/>
        <v>RnD Industry Capital Cost Perc Reduction</v>
      </c>
      <c r="D1829" t="s">
        <v>3066</v>
      </c>
      <c r="E1829" s="45"/>
      <c r="F1829" s="6" t="s">
        <v>3093</v>
      </c>
      <c r="G1829" s="45"/>
      <c r="H1829" s="43">
        <v>1467</v>
      </c>
      <c r="I1829" s="324" t="s">
        <v>43</v>
      </c>
      <c r="J1829" s="255" t="str">
        <f>IF(ISBLANK(INDEX('Policy Characteristics'!D:D,MATCH($C1829,'Policy Characteristics'!$C:$C,0))),"",INDEX('Policy Characteristics'!D:D,MATCH($C1829,'Policy Characteristics'!$C:$C,0)))</f>
        <v>R&amp;D Capital Cost Reductions</v>
      </c>
      <c r="K1829" s="254" t="str">
        <f>IF(ISBLANK(INDEX('Policy Characteristics'!E:E,MATCH($C1829,'Policy Characteristics'!$C:$C,0))),"",INDEX('Policy Characteristics'!E:E,MATCH($C1829,'Policy Characteristics'!$C:$C,0)))</f>
        <v>RnD industry capital cost reduction</v>
      </c>
      <c r="L1829" s="261">
        <f>IF(ISBLANK(INDEX('Policy Characteristics'!F:F,MATCH($C1829,'Policy Characteristics'!$C:$C,0))),"",INDEX('Policy Characteristics'!F:F,MATCH($C1829,'Policy Characteristics'!$C:$C,0)))</f>
        <v>0</v>
      </c>
      <c r="M1829" s="261">
        <f>IF(ISBLANK(INDEX('Policy Characteristics'!G:G,MATCH($C1829,'Policy Characteristics'!$C:$C,0))),"",INDEX('Policy Characteristics'!G:G,MATCH($C1829,'Policy Characteristics'!$C:$C,0)))</f>
        <v>0.4</v>
      </c>
      <c r="N1829" s="261">
        <f>IF(ISBLANK(INDEX('Policy Characteristics'!H:H,MATCH($C1829,'Policy Characteristics'!$C:$C,0))),"",INDEX('Policy Characteristics'!H:H,MATCH($C1829,'Policy Characteristics'!$C:$C,0)))</f>
        <v>0.01</v>
      </c>
      <c r="O1829" s="254" t="str">
        <f>IF(ISBLANK(INDEX('Policy Characteristics'!I:I,MATCH($C1829,'Policy Characteristics'!$C:$C,0))),"",INDEX('Policy Characteristics'!I:I,MATCH($C1829,'Policy Characteristics'!$C:$C,0)))</f>
        <v>% reduction in cost</v>
      </c>
      <c r="P1829" s="254" t="str">
        <f>IF(ISBLANK(INDEX('Policy Characteristics'!J:J,MATCH($C1829,'Policy Characteristics'!$C:$C,0))),"",INDEX('Policy Characteristics'!J:J,MATCH($C1829,'Policy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29" s="254" t="str">
        <f>IF(ISBLANK(INDEX('Policy Characteristics'!K:K,MATCH($C1829,'Policy Characteristics'!$C:$C,0))),"",INDEX('Policy Characteristics'!K:K,MATCH($C1829,'Policy Characteristics'!$C:$C,0)))</f>
        <v>architectural-design.html#rnd</v>
      </c>
      <c r="R1829" s="254" t="str">
        <f>IF(ISBLANK(INDEX('Policy Characteristics'!L:L,MATCH($C1829,'Policy Characteristics'!$C:$C,0))),"",INDEX('Policy Characteristics'!L:L,MATCH($C1829,'Policy Characteristics'!$C:$C,0)))</f>
        <v>research-and-development.html</v>
      </c>
    </row>
    <row r="1830" spans="1:18" x14ac:dyDescent="0.3">
      <c r="A1830" s="254" t="str">
        <f>IF(ISBLANK(INDEX('Policy Characteristics'!A:A,MATCH($C1830,'Policy Characteristics'!$C:$C,0))),"",INDEX('Policy Characteristics'!A:A,MATCH($C1830,'Policy Characteristics'!$C:$C,0)))</f>
        <v>Research and Development</v>
      </c>
      <c r="B1830" s="262" t="str">
        <f>IF(ISBLANK(INDEX('Policy Characteristics'!B:B,MATCH($C1830,'Policy Characteristics'!$C:$C,0))),"",INDEX('Policy Characteristics'!B:B,MATCH($C1830,'Policy Characteristics'!$C:$C,0)))</f>
        <v>Capital Cost Reduction</v>
      </c>
      <c r="C1830" s="254" t="str">
        <f t="shared" si="71"/>
        <v>RnD Industry Capital Cost Perc Reduction</v>
      </c>
      <c r="D1830" t="s">
        <v>3067</v>
      </c>
      <c r="E1830" s="45"/>
      <c r="F1830" s="6" t="s">
        <v>3094</v>
      </c>
      <c r="G1830" s="45"/>
      <c r="H1830" s="43">
        <v>1468</v>
      </c>
      <c r="I1830" s="324" t="s">
        <v>43</v>
      </c>
      <c r="J1830" s="255" t="str">
        <f>IF(ISBLANK(INDEX('Policy Characteristics'!D:D,MATCH($C1830,'Policy Characteristics'!$C:$C,0))),"",INDEX('Policy Characteristics'!D:D,MATCH($C1830,'Policy Characteristics'!$C:$C,0)))</f>
        <v>R&amp;D Capital Cost Reductions</v>
      </c>
      <c r="K1830" s="254" t="str">
        <f>IF(ISBLANK(INDEX('Policy Characteristics'!E:E,MATCH($C1830,'Policy Characteristics'!$C:$C,0))),"",INDEX('Policy Characteristics'!E:E,MATCH($C1830,'Policy Characteristics'!$C:$C,0)))</f>
        <v>RnD industry capital cost reduction</v>
      </c>
      <c r="L1830" s="261">
        <f>IF(ISBLANK(INDEX('Policy Characteristics'!F:F,MATCH($C1830,'Policy Characteristics'!$C:$C,0))),"",INDEX('Policy Characteristics'!F:F,MATCH($C1830,'Policy Characteristics'!$C:$C,0)))</f>
        <v>0</v>
      </c>
      <c r="M1830" s="261">
        <f>IF(ISBLANK(INDEX('Policy Characteristics'!G:G,MATCH($C1830,'Policy Characteristics'!$C:$C,0))),"",INDEX('Policy Characteristics'!G:G,MATCH($C1830,'Policy Characteristics'!$C:$C,0)))</f>
        <v>0.4</v>
      </c>
      <c r="N1830" s="261">
        <f>IF(ISBLANK(INDEX('Policy Characteristics'!H:H,MATCH($C1830,'Policy Characteristics'!$C:$C,0))),"",INDEX('Policy Characteristics'!H:H,MATCH($C1830,'Policy Characteristics'!$C:$C,0)))</f>
        <v>0.01</v>
      </c>
      <c r="O1830" s="254" t="str">
        <f>IF(ISBLANK(INDEX('Policy Characteristics'!I:I,MATCH($C1830,'Policy Characteristics'!$C:$C,0))),"",INDEX('Policy Characteristics'!I:I,MATCH($C1830,'Policy Characteristics'!$C:$C,0)))</f>
        <v>% reduction in cost</v>
      </c>
      <c r="P1830" s="254" t="str">
        <f>IF(ISBLANK(INDEX('Policy Characteristics'!J:J,MATCH($C1830,'Policy Characteristics'!$C:$C,0))),"",INDEX('Policy Characteristics'!J:J,MATCH($C1830,'Policy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0" s="254" t="str">
        <f>IF(ISBLANK(INDEX('Policy Characteristics'!K:K,MATCH($C1830,'Policy Characteristics'!$C:$C,0))),"",INDEX('Policy Characteristics'!K:K,MATCH($C1830,'Policy Characteristics'!$C:$C,0)))</f>
        <v>architectural-design.html#rnd</v>
      </c>
      <c r="R1830" s="254" t="str">
        <f>IF(ISBLANK(INDEX('Policy Characteristics'!L:L,MATCH($C1830,'Policy Characteristics'!$C:$C,0))),"",INDEX('Policy Characteristics'!L:L,MATCH($C1830,'Policy Characteristics'!$C:$C,0)))</f>
        <v>research-and-development.html</v>
      </c>
    </row>
    <row r="1831" spans="1:18" x14ac:dyDescent="0.3">
      <c r="A1831" s="254" t="str">
        <f>IF(ISBLANK(INDEX('Policy Characteristics'!A:A,MATCH($C1831,'Policy Characteristics'!$C:$C,0))),"",INDEX('Policy Characteristics'!A:A,MATCH($C1831,'Policy Characteristics'!$C:$C,0)))</f>
        <v>Research and Development</v>
      </c>
      <c r="B1831" s="262" t="str">
        <f>IF(ISBLANK(INDEX('Policy Characteristics'!B:B,MATCH($C1831,'Policy Characteristics'!$C:$C,0))),"",INDEX('Policy Characteristics'!B:B,MATCH($C1831,'Policy Characteristics'!$C:$C,0)))</f>
        <v>Capital Cost Reduction</v>
      </c>
      <c r="C1831" s="254" t="str">
        <f t="shared" si="71"/>
        <v>RnD Industry Capital Cost Perc Reduction</v>
      </c>
      <c r="D1831" t="s">
        <v>3068</v>
      </c>
      <c r="E1831" s="45"/>
      <c r="F1831" s="6" t="s">
        <v>3095</v>
      </c>
      <c r="G1831" s="45"/>
      <c r="H1831" s="43">
        <v>1469</v>
      </c>
      <c r="I1831" s="324" t="s">
        <v>43</v>
      </c>
      <c r="J1831" s="255" t="str">
        <f>IF(ISBLANK(INDEX('Policy Characteristics'!D:D,MATCH($C1831,'Policy Characteristics'!$C:$C,0))),"",INDEX('Policy Characteristics'!D:D,MATCH($C1831,'Policy Characteristics'!$C:$C,0)))</f>
        <v>R&amp;D Capital Cost Reductions</v>
      </c>
      <c r="K1831" s="254" t="str">
        <f>IF(ISBLANK(INDEX('Policy Characteristics'!E:E,MATCH($C1831,'Policy Characteristics'!$C:$C,0))),"",INDEX('Policy Characteristics'!E:E,MATCH($C1831,'Policy Characteristics'!$C:$C,0)))</f>
        <v>RnD industry capital cost reduction</v>
      </c>
      <c r="L1831" s="261">
        <f>IF(ISBLANK(INDEX('Policy Characteristics'!F:F,MATCH($C1831,'Policy Characteristics'!$C:$C,0))),"",INDEX('Policy Characteristics'!F:F,MATCH($C1831,'Policy Characteristics'!$C:$C,0)))</f>
        <v>0</v>
      </c>
      <c r="M1831" s="261">
        <f>IF(ISBLANK(INDEX('Policy Characteristics'!G:G,MATCH($C1831,'Policy Characteristics'!$C:$C,0))),"",INDEX('Policy Characteristics'!G:G,MATCH($C1831,'Policy Characteristics'!$C:$C,0)))</f>
        <v>0.4</v>
      </c>
      <c r="N1831" s="261">
        <f>IF(ISBLANK(INDEX('Policy Characteristics'!H:H,MATCH($C1831,'Policy Characteristics'!$C:$C,0))),"",INDEX('Policy Characteristics'!H:H,MATCH($C1831,'Policy Characteristics'!$C:$C,0)))</f>
        <v>0.01</v>
      </c>
      <c r="O1831" s="254" t="str">
        <f>IF(ISBLANK(INDEX('Policy Characteristics'!I:I,MATCH($C1831,'Policy Characteristics'!$C:$C,0))),"",INDEX('Policy Characteristics'!I:I,MATCH($C1831,'Policy Characteristics'!$C:$C,0)))</f>
        <v>% reduction in cost</v>
      </c>
      <c r="P1831" s="254" t="str">
        <f>IF(ISBLANK(INDEX('Policy Characteristics'!J:J,MATCH($C1831,'Policy Characteristics'!$C:$C,0))),"",INDEX('Policy Characteristics'!J:J,MATCH($C1831,'Policy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1" s="254" t="str">
        <f>IF(ISBLANK(INDEX('Policy Characteristics'!K:K,MATCH($C1831,'Policy Characteristics'!$C:$C,0))),"",INDEX('Policy Characteristics'!K:K,MATCH($C1831,'Policy Characteristics'!$C:$C,0)))</f>
        <v>architectural-design.html#rnd</v>
      </c>
      <c r="R1831" s="254" t="str">
        <f>IF(ISBLANK(INDEX('Policy Characteristics'!L:L,MATCH($C1831,'Policy Characteristics'!$C:$C,0))),"",INDEX('Policy Characteristics'!L:L,MATCH($C1831,'Policy Characteristics'!$C:$C,0)))</f>
        <v>research-and-development.html</v>
      </c>
    </row>
    <row r="1832" spans="1:18" x14ac:dyDescent="0.3">
      <c r="A1832" s="254" t="str">
        <f>IF(ISBLANK(INDEX('Policy Characteristics'!A:A,MATCH($C1832,'Policy Characteristics'!$C:$C,0))),"",INDEX('Policy Characteristics'!A:A,MATCH($C1832,'Policy Characteristics'!$C:$C,0)))</f>
        <v>Research and Development</v>
      </c>
      <c r="B1832" s="262" t="str">
        <f>IF(ISBLANK(INDEX('Policy Characteristics'!B:B,MATCH($C1832,'Policy Characteristics'!$C:$C,0))),"",INDEX('Policy Characteristics'!B:B,MATCH($C1832,'Policy Characteristics'!$C:$C,0)))</f>
        <v>Capital Cost Reduction</v>
      </c>
      <c r="C1832" s="254" t="str">
        <f t="shared" si="71"/>
        <v>RnD Industry Capital Cost Perc Reduction</v>
      </c>
      <c r="D1832" t="s">
        <v>3069</v>
      </c>
      <c r="E1832" s="45"/>
      <c r="F1832" s="6" t="s">
        <v>3096</v>
      </c>
      <c r="G1832" s="45"/>
      <c r="H1832" s="43">
        <v>1470</v>
      </c>
      <c r="I1832" s="324" t="s">
        <v>43</v>
      </c>
      <c r="J1832" s="255" t="str">
        <f>IF(ISBLANK(INDEX('Policy Characteristics'!D:D,MATCH($C1832,'Policy Characteristics'!$C:$C,0))),"",INDEX('Policy Characteristics'!D:D,MATCH($C1832,'Policy Characteristics'!$C:$C,0)))</f>
        <v>R&amp;D Capital Cost Reductions</v>
      </c>
      <c r="K1832" s="254" t="str">
        <f>IF(ISBLANK(INDEX('Policy Characteristics'!E:E,MATCH($C1832,'Policy Characteristics'!$C:$C,0))),"",INDEX('Policy Characteristics'!E:E,MATCH($C1832,'Policy Characteristics'!$C:$C,0)))</f>
        <v>RnD industry capital cost reduction</v>
      </c>
      <c r="L1832" s="261">
        <f>IF(ISBLANK(INDEX('Policy Characteristics'!F:F,MATCH($C1832,'Policy Characteristics'!$C:$C,0))),"",INDEX('Policy Characteristics'!F:F,MATCH($C1832,'Policy Characteristics'!$C:$C,0)))</f>
        <v>0</v>
      </c>
      <c r="M1832" s="261">
        <f>IF(ISBLANK(INDEX('Policy Characteristics'!G:G,MATCH($C1832,'Policy Characteristics'!$C:$C,0))),"",INDEX('Policy Characteristics'!G:G,MATCH($C1832,'Policy Characteristics'!$C:$C,0)))</f>
        <v>0.4</v>
      </c>
      <c r="N1832" s="261">
        <f>IF(ISBLANK(INDEX('Policy Characteristics'!H:H,MATCH($C1832,'Policy Characteristics'!$C:$C,0))),"",INDEX('Policy Characteristics'!H:H,MATCH($C1832,'Policy Characteristics'!$C:$C,0)))</f>
        <v>0.01</v>
      </c>
      <c r="O1832" s="254" t="str">
        <f>IF(ISBLANK(INDEX('Policy Characteristics'!I:I,MATCH($C1832,'Policy Characteristics'!$C:$C,0))),"",INDEX('Policy Characteristics'!I:I,MATCH($C1832,'Policy Characteristics'!$C:$C,0)))</f>
        <v>% reduction in cost</v>
      </c>
      <c r="P1832" s="254" t="str">
        <f>IF(ISBLANK(INDEX('Policy Characteristics'!J:J,MATCH($C1832,'Policy Characteristics'!$C:$C,0))),"",INDEX('Policy Characteristics'!J:J,MATCH($C1832,'Policy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2" s="254" t="str">
        <f>IF(ISBLANK(INDEX('Policy Characteristics'!K:K,MATCH($C1832,'Policy Characteristics'!$C:$C,0))),"",INDEX('Policy Characteristics'!K:K,MATCH($C1832,'Policy Characteristics'!$C:$C,0)))</f>
        <v>architectural-design.html#rnd</v>
      </c>
      <c r="R1832" s="254" t="str">
        <f>IF(ISBLANK(INDEX('Policy Characteristics'!L:L,MATCH($C1832,'Policy Characteristics'!$C:$C,0))),"",INDEX('Policy Characteristics'!L:L,MATCH($C1832,'Policy Characteristics'!$C:$C,0)))</f>
        <v>research-and-development.html</v>
      </c>
    </row>
    <row r="1833" spans="1:18" x14ac:dyDescent="0.3">
      <c r="A1833" s="254" t="str">
        <f>IF(ISBLANK(INDEX('Policy Characteristics'!A:A,MATCH($C1833,'Policy Characteristics'!$C:$C,0))),"",INDEX('Policy Characteristics'!A:A,MATCH($C1833,'Policy Characteristics'!$C:$C,0)))</f>
        <v>Research and Development</v>
      </c>
      <c r="B1833" s="262" t="str">
        <f>IF(ISBLANK(INDEX('Policy Characteristics'!B:B,MATCH($C1833,'Policy Characteristics'!$C:$C,0))),"",INDEX('Policy Characteristics'!B:B,MATCH($C1833,'Policy Characteristics'!$C:$C,0)))</f>
        <v>Capital Cost Reduction</v>
      </c>
      <c r="C1833" s="254" t="str">
        <f t="shared" si="71"/>
        <v>RnD Industry Capital Cost Perc Reduction</v>
      </c>
      <c r="D1833" t="s">
        <v>3070</v>
      </c>
      <c r="E1833" s="45"/>
      <c r="F1833" s="6" t="s">
        <v>326</v>
      </c>
      <c r="G1833" s="45"/>
      <c r="H1833" s="43">
        <v>1471</v>
      </c>
      <c r="I1833" s="324" t="s">
        <v>43</v>
      </c>
      <c r="J1833" s="255" t="str">
        <f>IF(ISBLANK(INDEX('Policy Characteristics'!D:D,MATCH($C1833,'Policy Characteristics'!$C:$C,0))),"",INDEX('Policy Characteristics'!D:D,MATCH($C1833,'Policy Characteristics'!$C:$C,0)))</f>
        <v>R&amp;D Capital Cost Reductions</v>
      </c>
      <c r="K1833" s="254" t="str">
        <f>IF(ISBLANK(INDEX('Policy Characteristics'!E:E,MATCH($C1833,'Policy Characteristics'!$C:$C,0))),"",INDEX('Policy Characteristics'!E:E,MATCH($C1833,'Policy Characteristics'!$C:$C,0)))</f>
        <v>RnD industry capital cost reduction</v>
      </c>
      <c r="L1833" s="261">
        <f>IF(ISBLANK(INDEX('Policy Characteristics'!F:F,MATCH($C1833,'Policy Characteristics'!$C:$C,0))),"",INDEX('Policy Characteristics'!F:F,MATCH($C1833,'Policy Characteristics'!$C:$C,0)))</f>
        <v>0</v>
      </c>
      <c r="M1833" s="261">
        <f>IF(ISBLANK(INDEX('Policy Characteristics'!G:G,MATCH($C1833,'Policy Characteristics'!$C:$C,0))),"",INDEX('Policy Characteristics'!G:G,MATCH($C1833,'Policy Characteristics'!$C:$C,0)))</f>
        <v>0.4</v>
      </c>
      <c r="N1833" s="261">
        <f>IF(ISBLANK(INDEX('Policy Characteristics'!H:H,MATCH($C1833,'Policy Characteristics'!$C:$C,0))),"",INDEX('Policy Characteristics'!H:H,MATCH($C1833,'Policy Characteristics'!$C:$C,0)))</f>
        <v>0.01</v>
      </c>
      <c r="O1833" s="254" t="str">
        <f>IF(ISBLANK(INDEX('Policy Characteristics'!I:I,MATCH($C1833,'Policy Characteristics'!$C:$C,0))),"",INDEX('Policy Characteristics'!I:I,MATCH($C1833,'Policy Characteristics'!$C:$C,0)))</f>
        <v>% reduction in cost</v>
      </c>
      <c r="P1833" s="254" t="str">
        <f>IF(ISBLANK(INDEX('Policy Characteristics'!J:J,MATCH($C1833,'Policy Characteristics'!$C:$C,0))),"",INDEX('Policy Characteristics'!J:J,MATCH($C1833,'Policy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3" s="254" t="str">
        <f>IF(ISBLANK(INDEX('Policy Characteristics'!K:K,MATCH($C1833,'Policy Characteristics'!$C:$C,0))),"",INDEX('Policy Characteristics'!K:K,MATCH($C1833,'Policy Characteristics'!$C:$C,0)))</f>
        <v>architectural-design.html#rnd</v>
      </c>
      <c r="R1833" s="254" t="str">
        <f>IF(ISBLANK(INDEX('Policy Characteristics'!L:L,MATCH($C1833,'Policy Characteristics'!$C:$C,0))),"",INDEX('Policy Characteristics'!L:L,MATCH($C1833,'Policy Characteristics'!$C:$C,0)))</f>
        <v>research-and-development.html</v>
      </c>
    </row>
    <row r="1834" spans="1:18" x14ac:dyDescent="0.3">
      <c r="A1834" s="254" t="str">
        <f>IF(ISBLANK(INDEX('Policy Characteristics'!A:A,MATCH($C1834,'Policy Characteristics'!$C:$C,0))),"",INDEX('Policy Characteristics'!A:A,MATCH($C1834,'Policy Characteristics'!$C:$C,0)))</f>
        <v>Research and Development</v>
      </c>
      <c r="B1834" s="262" t="str">
        <f>IF(ISBLANK(INDEX('Policy Characteristics'!B:B,MATCH($C1834,'Policy Characteristics'!$C:$C,0))),"",INDEX('Policy Characteristics'!B:B,MATCH($C1834,'Policy Characteristics'!$C:$C,0)))</f>
        <v>Capital Cost Reduction</v>
      </c>
      <c r="C1834" s="254" t="str">
        <f t="shared" si="71"/>
        <v>RnD Industry Capital Cost Perc Reduction</v>
      </c>
      <c r="D1834" t="s">
        <v>3071</v>
      </c>
      <c r="E1834" s="45"/>
      <c r="F1834" s="6" t="s">
        <v>3097</v>
      </c>
      <c r="G1834" s="45"/>
      <c r="H1834" s="43">
        <v>1472</v>
      </c>
      <c r="I1834" s="324" t="s">
        <v>43</v>
      </c>
      <c r="J1834" s="255" t="str">
        <f>IF(ISBLANK(INDEX('Policy Characteristics'!D:D,MATCH($C1834,'Policy Characteristics'!$C:$C,0))),"",INDEX('Policy Characteristics'!D:D,MATCH($C1834,'Policy Characteristics'!$C:$C,0)))</f>
        <v>R&amp;D Capital Cost Reductions</v>
      </c>
      <c r="K1834" s="254" t="str">
        <f>IF(ISBLANK(INDEX('Policy Characteristics'!E:E,MATCH($C1834,'Policy Characteristics'!$C:$C,0))),"",INDEX('Policy Characteristics'!E:E,MATCH($C1834,'Policy Characteristics'!$C:$C,0)))</f>
        <v>RnD industry capital cost reduction</v>
      </c>
      <c r="L1834" s="261">
        <f>IF(ISBLANK(INDEX('Policy Characteristics'!F:F,MATCH($C1834,'Policy Characteristics'!$C:$C,0))),"",INDEX('Policy Characteristics'!F:F,MATCH($C1834,'Policy Characteristics'!$C:$C,0)))</f>
        <v>0</v>
      </c>
      <c r="M1834" s="261">
        <f>IF(ISBLANK(INDEX('Policy Characteristics'!G:G,MATCH($C1834,'Policy Characteristics'!$C:$C,0))),"",INDEX('Policy Characteristics'!G:G,MATCH($C1834,'Policy Characteristics'!$C:$C,0)))</f>
        <v>0.4</v>
      </c>
      <c r="N1834" s="261">
        <f>IF(ISBLANK(INDEX('Policy Characteristics'!H:H,MATCH($C1834,'Policy Characteristics'!$C:$C,0))),"",INDEX('Policy Characteristics'!H:H,MATCH($C1834,'Policy Characteristics'!$C:$C,0)))</f>
        <v>0.01</v>
      </c>
      <c r="O1834" s="254" t="str">
        <f>IF(ISBLANK(INDEX('Policy Characteristics'!I:I,MATCH($C1834,'Policy Characteristics'!$C:$C,0))),"",INDEX('Policy Characteristics'!I:I,MATCH($C1834,'Policy Characteristics'!$C:$C,0)))</f>
        <v>% reduction in cost</v>
      </c>
      <c r="P1834" s="254" t="str">
        <f>IF(ISBLANK(INDEX('Policy Characteristics'!J:J,MATCH($C1834,'Policy Characteristics'!$C:$C,0))),"",INDEX('Policy Characteristics'!J:J,MATCH($C1834,'Policy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4" s="254" t="str">
        <f>IF(ISBLANK(INDEX('Policy Characteristics'!K:K,MATCH($C1834,'Policy Characteristics'!$C:$C,0))),"",INDEX('Policy Characteristics'!K:K,MATCH($C1834,'Policy Characteristics'!$C:$C,0)))</f>
        <v>architectural-design.html#rnd</v>
      </c>
      <c r="R1834" s="254" t="str">
        <f>IF(ISBLANK(INDEX('Policy Characteristics'!L:L,MATCH($C1834,'Policy Characteristics'!$C:$C,0))),"",INDEX('Policy Characteristics'!L:L,MATCH($C1834,'Policy Characteristics'!$C:$C,0)))</f>
        <v>research-and-development.html</v>
      </c>
    </row>
    <row r="1835" spans="1:18" x14ac:dyDescent="0.3">
      <c r="A1835" s="254" t="str">
        <f>IF(ISBLANK(INDEX('Policy Characteristics'!A:A,MATCH($C1835,'Policy Characteristics'!$C:$C,0))),"",INDEX('Policy Characteristics'!A:A,MATCH($C1835,'Policy Characteristics'!$C:$C,0)))</f>
        <v>Research and Development</v>
      </c>
      <c r="B1835" s="262" t="str">
        <f>IF(ISBLANK(INDEX('Policy Characteristics'!B:B,MATCH($C1835,'Policy Characteristics'!$C:$C,0))),"",INDEX('Policy Characteristics'!B:B,MATCH($C1835,'Policy Characteristics'!$C:$C,0)))</f>
        <v>Capital Cost Reduction</v>
      </c>
      <c r="C1835" s="254" t="str">
        <f t="shared" si="71"/>
        <v>RnD Industry Capital Cost Perc Reduction</v>
      </c>
      <c r="D1835" t="s">
        <v>3072</v>
      </c>
      <c r="E1835" s="45"/>
      <c r="F1835" s="6" t="s">
        <v>3098</v>
      </c>
      <c r="G1835" s="45"/>
      <c r="H1835" s="43">
        <v>1473</v>
      </c>
      <c r="I1835" s="324" t="s">
        <v>43</v>
      </c>
      <c r="J1835" s="255" t="str">
        <f>IF(ISBLANK(INDEX('Policy Characteristics'!D:D,MATCH($C1835,'Policy Characteristics'!$C:$C,0))),"",INDEX('Policy Characteristics'!D:D,MATCH($C1835,'Policy Characteristics'!$C:$C,0)))</f>
        <v>R&amp;D Capital Cost Reductions</v>
      </c>
      <c r="K1835" s="254" t="str">
        <f>IF(ISBLANK(INDEX('Policy Characteristics'!E:E,MATCH($C1835,'Policy Characteristics'!$C:$C,0))),"",INDEX('Policy Characteristics'!E:E,MATCH($C1835,'Policy Characteristics'!$C:$C,0)))</f>
        <v>RnD industry capital cost reduction</v>
      </c>
      <c r="L1835" s="261">
        <f>IF(ISBLANK(INDEX('Policy Characteristics'!F:F,MATCH($C1835,'Policy Characteristics'!$C:$C,0))),"",INDEX('Policy Characteristics'!F:F,MATCH($C1835,'Policy Characteristics'!$C:$C,0)))</f>
        <v>0</v>
      </c>
      <c r="M1835" s="261">
        <f>IF(ISBLANK(INDEX('Policy Characteristics'!G:G,MATCH($C1835,'Policy Characteristics'!$C:$C,0))),"",INDEX('Policy Characteristics'!G:G,MATCH($C1835,'Policy Characteristics'!$C:$C,0)))</f>
        <v>0.4</v>
      </c>
      <c r="N1835" s="261">
        <f>IF(ISBLANK(INDEX('Policy Characteristics'!H:H,MATCH($C1835,'Policy Characteristics'!$C:$C,0))),"",INDEX('Policy Characteristics'!H:H,MATCH($C1835,'Policy Characteristics'!$C:$C,0)))</f>
        <v>0.01</v>
      </c>
      <c r="O1835" s="254" t="str">
        <f>IF(ISBLANK(INDEX('Policy Characteristics'!I:I,MATCH($C1835,'Policy Characteristics'!$C:$C,0))),"",INDEX('Policy Characteristics'!I:I,MATCH($C1835,'Policy Characteristics'!$C:$C,0)))</f>
        <v>% reduction in cost</v>
      </c>
      <c r="P1835" s="254" t="str">
        <f>IF(ISBLANK(INDEX('Policy Characteristics'!J:J,MATCH($C1835,'Policy Characteristics'!$C:$C,0))),"",INDEX('Policy Characteristics'!J:J,MATCH($C1835,'Policy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5" s="254" t="str">
        <f>IF(ISBLANK(INDEX('Policy Characteristics'!K:K,MATCH($C1835,'Policy Characteristics'!$C:$C,0))),"",INDEX('Policy Characteristics'!K:K,MATCH($C1835,'Policy Characteristics'!$C:$C,0)))</f>
        <v>architectural-design.html#rnd</v>
      </c>
      <c r="R1835" s="254" t="str">
        <f>IF(ISBLANK(INDEX('Policy Characteristics'!L:L,MATCH($C1835,'Policy Characteristics'!$C:$C,0))),"",INDEX('Policy Characteristics'!L:L,MATCH($C1835,'Policy Characteristics'!$C:$C,0)))</f>
        <v>research-and-development.html</v>
      </c>
    </row>
    <row r="1836" spans="1:18" x14ac:dyDescent="0.3">
      <c r="A1836" s="254" t="str">
        <f>IF(ISBLANK(INDEX('Policy Characteristics'!A:A,MATCH($C1836,'Policy Characteristics'!$C:$C,0))),"",INDEX('Policy Characteristics'!A:A,MATCH($C1836,'Policy Characteristics'!$C:$C,0)))</f>
        <v>Research and Development</v>
      </c>
      <c r="B1836" s="262" t="str">
        <f>IF(ISBLANK(INDEX('Policy Characteristics'!B:B,MATCH($C1836,'Policy Characteristics'!$C:$C,0))),"",INDEX('Policy Characteristics'!B:B,MATCH($C1836,'Policy Characteristics'!$C:$C,0)))</f>
        <v>Capital Cost Reduction</v>
      </c>
      <c r="C1836" s="254" t="str">
        <f t="shared" si="71"/>
        <v>RnD Industry Capital Cost Perc Reduction</v>
      </c>
      <c r="D1836" t="s">
        <v>3073</v>
      </c>
      <c r="E1836" s="45"/>
      <c r="F1836" s="6" t="s">
        <v>3099</v>
      </c>
      <c r="G1836" s="45"/>
      <c r="H1836" s="43">
        <v>1474</v>
      </c>
      <c r="I1836" s="324" t="s">
        <v>43</v>
      </c>
      <c r="J1836" s="255" t="str">
        <f>IF(ISBLANK(INDEX('Policy Characteristics'!D:D,MATCH($C1836,'Policy Characteristics'!$C:$C,0))),"",INDEX('Policy Characteristics'!D:D,MATCH($C1836,'Policy Characteristics'!$C:$C,0)))</f>
        <v>R&amp;D Capital Cost Reductions</v>
      </c>
      <c r="K1836" s="254" t="str">
        <f>IF(ISBLANK(INDEX('Policy Characteristics'!E:E,MATCH($C1836,'Policy Characteristics'!$C:$C,0))),"",INDEX('Policy Characteristics'!E:E,MATCH($C1836,'Policy Characteristics'!$C:$C,0)))</f>
        <v>RnD industry capital cost reduction</v>
      </c>
      <c r="L1836" s="261">
        <f>IF(ISBLANK(INDEX('Policy Characteristics'!F:F,MATCH($C1836,'Policy Characteristics'!$C:$C,0))),"",INDEX('Policy Characteristics'!F:F,MATCH($C1836,'Policy Characteristics'!$C:$C,0)))</f>
        <v>0</v>
      </c>
      <c r="M1836" s="261">
        <f>IF(ISBLANK(INDEX('Policy Characteristics'!G:G,MATCH($C1836,'Policy Characteristics'!$C:$C,0))),"",INDEX('Policy Characteristics'!G:G,MATCH($C1836,'Policy Characteristics'!$C:$C,0)))</f>
        <v>0.4</v>
      </c>
      <c r="N1836" s="261">
        <f>IF(ISBLANK(INDEX('Policy Characteristics'!H:H,MATCH($C1836,'Policy Characteristics'!$C:$C,0))),"",INDEX('Policy Characteristics'!H:H,MATCH($C1836,'Policy Characteristics'!$C:$C,0)))</f>
        <v>0.01</v>
      </c>
      <c r="O1836" s="254" t="str">
        <f>IF(ISBLANK(INDEX('Policy Characteristics'!I:I,MATCH($C1836,'Policy Characteristics'!$C:$C,0))),"",INDEX('Policy Characteristics'!I:I,MATCH($C1836,'Policy Characteristics'!$C:$C,0)))</f>
        <v>% reduction in cost</v>
      </c>
      <c r="P1836" s="254" t="str">
        <f>IF(ISBLANK(INDEX('Policy Characteristics'!J:J,MATCH($C1836,'Policy Characteristics'!$C:$C,0))),"",INDEX('Policy Characteristics'!J:J,MATCH($C1836,'Policy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6" s="254" t="str">
        <f>IF(ISBLANK(INDEX('Policy Characteristics'!K:K,MATCH($C1836,'Policy Characteristics'!$C:$C,0))),"",INDEX('Policy Characteristics'!K:K,MATCH($C1836,'Policy Characteristics'!$C:$C,0)))</f>
        <v>architectural-design.html#rnd</v>
      </c>
      <c r="R1836" s="254" t="str">
        <f>IF(ISBLANK(INDEX('Policy Characteristics'!L:L,MATCH($C1836,'Policy Characteristics'!$C:$C,0))),"",INDEX('Policy Characteristics'!L:L,MATCH($C1836,'Policy Characteristics'!$C:$C,0)))</f>
        <v>research-and-development.html</v>
      </c>
    </row>
    <row r="1837" spans="1:18" x14ac:dyDescent="0.3">
      <c r="A1837" s="254" t="str">
        <f>IF(ISBLANK(INDEX('Policy Characteristics'!A:A,MATCH($C1837,'Policy Characteristics'!$C:$C,0))),"",INDEX('Policy Characteristics'!A:A,MATCH($C1837,'Policy Characteristics'!$C:$C,0)))</f>
        <v>Research and Development</v>
      </c>
      <c r="B1837" s="262" t="str">
        <f>IF(ISBLANK(INDEX('Policy Characteristics'!B:B,MATCH($C1837,'Policy Characteristics'!$C:$C,0))),"",INDEX('Policy Characteristics'!B:B,MATCH($C1837,'Policy Characteristics'!$C:$C,0)))</f>
        <v>Capital Cost Reduction</v>
      </c>
      <c r="C1837" s="254" t="str">
        <f t="shared" si="71"/>
        <v>RnD Industry Capital Cost Perc Reduction</v>
      </c>
      <c r="D1837" t="s">
        <v>3074</v>
      </c>
      <c r="E1837" s="45"/>
      <c r="F1837" s="6" t="s">
        <v>325</v>
      </c>
      <c r="G1837" s="45"/>
      <c r="H1837" s="43">
        <v>1475</v>
      </c>
      <c r="I1837" s="324" t="s">
        <v>43</v>
      </c>
      <c r="J1837" s="255" t="str">
        <f>IF(ISBLANK(INDEX('Policy Characteristics'!D:D,MATCH($C1837,'Policy Characteristics'!$C:$C,0))),"",INDEX('Policy Characteristics'!D:D,MATCH($C1837,'Policy Characteristics'!$C:$C,0)))</f>
        <v>R&amp;D Capital Cost Reductions</v>
      </c>
      <c r="K1837" s="254" t="str">
        <f>IF(ISBLANK(INDEX('Policy Characteristics'!E:E,MATCH($C1837,'Policy Characteristics'!$C:$C,0))),"",INDEX('Policy Characteristics'!E:E,MATCH($C1837,'Policy Characteristics'!$C:$C,0)))</f>
        <v>RnD industry capital cost reduction</v>
      </c>
      <c r="L1837" s="261">
        <f>IF(ISBLANK(INDEX('Policy Characteristics'!F:F,MATCH($C1837,'Policy Characteristics'!$C:$C,0))),"",INDEX('Policy Characteristics'!F:F,MATCH($C1837,'Policy Characteristics'!$C:$C,0)))</f>
        <v>0</v>
      </c>
      <c r="M1837" s="261">
        <f>IF(ISBLANK(INDEX('Policy Characteristics'!G:G,MATCH($C1837,'Policy Characteristics'!$C:$C,0))),"",INDEX('Policy Characteristics'!G:G,MATCH($C1837,'Policy Characteristics'!$C:$C,0)))</f>
        <v>0.4</v>
      </c>
      <c r="N1837" s="261">
        <f>IF(ISBLANK(INDEX('Policy Characteristics'!H:H,MATCH($C1837,'Policy Characteristics'!$C:$C,0))),"",INDEX('Policy Characteristics'!H:H,MATCH($C1837,'Policy Characteristics'!$C:$C,0)))</f>
        <v>0.01</v>
      </c>
      <c r="O1837" s="254" t="str">
        <f>IF(ISBLANK(INDEX('Policy Characteristics'!I:I,MATCH($C1837,'Policy Characteristics'!$C:$C,0))),"",INDEX('Policy Characteristics'!I:I,MATCH($C1837,'Policy Characteristics'!$C:$C,0)))</f>
        <v>% reduction in cost</v>
      </c>
      <c r="P1837" s="254" t="str">
        <f>IF(ISBLANK(INDEX('Policy Characteristics'!J:J,MATCH($C1837,'Policy Characteristics'!$C:$C,0))),"",INDEX('Policy Characteristics'!J:J,MATCH($C1837,'Policy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7" s="254" t="str">
        <f>IF(ISBLANK(INDEX('Policy Characteristics'!K:K,MATCH($C1837,'Policy Characteristics'!$C:$C,0))),"",INDEX('Policy Characteristics'!K:K,MATCH($C1837,'Policy Characteristics'!$C:$C,0)))</f>
        <v>architectural-design.html#rnd</v>
      </c>
      <c r="R1837" s="254" t="str">
        <f>IF(ISBLANK(INDEX('Policy Characteristics'!L:L,MATCH($C1837,'Policy Characteristics'!$C:$C,0))),"",INDEX('Policy Characteristics'!L:L,MATCH($C1837,'Policy Characteristics'!$C:$C,0)))</f>
        <v>research-and-development.html</v>
      </c>
    </row>
    <row r="1838" spans="1:18" x14ac:dyDescent="0.3">
      <c r="A1838" s="254" t="str">
        <f>IF(ISBLANK(INDEX('Policy Characteristics'!A:A,MATCH($C1838,'Policy Characteristics'!$C:$C,0))),"",INDEX('Policy Characteristics'!A:A,MATCH($C1838,'Policy Characteristics'!$C:$C,0)))</f>
        <v>Research and Development</v>
      </c>
      <c r="B1838" s="262" t="str">
        <f>IF(ISBLANK(INDEX('Policy Characteristics'!B:B,MATCH($C1838,'Policy Characteristics'!$C:$C,0))),"",INDEX('Policy Characteristics'!B:B,MATCH($C1838,'Policy Characteristics'!$C:$C,0)))</f>
        <v>Capital Cost Reduction</v>
      </c>
      <c r="C1838" s="254" t="str">
        <f t="shared" si="71"/>
        <v>RnD Industry Capital Cost Perc Reduction</v>
      </c>
      <c r="D1838" t="s">
        <v>3075</v>
      </c>
      <c r="E1838" s="45"/>
      <c r="F1838" s="6" t="s">
        <v>3100</v>
      </c>
      <c r="G1838" s="45"/>
      <c r="H1838" s="43">
        <v>1476</v>
      </c>
      <c r="I1838" s="324" t="s">
        <v>43</v>
      </c>
      <c r="J1838" s="255" t="str">
        <f>IF(ISBLANK(INDEX('Policy Characteristics'!D:D,MATCH($C1838,'Policy Characteristics'!$C:$C,0))),"",INDEX('Policy Characteristics'!D:D,MATCH($C1838,'Policy Characteristics'!$C:$C,0)))</f>
        <v>R&amp;D Capital Cost Reductions</v>
      </c>
      <c r="K1838" s="254" t="str">
        <f>IF(ISBLANK(INDEX('Policy Characteristics'!E:E,MATCH($C1838,'Policy Characteristics'!$C:$C,0))),"",INDEX('Policy Characteristics'!E:E,MATCH($C1838,'Policy Characteristics'!$C:$C,0)))</f>
        <v>RnD industry capital cost reduction</v>
      </c>
      <c r="L1838" s="261">
        <f>IF(ISBLANK(INDEX('Policy Characteristics'!F:F,MATCH($C1838,'Policy Characteristics'!$C:$C,0))),"",INDEX('Policy Characteristics'!F:F,MATCH($C1838,'Policy Characteristics'!$C:$C,0)))</f>
        <v>0</v>
      </c>
      <c r="M1838" s="261">
        <f>IF(ISBLANK(INDEX('Policy Characteristics'!G:G,MATCH($C1838,'Policy Characteristics'!$C:$C,0))),"",INDEX('Policy Characteristics'!G:G,MATCH($C1838,'Policy Characteristics'!$C:$C,0)))</f>
        <v>0.4</v>
      </c>
      <c r="N1838" s="261">
        <f>IF(ISBLANK(INDEX('Policy Characteristics'!H:H,MATCH($C1838,'Policy Characteristics'!$C:$C,0))),"",INDEX('Policy Characteristics'!H:H,MATCH($C1838,'Policy Characteristics'!$C:$C,0)))</f>
        <v>0.01</v>
      </c>
      <c r="O1838" s="254" t="str">
        <f>IF(ISBLANK(INDEX('Policy Characteristics'!I:I,MATCH($C1838,'Policy Characteristics'!$C:$C,0))),"",INDEX('Policy Characteristics'!I:I,MATCH($C1838,'Policy Characteristics'!$C:$C,0)))</f>
        <v>% reduction in cost</v>
      </c>
      <c r="P1838" s="254" t="str">
        <f>IF(ISBLANK(INDEX('Policy Characteristics'!J:J,MATCH($C1838,'Policy Characteristics'!$C:$C,0))),"",INDEX('Policy Characteristics'!J:J,MATCH($C1838,'Policy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8" s="254" t="str">
        <f>IF(ISBLANK(INDEX('Policy Characteristics'!K:K,MATCH($C1838,'Policy Characteristics'!$C:$C,0))),"",INDEX('Policy Characteristics'!K:K,MATCH($C1838,'Policy Characteristics'!$C:$C,0)))</f>
        <v>architectural-design.html#rnd</v>
      </c>
      <c r="R1838" s="254" t="str">
        <f>IF(ISBLANK(INDEX('Policy Characteristics'!L:L,MATCH($C1838,'Policy Characteristics'!$C:$C,0))),"",INDEX('Policy Characteristics'!L:L,MATCH($C1838,'Policy Characteristics'!$C:$C,0)))</f>
        <v>research-and-development.html</v>
      </c>
    </row>
    <row r="1839" spans="1:18" x14ac:dyDescent="0.3">
      <c r="A1839" s="254" t="str">
        <f>IF(ISBLANK(INDEX('Policy Characteristics'!A:A,MATCH($C1839,'Policy Characteristics'!$C:$C,0))),"",INDEX('Policy Characteristics'!A:A,MATCH($C1839,'Policy Characteristics'!$C:$C,0)))</f>
        <v>Research and Development</v>
      </c>
      <c r="B1839" s="262" t="str">
        <f>IF(ISBLANK(INDEX('Policy Characteristics'!B:B,MATCH($C1839,'Policy Characteristics'!$C:$C,0))),"",INDEX('Policy Characteristics'!B:B,MATCH($C1839,'Policy Characteristics'!$C:$C,0)))</f>
        <v>Capital Cost Reduction</v>
      </c>
      <c r="C1839" s="254" t="str">
        <f t="shared" si="71"/>
        <v>RnD Industry Capital Cost Perc Reduction</v>
      </c>
      <c r="D1839" t="s">
        <v>3076</v>
      </c>
      <c r="E1839" s="45"/>
      <c r="F1839" s="6" t="s">
        <v>3101</v>
      </c>
      <c r="G1839" s="45"/>
      <c r="H1839" s="43">
        <v>1477</v>
      </c>
      <c r="I1839" s="324" t="s">
        <v>43</v>
      </c>
      <c r="J1839" s="255" t="str">
        <f>IF(ISBLANK(INDEX('Policy Characteristics'!D:D,MATCH($C1839,'Policy Characteristics'!$C:$C,0))),"",INDEX('Policy Characteristics'!D:D,MATCH($C1839,'Policy Characteristics'!$C:$C,0)))</f>
        <v>R&amp;D Capital Cost Reductions</v>
      </c>
      <c r="K1839" s="254" t="str">
        <f>IF(ISBLANK(INDEX('Policy Characteristics'!E:E,MATCH($C1839,'Policy Characteristics'!$C:$C,0))),"",INDEX('Policy Characteristics'!E:E,MATCH($C1839,'Policy Characteristics'!$C:$C,0)))</f>
        <v>RnD industry capital cost reduction</v>
      </c>
      <c r="L1839" s="261">
        <f>IF(ISBLANK(INDEX('Policy Characteristics'!F:F,MATCH($C1839,'Policy Characteristics'!$C:$C,0))),"",INDEX('Policy Characteristics'!F:F,MATCH($C1839,'Policy Characteristics'!$C:$C,0)))</f>
        <v>0</v>
      </c>
      <c r="M1839" s="261">
        <f>IF(ISBLANK(INDEX('Policy Characteristics'!G:G,MATCH($C1839,'Policy Characteristics'!$C:$C,0))),"",INDEX('Policy Characteristics'!G:G,MATCH($C1839,'Policy Characteristics'!$C:$C,0)))</f>
        <v>0.4</v>
      </c>
      <c r="N1839" s="261">
        <f>IF(ISBLANK(INDEX('Policy Characteristics'!H:H,MATCH($C1839,'Policy Characteristics'!$C:$C,0))),"",INDEX('Policy Characteristics'!H:H,MATCH($C1839,'Policy Characteristics'!$C:$C,0)))</f>
        <v>0.01</v>
      </c>
      <c r="O1839" s="254" t="str">
        <f>IF(ISBLANK(INDEX('Policy Characteristics'!I:I,MATCH($C1839,'Policy Characteristics'!$C:$C,0))),"",INDEX('Policy Characteristics'!I:I,MATCH($C1839,'Policy Characteristics'!$C:$C,0)))</f>
        <v>% reduction in cost</v>
      </c>
      <c r="P1839" s="254" t="str">
        <f>IF(ISBLANK(INDEX('Policy Characteristics'!J:J,MATCH($C1839,'Policy Characteristics'!$C:$C,0))),"",INDEX('Policy Characteristics'!J:J,MATCH($C1839,'Policy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39" s="254" t="str">
        <f>IF(ISBLANK(INDEX('Policy Characteristics'!K:K,MATCH($C1839,'Policy Characteristics'!$C:$C,0))),"",INDEX('Policy Characteristics'!K:K,MATCH($C1839,'Policy Characteristics'!$C:$C,0)))</f>
        <v>architectural-design.html#rnd</v>
      </c>
      <c r="R1839" s="254" t="str">
        <f>IF(ISBLANK(INDEX('Policy Characteristics'!L:L,MATCH($C1839,'Policy Characteristics'!$C:$C,0))),"",INDEX('Policy Characteristics'!L:L,MATCH($C1839,'Policy Characteristics'!$C:$C,0)))</f>
        <v>research-and-development.html</v>
      </c>
    </row>
    <row r="1840" spans="1:18" x14ac:dyDescent="0.3">
      <c r="A1840" s="254" t="str">
        <f>IF(ISBLANK(INDEX('Policy Characteristics'!A:A,MATCH($C1840,'Policy Characteristics'!$C:$C,0))),"",INDEX('Policy Characteristics'!A:A,MATCH($C1840,'Policy Characteristics'!$C:$C,0)))</f>
        <v>Research and Development</v>
      </c>
      <c r="B1840" s="262" t="str">
        <f>IF(ISBLANK(INDEX('Policy Characteristics'!B:B,MATCH($C1840,'Policy Characteristics'!$C:$C,0))),"",INDEX('Policy Characteristics'!B:B,MATCH($C1840,'Policy Characteristics'!$C:$C,0)))</f>
        <v>Capital Cost Reduction</v>
      </c>
      <c r="C1840" s="254" t="str">
        <f t="shared" si="71"/>
        <v>RnD Industry Capital Cost Perc Reduction</v>
      </c>
      <c r="D1840" t="s">
        <v>3077</v>
      </c>
      <c r="E1840" s="45"/>
      <c r="F1840" s="6" t="s">
        <v>3102</v>
      </c>
      <c r="G1840" s="45"/>
      <c r="H1840" s="43">
        <v>1478</v>
      </c>
      <c r="I1840" s="324" t="s">
        <v>43</v>
      </c>
      <c r="J1840" s="255" t="str">
        <f>IF(ISBLANK(INDEX('Policy Characteristics'!D:D,MATCH($C1840,'Policy Characteristics'!$C:$C,0))),"",INDEX('Policy Characteristics'!D:D,MATCH($C1840,'Policy Characteristics'!$C:$C,0)))</f>
        <v>R&amp;D Capital Cost Reductions</v>
      </c>
      <c r="K1840" s="254" t="str">
        <f>IF(ISBLANK(INDEX('Policy Characteristics'!E:E,MATCH($C1840,'Policy Characteristics'!$C:$C,0))),"",INDEX('Policy Characteristics'!E:E,MATCH($C1840,'Policy Characteristics'!$C:$C,0)))</f>
        <v>RnD industry capital cost reduction</v>
      </c>
      <c r="L1840" s="261">
        <f>IF(ISBLANK(INDEX('Policy Characteristics'!F:F,MATCH($C1840,'Policy Characteristics'!$C:$C,0))),"",INDEX('Policy Characteristics'!F:F,MATCH($C1840,'Policy Characteristics'!$C:$C,0)))</f>
        <v>0</v>
      </c>
      <c r="M1840" s="261">
        <f>IF(ISBLANK(INDEX('Policy Characteristics'!G:G,MATCH($C1840,'Policy Characteristics'!$C:$C,0))),"",INDEX('Policy Characteristics'!G:G,MATCH($C1840,'Policy Characteristics'!$C:$C,0)))</f>
        <v>0.4</v>
      </c>
      <c r="N1840" s="261">
        <f>IF(ISBLANK(INDEX('Policy Characteristics'!H:H,MATCH($C1840,'Policy Characteristics'!$C:$C,0))),"",INDEX('Policy Characteristics'!H:H,MATCH($C1840,'Policy Characteristics'!$C:$C,0)))</f>
        <v>0.01</v>
      </c>
      <c r="O1840" s="254" t="str">
        <f>IF(ISBLANK(INDEX('Policy Characteristics'!I:I,MATCH($C1840,'Policy Characteristics'!$C:$C,0))),"",INDEX('Policy Characteristics'!I:I,MATCH($C1840,'Policy Characteristics'!$C:$C,0)))</f>
        <v>% reduction in cost</v>
      </c>
      <c r="P1840" s="254" t="str">
        <f>IF(ISBLANK(INDEX('Policy Characteristics'!J:J,MATCH($C1840,'Policy Characteristics'!$C:$C,0))),"",INDEX('Policy Characteristics'!J:J,MATCH($C1840,'Policy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0" s="254" t="str">
        <f>IF(ISBLANK(INDEX('Policy Characteristics'!K:K,MATCH($C1840,'Policy Characteristics'!$C:$C,0))),"",INDEX('Policy Characteristics'!K:K,MATCH($C1840,'Policy Characteristics'!$C:$C,0)))</f>
        <v>architectural-design.html#rnd</v>
      </c>
      <c r="R1840" s="254" t="str">
        <f>IF(ISBLANK(INDEX('Policy Characteristics'!L:L,MATCH($C1840,'Policy Characteristics'!$C:$C,0))),"",INDEX('Policy Characteristics'!L:L,MATCH($C1840,'Policy Characteristics'!$C:$C,0)))</f>
        <v>research-and-development.html</v>
      </c>
    </row>
    <row r="1841" spans="1:18" x14ac:dyDescent="0.3">
      <c r="A1841" s="254" t="str">
        <f>IF(ISBLANK(INDEX('Policy Characteristics'!A:A,MATCH($C1841,'Policy Characteristics'!$C:$C,0))),"",INDEX('Policy Characteristics'!A:A,MATCH($C1841,'Policy Characteristics'!$C:$C,0)))</f>
        <v>Research and Development</v>
      </c>
      <c r="B1841" s="262" t="str">
        <f>IF(ISBLANK(INDEX('Policy Characteristics'!B:B,MATCH($C1841,'Policy Characteristics'!$C:$C,0))),"",INDEX('Policy Characteristics'!B:B,MATCH($C1841,'Policy Characteristics'!$C:$C,0)))</f>
        <v>Capital Cost Reduction</v>
      </c>
      <c r="C1841" s="254" t="str">
        <f t="shared" si="71"/>
        <v>RnD Industry Capital Cost Perc Reduction</v>
      </c>
      <c r="D1841" t="s">
        <v>3078</v>
      </c>
      <c r="E1841" s="45"/>
      <c r="F1841" s="6" t="s">
        <v>3103</v>
      </c>
      <c r="G1841" s="45"/>
      <c r="H1841" s="43">
        <v>1479</v>
      </c>
      <c r="I1841" s="324" t="s">
        <v>43</v>
      </c>
      <c r="J1841" s="255" t="str">
        <f>IF(ISBLANK(INDEX('Policy Characteristics'!D:D,MATCH($C1841,'Policy Characteristics'!$C:$C,0))),"",INDEX('Policy Characteristics'!D:D,MATCH($C1841,'Policy Characteristics'!$C:$C,0)))</f>
        <v>R&amp;D Capital Cost Reductions</v>
      </c>
      <c r="K1841" s="254" t="str">
        <f>IF(ISBLANK(INDEX('Policy Characteristics'!E:E,MATCH($C1841,'Policy Characteristics'!$C:$C,0))),"",INDEX('Policy Characteristics'!E:E,MATCH($C1841,'Policy Characteristics'!$C:$C,0)))</f>
        <v>RnD industry capital cost reduction</v>
      </c>
      <c r="L1841" s="261">
        <f>IF(ISBLANK(INDEX('Policy Characteristics'!F:F,MATCH($C1841,'Policy Characteristics'!$C:$C,0))),"",INDEX('Policy Characteristics'!F:F,MATCH($C1841,'Policy Characteristics'!$C:$C,0)))</f>
        <v>0</v>
      </c>
      <c r="M1841" s="261">
        <f>IF(ISBLANK(INDEX('Policy Characteristics'!G:G,MATCH($C1841,'Policy Characteristics'!$C:$C,0))),"",INDEX('Policy Characteristics'!G:G,MATCH($C1841,'Policy Characteristics'!$C:$C,0)))</f>
        <v>0.4</v>
      </c>
      <c r="N1841" s="261">
        <f>IF(ISBLANK(INDEX('Policy Characteristics'!H:H,MATCH($C1841,'Policy Characteristics'!$C:$C,0))),"",INDEX('Policy Characteristics'!H:H,MATCH($C1841,'Policy Characteristics'!$C:$C,0)))</f>
        <v>0.01</v>
      </c>
      <c r="O1841" s="254" t="str">
        <f>IF(ISBLANK(INDEX('Policy Characteristics'!I:I,MATCH($C1841,'Policy Characteristics'!$C:$C,0))),"",INDEX('Policy Characteristics'!I:I,MATCH($C1841,'Policy Characteristics'!$C:$C,0)))</f>
        <v>% reduction in cost</v>
      </c>
      <c r="P1841" s="254" t="str">
        <f>IF(ISBLANK(INDEX('Policy Characteristics'!J:J,MATCH($C1841,'Policy Characteristics'!$C:$C,0))),"",INDEX('Policy Characteristics'!J:J,MATCH($C1841,'Policy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1" s="254" t="str">
        <f>IF(ISBLANK(INDEX('Policy Characteristics'!K:K,MATCH($C1841,'Policy Characteristics'!$C:$C,0))),"",INDEX('Policy Characteristics'!K:K,MATCH($C1841,'Policy Characteristics'!$C:$C,0)))</f>
        <v>architectural-design.html#rnd</v>
      </c>
      <c r="R1841" s="254" t="str">
        <f>IF(ISBLANK(INDEX('Policy Characteristics'!L:L,MATCH($C1841,'Policy Characteristics'!$C:$C,0))),"",INDEX('Policy Characteristics'!L:L,MATCH($C1841,'Policy Characteristics'!$C:$C,0)))</f>
        <v>research-and-development.html</v>
      </c>
    </row>
    <row r="1842" spans="1:18" x14ac:dyDescent="0.3">
      <c r="A1842" s="254" t="str">
        <f>IF(ISBLANK(INDEX('Policy Characteristics'!A:A,MATCH($C1842,'Policy Characteristics'!$C:$C,0))),"",INDEX('Policy Characteristics'!A:A,MATCH($C1842,'Policy Characteristics'!$C:$C,0)))</f>
        <v>Research and Development</v>
      </c>
      <c r="B1842" s="262" t="str">
        <f>IF(ISBLANK(INDEX('Policy Characteristics'!B:B,MATCH($C1842,'Policy Characteristics'!$C:$C,0))),"",INDEX('Policy Characteristics'!B:B,MATCH($C1842,'Policy Characteristics'!$C:$C,0)))</f>
        <v>Capital Cost Reduction</v>
      </c>
      <c r="C1842" s="254" t="str">
        <f t="shared" si="71"/>
        <v>RnD Industry Capital Cost Perc Reduction</v>
      </c>
      <c r="D1842" t="s">
        <v>3079</v>
      </c>
      <c r="E1842" s="45"/>
      <c r="F1842" s="6" t="s">
        <v>3104</v>
      </c>
      <c r="G1842" s="45"/>
      <c r="H1842" s="43">
        <v>1480</v>
      </c>
      <c r="I1842" s="324" t="s">
        <v>43</v>
      </c>
      <c r="J1842" s="255" t="str">
        <f>IF(ISBLANK(INDEX('Policy Characteristics'!D:D,MATCH($C1842,'Policy Characteristics'!$C:$C,0))),"",INDEX('Policy Characteristics'!D:D,MATCH($C1842,'Policy Characteristics'!$C:$C,0)))</f>
        <v>R&amp;D Capital Cost Reductions</v>
      </c>
      <c r="K1842" s="254" t="str">
        <f>IF(ISBLANK(INDEX('Policy Characteristics'!E:E,MATCH($C1842,'Policy Characteristics'!$C:$C,0))),"",INDEX('Policy Characteristics'!E:E,MATCH($C1842,'Policy Characteristics'!$C:$C,0)))</f>
        <v>RnD industry capital cost reduction</v>
      </c>
      <c r="L1842" s="261">
        <f>IF(ISBLANK(INDEX('Policy Characteristics'!F:F,MATCH($C1842,'Policy Characteristics'!$C:$C,0))),"",INDEX('Policy Characteristics'!F:F,MATCH($C1842,'Policy Characteristics'!$C:$C,0)))</f>
        <v>0</v>
      </c>
      <c r="M1842" s="261">
        <f>IF(ISBLANK(INDEX('Policy Characteristics'!G:G,MATCH($C1842,'Policy Characteristics'!$C:$C,0))),"",INDEX('Policy Characteristics'!G:G,MATCH($C1842,'Policy Characteristics'!$C:$C,0)))</f>
        <v>0.4</v>
      </c>
      <c r="N1842" s="261">
        <f>IF(ISBLANK(INDEX('Policy Characteristics'!H:H,MATCH($C1842,'Policy Characteristics'!$C:$C,0))),"",INDEX('Policy Characteristics'!H:H,MATCH($C1842,'Policy Characteristics'!$C:$C,0)))</f>
        <v>0.01</v>
      </c>
      <c r="O1842" s="254" t="str">
        <f>IF(ISBLANK(INDEX('Policy Characteristics'!I:I,MATCH($C1842,'Policy Characteristics'!$C:$C,0))),"",INDEX('Policy Characteristics'!I:I,MATCH($C1842,'Policy Characteristics'!$C:$C,0)))</f>
        <v>% reduction in cost</v>
      </c>
      <c r="P1842" s="254"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4" t="str">
        <f>IF(ISBLANK(INDEX('Policy Characteristics'!K:K,MATCH($C1842,'Policy Characteristics'!$C:$C,0))),"",INDEX('Policy Characteristics'!K:K,MATCH($C1842,'Policy Characteristics'!$C:$C,0)))</f>
        <v>architectural-design.html#rnd</v>
      </c>
      <c r="R1842" s="254" t="str">
        <f>IF(ISBLANK(INDEX('Policy Characteristics'!L:L,MATCH($C1842,'Policy Characteristics'!$C:$C,0))),"",INDEX('Policy Characteristics'!L:L,MATCH($C1842,'Policy Characteristics'!$C:$C,0)))</f>
        <v>research-and-development.html</v>
      </c>
    </row>
    <row r="1843" spans="1:18" x14ac:dyDescent="0.3">
      <c r="A1843" s="254" t="str">
        <f>IF(ISBLANK(INDEX('Policy Characteristics'!A:A,MATCH($C1843,'Policy Characteristics'!$C:$C,0))),"",INDEX('Policy Characteristics'!A:A,MATCH($C1843,'Policy Characteristics'!$C:$C,0)))</f>
        <v>Research and Development</v>
      </c>
      <c r="B1843" s="262" t="str">
        <f>IF(ISBLANK(INDEX('Policy Characteristics'!B:B,MATCH($C1843,'Policy Characteristics'!$C:$C,0))),"",INDEX('Policy Characteristics'!B:B,MATCH($C1843,'Policy Characteristics'!$C:$C,0)))</f>
        <v>Capital Cost Reduction</v>
      </c>
      <c r="C1843" s="254" t="str">
        <f t="shared" si="71"/>
        <v>RnD Industry Capital Cost Perc Reduction</v>
      </c>
      <c r="D1843" t="s">
        <v>3080</v>
      </c>
      <c r="E1843" s="45"/>
      <c r="F1843" s="6" t="s">
        <v>3105</v>
      </c>
      <c r="G1843" s="45"/>
      <c r="H1843" s="43">
        <v>1481</v>
      </c>
      <c r="I1843" s="324" t="s">
        <v>43</v>
      </c>
      <c r="J1843" s="255" t="str">
        <f>IF(ISBLANK(INDEX('Policy Characteristics'!D:D,MATCH($C1843,'Policy Characteristics'!$C:$C,0))),"",INDEX('Policy Characteristics'!D:D,MATCH($C1843,'Policy Characteristics'!$C:$C,0)))</f>
        <v>R&amp;D Capital Cost Reductions</v>
      </c>
      <c r="K1843" s="254" t="str">
        <f>IF(ISBLANK(INDEX('Policy Characteristics'!E:E,MATCH($C1843,'Policy Characteristics'!$C:$C,0))),"",INDEX('Policy Characteristics'!E:E,MATCH($C1843,'Policy Characteristics'!$C:$C,0)))</f>
        <v>RnD industry capital cost reduction</v>
      </c>
      <c r="L1843" s="261">
        <f>IF(ISBLANK(INDEX('Policy Characteristics'!F:F,MATCH($C1843,'Policy Characteristics'!$C:$C,0))),"",INDEX('Policy Characteristics'!F:F,MATCH($C1843,'Policy Characteristics'!$C:$C,0)))</f>
        <v>0</v>
      </c>
      <c r="M1843" s="261">
        <f>IF(ISBLANK(INDEX('Policy Characteristics'!G:G,MATCH($C1843,'Policy Characteristics'!$C:$C,0))),"",INDEX('Policy Characteristics'!G:G,MATCH($C1843,'Policy Characteristics'!$C:$C,0)))</f>
        <v>0.4</v>
      </c>
      <c r="N1843" s="261">
        <f>IF(ISBLANK(INDEX('Policy Characteristics'!H:H,MATCH($C1843,'Policy Characteristics'!$C:$C,0))),"",INDEX('Policy Characteristics'!H:H,MATCH($C1843,'Policy Characteristics'!$C:$C,0)))</f>
        <v>0.01</v>
      </c>
      <c r="O1843" s="254" t="str">
        <f>IF(ISBLANK(INDEX('Policy Characteristics'!I:I,MATCH($C1843,'Policy Characteristics'!$C:$C,0))),"",INDEX('Policy Characteristics'!I:I,MATCH($C1843,'Policy Characteristics'!$C:$C,0)))</f>
        <v>% reduction in cost</v>
      </c>
      <c r="P1843" s="254"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4" t="str">
        <f>IF(ISBLANK(INDEX('Policy Characteristics'!K:K,MATCH($C1843,'Policy Characteristics'!$C:$C,0))),"",INDEX('Policy Characteristics'!K:K,MATCH($C1843,'Policy Characteristics'!$C:$C,0)))</f>
        <v>architectural-design.html#rnd</v>
      </c>
      <c r="R1843" s="254" t="str">
        <f>IF(ISBLANK(INDEX('Policy Characteristics'!L:L,MATCH($C1843,'Policy Characteristics'!$C:$C,0))),"",INDEX('Policy Characteristics'!L:L,MATCH($C1843,'Policy Characteristics'!$C:$C,0)))</f>
        <v>research-and-development.html</v>
      </c>
    </row>
    <row r="1844" spans="1:18" x14ac:dyDescent="0.3">
      <c r="A1844" s="254" t="str">
        <f>IF(ISBLANK(INDEX('Policy Characteristics'!A:A,MATCH($C1844,'Policy Characteristics'!$C:$C,0))),"",INDEX('Policy Characteristics'!A:A,MATCH($C1844,'Policy Characteristics'!$C:$C,0)))</f>
        <v>Research and Development</v>
      </c>
      <c r="B1844" s="262" t="str">
        <f>IF(ISBLANK(INDEX('Policy Characteristics'!B:B,MATCH($C1844,'Policy Characteristics'!$C:$C,0))),"",INDEX('Policy Characteristics'!B:B,MATCH($C1844,'Policy Characteristics'!$C:$C,0)))</f>
        <v>Capital Cost Reduction</v>
      </c>
      <c r="C1844" s="254" t="str">
        <f t="shared" si="71"/>
        <v>RnD Industry Capital Cost Perc Reduction</v>
      </c>
      <c r="D1844" t="s">
        <v>3081</v>
      </c>
      <c r="E1844" s="45"/>
      <c r="F1844" s="6" t="s">
        <v>3106</v>
      </c>
      <c r="G1844" s="45"/>
      <c r="H1844" s="43">
        <v>1482</v>
      </c>
      <c r="I1844" s="324" t="s">
        <v>43</v>
      </c>
      <c r="J1844" s="255" t="str">
        <f>IF(ISBLANK(INDEX('Policy Characteristics'!D:D,MATCH($C1844,'Policy Characteristics'!$C:$C,0))),"",INDEX('Policy Characteristics'!D:D,MATCH($C1844,'Policy Characteristics'!$C:$C,0)))</f>
        <v>R&amp;D Capital Cost Reductions</v>
      </c>
      <c r="K1844" s="254" t="str">
        <f>IF(ISBLANK(INDEX('Policy Characteristics'!E:E,MATCH($C1844,'Policy Characteristics'!$C:$C,0))),"",INDEX('Policy Characteristics'!E:E,MATCH($C1844,'Policy Characteristics'!$C:$C,0)))</f>
        <v>RnD industry capital cost reduction</v>
      </c>
      <c r="L1844" s="261">
        <f>IF(ISBLANK(INDEX('Policy Characteristics'!F:F,MATCH($C1844,'Policy Characteristics'!$C:$C,0))),"",INDEX('Policy Characteristics'!F:F,MATCH($C1844,'Policy Characteristics'!$C:$C,0)))</f>
        <v>0</v>
      </c>
      <c r="M1844" s="261">
        <f>IF(ISBLANK(INDEX('Policy Characteristics'!G:G,MATCH($C1844,'Policy Characteristics'!$C:$C,0))),"",INDEX('Policy Characteristics'!G:G,MATCH($C1844,'Policy Characteristics'!$C:$C,0)))</f>
        <v>0.4</v>
      </c>
      <c r="N1844" s="261">
        <f>IF(ISBLANK(INDEX('Policy Characteristics'!H:H,MATCH($C1844,'Policy Characteristics'!$C:$C,0))),"",INDEX('Policy Characteristics'!H:H,MATCH($C1844,'Policy Characteristics'!$C:$C,0)))</f>
        <v>0.01</v>
      </c>
      <c r="O1844" s="254" t="str">
        <f>IF(ISBLANK(INDEX('Policy Characteristics'!I:I,MATCH($C1844,'Policy Characteristics'!$C:$C,0))),"",INDEX('Policy Characteristics'!I:I,MATCH($C1844,'Policy Characteristics'!$C:$C,0)))</f>
        <v>% reduction in cost</v>
      </c>
      <c r="P1844" s="254"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4" t="str">
        <f>IF(ISBLANK(INDEX('Policy Characteristics'!K:K,MATCH($C1844,'Policy Characteristics'!$C:$C,0))),"",INDEX('Policy Characteristics'!K:K,MATCH($C1844,'Policy Characteristics'!$C:$C,0)))</f>
        <v>architectural-design.html#rnd</v>
      </c>
      <c r="R1844" s="254" t="str">
        <f>IF(ISBLANK(INDEX('Policy Characteristics'!L:L,MATCH($C1844,'Policy Characteristics'!$C:$C,0))),"",INDEX('Policy Characteristics'!L:L,MATCH($C1844,'Policy Characteristics'!$C:$C,0)))</f>
        <v>research-and-development.html</v>
      </c>
    </row>
    <row r="1845" spans="1:18" x14ac:dyDescent="0.3">
      <c r="A1845" s="254" t="str">
        <f>IF(ISBLANK(INDEX('Policy Characteristics'!A:A,MATCH($C1845,'Policy Characteristics'!$C:$C,0))),"",INDEX('Policy Characteristics'!A:A,MATCH($C1845,'Policy Characteristics'!$C:$C,0)))</f>
        <v>Research and Development</v>
      </c>
      <c r="B1845" s="262" t="str">
        <f>IF(ISBLANK(INDEX('Policy Characteristics'!B:B,MATCH($C1845,'Policy Characteristics'!$C:$C,0))),"",INDEX('Policy Characteristics'!B:B,MATCH($C1845,'Policy Characteristics'!$C:$C,0)))</f>
        <v>Capital Cost Reduction</v>
      </c>
      <c r="C1845" s="254" t="str">
        <f t="shared" si="71"/>
        <v>RnD Industry Capital Cost Perc Reduction</v>
      </c>
      <c r="D1845" t="s">
        <v>3082</v>
      </c>
      <c r="E1845" s="45"/>
      <c r="F1845" s="6" t="s">
        <v>3107</v>
      </c>
      <c r="G1845" s="45"/>
      <c r="H1845" s="43">
        <v>1483</v>
      </c>
      <c r="I1845" s="324" t="s">
        <v>43</v>
      </c>
      <c r="J1845" s="255" t="str">
        <f>IF(ISBLANK(INDEX('Policy Characteristics'!D:D,MATCH($C1845,'Policy Characteristics'!$C:$C,0))),"",INDEX('Policy Characteristics'!D:D,MATCH($C1845,'Policy Characteristics'!$C:$C,0)))</f>
        <v>R&amp;D Capital Cost Reductions</v>
      </c>
      <c r="K1845" s="254" t="str">
        <f>IF(ISBLANK(INDEX('Policy Characteristics'!E:E,MATCH($C1845,'Policy Characteristics'!$C:$C,0))),"",INDEX('Policy Characteristics'!E:E,MATCH($C1845,'Policy Characteristics'!$C:$C,0)))</f>
        <v>RnD industry capital cost reduction</v>
      </c>
      <c r="L1845" s="261">
        <f>IF(ISBLANK(INDEX('Policy Characteristics'!F:F,MATCH($C1845,'Policy Characteristics'!$C:$C,0))),"",INDEX('Policy Characteristics'!F:F,MATCH($C1845,'Policy Characteristics'!$C:$C,0)))</f>
        <v>0</v>
      </c>
      <c r="M1845" s="261">
        <f>IF(ISBLANK(INDEX('Policy Characteristics'!G:G,MATCH($C1845,'Policy Characteristics'!$C:$C,0))),"",INDEX('Policy Characteristics'!G:G,MATCH($C1845,'Policy Characteristics'!$C:$C,0)))</f>
        <v>0.4</v>
      </c>
      <c r="N1845" s="261">
        <f>IF(ISBLANK(INDEX('Policy Characteristics'!H:H,MATCH($C1845,'Policy Characteristics'!$C:$C,0))),"",INDEX('Policy Characteristics'!H:H,MATCH($C1845,'Policy Characteristics'!$C:$C,0)))</f>
        <v>0.01</v>
      </c>
      <c r="O1845" s="254" t="str">
        <f>IF(ISBLANK(INDEX('Policy Characteristics'!I:I,MATCH($C1845,'Policy Characteristics'!$C:$C,0))),"",INDEX('Policy Characteristics'!I:I,MATCH($C1845,'Policy Characteristics'!$C:$C,0)))</f>
        <v>% reduction in cost</v>
      </c>
      <c r="P1845" s="254"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4" t="str">
        <f>IF(ISBLANK(INDEX('Policy Characteristics'!K:K,MATCH($C1845,'Policy Characteristics'!$C:$C,0))),"",INDEX('Policy Characteristics'!K:K,MATCH($C1845,'Policy Characteristics'!$C:$C,0)))</f>
        <v>architectural-design.html#rnd</v>
      </c>
      <c r="R1845" s="254" t="str">
        <f>IF(ISBLANK(INDEX('Policy Characteristics'!L:L,MATCH($C1845,'Policy Characteristics'!$C:$C,0))),"",INDEX('Policy Characteristics'!L:L,MATCH($C1845,'Policy Characteristics'!$C:$C,0)))</f>
        <v>research-and-development.html</v>
      </c>
    </row>
    <row r="1846" spans="1:18" x14ac:dyDescent="0.3">
      <c r="A1846" s="254" t="str">
        <f>IF(ISBLANK(INDEX('Policy Characteristics'!A:A,MATCH($C1846,'Policy Characteristics'!$C:$C,0))),"",INDEX('Policy Characteristics'!A:A,MATCH($C1846,'Policy Characteristics'!$C:$C,0)))</f>
        <v>Research and Development</v>
      </c>
      <c r="B1846" s="262" t="str">
        <f>IF(ISBLANK(INDEX('Policy Characteristics'!B:B,MATCH($C1846,'Policy Characteristics'!$C:$C,0))),"",INDEX('Policy Characteristics'!B:B,MATCH($C1846,'Policy Characteristics'!$C:$C,0)))</f>
        <v>Capital Cost Reduction</v>
      </c>
      <c r="C1846" s="254" t="str">
        <f t="shared" si="71"/>
        <v>RnD Industry Capital Cost Perc Reduction</v>
      </c>
      <c r="D1846" t="s">
        <v>3083</v>
      </c>
      <c r="E1846" s="45"/>
      <c r="F1846" s="6" t="s">
        <v>3108</v>
      </c>
      <c r="G1846" s="45"/>
      <c r="H1846" s="43">
        <v>1484</v>
      </c>
      <c r="I1846" s="324" t="s">
        <v>43</v>
      </c>
      <c r="J1846" s="255" t="str">
        <f>IF(ISBLANK(INDEX('Policy Characteristics'!D:D,MATCH($C1846,'Policy Characteristics'!$C:$C,0))),"",INDEX('Policy Characteristics'!D:D,MATCH($C1846,'Policy Characteristics'!$C:$C,0)))</f>
        <v>R&amp;D Capital Cost Reductions</v>
      </c>
      <c r="K1846" s="254" t="str">
        <f>IF(ISBLANK(INDEX('Policy Characteristics'!E:E,MATCH($C1846,'Policy Characteristics'!$C:$C,0))),"",INDEX('Policy Characteristics'!E:E,MATCH($C1846,'Policy Characteristics'!$C:$C,0)))</f>
        <v>RnD industry capital cost reduction</v>
      </c>
      <c r="L1846" s="261">
        <f>IF(ISBLANK(INDEX('Policy Characteristics'!F:F,MATCH($C1846,'Policy Characteristics'!$C:$C,0))),"",INDEX('Policy Characteristics'!F:F,MATCH($C1846,'Policy Characteristics'!$C:$C,0)))</f>
        <v>0</v>
      </c>
      <c r="M1846" s="261">
        <f>IF(ISBLANK(INDEX('Policy Characteristics'!G:G,MATCH($C1846,'Policy Characteristics'!$C:$C,0))),"",INDEX('Policy Characteristics'!G:G,MATCH($C1846,'Policy Characteristics'!$C:$C,0)))</f>
        <v>0.4</v>
      </c>
      <c r="N1846" s="261">
        <f>IF(ISBLANK(INDEX('Policy Characteristics'!H:H,MATCH($C1846,'Policy Characteristics'!$C:$C,0))),"",INDEX('Policy Characteristics'!H:H,MATCH($C1846,'Policy Characteristics'!$C:$C,0)))</f>
        <v>0.01</v>
      </c>
      <c r="O1846" s="254" t="str">
        <f>IF(ISBLANK(INDEX('Policy Characteristics'!I:I,MATCH($C1846,'Policy Characteristics'!$C:$C,0))),"",INDEX('Policy Characteristics'!I:I,MATCH($C1846,'Policy Characteristics'!$C:$C,0)))</f>
        <v>% reduction in cost</v>
      </c>
      <c r="P1846" s="254"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4" t="str">
        <f>IF(ISBLANK(INDEX('Policy Characteristics'!K:K,MATCH($C1846,'Policy Characteristics'!$C:$C,0))),"",INDEX('Policy Characteristics'!K:K,MATCH($C1846,'Policy Characteristics'!$C:$C,0)))</f>
        <v>architectural-design.html#rnd</v>
      </c>
      <c r="R1846" s="254" t="str">
        <f>IF(ISBLANK(INDEX('Policy Characteristics'!L:L,MATCH($C1846,'Policy Characteristics'!$C:$C,0))),"",INDEX('Policy Characteristics'!L:L,MATCH($C1846,'Policy Characteristics'!$C:$C,0)))</f>
        <v>research-and-development.html</v>
      </c>
    </row>
    <row r="1847" spans="1:18" x14ac:dyDescent="0.3">
      <c r="A1847" s="254" t="str">
        <f>IF(ISBLANK(INDEX('Policy Characteristics'!A:A,MATCH($C1847,'Policy Characteristics'!$C:$C,0))),"",INDEX('Policy Characteristics'!A:A,MATCH($C1847,'Policy Characteristics'!$C:$C,0)))</f>
        <v>Research and Development</v>
      </c>
      <c r="B1847" s="262" t="str">
        <f>IF(ISBLANK(INDEX('Policy Characteristics'!B:B,MATCH($C1847,'Policy Characteristics'!$C:$C,0))),"",INDEX('Policy Characteristics'!B:B,MATCH($C1847,'Policy Characteristics'!$C:$C,0)))</f>
        <v>Capital Cost Reduction</v>
      </c>
      <c r="C1847" s="254" t="str">
        <f t="shared" si="71"/>
        <v>RnD Industry Capital Cost Perc Reduction</v>
      </c>
      <c r="D1847" t="s">
        <v>3084</v>
      </c>
      <c r="E1847" s="45"/>
      <c r="F1847" s="6" t="s">
        <v>3109</v>
      </c>
      <c r="G1847" s="45"/>
      <c r="H1847" s="43">
        <v>1485</v>
      </c>
      <c r="I1847" s="324" t="s">
        <v>43</v>
      </c>
      <c r="J1847" s="255" t="str">
        <f>IF(ISBLANK(INDEX('Policy Characteristics'!D:D,MATCH($C1847,'Policy Characteristics'!$C:$C,0))),"",INDEX('Policy Characteristics'!D:D,MATCH($C1847,'Policy Characteristics'!$C:$C,0)))</f>
        <v>R&amp;D Capital Cost Reductions</v>
      </c>
      <c r="K1847" s="254" t="str">
        <f>IF(ISBLANK(INDEX('Policy Characteristics'!E:E,MATCH($C1847,'Policy Characteristics'!$C:$C,0))),"",INDEX('Policy Characteristics'!E:E,MATCH($C1847,'Policy Characteristics'!$C:$C,0)))</f>
        <v>RnD industry capital cost reduction</v>
      </c>
      <c r="L1847" s="261">
        <f>IF(ISBLANK(INDEX('Policy Characteristics'!F:F,MATCH($C1847,'Policy Characteristics'!$C:$C,0))),"",INDEX('Policy Characteristics'!F:F,MATCH($C1847,'Policy Characteristics'!$C:$C,0)))</f>
        <v>0</v>
      </c>
      <c r="M1847" s="261">
        <f>IF(ISBLANK(INDEX('Policy Characteristics'!G:G,MATCH($C1847,'Policy Characteristics'!$C:$C,0))),"",INDEX('Policy Characteristics'!G:G,MATCH($C1847,'Policy Characteristics'!$C:$C,0)))</f>
        <v>0.4</v>
      </c>
      <c r="N1847" s="261">
        <f>IF(ISBLANK(INDEX('Policy Characteristics'!H:H,MATCH($C1847,'Policy Characteristics'!$C:$C,0))),"",INDEX('Policy Characteristics'!H:H,MATCH($C1847,'Policy Characteristics'!$C:$C,0)))</f>
        <v>0.01</v>
      </c>
      <c r="O1847" s="254" t="str">
        <f>IF(ISBLANK(INDEX('Policy Characteristics'!I:I,MATCH($C1847,'Policy Characteristics'!$C:$C,0))),"",INDEX('Policy Characteristics'!I:I,MATCH($C1847,'Policy Characteristics'!$C:$C,0)))</f>
        <v>% reduction in cost</v>
      </c>
      <c r="P1847" s="254"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4" t="str">
        <f>IF(ISBLANK(INDEX('Policy Characteristics'!K:K,MATCH($C1847,'Policy Characteristics'!$C:$C,0))),"",INDEX('Policy Characteristics'!K:K,MATCH($C1847,'Policy Characteristics'!$C:$C,0)))</f>
        <v>architectural-design.html#rnd</v>
      </c>
      <c r="R1847" s="254" t="str">
        <f>IF(ISBLANK(INDEX('Policy Characteristics'!L:L,MATCH($C1847,'Policy Characteristics'!$C:$C,0))),"",INDEX('Policy Characteristics'!L:L,MATCH($C1847,'Policy Characteristics'!$C:$C,0)))</f>
        <v>research-and-development.html</v>
      </c>
    </row>
    <row r="1848" spans="1:18" x14ac:dyDescent="0.3">
      <c r="A1848" s="254" t="str">
        <f>IF(ISBLANK(INDEX('Policy Characteristics'!A:A,MATCH($C1848,'Policy Characteristics'!$C:$C,0))),"",INDEX('Policy Characteristics'!A:A,MATCH($C1848,'Policy Characteristics'!$C:$C,0)))</f>
        <v>Research and Development</v>
      </c>
      <c r="B1848" s="262" t="str">
        <f>IF(ISBLANK(INDEX('Policy Characteristics'!B:B,MATCH($C1848,'Policy Characteristics'!$C:$C,0))),"",INDEX('Policy Characteristics'!B:B,MATCH($C1848,'Policy Characteristics'!$C:$C,0)))</f>
        <v>Capital Cost Reduction</v>
      </c>
      <c r="C1848" s="254" t="str">
        <f t="shared" si="71"/>
        <v>RnD Industry Capital Cost Perc Reduction</v>
      </c>
      <c r="D1848" t="s">
        <v>3085</v>
      </c>
      <c r="E1848" s="45"/>
      <c r="F1848" s="6" t="s">
        <v>3110</v>
      </c>
      <c r="G1848" s="45"/>
      <c r="H1848" s="43">
        <v>1486</v>
      </c>
      <c r="I1848" s="324" t="s">
        <v>43</v>
      </c>
      <c r="J1848" s="255" t="str">
        <f>IF(ISBLANK(INDEX('Policy Characteristics'!D:D,MATCH($C1848,'Policy Characteristics'!$C:$C,0))),"",INDEX('Policy Characteristics'!D:D,MATCH($C1848,'Policy Characteristics'!$C:$C,0)))</f>
        <v>R&amp;D Capital Cost Reductions</v>
      </c>
      <c r="K1848" s="254" t="str">
        <f>IF(ISBLANK(INDEX('Policy Characteristics'!E:E,MATCH($C1848,'Policy Characteristics'!$C:$C,0))),"",INDEX('Policy Characteristics'!E:E,MATCH($C1848,'Policy Characteristics'!$C:$C,0)))</f>
        <v>RnD industry capital cost reduction</v>
      </c>
      <c r="L1848" s="261">
        <f>IF(ISBLANK(INDEX('Policy Characteristics'!F:F,MATCH($C1848,'Policy Characteristics'!$C:$C,0))),"",INDEX('Policy Characteristics'!F:F,MATCH($C1848,'Policy Characteristics'!$C:$C,0)))</f>
        <v>0</v>
      </c>
      <c r="M1848" s="261">
        <f>IF(ISBLANK(INDEX('Policy Characteristics'!G:G,MATCH($C1848,'Policy Characteristics'!$C:$C,0))),"",INDEX('Policy Characteristics'!G:G,MATCH($C1848,'Policy Characteristics'!$C:$C,0)))</f>
        <v>0.4</v>
      </c>
      <c r="N1848" s="261">
        <f>IF(ISBLANK(INDEX('Policy Characteristics'!H:H,MATCH($C1848,'Policy Characteristics'!$C:$C,0))),"",INDEX('Policy Characteristics'!H:H,MATCH($C1848,'Policy Characteristics'!$C:$C,0)))</f>
        <v>0.01</v>
      </c>
      <c r="O1848" s="254" t="str">
        <f>IF(ISBLANK(INDEX('Policy Characteristics'!I:I,MATCH($C1848,'Policy Characteristics'!$C:$C,0))),"",INDEX('Policy Characteristics'!I:I,MATCH($C1848,'Policy Characteristics'!$C:$C,0)))</f>
        <v>% reduction in cost</v>
      </c>
      <c r="P1848" s="254"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4" t="str">
        <f>IF(ISBLANK(INDEX('Policy Characteristics'!K:K,MATCH($C1848,'Policy Characteristics'!$C:$C,0))),"",INDEX('Policy Characteristics'!K:K,MATCH($C1848,'Policy Characteristics'!$C:$C,0)))</f>
        <v>architectural-design.html#rnd</v>
      </c>
      <c r="R1848" s="254" t="str">
        <f>IF(ISBLANK(INDEX('Policy Characteristics'!L:L,MATCH($C1848,'Policy Characteristics'!$C:$C,0))),"",INDEX('Policy Characteristics'!L:L,MATCH($C1848,'Policy Characteristics'!$C:$C,0)))</f>
        <v>research-and-development.html</v>
      </c>
    </row>
    <row r="1849" spans="1:18" x14ac:dyDescent="0.3">
      <c r="A1849" s="254" t="str">
        <f>IF(ISBLANK(INDEX('Policy Characteristics'!A:A,MATCH($C1849,'Policy Characteristics'!$C:$C,0))),"",INDEX('Policy Characteristics'!A:A,MATCH($C1849,'Policy Characteristics'!$C:$C,0)))</f>
        <v>Research and Development</v>
      </c>
      <c r="B1849" s="262" t="str">
        <f>IF(ISBLANK(INDEX('Policy Characteristics'!B:B,MATCH($C1849,'Policy Characteristics'!$C:$C,0))),"",INDEX('Policy Characteristics'!B:B,MATCH($C1849,'Policy Characteristics'!$C:$C,0)))</f>
        <v>Capital Cost Reduction</v>
      </c>
      <c r="C1849" s="317" t="s">
        <v>292</v>
      </c>
      <c r="D1849" s="45" t="s">
        <v>2245</v>
      </c>
      <c r="E1849" s="45"/>
      <c r="F1849" s="45" t="s">
        <v>470</v>
      </c>
      <c r="G1849" s="45"/>
      <c r="H1849" s="43">
        <v>108</v>
      </c>
      <c r="I1849" s="324" t="s">
        <v>43</v>
      </c>
      <c r="J1849" s="255" t="str">
        <f>IF(ISBLANK(INDEX('Policy Characteristics'!D:D,MATCH($C1849,'Policy Characteristics'!$C:$C,0))),"",INDEX('Policy Characteristics'!D:D,MATCH($C1849,'Policy Characteristics'!$C:$C,0)))</f>
        <v>R&amp;D Capital Cost Reductions</v>
      </c>
      <c r="K1849" s="254" t="str">
        <f>IF(ISBLANK(INDEX('Policy Characteristics'!E:E,MATCH($C1849,'Policy Characteristics'!$C:$C,0))),"",INDEX('Policy Characteristics'!E:E,MATCH($C1849,'Policy Characteristics'!$C:$C,0)))</f>
        <v>RnD transportation capital cost reduction</v>
      </c>
      <c r="L1849" s="261">
        <f>IF(ISBLANK(INDEX('Policy Characteristics'!F:F,MATCH($C1849,'Policy Characteristics'!$C:$C,0))),"",INDEX('Policy Characteristics'!F:F,MATCH($C1849,'Policy Characteristics'!$C:$C,0)))</f>
        <v>0</v>
      </c>
      <c r="M1849" s="261">
        <f>IF(ISBLANK(INDEX('Policy Characteristics'!G:G,MATCH($C1849,'Policy Characteristics'!$C:$C,0))),"",INDEX('Policy Characteristics'!G:G,MATCH($C1849,'Policy Characteristics'!$C:$C,0)))</f>
        <v>0.4</v>
      </c>
      <c r="N1849" s="261">
        <f>IF(ISBLANK(INDEX('Policy Characteristics'!H:H,MATCH($C1849,'Policy Characteristics'!$C:$C,0))),"",INDEX('Policy Characteristics'!H:H,MATCH($C1849,'Policy Characteristics'!$C:$C,0)))</f>
        <v>0.01</v>
      </c>
      <c r="O1849" s="254" t="str">
        <f>IF(ISBLANK(INDEX('Policy Characteristics'!I:I,MATCH($C1849,'Policy Characteristics'!$C:$C,0))),"",INDEX('Policy Characteristics'!I:I,MATCH($C1849,'Policy Characteristics'!$C:$C,0)))</f>
        <v>% reduction in cost</v>
      </c>
      <c r="P1849" s="254"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4" t="str">
        <f>IF(ISBLANK(INDEX('Policy Characteristics'!K:K,MATCH($C1849,'Policy Characteristics'!$C:$C,0))),"",INDEX('Policy Characteristics'!K:K,MATCH($C1849,'Policy Characteristics'!$C:$C,0)))</f>
        <v>architectural-design.html#rnd</v>
      </c>
      <c r="R1849" s="254" t="str">
        <f>IF(ISBLANK(INDEX('Policy Characteristics'!L:L,MATCH($C1849,'Policy Characteristics'!$C:$C,0))),"",INDEX('Policy Characteristics'!L:L,MATCH($C1849,'Policy Characteristics'!$C:$C,0)))</f>
        <v>research-and-development.html</v>
      </c>
    </row>
    <row r="1850" spans="1:18" x14ac:dyDescent="0.3">
      <c r="A1850" s="254" t="str">
        <f>IF(ISBLANK(INDEX('Policy Characteristics'!A:A,MATCH($C1850,'Policy Characteristics'!$C:$C,0))),"",INDEX('Policy Characteristics'!A:A,MATCH($C1850,'Policy Characteristics'!$C:$C,0)))</f>
        <v>Research and Development</v>
      </c>
      <c r="B1850" s="262" t="str">
        <f>IF(ISBLANK(INDEX('Policy Characteristics'!B:B,MATCH($C1850,'Policy Characteristics'!$C:$C,0))),"",INDEX('Policy Characteristics'!B:B,MATCH($C1850,'Policy Characteristics'!$C:$C,0)))</f>
        <v>Capital Cost Reduction</v>
      </c>
      <c r="C1850" s="254" t="str">
        <f t="shared" ref="C1850:C1855" si="72">C$1849</f>
        <v>RnD Transportation Capital Cost Perc Reduction</v>
      </c>
      <c r="D1850" s="45" t="s">
        <v>2246</v>
      </c>
      <c r="E1850" s="45"/>
      <c r="F1850" s="45" t="s">
        <v>471</v>
      </c>
      <c r="G1850" s="45"/>
      <c r="H1850" s="43">
        <v>109</v>
      </c>
      <c r="I1850" s="324" t="s">
        <v>43</v>
      </c>
      <c r="J1850" s="255" t="str">
        <f>IF(ISBLANK(INDEX('Policy Characteristics'!D:D,MATCH($C1850,'Policy Characteristics'!$C:$C,0))),"",INDEX('Policy Characteristics'!D:D,MATCH($C1850,'Policy Characteristics'!$C:$C,0)))</f>
        <v>R&amp;D Capital Cost Reductions</v>
      </c>
      <c r="K1850" s="254" t="str">
        <f>IF(ISBLANK(INDEX('Policy Characteristics'!E:E,MATCH($C1850,'Policy Characteristics'!$C:$C,0))),"",INDEX('Policy Characteristics'!E:E,MATCH($C1850,'Policy Characteristics'!$C:$C,0)))</f>
        <v>RnD transportation capital cost reduction</v>
      </c>
      <c r="L1850" s="261">
        <f>IF(ISBLANK(INDEX('Policy Characteristics'!F:F,MATCH($C1850,'Policy Characteristics'!$C:$C,0))),"",INDEX('Policy Characteristics'!F:F,MATCH($C1850,'Policy Characteristics'!$C:$C,0)))</f>
        <v>0</v>
      </c>
      <c r="M1850" s="261">
        <f>IF(ISBLANK(INDEX('Policy Characteristics'!G:G,MATCH($C1850,'Policy Characteristics'!$C:$C,0))),"",INDEX('Policy Characteristics'!G:G,MATCH($C1850,'Policy Characteristics'!$C:$C,0)))</f>
        <v>0.4</v>
      </c>
      <c r="N1850" s="261">
        <f>IF(ISBLANK(INDEX('Policy Characteristics'!H:H,MATCH($C1850,'Policy Characteristics'!$C:$C,0))),"",INDEX('Policy Characteristics'!H:H,MATCH($C1850,'Policy Characteristics'!$C:$C,0)))</f>
        <v>0.01</v>
      </c>
      <c r="O1850" s="254" t="str">
        <f>IF(ISBLANK(INDEX('Policy Characteristics'!I:I,MATCH($C1850,'Policy Characteristics'!$C:$C,0))),"",INDEX('Policy Characteristics'!I:I,MATCH($C1850,'Policy Characteristics'!$C:$C,0)))</f>
        <v>% reduction in cost</v>
      </c>
      <c r="P1850" s="254"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4" t="str">
        <f>IF(ISBLANK(INDEX('Policy Characteristics'!K:K,MATCH($C1850,'Policy Characteristics'!$C:$C,0))),"",INDEX('Policy Characteristics'!K:K,MATCH($C1850,'Policy Characteristics'!$C:$C,0)))</f>
        <v>architectural-design.html#rnd</v>
      </c>
      <c r="R1850" s="254" t="str">
        <f>IF(ISBLANK(INDEX('Policy Characteristics'!L:L,MATCH($C1850,'Policy Characteristics'!$C:$C,0))),"",INDEX('Policy Characteristics'!L:L,MATCH($C1850,'Policy Characteristics'!$C:$C,0)))</f>
        <v>research-and-development.html</v>
      </c>
    </row>
    <row r="1851" spans="1:18" x14ac:dyDescent="0.3">
      <c r="A1851" s="254" t="str">
        <f>IF(ISBLANK(INDEX('Policy Characteristics'!A:A,MATCH($C1851,'Policy Characteristics'!$C:$C,0))),"",INDEX('Policy Characteristics'!A:A,MATCH($C1851,'Policy Characteristics'!$C:$C,0)))</f>
        <v>Research and Development</v>
      </c>
      <c r="B1851" s="262" t="str">
        <f>IF(ISBLANK(INDEX('Policy Characteristics'!B:B,MATCH($C1851,'Policy Characteristics'!$C:$C,0))),"",INDEX('Policy Characteristics'!B:B,MATCH($C1851,'Policy Characteristics'!$C:$C,0)))</f>
        <v>Capital Cost Reduction</v>
      </c>
      <c r="C1851" s="254" t="str">
        <f t="shared" si="72"/>
        <v>RnD Transportation Capital Cost Perc Reduction</v>
      </c>
      <c r="D1851" s="45" t="s">
        <v>2247</v>
      </c>
      <c r="E1851" s="45"/>
      <c r="F1851" s="45" t="s">
        <v>472</v>
      </c>
      <c r="G1851" s="45"/>
      <c r="H1851" s="43">
        <v>110</v>
      </c>
      <c r="I1851" s="324" t="s">
        <v>43</v>
      </c>
      <c r="J1851" s="255" t="str">
        <f>IF(ISBLANK(INDEX('Policy Characteristics'!D:D,MATCH($C1851,'Policy Characteristics'!$C:$C,0))),"",INDEX('Policy Characteristics'!D:D,MATCH($C1851,'Policy Characteristics'!$C:$C,0)))</f>
        <v>R&amp;D Capital Cost Reductions</v>
      </c>
      <c r="K1851" s="254" t="str">
        <f>IF(ISBLANK(INDEX('Policy Characteristics'!E:E,MATCH($C1851,'Policy Characteristics'!$C:$C,0))),"",INDEX('Policy Characteristics'!E:E,MATCH($C1851,'Policy Characteristics'!$C:$C,0)))</f>
        <v>RnD transportation capital cost reduction</v>
      </c>
      <c r="L1851" s="261">
        <f>IF(ISBLANK(INDEX('Policy Characteristics'!F:F,MATCH($C1851,'Policy Characteristics'!$C:$C,0))),"",INDEX('Policy Characteristics'!F:F,MATCH($C1851,'Policy Characteristics'!$C:$C,0)))</f>
        <v>0</v>
      </c>
      <c r="M1851" s="261">
        <f>IF(ISBLANK(INDEX('Policy Characteristics'!G:G,MATCH($C1851,'Policy Characteristics'!$C:$C,0))),"",INDEX('Policy Characteristics'!G:G,MATCH($C1851,'Policy Characteristics'!$C:$C,0)))</f>
        <v>0.4</v>
      </c>
      <c r="N1851" s="261">
        <f>IF(ISBLANK(INDEX('Policy Characteristics'!H:H,MATCH($C1851,'Policy Characteristics'!$C:$C,0))),"",INDEX('Policy Characteristics'!H:H,MATCH($C1851,'Policy Characteristics'!$C:$C,0)))</f>
        <v>0.01</v>
      </c>
      <c r="O1851" s="254" t="str">
        <f>IF(ISBLANK(INDEX('Policy Characteristics'!I:I,MATCH($C1851,'Policy Characteristics'!$C:$C,0))),"",INDEX('Policy Characteristics'!I:I,MATCH($C1851,'Policy Characteristics'!$C:$C,0)))</f>
        <v>% reduction in cost</v>
      </c>
      <c r="P1851" s="254"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4" t="str">
        <f>IF(ISBLANK(INDEX('Policy Characteristics'!K:K,MATCH($C1851,'Policy Characteristics'!$C:$C,0))),"",INDEX('Policy Characteristics'!K:K,MATCH($C1851,'Policy Characteristics'!$C:$C,0)))</f>
        <v>architectural-design.html#rnd</v>
      </c>
      <c r="R1851" s="254" t="str">
        <f>IF(ISBLANK(INDEX('Policy Characteristics'!L:L,MATCH($C1851,'Policy Characteristics'!$C:$C,0))),"",INDEX('Policy Characteristics'!L:L,MATCH($C1851,'Policy Characteristics'!$C:$C,0)))</f>
        <v>research-and-development.html</v>
      </c>
    </row>
    <row r="1852" spans="1:18" x14ac:dyDescent="0.3">
      <c r="A1852" s="254" t="str">
        <f>IF(ISBLANK(INDEX('Policy Characteristics'!A:A,MATCH($C1852,'Policy Characteristics'!$C:$C,0))),"",INDEX('Policy Characteristics'!A:A,MATCH($C1852,'Policy Characteristics'!$C:$C,0)))</f>
        <v>Research and Development</v>
      </c>
      <c r="B1852" s="262" t="str">
        <f>IF(ISBLANK(INDEX('Policy Characteristics'!B:B,MATCH($C1852,'Policy Characteristics'!$C:$C,0))),"",INDEX('Policy Characteristics'!B:B,MATCH($C1852,'Policy Characteristics'!$C:$C,0)))</f>
        <v>Capital Cost Reduction</v>
      </c>
      <c r="C1852" s="254" t="str">
        <f t="shared" si="72"/>
        <v>RnD Transportation Capital Cost Perc Reduction</v>
      </c>
      <c r="D1852" s="45" t="s">
        <v>2248</v>
      </c>
      <c r="E1852" s="45"/>
      <c r="F1852" s="45" t="s">
        <v>473</v>
      </c>
      <c r="G1852" s="45"/>
      <c r="H1852" s="43">
        <v>111</v>
      </c>
      <c r="I1852" s="324" t="s">
        <v>43</v>
      </c>
      <c r="J1852" s="255" t="str">
        <f>IF(ISBLANK(INDEX('Policy Characteristics'!D:D,MATCH($C1852,'Policy Characteristics'!$C:$C,0))),"",INDEX('Policy Characteristics'!D:D,MATCH($C1852,'Policy Characteristics'!$C:$C,0)))</f>
        <v>R&amp;D Capital Cost Reductions</v>
      </c>
      <c r="K1852" s="254" t="str">
        <f>IF(ISBLANK(INDEX('Policy Characteristics'!E:E,MATCH($C1852,'Policy Characteristics'!$C:$C,0))),"",INDEX('Policy Characteristics'!E:E,MATCH($C1852,'Policy Characteristics'!$C:$C,0)))</f>
        <v>RnD transportation capital cost reduction</v>
      </c>
      <c r="L1852" s="261">
        <f>IF(ISBLANK(INDEX('Policy Characteristics'!F:F,MATCH($C1852,'Policy Characteristics'!$C:$C,0))),"",INDEX('Policy Characteristics'!F:F,MATCH($C1852,'Policy Characteristics'!$C:$C,0)))</f>
        <v>0</v>
      </c>
      <c r="M1852" s="261">
        <f>IF(ISBLANK(INDEX('Policy Characteristics'!G:G,MATCH($C1852,'Policy Characteristics'!$C:$C,0))),"",INDEX('Policy Characteristics'!G:G,MATCH($C1852,'Policy Characteristics'!$C:$C,0)))</f>
        <v>0.4</v>
      </c>
      <c r="N1852" s="261">
        <f>IF(ISBLANK(INDEX('Policy Characteristics'!H:H,MATCH($C1852,'Policy Characteristics'!$C:$C,0))),"",INDEX('Policy Characteristics'!H:H,MATCH($C1852,'Policy Characteristics'!$C:$C,0)))</f>
        <v>0.01</v>
      </c>
      <c r="O1852" s="254" t="str">
        <f>IF(ISBLANK(INDEX('Policy Characteristics'!I:I,MATCH($C1852,'Policy Characteristics'!$C:$C,0))),"",INDEX('Policy Characteristics'!I:I,MATCH($C1852,'Policy Characteristics'!$C:$C,0)))</f>
        <v>% reduction in cost</v>
      </c>
      <c r="P1852" s="254"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4" t="str">
        <f>IF(ISBLANK(INDEX('Policy Characteristics'!K:K,MATCH($C1852,'Policy Characteristics'!$C:$C,0))),"",INDEX('Policy Characteristics'!K:K,MATCH($C1852,'Policy Characteristics'!$C:$C,0)))</f>
        <v>architectural-design.html#rnd</v>
      </c>
      <c r="R1852" s="254" t="str">
        <f>IF(ISBLANK(INDEX('Policy Characteristics'!L:L,MATCH($C1852,'Policy Characteristics'!$C:$C,0))),"",INDEX('Policy Characteristics'!L:L,MATCH($C1852,'Policy Characteristics'!$C:$C,0)))</f>
        <v>research-and-development.html</v>
      </c>
    </row>
    <row r="1853" spans="1:18" x14ac:dyDescent="0.3">
      <c r="A1853" s="254" t="str">
        <f>IF(ISBLANK(INDEX('Policy Characteristics'!A:A,MATCH($C1853,'Policy Characteristics'!$C:$C,0))),"",INDEX('Policy Characteristics'!A:A,MATCH($C1853,'Policy Characteristics'!$C:$C,0)))</f>
        <v>Research and Development</v>
      </c>
      <c r="B1853" s="262" t="str">
        <f>IF(ISBLANK(INDEX('Policy Characteristics'!B:B,MATCH($C1853,'Policy Characteristics'!$C:$C,0))),"",INDEX('Policy Characteristics'!B:B,MATCH($C1853,'Policy Characteristics'!$C:$C,0)))</f>
        <v>Capital Cost Reduction</v>
      </c>
      <c r="C1853" s="254" t="str">
        <f t="shared" si="72"/>
        <v>RnD Transportation Capital Cost Perc Reduction</v>
      </c>
      <c r="D1853" s="45" t="s">
        <v>2249</v>
      </c>
      <c r="E1853" s="45"/>
      <c r="F1853" s="45" t="s">
        <v>474</v>
      </c>
      <c r="G1853" s="45"/>
      <c r="H1853" s="43">
        <v>112</v>
      </c>
      <c r="I1853" s="324" t="s">
        <v>43</v>
      </c>
      <c r="J1853" s="255" t="str">
        <f>IF(ISBLANK(INDEX('Policy Characteristics'!D:D,MATCH($C1853,'Policy Characteristics'!$C:$C,0))),"",INDEX('Policy Characteristics'!D:D,MATCH($C1853,'Policy Characteristics'!$C:$C,0)))</f>
        <v>R&amp;D Capital Cost Reductions</v>
      </c>
      <c r="K1853" s="254" t="str">
        <f>IF(ISBLANK(INDEX('Policy Characteristics'!E:E,MATCH($C1853,'Policy Characteristics'!$C:$C,0))),"",INDEX('Policy Characteristics'!E:E,MATCH($C1853,'Policy Characteristics'!$C:$C,0)))</f>
        <v>RnD transportation capital cost reduction</v>
      </c>
      <c r="L1853" s="261">
        <f>IF(ISBLANK(INDEX('Policy Characteristics'!F:F,MATCH($C1853,'Policy Characteristics'!$C:$C,0))),"",INDEX('Policy Characteristics'!F:F,MATCH($C1853,'Policy Characteristics'!$C:$C,0)))</f>
        <v>0</v>
      </c>
      <c r="M1853" s="261">
        <f>IF(ISBLANK(INDEX('Policy Characteristics'!G:G,MATCH($C1853,'Policy Characteristics'!$C:$C,0))),"",INDEX('Policy Characteristics'!G:G,MATCH($C1853,'Policy Characteristics'!$C:$C,0)))</f>
        <v>0.4</v>
      </c>
      <c r="N1853" s="261">
        <f>IF(ISBLANK(INDEX('Policy Characteristics'!H:H,MATCH($C1853,'Policy Characteristics'!$C:$C,0))),"",INDEX('Policy Characteristics'!H:H,MATCH($C1853,'Policy Characteristics'!$C:$C,0)))</f>
        <v>0.01</v>
      </c>
      <c r="O1853" s="254" t="str">
        <f>IF(ISBLANK(INDEX('Policy Characteristics'!I:I,MATCH($C1853,'Policy Characteristics'!$C:$C,0))),"",INDEX('Policy Characteristics'!I:I,MATCH($C1853,'Policy Characteristics'!$C:$C,0)))</f>
        <v>% reduction in cost</v>
      </c>
      <c r="P1853" s="254"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4" t="str">
        <f>IF(ISBLANK(INDEX('Policy Characteristics'!K:K,MATCH($C1853,'Policy Characteristics'!$C:$C,0))),"",INDEX('Policy Characteristics'!K:K,MATCH($C1853,'Policy Characteristics'!$C:$C,0)))</f>
        <v>architectural-design.html#rnd</v>
      </c>
      <c r="R1853" s="254" t="str">
        <f>IF(ISBLANK(INDEX('Policy Characteristics'!L:L,MATCH($C1853,'Policy Characteristics'!$C:$C,0))),"",INDEX('Policy Characteristics'!L:L,MATCH($C1853,'Policy Characteristics'!$C:$C,0)))</f>
        <v>research-and-development.html</v>
      </c>
    </row>
    <row r="1854" spans="1:18" x14ac:dyDescent="0.3">
      <c r="A1854" s="254" t="str">
        <f>IF(ISBLANK(INDEX('Policy Characteristics'!A:A,MATCH($C1854,'Policy Characteristics'!$C:$C,0))),"",INDEX('Policy Characteristics'!A:A,MATCH($C1854,'Policy Characteristics'!$C:$C,0)))</f>
        <v>Research and Development</v>
      </c>
      <c r="B1854" s="262" t="str">
        <f>IF(ISBLANK(INDEX('Policy Characteristics'!B:B,MATCH($C1854,'Policy Characteristics'!$C:$C,0))),"",INDEX('Policy Characteristics'!B:B,MATCH($C1854,'Policy Characteristics'!$C:$C,0)))</f>
        <v>Capital Cost Reduction</v>
      </c>
      <c r="C1854" s="254" t="str">
        <f t="shared" si="72"/>
        <v>RnD Transportation Capital Cost Perc Reduction</v>
      </c>
      <c r="D1854" s="45" t="s">
        <v>2509</v>
      </c>
      <c r="E1854" s="45"/>
      <c r="F1854" s="45" t="s">
        <v>2791</v>
      </c>
      <c r="G1854" s="45"/>
      <c r="H1854" s="43">
        <v>113</v>
      </c>
      <c r="I1854" s="324" t="s">
        <v>43</v>
      </c>
      <c r="J1854" s="255" t="str">
        <f>IF(ISBLANK(INDEX('Policy Characteristics'!D:D,MATCH($C1854,'Policy Characteristics'!$C:$C,0))),"",INDEX('Policy Characteristics'!D:D,MATCH($C1854,'Policy Characteristics'!$C:$C,0)))</f>
        <v>R&amp;D Capital Cost Reductions</v>
      </c>
      <c r="K1854" s="254" t="str">
        <f>IF(ISBLANK(INDEX('Policy Characteristics'!E:E,MATCH($C1854,'Policy Characteristics'!$C:$C,0))),"",INDEX('Policy Characteristics'!E:E,MATCH($C1854,'Policy Characteristics'!$C:$C,0)))</f>
        <v>RnD transportation capital cost reduction</v>
      </c>
      <c r="L1854" s="261">
        <f>IF(ISBLANK(INDEX('Policy Characteristics'!F:F,MATCH($C1854,'Policy Characteristics'!$C:$C,0))),"",INDEX('Policy Characteristics'!F:F,MATCH($C1854,'Policy Characteristics'!$C:$C,0)))</f>
        <v>0</v>
      </c>
      <c r="M1854" s="261">
        <f>IF(ISBLANK(INDEX('Policy Characteristics'!G:G,MATCH($C1854,'Policy Characteristics'!$C:$C,0))),"",INDEX('Policy Characteristics'!G:G,MATCH($C1854,'Policy Characteristics'!$C:$C,0)))</f>
        <v>0.4</v>
      </c>
      <c r="N1854" s="261">
        <f>IF(ISBLANK(INDEX('Policy Characteristics'!H:H,MATCH($C1854,'Policy Characteristics'!$C:$C,0))),"",INDEX('Policy Characteristics'!H:H,MATCH($C1854,'Policy Characteristics'!$C:$C,0)))</f>
        <v>0.01</v>
      </c>
      <c r="O1854" s="254" t="str">
        <f>IF(ISBLANK(INDEX('Policy Characteristics'!I:I,MATCH($C1854,'Policy Characteristics'!$C:$C,0))),"",INDEX('Policy Characteristics'!I:I,MATCH($C1854,'Policy Characteristics'!$C:$C,0)))</f>
        <v>% reduction in cost</v>
      </c>
      <c r="P1854" s="254"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4" t="str">
        <f>IF(ISBLANK(INDEX('Policy Characteristics'!K:K,MATCH($C1854,'Policy Characteristics'!$C:$C,0))),"",INDEX('Policy Characteristics'!K:K,MATCH($C1854,'Policy Characteristics'!$C:$C,0)))</f>
        <v>architectural-design.html#rnd</v>
      </c>
      <c r="R1854" s="254" t="str">
        <f>IF(ISBLANK(INDEX('Policy Characteristics'!L:L,MATCH($C1854,'Policy Characteristics'!$C:$C,0))),"",INDEX('Policy Characteristics'!L:L,MATCH($C1854,'Policy Characteristics'!$C:$C,0)))</f>
        <v>research-and-development.html</v>
      </c>
    </row>
    <row r="1855" spans="1:18" x14ac:dyDescent="0.3">
      <c r="A1855" s="254" t="str">
        <f>IF(ISBLANK(INDEX('Policy Characteristics'!A:A,MATCH($C1855,'Policy Characteristics'!$C:$C,0))),"",INDEX('Policy Characteristics'!A:A,MATCH($C1855,'Policy Characteristics'!$C:$C,0)))</f>
        <v>Research and Development</v>
      </c>
      <c r="B1855" s="262" t="str">
        <f>IF(ISBLANK(INDEX('Policy Characteristics'!B:B,MATCH($C1855,'Policy Characteristics'!$C:$C,0))),"",INDEX('Policy Characteristics'!B:B,MATCH($C1855,'Policy Characteristics'!$C:$C,0)))</f>
        <v>Capital Cost Reduction</v>
      </c>
      <c r="C1855" s="254" t="str">
        <f t="shared" si="72"/>
        <v>RnD Transportation Capital Cost Perc Reduction</v>
      </c>
      <c r="D1855" s="45" t="s">
        <v>2508</v>
      </c>
      <c r="E1855" s="45"/>
      <c r="F1855" s="45" t="s">
        <v>2792</v>
      </c>
      <c r="G1855" s="45"/>
      <c r="H1855" s="43">
        <v>523</v>
      </c>
      <c r="I1855" s="324" t="s">
        <v>43</v>
      </c>
      <c r="J1855" s="255" t="str">
        <f>IF(ISBLANK(INDEX('Policy Characteristics'!D:D,MATCH($C1855,'Policy Characteristics'!$C:$C,0))),"",INDEX('Policy Characteristics'!D:D,MATCH($C1855,'Policy Characteristics'!$C:$C,0)))</f>
        <v>R&amp;D Capital Cost Reductions</v>
      </c>
      <c r="K1855" s="254" t="str">
        <f>IF(ISBLANK(INDEX('Policy Characteristics'!E:E,MATCH($C1855,'Policy Characteristics'!$C:$C,0))),"",INDEX('Policy Characteristics'!E:E,MATCH($C1855,'Policy Characteristics'!$C:$C,0)))</f>
        <v>RnD transportation capital cost reduction</v>
      </c>
      <c r="L1855" s="261">
        <f>IF(ISBLANK(INDEX('Policy Characteristics'!F:F,MATCH($C1855,'Policy Characteristics'!$C:$C,0))),"",INDEX('Policy Characteristics'!F:F,MATCH($C1855,'Policy Characteristics'!$C:$C,0)))</f>
        <v>0</v>
      </c>
      <c r="M1855" s="261">
        <f>IF(ISBLANK(INDEX('Policy Characteristics'!G:G,MATCH($C1855,'Policy Characteristics'!$C:$C,0))),"",INDEX('Policy Characteristics'!G:G,MATCH($C1855,'Policy Characteristics'!$C:$C,0)))</f>
        <v>0.4</v>
      </c>
      <c r="N1855" s="261">
        <f>IF(ISBLANK(INDEX('Policy Characteristics'!H:H,MATCH($C1855,'Policy Characteristics'!$C:$C,0))),"",INDEX('Policy Characteristics'!H:H,MATCH($C1855,'Policy Characteristics'!$C:$C,0)))</f>
        <v>0.01</v>
      </c>
      <c r="O1855" s="254" t="str">
        <f>IF(ISBLANK(INDEX('Policy Characteristics'!I:I,MATCH($C1855,'Policy Characteristics'!$C:$C,0))),"",INDEX('Policy Characteristics'!I:I,MATCH($C1855,'Policy Characteristics'!$C:$C,0)))</f>
        <v>% reduction in cost</v>
      </c>
      <c r="P1855" s="254"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4" t="str">
        <f>IF(ISBLANK(INDEX('Policy Characteristics'!K:K,MATCH($C1855,'Policy Characteristics'!$C:$C,0))),"",INDEX('Policy Characteristics'!K:K,MATCH($C1855,'Policy Characteristics'!$C:$C,0)))</f>
        <v>architectural-design.html#rnd</v>
      </c>
      <c r="R1855" s="254" t="str">
        <f>IF(ISBLANK(INDEX('Policy Characteristics'!L:L,MATCH($C1855,'Policy Characteristics'!$C:$C,0))),"",INDEX('Policy Characteristics'!L:L,MATCH($C1855,'Policy Characteristics'!$C:$C,0)))</f>
        <v>research-and-development.html</v>
      </c>
    </row>
    <row r="1856" spans="1:18" s="2" customFormat="1" x14ac:dyDescent="0.3">
      <c r="A1856" s="254" t="str">
        <f>IF(ISBLANK(INDEX('Policy Characteristics'!A:A,MATCH($C1856,'Policy Characteristics'!$C:$C,0))),"",INDEX('Policy Characteristics'!A:A,MATCH($C1856,'Policy Characteristics'!$C:$C,0)))</f>
        <v>Research and Development</v>
      </c>
      <c r="B1856" s="262" t="str">
        <f>IF(ISBLANK(INDEX('Policy Characteristics'!B:B,MATCH($C1856,'Policy Characteristics'!$C:$C,0))),"",INDEX('Policy Characteristics'!B:B,MATCH($C1856,'Policy Characteristics'!$C:$C,0)))</f>
        <v>Direct Air Capture</v>
      </c>
      <c r="C1856" s="317" t="s">
        <v>2802</v>
      </c>
      <c r="D1856" s="6"/>
      <c r="E1856" s="6"/>
      <c r="F1856" s="6"/>
      <c r="G1856" s="6"/>
      <c r="H1856" s="47">
        <v>525</v>
      </c>
      <c r="I1856" s="325" t="s">
        <v>43</v>
      </c>
      <c r="J1856" s="255" t="str">
        <f>IF(ISBLANK(INDEX('Policy Characteristics'!D:D,MATCH($C1856,'Policy Characteristics'!$C:$C,0))),"",INDEX('Policy Characteristics'!D:D,MATCH($C1856,'Policy Characteristics'!$C:$C,0)))</f>
        <v>Carbon Dioxide Removal</v>
      </c>
      <c r="K1856" s="254" t="str">
        <f>IF(ISBLANK(INDEX('Policy Characteristics'!E:E,MATCH($C1856,'Policy Characteristics'!$C:$C,0))),"",INDEX('Policy Characteristics'!E:E,MATCH($C1856,'Policy Characteristics'!$C:$C,0)))</f>
        <v>geoeng direct air capture</v>
      </c>
      <c r="L1856" s="261">
        <f>IF(ISBLANK(INDEX('Policy Characteristics'!F:F,MATCH($C1856,'Policy Characteristics'!$C:$C,0))),"",INDEX('Policy Characteristics'!F:F,MATCH($C1856,'Policy Characteristics'!$C:$C,0)))</f>
        <v>0</v>
      </c>
      <c r="M1856" s="261">
        <f>IF(ISBLANK(INDEX('Policy Characteristics'!G:G,MATCH($C1856,'Policy Characteristics'!$C:$C,0))),"",INDEX('Policy Characteristics'!G:G,MATCH($C1856,'Policy Characteristics'!$C:$C,0)))</f>
        <v>1</v>
      </c>
      <c r="N1856" s="261">
        <f>IF(ISBLANK(INDEX('Policy Characteristics'!H:H,MATCH($C1856,'Policy Characteristics'!$C:$C,0))),"",INDEX('Policy Characteristics'!H:H,MATCH($C1856,'Policy Characteristics'!$C:$C,0)))</f>
        <v>0.01</v>
      </c>
      <c r="O1856" s="254" t="str">
        <f>IF(ISBLANK(INDEX('Policy Characteristics'!I:I,MATCH($C1856,'Policy Characteristics'!$C:$C,0))),"",INDEX('Policy Characteristics'!I:I,MATCH($C1856,'Policy Characteristics'!$C:$C,0)))</f>
        <v>% of potential achieved</v>
      </c>
      <c r="P1856" s="254" t="str">
        <f>IF(ISBLANK(INDEX('Policy Characteristics'!J:J,MATCH($C1856,'Policy Characteristics'!$C:$C,0))),"",INDEX('Policy Characteristics'!J:J,MATCH($C1856,'Policy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856" s="254" t="str">
        <f>IF(ISBLANK(INDEX('Policy Characteristics'!K:K,MATCH($C1856,'Policy Characteristics'!$C:$C,0))),"",INDEX('Policy Characteristics'!K:K,MATCH($C1856,'Policy Characteristics'!$C:$C,0)))</f>
        <v>direct-air-capture.html#dac</v>
      </c>
      <c r="R1856" s="254" t="str">
        <f>IF(ISBLANK(INDEX('Policy Characteristics'!L:L,MATCH($C1856,'Policy Characteristics'!$C:$C,0))),"",INDEX('Policy Characteristics'!L:L,MATCH($C1856,'Policy Characteristics'!$C:$C,0)))</f>
        <v>direct-air-capture.html</v>
      </c>
    </row>
    <row r="1857" spans="1:18" s="2" customFormat="1" x14ac:dyDescent="0.3">
      <c r="A1857" s="254" t="str">
        <f>IF(ISBLANK(INDEX('Policy Characteristics'!A:A,MATCH($C1857,'Policy Characteristics'!$C:$C,0))),"",INDEX('Policy Characteristics'!A:A,MATCH($C1857,'Policy Characteristics'!$C:$C,0)))</f>
        <v>Research and Development</v>
      </c>
      <c r="B1857" s="262" t="str">
        <f>IF(ISBLANK(INDEX('Policy Characteristics'!B:B,MATCH($C1857,'Policy Characteristics'!$C:$C,0))),"",INDEX('Policy Characteristics'!B:B,MATCH($C1857,'Policy Characteristics'!$C:$C,0)))</f>
        <v>Enhanced Rock Weathering</v>
      </c>
      <c r="C1857" s="317" t="s">
        <v>3762</v>
      </c>
      <c r="D1857" s="6"/>
      <c r="E1857" s="6"/>
      <c r="F1857" s="6"/>
      <c r="G1857" s="6"/>
      <c r="H1857" s="47">
        <v>2313</v>
      </c>
      <c r="I1857" s="325" t="s">
        <v>43</v>
      </c>
      <c r="J1857" s="255" t="str">
        <f>IF(ISBLANK(INDEX('Policy Characteristics'!D:D,MATCH($C1857,'Policy Characteristics'!$C:$C,0))),"",INDEX('Policy Characteristics'!D:D,MATCH($C1857,'Policy Characteristics'!$C:$C,0)))</f>
        <v>Carbon Dioxide Removal</v>
      </c>
      <c r="K1857" s="254" t="str">
        <f>IF(ISBLANK(INDEX('Policy Characteristics'!E:E,MATCH($C1857,'Policy Characteristics'!$C:$C,0))),"",INDEX('Policy Characteristics'!E:E,MATCH($C1857,'Policy Characteristics'!$C:$C,0)))</f>
        <v>geoeng enhanced rock weathering</v>
      </c>
      <c r="L1857" s="261">
        <f>IF(ISBLANK(INDEX('Policy Characteristics'!F:F,MATCH($C1857,'Policy Characteristics'!$C:$C,0))),"",INDEX('Policy Characteristics'!F:F,MATCH($C1857,'Policy Characteristics'!$C:$C,0)))</f>
        <v>0</v>
      </c>
      <c r="M1857" s="261">
        <f>IF(ISBLANK(INDEX('Policy Characteristics'!G:G,MATCH($C1857,'Policy Characteristics'!$C:$C,0))),"",INDEX('Policy Characteristics'!G:G,MATCH($C1857,'Policy Characteristics'!$C:$C,0)))</f>
        <v>1</v>
      </c>
      <c r="N1857" s="261">
        <f>IF(ISBLANK(INDEX('Policy Characteristics'!H:H,MATCH($C1857,'Policy Characteristics'!$C:$C,0))),"",INDEX('Policy Characteristics'!H:H,MATCH($C1857,'Policy Characteristics'!$C:$C,0)))</f>
        <v>0.01</v>
      </c>
      <c r="O1857" s="254" t="str">
        <f>IF(ISBLANK(INDEX('Policy Characteristics'!I:I,MATCH($C1857,'Policy Characteristics'!$C:$C,0))),"",INDEX('Policy Characteristics'!I:I,MATCH($C1857,'Policy Characteristics'!$C:$C,0)))</f>
        <v>% of potential achieved</v>
      </c>
      <c r="P1857" s="254" t="str">
        <f>IF(ISBLANK(INDEX('Policy Characteristics'!J:J,MATCH($C1857,'Policy Characteristics'!$C:$C,0))),"",INDEX('Policy Characteristics'!J:J,MATCH($C1857,'Policy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857" s="254" t="str">
        <f>IF(ISBLANK(INDEX('Policy Characteristics'!K:K,MATCH($C1857,'Policy Characteristics'!$C:$C,0))),"",INDEX('Policy Characteristics'!K:K,MATCH($C1857,'Policy Characteristics'!$C:$C,0)))</f>
        <v/>
      </c>
      <c r="R1857" s="254" t="str">
        <f>IF(ISBLANK(INDEX('Policy Characteristics'!L:L,MATCH($C1857,'Policy Characteristics'!$C:$C,0))),"",INDEX('Policy Characteristics'!L:L,MATCH($C1857,'Policy Characteristics'!$C:$C,0)))</f>
        <v/>
      </c>
    </row>
    <row r="1858" spans="1:18" x14ac:dyDescent="0.3">
      <c r="A1858" s="254" t="str">
        <f>IF(ISBLANK(INDEX('Policy Characteristics'!A:A,MATCH($C1858,'Policy Characteristics'!$C:$C,0))),"",INDEX('Policy Characteristics'!A:A,MATCH($C1858,'Policy Characteristics'!$C:$C,0)))</f>
        <v>Research and Development</v>
      </c>
      <c r="B1858" s="262" t="str">
        <f>IF(ISBLANK(INDEX('Policy Characteristics'!B:B,MATCH($C1858,'Policy Characteristics'!$C:$C,0))),"",INDEX('Policy Characteristics'!B:B,MATCH($C1858,'Policy Characteristics'!$C:$C,0)))</f>
        <v>Fuel Use Reduction</v>
      </c>
      <c r="C1858" t="s">
        <v>293</v>
      </c>
      <c r="D1858" s="45" t="s">
        <v>115</v>
      </c>
      <c r="E1858" s="45"/>
      <c r="F1858" s="45" t="s">
        <v>315</v>
      </c>
      <c r="G1858" s="45"/>
      <c r="H1858" s="43">
        <v>114</v>
      </c>
      <c r="I1858" s="324" t="s">
        <v>43</v>
      </c>
      <c r="J1858" s="255" t="str">
        <f>IF(ISBLANK(INDEX('Policy Characteristics'!D:D,MATCH($C1858,'Policy Characteristics'!$C:$C,0))),"",INDEX('Policy Characteristics'!D:D,MATCH($C1858,'Policy Characteristics'!$C:$C,0)))</f>
        <v>R&amp;D Fuel Use Reductions</v>
      </c>
      <c r="K1858" s="254" t="str">
        <f>IF(ISBLANK(INDEX('Policy Characteristics'!E:E,MATCH($C1858,'Policy Characteristics'!$C:$C,0))),"",INDEX('Policy Characteristics'!E:E,MATCH($C1858,'Policy Characteristics'!$C:$C,0)))</f>
        <v>RnD building fuel use reduction</v>
      </c>
      <c r="L1858" s="261">
        <f>IF(ISBLANK(INDEX('Policy Characteristics'!F:F,MATCH($C1858,'Policy Characteristics'!$C:$C,0))),"",INDEX('Policy Characteristics'!F:F,MATCH($C1858,'Policy Characteristics'!$C:$C,0)))</f>
        <v>0</v>
      </c>
      <c r="M1858" s="261">
        <f>IF(ISBLANK(INDEX('Policy Characteristics'!G:G,MATCH($C1858,'Policy Characteristics'!$C:$C,0))),"",INDEX('Policy Characteristics'!G:G,MATCH($C1858,'Policy Characteristics'!$C:$C,0)))</f>
        <v>0.4</v>
      </c>
      <c r="N1858" s="261">
        <f>IF(ISBLANK(INDEX('Policy Characteristics'!H:H,MATCH($C1858,'Policy Characteristics'!$C:$C,0))),"",INDEX('Policy Characteristics'!H:H,MATCH($C1858,'Policy Characteristics'!$C:$C,0)))</f>
        <v>0.01</v>
      </c>
      <c r="O1858" s="254" t="str">
        <f>IF(ISBLANK(INDEX('Policy Characteristics'!I:I,MATCH($C1858,'Policy Characteristics'!$C:$C,0))),"",INDEX('Policy Characteristics'!I:I,MATCH($C1858,'Policy Characteristics'!$C:$C,0)))</f>
        <v>% reduction in fuel use</v>
      </c>
      <c r="P1858" s="254" t="str">
        <f>IF(ISBLANK(INDEX('Policy Characteristics'!J:J,MATCH($C1858,'Policy Characteristics'!$C:$C,0))),"",INDEX('Policy Characteristics'!J:J,MATCH($C1858,'Policy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4" t="str">
        <f>IF(ISBLANK(INDEX('Policy Characteristics'!K:K,MATCH($C1858,'Policy Characteristics'!$C:$C,0))),"",INDEX('Policy Characteristics'!K:K,MATCH($C1858,'Policy Characteristics'!$C:$C,0)))</f>
        <v>architectural-design.html#rnd</v>
      </c>
      <c r="R1858" s="254" t="str">
        <f>IF(ISBLANK(INDEX('Policy Characteristics'!L:L,MATCH($C1858,'Policy Characteristics'!$C:$C,0))),"",INDEX('Policy Characteristics'!L:L,MATCH($C1858,'Policy Characteristics'!$C:$C,0)))</f>
        <v>research-and-development.html</v>
      </c>
    </row>
    <row r="1859" spans="1:18" x14ac:dyDescent="0.3">
      <c r="A1859" s="254" t="str">
        <f>IF(ISBLANK(INDEX('Policy Characteristics'!A:A,MATCH($C1859,'Policy Characteristics'!$C:$C,0))),"",INDEX('Policy Characteristics'!A:A,MATCH($C1859,'Policy Characteristics'!$C:$C,0)))</f>
        <v>Research and Development</v>
      </c>
      <c r="B1859" s="262" t="str">
        <f>IF(ISBLANK(INDEX('Policy Characteristics'!B:B,MATCH($C1859,'Policy Characteristics'!$C:$C,0))),"",INDEX('Policy Characteristics'!B:B,MATCH($C1859,'Policy Characteristics'!$C:$C,0)))</f>
        <v>Fuel Use Reduction</v>
      </c>
      <c r="C1859" s="254" t="str">
        <f t="shared" ref="C1859:C1863" si="73">C$1858</f>
        <v>RnD Building Fuel Use Perc Reduction</v>
      </c>
      <c r="D1859" s="45" t="s">
        <v>116</v>
      </c>
      <c r="E1859" s="45"/>
      <c r="F1859" s="45" t="s">
        <v>316</v>
      </c>
      <c r="G1859" s="45"/>
      <c r="H1859" s="43">
        <v>115</v>
      </c>
      <c r="I1859" s="324" t="s">
        <v>43</v>
      </c>
      <c r="J1859" s="255" t="str">
        <f>IF(ISBLANK(INDEX('Policy Characteristics'!D:D,MATCH($C1859,'Policy Characteristics'!$C:$C,0))),"",INDEX('Policy Characteristics'!D:D,MATCH($C1859,'Policy Characteristics'!$C:$C,0)))</f>
        <v>R&amp;D Fuel Use Reductions</v>
      </c>
      <c r="K1859" s="254" t="str">
        <f>IF(ISBLANK(INDEX('Policy Characteristics'!E:E,MATCH($C1859,'Policy Characteristics'!$C:$C,0))),"",INDEX('Policy Characteristics'!E:E,MATCH($C1859,'Policy Characteristics'!$C:$C,0)))</f>
        <v>RnD building fuel use reduction</v>
      </c>
      <c r="L1859" s="261">
        <f>IF(ISBLANK(INDEX('Policy Characteristics'!F:F,MATCH($C1859,'Policy Characteristics'!$C:$C,0))),"",INDEX('Policy Characteristics'!F:F,MATCH($C1859,'Policy Characteristics'!$C:$C,0)))</f>
        <v>0</v>
      </c>
      <c r="M1859" s="261">
        <f>IF(ISBLANK(INDEX('Policy Characteristics'!G:G,MATCH($C1859,'Policy Characteristics'!$C:$C,0))),"",INDEX('Policy Characteristics'!G:G,MATCH($C1859,'Policy Characteristics'!$C:$C,0)))</f>
        <v>0.4</v>
      </c>
      <c r="N1859" s="261">
        <f>IF(ISBLANK(INDEX('Policy Characteristics'!H:H,MATCH($C1859,'Policy Characteristics'!$C:$C,0))),"",INDEX('Policy Characteristics'!H:H,MATCH($C1859,'Policy Characteristics'!$C:$C,0)))</f>
        <v>0.01</v>
      </c>
      <c r="O1859" s="254" t="str">
        <f>IF(ISBLANK(INDEX('Policy Characteristics'!I:I,MATCH($C1859,'Policy Characteristics'!$C:$C,0))),"",INDEX('Policy Characteristics'!I:I,MATCH($C1859,'Policy Characteristics'!$C:$C,0)))</f>
        <v>% reduction in fuel use</v>
      </c>
      <c r="P1859" s="254" t="str">
        <f>IF(ISBLANK(INDEX('Policy Characteristics'!J:J,MATCH($C1859,'Policy Characteristics'!$C:$C,0))),"",INDEX('Policy Characteristics'!J:J,MATCH($C1859,'Policy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4" t="str">
        <f>IF(ISBLANK(INDEX('Policy Characteristics'!K:K,MATCH($C1859,'Policy Characteristics'!$C:$C,0))),"",INDEX('Policy Characteristics'!K:K,MATCH($C1859,'Policy Characteristics'!$C:$C,0)))</f>
        <v>architectural-design.html#rnd</v>
      </c>
      <c r="R1859" s="254" t="str">
        <f>IF(ISBLANK(INDEX('Policy Characteristics'!L:L,MATCH($C1859,'Policy Characteristics'!$C:$C,0))),"",INDEX('Policy Characteristics'!L:L,MATCH($C1859,'Policy Characteristics'!$C:$C,0)))</f>
        <v>research-and-development.html</v>
      </c>
    </row>
    <row r="1860" spans="1:18" x14ac:dyDescent="0.3">
      <c r="A1860" s="254" t="str">
        <f>IF(ISBLANK(INDEX('Policy Characteristics'!A:A,MATCH($C1860,'Policy Characteristics'!$C:$C,0))),"",INDEX('Policy Characteristics'!A:A,MATCH($C1860,'Policy Characteristics'!$C:$C,0)))</f>
        <v>Research and Development</v>
      </c>
      <c r="B1860" s="262" t="str">
        <f>IF(ISBLANK(INDEX('Policy Characteristics'!B:B,MATCH($C1860,'Policy Characteristics'!$C:$C,0))),"",INDEX('Policy Characteristics'!B:B,MATCH($C1860,'Policy Characteristics'!$C:$C,0)))</f>
        <v>Fuel Use Reduction</v>
      </c>
      <c r="C1860" s="254" t="str">
        <f t="shared" si="73"/>
        <v>RnD Building Fuel Use Perc Reduction</v>
      </c>
      <c r="D1860" s="45" t="s">
        <v>117</v>
      </c>
      <c r="E1860" s="45"/>
      <c r="F1860" s="45" t="s">
        <v>317</v>
      </c>
      <c r="G1860" s="45"/>
      <c r="H1860" s="43">
        <v>750</v>
      </c>
      <c r="I1860" s="324" t="s">
        <v>44</v>
      </c>
      <c r="J1860" s="255" t="str">
        <f>IF(ISBLANK(INDEX('Policy Characteristics'!D:D,MATCH($C1860,'Policy Characteristics'!$C:$C,0))),"",INDEX('Policy Characteristics'!D:D,MATCH($C1860,'Policy Characteristics'!$C:$C,0)))</f>
        <v>R&amp;D Fuel Use Reductions</v>
      </c>
      <c r="K1860" s="254" t="str">
        <f>IF(ISBLANK(INDEX('Policy Characteristics'!E:E,MATCH($C1860,'Policy Characteristics'!$C:$C,0))),"",INDEX('Policy Characteristics'!E:E,MATCH($C1860,'Policy Characteristics'!$C:$C,0)))</f>
        <v>RnD building fuel use reduction</v>
      </c>
      <c r="L1860" s="261">
        <f>IF(ISBLANK(INDEX('Policy Characteristics'!F:F,MATCH($C1860,'Policy Characteristics'!$C:$C,0))),"",INDEX('Policy Characteristics'!F:F,MATCH($C1860,'Policy Characteristics'!$C:$C,0)))</f>
        <v>0</v>
      </c>
      <c r="M1860" s="261">
        <f>IF(ISBLANK(INDEX('Policy Characteristics'!G:G,MATCH($C1860,'Policy Characteristics'!$C:$C,0))),"",INDEX('Policy Characteristics'!G:G,MATCH($C1860,'Policy Characteristics'!$C:$C,0)))</f>
        <v>0.4</v>
      </c>
      <c r="N1860" s="261">
        <f>IF(ISBLANK(INDEX('Policy Characteristics'!H:H,MATCH($C1860,'Policy Characteristics'!$C:$C,0))),"",INDEX('Policy Characteristics'!H:H,MATCH($C1860,'Policy Characteristics'!$C:$C,0)))</f>
        <v>0.01</v>
      </c>
      <c r="O1860" s="254" t="str">
        <f>IF(ISBLANK(INDEX('Policy Characteristics'!I:I,MATCH($C1860,'Policy Characteristics'!$C:$C,0))),"",INDEX('Policy Characteristics'!I:I,MATCH($C1860,'Policy Characteristics'!$C:$C,0)))</f>
        <v>% reduction in fuel use</v>
      </c>
      <c r="P1860" s="254" t="str">
        <f>IF(ISBLANK(INDEX('Policy Characteristics'!J:J,MATCH($C1860,'Policy Characteristics'!$C:$C,0))),"",INDEX('Policy Characteristics'!J:J,MATCH($C1860,'Policy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4" t="str">
        <f>IF(ISBLANK(INDEX('Policy Characteristics'!K:K,MATCH($C1860,'Policy Characteristics'!$C:$C,0))),"",INDEX('Policy Characteristics'!K:K,MATCH($C1860,'Policy Characteristics'!$C:$C,0)))</f>
        <v>architectural-design.html#rnd</v>
      </c>
      <c r="R1860" s="254" t="str">
        <f>IF(ISBLANK(INDEX('Policy Characteristics'!L:L,MATCH($C1860,'Policy Characteristics'!$C:$C,0))),"",INDEX('Policy Characteristics'!L:L,MATCH($C1860,'Policy Characteristics'!$C:$C,0)))</f>
        <v>research-and-development.html</v>
      </c>
    </row>
    <row r="1861" spans="1:18" x14ac:dyDescent="0.3">
      <c r="A1861" s="254" t="str">
        <f>IF(ISBLANK(INDEX('Policy Characteristics'!A:A,MATCH($C1861,'Policy Characteristics'!$C:$C,0))),"",INDEX('Policy Characteristics'!A:A,MATCH($C1861,'Policy Characteristics'!$C:$C,0)))</f>
        <v>Research and Development</v>
      </c>
      <c r="B1861" s="262" t="str">
        <f>IF(ISBLANK(INDEX('Policy Characteristics'!B:B,MATCH($C1861,'Policy Characteristics'!$C:$C,0))),"",INDEX('Policy Characteristics'!B:B,MATCH($C1861,'Policy Characteristics'!$C:$C,0)))</f>
        <v>Fuel Use Reduction</v>
      </c>
      <c r="C1861" s="254" t="str">
        <f t="shared" si="73"/>
        <v>RnD Building Fuel Use Perc Reduction</v>
      </c>
      <c r="D1861" s="45" t="s">
        <v>118</v>
      </c>
      <c r="E1861" s="45"/>
      <c r="F1861" s="45" t="s">
        <v>318</v>
      </c>
      <c r="G1861" s="45"/>
      <c r="H1861" s="43">
        <v>117</v>
      </c>
      <c r="I1861" s="324" t="s">
        <v>43</v>
      </c>
      <c r="J1861" s="255" t="str">
        <f>IF(ISBLANK(INDEX('Policy Characteristics'!D:D,MATCH($C1861,'Policy Characteristics'!$C:$C,0))),"",INDEX('Policy Characteristics'!D:D,MATCH($C1861,'Policy Characteristics'!$C:$C,0)))</f>
        <v>R&amp;D Fuel Use Reductions</v>
      </c>
      <c r="K1861" s="254" t="str">
        <f>IF(ISBLANK(INDEX('Policy Characteristics'!E:E,MATCH($C1861,'Policy Characteristics'!$C:$C,0))),"",INDEX('Policy Characteristics'!E:E,MATCH($C1861,'Policy Characteristics'!$C:$C,0)))</f>
        <v>RnD building fuel use reduction</v>
      </c>
      <c r="L1861" s="261">
        <f>IF(ISBLANK(INDEX('Policy Characteristics'!F:F,MATCH($C1861,'Policy Characteristics'!$C:$C,0))),"",INDEX('Policy Characteristics'!F:F,MATCH($C1861,'Policy Characteristics'!$C:$C,0)))</f>
        <v>0</v>
      </c>
      <c r="M1861" s="261">
        <f>IF(ISBLANK(INDEX('Policy Characteristics'!G:G,MATCH($C1861,'Policy Characteristics'!$C:$C,0))),"",INDEX('Policy Characteristics'!G:G,MATCH($C1861,'Policy Characteristics'!$C:$C,0)))</f>
        <v>0.4</v>
      </c>
      <c r="N1861" s="261">
        <f>IF(ISBLANK(INDEX('Policy Characteristics'!H:H,MATCH($C1861,'Policy Characteristics'!$C:$C,0))),"",INDEX('Policy Characteristics'!H:H,MATCH($C1861,'Policy Characteristics'!$C:$C,0)))</f>
        <v>0.01</v>
      </c>
      <c r="O1861" s="254" t="str">
        <f>IF(ISBLANK(INDEX('Policy Characteristics'!I:I,MATCH($C1861,'Policy Characteristics'!$C:$C,0))),"",INDEX('Policy Characteristics'!I:I,MATCH($C1861,'Policy Characteristics'!$C:$C,0)))</f>
        <v>% reduction in fuel use</v>
      </c>
      <c r="P1861" s="254" t="str">
        <f>IF(ISBLANK(INDEX('Policy Characteristics'!J:J,MATCH($C1861,'Policy Characteristics'!$C:$C,0))),"",INDEX('Policy Characteristics'!J:J,MATCH($C1861,'Policy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4" t="str">
        <f>IF(ISBLANK(INDEX('Policy Characteristics'!K:K,MATCH($C1861,'Policy Characteristics'!$C:$C,0))),"",INDEX('Policy Characteristics'!K:K,MATCH($C1861,'Policy Characteristics'!$C:$C,0)))</f>
        <v>architectural-design.html#rnd</v>
      </c>
      <c r="R1861" s="254" t="str">
        <f>IF(ISBLANK(INDEX('Policy Characteristics'!L:L,MATCH($C1861,'Policy Characteristics'!$C:$C,0))),"",INDEX('Policy Characteristics'!L:L,MATCH($C1861,'Policy Characteristics'!$C:$C,0)))</f>
        <v>research-and-development.html</v>
      </c>
    </row>
    <row r="1862" spans="1:18" x14ac:dyDescent="0.3">
      <c r="A1862" s="254" t="str">
        <f>IF(ISBLANK(INDEX('Policy Characteristics'!A:A,MATCH($C1862,'Policy Characteristics'!$C:$C,0))),"",INDEX('Policy Characteristics'!A:A,MATCH($C1862,'Policy Characteristics'!$C:$C,0)))</f>
        <v>Research and Development</v>
      </c>
      <c r="B1862" s="262" t="str">
        <f>IF(ISBLANK(INDEX('Policy Characteristics'!B:B,MATCH($C1862,'Policy Characteristics'!$C:$C,0))),"",INDEX('Policy Characteristics'!B:B,MATCH($C1862,'Policy Characteristics'!$C:$C,0)))</f>
        <v>Fuel Use Reduction</v>
      </c>
      <c r="C1862" s="254" t="str">
        <f t="shared" si="73"/>
        <v>RnD Building Fuel Use Perc Reduction</v>
      </c>
      <c r="D1862" s="45" t="s">
        <v>119</v>
      </c>
      <c r="E1862" s="45"/>
      <c r="F1862" s="45" t="s">
        <v>319</v>
      </c>
      <c r="G1862" s="45"/>
      <c r="H1862" s="43">
        <v>118</v>
      </c>
      <c r="I1862" s="324" t="s">
        <v>43</v>
      </c>
      <c r="J1862" s="255" t="str">
        <f>IF(ISBLANK(INDEX('Policy Characteristics'!D:D,MATCH($C1862,'Policy Characteristics'!$C:$C,0))),"",INDEX('Policy Characteristics'!D:D,MATCH($C1862,'Policy Characteristics'!$C:$C,0)))</f>
        <v>R&amp;D Fuel Use Reductions</v>
      </c>
      <c r="K1862" s="254" t="str">
        <f>IF(ISBLANK(INDEX('Policy Characteristics'!E:E,MATCH($C1862,'Policy Characteristics'!$C:$C,0))),"",INDEX('Policy Characteristics'!E:E,MATCH($C1862,'Policy Characteristics'!$C:$C,0)))</f>
        <v>RnD building fuel use reduction</v>
      </c>
      <c r="L1862" s="261">
        <f>IF(ISBLANK(INDEX('Policy Characteristics'!F:F,MATCH($C1862,'Policy Characteristics'!$C:$C,0))),"",INDEX('Policy Characteristics'!F:F,MATCH($C1862,'Policy Characteristics'!$C:$C,0)))</f>
        <v>0</v>
      </c>
      <c r="M1862" s="261">
        <f>IF(ISBLANK(INDEX('Policy Characteristics'!G:G,MATCH($C1862,'Policy Characteristics'!$C:$C,0))),"",INDEX('Policy Characteristics'!G:G,MATCH($C1862,'Policy Characteristics'!$C:$C,0)))</f>
        <v>0.4</v>
      </c>
      <c r="N1862" s="261">
        <f>IF(ISBLANK(INDEX('Policy Characteristics'!H:H,MATCH($C1862,'Policy Characteristics'!$C:$C,0))),"",INDEX('Policy Characteristics'!H:H,MATCH($C1862,'Policy Characteristics'!$C:$C,0)))</f>
        <v>0.01</v>
      </c>
      <c r="O1862" s="254" t="str">
        <f>IF(ISBLANK(INDEX('Policy Characteristics'!I:I,MATCH($C1862,'Policy Characteristics'!$C:$C,0))),"",INDEX('Policy Characteristics'!I:I,MATCH($C1862,'Policy Characteristics'!$C:$C,0)))</f>
        <v>% reduction in fuel use</v>
      </c>
      <c r="P1862" s="254" t="str">
        <f>IF(ISBLANK(INDEX('Policy Characteristics'!J:J,MATCH($C1862,'Policy Characteristics'!$C:$C,0))),"",INDEX('Policy Characteristics'!J:J,MATCH($C1862,'Policy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4" t="str">
        <f>IF(ISBLANK(INDEX('Policy Characteristics'!K:K,MATCH($C1862,'Policy Characteristics'!$C:$C,0))),"",INDEX('Policy Characteristics'!K:K,MATCH($C1862,'Policy Characteristics'!$C:$C,0)))</f>
        <v>architectural-design.html#rnd</v>
      </c>
      <c r="R1862" s="254" t="str">
        <f>IF(ISBLANK(INDEX('Policy Characteristics'!L:L,MATCH($C1862,'Policy Characteristics'!$C:$C,0))),"",INDEX('Policy Characteristics'!L:L,MATCH($C1862,'Policy Characteristics'!$C:$C,0)))</f>
        <v>research-and-development.html</v>
      </c>
    </row>
    <row r="1863" spans="1:18" x14ac:dyDescent="0.3">
      <c r="A1863" s="254" t="str">
        <f>IF(ISBLANK(INDEX('Policy Characteristics'!A:A,MATCH($C1863,'Policy Characteristics'!$C:$C,0))),"",INDEX('Policy Characteristics'!A:A,MATCH($C1863,'Policy Characteristics'!$C:$C,0)))</f>
        <v>Research and Development</v>
      </c>
      <c r="B1863" s="262" t="str">
        <f>IF(ISBLANK(INDEX('Policy Characteristics'!B:B,MATCH($C1863,'Policy Characteristics'!$C:$C,0))),"",INDEX('Policy Characteristics'!B:B,MATCH($C1863,'Policy Characteristics'!$C:$C,0)))</f>
        <v>Fuel Use Reduction</v>
      </c>
      <c r="C1863" s="254" t="str">
        <f t="shared" si="73"/>
        <v>RnD Building Fuel Use Perc Reduction</v>
      </c>
      <c r="D1863" s="45" t="s">
        <v>120</v>
      </c>
      <c r="E1863" s="45"/>
      <c r="F1863" s="45" t="s">
        <v>320</v>
      </c>
      <c r="G1863" s="45"/>
      <c r="H1863" s="43">
        <v>119</v>
      </c>
      <c r="I1863" s="324" t="s">
        <v>43</v>
      </c>
      <c r="J1863" s="255" t="str">
        <f>IF(ISBLANK(INDEX('Policy Characteristics'!D:D,MATCH($C1863,'Policy Characteristics'!$C:$C,0))),"",INDEX('Policy Characteristics'!D:D,MATCH($C1863,'Policy Characteristics'!$C:$C,0)))</f>
        <v>R&amp;D Fuel Use Reductions</v>
      </c>
      <c r="K1863" s="254" t="str">
        <f>IF(ISBLANK(INDEX('Policy Characteristics'!E:E,MATCH($C1863,'Policy Characteristics'!$C:$C,0))),"",INDEX('Policy Characteristics'!E:E,MATCH($C1863,'Policy Characteristics'!$C:$C,0)))</f>
        <v>RnD building fuel use reduction</v>
      </c>
      <c r="L1863" s="261">
        <f>IF(ISBLANK(INDEX('Policy Characteristics'!F:F,MATCH($C1863,'Policy Characteristics'!$C:$C,0))),"",INDEX('Policy Characteristics'!F:F,MATCH($C1863,'Policy Characteristics'!$C:$C,0)))</f>
        <v>0</v>
      </c>
      <c r="M1863" s="261">
        <f>IF(ISBLANK(INDEX('Policy Characteristics'!G:G,MATCH($C1863,'Policy Characteristics'!$C:$C,0))),"",INDEX('Policy Characteristics'!G:G,MATCH($C1863,'Policy Characteristics'!$C:$C,0)))</f>
        <v>0.4</v>
      </c>
      <c r="N1863" s="261">
        <f>IF(ISBLANK(INDEX('Policy Characteristics'!H:H,MATCH($C1863,'Policy Characteristics'!$C:$C,0))),"",INDEX('Policy Characteristics'!H:H,MATCH($C1863,'Policy Characteristics'!$C:$C,0)))</f>
        <v>0.01</v>
      </c>
      <c r="O1863" s="254" t="str">
        <f>IF(ISBLANK(INDEX('Policy Characteristics'!I:I,MATCH($C1863,'Policy Characteristics'!$C:$C,0))),"",INDEX('Policy Characteristics'!I:I,MATCH($C1863,'Policy Characteristics'!$C:$C,0)))</f>
        <v>% reduction in fuel use</v>
      </c>
      <c r="P1863" s="254" t="str">
        <f>IF(ISBLANK(INDEX('Policy Characteristics'!J:J,MATCH($C1863,'Policy Characteristics'!$C:$C,0))),"",INDEX('Policy Characteristics'!J:J,MATCH($C1863,'Policy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4" t="str">
        <f>IF(ISBLANK(INDEX('Policy Characteristics'!K:K,MATCH($C1863,'Policy Characteristics'!$C:$C,0))),"",INDEX('Policy Characteristics'!K:K,MATCH($C1863,'Policy Characteristics'!$C:$C,0)))</f>
        <v>architectural-design.html#rnd</v>
      </c>
      <c r="R1863" s="254" t="str">
        <f>IF(ISBLANK(INDEX('Policy Characteristics'!L:L,MATCH($C1863,'Policy Characteristics'!$C:$C,0))),"",INDEX('Policy Characteristics'!L:L,MATCH($C1863,'Policy Characteristics'!$C:$C,0)))</f>
        <v>research-and-development.html</v>
      </c>
    </row>
    <row r="1864" spans="1:18" x14ac:dyDescent="0.3">
      <c r="A1864" s="254" t="str">
        <f>IF(ISBLANK(INDEX('Policy Characteristics'!A:A,MATCH($C1864,'Policy Characteristics'!$C:$C,0))),"",INDEX('Policy Characteristics'!A:A,MATCH($C1864,'Policy Characteristics'!$C:$C,0)))</f>
        <v>Research and Development</v>
      </c>
      <c r="B1864" s="262" t="str">
        <f>IF(ISBLANK(INDEX('Policy Characteristics'!B:B,MATCH($C1864,'Policy Characteristics'!$C:$C,0))),"",INDEX('Policy Characteristics'!B:B,MATCH($C1864,'Policy Characteristics'!$C:$C,0)))</f>
        <v>Fuel Use Reduction</v>
      </c>
      <c r="C1864" t="s">
        <v>294</v>
      </c>
      <c r="D1864" s="45"/>
      <c r="E1864" s="45"/>
      <c r="F1864" s="45" t="s">
        <v>26</v>
      </c>
      <c r="G1864" s="45"/>
      <c r="H1864" s="43">
        <v>120</v>
      </c>
      <c r="I1864" s="324" t="s">
        <v>43</v>
      </c>
      <c r="J1864" s="255" t="str">
        <f>IF(ISBLANK(INDEX('Policy Characteristics'!D:D,MATCH($C1864,'Policy Characteristics'!$C:$C,0))),"",INDEX('Policy Characteristics'!D:D,MATCH($C1864,'Policy Characteristics'!$C:$C,0)))</f>
        <v>R&amp;D Fuel Use Reductions</v>
      </c>
      <c r="K1864" s="254" t="str">
        <f>IF(ISBLANK(INDEX('Policy Characteristics'!E:E,MATCH($C1864,'Policy Characteristics'!$C:$C,0))),"",INDEX('Policy Characteristics'!E:E,MATCH($C1864,'Policy Characteristics'!$C:$C,0)))</f>
        <v>RnD CCS fuel use reduction</v>
      </c>
      <c r="L1864" s="261">
        <f>IF(ISBLANK(INDEX('Policy Characteristics'!F:F,MATCH($C1864,'Policy Characteristics'!$C:$C,0))),"",INDEX('Policy Characteristics'!F:F,MATCH($C1864,'Policy Characteristics'!$C:$C,0)))</f>
        <v>0</v>
      </c>
      <c r="M1864" s="261">
        <f>IF(ISBLANK(INDEX('Policy Characteristics'!G:G,MATCH($C1864,'Policy Characteristics'!$C:$C,0))),"",INDEX('Policy Characteristics'!G:G,MATCH($C1864,'Policy Characteristics'!$C:$C,0)))</f>
        <v>0.4</v>
      </c>
      <c r="N1864" s="261">
        <f>IF(ISBLANK(INDEX('Policy Characteristics'!H:H,MATCH($C1864,'Policy Characteristics'!$C:$C,0))),"",INDEX('Policy Characteristics'!H:H,MATCH($C1864,'Policy Characteristics'!$C:$C,0)))</f>
        <v>0.01</v>
      </c>
      <c r="O1864" s="254" t="str">
        <f>IF(ISBLANK(INDEX('Policy Characteristics'!I:I,MATCH($C1864,'Policy Characteristics'!$C:$C,0))),"",INDEX('Policy Characteristics'!I:I,MATCH($C1864,'Policy Characteristics'!$C:$C,0)))</f>
        <v>% reduction in fuel use</v>
      </c>
      <c r="P1864" s="254" t="str">
        <f>IF(ISBLANK(INDEX('Policy Characteristics'!J:J,MATCH($C1864,'Policy Characteristics'!$C:$C,0))),"",INDEX('Policy Characteristics'!J:J,MATCH($C1864,'Policy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4" t="str">
        <f>IF(ISBLANK(INDEX('Policy Characteristics'!K:K,MATCH($C1864,'Policy Characteristics'!$C:$C,0))),"",INDEX('Policy Characteristics'!K:K,MATCH($C1864,'Policy Characteristics'!$C:$C,0)))</f>
        <v>architectural-design.html#rnd</v>
      </c>
      <c r="R1864" s="254" t="str">
        <f>IF(ISBLANK(INDEX('Policy Characteristics'!L:L,MATCH($C1864,'Policy Characteristics'!$C:$C,0))),"",INDEX('Policy Characteristics'!L:L,MATCH($C1864,'Policy Characteristics'!$C:$C,0)))</f>
        <v>research-and-development.html</v>
      </c>
    </row>
    <row r="1865" spans="1:18" x14ac:dyDescent="0.3">
      <c r="A1865" s="254" t="str">
        <f>IF(ISBLANK(INDEX('Policy Characteristics'!A:A,MATCH($C1865,'Policy Characteristics'!$C:$C,0))),"",INDEX('Policy Characteristics'!A:A,MATCH($C1865,'Policy Characteristics'!$C:$C,0)))</f>
        <v>Research and Development</v>
      </c>
      <c r="B1865" s="262" t="str">
        <f>IF(ISBLANK(INDEX('Policy Characteristics'!B:B,MATCH($C1865,'Policy Characteristics'!$C:$C,0))),"",INDEX('Policy Characteristics'!B:B,MATCH($C1865,'Policy Characteristics'!$C:$C,0)))</f>
        <v>Fuel Use Reduction</v>
      </c>
      <c r="C1865" t="s">
        <v>295</v>
      </c>
      <c r="D1865" s="45" t="s">
        <v>447</v>
      </c>
      <c r="E1865" s="45"/>
      <c r="F1865" s="45" t="s">
        <v>450</v>
      </c>
      <c r="G1865" s="45"/>
      <c r="H1865" s="43">
        <v>121</v>
      </c>
      <c r="I1865" s="324" t="s">
        <v>43</v>
      </c>
      <c r="J1865" s="255" t="str">
        <f>IF(ISBLANK(INDEX('Policy Characteristics'!D:D,MATCH($C1865,'Policy Characteristics'!$C:$C,0))),"",INDEX('Policy Characteristics'!D:D,MATCH($C1865,'Policy Characteristics'!$C:$C,0)))</f>
        <v>R&amp;D Fuel Use Reductions</v>
      </c>
      <c r="K1865" s="254" t="str">
        <f>IF(ISBLANK(INDEX('Policy Characteristics'!E:E,MATCH($C1865,'Policy Characteristics'!$C:$C,0))),"",INDEX('Policy Characteristics'!E:E,MATCH($C1865,'Policy Characteristics'!$C:$C,0)))</f>
        <v>RnD electricity fuel use reduction</v>
      </c>
      <c r="L1865" s="261">
        <f>IF(ISBLANK(INDEX('Policy Characteristics'!F:F,MATCH($C1865,'Policy Characteristics'!$C:$C,0))),"",INDEX('Policy Characteristics'!F:F,MATCH($C1865,'Policy Characteristics'!$C:$C,0)))</f>
        <v>0</v>
      </c>
      <c r="M1865" s="261">
        <f>IF(ISBLANK(INDEX('Policy Characteristics'!G:G,MATCH($C1865,'Policy Characteristics'!$C:$C,0))),"",INDEX('Policy Characteristics'!G:G,MATCH($C1865,'Policy Characteristics'!$C:$C,0)))</f>
        <v>0.4</v>
      </c>
      <c r="N1865" s="261">
        <f>IF(ISBLANK(INDEX('Policy Characteristics'!H:H,MATCH($C1865,'Policy Characteristics'!$C:$C,0))),"",INDEX('Policy Characteristics'!H:H,MATCH($C1865,'Policy Characteristics'!$C:$C,0)))</f>
        <v>0.01</v>
      </c>
      <c r="O1865" s="254" t="str">
        <f>IF(ISBLANK(INDEX('Policy Characteristics'!I:I,MATCH($C1865,'Policy Characteristics'!$C:$C,0))),"",INDEX('Policy Characteristics'!I:I,MATCH($C1865,'Policy Characteristics'!$C:$C,0)))</f>
        <v>% reduction in fuel use</v>
      </c>
      <c r="P1865" s="254" t="str">
        <f>IF(ISBLANK(INDEX('Policy Characteristics'!J:J,MATCH($C1865,'Policy Characteristics'!$C:$C,0))),"",INDEX('Policy Characteristics'!J:J,MATCH($C1865,'Policy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4" t="str">
        <f>IF(ISBLANK(INDEX('Policy Characteristics'!K:K,MATCH($C1865,'Policy Characteristics'!$C:$C,0))),"",INDEX('Policy Characteristics'!K:K,MATCH($C1865,'Policy Characteristics'!$C:$C,0)))</f>
        <v>architectural-design.html#rnd</v>
      </c>
      <c r="R1865" s="254" t="str">
        <f>IF(ISBLANK(INDEX('Policy Characteristics'!L:L,MATCH($C1865,'Policy Characteristics'!$C:$C,0))),"",INDEX('Policy Characteristics'!L:L,MATCH($C1865,'Policy Characteristics'!$C:$C,0)))</f>
        <v>research-and-development.html</v>
      </c>
    </row>
    <row r="1866" spans="1:18" x14ac:dyDescent="0.3">
      <c r="A1866" s="254" t="str">
        <f>IF(ISBLANK(INDEX('Policy Characteristics'!A:A,MATCH($C1866,'Policy Characteristics'!$C:$C,0))),"",INDEX('Policy Characteristics'!A:A,MATCH($C1866,'Policy Characteristics'!$C:$C,0)))</f>
        <v>Research and Development</v>
      </c>
      <c r="B1866" s="262" t="str">
        <f>IF(ISBLANK(INDEX('Policy Characteristics'!B:B,MATCH($C1866,'Policy Characteristics'!$C:$C,0))),"",INDEX('Policy Characteristics'!B:B,MATCH($C1866,'Policy Characteristics'!$C:$C,0)))</f>
        <v>Fuel Use Reduction</v>
      </c>
      <c r="C1866" s="254" t="str">
        <f t="shared" ref="C1866:C1873" si="74">C$1865</f>
        <v>RnD Electricity Fuel Use Perc Reduction</v>
      </c>
      <c r="D1866" s="6" t="s">
        <v>3488</v>
      </c>
      <c r="E1866" s="45"/>
      <c r="F1866" s="6" t="s">
        <v>3501</v>
      </c>
      <c r="G1866" s="45"/>
      <c r="H1866" s="43">
        <v>122</v>
      </c>
      <c r="I1866" s="324" t="s">
        <v>43</v>
      </c>
      <c r="J1866" s="255" t="str">
        <f>IF(ISBLANK(INDEX('Policy Characteristics'!D:D,MATCH($C1866,'Policy Characteristics'!$C:$C,0))),"",INDEX('Policy Characteristics'!D:D,MATCH($C1866,'Policy Characteristics'!$C:$C,0)))</f>
        <v>R&amp;D Fuel Use Reductions</v>
      </c>
      <c r="K1866" s="254" t="str">
        <f>IF(ISBLANK(INDEX('Policy Characteristics'!E:E,MATCH($C1866,'Policy Characteristics'!$C:$C,0))),"",INDEX('Policy Characteristics'!E:E,MATCH($C1866,'Policy Characteristics'!$C:$C,0)))</f>
        <v>RnD electricity fuel use reduction</v>
      </c>
      <c r="L1866" s="261">
        <f>IF(ISBLANK(INDEX('Policy Characteristics'!F:F,MATCH($C1866,'Policy Characteristics'!$C:$C,0))),"",INDEX('Policy Characteristics'!F:F,MATCH($C1866,'Policy Characteristics'!$C:$C,0)))</f>
        <v>0</v>
      </c>
      <c r="M1866" s="261">
        <f>IF(ISBLANK(INDEX('Policy Characteristics'!G:G,MATCH($C1866,'Policy Characteristics'!$C:$C,0))),"",INDEX('Policy Characteristics'!G:G,MATCH($C1866,'Policy Characteristics'!$C:$C,0)))</f>
        <v>0.4</v>
      </c>
      <c r="N1866" s="261">
        <f>IF(ISBLANK(INDEX('Policy Characteristics'!H:H,MATCH($C1866,'Policy Characteristics'!$C:$C,0))),"",INDEX('Policy Characteristics'!H:H,MATCH($C1866,'Policy Characteristics'!$C:$C,0)))</f>
        <v>0.01</v>
      </c>
      <c r="O1866" s="254" t="str">
        <f>IF(ISBLANK(INDEX('Policy Characteristics'!I:I,MATCH($C1866,'Policy Characteristics'!$C:$C,0))),"",INDEX('Policy Characteristics'!I:I,MATCH($C1866,'Policy Characteristics'!$C:$C,0)))</f>
        <v>% reduction in fuel use</v>
      </c>
      <c r="P1866" s="254" t="str">
        <f>IF(ISBLANK(INDEX('Policy Characteristics'!J:J,MATCH($C1866,'Policy Characteristics'!$C:$C,0))),"",INDEX('Policy Characteristics'!J:J,MATCH($C1866,'Policy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4" t="str">
        <f>IF(ISBLANK(INDEX('Policy Characteristics'!K:K,MATCH($C1866,'Policy Characteristics'!$C:$C,0))),"",INDEX('Policy Characteristics'!K:K,MATCH($C1866,'Policy Characteristics'!$C:$C,0)))</f>
        <v>architectural-design.html#rnd</v>
      </c>
      <c r="R1866" s="254" t="str">
        <f>IF(ISBLANK(INDEX('Policy Characteristics'!L:L,MATCH($C1866,'Policy Characteristics'!$C:$C,0))),"",INDEX('Policy Characteristics'!L:L,MATCH($C1866,'Policy Characteristics'!$C:$C,0)))</f>
        <v>research-and-development.html</v>
      </c>
    </row>
    <row r="1867" spans="1:18" x14ac:dyDescent="0.3">
      <c r="A1867" s="254" t="str">
        <f>IF(ISBLANK(INDEX('Policy Characteristics'!A:A,MATCH($C1867,'Policy Characteristics'!$C:$C,0))),"",INDEX('Policy Characteristics'!A:A,MATCH($C1867,'Policy Characteristics'!$C:$C,0)))</f>
        <v>Research and Development</v>
      </c>
      <c r="B1867" s="262" t="str">
        <f>IF(ISBLANK(INDEX('Policy Characteristics'!B:B,MATCH($C1867,'Policy Characteristics'!$C:$C,0))),"",INDEX('Policy Characteristics'!B:B,MATCH($C1867,'Policy Characteristics'!$C:$C,0)))</f>
        <v>Fuel Use Reduction</v>
      </c>
      <c r="C1867" s="254" t="str">
        <f t="shared" si="74"/>
        <v>RnD Electricity Fuel Use Perc Reduction</v>
      </c>
      <c r="D1867" s="6" t="s">
        <v>3489</v>
      </c>
      <c r="E1867" s="45"/>
      <c r="F1867" s="6" t="s">
        <v>3502</v>
      </c>
      <c r="G1867" s="45"/>
      <c r="H1867" s="43">
        <v>123</v>
      </c>
      <c r="I1867" s="324" t="s">
        <v>43</v>
      </c>
      <c r="J1867" s="255" t="str">
        <f>IF(ISBLANK(INDEX('Policy Characteristics'!D:D,MATCH($C1867,'Policy Characteristics'!$C:$C,0))),"",INDEX('Policy Characteristics'!D:D,MATCH($C1867,'Policy Characteristics'!$C:$C,0)))</f>
        <v>R&amp;D Fuel Use Reductions</v>
      </c>
      <c r="K1867" s="254" t="str">
        <f>IF(ISBLANK(INDEX('Policy Characteristics'!E:E,MATCH($C1867,'Policy Characteristics'!$C:$C,0))),"",INDEX('Policy Characteristics'!E:E,MATCH($C1867,'Policy Characteristics'!$C:$C,0)))</f>
        <v>RnD electricity fuel use reduction</v>
      </c>
      <c r="L1867" s="261">
        <f>IF(ISBLANK(INDEX('Policy Characteristics'!F:F,MATCH($C1867,'Policy Characteristics'!$C:$C,0))),"",INDEX('Policy Characteristics'!F:F,MATCH($C1867,'Policy Characteristics'!$C:$C,0)))</f>
        <v>0</v>
      </c>
      <c r="M1867" s="261">
        <f>IF(ISBLANK(INDEX('Policy Characteristics'!G:G,MATCH($C1867,'Policy Characteristics'!$C:$C,0))),"",INDEX('Policy Characteristics'!G:G,MATCH($C1867,'Policy Characteristics'!$C:$C,0)))</f>
        <v>0.4</v>
      </c>
      <c r="N1867" s="261">
        <f>IF(ISBLANK(INDEX('Policy Characteristics'!H:H,MATCH($C1867,'Policy Characteristics'!$C:$C,0))),"",INDEX('Policy Characteristics'!H:H,MATCH($C1867,'Policy Characteristics'!$C:$C,0)))</f>
        <v>0.01</v>
      </c>
      <c r="O1867" s="254" t="str">
        <f>IF(ISBLANK(INDEX('Policy Characteristics'!I:I,MATCH($C1867,'Policy Characteristics'!$C:$C,0))),"",INDEX('Policy Characteristics'!I:I,MATCH($C1867,'Policy Characteristics'!$C:$C,0)))</f>
        <v>% reduction in fuel use</v>
      </c>
      <c r="P1867" s="254" t="str">
        <f>IF(ISBLANK(INDEX('Policy Characteristics'!J:J,MATCH($C1867,'Policy Characteristics'!$C:$C,0))),"",INDEX('Policy Characteristics'!J:J,MATCH($C1867,'Policy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4" t="str">
        <f>IF(ISBLANK(INDEX('Policy Characteristics'!K:K,MATCH($C1867,'Policy Characteristics'!$C:$C,0))),"",INDEX('Policy Characteristics'!K:K,MATCH($C1867,'Policy Characteristics'!$C:$C,0)))</f>
        <v>architectural-design.html#rnd</v>
      </c>
      <c r="R1867" s="254" t="str">
        <f>IF(ISBLANK(INDEX('Policy Characteristics'!L:L,MATCH($C1867,'Policy Characteristics'!$C:$C,0))),"",INDEX('Policy Characteristics'!L:L,MATCH($C1867,'Policy Characteristics'!$C:$C,0)))</f>
        <v>research-and-development.html</v>
      </c>
    </row>
    <row r="1868" spans="1:18" x14ac:dyDescent="0.3">
      <c r="A1868" s="254" t="str">
        <f>IF(ISBLANK(INDEX('Policy Characteristics'!A:A,MATCH($C1868,'Policy Characteristics'!$C:$C,0))),"",INDEX('Policy Characteristics'!A:A,MATCH($C1868,'Policy Characteristics'!$C:$C,0)))</f>
        <v>Research and Development</v>
      </c>
      <c r="B1868" s="262" t="str">
        <f>IF(ISBLANK(INDEX('Policy Characteristics'!B:B,MATCH($C1868,'Policy Characteristics'!$C:$C,0))),"",INDEX('Policy Characteristics'!B:B,MATCH($C1868,'Policy Characteristics'!$C:$C,0)))</f>
        <v>Fuel Use Reduction</v>
      </c>
      <c r="C1868" s="254" t="str">
        <f t="shared" si="74"/>
        <v>RnD Electricity Fuel Use Perc Reduction</v>
      </c>
      <c r="D1868" s="6" t="s">
        <v>76</v>
      </c>
      <c r="E1868" s="45"/>
      <c r="F1868" s="6" t="s">
        <v>3503</v>
      </c>
      <c r="G1868" s="45"/>
      <c r="H1868" s="43">
        <v>751</v>
      </c>
      <c r="I1868" s="324" t="s">
        <v>44</v>
      </c>
      <c r="J1868" s="255" t="str">
        <f>IF(ISBLANK(INDEX('Policy Characteristics'!D:D,MATCH($C1868,'Policy Characteristics'!$C:$C,0))),"",INDEX('Policy Characteristics'!D:D,MATCH($C1868,'Policy Characteristics'!$C:$C,0)))</f>
        <v>R&amp;D Fuel Use Reductions</v>
      </c>
      <c r="K1868" s="254" t="str">
        <f>IF(ISBLANK(INDEX('Policy Characteristics'!E:E,MATCH($C1868,'Policy Characteristics'!$C:$C,0))),"",INDEX('Policy Characteristics'!E:E,MATCH($C1868,'Policy Characteristics'!$C:$C,0)))</f>
        <v>RnD electricity fuel use reduction</v>
      </c>
      <c r="L1868" s="261">
        <f>IF(ISBLANK(INDEX('Policy Characteristics'!F:F,MATCH($C1868,'Policy Characteristics'!$C:$C,0))),"",INDEX('Policy Characteristics'!F:F,MATCH($C1868,'Policy Characteristics'!$C:$C,0)))</f>
        <v>0</v>
      </c>
      <c r="M1868" s="261">
        <f>IF(ISBLANK(INDEX('Policy Characteristics'!G:G,MATCH($C1868,'Policy Characteristics'!$C:$C,0))),"",INDEX('Policy Characteristics'!G:G,MATCH($C1868,'Policy Characteristics'!$C:$C,0)))</f>
        <v>0.4</v>
      </c>
      <c r="N1868" s="261">
        <f>IF(ISBLANK(INDEX('Policy Characteristics'!H:H,MATCH($C1868,'Policy Characteristics'!$C:$C,0))),"",INDEX('Policy Characteristics'!H:H,MATCH($C1868,'Policy Characteristics'!$C:$C,0)))</f>
        <v>0.01</v>
      </c>
      <c r="O1868" s="254" t="str">
        <f>IF(ISBLANK(INDEX('Policy Characteristics'!I:I,MATCH($C1868,'Policy Characteristics'!$C:$C,0))),"",INDEX('Policy Characteristics'!I:I,MATCH($C1868,'Policy Characteristics'!$C:$C,0)))</f>
        <v>% reduction in fuel use</v>
      </c>
      <c r="P1868" s="254" t="str">
        <f>IF(ISBLANK(INDEX('Policy Characteristics'!J:J,MATCH($C1868,'Policy Characteristics'!$C:$C,0))),"",INDEX('Policy Characteristics'!J:J,MATCH($C1868,'Policy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4" t="str">
        <f>IF(ISBLANK(INDEX('Policy Characteristics'!K:K,MATCH($C1868,'Policy Characteristics'!$C:$C,0))),"",INDEX('Policy Characteristics'!K:K,MATCH($C1868,'Policy Characteristics'!$C:$C,0)))</f>
        <v>architectural-design.html#rnd</v>
      </c>
      <c r="R1868" s="254" t="str">
        <f>IF(ISBLANK(INDEX('Policy Characteristics'!L:L,MATCH($C1868,'Policy Characteristics'!$C:$C,0))),"",INDEX('Policy Characteristics'!L:L,MATCH($C1868,'Policy Characteristics'!$C:$C,0)))</f>
        <v>research-and-development.html</v>
      </c>
    </row>
    <row r="1869" spans="1:18" x14ac:dyDescent="0.3">
      <c r="A1869" s="254" t="str">
        <f>IF(ISBLANK(INDEX('Policy Characteristics'!A:A,MATCH($C1869,'Policy Characteristics'!$C:$C,0))),"",INDEX('Policy Characteristics'!A:A,MATCH($C1869,'Policy Characteristics'!$C:$C,0)))</f>
        <v>Research and Development</v>
      </c>
      <c r="B1869" s="262" t="str">
        <f>IF(ISBLANK(INDEX('Policy Characteristics'!B:B,MATCH($C1869,'Policy Characteristics'!$C:$C,0))),"",INDEX('Policy Characteristics'!B:B,MATCH($C1869,'Policy Characteristics'!$C:$C,0)))</f>
        <v>Fuel Use Reduction</v>
      </c>
      <c r="C1869" s="254" t="str">
        <f t="shared" si="74"/>
        <v>RnD Electricity Fuel Use Perc Reduction</v>
      </c>
      <c r="D1869" s="6" t="s">
        <v>77</v>
      </c>
      <c r="E1869" s="45"/>
      <c r="F1869" s="6" t="s">
        <v>321</v>
      </c>
      <c r="G1869" s="45"/>
      <c r="H1869" s="43">
        <v>752</v>
      </c>
      <c r="I1869" s="324" t="s">
        <v>44</v>
      </c>
      <c r="J1869" s="255" t="str">
        <f>IF(ISBLANK(INDEX('Policy Characteristics'!D:D,MATCH($C1869,'Policy Characteristics'!$C:$C,0))),"",INDEX('Policy Characteristics'!D:D,MATCH($C1869,'Policy Characteristics'!$C:$C,0)))</f>
        <v>R&amp;D Fuel Use Reductions</v>
      </c>
      <c r="K1869" s="254" t="str">
        <f>IF(ISBLANK(INDEX('Policy Characteristics'!E:E,MATCH($C1869,'Policy Characteristics'!$C:$C,0))),"",INDEX('Policy Characteristics'!E:E,MATCH($C1869,'Policy Characteristics'!$C:$C,0)))</f>
        <v>RnD electricity fuel use reduction</v>
      </c>
      <c r="L1869" s="261">
        <f>IF(ISBLANK(INDEX('Policy Characteristics'!F:F,MATCH($C1869,'Policy Characteristics'!$C:$C,0))),"",INDEX('Policy Characteristics'!F:F,MATCH($C1869,'Policy Characteristics'!$C:$C,0)))</f>
        <v>0</v>
      </c>
      <c r="M1869" s="261">
        <f>IF(ISBLANK(INDEX('Policy Characteristics'!G:G,MATCH($C1869,'Policy Characteristics'!$C:$C,0))),"",INDEX('Policy Characteristics'!G:G,MATCH($C1869,'Policy Characteristics'!$C:$C,0)))</f>
        <v>0.4</v>
      </c>
      <c r="N1869" s="261">
        <f>IF(ISBLANK(INDEX('Policy Characteristics'!H:H,MATCH($C1869,'Policy Characteristics'!$C:$C,0))),"",INDEX('Policy Characteristics'!H:H,MATCH($C1869,'Policy Characteristics'!$C:$C,0)))</f>
        <v>0.01</v>
      </c>
      <c r="O1869" s="254" t="str">
        <f>IF(ISBLANK(INDEX('Policy Characteristics'!I:I,MATCH($C1869,'Policy Characteristics'!$C:$C,0))),"",INDEX('Policy Characteristics'!I:I,MATCH($C1869,'Policy Characteristics'!$C:$C,0)))</f>
        <v>% reduction in fuel use</v>
      </c>
      <c r="P1869" s="254" t="str">
        <f>IF(ISBLANK(INDEX('Policy Characteristics'!J:J,MATCH($C1869,'Policy Characteristics'!$C:$C,0))),"",INDEX('Policy Characteristics'!J:J,MATCH($C1869,'Policy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4" t="str">
        <f>IF(ISBLANK(INDEX('Policy Characteristics'!K:K,MATCH($C1869,'Policy Characteristics'!$C:$C,0))),"",INDEX('Policy Characteristics'!K:K,MATCH($C1869,'Policy Characteristics'!$C:$C,0)))</f>
        <v>architectural-design.html#rnd</v>
      </c>
      <c r="R1869" s="254" t="str">
        <f>IF(ISBLANK(INDEX('Policy Characteristics'!L:L,MATCH($C1869,'Policy Characteristics'!$C:$C,0))),"",INDEX('Policy Characteristics'!L:L,MATCH($C1869,'Policy Characteristics'!$C:$C,0)))</f>
        <v>research-and-development.html</v>
      </c>
    </row>
    <row r="1870" spans="1:18" x14ac:dyDescent="0.3">
      <c r="A1870" s="254" t="str">
        <f>IF(ISBLANK(INDEX('Policy Characteristics'!A:A,MATCH($C1870,'Policy Characteristics'!$C:$C,0))),"",INDEX('Policy Characteristics'!A:A,MATCH($C1870,'Policy Characteristics'!$C:$C,0)))</f>
        <v>Research and Development</v>
      </c>
      <c r="B1870" s="262" t="str">
        <f>IF(ISBLANK(INDEX('Policy Characteristics'!B:B,MATCH($C1870,'Policy Characteristics'!$C:$C,0))),"",INDEX('Policy Characteristics'!B:B,MATCH($C1870,'Policy Characteristics'!$C:$C,0)))</f>
        <v>Fuel Use Reduction</v>
      </c>
      <c r="C1870" s="254" t="str">
        <f t="shared" si="74"/>
        <v>RnD Electricity Fuel Use Perc Reduction</v>
      </c>
      <c r="D1870" s="6" t="s">
        <v>448</v>
      </c>
      <c r="E1870" s="45"/>
      <c r="F1870" s="6" t="s">
        <v>452</v>
      </c>
      <c r="G1870" s="45"/>
      <c r="H1870" s="43">
        <v>753</v>
      </c>
      <c r="I1870" s="324" t="s">
        <v>44</v>
      </c>
      <c r="J1870" s="255" t="str">
        <f>IF(ISBLANK(INDEX('Policy Characteristics'!D:D,MATCH($C1870,'Policy Characteristics'!$C:$C,0))),"",INDEX('Policy Characteristics'!D:D,MATCH($C1870,'Policy Characteristics'!$C:$C,0)))</f>
        <v>R&amp;D Fuel Use Reductions</v>
      </c>
      <c r="K1870" s="254" t="str">
        <f>IF(ISBLANK(INDEX('Policy Characteristics'!E:E,MATCH($C1870,'Policy Characteristics'!$C:$C,0))),"",INDEX('Policy Characteristics'!E:E,MATCH($C1870,'Policy Characteristics'!$C:$C,0)))</f>
        <v>RnD electricity fuel use reduction</v>
      </c>
      <c r="L1870" s="261">
        <f>IF(ISBLANK(INDEX('Policy Characteristics'!F:F,MATCH($C1870,'Policy Characteristics'!$C:$C,0))),"",INDEX('Policy Characteristics'!F:F,MATCH($C1870,'Policy Characteristics'!$C:$C,0)))</f>
        <v>0</v>
      </c>
      <c r="M1870" s="261">
        <f>IF(ISBLANK(INDEX('Policy Characteristics'!G:G,MATCH($C1870,'Policy Characteristics'!$C:$C,0))),"",INDEX('Policy Characteristics'!G:G,MATCH($C1870,'Policy Characteristics'!$C:$C,0)))</f>
        <v>0.4</v>
      </c>
      <c r="N1870" s="261">
        <f>IF(ISBLANK(INDEX('Policy Characteristics'!H:H,MATCH($C1870,'Policy Characteristics'!$C:$C,0))),"",INDEX('Policy Characteristics'!H:H,MATCH($C1870,'Policy Characteristics'!$C:$C,0)))</f>
        <v>0.01</v>
      </c>
      <c r="O1870" s="254" t="str">
        <f>IF(ISBLANK(INDEX('Policy Characteristics'!I:I,MATCH($C1870,'Policy Characteristics'!$C:$C,0))),"",INDEX('Policy Characteristics'!I:I,MATCH($C1870,'Policy Characteristics'!$C:$C,0)))</f>
        <v>% reduction in fuel use</v>
      </c>
      <c r="P1870" s="254" t="str">
        <f>IF(ISBLANK(INDEX('Policy Characteristics'!J:J,MATCH($C1870,'Policy Characteristics'!$C:$C,0))),"",INDEX('Policy Characteristics'!J:J,MATCH($C1870,'Policy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4" t="str">
        <f>IF(ISBLANK(INDEX('Policy Characteristics'!K:K,MATCH($C1870,'Policy Characteristics'!$C:$C,0))),"",INDEX('Policy Characteristics'!K:K,MATCH($C1870,'Policy Characteristics'!$C:$C,0)))</f>
        <v>architectural-design.html#rnd</v>
      </c>
      <c r="R1870" s="254" t="str">
        <f>IF(ISBLANK(INDEX('Policy Characteristics'!L:L,MATCH($C1870,'Policy Characteristics'!$C:$C,0))),"",INDEX('Policy Characteristics'!L:L,MATCH($C1870,'Policy Characteristics'!$C:$C,0)))</f>
        <v>research-and-development.html</v>
      </c>
    </row>
    <row r="1871" spans="1:18" x14ac:dyDescent="0.3">
      <c r="A1871" s="254" t="str">
        <f>IF(ISBLANK(INDEX('Policy Characteristics'!A:A,MATCH($C1871,'Policy Characteristics'!$C:$C,0))),"",INDEX('Policy Characteristics'!A:A,MATCH($C1871,'Policy Characteristics'!$C:$C,0)))</f>
        <v>Research and Development</v>
      </c>
      <c r="B1871" s="262" t="str">
        <f>IF(ISBLANK(INDEX('Policy Characteristics'!B:B,MATCH($C1871,'Policy Characteristics'!$C:$C,0))),"",INDEX('Policy Characteristics'!B:B,MATCH($C1871,'Policy Characteristics'!$C:$C,0)))</f>
        <v>Fuel Use Reduction</v>
      </c>
      <c r="C1871" s="254" t="str">
        <f t="shared" si="74"/>
        <v>RnD Electricity Fuel Use Perc Reduction</v>
      </c>
      <c r="D1871" s="6" t="s">
        <v>78</v>
      </c>
      <c r="E1871" s="45"/>
      <c r="F1871" s="6" t="s">
        <v>322</v>
      </c>
      <c r="G1871" s="45"/>
      <c r="H1871" s="43">
        <v>754</v>
      </c>
      <c r="I1871" s="324" t="s">
        <v>44</v>
      </c>
      <c r="J1871" s="255" t="str">
        <f>IF(ISBLANK(INDEX('Policy Characteristics'!D:D,MATCH($C1871,'Policy Characteristics'!$C:$C,0))),"",INDEX('Policy Characteristics'!D:D,MATCH($C1871,'Policy Characteristics'!$C:$C,0)))</f>
        <v>R&amp;D Fuel Use Reductions</v>
      </c>
      <c r="K1871" s="254" t="str">
        <f>IF(ISBLANK(INDEX('Policy Characteristics'!E:E,MATCH($C1871,'Policy Characteristics'!$C:$C,0))),"",INDEX('Policy Characteristics'!E:E,MATCH($C1871,'Policy Characteristics'!$C:$C,0)))</f>
        <v>RnD electricity fuel use reduction</v>
      </c>
      <c r="L1871" s="261">
        <f>IF(ISBLANK(INDEX('Policy Characteristics'!F:F,MATCH($C1871,'Policy Characteristics'!$C:$C,0))),"",INDEX('Policy Characteristics'!F:F,MATCH($C1871,'Policy Characteristics'!$C:$C,0)))</f>
        <v>0</v>
      </c>
      <c r="M1871" s="261">
        <f>IF(ISBLANK(INDEX('Policy Characteristics'!G:G,MATCH($C1871,'Policy Characteristics'!$C:$C,0))),"",INDEX('Policy Characteristics'!G:G,MATCH($C1871,'Policy Characteristics'!$C:$C,0)))</f>
        <v>0.4</v>
      </c>
      <c r="N1871" s="261">
        <f>IF(ISBLANK(INDEX('Policy Characteristics'!H:H,MATCH($C1871,'Policy Characteristics'!$C:$C,0))),"",INDEX('Policy Characteristics'!H:H,MATCH($C1871,'Policy Characteristics'!$C:$C,0)))</f>
        <v>0.01</v>
      </c>
      <c r="O1871" s="254" t="str">
        <f>IF(ISBLANK(INDEX('Policy Characteristics'!I:I,MATCH($C1871,'Policy Characteristics'!$C:$C,0))),"",INDEX('Policy Characteristics'!I:I,MATCH($C1871,'Policy Characteristics'!$C:$C,0)))</f>
        <v>% reduction in fuel use</v>
      </c>
      <c r="P1871" s="254" t="str">
        <f>IF(ISBLANK(INDEX('Policy Characteristics'!J:J,MATCH($C1871,'Policy Characteristics'!$C:$C,0))),"",INDEX('Policy Characteristics'!J:J,MATCH($C1871,'Policy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4" t="str">
        <f>IF(ISBLANK(INDEX('Policy Characteristics'!K:K,MATCH($C1871,'Policy Characteristics'!$C:$C,0))),"",INDEX('Policy Characteristics'!K:K,MATCH($C1871,'Policy Characteristics'!$C:$C,0)))</f>
        <v>architectural-design.html#rnd</v>
      </c>
      <c r="R1871" s="254" t="str">
        <f>IF(ISBLANK(INDEX('Policy Characteristics'!L:L,MATCH($C1871,'Policy Characteristics'!$C:$C,0))),"",INDEX('Policy Characteristics'!L:L,MATCH($C1871,'Policy Characteristics'!$C:$C,0)))</f>
        <v>research-and-development.html</v>
      </c>
    </row>
    <row r="1872" spans="1:18" x14ac:dyDescent="0.3">
      <c r="A1872" s="254" t="str">
        <f>IF(ISBLANK(INDEX('Policy Characteristics'!A:A,MATCH($C1872,'Policy Characteristics'!$C:$C,0))),"",INDEX('Policy Characteristics'!A:A,MATCH($C1872,'Policy Characteristics'!$C:$C,0)))</f>
        <v>Research and Development</v>
      </c>
      <c r="B1872" s="262" t="str">
        <f>IF(ISBLANK(INDEX('Policy Characteristics'!B:B,MATCH($C1872,'Policy Characteristics'!$C:$C,0))),"",INDEX('Policy Characteristics'!B:B,MATCH($C1872,'Policy Characteristics'!$C:$C,0)))</f>
        <v>Fuel Use Reduction</v>
      </c>
      <c r="C1872" s="254" t="str">
        <f t="shared" si="74"/>
        <v>RnD Electricity Fuel Use Perc Reduction</v>
      </c>
      <c r="D1872" s="6" t="s">
        <v>79</v>
      </c>
      <c r="E1872" s="45"/>
      <c r="F1872" s="6" t="s">
        <v>323</v>
      </c>
      <c r="G1872" s="45"/>
      <c r="H1872" s="43">
        <v>124</v>
      </c>
      <c r="I1872" s="324" t="s">
        <v>44</v>
      </c>
      <c r="J1872" s="255" t="str">
        <f>IF(ISBLANK(INDEX('Policy Characteristics'!D:D,MATCH($C1872,'Policy Characteristics'!$C:$C,0))),"",INDEX('Policy Characteristics'!D:D,MATCH($C1872,'Policy Characteristics'!$C:$C,0)))</f>
        <v>R&amp;D Fuel Use Reductions</v>
      </c>
      <c r="K1872" s="254" t="str">
        <f>IF(ISBLANK(INDEX('Policy Characteristics'!E:E,MATCH($C1872,'Policy Characteristics'!$C:$C,0))),"",INDEX('Policy Characteristics'!E:E,MATCH($C1872,'Policy Characteristics'!$C:$C,0)))</f>
        <v>RnD electricity fuel use reduction</v>
      </c>
      <c r="L1872" s="261">
        <f>IF(ISBLANK(INDEX('Policy Characteristics'!F:F,MATCH($C1872,'Policy Characteristics'!$C:$C,0))),"",INDEX('Policy Characteristics'!F:F,MATCH($C1872,'Policy Characteristics'!$C:$C,0)))</f>
        <v>0</v>
      </c>
      <c r="M1872" s="261">
        <f>IF(ISBLANK(INDEX('Policy Characteristics'!G:G,MATCH($C1872,'Policy Characteristics'!$C:$C,0))),"",INDEX('Policy Characteristics'!G:G,MATCH($C1872,'Policy Characteristics'!$C:$C,0)))</f>
        <v>0.4</v>
      </c>
      <c r="N1872" s="261">
        <f>IF(ISBLANK(INDEX('Policy Characteristics'!H:H,MATCH($C1872,'Policy Characteristics'!$C:$C,0))),"",INDEX('Policy Characteristics'!H:H,MATCH($C1872,'Policy Characteristics'!$C:$C,0)))</f>
        <v>0.01</v>
      </c>
      <c r="O1872" s="254" t="str">
        <f>IF(ISBLANK(INDEX('Policy Characteristics'!I:I,MATCH($C1872,'Policy Characteristics'!$C:$C,0))),"",INDEX('Policy Characteristics'!I:I,MATCH($C1872,'Policy Characteristics'!$C:$C,0)))</f>
        <v>% reduction in fuel use</v>
      </c>
      <c r="P1872" s="254" t="str">
        <f>IF(ISBLANK(INDEX('Policy Characteristics'!J:J,MATCH($C1872,'Policy Characteristics'!$C:$C,0))),"",INDEX('Policy Characteristics'!J:J,MATCH($C1872,'Policy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4" t="str">
        <f>IF(ISBLANK(INDEX('Policy Characteristics'!K:K,MATCH($C1872,'Policy Characteristics'!$C:$C,0))),"",INDEX('Policy Characteristics'!K:K,MATCH($C1872,'Policy Characteristics'!$C:$C,0)))</f>
        <v>architectural-design.html#rnd</v>
      </c>
      <c r="R1872" s="254" t="str">
        <f>IF(ISBLANK(INDEX('Policy Characteristics'!L:L,MATCH($C1872,'Policy Characteristics'!$C:$C,0))),"",INDEX('Policy Characteristics'!L:L,MATCH($C1872,'Policy Characteristics'!$C:$C,0)))</f>
        <v>research-and-development.html</v>
      </c>
    </row>
    <row r="1873" spans="1:18" x14ac:dyDescent="0.3">
      <c r="A1873" s="254" t="str">
        <f>IF(ISBLANK(INDEX('Policy Characteristics'!A:A,MATCH($C1873,'Policy Characteristics'!$C:$C,0))),"",INDEX('Policy Characteristics'!A:A,MATCH($C1873,'Policy Characteristics'!$C:$C,0)))</f>
        <v>Research and Development</v>
      </c>
      <c r="B1873" s="262" t="str">
        <f>IF(ISBLANK(INDEX('Policy Characteristics'!B:B,MATCH($C1873,'Policy Characteristics'!$C:$C,0))),"",INDEX('Policy Characteristics'!B:B,MATCH($C1873,'Policy Characteristics'!$C:$C,0)))</f>
        <v>Fuel Use Reduction</v>
      </c>
      <c r="C1873" s="254" t="str">
        <f t="shared" si="74"/>
        <v>RnD Electricity Fuel Use Perc Reduction</v>
      </c>
      <c r="D1873" s="6" t="s">
        <v>80</v>
      </c>
      <c r="E1873" s="45"/>
      <c r="F1873" s="6" t="s">
        <v>324</v>
      </c>
      <c r="G1873" s="45"/>
      <c r="H1873" s="43">
        <v>193</v>
      </c>
      <c r="I1873" s="324" t="s">
        <v>43</v>
      </c>
      <c r="J1873" s="255" t="str">
        <f>IF(ISBLANK(INDEX('Policy Characteristics'!D:D,MATCH($C1873,'Policy Characteristics'!$C:$C,0))),"",INDEX('Policy Characteristics'!D:D,MATCH($C1873,'Policy Characteristics'!$C:$C,0)))</f>
        <v>R&amp;D Fuel Use Reductions</v>
      </c>
      <c r="K1873" s="254" t="str">
        <f>IF(ISBLANK(INDEX('Policy Characteristics'!E:E,MATCH($C1873,'Policy Characteristics'!$C:$C,0))),"",INDEX('Policy Characteristics'!E:E,MATCH($C1873,'Policy Characteristics'!$C:$C,0)))</f>
        <v>RnD electricity fuel use reduction</v>
      </c>
      <c r="L1873" s="261">
        <f>IF(ISBLANK(INDEX('Policy Characteristics'!F:F,MATCH($C1873,'Policy Characteristics'!$C:$C,0))),"",INDEX('Policy Characteristics'!F:F,MATCH($C1873,'Policy Characteristics'!$C:$C,0)))</f>
        <v>0</v>
      </c>
      <c r="M1873" s="261">
        <f>IF(ISBLANK(INDEX('Policy Characteristics'!G:G,MATCH($C1873,'Policy Characteristics'!$C:$C,0))),"",INDEX('Policy Characteristics'!G:G,MATCH($C1873,'Policy Characteristics'!$C:$C,0)))</f>
        <v>0.4</v>
      </c>
      <c r="N1873" s="261">
        <f>IF(ISBLANK(INDEX('Policy Characteristics'!H:H,MATCH($C1873,'Policy Characteristics'!$C:$C,0))),"",INDEX('Policy Characteristics'!H:H,MATCH($C1873,'Policy Characteristics'!$C:$C,0)))</f>
        <v>0.01</v>
      </c>
      <c r="O1873" s="254" t="str">
        <f>IF(ISBLANK(INDEX('Policy Characteristics'!I:I,MATCH($C1873,'Policy Characteristics'!$C:$C,0))),"",INDEX('Policy Characteristics'!I:I,MATCH($C1873,'Policy Characteristics'!$C:$C,0)))</f>
        <v>% reduction in fuel use</v>
      </c>
      <c r="P1873" s="254" t="str">
        <f>IF(ISBLANK(INDEX('Policy Characteristics'!J:J,MATCH($C1873,'Policy Characteristics'!$C:$C,0))),"",INDEX('Policy Characteristics'!J:J,MATCH($C1873,'Policy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4" t="str">
        <f>IF(ISBLANK(INDEX('Policy Characteristics'!K:K,MATCH($C1873,'Policy Characteristics'!$C:$C,0))),"",INDEX('Policy Characteristics'!K:K,MATCH($C1873,'Policy Characteristics'!$C:$C,0)))</f>
        <v>architectural-design.html#rnd</v>
      </c>
      <c r="R1873" s="254" t="str">
        <f>IF(ISBLANK(INDEX('Policy Characteristics'!L:L,MATCH($C1873,'Policy Characteristics'!$C:$C,0))),"",INDEX('Policy Characteristics'!L:L,MATCH($C1873,'Policy Characteristics'!$C:$C,0)))</f>
        <v>research-and-development.html</v>
      </c>
    </row>
    <row r="1874" spans="1:18" x14ac:dyDescent="0.3">
      <c r="A1874" s="254" t="str">
        <f>IF(ISBLANK(INDEX('Policy Characteristics'!A:A,MATCH($C1874,'Policy Characteristics'!$C:$C,0))),"",INDEX('Policy Characteristics'!A:A,MATCH($C1874,'Policy Characteristics'!$C:$C,0)))</f>
        <v>Research and Development</v>
      </c>
      <c r="B1874" s="262" t="str">
        <f>IF(ISBLANK(INDEX('Policy Characteristics'!B:B,MATCH($C1874,'Policy Characteristics'!$C:$C,0))),"",INDEX('Policy Characteristics'!B:B,MATCH($C1874,'Policy Characteristics'!$C:$C,0)))</f>
        <v>Fuel Use Reduction</v>
      </c>
      <c r="C1874" s="254" t="str">
        <f t="shared" ref="C1874:C1888" si="75">C$1865</f>
        <v>RnD Electricity Fuel Use Perc Reduction</v>
      </c>
      <c r="D1874" s="6" t="s">
        <v>2425</v>
      </c>
      <c r="E1874" s="45"/>
      <c r="F1874" s="6" t="s">
        <v>3504</v>
      </c>
      <c r="G1874" s="45"/>
      <c r="H1874" s="43">
        <v>181</v>
      </c>
      <c r="I1874" s="324" t="s">
        <v>44</v>
      </c>
      <c r="J1874" s="255" t="str">
        <f>IF(ISBLANK(INDEX('Policy Characteristics'!D:D,MATCH($C1874,'Policy Characteristics'!$C:$C,0))),"",INDEX('Policy Characteristics'!D:D,MATCH($C1874,'Policy Characteristics'!$C:$C,0)))</f>
        <v>R&amp;D Fuel Use Reductions</v>
      </c>
      <c r="K1874" s="254" t="str">
        <f>IF(ISBLANK(INDEX('Policy Characteristics'!E:E,MATCH($C1874,'Policy Characteristics'!$C:$C,0))),"",INDEX('Policy Characteristics'!E:E,MATCH($C1874,'Policy Characteristics'!$C:$C,0)))</f>
        <v>RnD electricity fuel use reduction</v>
      </c>
      <c r="L1874" s="261">
        <f>IF(ISBLANK(INDEX('Policy Characteristics'!F:F,MATCH($C1874,'Policy Characteristics'!$C:$C,0))),"",INDEX('Policy Characteristics'!F:F,MATCH($C1874,'Policy Characteristics'!$C:$C,0)))</f>
        <v>0</v>
      </c>
      <c r="M1874" s="261">
        <f>IF(ISBLANK(INDEX('Policy Characteristics'!G:G,MATCH($C1874,'Policy Characteristics'!$C:$C,0))),"",INDEX('Policy Characteristics'!G:G,MATCH($C1874,'Policy Characteristics'!$C:$C,0)))</f>
        <v>0.4</v>
      </c>
      <c r="N1874" s="261">
        <f>IF(ISBLANK(INDEX('Policy Characteristics'!H:H,MATCH($C1874,'Policy Characteristics'!$C:$C,0))),"",INDEX('Policy Characteristics'!H:H,MATCH($C1874,'Policy Characteristics'!$C:$C,0)))</f>
        <v>0.01</v>
      </c>
      <c r="O1874" s="254" t="str">
        <f>IF(ISBLANK(INDEX('Policy Characteristics'!I:I,MATCH($C1874,'Policy Characteristics'!$C:$C,0))),"",INDEX('Policy Characteristics'!I:I,MATCH($C1874,'Policy Characteristics'!$C:$C,0)))</f>
        <v>% reduction in fuel use</v>
      </c>
      <c r="P1874" s="254" t="str">
        <f>IF(ISBLANK(INDEX('Policy Characteristics'!J:J,MATCH($C1874,'Policy Characteristics'!$C:$C,0))),"",INDEX('Policy Characteristics'!J:J,MATCH($C1874,'Policy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4" t="str">
        <f>IF(ISBLANK(INDEX('Policy Characteristics'!K:K,MATCH($C1874,'Policy Characteristics'!$C:$C,0))),"",INDEX('Policy Characteristics'!K:K,MATCH($C1874,'Policy Characteristics'!$C:$C,0)))</f>
        <v>architectural-design.html#rnd</v>
      </c>
      <c r="R1874" s="254" t="str">
        <f>IF(ISBLANK(INDEX('Policy Characteristics'!L:L,MATCH($C1874,'Policy Characteristics'!$C:$C,0))),"",INDEX('Policy Characteristics'!L:L,MATCH($C1874,'Policy Characteristics'!$C:$C,0)))</f>
        <v>research-and-development.html</v>
      </c>
    </row>
    <row r="1875" spans="1:18" x14ac:dyDescent="0.3">
      <c r="A1875" s="254" t="str">
        <f>IF(ISBLANK(INDEX('Policy Characteristics'!A:A,MATCH($C1875,'Policy Characteristics'!$C:$C,0))),"",INDEX('Policy Characteristics'!A:A,MATCH($C1875,'Policy Characteristics'!$C:$C,0)))</f>
        <v>Research and Development</v>
      </c>
      <c r="B1875" s="262" t="str">
        <f>IF(ISBLANK(INDEX('Policy Characteristics'!B:B,MATCH($C1875,'Policy Characteristics'!$C:$C,0))),"",INDEX('Policy Characteristics'!B:B,MATCH($C1875,'Policy Characteristics'!$C:$C,0)))</f>
        <v>Fuel Use Reduction</v>
      </c>
      <c r="C1875" s="254" t="str">
        <f t="shared" si="75"/>
        <v>RnD Electricity Fuel Use Perc Reduction</v>
      </c>
      <c r="D1875" s="6" t="s">
        <v>308</v>
      </c>
      <c r="E1875" s="45"/>
      <c r="F1875" s="6" t="s">
        <v>3505</v>
      </c>
      <c r="G1875" s="45"/>
      <c r="H1875" s="43">
        <v>755</v>
      </c>
      <c r="I1875" s="324" t="s">
        <v>43</v>
      </c>
      <c r="J1875" s="255" t="str">
        <f>IF(ISBLANK(INDEX('Policy Characteristics'!D:D,MATCH($C1875,'Policy Characteristics'!$C:$C,0))),"",INDEX('Policy Characteristics'!D:D,MATCH($C1875,'Policy Characteristics'!$C:$C,0)))</f>
        <v>R&amp;D Fuel Use Reductions</v>
      </c>
      <c r="K1875" s="254" t="str">
        <f>IF(ISBLANK(INDEX('Policy Characteristics'!E:E,MATCH($C1875,'Policy Characteristics'!$C:$C,0))),"",INDEX('Policy Characteristics'!E:E,MATCH($C1875,'Policy Characteristics'!$C:$C,0)))</f>
        <v>RnD electricity fuel use reduction</v>
      </c>
      <c r="L1875" s="261">
        <f>IF(ISBLANK(INDEX('Policy Characteristics'!F:F,MATCH($C1875,'Policy Characteristics'!$C:$C,0))),"",INDEX('Policy Characteristics'!F:F,MATCH($C1875,'Policy Characteristics'!$C:$C,0)))</f>
        <v>0</v>
      </c>
      <c r="M1875" s="261">
        <f>IF(ISBLANK(INDEX('Policy Characteristics'!G:G,MATCH($C1875,'Policy Characteristics'!$C:$C,0))),"",INDEX('Policy Characteristics'!G:G,MATCH($C1875,'Policy Characteristics'!$C:$C,0)))</f>
        <v>0.4</v>
      </c>
      <c r="N1875" s="261">
        <f>IF(ISBLANK(INDEX('Policy Characteristics'!H:H,MATCH($C1875,'Policy Characteristics'!$C:$C,0))),"",INDEX('Policy Characteristics'!H:H,MATCH($C1875,'Policy Characteristics'!$C:$C,0)))</f>
        <v>0.01</v>
      </c>
      <c r="O1875" s="254" t="str">
        <f>IF(ISBLANK(INDEX('Policy Characteristics'!I:I,MATCH($C1875,'Policy Characteristics'!$C:$C,0))),"",INDEX('Policy Characteristics'!I:I,MATCH($C1875,'Policy Characteristics'!$C:$C,0)))</f>
        <v>% reduction in fuel use</v>
      </c>
      <c r="P1875" s="254" t="str">
        <f>IF(ISBLANK(INDEX('Policy Characteristics'!J:J,MATCH($C1875,'Policy Characteristics'!$C:$C,0))),"",INDEX('Policy Characteristics'!J:J,MATCH($C1875,'Policy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4" t="str">
        <f>IF(ISBLANK(INDEX('Policy Characteristics'!K:K,MATCH($C1875,'Policy Characteristics'!$C:$C,0))),"",INDEX('Policy Characteristics'!K:K,MATCH($C1875,'Policy Characteristics'!$C:$C,0)))</f>
        <v>architectural-design.html#rnd</v>
      </c>
      <c r="R1875" s="254" t="str">
        <f>IF(ISBLANK(INDEX('Policy Characteristics'!L:L,MATCH($C1875,'Policy Characteristics'!$C:$C,0))),"",INDEX('Policy Characteristics'!L:L,MATCH($C1875,'Policy Characteristics'!$C:$C,0)))</f>
        <v>research-and-development.html</v>
      </c>
    </row>
    <row r="1876" spans="1:18" x14ac:dyDescent="0.3">
      <c r="A1876" s="254" t="str">
        <f>IF(ISBLANK(INDEX('Policy Characteristics'!A:A,MATCH($C1876,'Policy Characteristics'!$C:$C,0))),"",INDEX('Policy Characteristics'!A:A,MATCH($C1876,'Policy Characteristics'!$C:$C,0)))</f>
        <v>Research and Development</v>
      </c>
      <c r="B1876" s="262" t="str">
        <f>IF(ISBLANK(INDEX('Policy Characteristics'!B:B,MATCH($C1876,'Policy Characteristics'!$C:$C,0))),"",INDEX('Policy Characteristics'!B:B,MATCH($C1876,'Policy Characteristics'!$C:$C,0)))</f>
        <v>Fuel Use Reduction</v>
      </c>
      <c r="C1876" s="254" t="str">
        <f t="shared" si="75"/>
        <v>RnD Electricity Fuel Use Perc Reduction</v>
      </c>
      <c r="D1876" s="6" t="s">
        <v>309</v>
      </c>
      <c r="E1876" s="45"/>
      <c r="F1876" s="6" t="s">
        <v>2257</v>
      </c>
      <c r="G1876" s="45"/>
      <c r="H1876" s="43">
        <v>1822</v>
      </c>
      <c r="I1876" s="324" t="s">
        <v>43</v>
      </c>
      <c r="J1876" s="255" t="str">
        <f>IF(ISBLANK(INDEX('Policy Characteristics'!D:D,MATCH($C1876,'Policy Characteristics'!$C:$C,0))),"",INDEX('Policy Characteristics'!D:D,MATCH($C1876,'Policy Characteristics'!$C:$C,0)))</f>
        <v>R&amp;D Fuel Use Reductions</v>
      </c>
      <c r="K1876" s="254" t="str">
        <f>IF(ISBLANK(INDEX('Policy Characteristics'!E:E,MATCH($C1876,'Policy Characteristics'!$C:$C,0))),"",INDEX('Policy Characteristics'!E:E,MATCH($C1876,'Policy Characteristics'!$C:$C,0)))</f>
        <v>RnD electricity fuel use reduction</v>
      </c>
      <c r="L1876" s="261">
        <f>IF(ISBLANK(INDEX('Policy Characteristics'!F:F,MATCH($C1876,'Policy Characteristics'!$C:$C,0))),"",INDEX('Policy Characteristics'!F:F,MATCH($C1876,'Policy Characteristics'!$C:$C,0)))</f>
        <v>0</v>
      </c>
      <c r="M1876" s="261">
        <f>IF(ISBLANK(INDEX('Policy Characteristics'!G:G,MATCH($C1876,'Policy Characteristics'!$C:$C,0))),"",INDEX('Policy Characteristics'!G:G,MATCH($C1876,'Policy Characteristics'!$C:$C,0)))</f>
        <v>0.4</v>
      </c>
      <c r="N1876" s="261">
        <f>IF(ISBLANK(INDEX('Policy Characteristics'!H:H,MATCH($C1876,'Policy Characteristics'!$C:$C,0))),"",INDEX('Policy Characteristics'!H:H,MATCH($C1876,'Policy Characteristics'!$C:$C,0)))</f>
        <v>0.01</v>
      </c>
      <c r="O1876" s="254" t="str">
        <f>IF(ISBLANK(INDEX('Policy Characteristics'!I:I,MATCH($C1876,'Policy Characteristics'!$C:$C,0))),"",INDEX('Policy Characteristics'!I:I,MATCH($C1876,'Policy Characteristics'!$C:$C,0)))</f>
        <v>% reduction in fuel use</v>
      </c>
      <c r="P1876" s="254" t="str">
        <f>IF(ISBLANK(INDEX('Policy Characteristics'!J:J,MATCH($C1876,'Policy Characteristics'!$C:$C,0))),"",INDEX('Policy Characteristics'!J:J,MATCH($C1876,'Policy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4" t="str">
        <f>IF(ISBLANK(INDEX('Policy Characteristics'!K:K,MATCH($C1876,'Policy Characteristics'!$C:$C,0))),"",INDEX('Policy Characteristics'!K:K,MATCH($C1876,'Policy Characteristics'!$C:$C,0)))</f>
        <v>architectural-design.html#rnd</v>
      </c>
      <c r="R1876" s="254" t="str">
        <f>IF(ISBLANK(INDEX('Policy Characteristics'!L:L,MATCH($C1876,'Policy Characteristics'!$C:$C,0))),"",INDEX('Policy Characteristics'!L:L,MATCH($C1876,'Policy Characteristics'!$C:$C,0)))</f>
        <v>research-and-development.html</v>
      </c>
    </row>
    <row r="1877" spans="1:18" x14ac:dyDescent="0.3">
      <c r="A1877" s="254" t="str">
        <f>IF(ISBLANK(INDEX('Policy Characteristics'!A:A,MATCH($C1877,'Policy Characteristics'!$C:$C,0))),"",INDEX('Policy Characteristics'!A:A,MATCH($C1877,'Policy Characteristics'!$C:$C,0)))</f>
        <v>Research and Development</v>
      </c>
      <c r="B1877" s="262" t="str">
        <f>IF(ISBLANK(INDEX('Policy Characteristics'!B:B,MATCH($C1877,'Policy Characteristics'!$C:$C,0))),"",INDEX('Policy Characteristics'!B:B,MATCH($C1877,'Policy Characteristics'!$C:$C,0)))</f>
        <v>Fuel Use Reduction</v>
      </c>
      <c r="C1877" s="254" t="str">
        <f t="shared" si="75"/>
        <v>RnD Electricity Fuel Use Perc Reduction</v>
      </c>
      <c r="D1877" s="6" t="s">
        <v>444</v>
      </c>
      <c r="E1877" s="45"/>
      <c r="F1877" s="6" t="s">
        <v>445</v>
      </c>
      <c r="G1877" s="45"/>
      <c r="H1877" s="43">
        <v>1823</v>
      </c>
      <c r="I1877" s="324" t="s">
        <v>43</v>
      </c>
      <c r="J1877" s="255" t="str">
        <f>IF(ISBLANK(INDEX('Policy Characteristics'!D:D,MATCH($C1877,'Policy Characteristics'!$C:$C,0))),"",INDEX('Policy Characteristics'!D:D,MATCH($C1877,'Policy Characteristics'!$C:$C,0)))</f>
        <v>R&amp;D Fuel Use Reductions</v>
      </c>
      <c r="K1877" s="254" t="str">
        <f>IF(ISBLANK(INDEX('Policy Characteristics'!E:E,MATCH($C1877,'Policy Characteristics'!$C:$C,0))),"",INDEX('Policy Characteristics'!E:E,MATCH($C1877,'Policy Characteristics'!$C:$C,0)))</f>
        <v>RnD electricity fuel use reduction</v>
      </c>
      <c r="L1877" s="261">
        <f>IF(ISBLANK(INDEX('Policy Characteristics'!F:F,MATCH($C1877,'Policy Characteristics'!$C:$C,0))),"",INDEX('Policy Characteristics'!F:F,MATCH($C1877,'Policy Characteristics'!$C:$C,0)))</f>
        <v>0</v>
      </c>
      <c r="M1877" s="261">
        <f>IF(ISBLANK(INDEX('Policy Characteristics'!G:G,MATCH($C1877,'Policy Characteristics'!$C:$C,0))),"",INDEX('Policy Characteristics'!G:G,MATCH($C1877,'Policy Characteristics'!$C:$C,0)))</f>
        <v>0.4</v>
      </c>
      <c r="N1877" s="261">
        <f>IF(ISBLANK(INDEX('Policy Characteristics'!H:H,MATCH($C1877,'Policy Characteristics'!$C:$C,0))),"",INDEX('Policy Characteristics'!H:H,MATCH($C1877,'Policy Characteristics'!$C:$C,0)))</f>
        <v>0.01</v>
      </c>
      <c r="O1877" s="254" t="str">
        <f>IF(ISBLANK(INDEX('Policy Characteristics'!I:I,MATCH($C1877,'Policy Characteristics'!$C:$C,0))),"",INDEX('Policy Characteristics'!I:I,MATCH($C1877,'Policy Characteristics'!$C:$C,0)))</f>
        <v>% reduction in fuel use</v>
      </c>
      <c r="P1877" s="254" t="str">
        <f>IF(ISBLANK(INDEX('Policy Characteristics'!J:J,MATCH($C1877,'Policy Characteristics'!$C:$C,0))),"",INDEX('Policy Characteristics'!J:J,MATCH($C1877,'Policy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4" t="str">
        <f>IF(ISBLANK(INDEX('Policy Characteristics'!K:K,MATCH($C1877,'Policy Characteristics'!$C:$C,0))),"",INDEX('Policy Characteristics'!K:K,MATCH($C1877,'Policy Characteristics'!$C:$C,0)))</f>
        <v>architectural-design.html#rnd</v>
      </c>
      <c r="R1877" s="254" t="str">
        <f>IF(ISBLANK(INDEX('Policy Characteristics'!L:L,MATCH($C1877,'Policy Characteristics'!$C:$C,0))),"",INDEX('Policy Characteristics'!L:L,MATCH($C1877,'Policy Characteristics'!$C:$C,0)))</f>
        <v>research-and-development.html</v>
      </c>
    </row>
    <row r="1878" spans="1:18" x14ac:dyDescent="0.3">
      <c r="A1878" s="254" t="str">
        <f>IF(ISBLANK(INDEX('Policy Characteristics'!A:A,MATCH($C1878,'Policy Characteristics'!$C:$C,0))),"",INDEX('Policy Characteristics'!A:A,MATCH($C1878,'Policy Characteristics'!$C:$C,0)))</f>
        <v>Research and Development</v>
      </c>
      <c r="B1878" s="262" t="str">
        <f>IF(ISBLANK(INDEX('Policy Characteristics'!B:B,MATCH($C1878,'Policy Characteristics'!$C:$C,0))),"",INDEX('Policy Characteristics'!B:B,MATCH($C1878,'Policy Characteristics'!$C:$C,0)))</f>
        <v>Fuel Use Reduction</v>
      </c>
      <c r="C1878" s="254" t="str">
        <f t="shared" si="75"/>
        <v>RnD Electricity Fuel Use Perc Reduction</v>
      </c>
      <c r="D1878" s="6" t="s">
        <v>453</v>
      </c>
      <c r="E1878" s="45"/>
      <c r="F1878" s="6" t="s">
        <v>455</v>
      </c>
      <c r="G1878" s="45"/>
      <c r="H1878" s="43">
        <v>1824</v>
      </c>
      <c r="I1878" s="324" t="s">
        <v>44</v>
      </c>
      <c r="J1878" s="255" t="str">
        <f>IF(ISBLANK(INDEX('Policy Characteristics'!D:D,MATCH($C1878,'Policy Characteristics'!$C:$C,0))),"",INDEX('Policy Characteristics'!D:D,MATCH($C1878,'Policy Characteristics'!$C:$C,0)))</f>
        <v>R&amp;D Fuel Use Reductions</v>
      </c>
      <c r="K1878" s="254" t="str">
        <f>IF(ISBLANK(INDEX('Policy Characteristics'!E:E,MATCH($C1878,'Policy Characteristics'!$C:$C,0))),"",INDEX('Policy Characteristics'!E:E,MATCH($C1878,'Policy Characteristics'!$C:$C,0)))</f>
        <v>RnD electricity fuel use reduction</v>
      </c>
      <c r="L1878" s="261">
        <f>IF(ISBLANK(INDEX('Policy Characteristics'!F:F,MATCH($C1878,'Policy Characteristics'!$C:$C,0))),"",INDEX('Policy Characteristics'!F:F,MATCH($C1878,'Policy Characteristics'!$C:$C,0)))</f>
        <v>0</v>
      </c>
      <c r="M1878" s="261">
        <f>IF(ISBLANK(INDEX('Policy Characteristics'!G:G,MATCH($C1878,'Policy Characteristics'!$C:$C,0))),"",INDEX('Policy Characteristics'!G:G,MATCH($C1878,'Policy Characteristics'!$C:$C,0)))</f>
        <v>0.4</v>
      </c>
      <c r="N1878" s="261">
        <f>IF(ISBLANK(INDEX('Policy Characteristics'!H:H,MATCH($C1878,'Policy Characteristics'!$C:$C,0))),"",INDEX('Policy Characteristics'!H:H,MATCH($C1878,'Policy Characteristics'!$C:$C,0)))</f>
        <v>0.01</v>
      </c>
      <c r="O1878" s="254" t="str">
        <f>IF(ISBLANK(INDEX('Policy Characteristics'!I:I,MATCH($C1878,'Policy Characteristics'!$C:$C,0))),"",INDEX('Policy Characteristics'!I:I,MATCH($C1878,'Policy Characteristics'!$C:$C,0)))</f>
        <v>% reduction in fuel use</v>
      </c>
      <c r="P1878" s="254" t="str">
        <f>IF(ISBLANK(INDEX('Policy Characteristics'!J:J,MATCH($C1878,'Policy Characteristics'!$C:$C,0))),"",INDEX('Policy Characteristics'!J:J,MATCH($C1878,'Policy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4" t="str">
        <f>IF(ISBLANK(INDEX('Policy Characteristics'!K:K,MATCH($C1878,'Policy Characteristics'!$C:$C,0))),"",INDEX('Policy Characteristics'!K:K,MATCH($C1878,'Policy Characteristics'!$C:$C,0)))</f>
        <v>architectural-design.html#rnd</v>
      </c>
      <c r="R1878" s="254" t="str">
        <f>IF(ISBLANK(INDEX('Policy Characteristics'!L:L,MATCH($C1878,'Policy Characteristics'!$C:$C,0))),"",INDEX('Policy Characteristics'!L:L,MATCH($C1878,'Policy Characteristics'!$C:$C,0)))</f>
        <v>research-and-development.html</v>
      </c>
    </row>
    <row r="1879" spans="1:18" x14ac:dyDescent="0.3">
      <c r="A1879" s="254" t="str">
        <f>IF(ISBLANK(INDEX('Policy Characteristics'!A:A,MATCH($C1879,'Policy Characteristics'!$C:$C,0))),"",INDEX('Policy Characteristics'!A:A,MATCH($C1879,'Policy Characteristics'!$C:$C,0)))</f>
        <v>Research and Development</v>
      </c>
      <c r="B1879" s="262" t="str">
        <f>IF(ISBLANK(INDEX('Policy Characteristics'!B:B,MATCH($C1879,'Policy Characteristics'!$C:$C,0))),"",INDEX('Policy Characteristics'!B:B,MATCH($C1879,'Policy Characteristics'!$C:$C,0)))</f>
        <v>Fuel Use Reduction</v>
      </c>
      <c r="C1879" s="254" t="str">
        <f t="shared" si="75"/>
        <v>RnD Electricity Fuel Use Perc Reduction</v>
      </c>
      <c r="D1879" s="6" t="s">
        <v>2748</v>
      </c>
      <c r="E1879" s="45"/>
      <c r="F1879" s="6" t="s">
        <v>3506</v>
      </c>
      <c r="G1879" s="45"/>
      <c r="H1879" s="43">
        <v>1825</v>
      </c>
      <c r="I1879" s="324" t="s">
        <v>44</v>
      </c>
      <c r="J1879" s="255" t="str">
        <f>IF(ISBLANK(INDEX('Policy Characteristics'!D:D,MATCH($C1879,'Policy Characteristics'!$C:$C,0))),"",INDEX('Policy Characteristics'!D:D,MATCH($C1879,'Policy Characteristics'!$C:$C,0)))</f>
        <v>R&amp;D Fuel Use Reductions</v>
      </c>
      <c r="K1879" s="254" t="str">
        <f>IF(ISBLANK(INDEX('Policy Characteristics'!E:E,MATCH($C1879,'Policy Characteristics'!$C:$C,0))),"",INDEX('Policy Characteristics'!E:E,MATCH($C1879,'Policy Characteristics'!$C:$C,0)))</f>
        <v>RnD electricity fuel use reduction</v>
      </c>
      <c r="L1879" s="261">
        <f>IF(ISBLANK(INDEX('Policy Characteristics'!F:F,MATCH($C1879,'Policy Characteristics'!$C:$C,0))),"",INDEX('Policy Characteristics'!F:F,MATCH($C1879,'Policy Characteristics'!$C:$C,0)))</f>
        <v>0</v>
      </c>
      <c r="M1879" s="261">
        <f>IF(ISBLANK(INDEX('Policy Characteristics'!G:G,MATCH($C1879,'Policy Characteristics'!$C:$C,0))),"",INDEX('Policy Characteristics'!G:G,MATCH($C1879,'Policy Characteristics'!$C:$C,0)))</f>
        <v>0.4</v>
      </c>
      <c r="N1879" s="261">
        <f>IF(ISBLANK(INDEX('Policy Characteristics'!H:H,MATCH($C1879,'Policy Characteristics'!$C:$C,0))),"",INDEX('Policy Characteristics'!H:H,MATCH($C1879,'Policy Characteristics'!$C:$C,0)))</f>
        <v>0.01</v>
      </c>
      <c r="O1879" s="254" t="str">
        <f>IF(ISBLANK(INDEX('Policy Characteristics'!I:I,MATCH($C1879,'Policy Characteristics'!$C:$C,0))),"",INDEX('Policy Characteristics'!I:I,MATCH($C1879,'Policy Characteristics'!$C:$C,0)))</f>
        <v>% reduction in fuel use</v>
      </c>
      <c r="P1879" s="254" t="str">
        <f>IF(ISBLANK(INDEX('Policy Characteristics'!J:J,MATCH($C1879,'Policy Characteristics'!$C:$C,0))),"",INDEX('Policy Characteristics'!J:J,MATCH($C1879,'Policy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4" t="str">
        <f>IF(ISBLANK(INDEX('Policy Characteristics'!K:K,MATCH($C1879,'Policy Characteristics'!$C:$C,0))),"",INDEX('Policy Characteristics'!K:K,MATCH($C1879,'Policy Characteristics'!$C:$C,0)))</f>
        <v>architectural-design.html#rnd</v>
      </c>
      <c r="R1879" s="254" t="str">
        <f>IF(ISBLANK(INDEX('Policy Characteristics'!L:L,MATCH($C1879,'Policy Characteristics'!$C:$C,0))),"",INDEX('Policy Characteristics'!L:L,MATCH($C1879,'Policy Characteristics'!$C:$C,0)))</f>
        <v>research-and-development.html</v>
      </c>
    </row>
    <row r="1880" spans="1:18" x14ac:dyDescent="0.3">
      <c r="A1880" s="254" t="str">
        <f>IF(ISBLANK(INDEX('Policy Characteristics'!A:A,MATCH($C1880,'Policy Characteristics'!$C:$C,0))),"",INDEX('Policy Characteristics'!A:A,MATCH($C1880,'Policy Characteristics'!$C:$C,0)))</f>
        <v>Research and Development</v>
      </c>
      <c r="B1880" s="262" t="str">
        <f>IF(ISBLANK(INDEX('Policy Characteristics'!B:B,MATCH($C1880,'Policy Characteristics'!$C:$C,0))),"",INDEX('Policy Characteristics'!B:B,MATCH($C1880,'Policy Characteristics'!$C:$C,0)))</f>
        <v>Fuel Use Reduction</v>
      </c>
      <c r="C1880" s="254" t="str">
        <f t="shared" si="75"/>
        <v>RnD Electricity Fuel Use Perc Reduction</v>
      </c>
      <c r="D1880" s="6" t="s">
        <v>2749</v>
      </c>
      <c r="E1880" s="45"/>
      <c r="F1880" s="6" t="s">
        <v>3507</v>
      </c>
      <c r="G1880" s="45"/>
      <c r="H1880" s="43">
        <v>1826</v>
      </c>
      <c r="I1880" s="324" t="s">
        <v>44</v>
      </c>
      <c r="J1880" s="255" t="str">
        <f>IF(ISBLANK(INDEX('Policy Characteristics'!D:D,MATCH($C1880,'Policy Characteristics'!$C:$C,0))),"",INDEX('Policy Characteristics'!D:D,MATCH($C1880,'Policy Characteristics'!$C:$C,0)))</f>
        <v>R&amp;D Fuel Use Reductions</v>
      </c>
      <c r="K1880" s="254" t="str">
        <f>IF(ISBLANK(INDEX('Policy Characteristics'!E:E,MATCH($C1880,'Policy Characteristics'!$C:$C,0))),"",INDEX('Policy Characteristics'!E:E,MATCH($C1880,'Policy Characteristics'!$C:$C,0)))</f>
        <v>RnD electricity fuel use reduction</v>
      </c>
      <c r="L1880" s="261">
        <f>IF(ISBLANK(INDEX('Policy Characteristics'!F:F,MATCH($C1880,'Policy Characteristics'!$C:$C,0))),"",INDEX('Policy Characteristics'!F:F,MATCH($C1880,'Policy Characteristics'!$C:$C,0)))</f>
        <v>0</v>
      </c>
      <c r="M1880" s="261">
        <f>IF(ISBLANK(INDEX('Policy Characteristics'!G:G,MATCH($C1880,'Policy Characteristics'!$C:$C,0))),"",INDEX('Policy Characteristics'!G:G,MATCH($C1880,'Policy Characteristics'!$C:$C,0)))</f>
        <v>0.4</v>
      </c>
      <c r="N1880" s="261">
        <f>IF(ISBLANK(INDEX('Policy Characteristics'!H:H,MATCH($C1880,'Policy Characteristics'!$C:$C,0))),"",INDEX('Policy Characteristics'!H:H,MATCH($C1880,'Policy Characteristics'!$C:$C,0)))</f>
        <v>0.01</v>
      </c>
      <c r="O1880" s="254" t="str">
        <f>IF(ISBLANK(INDEX('Policy Characteristics'!I:I,MATCH($C1880,'Policy Characteristics'!$C:$C,0))),"",INDEX('Policy Characteristics'!I:I,MATCH($C1880,'Policy Characteristics'!$C:$C,0)))</f>
        <v>% reduction in fuel use</v>
      </c>
      <c r="P1880" s="254" t="str">
        <f>IF(ISBLANK(INDEX('Policy Characteristics'!J:J,MATCH($C1880,'Policy Characteristics'!$C:$C,0))),"",INDEX('Policy Characteristics'!J:J,MATCH($C1880,'Policy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4" t="str">
        <f>IF(ISBLANK(INDEX('Policy Characteristics'!K:K,MATCH($C1880,'Policy Characteristics'!$C:$C,0))),"",INDEX('Policy Characteristics'!K:K,MATCH($C1880,'Policy Characteristics'!$C:$C,0)))</f>
        <v>architectural-design.html#rnd</v>
      </c>
      <c r="R1880" s="254" t="str">
        <f>IF(ISBLANK(INDEX('Policy Characteristics'!L:L,MATCH($C1880,'Policy Characteristics'!$C:$C,0))),"",INDEX('Policy Characteristics'!L:L,MATCH($C1880,'Policy Characteristics'!$C:$C,0)))</f>
        <v>research-and-development.html</v>
      </c>
    </row>
    <row r="1881" spans="1:18" x14ac:dyDescent="0.3">
      <c r="A1881" s="254" t="str">
        <f>IF(ISBLANK(INDEX('Policy Characteristics'!A:A,MATCH($C1881,'Policy Characteristics'!$C:$C,0))),"",INDEX('Policy Characteristics'!A:A,MATCH($C1881,'Policy Characteristics'!$C:$C,0)))</f>
        <v>Research and Development</v>
      </c>
      <c r="B1881" s="262" t="str">
        <f>IF(ISBLANK(INDEX('Policy Characteristics'!B:B,MATCH($C1881,'Policy Characteristics'!$C:$C,0))),"",INDEX('Policy Characteristics'!B:B,MATCH($C1881,'Policy Characteristics'!$C:$C,0)))</f>
        <v>Fuel Use Reduction</v>
      </c>
      <c r="C1881" s="254" t="str">
        <f t="shared" si="75"/>
        <v>RnD Electricity Fuel Use Perc Reduction</v>
      </c>
      <c r="D1881" s="6" t="s">
        <v>2750</v>
      </c>
      <c r="E1881" s="45"/>
      <c r="F1881" s="6" t="s">
        <v>3508</v>
      </c>
      <c r="G1881" s="45"/>
      <c r="H1881" s="43">
        <v>1827</v>
      </c>
      <c r="I1881" s="324" t="s">
        <v>43</v>
      </c>
      <c r="J1881" s="255" t="str">
        <f>IF(ISBLANK(INDEX('Policy Characteristics'!D:D,MATCH($C1881,'Policy Characteristics'!$C:$C,0))),"",INDEX('Policy Characteristics'!D:D,MATCH($C1881,'Policy Characteristics'!$C:$C,0)))</f>
        <v>R&amp;D Fuel Use Reductions</v>
      </c>
      <c r="K1881" s="254" t="str">
        <f>IF(ISBLANK(INDEX('Policy Characteristics'!E:E,MATCH($C1881,'Policy Characteristics'!$C:$C,0))),"",INDEX('Policy Characteristics'!E:E,MATCH($C1881,'Policy Characteristics'!$C:$C,0)))</f>
        <v>RnD electricity fuel use reduction</v>
      </c>
      <c r="L1881" s="261">
        <f>IF(ISBLANK(INDEX('Policy Characteristics'!F:F,MATCH($C1881,'Policy Characteristics'!$C:$C,0))),"",INDEX('Policy Characteristics'!F:F,MATCH($C1881,'Policy Characteristics'!$C:$C,0)))</f>
        <v>0</v>
      </c>
      <c r="M1881" s="261">
        <f>IF(ISBLANK(INDEX('Policy Characteristics'!G:G,MATCH($C1881,'Policy Characteristics'!$C:$C,0))),"",INDEX('Policy Characteristics'!G:G,MATCH($C1881,'Policy Characteristics'!$C:$C,0)))</f>
        <v>0.4</v>
      </c>
      <c r="N1881" s="261">
        <f>IF(ISBLANK(INDEX('Policy Characteristics'!H:H,MATCH($C1881,'Policy Characteristics'!$C:$C,0))),"",INDEX('Policy Characteristics'!H:H,MATCH($C1881,'Policy Characteristics'!$C:$C,0)))</f>
        <v>0.01</v>
      </c>
      <c r="O1881" s="254" t="str">
        <f>IF(ISBLANK(INDEX('Policy Characteristics'!I:I,MATCH($C1881,'Policy Characteristics'!$C:$C,0))),"",INDEX('Policy Characteristics'!I:I,MATCH($C1881,'Policy Characteristics'!$C:$C,0)))</f>
        <v>% reduction in fuel use</v>
      </c>
      <c r="P1881" s="254" t="str">
        <f>IF(ISBLANK(INDEX('Policy Characteristics'!J:J,MATCH($C1881,'Policy Characteristics'!$C:$C,0))),"",INDEX('Policy Characteristics'!J:J,MATCH($C1881,'Policy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4" t="str">
        <f>IF(ISBLANK(INDEX('Policy Characteristics'!K:K,MATCH($C1881,'Policy Characteristics'!$C:$C,0))),"",INDEX('Policy Characteristics'!K:K,MATCH($C1881,'Policy Characteristics'!$C:$C,0)))</f>
        <v>architectural-design.html#rnd</v>
      </c>
      <c r="R1881" s="254" t="str">
        <f>IF(ISBLANK(INDEX('Policy Characteristics'!L:L,MATCH($C1881,'Policy Characteristics'!$C:$C,0))),"",INDEX('Policy Characteristics'!L:L,MATCH($C1881,'Policy Characteristics'!$C:$C,0)))</f>
        <v>research-and-development.html</v>
      </c>
    </row>
    <row r="1882" spans="1:18" x14ac:dyDescent="0.3">
      <c r="A1882" s="254" t="str">
        <f>IF(ISBLANK(INDEX('Policy Characteristics'!A:A,MATCH($C1882,'Policy Characteristics'!$C:$C,0))),"",INDEX('Policy Characteristics'!A:A,MATCH($C1882,'Policy Characteristics'!$C:$C,0)))</f>
        <v>Research and Development</v>
      </c>
      <c r="B1882" s="262" t="str">
        <f>IF(ISBLANK(INDEX('Policy Characteristics'!B:B,MATCH($C1882,'Policy Characteristics'!$C:$C,0))),"",INDEX('Policy Characteristics'!B:B,MATCH($C1882,'Policy Characteristics'!$C:$C,0)))</f>
        <v>Fuel Use Reduction</v>
      </c>
      <c r="C1882" s="254" t="str">
        <f t="shared" si="75"/>
        <v>RnD Electricity Fuel Use Perc Reduction</v>
      </c>
      <c r="D1882" s="6" t="s">
        <v>3487</v>
      </c>
      <c r="E1882" s="45"/>
      <c r="F1882" s="6" t="s">
        <v>3509</v>
      </c>
      <c r="G1882" s="45"/>
      <c r="H1882" s="43">
        <v>1828</v>
      </c>
      <c r="I1882" s="324" t="s">
        <v>43</v>
      </c>
      <c r="J1882" s="255" t="str">
        <f>IF(ISBLANK(INDEX('Policy Characteristics'!D:D,MATCH($C1882,'Policy Characteristics'!$C:$C,0))),"",INDEX('Policy Characteristics'!D:D,MATCH($C1882,'Policy Characteristics'!$C:$C,0)))</f>
        <v>R&amp;D Fuel Use Reductions</v>
      </c>
      <c r="K1882" s="254" t="str">
        <f>IF(ISBLANK(INDEX('Policy Characteristics'!E:E,MATCH($C1882,'Policy Characteristics'!$C:$C,0))),"",INDEX('Policy Characteristics'!E:E,MATCH($C1882,'Policy Characteristics'!$C:$C,0)))</f>
        <v>RnD electricity fuel use reduction</v>
      </c>
      <c r="L1882" s="261">
        <f>IF(ISBLANK(INDEX('Policy Characteristics'!F:F,MATCH($C1882,'Policy Characteristics'!$C:$C,0))),"",INDEX('Policy Characteristics'!F:F,MATCH($C1882,'Policy Characteristics'!$C:$C,0)))</f>
        <v>0</v>
      </c>
      <c r="M1882" s="261">
        <f>IF(ISBLANK(INDEX('Policy Characteristics'!G:G,MATCH($C1882,'Policy Characteristics'!$C:$C,0))),"",INDEX('Policy Characteristics'!G:G,MATCH($C1882,'Policy Characteristics'!$C:$C,0)))</f>
        <v>0.4</v>
      </c>
      <c r="N1882" s="261">
        <f>IF(ISBLANK(INDEX('Policy Characteristics'!H:H,MATCH($C1882,'Policy Characteristics'!$C:$C,0))),"",INDEX('Policy Characteristics'!H:H,MATCH($C1882,'Policy Characteristics'!$C:$C,0)))</f>
        <v>0.01</v>
      </c>
      <c r="O1882" s="254" t="str">
        <f>IF(ISBLANK(INDEX('Policy Characteristics'!I:I,MATCH($C1882,'Policy Characteristics'!$C:$C,0))),"",INDEX('Policy Characteristics'!I:I,MATCH($C1882,'Policy Characteristics'!$C:$C,0)))</f>
        <v>% reduction in fuel use</v>
      </c>
      <c r="P1882" s="254" t="str">
        <f>IF(ISBLANK(INDEX('Policy Characteristics'!J:J,MATCH($C1882,'Policy Characteristics'!$C:$C,0))),"",INDEX('Policy Characteristics'!J:J,MATCH($C1882,'Policy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4" t="str">
        <f>IF(ISBLANK(INDEX('Policy Characteristics'!K:K,MATCH($C1882,'Policy Characteristics'!$C:$C,0))),"",INDEX('Policy Characteristics'!K:K,MATCH($C1882,'Policy Characteristics'!$C:$C,0)))</f>
        <v>architectural-design.html#rnd</v>
      </c>
      <c r="R1882" s="254" t="str">
        <f>IF(ISBLANK(INDEX('Policy Characteristics'!L:L,MATCH($C1882,'Policy Characteristics'!$C:$C,0))),"",INDEX('Policy Characteristics'!L:L,MATCH($C1882,'Policy Characteristics'!$C:$C,0)))</f>
        <v>research-and-development.html</v>
      </c>
    </row>
    <row r="1883" spans="1:18" x14ac:dyDescent="0.3">
      <c r="A1883" s="254" t="str">
        <f>IF(ISBLANK(INDEX('Policy Characteristics'!A:A,MATCH($C1883,'Policy Characteristics'!$C:$C,0))),"",INDEX('Policy Characteristics'!A:A,MATCH($C1883,'Policy Characteristics'!$C:$C,0)))</f>
        <v>Research and Development</v>
      </c>
      <c r="B1883" s="262" t="str">
        <f>IF(ISBLANK(INDEX('Policy Characteristics'!B:B,MATCH($C1883,'Policy Characteristics'!$C:$C,0))),"",INDEX('Policy Characteristics'!B:B,MATCH($C1883,'Policy Characteristics'!$C:$C,0)))</f>
        <v>Fuel Use Reduction</v>
      </c>
      <c r="C1883" s="254" t="str">
        <f t="shared" si="75"/>
        <v>RnD Electricity Fuel Use Perc Reduction</v>
      </c>
      <c r="D1883" s="6" t="s">
        <v>3490</v>
      </c>
      <c r="E1883" s="45"/>
      <c r="F1883" s="6" t="s">
        <v>3510</v>
      </c>
      <c r="G1883" s="45"/>
      <c r="H1883" s="43">
        <v>1829</v>
      </c>
      <c r="I1883" s="324" t="s">
        <v>43</v>
      </c>
      <c r="J1883" s="255" t="str">
        <f>IF(ISBLANK(INDEX('Policy Characteristics'!D:D,MATCH($C1883,'Policy Characteristics'!$C:$C,0))),"",INDEX('Policy Characteristics'!D:D,MATCH($C1883,'Policy Characteristics'!$C:$C,0)))</f>
        <v>R&amp;D Fuel Use Reductions</v>
      </c>
      <c r="K1883" s="254" t="str">
        <f>IF(ISBLANK(INDEX('Policy Characteristics'!E:E,MATCH($C1883,'Policy Characteristics'!$C:$C,0))),"",INDEX('Policy Characteristics'!E:E,MATCH($C1883,'Policy Characteristics'!$C:$C,0)))</f>
        <v>RnD electricity fuel use reduction</v>
      </c>
      <c r="L1883" s="261">
        <f>IF(ISBLANK(INDEX('Policy Characteristics'!F:F,MATCH($C1883,'Policy Characteristics'!$C:$C,0))),"",INDEX('Policy Characteristics'!F:F,MATCH($C1883,'Policy Characteristics'!$C:$C,0)))</f>
        <v>0</v>
      </c>
      <c r="M1883" s="261">
        <f>IF(ISBLANK(INDEX('Policy Characteristics'!G:G,MATCH($C1883,'Policy Characteristics'!$C:$C,0))),"",INDEX('Policy Characteristics'!G:G,MATCH($C1883,'Policy Characteristics'!$C:$C,0)))</f>
        <v>0.4</v>
      </c>
      <c r="N1883" s="261">
        <f>IF(ISBLANK(INDEX('Policy Characteristics'!H:H,MATCH($C1883,'Policy Characteristics'!$C:$C,0))),"",INDEX('Policy Characteristics'!H:H,MATCH($C1883,'Policy Characteristics'!$C:$C,0)))</f>
        <v>0.01</v>
      </c>
      <c r="O1883" s="254" t="str">
        <f>IF(ISBLANK(INDEX('Policy Characteristics'!I:I,MATCH($C1883,'Policy Characteristics'!$C:$C,0))),"",INDEX('Policy Characteristics'!I:I,MATCH($C1883,'Policy Characteristics'!$C:$C,0)))</f>
        <v>% reduction in fuel use</v>
      </c>
      <c r="P1883" s="254" t="str">
        <f>IF(ISBLANK(INDEX('Policy Characteristics'!J:J,MATCH($C1883,'Policy Characteristics'!$C:$C,0))),"",INDEX('Policy Characteristics'!J:J,MATCH($C1883,'Policy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4" t="str">
        <f>IF(ISBLANK(INDEX('Policy Characteristics'!K:K,MATCH($C1883,'Policy Characteristics'!$C:$C,0))),"",INDEX('Policy Characteristics'!K:K,MATCH($C1883,'Policy Characteristics'!$C:$C,0)))</f>
        <v>architectural-design.html#rnd</v>
      </c>
      <c r="R1883" s="254" t="str">
        <f>IF(ISBLANK(INDEX('Policy Characteristics'!L:L,MATCH($C1883,'Policy Characteristics'!$C:$C,0))),"",INDEX('Policy Characteristics'!L:L,MATCH($C1883,'Policy Characteristics'!$C:$C,0)))</f>
        <v>research-and-development.html</v>
      </c>
    </row>
    <row r="1884" spans="1:18" x14ac:dyDescent="0.3">
      <c r="A1884" s="254" t="str">
        <f>IF(ISBLANK(INDEX('Policy Characteristics'!A:A,MATCH($C1884,'Policy Characteristics'!$C:$C,0))),"",INDEX('Policy Characteristics'!A:A,MATCH($C1884,'Policy Characteristics'!$C:$C,0)))</f>
        <v>Research and Development</v>
      </c>
      <c r="B1884" s="262" t="str">
        <f>IF(ISBLANK(INDEX('Policy Characteristics'!B:B,MATCH($C1884,'Policy Characteristics'!$C:$C,0))),"",INDEX('Policy Characteristics'!B:B,MATCH($C1884,'Policy Characteristics'!$C:$C,0)))</f>
        <v>Fuel Use Reduction</v>
      </c>
      <c r="C1884" s="254" t="str">
        <f t="shared" si="75"/>
        <v>RnD Electricity Fuel Use Perc Reduction</v>
      </c>
      <c r="D1884" s="6" t="s">
        <v>3491</v>
      </c>
      <c r="E1884" s="45"/>
      <c r="F1884" s="6" t="s">
        <v>3511</v>
      </c>
      <c r="G1884" s="45"/>
      <c r="H1884" s="43">
        <v>1830</v>
      </c>
      <c r="I1884" s="324" t="s">
        <v>43</v>
      </c>
      <c r="J1884" s="255" t="str">
        <f>IF(ISBLANK(INDEX('Policy Characteristics'!D:D,MATCH($C1884,'Policy Characteristics'!$C:$C,0))),"",INDEX('Policy Characteristics'!D:D,MATCH($C1884,'Policy Characteristics'!$C:$C,0)))</f>
        <v>R&amp;D Fuel Use Reductions</v>
      </c>
      <c r="K1884" s="254" t="str">
        <f>IF(ISBLANK(INDEX('Policy Characteristics'!E:E,MATCH($C1884,'Policy Characteristics'!$C:$C,0))),"",INDEX('Policy Characteristics'!E:E,MATCH($C1884,'Policy Characteristics'!$C:$C,0)))</f>
        <v>RnD electricity fuel use reduction</v>
      </c>
      <c r="L1884" s="261">
        <f>IF(ISBLANK(INDEX('Policy Characteristics'!F:F,MATCH($C1884,'Policy Characteristics'!$C:$C,0))),"",INDEX('Policy Characteristics'!F:F,MATCH($C1884,'Policy Characteristics'!$C:$C,0)))</f>
        <v>0</v>
      </c>
      <c r="M1884" s="261">
        <f>IF(ISBLANK(INDEX('Policy Characteristics'!G:G,MATCH($C1884,'Policy Characteristics'!$C:$C,0))),"",INDEX('Policy Characteristics'!G:G,MATCH($C1884,'Policy Characteristics'!$C:$C,0)))</f>
        <v>0.4</v>
      </c>
      <c r="N1884" s="261">
        <f>IF(ISBLANK(INDEX('Policy Characteristics'!H:H,MATCH($C1884,'Policy Characteristics'!$C:$C,0))),"",INDEX('Policy Characteristics'!H:H,MATCH($C1884,'Policy Characteristics'!$C:$C,0)))</f>
        <v>0.01</v>
      </c>
      <c r="O1884" s="254" t="str">
        <f>IF(ISBLANK(INDEX('Policy Characteristics'!I:I,MATCH($C1884,'Policy Characteristics'!$C:$C,0))),"",INDEX('Policy Characteristics'!I:I,MATCH($C1884,'Policy Characteristics'!$C:$C,0)))</f>
        <v>% reduction in fuel use</v>
      </c>
      <c r="P1884" s="254" t="str">
        <f>IF(ISBLANK(INDEX('Policy Characteristics'!J:J,MATCH($C1884,'Policy Characteristics'!$C:$C,0))),"",INDEX('Policy Characteristics'!J:J,MATCH($C1884,'Policy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4" t="str">
        <f>IF(ISBLANK(INDEX('Policy Characteristics'!K:K,MATCH($C1884,'Policy Characteristics'!$C:$C,0))),"",INDEX('Policy Characteristics'!K:K,MATCH($C1884,'Policy Characteristics'!$C:$C,0)))</f>
        <v>architectural-design.html#rnd</v>
      </c>
      <c r="R1884" s="254" t="str">
        <f>IF(ISBLANK(INDEX('Policy Characteristics'!L:L,MATCH($C1884,'Policy Characteristics'!$C:$C,0))),"",INDEX('Policy Characteristics'!L:L,MATCH($C1884,'Policy Characteristics'!$C:$C,0)))</f>
        <v>research-and-development.html</v>
      </c>
    </row>
    <row r="1885" spans="1:18" x14ac:dyDescent="0.3">
      <c r="A1885" s="254" t="str">
        <f>IF(ISBLANK(INDEX('Policy Characteristics'!A:A,MATCH($C1885,'Policy Characteristics'!$C:$C,0))),"",INDEX('Policy Characteristics'!A:A,MATCH($C1885,'Policy Characteristics'!$C:$C,0)))</f>
        <v>Research and Development</v>
      </c>
      <c r="B1885" s="262" t="str">
        <f>IF(ISBLANK(INDEX('Policy Characteristics'!B:B,MATCH($C1885,'Policy Characteristics'!$C:$C,0))),"",INDEX('Policy Characteristics'!B:B,MATCH($C1885,'Policy Characteristics'!$C:$C,0)))</f>
        <v>Fuel Use Reduction</v>
      </c>
      <c r="C1885" s="254" t="str">
        <f t="shared" si="75"/>
        <v>RnD Electricity Fuel Use Perc Reduction</v>
      </c>
      <c r="D1885" s="6" t="s">
        <v>3492</v>
      </c>
      <c r="E1885" s="45"/>
      <c r="F1885" s="6" t="s">
        <v>3512</v>
      </c>
      <c r="G1885" s="45"/>
      <c r="H1885" s="43">
        <v>1831</v>
      </c>
      <c r="I1885" s="324" t="s">
        <v>43</v>
      </c>
      <c r="J1885" s="255" t="str">
        <f>IF(ISBLANK(INDEX('Policy Characteristics'!D:D,MATCH($C1885,'Policy Characteristics'!$C:$C,0))),"",INDEX('Policy Characteristics'!D:D,MATCH($C1885,'Policy Characteristics'!$C:$C,0)))</f>
        <v>R&amp;D Fuel Use Reductions</v>
      </c>
      <c r="K1885" s="254" t="str">
        <f>IF(ISBLANK(INDEX('Policy Characteristics'!E:E,MATCH($C1885,'Policy Characteristics'!$C:$C,0))),"",INDEX('Policy Characteristics'!E:E,MATCH($C1885,'Policy Characteristics'!$C:$C,0)))</f>
        <v>RnD electricity fuel use reduction</v>
      </c>
      <c r="L1885" s="261">
        <f>IF(ISBLANK(INDEX('Policy Characteristics'!F:F,MATCH($C1885,'Policy Characteristics'!$C:$C,0))),"",INDEX('Policy Characteristics'!F:F,MATCH($C1885,'Policy Characteristics'!$C:$C,0)))</f>
        <v>0</v>
      </c>
      <c r="M1885" s="261">
        <f>IF(ISBLANK(INDEX('Policy Characteristics'!G:G,MATCH($C1885,'Policy Characteristics'!$C:$C,0))),"",INDEX('Policy Characteristics'!G:G,MATCH($C1885,'Policy Characteristics'!$C:$C,0)))</f>
        <v>0.4</v>
      </c>
      <c r="N1885" s="261">
        <f>IF(ISBLANK(INDEX('Policy Characteristics'!H:H,MATCH($C1885,'Policy Characteristics'!$C:$C,0))),"",INDEX('Policy Characteristics'!H:H,MATCH($C1885,'Policy Characteristics'!$C:$C,0)))</f>
        <v>0.01</v>
      </c>
      <c r="O1885" s="254" t="str">
        <f>IF(ISBLANK(INDEX('Policy Characteristics'!I:I,MATCH($C1885,'Policy Characteristics'!$C:$C,0))),"",INDEX('Policy Characteristics'!I:I,MATCH($C1885,'Policy Characteristics'!$C:$C,0)))</f>
        <v>% reduction in fuel use</v>
      </c>
      <c r="P1885" s="254" t="str">
        <f>IF(ISBLANK(INDEX('Policy Characteristics'!J:J,MATCH($C1885,'Policy Characteristics'!$C:$C,0))),"",INDEX('Policy Characteristics'!J:J,MATCH($C1885,'Policy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4" t="str">
        <f>IF(ISBLANK(INDEX('Policy Characteristics'!K:K,MATCH($C1885,'Policy Characteristics'!$C:$C,0))),"",INDEX('Policy Characteristics'!K:K,MATCH($C1885,'Policy Characteristics'!$C:$C,0)))</f>
        <v>architectural-design.html#rnd</v>
      </c>
      <c r="R1885" s="254" t="str">
        <f>IF(ISBLANK(INDEX('Policy Characteristics'!L:L,MATCH($C1885,'Policy Characteristics'!$C:$C,0))),"",INDEX('Policy Characteristics'!L:L,MATCH($C1885,'Policy Characteristics'!$C:$C,0)))</f>
        <v>research-and-development.html</v>
      </c>
    </row>
    <row r="1886" spans="1:18" x14ac:dyDescent="0.3">
      <c r="A1886" s="254" t="str">
        <f>IF(ISBLANK(INDEX('Policy Characteristics'!A:A,MATCH($C1886,'Policy Characteristics'!$C:$C,0))),"",INDEX('Policy Characteristics'!A:A,MATCH($C1886,'Policy Characteristics'!$C:$C,0)))</f>
        <v>Research and Development</v>
      </c>
      <c r="B1886" s="262" t="str">
        <f>IF(ISBLANK(INDEX('Policy Characteristics'!B:B,MATCH($C1886,'Policy Characteristics'!$C:$C,0))),"",INDEX('Policy Characteristics'!B:B,MATCH($C1886,'Policy Characteristics'!$C:$C,0)))</f>
        <v>Fuel Use Reduction</v>
      </c>
      <c r="C1886" s="254" t="str">
        <f t="shared" si="75"/>
        <v>RnD Electricity Fuel Use Perc Reduction</v>
      </c>
      <c r="D1886" s="6" t="s">
        <v>3493</v>
      </c>
      <c r="E1886" s="45"/>
      <c r="F1886" s="6" t="s">
        <v>3513</v>
      </c>
      <c r="G1886" s="45"/>
      <c r="H1886" s="43">
        <v>1832</v>
      </c>
      <c r="I1886" s="324" t="s">
        <v>43</v>
      </c>
      <c r="J1886" s="255" t="str">
        <f>IF(ISBLANK(INDEX('Policy Characteristics'!D:D,MATCH($C1886,'Policy Characteristics'!$C:$C,0))),"",INDEX('Policy Characteristics'!D:D,MATCH($C1886,'Policy Characteristics'!$C:$C,0)))</f>
        <v>R&amp;D Fuel Use Reductions</v>
      </c>
      <c r="K1886" s="254" t="str">
        <f>IF(ISBLANK(INDEX('Policy Characteristics'!E:E,MATCH($C1886,'Policy Characteristics'!$C:$C,0))),"",INDEX('Policy Characteristics'!E:E,MATCH($C1886,'Policy Characteristics'!$C:$C,0)))</f>
        <v>RnD electricity fuel use reduction</v>
      </c>
      <c r="L1886" s="261">
        <f>IF(ISBLANK(INDEX('Policy Characteristics'!F:F,MATCH($C1886,'Policy Characteristics'!$C:$C,0))),"",INDEX('Policy Characteristics'!F:F,MATCH($C1886,'Policy Characteristics'!$C:$C,0)))</f>
        <v>0</v>
      </c>
      <c r="M1886" s="261">
        <f>IF(ISBLANK(INDEX('Policy Characteristics'!G:G,MATCH($C1886,'Policy Characteristics'!$C:$C,0))),"",INDEX('Policy Characteristics'!G:G,MATCH($C1886,'Policy Characteristics'!$C:$C,0)))</f>
        <v>0.4</v>
      </c>
      <c r="N1886" s="261">
        <f>IF(ISBLANK(INDEX('Policy Characteristics'!H:H,MATCH($C1886,'Policy Characteristics'!$C:$C,0))),"",INDEX('Policy Characteristics'!H:H,MATCH($C1886,'Policy Characteristics'!$C:$C,0)))</f>
        <v>0.01</v>
      </c>
      <c r="O1886" s="254" t="str">
        <f>IF(ISBLANK(INDEX('Policy Characteristics'!I:I,MATCH($C1886,'Policy Characteristics'!$C:$C,0))),"",INDEX('Policy Characteristics'!I:I,MATCH($C1886,'Policy Characteristics'!$C:$C,0)))</f>
        <v>% reduction in fuel use</v>
      </c>
      <c r="P1886" s="254" t="str">
        <f>IF(ISBLANK(INDEX('Policy Characteristics'!J:J,MATCH($C1886,'Policy Characteristics'!$C:$C,0))),"",INDEX('Policy Characteristics'!J:J,MATCH($C1886,'Policy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4" t="str">
        <f>IF(ISBLANK(INDEX('Policy Characteristics'!K:K,MATCH($C1886,'Policy Characteristics'!$C:$C,0))),"",INDEX('Policy Characteristics'!K:K,MATCH($C1886,'Policy Characteristics'!$C:$C,0)))</f>
        <v>architectural-design.html#rnd</v>
      </c>
      <c r="R1886" s="254" t="str">
        <f>IF(ISBLANK(INDEX('Policy Characteristics'!L:L,MATCH($C1886,'Policy Characteristics'!$C:$C,0))),"",INDEX('Policy Characteristics'!L:L,MATCH($C1886,'Policy Characteristics'!$C:$C,0)))</f>
        <v>research-and-development.html</v>
      </c>
    </row>
    <row r="1887" spans="1:18" x14ac:dyDescent="0.3">
      <c r="A1887" s="254" t="str">
        <f>IF(ISBLANK(INDEX('Policy Characteristics'!A:A,MATCH($C1887,'Policy Characteristics'!$C:$C,0))),"",INDEX('Policy Characteristics'!A:A,MATCH($C1887,'Policy Characteristics'!$C:$C,0)))</f>
        <v>Research and Development</v>
      </c>
      <c r="B1887" s="262" t="str">
        <f>IF(ISBLANK(INDEX('Policy Characteristics'!B:B,MATCH($C1887,'Policy Characteristics'!$C:$C,0))),"",INDEX('Policy Characteristics'!B:B,MATCH($C1887,'Policy Characteristics'!$C:$C,0)))</f>
        <v>Fuel Use Reduction</v>
      </c>
      <c r="C1887" s="254" t="str">
        <f t="shared" si="75"/>
        <v>RnD Electricity Fuel Use Perc Reduction</v>
      </c>
      <c r="D1887" s="6" t="s">
        <v>3582</v>
      </c>
      <c r="E1887" s="45"/>
      <c r="F1887" s="6" t="s">
        <v>3584</v>
      </c>
      <c r="G1887" s="45"/>
      <c r="H1887" s="43">
        <v>1833</v>
      </c>
      <c r="I1887" s="324" t="s">
        <v>43</v>
      </c>
      <c r="J1887" s="255" t="str">
        <f>IF(ISBLANK(INDEX('Policy Characteristics'!D:D,MATCH($C1887,'Policy Characteristics'!$C:$C,0))),"",INDEX('Policy Characteristics'!D:D,MATCH($C1887,'Policy Characteristics'!$C:$C,0)))</f>
        <v>R&amp;D Fuel Use Reductions</v>
      </c>
      <c r="K1887" s="254" t="str">
        <f>IF(ISBLANK(INDEX('Policy Characteristics'!E:E,MATCH($C1887,'Policy Characteristics'!$C:$C,0))),"",INDEX('Policy Characteristics'!E:E,MATCH($C1887,'Policy Characteristics'!$C:$C,0)))</f>
        <v>RnD electricity fuel use reduction</v>
      </c>
      <c r="L1887" s="261">
        <f>IF(ISBLANK(INDEX('Policy Characteristics'!F:F,MATCH($C1887,'Policy Characteristics'!$C:$C,0))),"",INDEX('Policy Characteristics'!F:F,MATCH($C1887,'Policy Characteristics'!$C:$C,0)))</f>
        <v>0</v>
      </c>
      <c r="M1887" s="261">
        <f>IF(ISBLANK(INDEX('Policy Characteristics'!G:G,MATCH($C1887,'Policy Characteristics'!$C:$C,0))),"",INDEX('Policy Characteristics'!G:G,MATCH($C1887,'Policy Characteristics'!$C:$C,0)))</f>
        <v>0.4</v>
      </c>
      <c r="N1887" s="261">
        <f>IF(ISBLANK(INDEX('Policy Characteristics'!H:H,MATCH($C1887,'Policy Characteristics'!$C:$C,0))),"",INDEX('Policy Characteristics'!H:H,MATCH($C1887,'Policy Characteristics'!$C:$C,0)))</f>
        <v>0.01</v>
      </c>
      <c r="O1887" s="254" t="str">
        <f>IF(ISBLANK(INDEX('Policy Characteristics'!I:I,MATCH($C1887,'Policy Characteristics'!$C:$C,0))),"",INDEX('Policy Characteristics'!I:I,MATCH($C1887,'Policy Characteristics'!$C:$C,0)))</f>
        <v>% reduction in fuel use</v>
      </c>
      <c r="P1887" s="254" t="str">
        <f>IF(ISBLANK(INDEX('Policy Characteristics'!J:J,MATCH($C1887,'Policy Characteristics'!$C:$C,0))),"",INDEX('Policy Characteristics'!J:J,MATCH($C1887,'Policy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4" t="str">
        <f>IF(ISBLANK(INDEX('Policy Characteristics'!K:K,MATCH($C1887,'Policy Characteristics'!$C:$C,0))),"",INDEX('Policy Characteristics'!K:K,MATCH($C1887,'Policy Characteristics'!$C:$C,0)))</f>
        <v>architectural-design.html#rnd</v>
      </c>
      <c r="R1887" s="254" t="str">
        <f>IF(ISBLANK(INDEX('Policy Characteristics'!L:L,MATCH($C1887,'Policy Characteristics'!$C:$C,0))),"",INDEX('Policy Characteristics'!L:L,MATCH($C1887,'Policy Characteristics'!$C:$C,0)))</f>
        <v>research-and-development.html</v>
      </c>
    </row>
    <row r="1888" spans="1:18" x14ac:dyDescent="0.3">
      <c r="A1888" s="254" t="str">
        <f>IF(ISBLANK(INDEX('Policy Characteristics'!A:A,MATCH($C1888,'Policy Characteristics'!$C:$C,0))),"",INDEX('Policy Characteristics'!A:A,MATCH($C1888,'Policy Characteristics'!$C:$C,0)))</f>
        <v>Research and Development</v>
      </c>
      <c r="B1888" s="262" t="str">
        <f>IF(ISBLANK(INDEX('Policy Characteristics'!B:B,MATCH($C1888,'Policy Characteristics'!$C:$C,0))),"",INDEX('Policy Characteristics'!B:B,MATCH($C1888,'Policy Characteristics'!$C:$C,0)))</f>
        <v>Fuel Use Reduction</v>
      </c>
      <c r="C1888" s="254" t="str">
        <f t="shared" si="75"/>
        <v>RnD Electricity Fuel Use Perc Reduction</v>
      </c>
      <c r="D1888" s="6" t="s">
        <v>3583</v>
      </c>
      <c r="E1888" s="45"/>
      <c r="F1888" s="6" t="s">
        <v>3585</v>
      </c>
      <c r="G1888" s="45"/>
      <c r="H1888" s="43">
        <v>2246</v>
      </c>
      <c r="I1888" s="324" t="s">
        <v>43</v>
      </c>
      <c r="J1888" s="255" t="str">
        <f>IF(ISBLANK(INDEX('Policy Characteristics'!D:D,MATCH($C1888,'Policy Characteristics'!$C:$C,0))),"",INDEX('Policy Characteristics'!D:D,MATCH($C1888,'Policy Characteristics'!$C:$C,0)))</f>
        <v>R&amp;D Fuel Use Reductions</v>
      </c>
      <c r="K1888" s="254" t="str">
        <f>IF(ISBLANK(INDEX('Policy Characteristics'!E:E,MATCH($C1888,'Policy Characteristics'!$C:$C,0))),"",INDEX('Policy Characteristics'!E:E,MATCH($C1888,'Policy Characteristics'!$C:$C,0)))</f>
        <v>RnD electricity fuel use reduction</v>
      </c>
      <c r="L1888" s="261">
        <f>IF(ISBLANK(INDEX('Policy Characteristics'!F:F,MATCH($C1888,'Policy Characteristics'!$C:$C,0))),"",INDEX('Policy Characteristics'!F:F,MATCH($C1888,'Policy Characteristics'!$C:$C,0)))</f>
        <v>0</v>
      </c>
      <c r="M1888" s="261">
        <f>IF(ISBLANK(INDEX('Policy Characteristics'!G:G,MATCH($C1888,'Policy Characteristics'!$C:$C,0))),"",INDEX('Policy Characteristics'!G:G,MATCH($C1888,'Policy Characteristics'!$C:$C,0)))</f>
        <v>0.4</v>
      </c>
      <c r="N1888" s="261">
        <f>IF(ISBLANK(INDEX('Policy Characteristics'!H:H,MATCH($C1888,'Policy Characteristics'!$C:$C,0))),"",INDEX('Policy Characteristics'!H:H,MATCH($C1888,'Policy Characteristics'!$C:$C,0)))</f>
        <v>0.01</v>
      </c>
      <c r="O1888" s="254" t="str">
        <f>IF(ISBLANK(INDEX('Policy Characteristics'!I:I,MATCH($C1888,'Policy Characteristics'!$C:$C,0))),"",INDEX('Policy Characteristics'!I:I,MATCH($C1888,'Policy Characteristics'!$C:$C,0)))</f>
        <v>% reduction in fuel use</v>
      </c>
      <c r="P1888" s="254" t="str">
        <f>IF(ISBLANK(INDEX('Policy Characteristics'!J:J,MATCH($C1888,'Policy Characteristics'!$C:$C,0))),"",INDEX('Policy Characteristics'!J:J,MATCH($C1888,'Policy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4" t="str">
        <f>IF(ISBLANK(INDEX('Policy Characteristics'!K:K,MATCH($C1888,'Policy Characteristics'!$C:$C,0))),"",INDEX('Policy Characteristics'!K:K,MATCH($C1888,'Policy Characteristics'!$C:$C,0)))</f>
        <v>architectural-design.html#rnd</v>
      </c>
      <c r="R1888" s="254" t="str">
        <f>IF(ISBLANK(INDEX('Policy Characteristics'!L:L,MATCH($C1888,'Policy Characteristics'!$C:$C,0))),"",INDEX('Policy Characteristics'!L:L,MATCH($C1888,'Policy Characteristics'!$C:$C,0)))</f>
        <v>research-and-development.html</v>
      </c>
    </row>
    <row r="1889" spans="1:18" x14ac:dyDescent="0.3">
      <c r="A1889" s="254" t="str">
        <f>IF(ISBLANK(INDEX('Policy Characteristics'!A:A,MATCH($C1889,'Policy Characteristics'!$C:$C,0))),"",INDEX('Policy Characteristics'!A:A,MATCH($C1889,'Policy Characteristics'!$C:$C,0)))</f>
        <v>Research and Development</v>
      </c>
      <c r="B1889" s="262" t="str">
        <f>IF(ISBLANK(INDEX('Policy Characteristics'!B:B,MATCH($C1889,'Policy Characteristics'!$C:$C,0))),"",INDEX('Policy Characteristics'!B:B,MATCH($C1889,'Policy Characteristics'!$C:$C,0)))</f>
        <v>Fuel Use Reduction</v>
      </c>
      <c r="C1889" t="s">
        <v>296</v>
      </c>
      <c r="D1889" t="s">
        <v>3061</v>
      </c>
      <c r="E1889" s="45"/>
      <c r="F1889" s="6" t="s">
        <v>3088</v>
      </c>
      <c r="G1889" s="45"/>
      <c r="H1889" s="43">
        <v>1487</v>
      </c>
      <c r="I1889" s="324" t="s">
        <v>43</v>
      </c>
      <c r="J1889" s="255" t="str">
        <f>IF(ISBLANK(INDEX('Policy Characteristics'!D:D,MATCH($C1889,'Policy Characteristics'!$C:$C,0))),"",INDEX('Policy Characteristics'!D:D,MATCH($C1889,'Policy Characteristics'!$C:$C,0)))</f>
        <v>R&amp;D Fuel Use Reductions</v>
      </c>
      <c r="K1889" s="254" t="str">
        <f>IF(ISBLANK(INDEX('Policy Characteristics'!E:E,MATCH($C1889,'Policy Characteristics'!$C:$C,0))),"",INDEX('Policy Characteristics'!E:E,MATCH($C1889,'Policy Characteristics'!$C:$C,0)))</f>
        <v>RnD industry fuel use reduction</v>
      </c>
      <c r="L1889" s="261">
        <f>IF(ISBLANK(INDEX('Policy Characteristics'!F:F,MATCH($C1889,'Policy Characteristics'!$C:$C,0))),"",INDEX('Policy Characteristics'!F:F,MATCH($C1889,'Policy Characteristics'!$C:$C,0)))</f>
        <v>0</v>
      </c>
      <c r="M1889" s="261">
        <f>IF(ISBLANK(INDEX('Policy Characteristics'!G:G,MATCH($C1889,'Policy Characteristics'!$C:$C,0))),"",INDEX('Policy Characteristics'!G:G,MATCH($C1889,'Policy Characteristics'!$C:$C,0)))</f>
        <v>0.4</v>
      </c>
      <c r="N1889" s="261">
        <f>IF(ISBLANK(INDEX('Policy Characteristics'!H:H,MATCH($C1889,'Policy Characteristics'!$C:$C,0))),"",INDEX('Policy Characteristics'!H:H,MATCH($C1889,'Policy Characteristics'!$C:$C,0)))</f>
        <v>0.01</v>
      </c>
      <c r="O1889" s="254" t="str">
        <f>IF(ISBLANK(INDEX('Policy Characteristics'!I:I,MATCH($C1889,'Policy Characteristics'!$C:$C,0))),"",INDEX('Policy Characteristics'!I:I,MATCH($C1889,'Policy Characteristics'!$C:$C,0)))</f>
        <v>% reduction in fuel use</v>
      </c>
      <c r="P1889" s="254" t="str">
        <f>IF(ISBLANK(INDEX('Policy Characteristics'!J:J,MATCH($C1889,'Policy Characteristics'!$C:$C,0))),"",INDEX('Policy Characteristics'!J:J,MATCH($C1889,'Policy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4" t="str">
        <f>IF(ISBLANK(INDEX('Policy Characteristics'!K:K,MATCH($C1889,'Policy Characteristics'!$C:$C,0))),"",INDEX('Policy Characteristics'!K:K,MATCH($C1889,'Policy Characteristics'!$C:$C,0)))</f>
        <v>architectural-design.html#rnd</v>
      </c>
      <c r="R1889" s="254" t="str">
        <f>IF(ISBLANK(INDEX('Policy Characteristics'!L:L,MATCH($C1889,'Policy Characteristics'!$C:$C,0))),"",INDEX('Policy Characteristics'!L:L,MATCH($C1889,'Policy Characteristics'!$C:$C,0)))</f>
        <v>research-and-development.html</v>
      </c>
    </row>
    <row r="1890" spans="1:18" x14ac:dyDescent="0.3">
      <c r="A1890" s="254" t="str">
        <f>IF(ISBLANK(INDEX('Policy Characteristics'!A:A,MATCH($C1890,'Policy Characteristics'!$C:$C,0))),"",INDEX('Policy Characteristics'!A:A,MATCH($C1890,'Policy Characteristics'!$C:$C,0)))</f>
        <v>Research and Development</v>
      </c>
      <c r="B1890" s="262" t="str">
        <f>IF(ISBLANK(INDEX('Policy Characteristics'!B:B,MATCH($C1890,'Policy Characteristics'!$C:$C,0))),"",INDEX('Policy Characteristics'!B:B,MATCH($C1890,'Policy Characteristics'!$C:$C,0)))</f>
        <v>Fuel Use Reduction</v>
      </c>
      <c r="C1890" s="254" t="str">
        <f t="shared" ref="C1890:C1913" si="76">C$1889</f>
        <v>RnD Industry Fuel Use Perc Reduction</v>
      </c>
      <c r="D1890" t="s">
        <v>3062</v>
      </c>
      <c r="E1890" s="45"/>
      <c r="F1890" s="6" t="s">
        <v>3089</v>
      </c>
      <c r="G1890" s="45"/>
      <c r="H1890" s="43">
        <v>1488</v>
      </c>
      <c r="I1890" s="324" t="s">
        <v>43</v>
      </c>
      <c r="J1890" s="255" t="str">
        <f>IF(ISBLANK(INDEX('Policy Characteristics'!D:D,MATCH($C1890,'Policy Characteristics'!$C:$C,0))),"",INDEX('Policy Characteristics'!D:D,MATCH($C1890,'Policy Characteristics'!$C:$C,0)))</f>
        <v>R&amp;D Fuel Use Reductions</v>
      </c>
      <c r="K1890" s="254" t="str">
        <f>IF(ISBLANK(INDEX('Policy Characteristics'!E:E,MATCH($C1890,'Policy Characteristics'!$C:$C,0))),"",INDEX('Policy Characteristics'!E:E,MATCH($C1890,'Policy Characteristics'!$C:$C,0)))</f>
        <v>RnD industry fuel use reduction</v>
      </c>
      <c r="L1890" s="261">
        <f>IF(ISBLANK(INDEX('Policy Characteristics'!F:F,MATCH($C1890,'Policy Characteristics'!$C:$C,0))),"",INDEX('Policy Characteristics'!F:F,MATCH($C1890,'Policy Characteristics'!$C:$C,0)))</f>
        <v>0</v>
      </c>
      <c r="M1890" s="261">
        <f>IF(ISBLANK(INDEX('Policy Characteristics'!G:G,MATCH($C1890,'Policy Characteristics'!$C:$C,0))),"",INDEX('Policy Characteristics'!G:G,MATCH($C1890,'Policy Characteristics'!$C:$C,0)))</f>
        <v>0.4</v>
      </c>
      <c r="N1890" s="261">
        <f>IF(ISBLANK(INDEX('Policy Characteristics'!H:H,MATCH($C1890,'Policy Characteristics'!$C:$C,0))),"",INDEX('Policy Characteristics'!H:H,MATCH($C1890,'Policy Characteristics'!$C:$C,0)))</f>
        <v>0.01</v>
      </c>
      <c r="O1890" s="254" t="str">
        <f>IF(ISBLANK(INDEX('Policy Characteristics'!I:I,MATCH($C1890,'Policy Characteristics'!$C:$C,0))),"",INDEX('Policy Characteristics'!I:I,MATCH($C1890,'Policy Characteristics'!$C:$C,0)))</f>
        <v>% reduction in fuel use</v>
      </c>
      <c r="P1890" s="254" t="str">
        <f>IF(ISBLANK(INDEX('Policy Characteristics'!J:J,MATCH($C1890,'Policy Characteristics'!$C:$C,0))),"",INDEX('Policy Characteristics'!J:J,MATCH($C1890,'Policy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4" t="str">
        <f>IF(ISBLANK(INDEX('Policy Characteristics'!K:K,MATCH($C1890,'Policy Characteristics'!$C:$C,0))),"",INDEX('Policy Characteristics'!K:K,MATCH($C1890,'Policy Characteristics'!$C:$C,0)))</f>
        <v>architectural-design.html#rnd</v>
      </c>
      <c r="R1890" s="254" t="str">
        <f>IF(ISBLANK(INDEX('Policy Characteristics'!L:L,MATCH($C1890,'Policy Characteristics'!$C:$C,0))),"",INDEX('Policy Characteristics'!L:L,MATCH($C1890,'Policy Characteristics'!$C:$C,0)))</f>
        <v>research-and-development.html</v>
      </c>
    </row>
    <row r="1891" spans="1:18" x14ac:dyDescent="0.3">
      <c r="A1891" s="254" t="str">
        <f>IF(ISBLANK(INDEX('Policy Characteristics'!A:A,MATCH($C1891,'Policy Characteristics'!$C:$C,0))),"",INDEX('Policy Characteristics'!A:A,MATCH($C1891,'Policy Characteristics'!$C:$C,0)))</f>
        <v>Research and Development</v>
      </c>
      <c r="B1891" s="262" t="str">
        <f>IF(ISBLANK(INDEX('Policy Characteristics'!B:B,MATCH($C1891,'Policy Characteristics'!$C:$C,0))),"",INDEX('Policy Characteristics'!B:B,MATCH($C1891,'Policy Characteristics'!$C:$C,0)))</f>
        <v>Fuel Use Reduction</v>
      </c>
      <c r="C1891" s="254" t="str">
        <f t="shared" si="76"/>
        <v>RnD Industry Fuel Use Perc Reduction</v>
      </c>
      <c r="D1891" t="s">
        <v>3063</v>
      </c>
      <c r="E1891" s="45"/>
      <c r="F1891" s="6" t="s">
        <v>3090</v>
      </c>
      <c r="G1891" s="45"/>
      <c r="H1891" s="43">
        <v>1489</v>
      </c>
      <c r="I1891" s="324" t="s">
        <v>43</v>
      </c>
      <c r="J1891" s="255" t="str">
        <f>IF(ISBLANK(INDEX('Policy Characteristics'!D:D,MATCH($C1891,'Policy Characteristics'!$C:$C,0))),"",INDEX('Policy Characteristics'!D:D,MATCH($C1891,'Policy Characteristics'!$C:$C,0)))</f>
        <v>R&amp;D Fuel Use Reductions</v>
      </c>
      <c r="K1891" s="254" t="str">
        <f>IF(ISBLANK(INDEX('Policy Characteristics'!E:E,MATCH($C1891,'Policy Characteristics'!$C:$C,0))),"",INDEX('Policy Characteristics'!E:E,MATCH($C1891,'Policy Characteristics'!$C:$C,0)))</f>
        <v>RnD industry fuel use reduction</v>
      </c>
      <c r="L1891" s="261">
        <f>IF(ISBLANK(INDEX('Policy Characteristics'!F:F,MATCH($C1891,'Policy Characteristics'!$C:$C,0))),"",INDEX('Policy Characteristics'!F:F,MATCH($C1891,'Policy Characteristics'!$C:$C,0)))</f>
        <v>0</v>
      </c>
      <c r="M1891" s="261">
        <f>IF(ISBLANK(INDEX('Policy Characteristics'!G:G,MATCH($C1891,'Policy Characteristics'!$C:$C,0))),"",INDEX('Policy Characteristics'!G:G,MATCH($C1891,'Policy Characteristics'!$C:$C,0)))</f>
        <v>0.4</v>
      </c>
      <c r="N1891" s="261">
        <f>IF(ISBLANK(INDEX('Policy Characteristics'!H:H,MATCH($C1891,'Policy Characteristics'!$C:$C,0))),"",INDEX('Policy Characteristics'!H:H,MATCH($C1891,'Policy Characteristics'!$C:$C,0)))</f>
        <v>0.01</v>
      </c>
      <c r="O1891" s="254" t="str">
        <f>IF(ISBLANK(INDEX('Policy Characteristics'!I:I,MATCH($C1891,'Policy Characteristics'!$C:$C,0))),"",INDEX('Policy Characteristics'!I:I,MATCH($C1891,'Policy Characteristics'!$C:$C,0)))</f>
        <v>% reduction in fuel use</v>
      </c>
      <c r="P1891" s="254" t="str">
        <f>IF(ISBLANK(INDEX('Policy Characteristics'!J:J,MATCH($C1891,'Policy Characteristics'!$C:$C,0))),"",INDEX('Policy Characteristics'!J:J,MATCH($C1891,'Policy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4" t="str">
        <f>IF(ISBLANK(INDEX('Policy Characteristics'!K:K,MATCH($C1891,'Policy Characteristics'!$C:$C,0))),"",INDEX('Policy Characteristics'!K:K,MATCH($C1891,'Policy Characteristics'!$C:$C,0)))</f>
        <v>architectural-design.html#rnd</v>
      </c>
      <c r="R1891" s="254" t="str">
        <f>IF(ISBLANK(INDEX('Policy Characteristics'!L:L,MATCH($C1891,'Policy Characteristics'!$C:$C,0))),"",INDEX('Policy Characteristics'!L:L,MATCH($C1891,'Policy Characteristics'!$C:$C,0)))</f>
        <v>research-and-development.html</v>
      </c>
    </row>
    <row r="1892" spans="1:18" x14ac:dyDescent="0.3">
      <c r="A1892" s="254" t="str">
        <f>IF(ISBLANK(INDEX('Policy Characteristics'!A:A,MATCH($C1892,'Policy Characteristics'!$C:$C,0))),"",INDEX('Policy Characteristics'!A:A,MATCH($C1892,'Policy Characteristics'!$C:$C,0)))</f>
        <v>Research and Development</v>
      </c>
      <c r="B1892" s="262" t="str">
        <f>IF(ISBLANK(INDEX('Policy Characteristics'!B:B,MATCH($C1892,'Policy Characteristics'!$C:$C,0))),"",INDEX('Policy Characteristics'!B:B,MATCH($C1892,'Policy Characteristics'!$C:$C,0)))</f>
        <v>Fuel Use Reduction</v>
      </c>
      <c r="C1892" s="254" t="str">
        <f t="shared" si="76"/>
        <v>RnD Industry Fuel Use Perc Reduction</v>
      </c>
      <c r="D1892" t="s">
        <v>3064</v>
      </c>
      <c r="E1892" s="45"/>
      <c r="F1892" s="6" t="s">
        <v>3091</v>
      </c>
      <c r="G1892" s="45"/>
      <c r="H1892" s="43">
        <v>1490</v>
      </c>
      <c r="I1892" s="324" t="s">
        <v>43</v>
      </c>
      <c r="J1892" s="255" t="str">
        <f>IF(ISBLANK(INDEX('Policy Characteristics'!D:D,MATCH($C1892,'Policy Characteristics'!$C:$C,0))),"",INDEX('Policy Characteristics'!D:D,MATCH($C1892,'Policy Characteristics'!$C:$C,0)))</f>
        <v>R&amp;D Fuel Use Reductions</v>
      </c>
      <c r="K1892" s="254" t="str">
        <f>IF(ISBLANK(INDEX('Policy Characteristics'!E:E,MATCH($C1892,'Policy Characteristics'!$C:$C,0))),"",INDEX('Policy Characteristics'!E:E,MATCH($C1892,'Policy Characteristics'!$C:$C,0)))</f>
        <v>RnD industry fuel use reduction</v>
      </c>
      <c r="L1892" s="261">
        <f>IF(ISBLANK(INDEX('Policy Characteristics'!F:F,MATCH($C1892,'Policy Characteristics'!$C:$C,0))),"",INDEX('Policy Characteristics'!F:F,MATCH($C1892,'Policy Characteristics'!$C:$C,0)))</f>
        <v>0</v>
      </c>
      <c r="M1892" s="261">
        <f>IF(ISBLANK(INDEX('Policy Characteristics'!G:G,MATCH($C1892,'Policy Characteristics'!$C:$C,0))),"",INDEX('Policy Characteristics'!G:G,MATCH($C1892,'Policy Characteristics'!$C:$C,0)))</f>
        <v>0.4</v>
      </c>
      <c r="N1892" s="261">
        <f>IF(ISBLANK(INDEX('Policy Characteristics'!H:H,MATCH($C1892,'Policy Characteristics'!$C:$C,0))),"",INDEX('Policy Characteristics'!H:H,MATCH($C1892,'Policy Characteristics'!$C:$C,0)))</f>
        <v>0.01</v>
      </c>
      <c r="O1892" s="254" t="str">
        <f>IF(ISBLANK(INDEX('Policy Characteristics'!I:I,MATCH($C1892,'Policy Characteristics'!$C:$C,0))),"",INDEX('Policy Characteristics'!I:I,MATCH($C1892,'Policy Characteristics'!$C:$C,0)))</f>
        <v>% reduction in fuel use</v>
      </c>
      <c r="P1892" s="254" t="str">
        <f>IF(ISBLANK(INDEX('Policy Characteristics'!J:J,MATCH($C1892,'Policy Characteristics'!$C:$C,0))),"",INDEX('Policy Characteristics'!J:J,MATCH($C1892,'Policy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4" t="str">
        <f>IF(ISBLANK(INDEX('Policy Characteristics'!K:K,MATCH($C1892,'Policy Characteristics'!$C:$C,0))),"",INDEX('Policy Characteristics'!K:K,MATCH($C1892,'Policy Characteristics'!$C:$C,0)))</f>
        <v>architectural-design.html#rnd</v>
      </c>
      <c r="R1892" s="254" t="str">
        <f>IF(ISBLANK(INDEX('Policy Characteristics'!L:L,MATCH($C1892,'Policy Characteristics'!$C:$C,0))),"",INDEX('Policy Characteristics'!L:L,MATCH($C1892,'Policy Characteristics'!$C:$C,0)))</f>
        <v>research-and-development.html</v>
      </c>
    </row>
    <row r="1893" spans="1:18" x14ac:dyDescent="0.3">
      <c r="A1893" s="254" t="str">
        <f>IF(ISBLANK(INDEX('Policy Characteristics'!A:A,MATCH($C1893,'Policy Characteristics'!$C:$C,0))),"",INDEX('Policy Characteristics'!A:A,MATCH($C1893,'Policy Characteristics'!$C:$C,0)))</f>
        <v>Research and Development</v>
      </c>
      <c r="B1893" s="262" t="str">
        <f>IF(ISBLANK(INDEX('Policy Characteristics'!B:B,MATCH($C1893,'Policy Characteristics'!$C:$C,0))),"",INDEX('Policy Characteristics'!B:B,MATCH($C1893,'Policy Characteristics'!$C:$C,0)))</f>
        <v>Fuel Use Reduction</v>
      </c>
      <c r="C1893" s="254" t="str">
        <f t="shared" si="76"/>
        <v>RnD Industry Fuel Use Perc Reduction</v>
      </c>
      <c r="D1893" t="s">
        <v>3065</v>
      </c>
      <c r="E1893" s="45"/>
      <c r="F1893" s="6" t="s">
        <v>3092</v>
      </c>
      <c r="G1893" s="45"/>
      <c r="H1893" s="43">
        <v>1491</v>
      </c>
      <c r="I1893" s="324" t="s">
        <v>43</v>
      </c>
      <c r="J1893" s="255" t="str">
        <f>IF(ISBLANK(INDEX('Policy Characteristics'!D:D,MATCH($C1893,'Policy Characteristics'!$C:$C,0))),"",INDEX('Policy Characteristics'!D:D,MATCH($C1893,'Policy Characteristics'!$C:$C,0)))</f>
        <v>R&amp;D Fuel Use Reductions</v>
      </c>
      <c r="K1893" s="254" t="str">
        <f>IF(ISBLANK(INDEX('Policy Characteristics'!E:E,MATCH($C1893,'Policy Characteristics'!$C:$C,0))),"",INDEX('Policy Characteristics'!E:E,MATCH($C1893,'Policy Characteristics'!$C:$C,0)))</f>
        <v>RnD industry fuel use reduction</v>
      </c>
      <c r="L1893" s="261">
        <f>IF(ISBLANK(INDEX('Policy Characteristics'!F:F,MATCH($C1893,'Policy Characteristics'!$C:$C,0))),"",INDEX('Policy Characteristics'!F:F,MATCH($C1893,'Policy Characteristics'!$C:$C,0)))</f>
        <v>0</v>
      </c>
      <c r="M1893" s="261">
        <f>IF(ISBLANK(INDEX('Policy Characteristics'!G:G,MATCH($C1893,'Policy Characteristics'!$C:$C,0))),"",INDEX('Policy Characteristics'!G:G,MATCH($C1893,'Policy Characteristics'!$C:$C,0)))</f>
        <v>0.4</v>
      </c>
      <c r="N1893" s="261">
        <f>IF(ISBLANK(INDEX('Policy Characteristics'!H:H,MATCH($C1893,'Policy Characteristics'!$C:$C,0))),"",INDEX('Policy Characteristics'!H:H,MATCH($C1893,'Policy Characteristics'!$C:$C,0)))</f>
        <v>0.01</v>
      </c>
      <c r="O1893" s="254" t="str">
        <f>IF(ISBLANK(INDEX('Policy Characteristics'!I:I,MATCH($C1893,'Policy Characteristics'!$C:$C,0))),"",INDEX('Policy Characteristics'!I:I,MATCH($C1893,'Policy Characteristics'!$C:$C,0)))</f>
        <v>% reduction in fuel use</v>
      </c>
      <c r="P1893" s="254" t="str">
        <f>IF(ISBLANK(INDEX('Policy Characteristics'!J:J,MATCH($C1893,'Policy Characteristics'!$C:$C,0))),"",INDEX('Policy Characteristics'!J:J,MATCH($C1893,'Policy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4" t="str">
        <f>IF(ISBLANK(INDEX('Policy Characteristics'!K:K,MATCH($C1893,'Policy Characteristics'!$C:$C,0))),"",INDEX('Policy Characteristics'!K:K,MATCH($C1893,'Policy Characteristics'!$C:$C,0)))</f>
        <v>architectural-design.html#rnd</v>
      </c>
      <c r="R1893" s="254" t="str">
        <f>IF(ISBLANK(INDEX('Policy Characteristics'!L:L,MATCH($C1893,'Policy Characteristics'!$C:$C,0))),"",INDEX('Policy Characteristics'!L:L,MATCH($C1893,'Policy Characteristics'!$C:$C,0)))</f>
        <v>research-and-development.html</v>
      </c>
    </row>
    <row r="1894" spans="1:18" x14ac:dyDescent="0.3">
      <c r="A1894" s="254" t="str">
        <f>IF(ISBLANK(INDEX('Policy Characteristics'!A:A,MATCH($C1894,'Policy Characteristics'!$C:$C,0))),"",INDEX('Policy Characteristics'!A:A,MATCH($C1894,'Policy Characteristics'!$C:$C,0)))</f>
        <v>Research and Development</v>
      </c>
      <c r="B1894" s="262" t="str">
        <f>IF(ISBLANK(INDEX('Policy Characteristics'!B:B,MATCH($C1894,'Policy Characteristics'!$C:$C,0))),"",INDEX('Policy Characteristics'!B:B,MATCH($C1894,'Policy Characteristics'!$C:$C,0)))</f>
        <v>Fuel Use Reduction</v>
      </c>
      <c r="C1894" s="254" t="str">
        <f t="shared" si="76"/>
        <v>RnD Industry Fuel Use Perc Reduction</v>
      </c>
      <c r="D1894" t="s">
        <v>3066</v>
      </c>
      <c r="E1894" s="45"/>
      <c r="F1894" s="6" t="s">
        <v>3093</v>
      </c>
      <c r="G1894" s="45"/>
      <c r="H1894" s="43">
        <v>1492</v>
      </c>
      <c r="I1894" s="324" t="s">
        <v>43</v>
      </c>
      <c r="J1894" s="255" t="str">
        <f>IF(ISBLANK(INDEX('Policy Characteristics'!D:D,MATCH($C1894,'Policy Characteristics'!$C:$C,0))),"",INDEX('Policy Characteristics'!D:D,MATCH($C1894,'Policy Characteristics'!$C:$C,0)))</f>
        <v>R&amp;D Fuel Use Reductions</v>
      </c>
      <c r="K1894" s="254" t="str">
        <f>IF(ISBLANK(INDEX('Policy Characteristics'!E:E,MATCH($C1894,'Policy Characteristics'!$C:$C,0))),"",INDEX('Policy Characteristics'!E:E,MATCH($C1894,'Policy Characteristics'!$C:$C,0)))</f>
        <v>RnD industry fuel use reduction</v>
      </c>
      <c r="L1894" s="261">
        <f>IF(ISBLANK(INDEX('Policy Characteristics'!F:F,MATCH($C1894,'Policy Characteristics'!$C:$C,0))),"",INDEX('Policy Characteristics'!F:F,MATCH($C1894,'Policy Characteristics'!$C:$C,0)))</f>
        <v>0</v>
      </c>
      <c r="M1894" s="261">
        <f>IF(ISBLANK(INDEX('Policy Characteristics'!G:G,MATCH($C1894,'Policy Characteristics'!$C:$C,0))),"",INDEX('Policy Characteristics'!G:G,MATCH($C1894,'Policy Characteristics'!$C:$C,0)))</f>
        <v>0.4</v>
      </c>
      <c r="N1894" s="261">
        <f>IF(ISBLANK(INDEX('Policy Characteristics'!H:H,MATCH($C1894,'Policy Characteristics'!$C:$C,0))),"",INDEX('Policy Characteristics'!H:H,MATCH($C1894,'Policy Characteristics'!$C:$C,0)))</f>
        <v>0.01</v>
      </c>
      <c r="O1894" s="254" t="str">
        <f>IF(ISBLANK(INDEX('Policy Characteristics'!I:I,MATCH($C1894,'Policy Characteristics'!$C:$C,0))),"",INDEX('Policy Characteristics'!I:I,MATCH($C1894,'Policy Characteristics'!$C:$C,0)))</f>
        <v>% reduction in fuel use</v>
      </c>
      <c r="P1894" s="254" t="str">
        <f>IF(ISBLANK(INDEX('Policy Characteristics'!J:J,MATCH($C1894,'Policy Characteristics'!$C:$C,0))),"",INDEX('Policy Characteristics'!J:J,MATCH($C1894,'Policy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4" t="str">
        <f>IF(ISBLANK(INDEX('Policy Characteristics'!K:K,MATCH($C1894,'Policy Characteristics'!$C:$C,0))),"",INDEX('Policy Characteristics'!K:K,MATCH($C1894,'Policy Characteristics'!$C:$C,0)))</f>
        <v>architectural-design.html#rnd</v>
      </c>
      <c r="R1894" s="254" t="str">
        <f>IF(ISBLANK(INDEX('Policy Characteristics'!L:L,MATCH($C1894,'Policy Characteristics'!$C:$C,0))),"",INDEX('Policy Characteristics'!L:L,MATCH($C1894,'Policy Characteristics'!$C:$C,0)))</f>
        <v>research-and-development.html</v>
      </c>
    </row>
    <row r="1895" spans="1:18" x14ac:dyDescent="0.3">
      <c r="A1895" s="254" t="str">
        <f>IF(ISBLANK(INDEX('Policy Characteristics'!A:A,MATCH($C1895,'Policy Characteristics'!$C:$C,0))),"",INDEX('Policy Characteristics'!A:A,MATCH($C1895,'Policy Characteristics'!$C:$C,0)))</f>
        <v>Research and Development</v>
      </c>
      <c r="B1895" s="262" t="str">
        <f>IF(ISBLANK(INDEX('Policy Characteristics'!B:B,MATCH($C1895,'Policy Characteristics'!$C:$C,0))),"",INDEX('Policy Characteristics'!B:B,MATCH($C1895,'Policy Characteristics'!$C:$C,0)))</f>
        <v>Fuel Use Reduction</v>
      </c>
      <c r="C1895" s="254" t="str">
        <f t="shared" si="76"/>
        <v>RnD Industry Fuel Use Perc Reduction</v>
      </c>
      <c r="D1895" t="s">
        <v>3067</v>
      </c>
      <c r="E1895" s="45"/>
      <c r="F1895" s="6" t="s">
        <v>3094</v>
      </c>
      <c r="G1895" s="45"/>
      <c r="H1895" s="43">
        <v>1493</v>
      </c>
      <c r="I1895" s="324" t="s">
        <v>43</v>
      </c>
      <c r="J1895" s="255" t="str">
        <f>IF(ISBLANK(INDEX('Policy Characteristics'!D:D,MATCH($C1895,'Policy Characteristics'!$C:$C,0))),"",INDEX('Policy Characteristics'!D:D,MATCH($C1895,'Policy Characteristics'!$C:$C,0)))</f>
        <v>R&amp;D Fuel Use Reductions</v>
      </c>
      <c r="K1895" s="254" t="str">
        <f>IF(ISBLANK(INDEX('Policy Characteristics'!E:E,MATCH($C1895,'Policy Characteristics'!$C:$C,0))),"",INDEX('Policy Characteristics'!E:E,MATCH($C1895,'Policy Characteristics'!$C:$C,0)))</f>
        <v>RnD industry fuel use reduction</v>
      </c>
      <c r="L1895" s="261">
        <f>IF(ISBLANK(INDEX('Policy Characteristics'!F:F,MATCH($C1895,'Policy Characteristics'!$C:$C,0))),"",INDEX('Policy Characteristics'!F:F,MATCH($C1895,'Policy Characteristics'!$C:$C,0)))</f>
        <v>0</v>
      </c>
      <c r="M1895" s="261">
        <f>IF(ISBLANK(INDEX('Policy Characteristics'!G:G,MATCH($C1895,'Policy Characteristics'!$C:$C,0))),"",INDEX('Policy Characteristics'!G:G,MATCH($C1895,'Policy Characteristics'!$C:$C,0)))</f>
        <v>0.4</v>
      </c>
      <c r="N1895" s="261">
        <f>IF(ISBLANK(INDEX('Policy Characteristics'!H:H,MATCH($C1895,'Policy Characteristics'!$C:$C,0))),"",INDEX('Policy Characteristics'!H:H,MATCH($C1895,'Policy Characteristics'!$C:$C,0)))</f>
        <v>0.01</v>
      </c>
      <c r="O1895" s="254" t="str">
        <f>IF(ISBLANK(INDEX('Policy Characteristics'!I:I,MATCH($C1895,'Policy Characteristics'!$C:$C,0))),"",INDEX('Policy Characteristics'!I:I,MATCH($C1895,'Policy Characteristics'!$C:$C,0)))</f>
        <v>% reduction in fuel use</v>
      </c>
      <c r="P1895" s="254" t="str">
        <f>IF(ISBLANK(INDEX('Policy Characteristics'!J:J,MATCH($C1895,'Policy Characteristics'!$C:$C,0))),"",INDEX('Policy Characteristics'!J:J,MATCH($C1895,'Policy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4" t="str">
        <f>IF(ISBLANK(INDEX('Policy Characteristics'!K:K,MATCH($C1895,'Policy Characteristics'!$C:$C,0))),"",INDEX('Policy Characteristics'!K:K,MATCH($C1895,'Policy Characteristics'!$C:$C,0)))</f>
        <v>architectural-design.html#rnd</v>
      </c>
      <c r="R1895" s="254" t="str">
        <f>IF(ISBLANK(INDEX('Policy Characteristics'!L:L,MATCH($C1895,'Policy Characteristics'!$C:$C,0))),"",INDEX('Policy Characteristics'!L:L,MATCH($C1895,'Policy Characteristics'!$C:$C,0)))</f>
        <v>research-and-development.html</v>
      </c>
    </row>
    <row r="1896" spans="1:18" x14ac:dyDescent="0.3">
      <c r="A1896" s="254" t="str">
        <f>IF(ISBLANK(INDEX('Policy Characteristics'!A:A,MATCH($C1896,'Policy Characteristics'!$C:$C,0))),"",INDEX('Policy Characteristics'!A:A,MATCH($C1896,'Policy Characteristics'!$C:$C,0)))</f>
        <v>Research and Development</v>
      </c>
      <c r="B1896" s="262" t="str">
        <f>IF(ISBLANK(INDEX('Policy Characteristics'!B:B,MATCH($C1896,'Policy Characteristics'!$C:$C,0))),"",INDEX('Policy Characteristics'!B:B,MATCH($C1896,'Policy Characteristics'!$C:$C,0)))</f>
        <v>Fuel Use Reduction</v>
      </c>
      <c r="C1896" s="254" t="str">
        <f t="shared" si="76"/>
        <v>RnD Industry Fuel Use Perc Reduction</v>
      </c>
      <c r="D1896" t="s">
        <v>3068</v>
      </c>
      <c r="E1896" s="45"/>
      <c r="F1896" s="6" t="s">
        <v>3095</v>
      </c>
      <c r="G1896" s="45"/>
      <c r="H1896" s="43">
        <v>1494</v>
      </c>
      <c r="I1896" s="324" t="s">
        <v>43</v>
      </c>
      <c r="J1896" s="255" t="str">
        <f>IF(ISBLANK(INDEX('Policy Characteristics'!D:D,MATCH($C1896,'Policy Characteristics'!$C:$C,0))),"",INDEX('Policy Characteristics'!D:D,MATCH($C1896,'Policy Characteristics'!$C:$C,0)))</f>
        <v>R&amp;D Fuel Use Reductions</v>
      </c>
      <c r="K1896" s="254" t="str">
        <f>IF(ISBLANK(INDEX('Policy Characteristics'!E:E,MATCH($C1896,'Policy Characteristics'!$C:$C,0))),"",INDEX('Policy Characteristics'!E:E,MATCH($C1896,'Policy Characteristics'!$C:$C,0)))</f>
        <v>RnD industry fuel use reduction</v>
      </c>
      <c r="L1896" s="261">
        <f>IF(ISBLANK(INDEX('Policy Characteristics'!F:F,MATCH($C1896,'Policy Characteristics'!$C:$C,0))),"",INDEX('Policy Characteristics'!F:F,MATCH($C1896,'Policy Characteristics'!$C:$C,0)))</f>
        <v>0</v>
      </c>
      <c r="M1896" s="261">
        <f>IF(ISBLANK(INDEX('Policy Characteristics'!G:G,MATCH($C1896,'Policy Characteristics'!$C:$C,0))),"",INDEX('Policy Characteristics'!G:G,MATCH($C1896,'Policy Characteristics'!$C:$C,0)))</f>
        <v>0.4</v>
      </c>
      <c r="N1896" s="261">
        <f>IF(ISBLANK(INDEX('Policy Characteristics'!H:H,MATCH($C1896,'Policy Characteristics'!$C:$C,0))),"",INDEX('Policy Characteristics'!H:H,MATCH($C1896,'Policy Characteristics'!$C:$C,0)))</f>
        <v>0.01</v>
      </c>
      <c r="O1896" s="254" t="str">
        <f>IF(ISBLANK(INDEX('Policy Characteristics'!I:I,MATCH($C1896,'Policy Characteristics'!$C:$C,0))),"",INDEX('Policy Characteristics'!I:I,MATCH($C1896,'Policy Characteristics'!$C:$C,0)))</f>
        <v>% reduction in fuel use</v>
      </c>
      <c r="P1896" s="254" t="str">
        <f>IF(ISBLANK(INDEX('Policy Characteristics'!J:J,MATCH($C1896,'Policy Characteristics'!$C:$C,0))),"",INDEX('Policy Characteristics'!J:J,MATCH($C1896,'Policy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4" t="str">
        <f>IF(ISBLANK(INDEX('Policy Characteristics'!K:K,MATCH($C1896,'Policy Characteristics'!$C:$C,0))),"",INDEX('Policy Characteristics'!K:K,MATCH($C1896,'Policy Characteristics'!$C:$C,0)))</f>
        <v>architectural-design.html#rnd</v>
      </c>
      <c r="R1896" s="254" t="str">
        <f>IF(ISBLANK(INDEX('Policy Characteristics'!L:L,MATCH($C1896,'Policy Characteristics'!$C:$C,0))),"",INDEX('Policy Characteristics'!L:L,MATCH($C1896,'Policy Characteristics'!$C:$C,0)))</f>
        <v>research-and-development.html</v>
      </c>
    </row>
    <row r="1897" spans="1:18" x14ac:dyDescent="0.3">
      <c r="A1897" s="254" t="str">
        <f>IF(ISBLANK(INDEX('Policy Characteristics'!A:A,MATCH($C1897,'Policy Characteristics'!$C:$C,0))),"",INDEX('Policy Characteristics'!A:A,MATCH($C1897,'Policy Characteristics'!$C:$C,0)))</f>
        <v>Research and Development</v>
      </c>
      <c r="B1897" s="262" t="str">
        <f>IF(ISBLANK(INDEX('Policy Characteristics'!B:B,MATCH($C1897,'Policy Characteristics'!$C:$C,0))),"",INDEX('Policy Characteristics'!B:B,MATCH($C1897,'Policy Characteristics'!$C:$C,0)))</f>
        <v>Fuel Use Reduction</v>
      </c>
      <c r="C1897" s="254" t="str">
        <f t="shared" si="76"/>
        <v>RnD Industry Fuel Use Perc Reduction</v>
      </c>
      <c r="D1897" t="s">
        <v>3069</v>
      </c>
      <c r="E1897" s="45"/>
      <c r="F1897" s="6" t="s">
        <v>3096</v>
      </c>
      <c r="G1897" s="45"/>
      <c r="H1897" s="43">
        <v>1495</v>
      </c>
      <c r="I1897" s="324" t="s">
        <v>43</v>
      </c>
      <c r="J1897" s="255" t="str">
        <f>IF(ISBLANK(INDEX('Policy Characteristics'!D:D,MATCH($C1897,'Policy Characteristics'!$C:$C,0))),"",INDEX('Policy Characteristics'!D:D,MATCH($C1897,'Policy Characteristics'!$C:$C,0)))</f>
        <v>R&amp;D Fuel Use Reductions</v>
      </c>
      <c r="K1897" s="254" t="str">
        <f>IF(ISBLANK(INDEX('Policy Characteristics'!E:E,MATCH($C1897,'Policy Characteristics'!$C:$C,0))),"",INDEX('Policy Characteristics'!E:E,MATCH($C1897,'Policy Characteristics'!$C:$C,0)))</f>
        <v>RnD industry fuel use reduction</v>
      </c>
      <c r="L1897" s="261">
        <f>IF(ISBLANK(INDEX('Policy Characteristics'!F:F,MATCH($C1897,'Policy Characteristics'!$C:$C,0))),"",INDEX('Policy Characteristics'!F:F,MATCH($C1897,'Policy Characteristics'!$C:$C,0)))</f>
        <v>0</v>
      </c>
      <c r="M1897" s="261">
        <f>IF(ISBLANK(INDEX('Policy Characteristics'!G:G,MATCH($C1897,'Policy Characteristics'!$C:$C,0))),"",INDEX('Policy Characteristics'!G:G,MATCH($C1897,'Policy Characteristics'!$C:$C,0)))</f>
        <v>0.4</v>
      </c>
      <c r="N1897" s="261">
        <f>IF(ISBLANK(INDEX('Policy Characteristics'!H:H,MATCH($C1897,'Policy Characteristics'!$C:$C,0))),"",INDEX('Policy Characteristics'!H:H,MATCH($C1897,'Policy Characteristics'!$C:$C,0)))</f>
        <v>0.01</v>
      </c>
      <c r="O1897" s="254" t="str">
        <f>IF(ISBLANK(INDEX('Policy Characteristics'!I:I,MATCH($C1897,'Policy Characteristics'!$C:$C,0))),"",INDEX('Policy Characteristics'!I:I,MATCH($C1897,'Policy Characteristics'!$C:$C,0)))</f>
        <v>% reduction in fuel use</v>
      </c>
      <c r="P1897" s="254" t="str">
        <f>IF(ISBLANK(INDEX('Policy Characteristics'!J:J,MATCH($C1897,'Policy Characteristics'!$C:$C,0))),"",INDEX('Policy Characteristics'!J:J,MATCH($C1897,'Policy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4" t="str">
        <f>IF(ISBLANK(INDEX('Policy Characteristics'!K:K,MATCH($C1897,'Policy Characteristics'!$C:$C,0))),"",INDEX('Policy Characteristics'!K:K,MATCH($C1897,'Policy Characteristics'!$C:$C,0)))</f>
        <v>architectural-design.html#rnd</v>
      </c>
      <c r="R1897" s="254" t="str">
        <f>IF(ISBLANK(INDEX('Policy Characteristics'!L:L,MATCH($C1897,'Policy Characteristics'!$C:$C,0))),"",INDEX('Policy Characteristics'!L:L,MATCH($C1897,'Policy Characteristics'!$C:$C,0)))</f>
        <v>research-and-development.html</v>
      </c>
    </row>
    <row r="1898" spans="1:18" x14ac:dyDescent="0.3">
      <c r="A1898" s="254" t="str">
        <f>IF(ISBLANK(INDEX('Policy Characteristics'!A:A,MATCH($C1898,'Policy Characteristics'!$C:$C,0))),"",INDEX('Policy Characteristics'!A:A,MATCH($C1898,'Policy Characteristics'!$C:$C,0)))</f>
        <v>Research and Development</v>
      </c>
      <c r="B1898" s="262" t="str">
        <f>IF(ISBLANK(INDEX('Policy Characteristics'!B:B,MATCH($C1898,'Policy Characteristics'!$C:$C,0))),"",INDEX('Policy Characteristics'!B:B,MATCH($C1898,'Policy Characteristics'!$C:$C,0)))</f>
        <v>Fuel Use Reduction</v>
      </c>
      <c r="C1898" s="254" t="str">
        <f t="shared" si="76"/>
        <v>RnD Industry Fuel Use Perc Reduction</v>
      </c>
      <c r="D1898" t="s">
        <v>3070</v>
      </c>
      <c r="E1898" s="45"/>
      <c r="F1898" s="6" t="s">
        <v>326</v>
      </c>
      <c r="G1898" s="45"/>
      <c r="H1898" s="43">
        <v>1496</v>
      </c>
      <c r="I1898" s="324" t="s">
        <v>43</v>
      </c>
      <c r="J1898" s="255" t="str">
        <f>IF(ISBLANK(INDEX('Policy Characteristics'!D:D,MATCH($C1898,'Policy Characteristics'!$C:$C,0))),"",INDEX('Policy Characteristics'!D:D,MATCH($C1898,'Policy Characteristics'!$C:$C,0)))</f>
        <v>R&amp;D Fuel Use Reductions</v>
      </c>
      <c r="K1898" s="254" t="str">
        <f>IF(ISBLANK(INDEX('Policy Characteristics'!E:E,MATCH($C1898,'Policy Characteristics'!$C:$C,0))),"",INDEX('Policy Characteristics'!E:E,MATCH($C1898,'Policy Characteristics'!$C:$C,0)))</f>
        <v>RnD industry fuel use reduction</v>
      </c>
      <c r="L1898" s="261">
        <f>IF(ISBLANK(INDEX('Policy Characteristics'!F:F,MATCH($C1898,'Policy Characteristics'!$C:$C,0))),"",INDEX('Policy Characteristics'!F:F,MATCH($C1898,'Policy Characteristics'!$C:$C,0)))</f>
        <v>0</v>
      </c>
      <c r="M1898" s="261">
        <f>IF(ISBLANK(INDEX('Policy Characteristics'!G:G,MATCH($C1898,'Policy Characteristics'!$C:$C,0))),"",INDEX('Policy Characteristics'!G:G,MATCH($C1898,'Policy Characteristics'!$C:$C,0)))</f>
        <v>0.4</v>
      </c>
      <c r="N1898" s="261">
        <f>IF(ISBLANK(INDEX('Policy Characteristics'!H:H,MATCH($C1898,'Policy Characteristics'!$C:$C,0))),"",INDEX('Policy Characteristics'!H:H,MATCH($C1898,'Policy Characteristics'!$C:$C,0)))</f>
        <v>0.01</v>
      </c>
      <c r="O1898" s="254" t="str">
        <f>IF(ISBLANK(INDEX('Policy Characteristics'!I:I,MATCH($C1898,'Policy Characteristics'!$C:$C,0))),"",INDEX('Policy Characteristics'!I:I,MATCH($C1898,'Policy Characteristics'!$C:$C,0)))</f>
        <v>% reduction in fuel use</v>
      </c>
      <c r="P1898" s="254" t="str">
        <f>IF(ISBLANK(INDEX('Policy Characteristics'!J:J,MATCH($C1898,'Policy Characteristics'!$C:$C,0))),"",INDEX('Policy Characteristics'!J:J,MATCH($C1898,'Policy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4" t="str">
        <f>IF(ISBLANK(INDEX('Policy Characteristics'!K:K,MATCH($C1898,'Policy Characteristics'!$C:$C,0))),"",INDEX('Policy Characteristics'!K:K,MATCH($C1898,'Policy Characteristics'!$C:$C,0)))</f>
        <v>architectural-design.html#rnd</v>
      </c>
      <c r="R1898" s="254" t="str">
        <f>IF(ISBLANK(INDEX('Policy Characteristics'!L:L,MATCH($C1898,'Policy Characteristics'!$C:$C,0))),"",INDEX('Policy Characteristics'!L:L,MATCH($C1898,'Policy Characteristics'!$C:$C,0)))</f>
        <v>research-and-development.html</v>
      </c>
    </row>
    <row r="1899" spans="1:18" x14ac:dyDescent="0.3">
      <c r="A1899" s="254" t="str">
        <f>IF(ISBLANK(INDEX('Policy Characteristics'!A:A,MATCH($C1899,'Policy Characteristics'!$C:$C,0))),"",INDEX('Policy Characteristics'!A:A,MATCH($C1899,'Policy Characteristics'!$C:$C,0)))</f>
        <v>Research and Development</v>
      </c>
      <c r="B1899" s="262" t="str">
        <f>IF(ISBLANK(INDEX('Policy Characteristics'!B:B,MATCH($C1899,'Policy Characteristics'!$C:$C,0))),"",INDEX('Policy Characteristics'!B:B,MATCH($C1899,'Policy Characteristics'!$C:$C,0)))</f>
        <v>Fuel Use Reduction</v>
      </c>
      <c r="C1899" s="254" t="str">
        <f t="shared" si="76"/>
        <v>RnD Industry Fuel Use Perc Reduction</v>
      </c>
      <c r="D1899" t="s">
        <v>3071</v>
      </c>
      <c r="E1899" s="45"/>
      <c r="F1899" s="6" t="s">
        <v>3097</v>
      </c>
      <c r="G1899" s="45"/>
      <c r="H1899" s="43">
        <v>1497</v>
      </c>
      <c r="I1899" s="324" t="s">
        <v>43</v>
      </c>
      <c r="J1899" s="255" t="str">
        <f>IF(ISBLANK(INDEX('Policy Characteristics'!D:D,MATCH($C1899,'Policy Characteristics'!$C:$C,0))),"",INDEX('Policy Characteristics'!D:D,MATCH($C1899,'Policy Characteristics'!$C:$C,0)))</f>
        <v>R&amp;D Fuel Use Reductions</v>
      </c>
      <c r="K1899" s="254" t="str">
        <f>IF(ISBLANK(INDEX('Policy Characteristics'!E:E,MATCH($C1899,'Policy Characteristics'!$C:$C,0))),"",INDEX('Policy Characteristics'!E:E,MATCH($C1899,'Policy Characteristics'!$C:$C,0)))</f>
        <v>RnD industry fuel use reduction</v>
      </c>
      <c r="L1899" s="261">
        <f>IF(ISBLANK(INDEX('Policy Characteristics'!F:F,MATCH($C1899,'Policy Characteristics'!$C:$C,0))),"",INDEX('Policy Characteristics'!F:F,MATCH($C1899,'Policy Characteristics'!$C:$C,0)))</f>
        <v>0</v>
      </c>
      <c r="M1899" s="261">
        <f>IF(ISBLANK(INDEX('Policy Characteristics'!G:G,MATCH($C1899,'Policy Characteristics'!$C:$C,0))),"",INDEX('Policy Characteristics'!G:G,MATCH($C1899,'Policy Characteristics'!$C:$C,0)))</f>
        <v>0.4</v>
      </c>
      <c r="N1899" s="261">
        <f>IF(ISBLANK(INDEX('Policy Characteristics'!H:H,MATCH($C1899,'Policy Characteristics'!$C:$C,0))),"",INDEX('Policy Characteristics'!H:H,MATCH($C1899,'Policy Characteristics'!$C:$C,0)))</f>
        <v>0.01</v>
      </c>
      <c r="O1899" s="254" t="str">
        <f>IF(ISBLANK(INDEX('Policy Characteristics'!I:I,MATCH($C1899,'Policy Characteristics'!$C:$C,0))),"",INDEX('Policy Characteristics'!I:I,MATCH($C1899,'Policy Characteristics'!$C:$C,0)))</f>
        <v>% reduction in fuel use</v>
      </c>
      <c r="P1899" s="254" t="str">
        <f>IF(ISBLANK(INDEX('Policy Characteristics'!J:J,MATCH($C1899,'Policy Characteristics'!$C:$C,0))),"",INDEX('Policy Characteristics'!J:J,MATCH($C1899,'Policy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4" t="str">
        <f>IF(ISBLANK(INDEX('Policy Characteristics'!K:K,MATCH($C1899,'Policy Characteristics'!$C:$C,0))),"",INDEX('Policy Characteristics'!K:K,MATCH($C1899,'Policy Characteristics'!$C:$C,0)))</f>
        <v>architectural-design.html#rnd</v>
      </c>
      <c r="R1899" s="254" t="str">
        <f>IF(ISBLANK(INDEX('Policy Characteristics'!L:L,MATCH($C1899,'Policy Characteristics'!$C:$C,0))),"",INDEX('Policy Characteristics'!L:L,MATCH($C1899,'Policy Characteristics'!$C:$C,0)))</f>
        <v>research-and-development.html</v>
      </c>
    </row>
    <row r="1900" spans="1:18" x14ac:dyDescent="0.3">
      <c r="A1900" s="254" t="str">
        <f>IF(ISBLANK(INDEX('Policy Characteristics'!A:A,MATCH($C1900,'Policy Characteristics'!$C:$C,0))),"",INDEX('Policy Characteristics'!A:A,MATCH($C1900,'Policy Characteristics'!$C:$C,0)))</f>
        <v>Research and Development</v>
      </c>
      <c r="B1900" s="262" t="str">
        <f>IF(ISBLANK(INDEX('Policy Characteristics'!B:B,MATCH($C1900,'Policy Characteristics'!$C:$C,0))),"",INDEX('Policy Characteristics'!B:B,MATCH($C1900,'Policy Characteristics'!$C:$C,0)))</f>
        <v>Fuel Use Reduction</v>
      </c>
      <c r="C1900" s="254" t="str">
        <f t="shared" si="76"/>
        <v>RnD Industry Fuel Use Perc Reduction</v>
      </c>
      <c r="D1900" t="s">
        <v>3072</v>
      </c>
      <c r="E1900" s="45"/>
      <c r="F1900" s="6" t="s">
        <v>3098</v>
      </c>
      <c r="G1900" s="45"/>
      <c r="H1900" s="43">
        <v>1498</v>
      </c>
      <c r="I1900" s="324" t="s">
        <v>43</v>
      </c>
      <c r="J1900" s="255" t="str">
        <f>IF(ISBLANK(INDEX('Policy Characteristics'!D:D,MATCH($C1900,'Policy Characteristics'!$C:$C,0))),"",INDEX('Policy Characteristics'!D:D,MATCH($C1900,'Policy Characteristics'!$C:$C,0)))</f>
        <v>R&amp;D Fuel Use Reductions</v>
      </c>
      <c r="K1900" s="254" t="str">
        <f>IF(ISBLANK(INDEX('Policy Characteristics'!E:E,MATCH($C1900,'Policy Characteristics'!$C:$C,0))),"",INDEX('Policy Characteristics'!E:E,MATCH($C1900,'Policy Characteristics'!$C:$C,0)))</f>
        <v>RnD industry fuel use reduction</v>
      </c>
      <c r="L1900" s="261">
        <f>IF(ISBLANK(INDEX('Policy Characteristics'!F:F,MATCH($C1900,'Policy Characteristics'!$C:$C,0))),"",INDEX('Policy Characteristics'!F:F,MATCH($C1900,'Policy Characteristics'!$C:$C,0)))</f>
        <v>0</v>
      </c>
      <c r="M1900" s="261">
        <f>IF(ISBLANK(INDEX('Policy Characteristics'!G:G,MATCH($C1900,'Policy Characteristics'!$C:$C,0))),"",INDEX('Policy Characteristics'!G:G,MATCH($C1900,'Policy Characteristics'!$C:$C,0)))</f>
        <v>0.4</v>
      </c>
      <c r="N1900" s="261">
        <f>IF(ISBLANK(INDEX('Policy Characteristics'!H:H,MATCH($C1900,'Policy Characteristics'!$C:$C,0))),"",INDEX('Policy Characteristics'!H:H,MATCH($C1900,'Policy Characteristics'!$C:$C,0)))</f>
        <v>0.01</v>
      </c>
      <c r="O1900" s="254" t="str">
        <f>IF(ISBLANK(INDEX('Policy Characteristics'!I:I,MATCH($C1900,'Policy Characteristics'!$C:$C,0))),"",INDEX('Policy Characteristics'!I:I,MATCH($C1900,'Policy Characteristics'!$C:$C,0)))</f>
        <v>% reduction in fuel use</v>
      </c>
      <c r="P1900" s="254" t="str">
        <f>IF(ISBLANK(INDEX('Policy Characteristics'!J:J,MATCH($C1900,'Policy Characteristics'!$C:$C,0))),"",INDEX('Policy Characteristics'!J:J,MATCH($C1900,'Policy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4" t="str">
        <f>IF(ISBLANK(INDEX('Policy Characteristics'!K:K,MATCH($C1900,'Policy Characteristics'!$C:$C,0))),"",INDEX('Policy Characteristics'!K:K,MATCH($C1900,'Policy Characteristics'!$C:$C,0)))</f>
        <v>architectural-design.html#rnd</v>
      </c>
      <c r="R1900" s="254" t="str">
        <f>IF(ISBLANK(INDEX('Policy Characteristics'!L:L,MATCH($C1900,'Policy Characteristics'!$C:$C,0))),"",INDEX('Policy Characteristics'!L:L,MATCH($C1900,'Policy Characteristics'!$C:$C,0)))</f>
        <v>research-and-development.html</v>
      </c>
    </row>
    <row r="1901" spans="1:18" x14ac:dyDescent="0.3">
      <c r="A1901" s="254" t="str">
        <f>IF(ISBLANK(INDEX('Policy Characteristics'!A:A,MATCH($C1901,'Policy Characteristics'!$C:$C,0))),"",INDEX('Policy Characteristics'!A:A,MATCH($C1901,'Policy Characteristics'!$C:$C,0)))</f>
        <v>Research and Development</v>
      </c>
      <c r="B1901" s="262" t="str">
        <f>IF(ISBLANK(INDEX('Policy Characteristics'!B:B,MATCH($C1901,'Policy Characteristics'!$C:$C,0))),"",INDEX('Policy Characteristics'!B:B,MATCH($C1901,'Policy Characteristics'!$C:$C,0)))</f>
        <v>Fuel Use Reduction</v>
      </c>
      <c r="C1901" s="254" t="str">
        <f t="shared" si="76"/>
        <v>RnD Industry Fuel Use Perc Reduction</v>
      </c>
      <c r="D1901" t="s">
        <v>3073</v>
      </c>
      <c r="E1901" s="45"/>
      <c r="F1901" s="6" t="s">
        <v>3099</v>
      </c>
      <c r="G1901" s="45"/>
      <c r="H1901" s="43">
        <v>1499</v>
      </c>
      <c r="I1901" s="324" t="s">
        <v>43</v>
      </c>
      <c r="J1901" s="255" t="str">
        <f>IF(ISBLANK(INDEX('Policy Characteristics'!D:D,MATCH($C1901,'Policy Characteristics'!$C:$C,0))),"",INDEX('Policy Characteristics'!D:D,MATCH($C1901,'Policy Characteristics'!$C:$C,0)))</f>
        <v>R&amp;D Fuel Use Reductions</v>
      </c>
      <c r="K1901" s="254" t="str">
        <f>IF(ISBLANK(INDEX('Policy Characteristics'!E:E,MATCH($C1901,'Policy Characteristics'!$C:$C,0))),"",INDEX('Policy Characteristics'!E:E,MATCH($C1901,'Policy Characteristics'!$C:$C,0)))</f>
        <v>RnD industry fuel use reduction</v>
      </c>
      <c r="L1901" s="261">
        <f>IF(ISBLANK(INDEX('Policy Characteristics'!F:F,MATCH($C1901,'Policy Characteristics'!$C:$C,0))),"",INDEX('Policy Characteristics'!F:F,MATCH($C1901,'Policy Characteristics'!$C:$C,0)))</f>
        <v>0</v>
      </c>
      <c r="M1901" s="261">
        <f>IF(ISBLANK(INDEX('Policy Characteristics'!G:G,MATCH($C1901,'Policy Characteristics'!$C:$C,0))),"",INDEX('Policy Characteristics'!G:G,MATCH($C1901,'Policy Characteristics'!$C:$C,0)))</f>
        <v>0.4</v>
      </c>
      <c r="N1901" s="261">
        <f>IF(ISBLANK(INDEX('Policy Characteristics'!H:H,MATCH($C1901,'Policy Characteristics'!$C:$C,0))),"",INDEX('Policy Characteristics'!H:H,MATCH($C1901,'Policy Characteristics'!$C:$C,0)))</f>
        <v>0.01</v>
      </c>
      <c r="O1901" s="254" t="str">
        <f>IF(ISBLANK(INDEX('Policy Characteristics'!I:I,MATCH($C1901,'Policy Characteristics'!$C:$C,0))),"",INDEX('Policy Characteristics'!I:I,MATCH($C1901,'Policy Characteristics'!$C:$C,0)))</f>
        <v>% reduction in fuel use</v>
      </c>
      <c r="P1901" s="254" t="str">
        <f>IF(ISBLANK(INDEX('Policy Characteristics'!J:J,MATCH($C1901,'Policy Characteristics'!$C:$C,0))),"",INDEX('Policy Characteristics'!J:J,MATCH($C1901,'Policy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4" t="str">
        <f>IF(ISBLANK(INDEX('Policy Characteristics'!K:K,MATCH($C1901,'Policy Characteristics'!$C:$C,0))),"",INDEX('Policy Characteristics'!K:K,MATCH($C1901,'Policy Characteristics'!$C:$C,0)))</f>
        <v>architectural-design.html#rnd</v>
      </c>
      <c r="R1901" s="254" t="str">
        <f>IF(ISBLANK(INDEX('Policy Characteristics'!L:L,MATCH($C1901,'Policy Characteristics'!$C:$C,0))),"",INDEX('Policy Characteristics'!L:L,MATCH($C1901,'Policy Characteristics'!$C:$C,0)))</f>
        <v>research-and-development.html</v>
      </c>
    </row>
    <row r="1902" spans="1:18" x14ac:dyDescent="0.3">
      <c r="A1902" s="254" t="str">
        <f>IF(ISBLANK(INDEX('Policy Characteristics'!A:A,MATCH($C1902,'Policy Characteristics'!$C:$C,0))),"",INDEX('Policy Characteristics'!A:A,MATCH($C1902,'Policy Characteristics'!$C:$C,0)))</f>
        <v>Research and Development</v>
      </c>
      <c r="B1902" s="262" t="str">
        <f>IF(ISBLANK(INDEX('Policy Characteristics'!B:B,MATCH($C1902,'Policy Characteristics'!$C:$C,0))),"",INDEX('Policy Characteristics'!B:B,MATCH($C1902,'Policy Characteristics'!$C:$C,0)))</f>
        <v>Fuel Use Reduction</v>
      </c>
      <c r="C1902" s="254" t="str">
        <f t="shared" si="76"/>
        <v>RnD Industry Fuel Use Perc Reduction</v>
      </c>
      <c r="D1902" t="s">
        <v>3074</v>
      </c>
      <c r="E1902" s="45"/>
      <c r="F1902" s="6" t="s">
        <v>325</v>
      </c>
      <c r="G1902" s="45"/>
      <c r="H1902" s="43">
        <v>1500</v>
      </c>
      <c r="I1902" s="324" t="s">
        <v>43</v>
      </c>
      <c r="J1902" s="255" t="str">
        <f>IF(ISBLANK(INDEX('Policy Characteristics'!D:D,MATCH($C1902,'Policy Characteristics'!$C:$C,0))),"",INDEX('Policy Characteristics'!D:D,MATCH($C1902,'Policy Characteristics'!$C:$C,0)))</f>
        <v>R&amp;D Fuel Use Reductions</v>
      </c>
      <c r="K1902" s="254" t="str">
        <f>IF(ISBLANK(INDEX('Policy Characteristics'!E:E,MATCH($C1902,'Policy Characteristics'!$C:$C,0))),"",INDEX('Policy Characteristics'!E:E,MATCH($C1902,'Policy Characteristics'!$C:$C,0)))</f>
        <v>RnD industry fuel use reduction</v>
      </c>
      <c r="L1902" s="261">
        <f>IF(ISBLANK(INDEX('Policy Characteristics'!F:F,MATCH($C1902,'Policy Characteristics'!$C:$C,0))),"",INDEX('Policy Characteristics'!F:F,MATCH($C1902,'Policy Characteristics'!$C:$C,0)))</f>
        <v>0</v>
      </c>
      <c r="M1902" s="261">
        <f>IF(ISBLANK(INDEX('Policy Characteristics'!G:G,MATCH($C1902,'Policy Characteristics'!$C:$C,0))),"",INDEX('Policy Characteristics'!G:G,MATCH($C1902,'Policy Characteristics'!$C:$C,0)))</f>
        <v>0.4</v>
      </c>
      <c r="N1902" s="261">
        <f>IF(ISBLANK(INDEX('Policy Characteristics'!H:H,MATCH($C1902,'Policy Characteristics'!$C:$C,0))),"",INDEX('Policy Characteristics'!H:H,MATCH($C1902,'Policy Characteristics'!$C:$C,0)))</f>
        <v>0.01</v>
      </c>
      <c r="O1902" s="254" t="str">
        <f>IF(ISBLANK(INDEX('Policy Characteristics'!I:I,MATCH($C1902,'Policy Characteristics'!$C:$C,0))),"",INDEX('Policy Characteristics'!I:I,MATCH($C1902,'Policy Characteristics'!$C:$C,0)))</f>
        <v>% reduction in fuel use</v>
      </c>
      <c r="P1902" s="254" t="str">
        <f>IF(ISBLANK(INDEX('Policy Characteristics'!J:J,MATCH($C1902,'Policy Characteristics'!$C:$C,0))),"",INDEX('Policy Characteristics'!J:J,MATCH($C1902,'Policy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4" t="str">
        <f>IF(ISBLANK(INDEX('Policy Characteristics'!K:K,MATCH($C1902,'Policy Characteristics'!$C:$C,0))),"",INDEX('Policy Characteristics'!K:K,MATCH($C1902,'Policy Characteristics'!$C:$C,0)))</f>
        <v>architectural-design.html#rnd</v>
      </c>
      <c r="R1902" s="254" t="str">
        <f>IF(ISBLANK(INDEX('Policy Characteristics'!L:L,MATCH($C1902,'Policy Characteristics'!$C:$C,0))),"",INDEX('Policy Characteristics'!L:L,MATCH($C1902,'Policy Characteristics'!$C:$C,0)))</f>
        <v>research-and-development.html</v>
      </c>
    </row>
    <row r="1903" spans="1:18" x14ac:dyDescent="0.3">
      <c r="A1903" s="254" t="str">
        <f>IF(ISBLANK(INDEX('Policy Characteristics'!A:A,MATCH($C1903,'Policy Characteristics'!$C:$C,0))),"",INDEX('Policy Characteristics'!A:A,MATCH($C1903,'Policy Characteristics'!$C:$C,0)))</f>
        <v>Research and Development</v>
      </c>
      <c r="B1903" s="262" t="str">
        <f>IF(ISBLANK(INDEX('Policy Characteristics'!B:B,MATCH($C1903,'Policy Characteristics'!$C:$C,0))),"",INDEX('Policy Characteristics'!B:B,MATCH($C1903,'Policy Characteristics'!$C:$C,0)))</f>
        <v>Fuel Use Reduction</v>
      </c>
      <c r="C1903" s="254" t="str">
        <f t="shared" si="76"/>
        <v>RnD Industry Fuel Use Perc Reduction</v>
      </c>
      <c r="D1903" t="s">
        <v>3075</v>
      </c>
      <c r="E1903" s="45"/>
      <c r="F1903" s="6" t="s">
        <v>3100</v>
      </c>
      <c r="G1903" s="45"/>
      <c r="H1903" s="43">
        <v>1501</v>
      </c>
      <c r="I1903" s="324" t="s">
        <v>43</v>
      </c>
      <c r="J1903" s="255" t="str">
        <f>IF(ISBLANK(INDEX('Policy Characteristics'!D:D,MATCH($C1903,'Policy Characteristics'!$C:$C,0))),"",INDEX('Policy Characteristics'!D:D,MATCH($C1903,'Policy Characteristics'!$C:$C,0)))</f>
        <v>R&amp;D Fuel Use Reductions</v>
      </c>
      <c r="K1903" s="254" t="str">
        <f>IF(ISBLANK(INDEX('Policy Characteristics'!E:E,MATCH($C1903,'Policy Characteristics'!$C:$C,0))),"",INDEX('Policy Characteristics'!E:E,MATCH($C1903,'Policy Characteristics'!$C:$C,0)))</f>
        <v>RnD industry fuel use reduction</v>
      </c>
      <c r="L1903" s="261">
        <f>IF(ISBLANK(INDEX('Policy Characteristics'!F:F,MATCH($C1903,'Policy Characteristics'!$C:$C,0))),"",INDEX('Policy Characteristics'!F:F,MATCH($C1903,'Policy Characteristics'!$C:$C,0)))</f>
        <v>0</v>
      </c>
      <c r="M1903" s="261">
        <f>IF(ISBLANK(INDEX('Policy Characteristics'!G:G,MATCH($C1903,'Policy Characteristics'!$C:$C,0))),"",INDEX('Policy Characteristics'!G:G,MATCH($C1903,'Policy Characteristics'!$C:$C,0)))</f>
        <v>0.4</v>
      </c>
      <c r="N1903" s="261">
        <f>IF(ISBLANK(INDEX('Policy Characteristics'!H:H,MATCH($C1903,'Policy Characteristics'!$C:$C,0))),"",INDEX('Policy Characteristics'!H:H,MATCH($C1903,'Policy Characteristics'!$C:$C,0)))</f>
        <v>0.01</v>
      </c>
      <c r="O1903" s="254" t="str">
        <f>IF(ISBLANK(INDEX('Policy Characteristics'!I:I,MATCH($C1903,'Policy Characteristics'!$C:$C,0))),"",INDEX('Policy Characteristics'!I:I,MATCH($C1903,'Policy Characteristics'!$C:$C,0)))</f>
        <v>% reduction in fuel use</v>
      </c>
      <c r="P1903" s="254" t="str">
        <f>IF(ISBLANK(INDEX('Policy Characteristics'!J:J,MATCH($C1903,'Policy Characteristics'!$C:$C,0))),"",INDEX('Policy Characteristics'!J:J,MATCH($C1903,'Policy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4" t="str">
        <f>IF(ISBLANK(INDEX('Policy Characteristics'!K:K,MATCH($C1903,'Policy Characteristics'!$C:$C,0))),"",INDEX('Policy Characteristics'!K:K,MATCH($C1903,'Policy Characteristics'!$C:$C,0)))</f>
        <v>architectural-design.html#rnd</v>
      </c>
      <c r="R1903" s="254" t="str">
        <f>IF(ISBLANK(INDEX('Policy Characteristics'!L:L,MATCH($C1903,'Policy Characteristics'!$C:$C,0))),"",INDEX('Policy Characteristics'!L:L,MATCH($C1903,'Policy Characteristics'!$C:$C,0)))</f>
        <v>research-and-development.html</v>
      </c>
    </row>
    <row r="1904" spans="1:18" x14ac:dyDescent="0.3">
      <c r="A1904" s="254" t="str">
        <f>IF(ISBLANK(INDEX('Policy Characteristics'!A:A,MATCH($C1904,'Policy Characteristics'!$C:$C,0))),"",INDEX('Policy Characteristics'!A:A,MATCH($C1904,'Policy Characteristics'!$C:$C,0)))</f>
        <v>Research and Development</v>
      </c>
      <c r="B1904" s="262" t="str">
        <f>IF(ISBLANK(INDEX('Policy Characteristics'!B:B,MATCH($C1904,'Policy Characteristics'!$C:$C,0))),"",INDEX('Policy Characteristics'!B:B,MATCH($C1904,'Policy Characteristics'!$C:$C,0)))</f>
        <v>Fuel Use Reduction</v>
      </c>
      <c r="C1904" s="254" t="str">
        <f t="shared" si="76"/>
        <v>RnD Industry Fuel Use Perc Reduction</v>
      </c>
      <c r="D1904" t="s">
        <v>3076</v>
      </c>
      <c r="E1904" s="45"/>
      <c r="F1904" s="6" t="s">
        <v>3101</v>
      </c>
      <c r="G1904" s="45"/>
      <c r="H1904" s="43">
        <v>1502</v>
      </c>
      <c r="I1904" s="324" t="s">
        <v>43</v>
      </c>
      <c r="J1904" s="255" t="str">
        <f>IF(ISBLANK(INDEX('Policy Characteristics'!D:D,MATCH($C1904,'Policy Characteristics'!$C:$C,0))),"",INDEX('Policy Characteristics'!D:D,MATCH($C1904,'Policy Characteristics'!$C:$C,0)))</f>
        <v>R&amp;D Fuel Use Reductions</v>
      </c>
      <c r="K1904" s="254" t="str">
        <f>IF(ISBLANK(INDEX('Policy Characteristics'!E:E,MATCH($C1904,'Policy Characteristics'!$C:$C,0))),"",INDEX('Policy Characteristics'!E:E,MATCH($C1904,'Policy Characteristics'!$C:$C,0)))</f>
        <v>RnD industry fuel use reduction</v>
      </c>
      <c r="L1904" s="261">
        <f>IF(ISBLANK(INDEX('Policy Characteristics'!F:F,MATCH($C1904,'Policy Characteristics'!$C:$C,0))),"",INDEX('Policy Characteristics'!F:F,MATCH($C1904,'Policy Characteristics'!$C:$C,0)))</f>
        <v>0</v>
      </c>
      <c r="M1904" s="261">
        <f>IF(ISBLANK(INDEX('Policy Characteristics'!G:G,MATCH($C1904,'Policy Characteristics'!$C:$C,0))),"",INDEX('Policy Characteristics'!G:G,MATCH($C1904,'Policy Characteristics'!$C:$C,0)))</f>
        <v>0.4</v>
      </c>
      <c r="N1904" s="261">
        <f>IF(ISBLANK(INDEX('Policy Characteristics'!H:H,MATCH($C1904,'Policy Characteristics'!$C:$C,0))),"",INDEX('Policy Characteristics'!H:H,MATCH($C1904,'Policy Characteristics'!$C:$C,0)))</f>
        <v>0.01</v>
      </c>
      <c r="O1904" s="254" t="str">
        <f>IF(ISBLANK(INDEX('Policy Characteristics'!I:I,MATCH($C1904,'Policy Characteristics'!$C:$C,0))),"",INDEX('Policy Characteristics'!I:I,MATCH($C1904,'Policy Characteristics'!$C:$C,0)))</f>
        <v>% reduction in fuel use</v>
      </c>
      <c r="P1904" s="254" t="str">
        <f>IF(ISBLANK(INDEX('Policy Characteristics'!J:J,MATCH($C1904,'Policy Characteristics'!$C:$C,0))),"",INDEX('Policy Characteristics'!J:J,MATCH($C1904,'Policy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4" t="str">
        <f>IF(ISBLANK(INDEX('Policy Characteristics'!K:K,MATCH($C1904,'Policy Characteristics'!$C:$C,0))),"",INDEX('Policy Characteristics'!K:K,MATCH($C1904,'Policy Characteristics'!$C:$C,0)))</f>
        <v>architectural-design.html#rnd</v>
      </c>
      <c r="R1904" s="254" t="str">
        <f>IF(ISBLANK(INDEX('Policy Characteristics'!L:L,MATCH($C1904,'Policy Characteristics'!$C:$C,0))),"",INDEX('Policy Characteristics'!L:L,MATCH($C1904,'Policy Characteristics'!$C:$C,0)))</f>
        <v>research-and-development.html</v>
      </c>
    </row>
    <row r="1905" spans="1:18" x14ac:dyDescent="0.3">
      <c r="A1905" s="254" t="str">
        <f>IF(ISBLANK(INDEX('Policy Characteristics'!A:A,MATCH($C1905,'Policy Characteristics'!$C:$C,0))),"",INDEX('Policy Characteristics'!A:A,MATCH($C1905,'Policy Characteristics'!$C:$C,0)))</f>
        <v>Research and Development</v>
      </c>
      <c r="B1905" s="262" t="str">
        <f>IF(ISBLANK(INDEX('Policy Characteristics'!B:B,MATCH($C1905,'Policy Characteristics'!$C:$C,0))),"",INDEX('Policy Characteristics'!B:B,MATCH($C1905,'Policy Characteristics'!$C:$C,0)))</f>
        <v>Fuel Use Reduction</v>
      </c>
      <c r="C1905" s="254" t="str">
        <f t="shared" si="76"/>
        <v>RnD Industry Fuel Use Perc Reduction</v>
      </c>
      <c r="D1905" t="s">
        <v>3077</v>
      </c>
      <c r="E1905" s="45"/>
      <c r="F1905" s="6" t="s">
        <v>3102</v>
      </c>
      <c r="G1905" s="45"/>
      <c r="H1905" s="43">
        <v>1503</v>
      </c>
      <c r="I1905" s="324" t="s">
        <v>43</v>
      </c>
      <c r="J1905" s="255" t="str">
        <f>IF(ISBLANK(INDEX('Policy Characteristics'!D:D,MATCH($C1905,'Policy Characteristics'!$C:$C,0))),"",INDEX('Policy Characteristics'!D:D,MATCH($C1905,'Policy Characteristics'!$C:$C,0)))</f>
        <v>R&amp;D Fuel Use Reductions</v>
      </c>
      <c r="K1905" s="254" t="str">
        <f>IF(ISBLANK(INDEX('Policy Characteristics'!E:E,MATCH($C1905,'Policy Characteristics'!$C:$C,0))),"",INDEX('Policy Characteristics'!E:E,MATCH($C1905,'Policy Characteristics'!$C:$C,0)))</f>
        <v>RnD industry fuel use reduction</v>
      </c>
      <c r="L1905" s="261">
        <f>IF(ISBLANK(INDEX('Policy Characteristics'!F:F,MATCH($C1905,'Policy Characteristics'!$C:$C,0))),"",INDEX('Policy Characteristics'!F:F,MATCH($C1905,'Policy Characteristics'!$C:$C,0)))</f>
        <v>0</v>
      </c>
      <c r="M1905" s="261">
        <f>IF(ISBLANK(INDEX('Policy Characteristics'!G:G,MATCH($C1905,'Policy Characteristics'!$C:$C,0))),"",INDEX('Policy Characteristics'!G:G,MATCH($C1905,'Policy Characteristics'!$C:$C,0)))</f>
        <v>0.4</v>
      </c>
      <c r="N1905" s="261">
        <f>IF(ISBLANK(INDEX('Policy Characteristics'!H:H,MATCH($C1905,'Policy Characteristics'!$C:$C,0))),"",INDEX('Policy Characteristics'!H:H,MATCH($C1905,'Policy Characteristics'!$C:$C,0)))</f>
        <v>0.01</v>
      </c>
      <c r="O1905" s="254" t="str">
        <f>IF(ISBLANK(INDEX('Policy Characteristics'!I:I,MATCH($C1905,'Policy Characteristics'!$C:$C,0))),"",INDEX('Policy Characteristics'!I:I,MATCH($C1905,'Policy Characteristics'!$C:$C,0)))</f>
        <v>% reduction in fuel use</v>
      </c>
      <c r="P1905" s="254" t="str">
        <f>IF(ISBLANK(INDEX('Policy Characteristics'!J:J,MATCH($C1905,'Policy Characteristics'!$C:$C,0))),"",INDEX('Policy Characteristics'!J:J,MATCH($C1905,'Policy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5" s="254" t="str">
        <f>IF(ISBLANK(INDEX('Policy Characteristics'!K:K,MATCH($C1905,'Policy Characteristics'!$C:$C,0))),"",INDEX('Policy Characteristics'!K:K,MATCH($C1905,'Policy Characteristics'!$C:$C,0)))</f>
        <v>architectural-design.html#rnd</v>
      </c>
      <c r="R1905" s="254" t="str">
        <f>IF(ISBLANK(INDEX('Policy Characteristics'!L:L,MATCH($C1905,'Policy Characteristics'!$C:$C,0))),"",INDEX('Policy Characteristics'!L:L,MATCH($C1905,'Policy Characteristics'!$C:$C,0)))</f>
        <v>research-and-development.html</v>
      </c>
    </row>
    <row r="1906" spans="1:18" x14ac:dyDescent="0.3">
      <c r="A1906" s="254" t="str">
        <f>IF(ISBLANK(INDEX('Policy Characteristics'!A:A,MATCH($C1906,'Policy Characteristics'!$C:$C,0))),"",INDEX('Policy Characteristics'!A:A,MATCH($C1906,'Policy Characteristics'!$C:$C,0)))</f>
        <v>Research and Development</v>
      </c>
      <c r="B1906" s="262" t="str">
        <f>IF(ISBLANK(INDEX('Policy Characteristics'!B:B,MATCH($C1906,'Policy Characteristics'!$C:$C,0))),"",INDEX('Policy Characteristics'!B:B,MATCH($C1906,'Policy Characteristics'!$C:$C,0)))</f>
        <v>Fuel Use Reduction</v>
      </c>
      <c r="C1906" s="254" t="str">
        <f t="shared" si="76"/>
        <v>RnD Industry Fuel Use Perc Reduction</v>
      </c>
      <c r="D1906" t="s">
        <v>3078</v>
      </c>
      <c r="E1906" s="45"/>
      <c r="F1906" s="6" t="s">
        <v>3103</v>
      </c>
      <c r="G1906" s="45"/>
      <c r="H1906" s="43">
        <v>1504</v>
      </c>
      <c r="I1906" s="324" t="s">
        <v>43</v>
      </c>
      <c r="J1906" s="255" t="str">
        <f>IF(ISBLANK(INDEX('Policy Characteristics'!D:D,MATCH($C1906,'Policy Characteristics'!$C:$C,0))),"",INDEX('Policy Characteristics'!D:D,MATCH($C1906,'Policy Characteristics'!$C:$C,0)))</f>
        <v>R&amp;D Fuel Use Reductions</v>
      </c>
      <c r="K1906" s="254" t="str">
        <f>IF(ISBLANK(INDEX('Policy Characteristics'!E:E,MATCH($C1906,'Policy Characteristics'!$C:$C,0))),"",INDEX('Policy Characteristics'!E:E,MATCH($C1906,'Policy Characteristics'!$C:$C,0)))</f>
        <v>RnD industry fuel use reduction</v>
      </c>
      <c r="L1906" s="261">
        <f>IF(ISBLANK(INDEX('Policy Characteristics'!F:F,MATCH($C1906,'Policy Characteristics'!$C:$C,0))),"",INDEX('Policy Characteristics'!F:F,MATCH($C1906,'Policy Characteristics'!$C:$C,0)))</f>
        <v>0</v>
      </c>
      <c r="M1906" s="261">
        <f>IF(ISBLANK(INDEX('Policy Characteristics'!G:G,MATCH($C1906,'Policy Characteristics'!$C:$C,0))),"",INDEX('Policy Characteristics'!G:G,MATCH($C1906,'Policy Characteristics'!$C:$C,0)))</f>
        <v>0.4</v>
      </c>
      <c r="N1906" s="261">
        <f>IF(ISBLANK(INDEX('Policy Characteristics'!H:H,MATCH($C1906,'Policy Characteristics'!$C:$C,0))),"",INDEX('Policy Characteristics'!H:H,MATCH($C1906,'Policy Characteristics'!$C:$C,0)))</f>
        <v>0.01</v>
      </c>
      <c r="O1906" s="254" t="str">
        <f>IF(ISBLANK(INDEX('Policy Characteristics'!I:I,MATCH($C1906,'Policy Characteristics'!$C:$C,0))),"",INDEX('Policy Characteristics'!I:I,MATCH($C1906,'Policy Characteristics'!$C:$C,0)))</f>
        <v>% reduction in fuel use</v>
      </c>
      <c r="P1906" s="254" t="str">
        <f>IF(ISBLANK(INDEX('Policy Characteristics'!J:J,MATCH($C1906,'Policy Characteristics'!$C:$C,0))),"",INDEX('Policy Characteristics'!J:J,MATCH($C1906,'Policy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6" s="254" t="str">
        <f>IF(ISBLANK(INDEX('Policy Characteristics'!K:K,MATCH($C1906,'Policy Characteristics'!$C:$C,0))),"",INDEX('Policy Characteristics'!K:K,MATCH($C1906,'Policy Characteristics'!$C:$C,0)))</f>
        <v>architectural-design.html#rnd</v>
      </c>
      <c r="R1906" s="254" t="str">
        <f>IF(ISBLANK(INDEX('Policy Characteristics'!L:L,MATCH($C1906,'Policy Characteristics'!$C:$C,0))),"",INDEX('Policy Characteristics'!L:L,MATCH($C1906,'Policy Characteristics'!$C:$C,0)))</f>
        <v>research-and-development.html</v>
      </c>
    </row>
    <row r="1907" spans="1:18" x14ac:dyDescent="0.3">
      <c r="A1907" s="254" t="str">
        <f>IF(ISBLANK(INDEX('Policy Characteristics'!A:A,MATCH($C1907,'Policy Characteristics'!$C:$C,0))),"",INDEX('Policy Characteristics'!A:A,MATCH($C1907,'Policy Characteristics'!$C:$C,0)))</f>
        <v>Research and Development</v>
      </c>
      <c r="B1907" s="262" t="str">
        <f>IF(ISBLANK(INDEX('Policy Characteristics'!B:B,MATCH($C1907,'Policy Characteristics'!$C:$C,0))),"",INDEX('Policy Characteristics'!B:B,MATCH($C1907,'Policy Characteristics'!$C:$C,0)))</f>
        <v>Fuel Use Reduction</v>
      </c>
      <c r="C1907" s="254" t="str">
        <f t="shared" si="76"/>
        <v>RnD Industry Fuel Use Perc Reduction</v>
      </c>
      <c r="D1907" t="s">
        <v>3079</v>
      </c>
      <c r="E1907" s="45"/>
      <c r="F1907" s="6" t="s">
        <v>3104</v>
      </c>
      <c r="G1907" s="45"/>
      <c r="H1907" s="43">
        <v>1505</v>
      </c>
      <c r="I1907" s="324" t="s">
        <v>43</v>
      </c>
      <c r="J1907" s="255" t="str">
        <f>IF(ISBLANK(INDEX('Policy Characteristics'!D:D,MATCH($C1907,'Policy Characteristics'!$C:$C,0))),"",INDEX('Policy Characteristics'!D:D,MATCH($C1907,'Policy Characteristics'!$C:$C,0)))</f>
        <v>R&amp;D Fuel Use Reductions</v>
      </c>
      <c r="K1907" s="254" t="str">
        <f>IF(ISBLANK(INDEX('Policy Characteristics'!E:E,MATCH($C1907,'Policy Characteristics'!$C:$C,0))),"",INDEX('Policy Characteristics'!E:E,MATCH($C1907,'Policy Characteristics'!$C:$C,0)))</f>
        <v>RnD industry fuel use reduction</v>
      </c>
      <c r="L1907" s="261">
        <f>IF(ISBLANK(INDEX('Policy Characteristics'!F:F,MATCH($C1907,'Policy Characteristics'!$C:$C,0))),"",INDEX('Policy Characteristics'!F:F,MATCH($C1907,'Policy Characteristics'!$C:$C,0)))</f>
        <v>0</v>
      </c>
      <c r="M1907" s="261">
        <f>IF(ISBLANK(INDEX('Policy Characteristics'!G:G,MATCH($C1907,'Policy Characteristics'!$C:$C,0))),"",INDEX('Policy Characteristics'!G:G,MATCH($C1907,'Policy Characteristics'!$C:$C,0)))</f>
        <v>0.4</v>
      </c>
      <c r="N1907" s="261">
        <f>IF(ISBLANK(INDEX('Policy Characteristics'!H:H,MATCH($C1907,'Policy Characteristics'!$C:$C,0))),"",INDEX('Policy Characteristics'!H:H,MATCH($C1907,'Policy Characteristics'!$C:$C,0)))</f>
        <v>0.01</v>
      </c>
      <c r="O1907" s="254" t="str">
        <f>IF(ISBLANK(INDEX('Policy Characteristics'!I:I,MATCH($C1907,'Policy Characteristics'!$C:$C,0))),"",INDEX('Policy Characteristics'!I:I,MATCH($C1907,'Policy Characteristics'!$C:$C,0)))</f>
        <v>% reduction in fuel use</v>
      </c>
      <c r="P1907" s="254"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4" t="str">
        <f>IF(ISBLANK(INDEX('Policy Characteristics'!K:K,MATCH($C1907,'Policy Characteristics'!$C:$C,0))),"",INDEX('Policy Characteristics'!K:K,MATCH($C1907,'Policy Characteristics'!$C:$C,0)))</f>
        <v>architectural-design.html#rnd</v>
      </c>
      <c r="R1907" s="254" t="str">
        <f>IF(ISBLANK(INDEX('Policy Characteristics'!L:L,MATCH($C1907,'Policy Characteristics'!$C:$C,0))),"",INDEX('Policy Characteristics'!L:L,MATCH($C1907,'Policy Characteristics'!$C:$C,0)))</f>
        <v>research-and-development.html</v>
      </c>
    </row>
    <row r="1908" spans="1:18" x14ac:dyDescent="0.3">
      <c r="A1908" s="254" t="str">
        <f>IF(ISBLANK(INDEX('Policy Characteristics'!A:A,MATCH($C1908,'Policy Characteristics'!$C:$C,0))),"",INDEX('Policy Characteristics'!A:A,MATCH($C1908,'Policy Characteristics'!$C:$C,0)))</f>
        <v>Research and Development</v>
      </c>
      <c r="B1908" s="262" t="str">
        <f>IF(ISBLANK(INDEX('Policy Characteristics'!B:B,MATCH($C1908,'Policy Characteristics'!$C:$C,0))),"",INDEX('Policy Characteristics'!B:B,MATCH($C1908,'Policy Characteristics'!$C:$C,0)))</f>
        <v>Fuel Use Reduction</v>
      </c>
      <c r="C1908" s="254" t="str">
        <f t="shared" si="76"/>
        <v>RnD Industry Fuel Use Perc Reduction</v>
      </c>
      <c r="D1908" t="s">
        <v>3080</v>
      </c>
      <c r="E1908" s="45"/>
      <c r="F1908" s="6" t="s">
        <v>3105</v>
      </c>
      <c r="G1908" s="45"/>
      <c r="H1908" s="43">
        <v>1506</v>
      </c>
      <c r="I1908" s="324" t="s">
        <v>43</v>
      </c>
      <c r="J1908" s="255" t="str">
        <f>IF(ISBLANK(INDEX('Policy Characteristics'!D:D,MATCH($C1908,'Policy Characteristics'!$C:$C,0))),"",INDEX('Policy Characteristics'!D:D,MATCH($C1908,'Policy Characteristics'!$C:$C,0)))</f>
        <v>R&amp;D Fuel Use Reductions</v>
      </c>
      <c r="K1908" s="254" t="str">
        <f>IF(ISBLANK(INDEX('Policy Characteristics'!E:E,MATCH($C1908,'Policy Characteristics'!$C:$C,0))),"",INDEX('Policy Characteristics'!E:E,MATCH($C1908,'Policy Characteristics'!$C:$C,0)))</f>
        <v>RnD industry fuel use reduction</v>
      </c>
      <c r="L1908" s="261">
        <f>IF(ISBLANK(INDEX('Policy Characteristics'!F:F,MATCH($C1908,'Policy Characteristics'!$C:$C,0))),"",INDEX('Policy Characteristics'!F:F,MATCH($C1908,'Policy Characteristics'!$C:$C,0)))</f>
        <v>0</v>
      </c>
      <c r="M1908" s="261">
        <f>IF(ISBLANK(INDEX('Policy Characteristics'!G:G,MATCH($C1908,'Policy Characteristics'!$C:$C,0))),"",INDEX('Policy Characteristics'!G:G,MATCH($C1908,'Policy Characteristics'!$C:$C,0)))</f>
        <v>0.4</v>
      </c>
      <c r="N1908" s="261">
        <f>IF(ISBLANK(INDEX('Policy Characteristics'!H:H,MATCH($C1908,'Policy Characteristics'!$C:$C,0))),"",INDEX('Policy Characteristics'!H:H,MATCH($C1908,'Policy Characteristics'!$C:$C,0)))</f>
        <v>0.01</v>
      </c>
      <c r="O1908" s="254" t="str">
        <f>IF(ISBLANK(INDEX('Policy Characteristics'!I:I,MATCH($C1908,'Policy Characteristics'!$C:$C,0))),"",INDEX('Policy Characteristics'!I:I,MATCH($C1908,'Policy Characteristics'!$C:$C,0)))</f>
        <v>% reduction in fuel use</v>
      </c>
      <c r="P1908" s="254"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4" t="str">
        <f>IF(ISBLANK(INDEX('Policy Characteristics'!K:K,MATCH($C1908,'Policy Characteristics'!$C:$C,0))),"",INDEX('Policy Characteristics'!K:K,MATCH($C1908,'Policy Characteristics'!$C:$C,0)))</f>
        <v>architectural-design.html#rnd</v>
      </c>
      <c r="R1908" s="254" t="str">
        <f>IF(ISBLANK(INDEX('Policy Characteristics'!L:L,MATCH($C1908,'Policy Characteristics'!$C:$C,0))),"",INDEX('Policy Characteristics'!L:L,MATCH($C1908,'Policy Characteristics'!$C:$C,0)))</f>
        <v>research-and-development.html</v>
      </c>
    </row>
    <row r="1909" spans="1:18" x14ac:dyDescent="0.3">
      <c r="A1909" s="254" t="str">
        <f>IF(ISBLANK(INDEX('Policy Characteristics'!A:A,MATCH($C1909,'Policy Characteristics'!$C:$C,0))),"",INDEX('Policy Characteristics'!A:A,MATCH($C1909,'Policy Characteristics'!$C:$C,0)))</f>
        <v>Research and Development</v>
      </c>
      <c r="B1909" s="262" t="str">
        <f>IF(ISBLANK(INDEX('Policy Characteristics'!B:B,MATCH($C1909,'Policy Characteristics'!$C:$C,0))),"",INDEX('Policy Characteristics'!B:B,MATCH($C1909,'Policy Characteristics'!$C:$C,0)))</f>
        <v>Fuel Use Reduction</v>
      </c>
      <c r="C1909" s="254" t="str">
        <f t="shared" si="76"/>
        <v>RnD Industry Fuel Use Perc Reduction</v>
      </c>
      <c r="D1909" t="s">
        <v>3081</v>
      </c>
      <c r="E1909" s="45"/>
      <c r="F1909" s="6" t="s">
        <v>3106</v>
      </c>
      <c r="G1909" s="45"/>
      <c r="H1909" s="43">
        <v>1507</v>
      </c>
      <c r="I1909" s="324" t="s">
        <v>43</v>
      </c>
      <c r="J1909" s="255" t="str">
        <f>IF(ISBLANK(INDEX('Policy Characteristics'!D:D,MATCH($C1909,'Policy Characteristics'!$C:$C,0))),"",INDEX('Policy Characteristics'!D:D,MATCH($C1909,'Policy Characteristics'!$C:$C,0)))</f>
        <v>R&amp;D Fuel Use Reductions</v>
      </c>
      <c r="K1909" s="254" t="str">
        <f>IF(ISBLANK(INDEX('Policy Characteristics'!E:E,MATCH($C1909,'Policy Characteristics'!$C:$C,0))),"",INDEX('Policy Characteristics'!E:E,MATCH($C1909,'Policy Characteristics'!$C:$C,0)))</f>
        <v>RnD industry fuel use reduction</v>
      </c>
      <c r="L1909" s="261">
        <f>IF(ISBLANK(INDEX('Policy Characteristics'!F:F,MATCH($C1909,'Policy Characteristics'!$C:$C,0))),"",INDEX('Policy Characteristics'!F:F,MATCH($C1909,'Policy Characteristics'!$C:$C,0)))</f>
        <v>0</v>
      </c>
      <c r="M1909" s="261">
        <f>IF(ISBLANK(INDEX('Policy Characteristics'!G:G,MATCH($C1909,'Policy Characteristics'!$C:$C,0))),"",INDEX('Policy Characteristics'!G:G,MATCH($C1909,'Policy Characteristics'!$C:$C,0)))</f>
        <v>0.4</v>
      </c>
      <c r="N1909" s="261">
        <f>IF(ISBLANK(INDEX('Policy Characteristics'!H:H,MATCH($C1909,'Policy Characteristics'!$C:$C,0))),"",INDEX('Policy Characteristics'!H:H,MATCH($C1909,'Policy Characteristics'!$C:$C,0)))</f>
        <v>0.01</v>
      </c>
      <c r="O1909" s="254" t="str">
        <f>IF(ISBLANK(INDEX('Policy Characteristics'!I:I,MATCH($C1909,'Policy Characteristics'!$C:$C,0))),"",INDEX('Policy Characteristics'!I:I,MATCH($C1909,'Policy Characteristics'!$C:$C,0)))</f>
        <v>% reduction in fuel use</v>
      </c>
      <c r="P1909" s="254"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4" t="str">
        <f>IF(ISBLANK(INDEX('Policy Characteristics'!K:K,MATCH($C1909,'Policy Characteristics'!$C:$C,0))),"",INDEX('Policy Characteristics'!K:K,MATCH($C1909,'Policy Characteristics'!$C:$C,0)))</f>
        <v>architectural-design.html#rnd</v>
      </c>
      <c r="R1909" s="254" t="str">
        <f>IF(ISBLANK(INDEX('Policy Characteristics'!L:L,MATCH($C1909,'Policy Characteristics'!$C:$C,0))),"",INDEX('Policy Characteristics'!L:L,MATCH($C1909,'Policy Characteristics'!$C:$C,0)))</f>
        <v>research-and-development.html</v>
      </c>
    </row>
    <row r="1910" spans="1:18" x14ac:dyDescent="0.3">
      <c r="A1910" s="254" t="str">
        <f>IF(ISBLANK(INDEX('Policy Characteristics'!A:A,MATCH($C1910,'Policy Characteristics'!$C:$C,0))),"",INDEX('Policy Characteristics'!A:A,MATCH($C1910,'Policy Characteristics'!$C:$C,0)))</f>
        <v>Research and Development</v>
      </c>
      <c r="B1910" s="262" t="str">
        <f>IF(ISBLANK(INDEX('Policy Characteristics'!B:B,MATCH($C1910,'Policy Characteristics'!$C:$C,0))),"",INDEX('Policy Characteristics'!B:B,MATCH($C1910,'Policy Characteristics'!$C:$C,0)))</f>
        <v>Fuel Use Reduction</v>
      </c>
      <c r="C1910" s="254" t="str">
        <f t="shared" si="76"/>
        <v>RnD Industry Fuel Use Perc Reduction</v>
      </c>
      <c r="D1910" t="s">
        <v>3082</v>
      </c>
      <c r="E1910" s="45"/>
      <c r="F1910" s="6" t="s">
        <v>3107</v>
      </c>
      <c r="G1910" s="45"/>
      <c r="H1910" s="43">
        <v>1508</v>
      </c>
      <c r="I1910" s="324" t="s">
        <v>43</v>
      </c>
      <c r="J1910" s="255" t="str">
        <f>IF(ISBLANK(INDEX('Policy Characteristics'!D:D,MATCH($C1910,'Policy Characteristics'!$C:$C,0))),"",INDEX('Policy Characteristics'!D:D,MATCH($C1910,'Policy Characteristics'!$C:$C,0)))</f>
        <v>R&amp;D Fuel Use Reductions</v>
      </c>
      <c r="K1910" s="254" t="str">
        <f>IF(ISBLANK(INDEX('Policy Characteristics'!E:E,MATCH($C1910,'Policy Characteristics'!$C:$C,0))),"",INDEX('Policy Characteristics'!E:E,MATCH($C1910,'Policy Characteristics'!$C:$C,0)))</f>
        <v>RnD industry fuel use reduction</v>
      </c>
      <c r="L1910" s="261">
        <f>IF(ISBLANK(INDEX('Policy Characteristics'!F:F,MATCH($C1910,'Policy Characteristics'!$C:$C,0))),"",INDEX('Policy Characteristics'!F:F,MATCH($C1910,'Policy Characteristics'!$C:$C,0)))</f>
        <v>0</v>
      </c>
      <c r="M1910" s="261">
        <f>IF(ISBLANK(INDEX('Policy Characteristics'!G:G,MATCH($C1910,'Policy Characteristics'!$C:$C,0))),"",INDEX('Policy Characteristics'!G:G,MATCH($C1910,'Policy Characteristics'!$C:$C,0)))</f>
        <v>0.4</v>
      </c>
      <c r="N1910" s="261">
        <f>IF(ISBLANK(INDEX('Policy Characteristics'!H:H,MATCH($C1910,'Policy Characteristics'!$C:$C,0))),"",INDEX('Policy Characteristics'!H:H,MATCH($C1910,'Policy Characteristics'!$C:$C,0)))</f>
        <v>0.01</v>
      </c>
      <c r="O1910" s="254" t="str">
        <f>IF(ISBLANK(INDEX('Policy Characteristics'!I:I,MATCH($C1910,'Policy Characteristics'!$C:$C,0))),"",INDEX('Policy Characteristics'!I:I,MATCH($C1910,'Policy Characteristics'!$C:$C,0)))</f>
        <v>% reduction in fuel use</v>
      </c>
      <c r="P1910" s="254"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4" t="str">
        <f>IF(ISBLANK(INDEX('Policy Characteristics'!K:K,MATCH($C1910,'Policy Characteristics'!$C:$C,0))),"",INDEX('Policy Characteristics'!K:K,MATCH($C1910,'Policy Characteristics'!$C:$C,0)))</f>
        <v>architectural-design.html#rnd</v>
      </c>
      <c r="R1910" s="254" t="str">
        <f>IF(ISBLANK(INDEX('Policy Characteristics'!L:L,MATCH($C1910,'Policy Characteristics'!$C:$C,0))),"",INDEX('Policy Characteristics'!L:L,MATCH($C1910,'Policy Characteristics'!$C:$C,0)))</f>
        <v>research-and-development.html</v>
      </c>
    </row>
    <row r="1911" spans="1:18" x14ac:dyDescent="0.3">
      <c r="A1911" s="254" t="str">
        <f>IF(ISBLANK(INDEX('Policy Characteristics'!A:A,MATCH($C1911,'Policy Characteristics'!$C:$C,0))),"",INDEX('Policy Characteristics'!A:A,MATCH($C1911,'Policy Characteristics'!$C:$C,0)))</f>
        <v>Research and Development</v>
      </c>
      <c r="B1911" s="262" t="str">
        <f>IF(ISBLANK(INDEX('Policy Characteristics'!B:B,MATCH($C1911,'Policy Characteristics'!$C:$C,0))),"",INDEX('Policy Characteristics'!B:B,MATCH($C1911,'Policy Characteristics'!$C:$C,0)))</f>
        <v>Fuel Use Reduction</v>
      </c>
      <c r="C1911" s="254" t="str">
        <f t="shared" si="76"/>
        <v>RnD Industry Fuel Use Perc Reduction</v>
      </c>
      <c r="D1911" t="s">
        <v>3083</v>
      </c>
      <c r="E1911" s="45"/>
      <c r="F1911" s="6" t="s">
        <v>3108</v>
      </c>
      <c r="G1911" s="45"/>
      <c r="H1911" s="43">
        <v>1509</v>
      </c>
      <c r="I1911" s="324" t="s">
        <v>43</v>
      </c>
      <c r="J1911" s="255" t="str">
        <f>IF(ISBLANK(INDEX('Policy Characteristics'!D:D,MATCH($C1911,'Policy Characteristics'!$C:$C,0))),"",INDEX('Policy Characteristics'!D:D,MATCH($C1911,'Policy Characteristics'!$C:$C,0)))</f>
        <v>R&amp;D Fuel Use Reductions</v>
      </c>
      <c r="K1911" s="254" t="str">
        <f>IF(ISBLANK(INDEX('Policy Characteristics'!E:E,MATCH($C1911,'Policy Characteristics'!$C:$C,0))),"",INDEX('Policy Characteristics'!E:E,MATCH($C1911,'Policy Characteristics'!$C:$C,0)))</f>
        <v>RnD industry fuel use reduction</v>
      </c>
      <c r="L1911" s="261">
        <f>IF(ISBLANK(INDEX('Policy Characteristics'!F:F,MATCH($C1911,'Policy Characteristics'!$C:$C,0))),"",INDEX('Policy Characteristics'!F:F,MATCH($C1911,'Policy Characteristics'!$C:$C,0)))</f>
        <v>0</v>
      </c>
      <c r="M1911" s="261">
        <f>IF(ISBLANK(INDEX('Policy Characteristics'!G:G,MATCH($C1911,'Policy Characteristics'!$C:$C,0))),"",INDEX('Policy Characteristics'!G:G,MATCH($C1911,'Policy Characteristics'!$C:$C,0)))</f>
        <v>0.4</v>
      </c>
      <c r="N1911" s="261">
        <f>IF(ISBLANK(INDEX('Policy Characteristics'!H:H,MATCH($C1911,'Policy Characteristics'!$C:$C,0))),"",INDEX('Policy Characteristics'!H:H,MATCH($C1911,'Policy Characteristics'!$C:$C,0)))</f>
        <v>0.01</v>
      </c>
      <c r="O1911" s="254" t="str">
        <f>IF(ISBLANK(INDEX('Policy Characteristics'!I:I,MATCH($C1911,'Policy Characteristics'!$C:$C,0))),"",INDEX('Policy Characteristics'!I:I,MATCH($C1911,'Policy Characteristics'!$C:$C,0)))</f>
        <v>% reduction in fuel use</v>
      </c>
      <c r="P1911" s="254"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4" t="str">
        <f>IF(ISBLANK(INDEX('Policy Characteristics'!K:K,MATCH($C1911,'Policy Characteristics'!$C:$C,0))),"",INDEX('Policy Characteristics'!K:K,MATCH($C1911,'Policy Characteristics'!$C:$C,0)))</f>
        <v>architectural-design.html#rnd</v>
      </c>
      <c r="R1911" s="254" t="str">
        <f>IF(ISBLANK(INDEX('Policy Characteristics'!L:L,MATCH($C1911,'Policy Characteristics'!$C:$C,0))),"",INDEX('Policy Characteristics'!L:L,MATCH($C1911,'Policy Characteristics'!$C:$C,0)))</f>
        <v>research-and-development.html</v>
      </c>
    </row>
    <row r="1912" spans="1:18" x14ac:dyDescent="0.3">
      <c r="A1912" s="254" t="str">
        <f>IF(ISBLANK(INDEX('Policy Characteristics'!A:A,MATCH($C1912,'Policy Characteristics'!$C:$C,0))),"",INDEX('Policy Characteristics'!A:A,MATCH($C1912,'Policy Characteristics'!$C:$C,0)))</f>
        <v>Research and Development</v>
      </c>
      <c r="B1912" s="262" t="str">
        <f>IF(ISBLANK(INDEX('Policy Characteristics'!B:B,MATCH($C1912,'Policy Characteristics'!$C:$C,0))),"",INDEX('Policy Characteristics'!B:B,MATCH($C1912,'Policy Characteristics'!$C:$C,0)))</f>
        <v>Fuel Use Reduction</v>
      </c>
      <c r="C1912" s="254" t="str">
        <f t="shared" si="76"/>
        <v>RnD Industry Fuel Use Perc Reduction</v>
      </c>
      <c r="D1912" t="s">
        <v>3084</v>
      </c>
      <c r="E1912" s="45"/>
      <c r="F1912" s="6" t="s">
        <v>3109</v>
      </c>
      <c r="G1912" s="45"/>
      <c r="H1912" s="43">
        <v>1510</v>
      </c>
      <c r="I1912" s="324" t="s">
        <v>43</v>
      </c>
      <c r="J1912" s="255" t="str">
        <f>IF(ISBLANK(INDEX('Policy Characteristics'!D:D,MATCH($C1912,'Policy Characteristics'!$C:$C,0))),"",INDEX('Policy Characteristics'!D:D,MATCH($C1912,'Policy Characteristics'!$C:$C,0)))</f>
        <v>R&amp;D Fuel Use Reductions</v>
      </c>
      <c r="K1912" s="254" t="str">
        <f>IF(ISBLANK(INDEX('Policy Characteristics'!E:E,MATCH($C1912,'Policy Characteristics'!$C:$C,0))),"",INDEX('Policy Characteristics'!E:E,MATCH($C1912,'Policy Characteristics'!$C:$C,0)))</f>
        <v>RnD industry fuel use reduction</v>
      </c>
      <c r="L1912" s="261">
        <f>IF(ISBLANK(INDEX('Policy Characteristics'!F:F,MATCH($C1912,'Policy Characteristics'!$C:$C,0))),"",INDEX('Policy Characteristics'!F:F,MATCH($C1912,'Policy Characteristics'!$C:$C,0)))</f>
        <v>0</v>
      </c>
      <c r="M1912" s="261">
        <f>IF(ISBLANK(INDEX('Policy Characteristics'!G:G,MATCH($C1912,'Policy Characteristics'!$C:$C,0))),"",INDEX('Policy Characteristics'!G:G,MATCH($C1912,'Policy Characteristics'!$C:$C,0)))</f>
        <v>0.4</v>
      </c>
      <c r="N1912" s="261">
        <f>IF(ISBLANK(INDEX('Policy Characteristics'!H:H,MATCH($C1912,'Policy Characteristics'!$C:$C,0))),"",INDEX('Policy Characteristics'!H:H,MATCH($C1912,'Policy Characteristics'!$C:$C,0)))</f>
        <v>0.01</v>
      </c>
      <c r="O1912" s="254" t="str">
        <f>IF(ISBLANK(INDEX('Policy Characteristics'!I:I,MATCH($C1912,'Policy Characteristics'!$C:$C,0))),"",INDEX('Policy Characteristics'!I:I,MATCH($C1912,'Policy Characteristics'!$C:$C,0)))</f>
        <v>% reduction in fuel use</v>
      </c>
      <c r="P1912" s="254"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4" t="str">
        <f>IF(ISBLANK(INDEX('Policy Characteristics'!K:K,MATCH($C1912,'Policy Characteristics'!$C:$C,0))),"",INDEX('Policy Characteristics'!K:K,MATCH($C1912,'Policy Characteristics'!$C:$C,0)))</f>
        <v>architectural-design.html#rnd</v>
      </c>
      <c r="R1912" s="254" t="str">
        <f>IF(ISBLANK(INDEX('Policy Characteristics'!L:L,MATCH($C1912,'Policy Characteristics'!$C:$C,0))),"",INDEX('Policy Characteristics'!L:L,MATCH($C1912,'Policy Characteristics'!$C:$C,0)))</f>
        <v>research-and-development.html</v>
      </c>
    </row>
    <row r="1913" spans="1:18" x14ac:dyDescent="0.3">
      <c r="A1913" s="254" t="str">
        <f>IF(ISBLANK(INDEX('Policy Characteristics'!A:A,MATCH($C1913,'Policy Characteristics'!$C:$C,0))),"",INDEX('Policy Characteristics'!A:A,MATCH($C1913,'Policy Characteristics'!$C:$C,0)))</f>
        <v>Research and Development</v>
      </c>
      <c r="B1913" s="262" t="str">
        <f>IF(ISBLANK(INDEX('Policy Characteristics'!B:B,MATCH($C1913,'Policy Characteristics'!$C:$C,0))),"",INDEX('Policy Characteristics'!B:B,MATCH($C1913,'Policy Characteristics'!$C:$C,0)))</f>
        <v>Fuel Use Reduction</v>
      </c>
      <c r="C1913" s="254" t="str">
        <f t="shared" si="76"/>
        <v>RnD Industry Fuel Use Perc Reduction</v>
      </c>
      <c r="D1913" t="s">
        <v>3085</v>
      </c>
      <c r="E1913" s="45"/>
      <c r="F1913" s="6" t="s">
        <v>3110</v>
      </c>
      <c r="G1913" s="45"/>
      <c r="H1913" s="43">
        <v>1511</v>
      </c>
      <c r="I1913" s="324" t="s">
        <v>43</v>
      </c>
      <c r="J1913" s="255" t="str">
        <f>IF(ISBLANK(INDEX('Policy Characteristics'!D:D,MATCH($C1913,'Policy Characteristics'!$C:$C,0))),"",INDEX('Policy Characteristics'!D:D,MATCH($C1913,'Policy Characteristics'!$C:$C,0)))</f>
        <v>R&amp;D Fuel Use Reductions</v>
      </c>
      <c r="K1913" s="254" t="str">
        <f>IF(ISBLANK(INDEX('Policy Characteristics'!E:E,MATCH($C1913,'Policy Characteristics'!$C:$C,0))),"",INDEX('Policy Characteristics'!E:E,MATCH($C1913,'Policy Characteristics'!$C:$C,0)))</f>
        <v>RnD industry fuel use reduction</v>
      </c>
      <c r="L1913" s="261">
        <f>IF(ISBLANK(INDEX('Policy Characteristics'!F:F,MATCH($C1913,'Policy Characteristics'!$C:$C,0))),"",INDEX('Policy Characteristics'!F:F,MATCH($C1913,'Policy Characteristics'!$C:$C,0)))</f>
        <v>0</v>
      </c>
      <c r="M1913" s="261">
        <f>IF(ISBLANK(INDEX('Policy Characteristics'!G:G,MATCH($C1913,'Policy Characteristics'!$C:$C,0))),"",INDEX('Policy Characteristics'!G:G,MATCH($C1913,'Policy Characteristics'!$C:$C,0)))</f>
        <v>0.4</v>
      </c>
      <c r="N1913" s="261">
        <f>IF(ISBLANK(INDEX('Policy Characteristics'!H:H,MATCH($C1913,'Policy Characteristics'!$C:$C,0))),"",INDEX('Policy Characteristics'!H:H,MATCH($C1913,'Policy Characteristics'!$C:$C,0)))</f>
        <v>0.01</v>
      </c>
      <c r="O1913" s="254" t="str">
        <f>IF(ISBLANK(INDEX('Policy Characteristics'!I:I,MATCH($C1913,'Policy Characteristics'!$C:$C,0))),"",INDEX('Policy Characteristics'!I:I,MATCH($C1913,'Policy Characteristics'!$C:$C,0)))</f>
        <v>% reduction in fuel use</v>
      </c>
      <c r="P1913" s="254"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4" t="str">
        <f>IF(ISBLANK(INDEX('Policy Characteristics'!K:K,MATCH($C1913,'Policy Characteristics'!$C:$C,0))),"",INDEX('Policy Characteristics'!K:K,MATCH($C1913,'Policy Characteristics'!$C:$C,0)))</f>
        <v>architectural-design.html#rnd</v>
      </c>
      <c r="R1913" s="254" t="str">
        <f>IF(ISBLANK(INDEX('Policy Characteristics'!L:L,MATCH($C1913,'Policy Characteristics'!$C:$C,0))),"",INDEX('Policy Characteristics'!L:L,MATCH($C1913,'Policy Characteristics'!$C:$C,0)))</f>
        <v>research-and-development.html</v>
      </c>
    </row>
    <row r="1914" spans="1:18" x14ac:dyDescent="0.3">
      <c r="A1914" s="254" t="str">
        <f>IF(ISBLANK(INDEX('Policy Characteristics'!A:A,MATCH($C1914,'Policy Characteristics'!$C:$C,0))),"",INDEX('Policy Characteristics'!A:A,MATCH($C1914,'Policy Characteristics'!$C:$C,0)))</f>
        <v>Research and Development</v>
      </c>
      <c r="B1914" s="262" t="str">
        <f>IF(ISBLANK(INDEX('Policy Characteristics'!B:B,MATCH($C1914,'Policy Characteristics'!$C:$C,0))),"",INDEX('Policy Characteristics'!B:B,MATCH($C1914,'Policy Characteristics'!$C:$C,0)))</f>
        <v>Fuel Use Reduction</v>
      </c>
      <c r="C1914" t="s">
        <v>297</v>
      </c>
      <c r="D1914" s="45" t="s">
        <v>2245</v>
      </c>
      <c r="E1914" s="45"/>
      <c r="F1914" s="45" t="s">
        <v>470</v>
      </c>
      <c r="G1914" s="45"/>
      <c r="H1914" s="43">
        <v>133</v>
      </c>
      <c r="I1914" s="324" t="s">
        <v>43</v>
      </c>
      <c r="J1914" s="255" t="str">
        <f>IF(ISBLANK(INDEX('Policy Characteristics'!D:D,MATCH($C1914,'Policy Characteristics'!$C:$C,0))),"",INDEX('Policy Characteristics'!D:D,MATCH($C1914,'Policy Characteristics'!$C:$C,0)))</f>
        <v>R&amp;D Fuel Use Reductions</v>
      </c>
      <c r="K1914" s="254" t="str">
        <f>IF(ISBLANK(INDEX('Policy Characteristics'!E:E,MATCH($C1914,'Policy Characteristics'!$C:$C,0))),"",INDEX('Policy Characteristics'!E:E,MATCH($C1914,'Policy Characteristics'!$C:$C,0)))</f>
        <v>RnD transportation fuel use reduction</v>
      </c>
      <c r="L1914" s="261">
        <f>IF(ISBLANK(INDEX('Policy Characteristics'!F:F,MATCH($C1914,'Policy Characteristics'!$C:$C,0))),"",INDEX('Policy Characteristics'!F:F,MATCH($C1914,'Policy Characteristics'!$C:$C,0)))</f>
        <v>0</v>
      </c>
      <c r="M1914" s="261">
        <f>IF(ISBLANK(INDEX('Policy Characteristics'!G:G,MATCH($C1914,'Policy Characteristics'!$C:$C,0))),"",INDEX('Policy Characteristics'!G:G,MATCH($C1914,'Policy Characteristics'!$C:$C,0)))</f>
        <v>0.4</v>
      </c>
      <c r="N1914" s="261">
        <f>IF(ISBLANK(INDEX('Policy Characteristics'!H:H,MATCH($C1914,'Policy Characteristics'!$C:$C,0))),"",INDEX('Policy Characteristics'!H:H,MATCH($C1914,'Policy Characteristics'!$C:$C,0)))</f>
        <v>0.01</v>
      </c>
      <c r="O1914" s="254" t="str">
        <f>IF(ISBLANK(INDEX('Policy Characteristics'!I:I,MATCH($C1914,'Policy Characteristics'!$C:$C,0))),"",INDEX('Policy Characteristics'!I:I,MATCH($C1914,'Policy Characteristics'!$C:$C,0)))</f>
        <v>% reduction in fuel use</v>
      </c>
      <c r="P1914" s="254"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4" t="str">
        <f>IF(ISBLANK(INDEX('Policy Characteristics'!K:K,MATCH($C1914,'Policy Characteristics'!$C:$C,0))),"",INDEX('Policy Characteristics'!K:K,MATCH($C1914,'Policy Characteristics'!$C:$C,0)))</f>
        <v>architectural-design.html#rnd</v>
      </c>
      <c r="R1914" s="254" t="str">
        <f>IF(ISBLANK(INDEX('Policy Characteristics'!L:L,MATCH($C1914,'Policy Characteristics'!$C:$C,0))),"",INDEX('Policy Characteristics'!L:L,MATCH($C1914,'Policy Characteristics'!$C:$C,0)))</f>
        <v>research-and-development.html</v>
      </c>
    </row>
    <row r="1915" spans="1:18" x14ac:dyDescent="0.3">
      <c r="A1915" s="254" t="str">
        <f>IF(ISBLANK(INDEX('Policy Characteristics'!A:A,MATCH($C1915,'Policy Characteristics'!$C:$C,0))),"",INDEX('Policy Characteristics'!A:A,MATCH($C1915,'Policy Characteristics'!$C:$C,0)))</f>
        <v>Research and Development</v>
      </c>
      <c r="B1915" s="262" t="str">
        <f>IF(ISBLANK(INDEX('Policy Characteristics'!B:B,MATCH($C1915,'Policy Characteristics'!$C:$C,0))),"",INDEX('Policy Characteristics'!B:B,MATCH($C1915,'Policy Characteristics'!$C:$C,0)))</f>
        <v>Fuel Use Reduction</v>
      </c>
      <c r="C1915" s="254" t="str">
        <f t="shared" ref="C1915:C1920" si="77">C$1914</f>
        <v>RnD Transportation Fuel Use Perc Reduction</v>
      </c>
      <c r="D1915" s="45" t="s">
        <v>2246</v>
      </c>
      <c r="E1915" s="45"/>
      <c r="F1915" s="45" t="s">
        <v>471</v>
      </c>
      <c r="G1915" s="45"/>
      <c r="H1915" s="43">
        <v>134</v>
      </c>
      <c r="I1915" s="324" t="s">
        <v>43</v>
      </c>
      <c r="J1915" s="255" t="str">
        <f>IF(ISBLANK(INDEX('Policy Characteristics'!D:D,MATCH($C1915,'Policy Characteristics'!$C:$C,0))),"",INDEX('Policy Characteristics'!D:D,MATCH($C1915,'Policy Characteristics'!$C:$C,0)))</f>
        <v>R&amp;D Fuel Use Reductions</v>
      </c>
      <c r="K1915" s="254" t="str">
        <f>IF(ISBLANK(INDEX('Policy Characteristics'!E:E,MATCH($C1915,'Policy Characteristics'!$C:$C,0))),"",INDEX('Policy Characteristics'!E:E,MATCH($C1915,'Policy Characteristics'!$C:$C,0)))</f>
        <v>RnD transportation fuel use reduction</v>
      </c>
      <c r="L1915" s="261">
        <f>IF(ISBLANK(INDEX('Policy Characteristics'!F:F,MATCH($C1915,'Policy Characteristics'!$C:$C,0))),"",INDEX('Policy Characteristics'!F:F,MATCH($C1915,'Policy Characteristics'!$C:$C,0)))</f>
        <v>0</v>
      </c>
      <c r="M1915" s="261">
        <f>IF(ISBLANK(INDEX('Policy Characteristics'!G:G,MATCH($C1915,'Policy Characteristics'!$C:$C,0))),"",INDEX('Policy Characteristics'!G:G,MATCH($C1915,'Policy Characteristics'!$C:$C,0)))</f>
        <v>0.4</v>
      </c>
      <c r="N1915" s="261">
        <f>IF(ISBLANK(INDEX('Policy Characteristics'!H:H,MATCH($C1915,'Policy Characteristics'!$C:$C,0))),"",INDEX('Policy Characteristics'!H:H,MATCH($C1915,'Policy Characteristics'!$C:$C,0)))</f>
        <v>0.01</v>
      </c>
      <c r="O1915" s="254" t="str">
        <f>IF(ISBLANK(INDEX('Policy Characteristics'!I:I,MATCH($C1915,'Policy Characteristics'!$C:$C,0))),"",INDEX('Policy Characteristics'!I:I,MATCH($C1915,'Policy Characteristics'!$C:$C,0)))</f>
        <v>% reduction in fuel use</v>
      </c>
      <c r="P1915" s="254"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4" t="str">
        <f>IF(ISBLANK(INDEX('Policy Characteristics'!K:K,MATCH($C1915,'Policy Characteristics'!$C:$C,0))),"",INDEX('Policy Characteristics'!K:K,MATCH($C1915,'Policy Characteristics'!$C:$C,0)))</f>
        <v>architectural-design.html#rnd</v>
      </c>
      <c r="R1915" s="254" t="str">
        <f>IF(ISBLANK(INDEX('Policy Characteristics'!L:L,MATCH($C1915,'Policy Characteristics'!$C:$C,0))),"",INDEX('Policy Characteristics'!L:L,MATCH($C1915,'Policy Characteristics'!$C:$C,0)))</f>
        <v>research-and-development.html</v>
      </c>
    </row>
    <row r="1916" spans="1:18" x14ac:dyDescent="0.3">
      <c r="A1916" s="254" t="str">
        <f>IF(ISBLANK(INDEX('Policy Characteristics'!A:A,MATCH($C1916,'Policy Characteristics'!$C:$C,0))),"",INDEX('Policy Characteristics'!A:A,MATCH($C1916,'Policy Characteristics'!$C:$C,0)))</f>
        <v>Research and Development</v>
      </c>
      <c r="B1916" s="262" t="str">
        <f>IF(ISBLANK(INDEX('Policy Characteristics'!B:B,MATCH($C1916,'Policy Characteristics'!$C:$C,0))),"",INDEX('Policy Characteristics'!B:B,MATCH($C1916,'Policy Characteristics'!$C:$C,0)))</f>
        <v>Fuel Use Reduction</v>
      </c>
      <c r="C1916" s="254" t="str">
        <f t="shared" si="77"/>
        <v>RnD Transportation Fuel Use Perc Reduction</v>
      </c>
      <c r="D1916" s="45" t="s">
        <v>2247</v>
      </c>
      <c r="E1916" s="45"/>
      <c r="F1916" s="45" t="s">
        <v>472</v>
      </c>
      <c r="G1916" s="45"/>
      <c r="H1916" s="43">
        <v>135</v>
      </c>
      <c r="I1916" s="324" t="s">
        <v>43</v>
      </c>
      <c r="J1916" s="255" t="str">
        <f>IF(ISBLANK(INDEX('Policy Characteristics'!D:D,MATCH($C1916,'Policy Characteristics'!$C:$C,0))),"",INDEX('Policy Characteristics'!D:D,MATCH($C1916,'Policy Characteristics'!$C:$C,0)))</f>
        <v>R&amp;D Fuel Use Reductions</v>
      </c>
      <c r="K1916" s="254" t="str">
        <f>IF(ISBLANK(INDEX('Policy Characteristics'!E:E,MATCH($C1916,'Policy Characteristics'!$C:$C,0))),"",INDEX('Policy Characteristics'!E:E,MATCH($C1916,'Policy Characteristics'!$C:$C,0)))</f>
        <v>RnD transportation fuel use reduction</v>
      </c>
      <c r="L1916" s="261">
        <f>IF(ISBLANK(INDEX('Policy Characteristics'!F:F,MATCH($C1916,'Policy Characteristics'!$C:$C,0))),"",INDEX('Policy Characteristics'!F:F,MATCH($C1916,'Policy Characteristics'!$C:$C,0)))</f>
        <v>0</v>
      </c>
      <c r="M1916" s="261">
        <f>IF(ISBLANK(INDEX('Policy Characteristics'!G:G,MATCH($C1916,'Policy Characteristics'!$C:$C,0))),"",INDEX('Policy Characteristics'!G:G,MATCH($C1916,'Policy Characteristics'!$C:$C,0)))</f>
        <v>0.4</v>
      </c>
      <c r="N1916" s="261">
        <f>IF(ISBLANK(INDEX('Policy Characteristics'!H:H,MATCH($C1916,'Policy Characteristics'!$C:$C,0))),"",INDEX('Policy Characteristics'!H:H,MATCH($C1916,'Policy Characteristics'!$C:$C,0)))</f>
        <v>0.01</v>
      </c>
      <c r="O1916" s="254" t="str">
        <f>IF(ISBLANK(INDEX('Policy Characteristics'!I:I,MATCH($C1916,'Policy Characteristics'!$C:$C,0))),"",INDEX('Policy Characteristics'!I:I,MATCH($C1916,'Policy Characteristics'!$C:$C,0)))</f>
        <v>% reduction in fuel use</v>
      </c>
      <c r="P1916" s="254"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4" t="str">
        <f>IF(ISBLANK(INDEX('Policy Characteristics'!K:K,MATCH($C1916,'Policy Characteristics'!$C:$C,0))),"",INDEX('Policy Characteristics'!K:K,MATCH($C1916,'Policy Characteristics'!$C:$C,0)))</f>
        <v>architectural-design.html#rnd</v>
      </c>
      <c r="R1916" s="254" t="str">
        <f>IF(ISBLANK(INDEX('Policy Characteristics'!L:L,MATCH($C1916,'Policy Characteristics'!$C:$C,0))),"",INDEX('Policy Characteristics'!L:L,MATCH($C1916,'Policy Characteristics'!$C:$C,0)))</f>
        <v>research-and-development.html</v>
      </c>
    </row>
    <row r="1917" spans="1:18" x14ac:dyDescent="0.3">
      <c r="A1917" s="254" t="str">
        <f>IF(ISBLANK(INDEX('Policy Characteristics'!A:A,MATCH($C1917,'Policy Characteristics'!$C:$C,0))),"",INDEX('Policy Characteristics'!A:A,MATCH($C1917,'Policy Characteristics'!$C:$C,0)))</f>
        <v>Research and Development</v>
      </c>
      <c r="B1917" s="262" t="str">
        <f>IF(ISBLANK(INDEX('Policy Characteristics'!B:B,MATCH($C1917,'Policy Characteristics'!$C:$C,0))),"",INDEX('Policy Characteristics'!B:B,MATCH($C1917,'Policy Characteristics'!$C:$C,0)))</f>
        <v>Fuel Use Reduction</v>
      </c>
      <c r="C1917" s="254" t="str">
        <f t="shared" si="77"/>
        <v>RnD Transportation Fuel Use Perc Reduction</v>
      </c>
      <c r="D1917" s="45" t="s">
        <v>2248</v>
      </c>
      <c r="E1917" s="45"/>
      <c r="F1917" s="45" t="s">
        <v>473</v>
      </c>
      <c r="G1917" s="45"/>
      <c r="H1917" s="43">
        <v>136</v>
      </c>
      <c r="I1917" s="324" t="s">
        <v>43</v>
      </c>
      <c r="J1917" s="255" t="str">
        <f>IF(ISBLANK(INDEX('Policy Characteristics'!D:D,MATCH($C1917,'Policy Characteristics'!$C:$C,0))),"",INDEX('Policy Characteristics'!D:D,MATCH($C1917,'Policy Characteristics'!$C:$C,0)))</f>
        <v>R&amp;D Fuel Use Reductions</v>
      </c>
      <c r="K1917" s="254" t="str">
        <f>IF(ISBLANK(INDEX('Policy Characteristics'!E:E,MATCH($C1917,'Policy Characteristics'!$C:$C,0))),"",INDEX('Policy Characteristics'!E:E,MATCH($C1917,'Policy Characteristics'!$C:$C,0)))</f>
        <v>RnD transportation fuel use reduction</v>
      </c>
      <c r="L1917" s="261">
        <f>IF(ISBLANK(INDEX('Policy Characteristics'!F:F,MATCH($C1917,'Policy Characteristics'!$C:$C,0))),"",INDEX('Policy Characteristics'!F:F,MATCH($C1917,'Policy Characteristics'!$C:$C,0)))</f>
        <v>0</v>
      </c>
      <c r="M1917" s="261">
        <f>IF(ISBLANK(INDEX('Policy Characteristics'!G:G,MATCH($C1917,'Policy Characteristics'!$C:$C,0))),"",INDEX('Policy Characteristics'!G:G,MATCH($C1917,'Policy Characteristics'!$C:$C,0)))</f>
        <v>0.4</v>
      </c>
      <c r="N1917" s="261">
        <f>IF(ISBLANK(INDEX('Policy Characteristics'!H:H,MATCH($C1917,'Policy Characteristics'!$C:$C,0))),"",INDEX('Policy Characteristics'!H:H,MATCH($C1917,'Policy Characteristics'!$C:$C,0)))</f>
        <v>0.01</v>
      </c>
      <c r="O1917" s="254" t="str">
        <f>IF(ISBLANK(INDEX('Policy Characteristics'!I:I,MATCH($C1917,'Policy Characteristics'!$C:$C,0))),"",INDEX('Policy Characteristics'!I:I,MATCH($C1917,'Policy Characteristics'!$C:$C,0)))</f>
        <v>% reduction in fuel use</v>
      </c>
      <c r="P1917" s="254"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4" t="str">
        <f>IF(ISBLANK(INDEX('Policy Characteristics'!K:K,MATCH($C1917,'Policy Characteristics'!$C:$C,0))),"",INDEX('Policy Characteristics'!K:K,MATCH($C1917,'Policy Characteristics'!$C:$C,0)))</f>
        <v>architectural-design.html#rnd</v>
      </c>
      <c r="R1917" s="254" t="str">
        <f>IF(ISBLANK(INDEX('Policy Characteristics'!L:L,MATCH($C1917,'Policy Characteristics'!$C:$C,0))),"",INDEX('Policy Characteristics'!L:L,MATCH($C1917,'Policy Characteristics'!$C:$C,0)))</f>
        <v>research-and-development.html</v>
      </c>
    </row>
    <row r="1918" spans="1:18" x14ac:dyDescent="0.3">
      <c r="A1918" s="254" t="str">
        <f>IF(ISBLANK(INDEX('Policy Characteristics'!A:A,MATCH($C1918,'Policy Characteristics'!$C:$C,0))),"",INDEX('Policy Characteristics'!A:A,MATCH($C1918,'Policy Characteristics'!$C:$C,0)))</f>
        <v>Research and Development</v>
      </c>
      <c r="B1918" s="262" t="str">
        <f>IF(ISBLANK(INDEX('Policy Characteristics'!B:B,MATCH($C1918,'Policy Characteristics'!$C:$C,0))),"",INDEX('Policy Characteristics'!B:B,MATCH($C1918,'Policy Characteristics'!$C:$C,0)))</f>
        <v>Fuel Use Reduction</v>
      </c>
      <c r="C1918" s="254" t="str">
        <f t="shared" si="77"/>
        <v>RnD Transportation Fuel Use Perc Reduction</v>
      </c>
      <c r="D1918" s="45" t="s">
        <v>2249</v>
      </c>
      <c r="E1918" s="45"/>
      <c r="F1918" s="45" t="s">
        <v>474</v>
      </c>
      <c r="G1918" s="45"/>
      <c r="H1918" s="43">
        <v>137</v>
      </c>
      <c r="I1918" s="324" t="s">
        <v>43</v>
      </c>
      <c r="J1918" s="255" t="str">
        <f>IF(ISBLANK(INDEX('Policy Characteristics'!D:D,MATCH($C1918,'Policy Characteristics'!$C:$C,0))),"",INDEX('Policy Characteristics'!D:D,MATCH($C1918,'Policy Characteristics'!$C:$C,0)))</f>
        <v>R&amp;D Fuel Use Reductions</v>
      </c>
      <c r="K1918" s="254" t="str">
        <f>IF(ISBLANK(INDEX('Policy Characteristics'!E:E,MATCH($C1918,'Policy Characteristics'!$C:$C,0))),"",INDEX('Policy Characteristics'!E:E,MATCH($C1918,'Policy Characteristics'!$C:$C,0)))</f>
        <v>RnD transportation fuel use reduction</v>
      </c>
      <c r="L1918" s="261">
        <f>IF(ISBLANK(INDEX('Policy Characteristics'!F:F,MATCH($C1918,'Policy Characteristics'!$C:$C,0))),"",INDEX('Policy Characteristics'!F:F,MATCH($C1918,'Policy Characteristics'!$C:$C,0)))</f>
        <v>0</v>
      </c>
      <c r="M1918" s="261">
        <f>IF(ISBLANK(INDEX('Policy Characteristics'!G:G,MATCH($C1918,'Policy Characteristics'!$C:$C,0))),"",INDEX('Policy Characteristics'!G:G,MATCH($C1918,'Policy Characteristics'!$C:$C,0)))</f>
        <v>0.4</v>
      </c>
      <c r="N1918" s="261">
        <f>IF(ISBLANK(INDEX('Policy Characteristics'!H:H,MATCH($C1918,'Policy Characteristics'!$C:$C,0))),"",INDEX('Policy Characteristics'!H:H,MATCH($C1918,'Policy Characteristics'!$C:$C,0)))</f>
        <v>0.01</v>
      </c>
      <c r="O1918" s="254" t="str">
        <f>IF(ISBLANK(INDEX('Policy Characteristics'!I:I,MATCH($C1918,'Policy Characteristics'!$C:$C,0))),"",INDEX('Policy Characteristics'!I:I,MATCH($C1918,'Policy Characteristics'!$C:$C,0)))</f>
        <v>% reduction in fuel use</v>
      </c>
      <c r="P1918" s="254"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4" t="str">
        <f>IF(ISBLANK(INDEX('Policy Characteristics'!K:K,MATCH($C1918,'Policy Characteristics'!$C:$C,0))),"",INDEX('Policy Characteristics'!K:K,MATCH($C1918,'Policy Characteristics'!$C:$C,0)))</f>
        <v>architectural-design.html#rnd</v>
      </c>
      <c r="R1918" s="254" t="str">
        <f>IF(ISBLANK(INDEX('Policy Characteristics'!L:L,MATCH($C1918,'Policy Characteristics'!$C:$C,0))),"",INDEX('Policy Characteristics'!L:L,MATCH($C1918,'Policy Characteristics'!$C:$C,0)))</f>
        <v>research-and-development.html</v>
      </c>
    </row>
    <row r="1919" spans="1:18" x14ac:dyDescent="0.3">
      <c r="A1919" s="254" t="str">
        <f>IF(ISBLANK(INDEX('Policy Characteristics'!A:A,MATCH($C1919,'Policy Characteristics'!$C:$C,0))),"",INDEX('Policy Characteristics'!A:A,MATCH($C1919,'Policy Characteristics'!$C:$C,0)))</f>
        <v>Research and Development</v>
      </c>
      <c r="B1919" s="262" t="str">
        <f>IF(ISBLANK(INDEX('Policy Characteristics'!B:B,MATCH($C1919,'Policy Characteristics'!$C:$C,0))),"",INDEX('Policy Characteristics'!B:B,MATCH($C1919,'Policy Characteristics'!$C:$C,0)))</f>
        <v>Fuel Use Reduction</v>
      </c>
      <c r="C1919" s="254" t="str">
        <f t="shared" si="77"/>
        <v>RnD Transportation Fuel Use Perc Reduction</v>
      </c>
      <c r="D1919" s="45" t="s">
        <v>2509</v>
      </c>
      <c r="E1919" s="45"/>
      <c r="F1919" s="45" t="s">
        <v>2791</v>
      </c>
      <c r="G1919" s="45"/>
      <c r="H1919" s="43">
        <v>138</v>
      </c>
      <c r="I1919" s="324" t="s">
        <v>43</v>
      </c>
      <c r="J1919" s="255" t="str">
        <f>IF(ISBLANK(INDEX('Policy Characteristics'!D:D,MATCH($C1919,'Policy Characteristics'!$C:$C,0))),"",INDEX('Policy Characteristics'!D:D,MATCH($C1919,'Policy Characteristics'!$C:$C,0)))</f>
        <v>R&amp;D Fuel Use Reductions</v>
      </c>
      <c r="K1919" s="254" t="str">
        <f>IF(ISBLANK(INDEX('Policy Characteristics'!E:E,MATCH($C1919,'Policy Characteristics'!$C:$C,0))),"",INDEX('Policy Characteristics'!E:E,MATCH($C1919,'Policy Characteristics'!$C:$C,0)))</f>
        <v>RnD transportation fuel use reduction</v>
      </c>
      <c r="L1919" s="261">
        <f>IF(ISBLANK(INDEX('Policy Characteristics'!F:F,MATCH($C1919,'Policy Characteristics'!$C:$C,0))),"",INDEX('Policy Characteristics'!F:F,MATCH($C1919,'Policy Characteristics'!$C:$C,0)))</f>
        <v>0</v>
      </c>
      <c r="M1919" s="261">
        <f>IF(ISBLANK(INDEX('Policy Characteristics'!G:G,MATCH($C1919,'Policy Characteristics'!$C:$C,0))),"",INDEX('Policy Characteristics'!G:G,MATCH($C1919,'Policy Characteristics'!$C:$C,0)))</f>
        <v>0.4</v>
      </c>
      <c r="N1919" s="261">
        <f>IF(ISBLANK(INDEX('Policy Characteristics'!H:H,MATCH($C1919,'Policy Characteristics'!$C:$C,0))),"",INDEX('Policy Characteristics'!H:H,MATCH($C1919,'Policy Characteristics'!$C:$C,0)))</f>
        <v>0.01</v>
      </c>
      <c r="O1919" s="254" t="str">
        <f>IF(ISBLANK(INDEX('Policy Characteristics'!I:I,MATCH($C1919,'Policy Characteristics'!$C:$C,0))),"",INDEX('Policy Characteristics'!I:I,MATCH($C1919,'Policy Characteristics'!$C:$C,0)))</f>
        <v>% reduction in fuel use</v>
      </c>
      <c r="P1919" s="254"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4" t="str">
        <f>IF(ISBLANK(INDEX('Policy Characteristics'!K:K,MATCH($C1919,'Policy Characteristics'!$C:$C,0))),"",INDEX('Policy Characteristics'!K:K,MATCH($C1919,'Policy Characteristics'!$C:$C,0)))</f>
        <v>architectural-design.html#rnd</v>
      </c>
      <c r="R1919" s="254" t="str">
        <f>IF(ISBLANK(INDEX('Policy Characteristics'!L:L,MATCH($C1919,'Policy Characteristics'!$C:$C,0))),"",INDEX('Policy Characteristics'!L:L,MATCH($C1919,'Policy Characteristics'!$C:$C,0)))</f>
        <v>research-and-development.html</v>
      </c>
    </row>
    <row r="1920" spans="1:18" x14ac:dyDescent="0.3">
      <c r="A1920" s="254" t="str">
        <f>IF(ISBLANK(INDEX('Policy Characteristics'!A:A,MATCH($C1920,'Policy Characteristics'!$C:$C,0))),"",INDEX('Policy Characteristics'!A:A,MATCH($C1920,'Policy Characteristics'!$C:$C,0)))</f>
        <v>Research and Development</v>
      </c>
      <c r="B1920" s="262" t="str">
        <f>IF(ISBLANK(INDEX('Policy Characteristics'!B:B,MATCH($C1920,'Policy Characteristics'!$C:$C,0))),"",INDEX('Policy Characteristics'!B:B,MATCH($C1920,'Policy Characteristics'!$C:$C,0)))</f>
        <v>Fuel Use Reduction</v>
      </c>
      <c r="C1920" s="254" t="str">
        <f t="shared" si="77"/>
        <v>RnD Transportation Fuel Use Perc Reduction</v>
      </c>
      <c r="D1920" s="45" t="s">
        <v>2508</v>
      </c>
      <c r="E1920" s="45"/>
      <c r="F1920" s="45" t="s">
        <v>2792</v>
      </c>
      <c r="G1920" s="45"/>
      <c r="H1920" s="43">
        <v>524</v>
      </c>
      <c r="I1920" s="324" t="s">
        <v>43</v>
      </c>
      <c r="J1920" s="255" t="str">
        <f>IF(ISBLANK(INDEX('Policy Characteristics'!D:D,MATCH($C1920,'Policy Characteristics'!$C:$C,0))),"",INDEX('Policy Characteristics'!D:D,MATCH($C1920,'Policy Characteristics'!$C:$C,0)))</f>
        <v>R&amp;D Fuel Use Reductions</v>
      </c>
      <c r="K1920" s="254" t="str">
        <f>IF(ISBLANK(INDEX('Policy Characteristics'!E:E,MATCH($C1920,'Policy Characteristics'!$C:$C,0))),"",INDEX('Policy Characteristics'!E:E,MATCH($C1920,'Policy Characteristics'!$C:$C,0)))</f>
        <v>RnD transportation fuel use reduction</v>
      </c>
      <c r="L1920" s="261">
        <f>IF(ISBLANK(INDEX('Policy Characteristics'!F:F,MATCH($C1920,'Policy Characteristics'!$C:$C,0))),"",INDEX('Policy Characteristics'!F:F,MATCH($C1920,'Policy Characteristics'!$C:$C,0)))</f>
        <v>0</v>
      </c>
      <c r="M1920" s="261">
        <f>IF(ISBLANK(INDEX('Policy Characteristics'!G:G,MATCH($C1920,'Policy Characteristics'!$C:$C,0))),"",INDEX('Policy Characteristics'!G:G,MATCH($C1920,'Policy Characteristics'!$C:$C,0)))</f>
        <v>0.4</v>
      </c>
      <c r="N1920" s="261">
        <f>IF(ISBLANK(INDEX('Policy Characteristics'!H:H,MATCH($C1920,'Policy Characteristics'!$C:$C,0))),"",INDEX('Policy Characteristics'!H:H,MATCH($C1920,'Policy Characteristics'!$C:$C,0)))</f>
        <v>0.01</v>
      </c>
      <c r="O1920" s="254" t="str">
        <f>IF(ISBLANK(INDEX('Policy Characteristics'!I:I,MATCH($C1920,'Policy Characteristics'!$C:$C,0))),"",INDEX('Policy Characteristics'!I:I,MATCH($C1920,'Policy Characteristics'!$C:$C,0)))</f>
        <v>% reduction in fuel use</v>
      </c>
      <c r="P1920" s="254"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4" t="str">
        <f>IF(ISBLANK(INDEX('Policy Characteristics'!K:K,MATCH($C1920,'Policy Characteristics'!$C:$C,0))),"",INDEX('Policy Characteristics'!K:K,MATCH($C1920,'Policy Characteristics'!$C:$C,0)))</f>
        <v>architectural-design.html#rnd</v>
      </c>
      <c r="R1920" s="254" t="str">
        <f>IF(ISBLANK(INDEX('Policy Characteristics'!L:L,MATCH($C1920,'Policy Characteristics'!$C:$C,0))),"",INDEX('Policy Characteristics'!L:L,MATCH($C1920,'Policy Characteristics'!$C:$C,0)))</f>
        <v>research-and-development.html</v>
      </c>
    </row>
    <row r="1921" spans="1:18" x14ac:dyDescent="0.3">
      <c r="A1921" s="254" t="str">
        <f>IF(ISBLANK(INDEX('Policy Characteristics'!A:A,MATCH($C1921,'Policy Characteristics'!$C:$C,0))),"",INDEX('Policy Characteristics'!A:A,MATCH($C1921,'Policy Characteristics'!$C:$C,0)))</f>
        <v>Government Revenue Accounting</v>
      </c>
      <c r="B1921" s="262" t="str">
        <f>IF(ISBLANK(INDEX('Policy Characteristics'!B:B,MATCH($C1921,'Policy Characteristics'!$C:$C,0))),"",INDEX('Policy Characteristics'!B:B,MATCH($C1921,'Policy Characteristics'!$C:$C,0)))</f>
        <v>Carbon Tax Revenue</v>
      </c>
      <c r="C1921" t="s">
        <v>2951</v>
      </c>
      <c r="D1921" s="1" t="s">
        <v>2959</v>
      </c>
      <c r="F1921" s="1" t="s">
        <v>2964</v>
      </c>
      <c r="H1921" s="43">
        <v>545</v>
      </c>
      <c r="I1921" s="322" t="s">
        <v>43</v>
      </c>
      <c r="J1921" s="255" t="str">
        <f>IF(ISBLANK(INDEX('Policy Characteristics'!D:D,MATCH($C1921,'Policy Characteristics'!$C:$C,0))),"",INDEX('Policy Characteristics'!D:D,MATCH($C1921,'Policy Characteristics'!$C:$C,0)))</f>
        <v/>
      </c>
      <c r="K1921" s="254" t="str">
        <f>IF(ISBLANK(INDEX('Policy Characteristics'!E:E,MATCH($C1921,'Policy Characteristics'!$C:$C,0))),"",INDEX('Policy Characteristics'!E:E,MATCH($C1921,'Policy Characteristics'!$C:$C,0)))</f>
        <v>GRA carbon tax revenue</v>
      </c>
      <c r="L1921" s="254">
        <f>IF(ISBLANK(INDEX('Policy Characteristics'!F:F,MATCH($C1921,'Policy Characteristics'!$C:$C,0))),"",INDEX('Policy Characteristics'!F:F,MATCH($C1921,'Policy Characteristics'!$C:$C,0)))</f>
        <v>0</v>
      </c>
      <c r="M1921" s="254">
        <f>IF(ISBLANK(INDEX('Policy Characteristics'!G:G,MATCH($C1921,'Policy Characteristics'!$C:$C,0))),"",INDEX('Policy Characteristics'!G:G,MATCH($C1921,'Policy Characteristics'!$C:$C,0)))</f>
        <v>10</v>
      </c>
      <c r="N1921" s="254">
        <f>IF(ISBLANK(INDEX('Policy Characteristics'!H:H,MATCH($C1921,'Policy Characteristics'!$C:$C,0))),"",INDEX('Policy Characteristics'!H:H,MATCH($C1921,'Policy Characteristics'!$C:$C,0)))</f>
        <v>1</v>
      </c>
      <c r="O1921" s="254" t="str">
        <f>IF(ISBLANK(INDEX('Policy Characteristics'!I:I,MATCH($C1921,'Policy Characteristics'!$C:$C,0))),"",INDEX('Policy Characteristics'!I:I,MATCH($C1921,'Policy Characteristics'!$C:$C,0)))</f>
        <v>weight</v>
      </c>
      <c r="P1921" s="254" t="str">
        <f>IF(ISBLANK(INDEX('Policy Characteristics'!J:J,MATCH($C1921,'Policy Characteristics'!$C:$C,0))),"",INDEX('Policy Characteristics'!J:J,MATCH($C1921,'Policy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1" s="254" t="str">
        <f>IF(ISBLANK(INDEX('Policy Characteristics'!K:K,MATCH($C1921,'Policy Characteristics'!$C:$C,0))),"",INDEX('Policy Characteristics'!K:K,MATCH($C1921,'Policy Characteristics'!$C:$C,0)))</f>
        <v>io-model.html</v>
      </c>
      <c r="R1921" s="254" t="str">
        <f>IF(ISBLANK(INDEX('Policy Characteristics'!L:L,MATCH($C1921,'Policy Characteristics'!$C:$C,0))),"",INDEX('Policy Characteristics'!L:L,MATCH($C1921,'Policy Characteristics'!$C:$C,0)))</f>
        <v/>
      </c>
    </row>
    <row r="1922" spans="1:18" x14ac:dyDescent="0.3">
      <c r="A1922" s="254" t="str">
        <f>IF(ISBLANK(INDEX('Policy Characteristics'!A:A,MATCH($C1922,'Policy Characteristics'!$C:$C,0))),"",INDEX('Policy Characteristics'!A:A,MATCH($C1922,'Policy Characteristics'!$C:$C,0)))</f>
        <v>Government Revenue Accounting</v>
      </c>
      <c r="B1922" s="262" t="str">
        <f>IF(ISBLANK(INDEX('Policy Characteristics'!B:B,MATCH($C1922,'Policy Characteristics'!$C:$C,0))),"",INDEX('Policy Characteristics'!B:B,MATCH($C1922,'Policy Characteristics'!$C:$C,0)))</f>
        <v>Carbon Tax Revenue</v>
      </c>
      <c r="C1922" s="254" t="str">
        <f t="shared" ref="C1922" si="78">C$1921</f>
        <v>GRA for Carbon Tax Revenue</v>
      </c>
      <c r="D1922" s="1" t="s">
        <v>2960</v>
      </c>
      <c r="F1922" s="1" t="s">
        <v>2975</v>
      </c>
      <c r="H1922" s="43">
        <v>546</v>
      </c>
      <c r="I1922" s="326" t="str">
        <f t="shared" ref="I1922:I1925" si="79">I$1921</f>
        <v>Yes</v>
      </c>
      <c r="J1922" s="255" t="str">
        <f>IF(ISBLANK(INDEX('Policy Characteristics'!D:D,MATCH($C1922,'Policy Characteristics'!$C:$C,0))),"",INDEX('Policy Characteristics'!D:D,MATCH($C1922,'Policy Characteristics'!$C:$C,0)))</f>
        <v/>
      </c>
      <c r="K1922" s="254" t="str">
        <f>IF(ISBLANK(INDEX('Policy Characteristics'!E:E,MATCH($C1922,'Policy Characteristics'!$C:$C,0))),"",INDEX('Policy Characteristics'!E:E,MATCH($C1922,'Policy Characteristics'!$C:$C,0)))</f>
        <v>GRA carbon tax revenue</v>
      </c>
      <c r="L1922" s="254">
        <f>IF(ISBLANK(INDEX('Policy Characteristics'!F:F,MATCH($C1922,'Policy Characteristics'!$C:$C,0))),"",INDEX('Policy Characteristics'!F:F,MATCH($C1922,'Policy Characteristics'!$C:$C,0)))</f>
        <v>0</v>
      </c>
      <c r="M1922" s="254">
        <f>IF(ISBLANK(INDEX('Policy Characteristics'!G:G,MATCH($C1922,'Policy Characteristics'!$C:$C,0))),"",INDEX('Policy Characteristics'!G:G,MATCH($C1922,'Policy Characteristics'!$C:$C,0)))</f>
        <v>10</v>
      </c>
      <c r="N1922" s="254">
        <f>IF(ISBLANK(INDEX('Policy Characteristics'!H:H,MATCH($C1922,'Policy Characteristics'!$C:$C,0))),"",INDEX('Policy Characteristics'!H:H,MATCH($C1922,'Policy Characteristics'!$C:$C,0)))</f>
        <v>1</v>
      </c>
      <c r="O1922" s="254" t="str">
        <f>IF(ISBLANK(INDEX('Policy Characteristics'!I:I,MATCH($C1922,'Policy Characteristics'!$C:$C,0))),"",INDEX('Policy Characteristics'!I:I,MATCH($C1922,'Policy Characteristics'!$C:$C,0)))</f>
        <v>weight</v>
      </c>
      <c r="P1922" s="254" t="str">
        <f>IF(ISBLANK(INDEX('Policy Characteristics'!J:J,MATCH($C1922,'Policy Characteristics'!$C:$C,0))),"",INDEX('Policy Characteristics'!J:J,MATCH($C1922,'Policy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2" s="254" t="str">
        <f>IF(ISBLANK(INDEX('Policy Characteristics'!K:K,MATCH($C1922,'Policy Characteristics'!$C:$C,0))),"",INDEX('Policy Characteristics'!K:K,MATCH($C1922,'Policy Characteristics'!$C:$C,0)))</f>
        <v>io-model.html</v>
      </c>
      <c r="R1922" s="254" t="str">
        <f>IF(ISBLANK(INDEX('Policy Characteristics'!L:L,MATCH($C1922,'Policy Characteristics'!$C:$C,0))),"",INDEX('Policy Characteristics'!L:L,MATCH($C1922,'Policy Characteristics'!$C:$C,0)))</f>
        <v/>
      </c>
    </row>
    <row r="1923" spans="1:18" x14ac:dyDescent="0.3">
      <c r="A1923" s="254" t="str">
        <f>IF(ISBLANK(INDEX('Policy Characteristics'!A:A,MATCH($C1923,'Policy Characteristics'!$C:$C,0))),"",INDEX('Policy Characteristics'!A:A,MATCH($C1923,'Policy Characteristics'!$C:$C,0)))</f>
        <v>Government Revenue Accounting</v>
      </c>
      <c r="B1923" s="262" t="str">
        <f>IF(ISBLANK(INDEX('Policy Characteristics'!B:B,MATCH($C1923,'Policy Characteristics'!$C:$C,0))),"",INDEX('Policy Characteristics'!B:B,MATCH($C1923,'Policy Characteristics'!$C:$C,0)))</f>
        <v>Carbon Tax Revenue</v>
      </c>
      <c r="C1923" s="254" t="str">
        <f t="shared" ref="C1923:C1925" si="80">C$1921</f>
        <v>GRA for Carbon Tax Revenue</v>
      </c>
      <c r="D1923" s="1" t="s">
        <v>2961</v>
      </c>
      <c r="F1923" s="1" t="s">
        <v>2965</v>
      </c>
      <c r="H1923" s="43">
        <v>547</v>
      </c>
      <c r="I1923" s="326" t="str">
        <f t="shared" si="79"/>
        <v>Yes</v>
      </c>
      <c r="J1923" s="255" t="str">
        <f>IF(ISBLANK(INDEX('Policy Characteristics'!D:D,MATCH($C1923,'Policy Characteristics'!$C:$C,0))),"",INDEX('Policy Characteristics'!D:D,MATCH($C1923,'Policy Characteristics'!$C:$C,0)))</f>
        <v/>
      </c>
      <c r="K1923" s="254" t="str">
        <f>IF(ISBLANK(INDEX('Policy Characteristics'!E:E,MATCH($C1923,'Policy Characteristics'!$C:$C,0))),"",INDEX('Policy Characteristics'!E:E,MATCH($C1923,'Policy Characteristics'!$C:$C,0)))</f>
        <v>GRA carbon tax revenue</v>
      </c>
      <c r="L1923" s="254">
        <f>IF(ISBLANK(INDEX('Policy Characteristics'!F:F,MATCH($C1923,'Policy Characteristics'!$C:$C,0))),"",INDEX('Policy Characteristics'!F:F,MATCH($C1923,'Policy Characteristics'!$C:$C,0)))</f>
        <v>0</v>
      </c>
      <c r="M1923" s="254">
        <f>IF(ISBLANK(INDEX('Policy Characteristics'!G:G,MATCH($C1923,'Policy Characteristics'!$C:$C,0))),"",INDEX('Policy Characteristics'!G:G,MATCH($C1923,'Policy Characteristics'!$C:$C,0)))</f>
        <v>10</v>
      </c>
      <c r="N1923" s="254">
        <f>IF(ISBLANK(INDEX('Policy Characteristics'!H:H,MATCH($C1923,'Policy Characteristics'!$C:$C,0))),"",INDEX('Policy Characteristics'!H:H,MATCH($C1923,'Policy Characteristics'!$C:$C,0)))</f>
        <v>1</v>
      </c>
      <c r="O1923" s="254" t="str">
        <f>IF(ISBLANK(INDEX('Policy Characteristics'!I:I,MATCH($C1923,'Policy Characteristics'!$C:$C,0))),"",INDEX('Policy Characteristics'!I:I,MATCH($C1923,'Policy Characteristics'!$C:$C,0)))</f>
        <v>weight</v>
      </c>
      <c r="P1923" s="254" t="str">
        <f>IF(ISBLANK(INDEX('Policy Characteristics'!J:J,MATCH($C1923,'Policy Characteristics'!$C:$C,0))),"",INDEX('Policy Characteristics'!J:J,MATCH($C1923,'Policy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3" s="254" t="str">
        <f>IF(ISBLANK(INDEX('Policy Characteristics'!K:K,MATCH($C1923,'Policy Characteristics'!$C:$C,0))),"",INDEX('Policy Characteristics'!K:K,MATCH($C1923,'Policy Characteristics'!$C:$C,0)))</f>
        <v>io-model.html</v>
      </c>
      <c r="R1923" s="254" t="str">
        <f>IF(ISBLANK(INDEX('Policy Characteristics'!L:L,MATCH($C1923,'Policy Characteristics'!$C:$C,0))),"",INDEX('Policy Characteristics'!L:L,MATCH($C1923,'Policy Characteristics'!$C:$C,0)))</f>
        <v/>
      </c>
    </row>
    <row r="1924" spans="1:18" x14ac:dyDescent="0.3">
      <c r="A1924" s="254" t="str">
        <f>IF(ISBLANK(INDEX('Policy Characteristics'!A:A,MATCH($C1924,'Policy Characteristics'!$C:$C,0))),"",INDEX('Policy Characteristics'!A:A,MATCH($C1924,'Policy Characteristics'!$C:$C,0)))</f>
        <v>Government Revenue Accounting</v>
      </c>
      <c r="B1924" s="262" t="str">
        <f>IF(ISBLANK(INDEX('Policy Characteristics'!B:B,MATCH($C1924,'Policy Characteristics'!$C:$C,0))),"",INDEX('Policy Characteristics'!B:B,MATCH($C1924,'Policy Characteristics'!$C:$C,0)))</f>
        <v>Carbon Tax Revenue</v>
      </c>
      <c r="C1924" s="254" t="str">
        <f t="shared" si="80"/>
        <v>GRA for Carbon Tax Revenue</v>
      </c>
      <c r="D1924" s="1" t="s">
        <v>2962</v>
      </c>
      <c r="F1924" s="1" t="s">
        <v>2966</v>
      </c>
      <c r="H1924" s="43">
        <v>548</v>
      </c>
      <c r="I1924" s="326" t="str">
        <f t="shared" si="79"/>
        <v>Yes</v>
      </c>
      <c r="J1924" s="255" t="str">
        <f>IF(ISBLANK(INDEX('Policy Characteristics'!D:D,MATCH($C1924,'Policy Characteristics'!$C:$C,0))),"",INDEX('Policy Characteristics'!D:D,MATCH($C1924,'Policy Characteristics'!$C:$C,0)))</f>
        <v/>
      </c>
      <c r="K1924" s="254" t="str">
        <f>IF(ISBLANK(INDEX('Policy Characteristics'!E:E,MATCH($C1924,'Policy Characteristics'!$C:$C,0))),"",INDEX('Policy Characteristics'!E:E,MATCH($C1924,'Policy Characteristics'!$C:$C,0)))</f>
        <v>GRA carbon tax revenue</v>
      </c>
      <c r="L1924" s="254">
        <f>IF(ISBLANK(INDEX('Policy Characteristics'!F:F,MATCH($C1924,'Policy Characteristics'!$C:$C,0))),"",INDEX('Policy Characteristics'!F:F,MATCH($C1924,'Policy Characteristics'!$C:$C,0)))</f>
        <v>0</v>
      </c>
      <c r="M1924" s="254">
        <f>IF(ISBLANK(INDEX('Policy Characteristics'!G:G,MATCH($C1924,'Policy Characteristics'!$C:$C,0))),"",INDEX('Policy Characteristics'!G:G,MATCH($C1924,'Policy Characteristics'!$C:$C,0)))</f>
        <v>10</v>
      </c>
      <c r="N1924" s="254">
        <f>IF(ISBLANK(INDEX('Policy Characteristics'!H:H,MATCH($C1924,'Policy Characteristics'!$C:$C,0))),"",INDEX('Policy Characteristics'!H:H,MATCH($C1924,'Policy Characteristics'!$C:$C,0)))</f>
        <v>1</v>
      </c>
      <c r="O1924" s="254" t="str">
        <f>IF(ISBLANK(INDEX('Policy Characteristics'!I:I,MATCH($C1924,'Policy Characteristics'!$C:$C,0))),"",INDEX('Policy Characteristics'!I:I,MATCH($C1924,'Policy Characteristics'!$C:$C,0)))</f>
        <v>weight</v>
      </c>
      <c r="P1924" s="254" t="str">
        <f>IF(ISBLANK(INDEX('Policy Characteristics'!J:J,MATCH($C1924,'Policy Characteristics'!$C:$C,0))),"",INDEX('Policy Characteristics'!J:J,MATCH($C1924,'Policy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4" s="254" t="str">
        <f>IF(ISBLANK(INDEX('Policy Characteristics'!K:K,MATCH($C1924,'Policy Characteristics'!$C:$C,0))),"",INDEX('Policy Characteristics'!K:K,MATCH($C1924,'Policy Characteristics'!$C:$C,0)))</f>
        <v>io-model.html</v>
      </c>
      <c r="R1924" s="254" t="str">
        <f>IF(ISBLANK(INDEX('Policy Characteristics'!L:L,MATCH($C1924,'Policy Characteristics'!$C:$C,0))),"",INDEX('Policy Characteristics'!L:L,MATCH($C1924,'Policy Characteristics'!$C:$C,0)))</f>
        <v/>
      </c>
    </row>
    <row r="1925" spans="1:18" x14ac:dyDescent="0.3">
      <c r="A1925" s="254" t="str">
        <f>IF(ISBLANK(INDEX('Policy Characteristics'!A:A,MATCH($C1925,'Policy Characteristics'!$C:$C,0))),"",INDEX('Policy Characteristics'!A:A,MATCH($C1925,'Policy Characteristics'!$C:$C,0)))</f>
        <v>Government Revenue Accounting</v>
      </c>
      <c r="B1925" s="262" t="str">
        <f>IF(ISBLANK(INDEX('Policy Characteristics'!B:B,MATCH($C1925,'Policy Characteristics'!$C:$C,0))),"",INDEX('Policy Characteristics'!B:B,MATCH($C1925,'Policy Characteristics'!$C:$C,0)))</f>
        <v>Carbon Tax Revenue</v>
      </c>
      <c r="C1925" s="254" t="str">
        <f t="shared" si="80"/>
        <v>GRA for Carbon Tax Revenue</v>
      </c>
      <c r="D1925" s="1" t="s">
        <v>2963</v>
      </c>
      <c r="F1925" s="1" t="s">
        <v>2967</v>
      </c>
      <c r="H1925" s="43">
        <v>549</v>
      </c>
      <c r="I1925" s="326" t="str">
        <f t="shared" si="79"/>
        <v>Yes</v>
      </c>
      <c r="J1925" s="255" t="str">
        <f>IF(ISBLANK(INDEX('Policy Characteristics'!D:D,MATCH($C1925,'Policy Characteristics'!$C:$C,0))),"",INDEX('Policy Characteristics'!D:D,MATCH($C1925,'Policy Characteristics'!$C:$C,0)))</f>
        <v/>
      </c>
      <c r="K1925" s="254" t="str">
        <f>IF(ISBLANK(INDEX('Policy Characteristics'!E:E,MATCH($C1925,'Policy Characteristics'!$C:$C,0))),"",INDEX('Policy Characteristics'!E:E,MATCH($C1925,'Policy Characteristics'!$C:$C,0)))</f>
        <v>GRA carbon tax revenue</v>
      </c>
      <c r="L1925" s="254">
        <f>IF(ISBLANK(INDEX('Policy Characteristics'!F:F,MATCH($C1925,'Policy Characteristics'!$C:$C,0))),"",INDEX('Policy Characteristics'!F:F,MATCH($C1925,'Policy Characteristics'!$C:$C,0)))</f>
        <v>0</v>
      </c>
      <c r="M1925" s="254">
        <f>IF(ISBLANK(INDEX('Policy Characteristics'!G:G,MATCH($C1925,'Policy Characteristics'!$C:$C,0))),"",INDEX('Policy Characteristics'!G:G,MATCH($C1925,'Policy Characteristics'!$C:$C,0)))</f>
        <v>10</v>
      </c>
      <c r="N1925" s="254">
        <f>IF(ISBLANK(INDEX('Policy Characteristics'!H:H,MATCH($C1925,'Policy Characteristics'!$C:$C,0))),"",INDEX('Policy Characteristics'!H:H,MATCH($C1925,'Policy Characteristics'!$C:$C,0)))</f>
        <v>1</v>
      </c>
      <c r="O1925" s="254" t="str">
        <f>IF(ISBLANK(INDEX('Policy Characteristics'!I:I,MATCH($C1925,'Policy Characteristics'!$C:$C,0))),"",INDEX('Policy Characteristics'!I:I,MATCH($C1925,'Policy Characteristics'!$C:$C,0)))</f>
        <v>weight</v>
      </c>
      <c r="P1925" s="254" t="str">
        <f>IF(ISBLANK(INDEX('Policy Characteristics'!J:J,MATCH($C1925,'Policy Characteristics'!$C:$C,0))),"",INDEX('Policy Characteristics'!J:J,MATCH($C1925,'Policy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5" s="254" t="str">
        <f>IF(ISBLANK(INDEX('Policy Characteristics'!K:K,MATCH($C1925,'Policy Characteristics'!$C:$C,0))),"",INDEX('Policy Characteristics'!K:K,MATCH($C1925,'Policy Characteristics'!$C:$C,0)))</f>
        <v>io-model.html</v>
      </c>
      <c r="R1925" s="254" t="str">
        <f>IF(ISBLANK(INDEX('Policy Characteristics'!L:L,MATCH($C1925,'Policy Characteristics'!$C:$C,0))),"",INDEX('Policy Characteristics'!L:L,MATCH($C1925,'Policy Characteristics'!$C:$C,0)))</f>
        <v/>
      </c>
    </row>
    <row r="1926" spans="1:18" x14ac:dyDescent="0.3">
      <c r="A1926" s="254" t="str">
        <f>IF(ISBLANK(INDEX('Policy Characteristics'!A:A,MATCH($C1926,'Policy Characteristics'!$C:$C,0))),"",INDEX('Policy Characteristics'!A:A,MATCH($C1926,'Policy Characteristics'!$C:$C,0)))</f>
        <v>Government Revenue Accounting</v>
      </c>
      <c r="B1926" s="262" t="str">
        <f>IF(ISBLANK(INDEX('Policy Characteristics'!B:B,MATCH($C1926,'Policy Characteristics'!$C:$C,0))),"",INDEX('Policy Characteristics'!B:B,MATCH($C1926,'Policy Characteristics'!$C:$C,0)))</f>
        <v>Fuel Tax Revenue</v>
      </c>
      <c r="C1926" t="s">
        <v>2952</v>
      </c>
      <c r="D1926" s="1" t="s">
        <v>2959</v>
      </c>
      <c r="F1926" s="1" t="s">
        <v>2964</v>
      </c>
      <c r="H1926" s="43">
        <v>550</v>
      </c>
      <c r="I1926" s="322" t="s">
        <v>43</v>
      </c>
      <c r="J1926" s="255" t="str">
        <f>IF(ISBLANK(INDEX('Policy Characteristics'!D:D,MATCH($C1926,'Policy Characteristics'!$C:$C,0))),"",INDEX('Policy Characteristics'!D:D,MATCH($C1926,'Policy Characteristics'!$C:$C,0)))</f>
        <v/>
      </c>
      <c r="K1926" s="254" t="str">
        <f>IF(ISBLANK(INDEX('Policy Characteristics'!E:E,MATCH($C1926,'Policy Characteristics'!$C:$C,0))),"",INDEX('Policy Characteristics'!E:E,MATCH($C1926,'Policy Characteristics'!$C:$C,0)))</f>
        <v>GRA fuel tax revenue</v>
      </c>
      <c r="L1926" s="254">
        <f>IF(ISBLANK(INDEX('Policy Characteristics'!F:F,MATCH($C1926,'Policy Characteristics'!$C:$C,0))),"",INDEX('Policy Characteristics'!F:F,MATCH($C1926,'Policy Characteristics'!$C:$C,0)))</f>
        <v>0</v>
      </c>
      <c r="M1926" s="254">
        <f>IF(ISBLANK(INDEX('Policy Characteristics'!G:G,MATCH($C1926,'Policy Characteristics'!$C:$C,0))),"",INDEX('Policy Characteristics'!G:G,MATCH($C1926,'Policy Characteristics'!$C:$C,0)))</f>
        <v>10</v>
      </c>
      <c r="N1926" s="254">
        <f>IF(ISBLANK(INDEX('Policy Characteristics'!H:H,MATCH($C1926,'Policy Characteristics'!$C:$C,0))),"",INDEX('Policy Characteristics'!H:H,MATCH($C1926,'Policy Characteristics'!$C:$C,0)))</f>
        <v>1</v>
      </c>
      <c r="O1926" s="254" t="str">
        <f>IF(ISBLANK(INDEX('Policy Characteristics'!I:I,MATCH($C1926,'Policy Characteristics'!$C:$C,0))),"",INDEX('Policy Characteristics'!I:I,MATCH($C1926,'Policy Characteristics'!$C:$C,0)))</f>
        <v>weight</v>
      </c>
      <c r="P1926" s="254" t="str">
        <f>IF(ISBLANK(INDEX('Policy Characteristics'!J:J,MATCH($C1926,'Policy Characteristics'!$C:$C,0))),"",INDEX('Policy Characteristics'!J:J,MATCH($C1926,'Policy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6" s="254" t="str">
        <f>IF(ISBLANK(INDEX('Policy Characteristics'!K:K,MATCH($C1926,'Policy Characteristics'!$C:$C,0))),"",INDEX('Policy Characteristics'!K:K,MATCH($C1926,'Policy Characteristics'!$C:$C,0)))</f>
        <v>io-model.html</v>
      </c>
      <c r="R1926" s="254" t="str">
        <f>IF(ISBLANK(INDEX('Policy Characteristics'!L:L,MATCH($C1926,'Policy Characteristics'!$C:$C,0))),"",INDEX('Policy Characteristics'!L:L,MATCH($C1926,'Policy Characteristics'!$C:$C,0)))</f>
        <v/>
      </c>
    </row>
    <row r="1927" spans="1:18" x14ac:dyDescent="0.3">
      <c r="A1927" s="254" t="str">
        <f>IF(ISBLANK(INDEX('Policy Characteristics'!A:A,MATCH($C1927,'Policy Characteristics'!$C:$C,0))),"",INDEX('Policy Characteristics'!A:A,MATCH($C1927,'Policy Characteristics'!$C:$C,0)))</f>
        <v>Government Revenue Accounting</v>
      </c>
      <c r="B1927" s="262" t="str">
        <f>IF(ISBLANK(INDEX('Policy Characteristics'!B:B,MATCH($C1927,'Policy Characteristics'!$C:$C,0))),"",INDEX('Policy Characteristics'!B:B,MATCH($C1927,'Policy Characteristics'!$C:$C,0)))</f>
        <v>Fuel Tax Revenue</v>
      </c>
      <c r="C1927" s="254" t="str">
        <f t="shared" ref="C1927:C1930" si="81">C$1926</f>
        <v>GRA for Fuel Tax Revenue</v>
      </c>
      <c r="D1927" s="1" t="s">
        <v>2960</v>
      </c>
      <c r="F1927" s="1" t="s">
        <v>2975</v>
      </c>
      <c r="H1927" s="43">
        <v>551</v>
      </c>
      <c r="I1927" s="326" t="str">
        <f t="shared" ref="I1927:I1930" si="82">I$1926</f>
        <v>Yes</v>
      </c>
      <c r="J1927" s="255" t="str">
        <f>IF(ISBLANK(INDEX('Policy Characteristics'!D:D,MATCH($C1927,'Policy Characteristics'!$C:$C,0))),"",INDEX('Policy Characteristics'!D:D,MATCH($C1927,'Policy Characteristics'!$C:$C,0)))</f>
        <v/>
      </c>
      <c r="K1927" s="254" t="str">
        <f>IF(ISBLANK(INDEX('Policy Characteristics'!E:E,MATCH($C1927,'Policy Characteristics'!$C:$C,0))),"",INDEX('Policy Characteristics'!E:E,MATCH($C1927,'Policy Characteristics'!$C:$C,0)))</f>
        <v>GRA fuel tax revenue</v>
      </c>
      <c r="L1927" s="254">
        <f>IF(ISBLANK(INDEX('Policy Characteristics'!F:F,MATCH($C1927,'Policy Characteristics'!$C:$C,0))),"",INDEX('Policy Characteristics'!F:F,MATCH($C1927,'Policy Characteristics'!$C:$C,0)))</f>
        <v>0</v>
      </c>
      <c r="M1927" s="254">
        <f>IF(ISBLANK(INDEX('Policy Characteristics'!G:G,MATCH($C1927,'Policy Characteristics'!$C:$C,0))),"",INDEX('Policy Characteristics'!G:G,MATCH($C1927,'Policy Characteristics'!$C:$C,0)))</f>
        <v>10</v>
      </c>
      <c r="N1927" s="254">
        <f>IF(ISBLANK(INDEX('Policy Characteristics'!H:H,MATCH($C1927,'Policy Characteristics'!$C:$C,0))),"",INDEX('Policy Characteristics'!H:H,MATCH($C1927,'Policy Characteristics'!$C:$C,0)))</f>
        <v>1</v>
      </c>
      <c r="O1927" s="254" t="str">
        <f>IF(ISBLANK(INDEX('Policy Characteristics'!I:I,MATCH($C1927,'Policy Characteristics'!$C:$C,0))),"",INDEX('Policy Characteristics'!I:I,MATCH($C1927,'Policy Characteristics'!$C:$C,0)))</f>
        <v>weight</v>
      </c>
      <c r="P1927" s="254" t="str">
        <f>IF(ISBLANK(INDEX('Policy Characteristics'!J:J,MATCH($C1927,'Policy Characteristics'!$C:$C,0))),"",INDEX('Policy Characteristics'!J:J,MATCH($C1927,'Policy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7" s="254" t="str">
        <f>IF(ISBLANK(INDEX('Policy Characteristics'!K:K,MATCH($C1927,'Policy Characteristics'!$C:$C,0))),"",INDEX('Policy Characteristics'!K:K,MATCH($C1927,'Policy Characteristics'!$C:$C,0)))</f>
        <v>io-model.html</v>
      </c>
      <c r="R1927" s="254" t="str">
        <f>IF(ISBLANK(INDEX('Policy Characteristics'!L:L,MATCH($C1927,'Policy Characteristics'!$C:$C,0))),"",INDEX('Policy Characteristics'!L:L,MATCH($C1927,'Policy Characteristics'!$C:$C,0)))</f>
        <v/>
      </c>
    </row>
    <row r="1928" spans="1:18" x14ac:dyDescent="0.3">
      <c r="A1928" s="254" t="str">
        <f>IF(ISBLANK(INDEX('Policy Characteristics'!A:A,MATCH($C1928,'Policy Characteristics'!$C:$C,0))),"",INDEX('Policy Characteristics'!A:A,MATCH($C1928,'Policy Characteristics'!$C:$C,0)))</f>
        <v>Government Revenue Accounting</v>
      </c>
      <c r="B1928" s="262" t="str">
        <f>IF(ISBLANK(INDEX('Policy Characteristics'!B:B,MATCH($C1928,'Policy Characteristics'!$C:$C,0))),"",INDEX('Policy Characteristics'!B:B,MATCH($C1928,'Policy Characteristics'!$C:$C,0)))</f>
        <v>Fuel Tax Revenue</v>
      </c>
      <c r="C1928" s="254" t="str">
        <f t="shared" si="81"/>
        <v>GRA for Fuel Tax Revenue</v>
      </c>
      <c r="D1928" s="1" t="s">
        <v>2961</v>
      </c>
      <c r="F1928" s="1" t="s">
        <v>2965</v>
      </c>
      <c r="H1928" s="43">
        <v>552</v>
      </c>
      <c r="I1928" s="326" t="str">
        <f t="shared" si="82"/>
        <v>Yes</v>
      </c>
      <c r="J1928" s="255" t="str">
        <f>IF(ISBLANK(INDEX('Policy Characteristics'!D:D,MATCH($C1928,'Policy Characteristics'!$C:$C,0))),"",INDEX('Policy Characteristics'!D:D,MATCH($C1928,'Policy Characteristics'!$C:$C,0)))</f>
        <v/>
      </c>
      <c r="K1928" s="254" t="str">
        <f>IF(ISBLANK(INDEX('Policy Characteristics'!E:E,MATCH($C1928,'Policy Characteristics'!$C:$C,0))),"",INDEX('Policy Characteristics'!E:E,MATCH($C1928,'Policy Characteristics'!$C:$C,0)))</f>
        <v>GRA fuel tax revenue</v>
      </c>
      <c r="L1928" s="254">
        <f>IF(ISBLANK(INDEX('Policy Characteristics'!F:F,MATCH($C1928,'Policy Characteristics'!$C:$C,0))),"",INDEX('Policy Characteristics'!F:F,MATCH($C1928,'Policy Characteristics'!$C:$C,0)))</f>
        <v>0</v>
      </c>
      <c r="M1928" s="254">
        <f>IF(ISBLANK(INDEX('Policy Characteristics'!G:G,MATCH($C1928,'Policy Characteristics'!$C:$C,0))),"",INDEX('Policy Characteristics'!G:G,MATCH($C1928,'Policy Characteristics'!$C:$C,0)))</f>
        <v>10</v>
      </c>
      <c r="N1928" s="254">
        <f>IF(ISBLANK(INDEX('Policy Characteristics'!H:H,MATCH($C1928,'Policy Characteristics'!$C:$C,0))),"",INDEX('Policy Characteristics'!H:H,MATCH($C1928,'Policy Characteristics'!$C:$C,0)))</f>
        <v>1</v>
      </c>
      <c r="O1928" s="254" t="str">
        <f>IF(ISBLANK(INDEX('Policy Characteristics'!I:I,MATCH($C1928,'Policy Characteristics'!$C:$C,0))),"",INDEX('Policy Characteristics'!I:I,MATCH($C1928,'Policy Characteristics'!$C:$C,0)))</f>
        <v>weight</v>
      </c>
      <c r="P1928" s="254" t="str">
        <f>IF(ISBLANK(INDEX('Policy Characteristics'!J:J,MATCH($C1928,'Policy Characteristics'!$C:$C,0))),"",INDEX('Policy Characteristics'!J:J,MATCH($C1928,'Policy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8" s="254" t="str">
        <f>IF(ISBLANK(INDEX('Policy Characteristics'!K:K,MATCH($C1928,'Policy Characteristics'!$C:$C,0))),"",INDEX('Policy Characteristics'!K:K,MATCH($C1928,'Policy Characteristics'!$C:$C,0)))</f>
        <v>io-model.html</v>
      </c>
      <c r="R1928" s="254" t="str">
        <f>IF(ISBLANK(INDEX('Policy Characteristics'!L:L,MATCH($C1928,'Policy Characteristics'!$C:$C,0))),"",INDEX('Policy Characteristics'!L:L,MATCH($C1928,'Policy Characteristics'!$C:$C,0)))</f>
        <v/>
      </c>
    </row>
    <row r="1929" spans="1:18" x14ac:dyDescent="0.3">
      <c r="A1929" s="254" t="str">
        <f>IF(ISBLANK(INDEX('Policy Characteristics'!A:A,MATCH($C1929,'Policy Characteristics'!$C:$C,0))),"",INDEX('Policy Characteristics'!A:A,MATCH($C1929,'Policy Characteristics'!$C:$C,0)))</f>
        <v>Government Revenue Accounting</v>
      </c>
      <c r="B1929" s="262" t="str">
        <f>IF(ISBLANK(INDEX('Policy Characteristics'!B:B,MATCH($C1929,'Policy Characteristics'!$C:$C,0))),"",INDEX('Policy Characteristics'!B:B,MATCH($C1929,'Policy Characteristics'!$C:$C,0)))</f>
        <v>Fuel Tax Revenue</v>
      </c>
      <c r="C1929" s="254" t="str">
        <f t="shared" si="81"/>
        <v>GRA for Fuel Tax Revenue</v>
      </c>
      <c r="D1929" s="1" t="s">
        <v>2962</v>
      </c>
      <c r="F1929" s="1" t="s">
        <v>2966</v>
      </c>
      <c r="H1929" s="43">
        <v>553</v>
      </c>
      <c r="I1929" s="326" t="str">
        <f t="shared" si="82"/>
        <v>Yes</v>
      </c>
      <c r="J1929" s="255" t="str">
        <f>IF(ISBLANK(INDEX('Policy Characteristics'!D:D,MATCH($C1929,'Policy Characteristics'!$C:$C,0))),"",INDEX('Policy Characteristics'!D:D,MATCH($C1929,'Policy Characteristics'!$C:$C,0)))</f>
        <v/>
      </c>
      <c r="K1929" s="254" t="str">
        <f>IF(ISBLANK(INDEX('Policy Characteristics'!E:E,MATCH($C1929,'Policy Characteristics'!$C:$C,0))),"",INDEX('Policy Characteristics'!E:E,MATCH($C1929,'Policy Characteristics'!$C:$C,0)))</f>
        <v>GRA fuel tax revenue</v>
      </c>
      <c r="L1929" s="254">
        <f>IF(ISBLANK(INDEX('Policy Characteristics'!F:F,MATCH($C1929,'Policy Characteristics'!$C:$C,0))),"",INDEX('Policy Characteristics'!F:F,MATCH($C1929,'Policy Characteristics'!$C:$C,0)))</f>
        <v>0</v>
      </c>
      <c r="M1929" s="254">
        <f>IF(ISBLANK(INDEX('Policy Characteristics'!G:G,MATCH($C1929,'Policy Characteristics'!$C:$C,0))),"",INDEX('Policy Characteristics'!G:G,MATCH($C1929,'Policy Characteristics'!$C:$C,0)))</f>
        <v>10</v>
      </c>
      <c r="N1929" s="254">
        <f>IF(ISBLANK(INDEX('Policy Characteristics'!H:H,MATCH($C1929,'Policy Characteristics'!$C:$C,0))),"",INDEX('Policy Characteristics'!H:H,MATCH($C1929,'Policy Characteristics'!$C:$C,0)))</f>
        <v>1</v>
      </c>
      <c r="O1929" s="254" t="str">
        <f>IF(ISBLANK(INDEX('Policy Characteristics'!I:I,MATCH($C1929,'Policy Characteristics'!$C:$C,0))),"",INDEX('Policy Characteristics'!I:I,MATCH($C1929,'Policy Characteristics'!$C:$C,0)))</f>
        <v>weight</v>
      </c>
      <c r="P1929" s="254" t="str">
        <f>IF(ISBLANK(INDEX('Policy Characteristics'!J:J,MATCH($C1929,'Policy Characteristics'!$C:$C,0))),"",INDEX('Policy Characteristics'!J:J,MATCH($C1929,'Policy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29" s="254" t="str">
        <f>IF(ISBLANK(INDEX('Policy Characteristics'!K:K,MATCH($C1929,'Policy Characteristics'!$C:$C,0))),"",INDEX('Policy Characteristics'!K:K,MATCH($C1929,'Policy Characteristics'!$C:$C,0)))</f>
        <v>io-model.html</v>
      </c>
      <c r="R1929" s="254" t="str">
        <f>IF(ISBLANK(INDEX('Policy Characteristics'!L:L,MATCH($C1929,'Policy Characteristics'!$C:$C,0))),"",INDEX('Policy Characteristics'!L:L,MATCH($C1929,'Policy Characteristics'!$C:$C,0)))</f>
        <v/>
      </c>
    </row>
    <row r="1930" spans="1:18" x14ac:dyDescent="0.3">
      <c r="A1930" s="254" t="str">
        <f>IF(ISBLANK(INDEX('Policy Characteristics'!A:A,MATCH($C1930,'Policy Characteristics'!$C:$C,0))),"",INDEX('Policy Characteristics'!A:A,MATCH($C1930,'Policy Characteristics'!$C:$C,0)))</f>
        <v>Government Revenue Accounting</v>
      </c>
      <c r="B1930" s="262" t="str">
        <f>IF(ISBLANK(INDEX('Policy Characteristics'!B:B,MATCH($C1930,'Policy Characteristics'!$C:$C,0))),"",INDEX('Policy Characteristics'!B:B,MATCH($C1930,'Policy Characteristics'!$C:$C,0)))</f>
        <v>Fuel Tax Revenue</v>
      </c>
      <c r="C1930" s="254" t="str">
        <f t="shared" si="81"/>
        <v>GRA for Fuel Tax Revenue</v>
      </c>
      <c r="D1930" s="1" t="s">
        <v>2963</v>
      </c>
      <c r="F1930" s="1" t="s">
        <v>2967</v>
      </c>
      <c r="H1930" s="43">
        <v>554</v>
      </c>
      <c r="I1930" s="326" t="str">
        <f t="shared" si="82"/>
        <v>Yes</v>
      </c>
      <c r="J1930" s="255" t="str">
        <f>IF(ISBLANK(INDEX('Policy Characteristics'!D:D,MATCH($C1930,'Policy Characteristics'!$C:$C,0))),"",INDEX('Policy Characteristics'!D:D,MATCH($C1930,'Policy Characteristics'!$C:$C,0)))</f>
        <v/>
      </c>
      <c r="K1930" s="254" t="str">
        <f>IF(ISBLANK(INDEX('Policy Characteristics'!E:E,MATCH($C1930,'Policy Characteristics'!$C:$C,0))),"",INDEX('Policy Characteristics'!E:E,MATCH($C1930,'Policy Characteristics'!$C:$C,0)))</f>
        <v>GRA fuel tax revenue</v>
      </c>
      <c r="L1930" s="254">
        <f>IF(ISBLANK(INDEX('Policy Characteristics'!F:F,MATCH($C1930,'Policy Characteristics'!$C:$C,0))),"",INDEX('Policy Characteristics'!F:F,MATCH($C1930,'Policy Characteristics'!$C:$C,0)))</f>
        <v>0</v>
      </c>
      <c r="M1930" s="254">
        <f>IF(ISBLANK(INDEX('Policy Characteristics'!G:G,MATCH($C1930,'Policy Characteristics'!$C:$C,0))),"",INDEX('Policy Characteristics'!G:G,MATCH($C1930,'Policy Characteristics'!$C:$C,0)))</f>
        <v>10</v>
      </c>
      <c r="N1930" s="254">
        <f>IF(ISBLANK(INDEX('Policy Characteristics'!H:H,MATCH($C1930,'Policy Characteristics'!$C:$C,0))),"",INDEX('Policy Characteristics'!H:H,MATCH($C1930,'Policy Characteristics'!$C:$C,0)))</f>
        <v>1</v>
      </c>
      <c r="O1930" s="254" t="str">
        <f>IF(ISBLANK(INDEX('Policy Characteristics'!I:I,MATCH($C1930,'Policy Characteristics'!$C:$C,0))),"",INDEX('Policy Characteristics'!I:I,MATCH($C1930,'Policy Characteristics'!$C:$C,0)))</f>
        <v>weight</v>
      </c>
      <c r="P1930" s="254" t="str">
        <f>IF(ISBLANK(INDEX('Policy Characteristics'!J:J,MATCH($C1930,'Policy Characteristics'!$C:$C,0))),"",INDEX('Policy Characteristics'!J:J,MATCH($C1930,'Policy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0" s="254" t="str">
        <f>IF(ISBLANK(INDEX('Policy Characteristics'!K:K,MATCH($C1930,'Policy Characteristics'!$C:$C,0))),"",INDEX('Policy Characteristics'!K:K,MATCH($C1930,'Policy Characteristics'!$C:$C,0)))</f>
        <v>io-model.html</v>
      </c>
      <c r="R1930" s="254" t="str">
        <f>IF(ISBLANK(INDEX('Policy Characteristics'!L:L,MATCH($C1930,'Policy Characteristics'!$C:$C,0))),"",INDEX('Policy Characteristics'!L:L,MATCH($C1930,'Policy Characteristics'!$C:$C,0)))</f>
        <v/>
      </c>
    </row>
    <row r="1931" spans="1:18" x14ac:dyDescent="0.3">
      <c r="A1931" s="254" t="str">
        <f>IF(ISBLANK(INDEX('Policy Characteristics'!A:A,MATCH($C1931,'Policy Characteristics'!$C:$C,0))),"",INDEX('Policy Characteristics'!A:A,MATCH($C1931,'Policy Characteristics'!$C:$C,0)))</f>
        <v>Government Revenue Accounting</v>
      </c>
      <c r="B1931" s="262" t="str">
        <f>IF(ISBLANK(INDEX('Policy Characteristics'!B:B,MATCH($C1931,'Policy Characteristics'!$C:$C,0))),"",INDEX('Policy Characteristics'!B:B,MATCH($C1931,'Policy Characteristics'!$C:$C,0)))</f>
        <v>Vehicle Subsidy</v>
      </c>
      <c r="C1931" t="s">
        <v>3620</v>
      </c>
      <c r="D1931" s="1" t="s">
        <v>2959</v>
      </c>
      <c r="F1931" s="1" t="s">
        <v>2964</v>
      </c>
      <c r="H1931" s="43">
        <v>555</v>
      </c>
      <c r="I1931" s="322" t="s">
        <v>43</v>
      </c>
      <c r="J1931" s="255" t="str">
        <f>IF(ISBLANK(INDEX('Policy Characteristics'!D:D,MATCH($C1931,'Policy Characteristics'!$C:$C,0))),"",INDEX('Policy Characteristics'!D:D,MATCH($C1931,'Policy Characteristics'!$C:$C,0)))</f>
        <v/>
      </c>
      <c r="K1931" s="254" t="str">
        <f>IF(ISBLANK(INDEX('Policy Characteristics'!E:E,MATCH($C1931,'Policy Characteristics'!$C:$C,0))),"",INDEX('Policy Characteristics'!E:E,MATCH($C1931,'Policy Characteristics'!$C:$C,0)))</f>
        <v>GRA EV subsidy</v>
      </c>
      <c r="L1931" s="254">
        <f>IF(ISBLANK(INDEX('Policy Characteristics'!F:F,MATCH($C1931,'Policy Characteristics'!$C:$C,0))),"",INDEX('Policy Characteristics'!F:F,MATCH($C1931,'Policy Characteristics'!$C:$C,0)))</f>
        <v>0</v>
      </c>
      <c r="M1931" s="254">
        <f>IF(ISBLANK(INDEX('Policy Characteristics'!G:G,MATCH($C1931,'Policy Characteristics'!$C:$C,0))),"",INDEX('Policy Characteristics'!G:G,MATCH($C1931,'Policy Characteristics'!$C:$C,0)))</f>
        <v>10</v>
      </c>
      <c r="N1931" s="254">
        <f>IF(ISBLANK(INDEX('Policy Characteristics'!H:H,MATCH($C1931,'Policy Characteristics'!$C:$C,0))),"",INDEX('Policy Characteristics'!H:H,MATCH($C1931,'Policy Characteristics'!$C:$C,0)))</f>
        <v>1</v>
      </c>
      <c r="O1931" s="254" t="str">
        <f>IF(ISBLANK(INDEX('Policy Characteristics'!I:I,MATCH($C1931,'Policy Characteristics'!$C:$C,0))),"",INDEX('Policy Characteristics'!I:I,MATCH($C1931,'Policy Characteristics'!$C:$C,0)))</f>
        <v>weight</v>
      </c>
      <c r="P1931" s="254" t="str">
        <f>IF(ISBLANK(INDEX('Policy Characteristics'!J:J,MATCH($C1931,'Policy Characteristics'!$C:$C,0))),"",INDEX('Policy Characteristics'!J:J,MATCH($C1931,'Policy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1" s="254" t="str">
        <f>IF(ISBLANK(INDEX('Policy Characteristics'!K:K,MATCH($C1931,'Policy Characteristics'!$C:$C,0))),"",INDEX('Policy Characteristics'!K:K,MATCH($C1931,'Policy Characteristics'!$C:$C,0)))</f>
        <v>io-model.html</v>
      </c>
      <c r="R1931" s="254" t="str">
        <f>IF(ISBLANK(INDEX('Policy Characteristics'!L:L,MATCH($C1931,'Policy Characteristics'!$C:$C,0))),"",INDEX('Policy Characteristics'!L:L,MATCH($C1931,'Policy Characteristics'!$C:$C,0)))</f>
        <v/>
      </c>
    </row>
    <row r="1932" spans="1:18" x14ac:dyDescent="0.3">
      <c r="A1932" s="254" t="str">
        <f>IF(ISBLANK(INDEX('Policy Characteristics'!A:A,MATCH($C1932,'Policy Characteristics'!$C:$C,0))),"",INDEX('Policy Characteristics'!A:A,MATCH($C1932,'Policy Characteristics'!$C:$C,0)))</f>
        <v>Government Revenue Accounting</v>
      </c>
      <c r="B1932" s="262" t="str">
        <f>IF(ISBLANK(INDEX('Policy Characteristics'!B:B,MATCH($C1932,'Policy Characteristics'!$C:$C,0))),"",INDEX('Policy Characteristics'!B:B,MATCH($C1932,'Policy Characteristics'!$C:$C,0)))</f>
        <v>Vehicle Subsidy</v>
      </c>
      <c r="C1932" s="254" t="str">
        <f t="shared" ref="C1932:C1935" si="83">C$1931</f>
        <v>GRA for Vehicle Subsidy</v>
      </c>
      <c r="D1932" s="1" t="s">
        <v>2960</v>
      </c>
      <c r="F1932" s="1" t="s">
        <v>2975</v>
      </c>
      <c r="H1932" s="43">
        <v>556</v>
      </c>
      <c r="I1932" s="326" t="str">
        <f t="shared" ref="I1932:I1935" si="84">I$1931</f>
        <v>Yes</v>
      </c>
      <c r="J1932" s="255" t="str">
        <f>IF(ISBLANK(INDEX('Policy Characteristics'!D:D,MATCH($C1932,'Policy Characteristics'!$C:$C,0))),"",INDEX('Policy Characteristics'!D:D,MATCH($C1932,'Policy Characteristics'!$C:$C,0)))</f>
        <v/>
      </c>
      <c r="K1932" s="254" t="str">
        <f>IF(ISBLANK(INDEX('Policy Characteristics'!E:E,MATCH($C1932,'Policy Characteristics'!$C:$C,0))),"",INDEX('Policy Characteristics'!E:E,MATCH($C1932,'Policy Characteristics'!$C:$C,0)))</f>
        <v>GRA EV subsidy</v>
      </c>
      <c r="L1932" s="254">
        <f>IF(ISBLANK(INDEX('Policy Characteristics'!F:F,MATCH($C1932,'Policy Characteristics'!$C:$C,0))),"",INDEX('Policy Characteristics'!F:F,MATCH($C1932,'Policy Characteristics'!$C:$C,0)))</f>
        <v>0</v>
      </c>
      <c r="M1932" s="254">
        <f>IF(ISBLANK(INDEX('Policy Characteristics'!G:G,MATCH($C1932,'Policy Characteristics'!$C:$C,0))),"",INDEX('Policy Characteristics'!G:G,MATCH($C1932,'Policy Characteristics'!$C:$C,0)))</f>
        <v>10</v>
      </c>
      <c r="N1932" s="254">
        <f>IF(ISBLANK(INDEX('Policy Characteristics'!H:H,MATCH($C1932,'Policy Characteristics'!$C:$C,0))),"",INDEX('Policy Characteristics'!H:H,MATCH($C1932,'Policy Characteristics'!$C:$C,0)))</f>
        <v>1</v>
      </c>
      <c r="O1932" s="254" t="str">
        <f>IF(ISBLANK(INDEX('Policy Characteristics'!I:I,MATCH($C1932,'Policy Characteristics'!$C:$C,0))),"",INDEX('Policy Characteristics'!I:I,MATCH($C1932,'Policy Characteristics'!$C:$C,0)))</f>
        <v>weight</v>
      </c>
      <c r="P1932" s="254" t="str">
        <f>IF(ISBLANK(INDEX('Policy Characteristics'!J:J,MATCH($C1932,'Policy Characteristics'!$C:$C,0))),"",INDEX('Policy Characteristics'!J:J,MATCH($C1932,'Policy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2" s="254" t="str">
        <f>IF(ISBLANK(INDEX('Policy Characteristics'!K:K,MATCH($C1932,'Policy Characteristics'!$C:$C,0))),"",INDEX('Policy Characteristics'!K:K,MATCH($C1932,'Policy Characteristics'!$C:$C,0)))</f>
        <v>io-model.html</v>
      </c>
      <c r="R1932" s="254" t="str">
        <f>IF(ISBLANK(INDEX('Policy Characteristics'!L:L,MATCH($C1932,'Policy Characteristics'!$C:$C,0))),"",INDEX('Policy Characteristics'!L:L,MATCH($C1932,'Policy Characteristics'!$C:$C,0)))</f>
        <v/>
      </c>
    </row>
    <row r="1933" spans="1:18" x14ac:dyDescent="0.3">
      <c r="A1933" s="254" t="str">
        <f>IF(ISBLANK(INDEX('Policy Characteristics'!A:A,MATCH($C1933,'Policy Characteristics'!$C:$C,0))),"",INDEX('Policy Characteristics'!A:A,MATCH($C1933,'Policy Characteristics'!$C:$C,0)))</f>
        <v>Government Revenue Accounting</v>
      </c>
      <c r="B1933" s="262" t="str">
        <f>IF(ISBLANK(INDEX('Policy Characteristics'!B:B,MATCH($C1933,'Policy Characteristics'!$C:$C,0))),"",INDEX('Policy Characteristics'!B:B,MATCH($C1933,'Policy Characteristics'!$C:$C,0)))</f>
        <v>Vehicle Subsidy</v>
      </c>
      <c r="C1933" s="254" t="str">
        <f t="shared" si="83"/>
        <v>GRA for Vehicle Subsidy</v>
      </c>
      <c r="D1933" s="1" t="s">
        <v>2961</v>
      </c>
      <c r="F1933" s="1" t="s">
        <v>2965</v>
      </c>
      <c r="H1933" s="43">
        <v>557</v>
      </c>
      <c r="I1933" s="326" t="str">
        <f t="shared" si="84"/>
        <v>Yes</v>
      </c>
      <c r="J1933" s="255" t="str">
        <f>IF(ISBLANK(INDEX('Policy Characteristics'!D:D,MATCH($C1933,'Policy Characteristics'!$C:$C,0))),"",INDEX('Policy Characteristics'!D:D,MATCH($C1933,'Policy Characteristics'!$C:$C,0)))</f>
        <v/>
      </c>
      <c r="K1933" s="254" t="str">
        <f>IF(ISBLANK(INDEX('Policy Characteristics'!E:E,MATCH($C1933,'Policy Characteristics'!$C:$C,0))),"",INDEX('Policy Characteristics'!E:E,MATCH($C1933,'Policy Characteristics'!$C:$C,0)))</f>
        <v>GRA EV subsidy</v>
      </c>
      <c r="L1933" s="254">
        <f>IF(ISBLANK(INDEX('Policy Characteristics'!F:F,MATCH($C1933,'Policy Characteristics'!$C:$C,0))),"",INDEX('Policy Characteristics'!F:F,MATCH($C1933,'Policy Characteristics'!$C:$C,0)))</f>
        <v>0</v>
      </c>
      <c r="M1933" s="254">
        <f>IF(ISBLANK(INDEX('Policy Characteristics'!G:G,MATCH($C1933,'Policy Characteristics'!$C:$C,0))),"",INDEX('Policy Characteristics'!G:G,MATCH($C1933,'Policy Characteristics'!$C:$C,0)))</f>
        <v>10</v>
      </c>
      <c r="N1933" s="254">
        <f>IF(ISBLANK(INDEX('Policy Characteristics'!H:H,MATCH($C1933,'Policy Characteristics'!$C:$C,0))),"",INDEX('Policy Characteristics'!H:H,MATCH($C1933,'Policy Characteristics'!$C:$C,0)))</f>
        <v>1</v>
      </c>
      <c r="O1933" s="254" t="str">
        <f>IF(ISBLANK(INDEX('Policy Characteristics'!I:I,MATCH($C1933,'Policy Characteristics'!$C:$C,0))),"",INDEX('Policy Characteristics'!I:I,MATCH($C1933,'Policy Characteristics'!$C:$C,0)))</f>
        <v>weight</v>
      </c>
      <c r="P1933" s="254" t="str">
        <f>IF(ISBLANK(INDEX('Policy Characteristics'!J:J,MATCH($C1933,'Policy Characteristics'!$C:$C,0))),"",INDEX('Policy Characteristics'!J:J,MATCH($C1933,'Policy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3" s="254" t="str">
        <f>IF(ISBLANK(INDEX('Policy Characteristics'!K:K,MATCH($C1933,'Policy Characteristics'!$C:$C,0))),"",INDEX('Policy Characteristics'!K:K,MATCH($C1933,'Policy Characteristics'!$C:$C,0)))</f>
        <v>io-model.html</v>
      </c>
      <c r="R1933" s="254" t="str">
        <f>IF(ISBLANK(INDEX('Policy Characteristics'!L:L,MATCH($C1933,'Policy Characteristics'!$C:$C,0))),"",INDEX('Policy Characteristics'!L:L,MATCH($C1933,'Policy Characteristics'!$C:$C,0)))</f>
        <v/>
      </c>
    </row>
    <row r="1934" spans="1:18" x14ac:dyDescent="0.3">
      <c r="A1934" s="254" t="str">
        <f>IF(ISBLANK(INDEX('Policy Characteristics'!A:A,MATCH($C1934,'Policy Characteristics'!$C:$C,0))),"",INDEX('Policy Characteristics'!A:A,MATCH($C1934,'Policy Characteristics'!$C:$C,0)))</f>
        <v>Government Revenue Accounting</v>
      </c>
      <c r="B1934" s="262" t="str">
        <f>IF(ISBLANK(INDEX('Policy Characteristics'!B:B,MATCH($C1934,'Policy Characteristics'!$C:$C,0))),"",INDEX('Policy Characteristics'!B:B,MATCH($C1934,'Policy Characteristics'!$C:$C,0)))</f>
        <v>Vehicle Subsidy</v>
      </c>
      <c r="C1934" s="254" t="str">
        <f t="shared" si="83"/>
        <v>GRA for Vehicle Subsidy</v>
      </c>
      <c r="D1934" s="1" t="s">
        <v>2962</v>
      </c>
      <c r="F1934" s="1" t="s">
        <v>2966</v>
      </c>
      <c r="H1934" s="43">
        <v>558</v>
      </c>
      <c r="I1934" s="326" t="str">
        <f t="shared" si="84"/>
        <v>Yes</v>
      </c>
      <c r="J1934" s="255" t="str">
        <f>IF(ISBLANK(INDEX('Policy Characteristics'!D:D,MATCH($C1934,'Policy Characteristics'!$C:$C,0))),"",INDEX('Policy Characteristics'!D:D,MATCH($C1934,'Policy Characteristics'!$C:$C,0)))</f>
        <v/>
      </c>
      <c r="K1934" s="254" t="str">
        <f>IF(ISBLANK(INDEX('Policy Characteristics'!E:E,MATCH($C1934,'Policy Characteristics'!$C:$C,0))),"",INDEX('Policy Characteristics'!E:E,MATCH($C1934,'Policy Characteristics'!$C:$C,0)))</f>
        <v>GRA EV subsidy</v>
      </c>
      <c r="L1934" s="254">
        <f>IF(ISBLANK(INDEX('Policy Characteristics'!F:F,MATCH($C1934,'Policy Characteristics'!$C:$C,0))),"",INDEX('Policy Characteristics'!F:F,MATCH($C1934,'Policy Characteristics'!$C:$C,0)))</f>
        <v>0</v>
      </c>
      <c r="M1934" s="254">
        <f>IF(ISBLANK(INDEX('Policy Characteristics'!G:G,MATCH($C1934,'Policy Characteristics'!$C:$C,0))),"",INDEX('Policy Characteristics'!G:G,MATCH($C1934,'Policy Characteristics'!$C:$C,0)))</f>
        <v>10</v>
      </c>
      <c r="N1934" s="254">
        <f>IF(ISBLANK(INDEX('Policy Characteristics'!H:H,MATCH($C1934,'Policy Characteristics'!$C:$C,0))),"",INDEX('Policy Characteristics'!H:H,MATCH($C1934,'Policy Characteristics'!$C:$C,0)))</f>
        <v>1</v>
      </c>
      <c r="O1934" s="254" t="str">
        <f>IF(ISBLANK(INDEX('Policy Characteristics'!I:I,MATCH($C1934,'Policy Characteristics'!$C:$C,0))),"",INDEX('Policy Characteristics'!I:I,MATCH($C1934,'Policy Characteristics'!$C:$C,0)))</f>
        <v>weight</v>
      </c>
      <c r="P1934" s="254" t="str">
        <f>IF(ISBLANK(INDEX('Policy Characteristics'!J:J,MATCH($C1934,'Policy Characteristics'!$C:$C,0))),"",INDEX('Policy Characteristics'!J:J,MATCH($C1934,'Policy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4" s="254" t="str">
        <f>IF(ISBLANK(INDEX('Policy Characteristics'!K:K,MATCH($C1934,'Policy Characteristics'!$C:$C,0))),"",INDEX('Policy Characteristics'!K:K,MATCH($C1934,'Policy Characteristics'!$C:$C,0)))</f>
        <v>io-model.html</v>
      </c>
      <c r="R1934" s="254" t="str">
        <f>IF(ISBLANK(INDEX('Policy Characteristics'!L:L,MATCH($C1934,'Policy Characteristics'!$C:$C,0))),"",INDEX('Policy Characteristics'!L:L,MATCH($C1934,'Policy Characteristics'!$C:$C,0)))</f>
        <v/>
      </c>
    </row>
    <row r="1935" spans="1:18" x14ac:dyDescent="0.3">
      <c r="A1935" s="254" t="str">
        <f>IF(ISBLANK(INDEX('Policy Characteristics'!A:A,MATCH($C1935,'Policy Characteristics'!$C:$C,0))),"",INDEX('Policy Characteristics'!A:A,MATCH($C1935,'Policy Characteristics'!$C:$C,0)))</f>
        <v>Government Revenue Accounting</v>
      </c>
      <c r="B1935" s="262" t="str">
        <f>IF(ISBLANK(INDEX('Policy Characteristics'!B:B,MATCH($C1935,'Policy Characteristics'!$C:$C,0))),"",INDEX('Policy Characteristics'!B:B,MATCH($C1935,'Policy Characteristics'!$C:$C,0)))</f>
        <v>Vehicle Subsidy</v>
      </c>
      <c r="C1935" s="254" t="str">
        <f t="shared" si="83"/>
        <v>GRA for Vehicle Subsidy</v>
      </c>
      <c r="D1935" s="1" t="s">
        <v>2963</v>
      </c>
      <c r="F1935" s="1" t="s">
        <v>2967</v>
      </c>
      <c r="H1935" s="43">
        <v>559</v>
      </c>
      <c r="I1935" s="326" t="str">
        <f t="shared" si="84"/>
        <v>Yes</v>
      </c>
      <c r="J1935" s="255" t="str">
        <f>IF(ISBLANK(INDEX('Policy Characteristics'!D:D,MATCH($C1935,'Policy Characteristics'!$C:$C,0))),"",INDEX('Policy Characteristics'!D:D,MATCH($C1935,'Policy Characteristics'!$C:$C,0)))</f>
        <v/>
      </c>
      <c r="K1935" s="254" t="str">
        <f>IF(ISBLANK(INDEX('Policy Characteristics'!E:E,MATCH($C1935,'Policy Characteristics'!$C:$C,0))),"",INDEX('Policy Characteristics'!E:E,MATCH($C1935,'Policy Characteristics'!$C:$C,0)))</f>
        <v>GRA EV subsidy</v>
      </c>
      <c r="L1935" s="254">
        <f>IF(ISBLANK(INDEX('Policy Characteristics'!F:F,MATCH($C1935,'Policy Characteristics'!$C:$C,0))),"",INDEX('Policy Characteristics'!F:F,MATCH($C1935,'Policy Characteristics'!$C:$C,0)))</f>
        <v>0</v>
      </c>
      <c r="M1935" s="254">
        <f>IF(ISBLANK(INDEX('Policy Characteristics'!G:G,MATCH($C1935,'Policy Characteristics'!$C:$C,0))),"",INDEX('Policy Characteristics'!G:G,MATCH($C1935,'Policy Characteristics'!$C:$C,0)))</f>
        <v>10</v>
      </c>
      <c r="N1935" s="254">
        <f>IF(ISBLANK(INDEX('Policy Characteristics'!H:H,MATCH($C1935,'Policy Characteristics'!$C:$C,0))),"",INDEX('Policy Characteristics'!H:H,MATCH($C1935,'Policy Characteristics'!$C:$C,0)))</f>
        <v>1</v>
      </c>
      <c r="O1935" s="254" t="str">
        <f>IF(ISBLANK(INDEX('Policy Characteristics'!I:I,MATCH($C1935,'Policy Characteristics'!$C:$C,0))),"",INDEX('Policy Characteristics'!I:I,MATCH($C1935,'Policy Characteristics'!$C:$C,0)))</f>
        <v>weight</v>
      </c>
      <c r="P1935" s="254" t="str">
        <f>IF(ISBLANK(INDEX('Policy Characteristics'!J:J,MATCH($C1935,'Policy Characteristics'!$C:$C,0))),"",INDEX('Policy Characteristics'!J:J,MATCH($C1935,'Policy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5" s="254" t="str">
        <f>IF(ISBLANK(INDEX('Policy Characteristics'!K:K,MATCH($C1935,'Policy Characteristics'!$C:$C,0))),"",INDEX('Policy Characteristics'!K:K,MATCH($C1935,'Policy Characteristics'!$C:$C,0)))</f>
        <v>io-model.html</v>
      </c>
      <c r="R1935" s="254" t="str">
        <f>IF(ISBLANK(INDEX('Policy Characteristics'!L:L,MATCH($C1935,'Policy Characteristics'!$C:$C,0))),"",INDEX('Policy Characteristics'!L:L,MATCH($C1935,'Policy Characteristics'!$C:$C,0)))</f>
        <v/>
      </c>
    </row>
    <row r="1936" spans="1:18" x14ac:dyDescent="0.3">
      <c r="A1936" s="254" t="str">
        <f>IF(ISBLANK(INDEX('Policy Characteristics'!A:A,MATCH($C1936,'Policy Characteristics'!$C:$C,0))),"",INDEX('Policy Characteristics'!A:A,MATCH($C1936,'Policy Characteristics'!$C:$C,0)))</f>
        <v>Government Revenue Accounting</v>
      </c>
      <c r="B1936" s="262" t="str">
        <f>IF(ISBLANK(INDEX('Policy Characteristics'!B:B,MATCH($C1936,'Policy Characteristics'!$C:$C,0))),"",INDEX('Policy Characteristics'!B:B,MATCH($C1936,'Policy Characteristics'!$C:$C,0)))</f>
        <v>Electricity Generation Subsidy</v>
      </c>
      <c r="C1936" t="s">
        <v>2953</v>
      </c>
      <c r="D1936" s="1" t="s">
        <v>2959</v>
      </c>
      <c r="F1936" s="1" t="s">
        <v>2964</v>
      </c>
      <c r="H1936" s="43">
        <v>560</v>
      </c>
      <c r="I1936" s="322" t="s">
        <v>43</v>
      </c>
      <c r="J1936" s="255" t="str">
        <f>IF(ISBLANK(INDEX('Policy Characteristics'!D:D,MATCH($C1936,'Policy Characteristics'!$C:$C,0))),"",INDEX('Policy Characteristics'!D:D,MATCH($C1936,'Policy Characteristics'!$C:$C,0)))</f>
        <v/>
      </c>
      <c r="K1936" s="254" t="str">
        <f>IF(ISBLANK(INDEX('Policy Characteristics'!E:E,MATCH($C1936,'Policy Characteristics'!$C:$C,0))),"",INDEX('Policy Characteristics'!E:E,MATCH($C1936,'Policy Characteristics'!$C:$C,0)))</f>
        <v>GRA elec gen subsidy</v>
      </c>
      <c r="L1936" s="254">
        <f>IF(ISBLANK(INDEX('Policy Characteristics'!F:F,MATCH($C1936,'Policy Characteristics'!$C:$C,0))),"",INDEX('Policy Characteristics'!F:F,MATCH($C1936,'Policy Characteristics'!$C:$C,0)))</f>
        <v>0</v>
      </c>
      <c r="M1936" s="254">
        <f>IF(ISBLANK(INDEX('Policy Characteristics'!G:G,MATCH($C1936,'Policy Characteristics'!$C:$C,0))),"",INDEX('Policy Characteristics'!G:G,MATCH($C1936,'Policy Characteristics'!$C:$C,0)))</f>
        <v>10</v>
      </c>
      <c r="N1936" s="254">
        <f>IF(ISBLANK(INDEX('Policy Characteristics'!H:H,MATCH($C1936,'Policy Characteristics'!$C:$C,0))),"",INDEX('Policy Characteristics'!H:H,MATCH($C1936,'Policy Characteristics'!$C:$C,0)))</f>
        <v>1</v>
      </c>
      <c r="O1936" s="254" t="str">
        <f>IF(ISBLANK(INDEX('Policy Characteristics'!I:I,MATCH($C1936,'Policy Characteristics'!$C:$C,0))),"",INDEX('Policy Characteristics'!I:I,MATCH($C1936,'Policy Characteristics'!$C:$C,0)))</f>
        <v>weight</v>
      </c>
      <c r="P1936" s="254" t="str">
        <f>IF(ISBLANK(INDEX('Policy Characteristics'!J:J,MATCH($C1936,'Policy Characteristics'!$C:$C,0))),"",INDEX('Policy Characteristics'!J:J,MATCH($C1936,'Policy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6" s="254" t="str">
        <f>IF(ISBLANK(INDEX('Policy Characteristics'!K:K,MATCH($C1936,'Policy Characteristics'!$C:$C,0))),"",INDEX('Policy Characteristics'!K:K,MATCH($C1936,'Policy Characteristics'!$C:$C,0)))</f>
        <v>io-model.html</v>
      </c>
      <c r="R1936" s="254" t="str">
        <f>IF(ISBLANK(INDEX('Policy Characteristics'!L:L,MATCH($C1936,'Policy Characteristics'!$C:$C,0))),"",INDEX('Policy Characteristics'!L:L,MATCH($C1936,'Policy Characteristics'!$C:$C,0)))</f>
        <v/>
      </c>
    </row>
    <row r="1937" spans="1:18" x14ac:dyDescent="0.3">
      <c r="A1937" s="254" t="str">
        <f>IF(ISBLANK(INDEX('Policy Characteristics'!A:A,MATCH($C1937,'Policy Characteristics'!$C:$C,0))),"",INDEX('Policy Characteristics'!A:A,MATCH($C1937,'Policy Characteristics'!$C:$C,0)))</f>
        <v>Government Revenue Accounting</v>
      </c>
      <c r="B1937" s="262" t="str">
        <f>IF(ISBLANK(INDEX('Policy Characteristics'!B:B,MATCH($C1937,'Policy Characteristics'!$C:$C,0))),"",INDEX('Policy Characteristics'!B:B,MATCH($C1937,'Policy Characteristics'!$C:$C,0)))</f>
        <v>Electricity Generation Subsidy</v>
      </c>
      <c r="C1937" s="254" t="str">
        <f t="shared" ref="C1937:C1940" si="85">C$1936</f>
        <v>GRA for Electricity Generation Subsidies</v>
      </c>
      <c r="D1937" s="1" t="s">
        <v>2960</v>
      </c>
      <c r="F1937" s="1" t="s">
        <v>2975</v>
      </c>
      <c r="H1937" s="43">
        <v>561</v>
      </c>
      <c r="I1937" s="326" t="str">
        <f t="shared" ref="I1937:I1940" si="86">I$1936</f>
        <v>Yes</v>
      </c>
      <c r="J1937" s="255" t="str">
        <f>IF(ISBLANK(INDEX('Policy Characteristics'!D:D,MATCH($C1937,'Policy Characteristics'!$C:$C,0))),"",INDEX('Policy Characteristics'!D:D,MATCH($C1937,'Policy Characteristics'!$C:$C,0)))</f>
        <v/>
      </c>
      <c r="K1937" s="254" t="str">
        <f>IF(ISBLANK(INDEX('Policy Characteristics'!E:E,MATCH($C1937,'Policy Characteristics'!$C:$C,0))),"",INDEX('Policy Characteristics'!E:E,MATCH($C1937,'Policy Characteristics'!$C:$C,0)))</f>
        <v>GRA elec gen subsidy</v>
      </c>
      <c r="L1937" s="254">
        <f>IF(ISBLANK(INDEX('Policy Characteristics'!F:F,MATCH($C1937,'Policy Characteristics'!$C:$C,0))),"",INDEX('Policy Characteristics'!F:F,MATCH($C1937,'Policy Characteristics'!$C:$C,0)))</f>
        <v>0</v>
      </c>
      <c r="M1937" s="254">
        <f>IF(ISBLANK(INDEX('Policy Characteristics'!G:G,MATCH($C1937,'Policy Characteristics'!$C:$C,0))),"",INDEX('Policy Characteristics'!G:G,MATCH($C1937,'Policy Characteristics'!$C:$C,0)))</f>
        <v>10</v>
      </c>
      <c r="N1937" s="254">
        <f>IF(ISBLANK(INDEX('Policy Characteristics'!H:H,MATCH($C1937,'Policy Characteristics'!$C:$C,0))),"",INDEX('Policy Characteristics'!H:H,MATCH($C1937,'Policy Characteristics'!$C:$C,0)))</f>
        <v>1</v>
      </c>
      <c r="O1937" s="254" t="str">
        <f>IF(ISBLANK(INDEX('Policy Characteristics'!I:I,MATCH($C1937,'Policy Characteristics'!$C:$C,0))),"",INDEX('Policy Characteristics'!I:I,MATCH($C1937,'Policy Characteristics'!$C:$C,0)))</f>
        <v>weight</v>
      </c>
      <c r="P1937" s="254" t="str">
        <f>IF(ISBLANK(INDEX('Policy Characteristics'!J:J,MATCH($C1937,'Policy Characteristics'!$C:$C,0))),"",INDEX('Policy Characteristics'!J:J,MATCH($C1937,'Policy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7" s="254" t="str">
        <f>IF(ISBLANK(INDEX('Policy Characteristics'!K:K,MATCH($C1937,'Policy Characteristics'!$C:$C,0))),"",INDEX('Policy Characteristics'!K:K,MATCH($C1937,'Policy Characteristics'!$C:$C,0)))</f>
        <v>io-model.html</v>
      </c>
      <c r="R1937" s="254" t="str">
        <f>IF(ISBLANK(INDEX('Policy Characteristics'!L:L,MATCH($C1937,'Policy Characteristics'!$C:$C,0))),"",INDEX('Policy Characteristics'!L:L,MATCH($C1937,'Policy Characteristics'!$C:$C,0)))</f>
        <v/>
      </c>
    </row>
    <row r="1938" spans="1:18" x14ac:dyDescent="0.3">
      <c r="A1938" s="254" t="str">
        <f>IF(ISBLANK(INDEX('Policy Characteristics'!A:A,MATCH($C1938,'Policy Characteristics'!$C:$C,0))),"",INDEX('Policy Characteristics'!A:A,MATCH($C1938,'Policy Characteristics'!$C:$C,0)))</f>
        <v>Government Revenue Accounting</v>
      </c>
      <c r="B1938" s="262" t="str">
        <f>IF(ISBLANK(INDEX('Policy Characteristics'!B:B,MATCH($C1938,'Policy Characteristics'!$C:$C,0))),"",INDEX('Policy Characteristics'!B:B,MATCH($C1938,'Policy Characteristics'!$C:$C,0)))</f>
        <v>Electricity Generation Subsidy</v>
      </c>
      <c r="C1938" s="254" t="str">
        <f t="shared" si="85"/>
        <v>GRA for Electricity Generation Subsidies</v>
      </c>
      <c r="D1938" s="1" t="s">
        <v>2961</v>
      </c>
      <c r="F1938" s="1" t="s">
        <v>2965</v>
      </c>
      <c r="H1938" s="43">
        <v>562</v>
      </c>
      <c r="I1938" s="326" t="str">
        <f t="shared" si="86"/>
        <v>Yes</v>
      </c>
      <c r="J1938" s="255" t="str">
        <f>IF(ISBLANK(INDEX('Policy Characteristics'!D:D,MATCH($C1938,'Policy Characteristics'!$C:$C,0))),"",INDEX('Policy Characteristics'!D:D,MATCH($C1938,'Policy Characteristics'!$C:$C,0)))</f>
        <v/>
      </c>
      <c r="K1938" s="254" t="str">
        <f>IF(ISBLANK(INDEX('Policy Characteristics'!E:E,MATCH($C1938,'Policy Characteristics'!$C:$C,0))),"",INDEX('Policy Characteristics'!E:E,MATCH($C1938,'Policy Characteristics'!$C:$C,0)))</f>
        <v>GRA elec gen subsidy</v>
      </c>
      <c r="L1938" s="254">
        <f>IF(ISBLANK(INDEX('Policy Characteristics'!F:F,MATCH($C1938,'Policy Characteristics'!$C:$C,0))),"",INDEX('Policy Characteristics'!F:F,MATCH($C1938,'Policy Characteristics'!$C:$C,0)))</f>
        <v>0</v>
      </c>
      <c r="M1938" s="254">
        <f>IF(ISBLANK(INDEX('Policy Characteristics'!G:G,MATCH($C1938,'Policy Characteristics'!$C:$C,0))),"",INDEX('Policy Characteristics'!G:G,MATCH($C1938,'Policy Characteristics'!$C:$C,0)))</f>
        <v>10</v>
      </c>
      <c r="N1938" s="254">
        <f>IF(ISBLANK(INDEX('Policy Characteristics'!H:H,MATCH($C1938,'Policy Characteristics'!$C:$C,0))),"",INDEX('Policy Characteristics'!H:H,MATCH($C1938,'Policy Characteristics'!$C:$C,0)))</f>
        <v>1</v>
      </c>
      <c r="O1938" s="254" t="str">
        <f>IF(ISBLANK(INDEX('Policy Characteristics'!I:I,MATCH($C1938,'Policy Characteristics'!$C:$C,0))),"",INDEX('Policy Characteristics'!I:I,MATCH($C1938,'Policy Characteristics'!$C:$C,0)))</f>
        <v>weight</v>
      </c>
      <c r="P1938" s="254" t="str">
        <f>IF(ISBLANK(INDEX('Policy Characteristics'!J:J,MATCH($C1938,'Policy Characteristics'!$C:$C,0))),"",INDEX('Policy Characteristics'!J:J,MATCH($C1938,'Policy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8" s="254" t="str">
        <f>IF(ISBLANK(INDEX('Policy Characteristics'!K:K,MATCH($C1938,'Policy Characteristics'!$C:$C,0))),"",INDEX('Policy Characteristics'!K:K,MATCH($C1938,'Policy Characteristics'!$C:$C,0)))</f>
        <v>io-model.html</v>
      </c>
      <c r="R1938" s="254" t="str">
        <f>IF(ISBLANK(INDEX('Policy Characteristics'!L:L,MATCH($C1938,'Policy Characteristics'!$C:$C,0))),"",INDEX('Policy Characteristics'!L:L,MATCH($C1938,'Policy Characteristics'!$C:$C,0)))</f>
        <v/>
      </c>
    </row>
    <row r="1939" spans="1:18" x14ac:dyDescent="0.3">
      <c r="A1939" s="254" t="str">
        <f>IF(ISBLANK(INDEX('Policy Characteristics'!A:A,MATCH($C1939,'Policy Characteristics'!$C:$C,0))),"",INDEX('Policy Characteristics'!A:A,MATCH($C1939,'Policy Characteristics'!$C:$C,0)))</f>
        <v>Government Revenue Accounting</v>
      </c>
      <c r="B1939" s="262" t="str">
        <f>IF(ISBLANK(INDEX('Policy Characteristics'!B:B,MATCH($C1939,'Policy Characteristics'!$C:$C,0))),"",INDEX('Policy Characteristics'!B:B,MATCH($C1939,'Policy Characteristics'!$C:$C,0)))</f>
        <v>Electricity Generation Subsidy</v>
      </c>
      <c r="C1939" s="254" t="str">
        <f t="shared" si="85"/>
        <v>GRA for Electricity Generation Subsidies</v>
      </c>
      <c r="D1939" s="1" t="s">
        <v>2962</v>
      </c>
      <c r="F1939" s="1" t="s">
        <v>2966</v>
      </c>
      <c r="H1939" s="43">
        <v>563</v>
      </c>
      <c r="I1939" s="326" t="str">
        <f t="shared" si="86"/>
        <v>Yes</v>
      </c>
      <c r="J1939" s="255" t="str">
        <f>IF(ISBLANK(INDEX('Policy Characteristics'!D:D,MATCH($C1939,'Policy Characteristics'!$C:$C,0))),"",INDEX('Policy Characteristics'!D:D,MATCH($C1939,'Policy Characteristics'!$C:$C,0)))</f>
        <v/>
      </c>
      <c r="K1939" s="254" t="str">
        <f>IF(ISBLANK(INDEX('Policy Characteristics'!E:E,MATCH($C1939,'Policy Characteristics'!$C:$C,0))),"",INDEX('Policy Characteristics'!E:E,MATCH($C1939,'Policy Characteristics'!$C:$C,0)))</f>
        <v>GRA elec gen subsidy</v>
      </c>
      <c r="L1939" s="254">
        <f>IF(ISBLANK(INDEX('Policy Characteristics'!F:F,MATCH($C1939,'Policy Characteristics'!$C:$C,0))),"",INDEX('Policy Characteristics'!F:F,MATCH($C1939,'Policy Characteristics'!$C:$C,0)))</f>
        <v>0</v>
      </c>
      <c r="M1939" s="254">
        <f>IF(ISBLANK(INDEX('Policy Characteristics'!G:G,MATCH($C1939,'Policy Characteristics'!$C:$C,0))),"",INDEX('Policy Characteristics'!G:G,MATCH($C1939,'Policy Characteristics'!$C:$C,0)))</f>
        <v>10</v>
      </c>
      <c r="N1939" s="254">
        <f>IF(ISBLANK(INDEX('Policy Characteristics'!H:H,MATCH($C1939,'Policy Characteristics'!$C:$C,0))),"",INDEX('Policy Characteristics'!H:H,MATCH($C1939,'Policy Characteristics'!$C:$C,0)))</f>
        <v>1</v>
      </c>
      <c r="O1939" s="254" t="str">
        <f>IF(ISBLANK(INDEX('Policy Characteristics'!I:I,MATCH($C1939,'Policy Characteristics'!$C:$C,0))),"",INDEX('Policy Characteristics'!I:I,MATCH($C1939,'Policy Characteristics'!$C:$C,0)))</f>
        <v>weight</v>
      </c>
      <c r="P1939" s="254" t="str">
        <f>IF(ISBLANK(INDEX('Policy Characteristics'!J:J,MATCH($C1939,'Policy Characteristics'!$C:$C,0))),"",INDEX('Policy Characteristics'!J:J,MATCH($C1939,'Policy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39" s="254" t="str">
        <f>IF(ISBLANK(INDEX('Policy Characteristics'!K:K,MATCH($C1939,'Policy Characteristics'!$C:$C,0))),"",INDEX('Policy Characteristics'!K:K,MATCH($C1939,'Policy Characteristics'!$C:$C,0)))</f>
        <v>io-model.html</v>
      </c>
      <c r="R1939" s="254" t="str">
        <f>IF(ISBLANK(INDEX('Policy Characteristics'!L:L,MATCH($C1939,'Policy Characteristics'!$C:$C,0))),"",INDEX('Policy Characteristics'!L:L,MATCH($C1939,'Policy Characteristics'!$C:$C,0)))</f>
        <v/>
      </c>
    </row>
    <row r="1940" spans="1:18" x14ac:dyDescent="0.3">
      <c r="A1940" s="254" t="str">
        <f>IF(ISBLANK(INDEX('Policy Characteristics'!A:A,MATCH($C1940,'Policy Characteristics'!$C:$C,0))),"",INDEX('Policy Characteristics'!A:A,MATCH($C1940,'Policy Characteristics'!$C:$C,0)))</f>
        <v>Government Revenue Accounting</v>
      </c>
      <c r="B1940" s="262" t="str">
        <f>IF(ISBLANK(INDEX('Policy Characteristics'!B:B,MATCH($C1940,'Policy Characteristics'!$C:$C,0))),"",INDEX('Policy Characteristics'!B:B,MATCH($C1940,'Policy Characteristics'!$C:$C,0)))</f>
        <v>Electricity Generation Subsidy</v>
      </c>
      <c r="C1940" s="254" t="str">
        <f t="shared" si="85"/>
        <v>GRA for Electricity Generation Subsidies</v>
      </c>
      <c r="D1940" s="1" t="s">
        <v>2963</v>
      </c>
      <c r="F1940" s="1" t="s">
        <v>2967</v>
      </c>
      <c r="H1940" s="43">
        <v>564</v>
      </c>
      <c r="I1940" s="326" t="str">
        <f t="shared" si="86"/>
        <v>Yes</v>
      </c>
      <c r="J1940" s="255" t="str">
        <f>IF(ISBLANK(INDEX('Policy Characteristics'!D:D,MATCH($C1940,'Policy Characteristics'!$C:$C,0))),"",INDEX('Policy Characteristics'!D:D,MATCH($C1940,'Policy Characteristics'!$C:$C,0)))</f>
        <v/>
      </c>
      <c r="K1940" s="254" t="str">
        <f>IF(ISBLANK(INDEX('Policy Characteristics'!E:E,MATCH($C1940,'Policy Characteristics'!$C:$C,0))),"",INDEX('Policy Characteristics'!E:E,MATCH($C1940,'Policy Characteristics'!$C:$C,0)))</f>
        <v>GRA elec gen subsidy</v>
      </c>
      <c r="L1940" s="254">
        <f>IF(ISBLANK(INDEX('Policy Characteristics'!F:F,MATCH($C1940,'Policy Characteristics'!$C:$C,0))),"",INDEX('Policy Characteristics'!F:F,MATCH($C1940,'Policy Characteristics'!$C:$C,0)))</f>
        <v>0</v>
      </c>
      <c r="M1940" s="254">
        <f>IF(ISBLANK(INDEX('Policy Characteristics'!G:G,MATCH($C1940,'Policy Characteristics'!$C:$C,0))),"",INDEX('Policy Characteristics'!G:G,MATCH($C1940,'Policy Characteristics'!$C:$C,0)))</f>
        <v>10</v>
      </c>
      <c r="N1940" s="254">
        <f>IF(ISBLANK(INDEX('Policy Characteristics'!H:H,MATCH($C1940,'Policy Characteristics'!$C:$C,0))),"",INDEX('Policy Characteristics'!H:H,MATCH($C1940,'Policy Characteristics'!$C:$C,0)))</f>
        <v>1</v>
      </c>
      <c r="O1940" s="254" t="str">
        <f>IF(ISBLANK(INDEX('Policy Characteristics'!I:I,MATCH($C1940,'Policy Characteristics'!$C:$C,0))),"",INDEX('Policy Characteristics'!I:I,MATCH($C1940,'Policy Characteristics'!$C:$C,0)))</f>
        <v>weight</v>
      </c>
      <c r="P1940" s="254" t="str">
        <f>IF(ISBLANK(INDEX('Policy Characteristics'!J:J,MATCH($C1940,'Policy Characteristics'!$C:$C,0))),"",INDEX('Policy Characteristics'!J:J,MATCH($C1940,'Policy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0" s="254" t="str">
        <f>IF(ISBLANK(INDEX('Policy Characteristics'!K:K,MATCH($C1940,'Policy Characteristics'!$C:$C,0))),"",INDEX('Policy Characteristics'!K:K,MATCH($C1940,'Policy Characteristics'!$C:$C,0)))</f>
        <v>io-model.html</v>
      </c>
      <c r="R1940" s="254" t="str">
        <f>IF(ISBLANK(INDEX('Policy Characteristics'!L:L,MATCH($C1940,'Policy Characteristics'!$C:$C,0))),"",INDEX('Policy Characteristics'!L:L,MATCH($C1940,'Policy Characteristics'!$C:$C,0)))</f>
        <v/>
      </c>
    </row>
    <row r="1941" spans="1:18" x14ac:dyDescent="0.3">
      <c r="A1941" s="254" t="str">
        <f>IF(ISBLANK(INDEX('Policy Characteristics'!A:A,MATCH($C1941,'Policy Characteristics'!$C:$C,0))),"",INDEX('Policy Characteristics'!A:A,MATCH($C1941,'Policy Characteristics'!$C:$C,0)))</f>
        <v>Government Revenue Accounting</v>
      </c>
      <c r="B1941" s="262" t="str">
        <f>IF(ISBLANK(INDEX('Policy Characteristics'!B:B,MATCH($C1941,'Policy Characteristics'!$C:$C,0))),"",INDEX('Policy Characteristics'!B:B,MATCH($C1941,'Policy Characteristics'!$C:$C,0)))</f>
        <v>Electricity Capacity Construction Subsidy</v>
      </c>
      <c r="C1941" t="s">
        <v>2954</v>
      </c>
      <c r="D1941" s="1" t="s">
        <v>2959</v>
      </c>
      <c r="F1941" s="1" t="s">
        <v>2964</v>
      </c>
      <c r="H1941" s="43">
        <v>565</v>
      </c>
      <c r="I1941" s="322" t="s">
        <v>43</v>
      </c>
      <c r="J1941" s="255" t="str">
        <f>IF(ISBLANK(INDEX('Policy Characteristics'!D:D,MATCH($C1941,'Policy Characteristics'!$C:$C,0))),"",INDEX('Policy Characteristics'!D:D,MATCH($C1941,'Policy Characteristics'!$C:$C,0)))</f>
        <v/>
      </c>
      <c r="K1941" s="254" t="str">
        <f>IF(ISBLANK(INDEX('Policy Characteristics'!E:E,MATCH($C1941,'Policy Characteristics'!$C:$C,0))),"",INDEX('Policy Characteristics'!E:E,MATCH($C1941,'Policy Characteristics'!$C:$C,0)))</f>
        <v>GRA elec cap const subsidy</v>
      </c>
      <c r="L1941" s="254">
        <f>IF(ISBLANK(INDEX('Policy Characteristics'!F:F,MATCH($C1941,'Policy Characteristics'!$C:$C,0))),"",INDEX('Policy Characteristics'!F:F,MATCH($C1941,'Policy Characteristics'!$C:$C,0)))</f>
        <v>0</v>
      </c>
      <c r="M1941" s="254">
        <f>IF(ISBLANK(INDEX('Policy Characteristics'!G:G,MATCH($C1941,'Policy Characteristics'!$C:$C,0))),"",INDEX('Policy Characteristics'!G:G,MATCH($C1941,'Policy Characteristics'!$C:$C,0)))</f>
        <v>10</v>
      </c>
      <c r="N1941" s="254">
        <f>IF(ISBLANK(INDEX('Policy Characteristics'!H:H,MATCH($C1941,'Policy Characteristics'!$C:$C,0))),"",INDEX('Policy Characteristics'!H:H,MATCH($C1941,'Policy Characteristics'!$C:$C,0)))</f>
        <v>1</v>
      </c>
      <c r="O1941" s="254" t="str">
        <f>IF(ISBLANK(INDEX('Policy Characteristics'!I:I,MATCH($C1941,'Policy Characteristics'!$C:$C,0))),"",INDEX('Policy Characteristics'!I:I,MATCH($C1941,'Policy Characteristics'!$C:$C,0)))</f>
        <v>weight</v>
      </c>
      <c r="P1941" s="254" t="str">
        <f>IF(ISBLANK(INDEX('Policy Characteristics'!J:J,MATCH($C1941,'Policy Characteristics'!$C:$C,0))),"",INDEX('Policy Characteristics'!J:J,MATCH($C1941,'Policy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1" s="254" t="str">
        <f>IF(ISBLANK(INDEX('Policy Characteristics'!K:K,MATCH($C1941,'Policy Characteristics'!$C:$C,0))),"",INDEX('Policy Characteristics'!K:K,MATCH($C1941,'Policy Characteristics'!$C:$C,0)))</f>
        <v>io-model.html</v>
      </c>
      <c r="R1941" s="254" t="str">
        <f>IF(ISBLANK(INDEX('Policy Characteristics'!L:L,MATCH($C1941,'Policy Characteristics'!$C:$C,0))),"",INDEX('Policy Characteristics'!L:L,MATCH($C1941,'Policy Characteristics'!$C:$C,0)))</f>
        <v/>
      </c>
    </row>
    <row r="1942" spans="1:18" x14ac:dyDescent="0.3">
      <c r="A1942" s="254" t="str">
        <f>IF(ISBLANK(INDEX('Policy Characteristics'!A:A,MATCH($C1942,'Policy Characteristics'!$C:$C,0))),"",INDEX('Policy Characteristics'!A:A,MATCH($C1942,'Policy Characteristics'!$C:$C,0)))</f>
        <v>Government Revenue Accounting</v>
      </c>
      <c r="B1942" s="262" t="str">
        <f>IF(ISBLANK(INDEX('Policy Characteristics'!B:B,MATCH($C1942,'Policy Characteristics'!$C:$C,0))),"",INDEX('Policy Characteristics'!B:B,MATCH($C1942,'Policy Characteristics'!$C:$C,0)))</f>
        <v>Electricity Capacity Construction Subsidy</v>
      </c>
      <c r="C1942" s="254" t="str">
        <f t="shared" ref="C1942:C1945" si="87">C$1941</f>
        <v>GRA for Electricity Capacity Construction Subsidies</v>
      </c>
      <c r="D1942" s="1" t="s">
        <v>2960</v>
      </c>
      <c r="F1942" s="1" t="s">
        <v>2975</v>
      </c>
      <c r="H1942" s="43">
        <v>566</v>
      </c>
      <c r="I1942" s="326" t="str">
        <f t="shared" ref="I1942:I1945" si="88">I$1941</f>
        <v>Yes</v>
      </c>
      <c r="J1942" s="255" t="str">
        <f>IF(ISBLANK(INDEX('Policy Characteristics'!D:D,MATCH($C1942,'Policy Characteristics'!$C:$C,0))),"",INDEX('Policy Characteristics'!D:D,MATCH($C1942,'Policy Characteristics'!$C:$C,0)))</f>
        <v/>
      </c>
      <c r="K1942" s="254" t="str">
        <f>IF(ISBLANK(INDEX('Policy Characteristics'!E:E,MATCH($C1942,'Policy Characteristics'!$C:$C,0))),"",INDEX('Policy Characteristics'!E:E,MATCH($C1942,'Policy Characteristics'!$C:$C,0)))</f>
        <v>GRA elec cap const subsidy</v>
      </c>
      <c r="L1942" s="254">
        <f>IF(ISBLANK(INDEX('Policy Characteristics'!F:F,MATCH($C1942,'Policy Characteristics'!$C:$C,0))),"",INDEX('Policy Characteristics'!F:F,MATCH($C1942,'Policy Characteristics'!$C:$C,0)))</f>
        <v>0</v>
      </c>
      <c r="M1942" s="254">
        <f>IF(ISBLANK(INDEX('Policy Characteristics'!G:G,MATCH($C1942,'Policy Characteristics'!$C:$C,0))),"",INDEX('Policy Characteristics'!G:G,MATCH($C1942,'Policy Characteristics'!$C:$C,0)))</f>
        <v>10</v>
      </c>
      <c r="N1942" s="254">
        <f>IF(ISBLANK(INDEX('Policy Characteristics'!H:H,MATCH($C1942,'Policy Characteristics'!$C:$C,0))),"",INDEX('Policy Characteristics'!H:H,MATCH($C1942,'Policy Characteristics'!$C:$C,0)))</f>
        <v>1</v>
      </c>
      <c r="O1942" s="254" t="str">
        <f>IF(ISBLANK(INDEX('Policy Characteristics'!I:I,MATCH($C1942,'Policy Characteristics'!$C:$C,0))),"",INDEX('Policy Characteristics'!I:I,MATCH($C1942,'Policy Characteristics'!$C:$C,0)))</f>
        <v>weight</v>
      </c>
      <c r="P1942" s="254" t="str">
        <f>IF(ISBLANK(INDEX('Policy Characteristics'!J:J,MATCH($C1942,'Policy Characteristics'!$C:$C,0))),"",INDEX('Policy Characteristics'!J:J,MATCH($C1942,'Policy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2" s="254" t="str">
        <f>IF(ISBLANK(INDEX('Policy Characteristics'!K:K,MATCH($C1942,'Policy Characteristics'!$C:$C,0))),"",INDEX('Policy Characteristics'!K:K,MATCH($C1942,'Policy Characteristics'!$C:$C,0)))</f>
        <v>io-model.html</v>
      </c>
      <c r="R1942" s="254" t="str">
        <f>IF(ISBLANK(INDEX('Policy Characteristics'!L:L,MATCH($C1942,'Policy Characteristics'!$C:$C,0))),"",INDEX('Policy Characteristics'!L:L,MATCH($C1942,'Policy Characteristics'!$C:$C,0)))</f>
        <v/>
      </c>
    </row>
    <row r="1943" spans="1:18" x14ac:dyDescent="0.3">
      <c r="A1943" s="254" t="str">
        <f>IF(ISBLANK(INDEX('Policy Characteristics'!A:A,MATCH($C1943,'Policy Characteristics'!$C:$C,0))),"",INDEX('Policy Characteristics'!A:A,MATCH($C1943,'Policy Characteristics'!$C:$C,0)))</f>
        <v>Government Revenue Accounting</v>
      </c>
      <c r="B1943" s="262" t="str">
        <f>IF(ISBLANK(INDEX('Policy Characteristics'!B:B,MATCH($C1943,'Policy Characteristics'!$C:$C,0))),"",INDEX('Policy Characteristics'!B:B,MATCH($C1943,'Policy Characteristics'!$C:$C,0)))</f>
        <v>Electricity Capacity Construction Subsidy</v>
      </c>
      <c r="C1943" s="254" t="str">
        <f t="shared" si="87"/>
        <v>GRA for Electricity Capacity Construction Subsidies</v>
      </c>
      <c r="D1943" s="1" t="s">
        <v>2961</v>
      </c>
      <c r="F1943" s="1" t="s">
        <v>2965</v>
      </c>
      <c r="H1943" s="43">
        <v>567</v>
      </c>
      <c r="I1943" s="326" t="str">
        <f t="shared" si="88"/>
        <v>Yes</v>
      </c>
      <c r="J1943" s="255" t="str">
        <f>IF(ISBLANK(INDEX('Policy Characteristics'!D:D,MATCH($C1943,'Policy Characteristics'!$C:$C,0))),"",INDEX('Policy Characteristics'!D:D,MATCH($C1943,'Policy Characteristics'!$C:$C,0)))</f>
        <v/>
      </c>
      <c r="K1943" s="254" t="str">
        <f>IF(ISBLANK(INDEX('Policy Characteristics'!E:E,MATCH($C1943,'Policy Characteristics'!$C:$C,0))),"",INDEX('Policy Characteristics'!E:E,MATCH($C1943,'Policy Characteristics'!$C:$C,0)))</f>
        <v>GRA elec cap const subsidy</v>
      </c>
      <c r="L1943" s="254">
        <f>IF(ISBLANK(INDEX('Policy Characteristics'!F:F,MATCH($C1943,'Policy Characteristics'!$C:$C,0))),"",INDEX('Policy Characteristics'!F:F,MATCH($C1943,'Policy Characteristics'!$C:$C,0)))</f>
        <v>0</v>
      </c>
      <c r="M1943" s="254">
        <f>IF(ISBLANK(INDEX('Policy Characteristics'!G:G,MATCH($C1943,'Policy Characteristics'!$C:$C,0))),"",INDEX('Policy Characteristics'!G:G,MATCH($C1943,'Policy Characteristics'!$C:$C,0)))</f>
        <v>10</v>
      </c>
      <c r="N1943" s="254">
        <f>IF(ISBLANK(INDEX('Policy Characteristics'!H:H,MATCH($C1943,'Policy Characteristics'!$C:$C,0))),"",INDEX('Policy Characteristics'!H:H,MATCH($C1943,'Policy Characteristics'!$C:$C,0)))</f>
        <v>1</v>
      </c>
      <c r="O1943" s="254" t="str">
        <f>IF(ISBLANK(INDEX('Policy Characteristics'!I:I,MATCH($C1943,'Policy Characteristics'!$C:$C,0))),"",INDEX('Policy Characteristics'!I:I,MATCH($C1943,'Policy Characteristics'!$C:$C,0)))</f>
        <v>weight</v>
      </c>
      <c r="P1943" s="254" t="str">
        <f>IF(ISBLANK(INDEX('Policy Characteristics'!J:J,MATCH($C1943,'Policy Characteristics'!$C:$C,0))),"",INDEX('Policy Characteristics'!J:J,MATCH($C1943,'Policy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3" s="254" t="str">
        <f>IF(ISBLANK(INDEX('Policy Characteristics'!K:K,MATCH($C1943,'Policy Characteristics'!$C:$C,0))),"",INDEX('Policy Characteristics'!K:K,MATCH($C1943,'Policy Characteristics'!$C:$C,0)))</f>
        <v>io-model.html</v>
      </c>
      <c r="R1943" s="254" t="str">
        <f>IF(ISBLANK(INDEX('Policy Characteristics'!L:L,MATCH($C1943,'Policy Characteristics'!$C:$C,0))),"",INDEX('Policy Characteristics'!L:L,MATCH($C1943,'Policy Characteristics'!$C:$C,0)))</f>
        <v/>
      </c>
    </row>
    <row r="1944" spans="1:18" x14ac:dyDescent="0.3">
      <c r="A1944" s="254" t="str">
        <f>IF(ISBLANK(INDEX('Policy Characteristics'!A:A,MATCH($C1944,'Policy Characteristics'!$C:$C,0))),"",INDEX('Policy Characteristics'!A:A,MATCH($C1944,'Policy Characteristics'!$C:$C,0)))</f>
        <v>Government Revenue Accounting</v>
      </c>
      <c r="B1944" s="262" t="str">
        <f>IF(ISBLANK(INDEX('Policy Characteristics'!B:B,MATCH($C1944,'Policy Characteristics'!$C:$C,0))),"",INDEX('Policy Characteristics'!B:B,MATCH($C1944,'Policy Characteristics'!$C:$C,0)))</f>
        <v>Electricity Capacity Construction Subsidy</v>
      </c>
      <c r="C1944" s="254" t="str">
        <f t="shared" si="87"/>
        <v>GRA for Electricity Capacity Construction Subsidies</v>
      </c>
      <c r="D1944" s="1" t="s">
        <v>2962</v>
      </c>
      <c r="F1944" s="1" t="s">
        <v>2966</v>
      </c>
      <c r="H1944" s="43">
        <v>568</v>
      </c>
      <c r="I1944" s="326" t="str">
        <f t="shared" si="88"/>
        <v>Yes</v>
      </c>
      <c r="J1944" s="255" t="str">
        <f>IF(ISBLANK(INDEX('Policy Characteristics'!D:D,MATCH($C1944,'Policy Characteristics'!$C:$C,0))),"",INDEX('Policy Characteristics'!D:D,MATCH($C1944,'Policy Characteristics'!$C:$C,0)))</f>
        <v/>
      </c>
      <c r="K1944" s="254" t="str">
        <f>IF(ISBLANK(INDEX('Policy Characteristics'!E:E,MATCH($C1944,'Policy Characteristics'!$C:$C,0))),"",INDEX('Policy Characteristics'!E:E,MATCH($C1944,'Policy Characteristics'!$C:$C,0)))</f>
        <v>GRA elec cap const subsidy</v>
      </c>
      <c r="L1944" s="254">
        <f>IF(ISBLANK(INDEX('Policy Characteristics'!F:F,MATCH($C1944,'Policy Characteristics'!$C:$C,0))),"",INDEX('Policy Characteristics'!F:F,MATCH($C1944,'Policy Characteristics'!$C:$C,0)))</f>
        <v>0</v>
      </c>
      <c r="M1944" s="254">
        <f>IF(ISBLANK(INDEX('Policy Characteristics'!G:G,MATCH($C1944,'Policy Characteristics'!$C:$C,0))),"",INDEX('Policy Characteristics'!G:G,MATCH($C1944,'Policy Characteristics'!$C:$C,0)))</f>
        <v>10</v>
      </c>
      <c r="N1944" s="254">
        <f>IF(ISBLANK(INDEX('Policy Characteristics'!H:H,MATCH($C1944,'Policy Characteristics'!$C:$C,0))),"",INDEX('Policy Characteristics'!H:H,MATCH($C1944,'Policy Characteristics'!$C:$C,0)))</f>
        <v>1</v>
      </c>
      <c r="O1944" s="254" t="str">
        <f>IF(ISBLANK(INDEX('Policy Characteristics'!I:I,MATCH($C1944,'Policy Characteristics'!$C:$C,0))),"",INDEX('Policy Characteristics'!I:I,MATCH($C1944,'Policy Characteristics'!$C:$C,0)))</f>
        <v>weight</v>
      </c>
      <c r="P1944" s="254" t="str">
        <f>IF(ISBLANK(INDEX('Policy Characteristics'!J:J,MATCH($C1944,'Policy Characteristics'!$C:$C,0))),"",INDEX('Policy Characteristics'!J:J,MATCH($C1944,'Policy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4" s="254" t="str">
        <f>IF(ISBLANK(INDEX('Policy Characteristics'!K:K,MATCH($C1944,'Policy Characteristics'!$C:$C,0))),"",INDEX('Policy Characteristics'!K:K,MATCH($C1944,'Policy Characteristics'!$C:$C,0)))</f>
        <v>io-model.html</v>
      </c>
      <c r="R1944" s="254" t="str">
        <f>IF(ISBLANK(INDEX('Policy Characteristics'!L:L,MATCH($C1944,'Policy Characteristics'!$C:$C,0))),"",INDEX('Policy Characteristics'!L:L,MATCH($C1944,'Policy Characteristics'!$C:$C,0)))</f>
        <v/>
      </c>
    </row>
    <row r="1945" spans="1:18" x14ac:dyDescent="0.3">
      <c r="A1945" s="254" t="str">
        <f>IF(ISBLANK(INDEX('Policy Characteristics'!A:A,MATCH($C1945,'Policy Characteristics'!$C:$C,0))),"",INDEX('Policy Characteristics'!A:A,MATCH($C1945,'Policy Characteristics'!$C:$C,0)))</f>
        <v>Government Revenue Accounting</v>
      </c>
      <c r="B1945" s="262" t="str">
        <f>IF(ISBLANK(INDEX('Policy Characteristics'!B:B,MATCH($C1945,'Policy Characteristics'!$C:$C,0))),"",INDEX('Policy Characteristics'!B:B,MATCH($C1945,'Policy Characteristics'!$C:$C,0)))</f>
        <v>Electricity Capacity Construction Subsidy</v>
      </c>
      <c r="C1945" s="254" t="str">
        <f t="shared" si="87"/>
        <v>GRA for Electricity Capacity Construction Subsidies</v>
      </c>
      <c r="D1945" s="1" t="s">
        <v>2963</v>
      </c>
      <c r="F1945" s="1" t="s">
        <v>2967</v>
      </c>
      <c r="H1945" s="43">
        <v>569</v>
      </c>
      <c r="I1945" s="326" t="str">
        <f t="shared" si="88"/>
        <v>Yes</v>
      </c>
      <c r="J1945" s="255" t="str">
        <f>IF(ISBLANK(INDEX('Policy Characteristics'!D:D,MATCH($C1945,'Policy Characteristics'!$C:$C,0))),"",INDEX('Policy Characteristics'!D:D,MATCH($C1945,'Policy Characteristics'!$C:$C,0)))</f>
        <v/>
      </c>
      <c r="K1945" s="254" t="str">
        <f>IF(ISBLANK(INDEX('Policy Characteristics'!E:E,MATCH($C1945,'Policy Characteristics'!$C:$C,0))),"",INDEX('Policy Characteristics'!E:E,MATCH($C1945,'Policy Characteristics'!$C:$C,0)))</f>
        <v>GRA elec cap const subsidy</v>
      </c>
      <c r="L1945" s="254">
        <f>IF(ISBLANK(INDEX('Policy Characteristics'!F:F,MATCH($C1945,'Policy Characteristics'!$C:$C,0))),"",INDEX('Policy Characteristics'!F:F,MATCH($C1945,'Policy Characteristics'!$C:$C,0)))</f>
        <v>0</v>
      </c>
      <c r="M1945" s="254">
        <f>IF(ISBLANK(INDEX('Policy Characteristics'!G:G,MATCH($C1945,'Policy Characteristics'!$C:$C,0))),"",INDEX('Policy Characteristics'!G:G,MATCH($C1945,'Policy Characteristics'!$C:$C,0)))</f>
        <v>10</v>
      </c>
      <c r="N1945" s="254">
        <f>IF(ISBLANK(INDEX('Policy Characteristics'!H:H,MATCH($C1945,'Policy Characteristics'!$C:$C,0))),"",INDEX('Policy Characteristics'!H:H,MATCH($C1945,'Policy Characteristics'!$C:$C,0)))</f>
        <v>1</v>
      </c>
      <c r="O1945" s="254" t="str">
        <f>IF(ISBLANK(INDEX('Policy Characteristics'!I:I,MATCH($C1945,'Policy Characteristics'!$C:$C,0))),"",INDEX('Policy Characteristics'!I:I,MATCH($C1945,'Policy Characteristics'!$C:$C,0)))</f>
        <v>weight</v>
      </c>
      <c r="P1945" s="254" t="str">
        <f>IF(ISBLANK(INDEX('Policy Characteristics'!J:J,MATCH($C1945,'Policy Characteristics'!$C:$C,0))),"",INDEX('Policy Characteristics'!J:J,MATCH($C1945,'Policy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5" s="254" t="str">
        <f>IF(ISBLANK(INDEX('Policy Characteristics'!K:K,MATCH($C1945,'Policy Characteristics'!$C:$C,0))),"",INDEX('Policy Characteristics'!K:K,MATCH($C1945,'Policy Characteristics'!$C:$C,0)))</f>
        <v>io-model.html</v>
      </c>
      <c r="R1945" s="254" t="str">
        <f>IF(ISBLANK(INDEX('Policy Characteristics'!L:L,MATCH($C1945,'Policy Characteristics'!$C:$C,0))),"",INDEX('Policy Characteristics'!L:L,MATCH($C1945,'Policy Characteristics'!$C:$C,0)))</f>
        <v/>
      </c>
    </row>
    <row r="1946" spans="1:18" x14ac:dyDescent="0.3">
      <c r="A1946" s="254" t="str">
        <f>IF(ISBLANK(INDEX('Policy Characteristics'!A:A,MATCH($C1946,'Policy Characteristics'!$C:$C,0))),"",INDEX('Policy Characteristics'!A:A,MATCH($C1946,'Policy Characteristics'!$C:$C,0)))</f>
        <v>Government Revenue Accounting</v>
      </c>
      <c r="B1946" s="262" t="str">
        <f>IF(ISBLANK(INDEX('Policy Characteristics'!B:B,MATCH($C1946,'Policy Characteristics'!$C:$C,0))),"",INDEX('Policy Characteristics'!B:B,MATCH($C1946,'Policy Characteristics'!$C:$C,0)))</f>
        <v>Distributed Solar Subsidy</v>
      </c>
      <c r="C1946" t="s">
        <v>2955</v>
      </c>
      <c r="D1946" s="1" t="s">
        <v>2959</v>
      </c>
      <c r="F1946" s="1" t="s">
        <v>2964</v>
      </c>
      <c r="H1946" s="43">
        <v>570</v>
      </c>
      <c r="I1946" s="322" t="s">
        <v>43</v>
      </c>
      <c r="J1946" s="255" t="str">
        <f>IF(ISBLANK(INDEX('Policy Characteristics'!D:D,MATCH($C1946,'Policy Characteristics'!$C:$C,0))),"",INDEX('Policy Characteristics'!D:D,MATCH($C1946,'Policy Characteristics'!$C:$C,0)))</f>
        <v/>
      </c>
      <c r="K1946" s="254" t="str">
        <f>IF(ISBLANK(INDEX('Policy Characteristics'!E:E,MATCH($C1946,'Policy Characteristics'!$C:$C,0))),"",INDEX('Policy Characteristics'!E:E,MATCH($C1946,'Policy Characteristics'!$C:$C,0)))</f>
        <v>GRA dist solar subsidy</v>
      </c>
      <c r="L1946" s="254">
        <f>IF(ISBLANK(INDEX('Policy Characteristics'!F:F,MATCH($C1946,'Policy Characteristics'!$C:$C,0))),"",INDEX('Policy Characteristics'!F:F,MATCH($C1946,'Policy Characteristics'!$C:$C,0)))</f>
        <v>0</v>
      </c>
      <c r="M1946" s="254">
        <f>IF(ISBLANK(INDEX('Policy Characteristics'!G:G,MATCH($C1946,'Policy Characteristics'!$C:$C,0))),"",INDEX('Policy Characteristics'!G:G,MATCH($C1946,'Policy Characteristics'!$C:$C,0)))</f>
        <v>10</v>
      </c>
      <c r="N1946" s="254">
        <f>IF(ISBLANK(INDEX('Policy Characteristics'!H:H,MATCH($C1946,'Policy Characteristics'!$C:$C,0))),"",INDEX('Policy Characteristics'!H:H,MATCH($C1946,'Policy Characteristics'!$C:$C,0)))</f>
        <v>1</v>
      </c>
      <c r="O1946" s="254" t="str">
        <f>IF(ISBLANK(INDEX('Policy Characteristics'!I:I,MATCH($C1946,'Policy Characteristics'!$C:$C,0))),"",INDEX('Policy Characteristics'!I:I,MATCH($C1946,'Policy Characteristics'!$C:$C,0)))</f>
        <v>weight</v>
      </c>
      <c r="P1946" s="254" t="str">
        <f>IF(ISBLANK(INDEX('Policy Characteristics'!J:J,MATCH($C1946,'Policy Characteristics'!$C:$C,0))),"",INDEX('Policy Characteristics'!J:J,MATCH($C1946,'Policy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6" s="254" t="str">
        <f>IF(ISBLANK(INDEX('Policy Characteristics'!K:K,MATCH($C1946,'Policy Characteristics'!$C:$C,0))),"",INDEX('Policy Characteristics'!K:K,MATCH($C1946,'Policy Characteristics'!$C:$C,0)))</f>
        <v>io-model.html</v>
      </c>
      <c r="R1946" s="254" t="str">
        <f>IF(ISBLANK(INDEX('Policy Characteristics'!L:L,MATCH($C1946,'Policy Characteristics'!$C:$C,0))),"",INDEX('Policy Characteristics'!L:L,MATCH($C1946,'Policy Characteristics'!$C:$C,0)))</f>
        <v/>
      </c>
    </row>
    <row r="1947" spans="1:18" x14ac:dyDescent="0.3">
      <c r="A1947" s="254" t="str">
        <f>IF(ISBLANK(INDEX('Policy Characteristics'!A:A,MATCH($C1947,'Policy Characteristics'!$C:$C,0))),"",INDEX('Policy Characteristics'!A:A,MATCH($C1947,'Policy Characteristics'!$C:$C,0)))</f>
        <v>Government Revenue Accounting</v>
      </c>
      <c r="B1947" s="262" t="str">
        <f>IF(ISBLANK(INDEX('Policy Characteristics'!B:B,MATCH($C1947,'Policy Characteristics'!$C:$C,0))),"",INDEX('Policy Characteristics'!B:B,MATCH($C1947,'Policy Characteristics'!$C:$C,0)))</f>
        <v>Distributed Solar Subsidy</v>
      </c>
      <c r="C1947" s="254" t="str">
        <f t="shared" ref="C1947:C1950" si="89">C$1946</f>
        <v>GRA for Distributed Solar Subsidy</v>
      </c>
      <c r="D1947" s="1" t="s">
        <v>2960</v>
      </c>
      <c r="F1947" s="1" t="s">
        <v>2975</v>
      </c>
      <c r="H1947" s="43">
        <v>571</v>
      </c>
      <c r="I1947" s="326" t="str">
        <f t="shared" ref="I1947:I1950" si="90">I$1946</f>
        <v>Yes</v>
      </c>
      <c r="J1947" s="255" t="str">
        <f>IF(ISBLANK(INDEX('Policy Characteristics'!D:D,MATCH($C1947,'Policy Characteristics'!$C:$C,0))),"",INDEX('Policy Characteristics'!D:D,MATCH($C1947,'Policy Characteristics'!$C:$C,0)))</f>
        <v/>
      </c>
      <c r="K1947" s="254" t="str">
        <f>IF(ISBLANK(INDEX('Policy Characteristics'!E:E,MATCH($C1947,'Policy Characteristics'!$C:$C,0))),"",INDEX('Policy Characteristics'!E:E,MATCH($C1947,'Policy Characteristics'!$C:$C,0)))</f>
        <v>GRA dist solar subsidy</v>
      </c>
      <c r="L1947" s="254">
        <f>IF(ISBLANK(INDEX('Policy Characteristics'!F:F,MATCH($C1947,'Policy Characteristics'!$C:$C,0))),"",INDEX('Policy Characteristics'!F:F,MATCH($C1947,'Policy Characteristics'!$C:$C,0)))</f>
        <v>0</v>
      </c>
      <c r="M1947" s="254">
        <f>IF(ISBLANK(INDEX('Policy Characteristics'!G:G,MATCH($C1947,'Policy Characteristics'!$C:$C,0))),"",INDEX('Policy Characteristics'!G:G,MATCH($C1947,'Policy Characteristics'!$C:$C,0)))</f>
        <v>10</v>
      </c>
      <c r="N1947" s="254">
        <f>IF(ISBLANK(INDEX('Policy Characteristics'!H:H,MATCH($C1947,'Policy Characteristics'!$C:$C,0))),"",INDEX('Policy Characteristics'!H:H,MATCH($C1947,'Policy Characteristics'!$C:$C,0)))</f>
        <v>1</v>
      </c>
      <c r="O1947" s="254" t="str">
        <f>IF(ISBLANK(INDEX('Policy Characteristics'!I:I,MATCH($C1947,'Policy Characteristics'!$C:$C,0))),"",INDEX('Policy Characteristics'!I:I,MATCH($C1947,'Policy Characteristics'!$C:$C,0)))</f>
        <v>weight</v>
      </c>
      <c r="P1947" s="254" t="str">
        <f>IF(ISBLANK(INDEX('Policy Characteristics'!J:J,MATCH($C1947,'Policy Characteristics'!$C:$C,0))),"",INDEX('Policy Characteristics'!J:J,MATCH($C1947,'Policy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7" s="254" t="str">
        <f>IF(ISBLANK(INDEX('Policy Characteristics'!K:K,MATCH($C1947,'Policy Characteristics'!$C:$C,0))),"",INDEX('Policy Characteristics'!K:K,MATCH($C1947,'Policy Characteristics'!$C:$C,0)))</f>
        <v>io-model.html</v>
      </c>
      <c r="R1947" s="254" t="str">
        <f>IF(ISBLANK(INDEX('Policy Characteristics'!L:L,MATCH($C1947,'Policy Characteristics'!$C:$C,0))),"",INDEX('Policy Characteristics'!L:L,MATCH($C1947,'Policy Characteristics'!$C:$C,0)))</f>
        <v/>
      </c>
    </row>
    <row r="1948" spans="1:18" x14ac:dyDescent="0.3">
      <c r="A1948" s="254" t="str">
        <f>IF(ISBLANK(INDEX('Policy Characteristics'!A:A,MATCH($C1948,'Policy Characteristics'!$C:$C,0))),"",INDEX('Policy Characteristics'!A:A,MATCH($C1948,'Policy Characteristics'!$C:$C,0)))</f>
        <v>Government Revenue Accounting</v>
      </c>
      <c r="B1948" s="262" t="str">
        <f>IF(ISBLANK(INDEX('Policy Characteristics'!B:B,MATCH($C1948,'Policy Characteristics'!$C:$C,0))),"",INDEX('Policy Characteristics'!B:B,MATCH($C1948,'Policy Characteristics'!$C:$C,0)))</f>
        <v>Distributed Solar Subsidy</v>
      </c>
      <c r="C1948" s="254" t="str">
        <f t="shared" si="89"/>
        <v>GRA for Distributed Solar Subsidy</v>
      </c>
      <c r="D1948" s="1" t="s">
        <v>2961</v>
      </c>
      <c r="F1948" s="1" t="s">
        <v>2965</v>
      </c>
      <c r="H1948" s="43">
        <v>572</v>
      </c>
      <c r="I1948" s="326" t="str">
        <f t="shared" si="90"/>
        <v>Yes</v>
      </c>
      <c r="J1948" s="255" t="str">
        <f>IF(ISBLANK(INDEX('Policy Characteristics'!D:D,MATCH($C1948,'Policy Characteristics'!$C:$C,0))),"",INDEX('Policy Characteristics'!D:D,MATCH($C1948,'Policy Characteristics'!$C:$C,0)))</f>
        <v/>
      </c>
      <c r="K1948" s="254" t="str">
        <f>IF(ISBLANK(INDEX('Policy Characteristics'!E:E,MATCH($C1948,'Policy Characteristics'!$C:$C,0))),"",INDEX('Policy Characteristics'!E:E,MATCH($C1948,'Policy Characteristics'!$C:$C,0)))</f>
        <v>GRA dist solar subsidy</v>
      </c>
      <c r="L1948" s="254">
        <f>IF(ISBLANK(INDEX('Policy Characteristics'!F:F,MATCH($C1948,'Policy Characteristics'!$C:$C,0))),"",INDEX('Policy Characteristics'!F:F,MATCH($C1948,'Policy Characteristics'!$C:$C,0)))</f>
        <v>0</v>
      </c>
      <c r="M1948" s="254">
        <f>IF(ISBLANK(INDEX('Policy Characteristics'!G:G,MATCH($C1948,'Policy Characteristics'!$C:$C,0))),"",INDEX('Policy Characteristics'!G:G,MATCH($C1948,'Policy Characteristics'!$C:$C,0)))</f>
        <v>10</v>
      </c>
      <c r="N1948" s="254">
        <f>IF(ISBLANK(INDEX('Policy Characteristics'!H:H,MATCH($C1948,'Policy Characteristics'!$C:$C,0))),"",INDEX('Policy Characteristics'!H:H,MATCH($C1948,'Policy Characteristics'!$C:$C,0)))</f>
        <v>1</v>
      </c>
      <c r="O1948" s="254" t="str">
        <f>IF(ISBLANK(INDEX('Policy Characteristics'!I:I,MATCH($C1948,'Policy Characteristics'!$C:$C,0))),"",INDEX('Policy Characteristics'!I:I,MATCH($C1948,'Policy Characteristics'!$C:$C,0)))</f>
        <v>weight</v>
      </c>
      <c r="P1948" s="254" t="str">
        <f>IF(ISBLANK(INDEX('Policy Characteristics'!J:J,MATCH($C1948,'Policy Characteristics'!$C:$C,0))),"",INDEX('Policy Characteristics'!J:J,MATCH($C1948,'Policy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8" s="254" t="str">
        <f>IF(ISBLANK(INDEX('Policy Characteristics'!K:K,MATCH($C1948,'Policy Characteristics'!$C:$C,0))),"",INDEX('Policy Characteristics'!K:K,MATCH($C1948,'Policy Characteristics'!$C:$C,0)))</f>
        <v>io-model.html</v>
      </c>
      <c r="R1948" s="254" t="str">
        <f>IF(ISBLANK(INDEX('Policy Characteristics'!L:L,MATCH($C1948,'Policy Characteristics'!$C:$C,0))),"",INDEX('Policy Characteristics'!L:L,MATCH($C1948,'Policy Characteristics'!$C:$C,0)))</f>
        <v/>
      </c>
    </row>
    <row r="1949" spans="1:18" x14ac:dyDescent="0.3">
      <c r="A1949" s="254" t="str">
        <f>IF(ISBLANK(INDEX('Policy Characteristics'!A:A,MATCH($C1949,'Policy Characteristics'!$C:$C,0))),"",INDEX('Policy Characteristics'!A:A,MATCH($C1949,'Policy Characteristics'!$C:$C,0)))</f>
        <v>Government Revenue Accounting</v>
      </c>
      <c r="B1949" s="262" t="str">
        <f>IF(ISBLANK(INDEX('Policy Characteristics'!B:B,MATCH($C1949,'Policy Characteristics'!$C:$C,0))),"",INDEX('Policy Characteristics'!B:B,MATCH($C1949,'Policy Characteristics'!$C:$C,0)))</f>
        <v>Distributed Solar Subsidy</v>
      </c>
      <c r="C1949" s="254" t="str">
        <f t="shared" si="89"/>
        <v>GRA for Distributed Solar Subsidy</v>
      </c>
      <c r="D1949" s="1" t="s">
        <v>2962</v>
      </c>
      <c r="F1949" s="1" t="s">
        <v>2966</v>
      </c>
      <c r="H1949" s="43">
        <v>573</v>
      </c>
      <c r="I1949" s="326" t="str">
        <f t="shared" si="90"/>
        <v>Yes</v>
      </c>
      <c r="J1949" s="255" t="str">
        <f>IF(ISBLANK(INDEX('Policy Characteristics'!D:D,MATCH($C1949,'Policy Characteristics'!$C:$C,0))),"",INDEX('Policy Characteristics'!D:D,MATCH($C1949,'Policy Characteristics'!$C:$C,0)))</f>
        <v/>
      </c>
      <c r="K1949" s="254" t="str">
        <f>IF(ISBLANK(INDEX('Policy Characteristics'!E:E,MATCH($C1949,'Policy Characteristics'!$C:$C,0))),"",INDEX('Policy Characteristics'!E:E,MATCH($C1949,'Policy Characteristics'!$C:$C,0)))</f>
        <v>GRA dist solar subsidy</v>
      </c>
      <c r="L1949" s="254">
        <f>IF(ISBLANK(INDEX('Policy Characteristics'!F:F,MATCH($C1949,'Policy Characteristics'!$C:$C,0))),"",INDEX('Policy Characteristics'!F:F,MATCH($C1949,'Policy Characteristics'!$C:$C,0)))</f>
        <v>0</v>
      </c>
      <c r="M1949" s="254">
        <f>IF(ISBLANK(INDEX('Policy Characteristics'!G:G,MATCH($C1949,'Policy Characteristics'!$C:$C,0))),"",INDEX('Policy Characteristics'!G:G,MATCH($C1949,'Policy Characteristics'!$C:$C,0)))</f>
        <v>10</v>
      </c>
      <c r="N1949" s="254">
        <f>IF(ISBLANK(INDEX('Policy Characteristics'!H:H,MATCH($C1949,'Policy Characteristics'!$C:$C,0))),"",INDEX('Policy Characteristics'!H:H,MATCH($C1949,'Policy Characteristics'!$C:$C,0)))</f>
        <v>1</v>
      </c>
      <c r="O1949" s="254" t="str">
        <f>IF(ISBLANK(INDEX('Policy Characteristics'!I:I,MATCH($C1949,'Policy Characteristics'!$C:$C,0))),"",INDEX('Policy Characteristics'!I:I,MATCH($C1949,'Policy Characteristics'!$C:$C,0)))</f>
        <v>weight</v>
      </c>
      <c r="P1949" s="254" t="str">
        <f>IF(ISBLANK(INDEX('Policy Characteristics'!J:J,MATCH($C1949,'Policy Characteristics'!$C:$C,0))),"",INDEX('Policy Characteristics'!J:J,MATCH($C1949,'Policy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49" s="254" t="str">
        <f>IF(ISBLANK(INDEX('Policy Characteristics'!K:K,MATCH($C1949,'Policy Characteristics'!$C:$C,0))),"",INDEX('Policy Characteristics'!K:K,MATCH($C1949,'Policy Characteristics'!$C:$C,0)))</f>
        <v>io-model.html</v>
      </c>
      <c r="R1949" s="254" t="str">
        <f>IF(ISBLANK(INDEX('Policy Characteristics'!L:L,MATCH($C1949,'Policy Characteristics'!$C:$C,0))),"",INDEX('Policy Characteristics'!L:L,MATCH($C1949,'Policy Characteristics'!$C:$C,0)))</f>
        <v/>
      </c>
    </row>
    <row r="1950" spans="1:18" x14ac:dyDescent="0.3">
      <c r="A1950" s="254" t="str">
        <f>IF(ISBLANK(INDEX('Policy Characteristics'!A:A,MATCH($C1950,'Policy Characteristics'!$C:$C,0))),"",INDEX('Policy Characteristics'!A:A,MATCH($C1950,'Policy Characteristics'!$C:$C,0)))</f>
        <v>Government Revenue Accounting</v>
      </c>
      <c r="B1950" s="262" t="str">
        <f>IF(ISBLANK(INDEX('Policy Characteristics'!B:B,MATCH($C1950,'Policy Characteristics'!$C:$C,0))),"",INDEX('Policy Characteristics'!B:B,MATCH($C1950,'Policy Characteristics'!$C:$C,0)))</f>
        <v>Distributed Solar Subsidy</v>
      </c>
      <c r="C1950" s="254" t="str">
        <f t="shared" si="89"/>
        <v>GRA for Distributed Solar Subsidy</v>
      </c>
      <c r="D1950" s="1" t="s">
        <v>2963</v>
      </c>
      <c r="F1950" s="1" t="s">
        <v>2967</v>
      </c>
      <c r="H1950" s="43">
        <v>574</v>
      </c>
      <c r="I1950" s="326" t="str">
        <f t="shared" si="90"/>
        <v>Yes</v>
      </c>
      <c r="J1950" s="255" t="str">
        <f>IF(ISBLANK(INDEX('Policy Characteristics'!D:D,MATCH($C1950,'Policy Characteristics'!$C:$C,0))),"",INDEX('Policy Characteristics'!D:D,MATCH($C1950,'Policy Characteristics'!$C:$C,0)))</f>
        <v/>
      </c>
      <c r="K1950" s="254" t="str">
        <f>IF(ISBLANK(INDEX('Policy Characteristics'!E:E,MATCH($C1950,'Policy Characteristics'!$C:$C,0))),"",INDEX('Policy Characteristics'!E:E,MATCH($C1950,'Policy Characteristics'!$C:$C,0)))</f>
        <v>GRA dist solar subsidy</v>
      </c>
      <c r="L1950" s="254">
        <f>IF(ISBLANK(INDEX('Policy Characteristics'!F:F,MATCH($C1950,'Policy Characteristics'!$C:$C,0))),"",INDEX('Policy Characteristics'!F:F,MATCH($C1950,'Policy Characteristics'!$C:$C,0)))</f>
        <v>0</v>
      </c>
      <c r="M1950" s="254">
        <f>IF(ISBLANK(INDEX('Policy Characteristics'!G:G,MATCH($C1950,'Policy Characteristics'!$C:$C,0))),"",INDEX('Policy Characteristics'!G:G,MATCH($C1950,'Policy Characteristics'!$C:$C,0)))</f>
        <v>10</v>
      </c>
      <c r="N1950" s="254">
        <f>IF(ISBLANK(INDEX('Policy Characteristics'!H:H,MATCH($C1950,'Policy Characteristics'!$C:$C,0))),"",INDEX('Policy Characteristics'!H:H,MATCH($C1950,'Policy Characteristics'!$C:$C,0)))</f>
        <v>1</v>
      </c>
      <c r="O1950" s="254" t="str">
        <f>IF(ISBLANK(INDEX('Policy Characteristics'!I:I,MATCH($C1950,'Policy Characteristics'!$C:$C,0))),"",INDEX('Policy Characteristics'!I:I,MATCH($C1950,'Policy Characteristics'!$C:$C,0)))</f>
        <v>weight</v>
      </c>
      <c r="P1950" s="254" t="str">
        <f>IF(ISBLANK(INDEX('Policy Characteristics'!J:J,MATCH($C1950,'Policy Characteristics'!$C:$C,0))),"",INDEX('Policy Characteristics'!J:J,MATCH($C1950,'Policy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0" s="254" t="str">
        <f>IF(ISBLANK(INDEX('Policy Characteristics'!K:K,MATCH($C1950,'Policy Characteristics'!$C:$C,0))),"",INDEX('Policy Characteristics'!K:K,MATCH($C1950,'Policy Characteristics'!$C:$C,0)))</f>
        <v>io-model.html</v>
      </c>
      <c r="R1950" s="254" t="str">
        <f>IF(ISBLANK(INDEX('Policy Characteristics'!L:L,MATCH($C1950,'Policy Characteristics'!$C:$C,0))),"",INDEX('Policy Characteristics'!L:L,MATCH($C1950,'Policy Characteristics'!$C:$C,0)))</f>
        <v/>
      </c>
    </row>
    <row r="1951" spans="1:18" x14ac:dyDescent="0.3">
      <c r="A1951" s="254" t="str">
        <f>IF(ISBLANK(INDEX('Policy Characteristics'!A:A,MATCH($C1951,'Policy Characteristics'!$C:$C,0))),"",INDEX('Policy Characteristics'!A:A,MATCH($C1951,'Policy Characteristics'!$C:$C,0)))</f>
        <v>Government Revenue Accounting</v>
      </c>
      <c r="B1951" s="262" t="str">
        <f>IF(ISBLANK(INDEX('Policy Characteristics'!B:B,MATCH($C1951,'Policy Characteristics'!$C:$C,0))),"",INDEX('Policy Characteristics'!B:B,MATCH($C1951,'Policy Characteristics'!$C:$C,0)))</f>
        <v>Fuel Subsidy</v>
      </c>
      <c r="C1951" t="s">
        <v>2956</v>
      </c>
      <c r="D1951" s="1" t="s">
        <v>2959</v>
      </c>
      <c r="F1951" s="1" t="s">
        <v>2964</v>
      </c>
      <c r="H1951" s="43">
        <v>575</v>
      </c>
      <c r="I1951" s="322" t="s">
        <v>43</v>
      </c>
      <c r="J1951" s="255" t="str">
        <f>IF(ISBLANK(INDEX('Policy Characteristics'!D:D,MATCH($C1951,'Policy Characteristics'!$C:$C,0))),"",INDEX('Policy Characteristics'!D:D,MATCH($C1951,'Policy Characteristics'!$C:$C,0)))</f>
        <v/>
      </c>
      <c r="K1951" s="254" t="str">
        <f>IF(ISBLANK(INDEX('Policy Characteristics'!E:E,MATCH($C1951,'Policy Characteristics'!$C:$C,0))),"",INDEX('Policy Characteristics'!E:E,MATCH($C1951,'Policy Characteristics'!$C:$C,0)))</f>
        <v>GRA fuel subsidy</v>
      </c>
      <c r="L1951" s="254">
        <f>IF(ISBLANK(INDEX('Policy Characteristics'!F:F,MATCH($C1951,'Policy Characteristics'!$C:$C,0))),"",INDEX('Policy Characteristics'!F:F,MATCH($C1951,'Policy Characteristics'!$C:$C,0)))</f>
        <v>0</v>
      </c>
      <c r="M1951" s="254">
        <f>IF(ISBLANK(INDEX('Policy Characteristics'!G:G,MATCH($C1951,'Policy Characteristics'!$C:$C,0))),"",INDEX('Policy Characteristics'!G:G,MATCH($C1951,'Policy Characteristics'!$C:$C,0)))</f>
        <v>10</v>
      </c>
      <c r="N1951" s="254">
        <f>IF(ISBLANK(INDEX('Policy Characteristics'!H:H,MATCH($C1951,'Policy Characteristics'!$C:$C,0))),"",INDEX('Policy Characteristics'!H:H,MATCH($C1951,'Policy Characteristics'!$C:$C,0)))</f>
        <v>1</v>
      </c>
      <c r="O1951" s="254" t="str">
        <f>IF(ISBLANK(INDEX('Policy Characteristics'!I:I,MATCH($C1951,'Policy Characteristics'!$C:$C,0))),"",INDEX('Policy Characteristics'!I:I,MATCH($C1951,'Policy Characteristics'!$C:$C,0)))</f>
        <v>weight</v>
      </c>
      <c r="P1951" s="254" t="str">
        <f>IF(ISBLANK(INDEX('Policy Characteristics'!J:J,MATCH($C1951,'Policy Characteristics'!$C:$C,0))),"",INDEX('Policy Characteristics'!J:J,MATCH($C1951,'Policy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1" s="254" t="str">
        <f>IF(ISBLANK(INDEX('Policy Characteristics'!K:K,MATCH($C1951,'Policy Characteristics'!$C:$C,0))),"",INDEX('Policy Characteristics'!K:K,MATCH($C1951,'Policy Characteristics'!$C:$C,0)))</f>
        <v>io-model.html</v>
      </c>
      <c r="R1951" s="254" t="str">
        <f>IF(ISBLANK(INDEX('Policy Characteristics'!L:L,MATCH($C1951,'Policy Characteristics'!$C:$C,0))),"",INDEX('Policy Characteristics'!L:L,MATCH($C1951,'Policy Characteristics'!$C:$C,0)))</f>
        <v/>
      </c>
    </row>
    <row r="1952" spans="1:18" x14ac:dyDescent="0.3">
      <c r="A1952" s="254" t="str">
        <f>IF(ISBLANK(INDEX('Policy Characteristics'!A:A,MATCH($C1952,'Policy Characteristics'!$C:$C,0))),"",INDEX('Policy Characteristics'!A:A,MATCH($C1952,'Policy Characteristics'!$C:$C,0)))</f>
        <v>Government Revenue Accounting</v>
      </c>
      <c r="B1952" s="262" t="str">
        <f>IF(ISBLANK(INDEX('Policy Characteristics'!B:B,MATCH($C1952,'Policy Characteristics'!$C:$C,0))),"",INDEX('Policy Characteristics'!B:B,MATCH($C1952,'Policy Characteristics'!$C:$C,0)))</f>
        <v>Fuel Subsidy</v>
      </c>
      <c r="C1952" s="254" t="str">
        <f t="shared" ref="C1952:C1955" si="91">C$1951</f>
        <v>GRA for Fuel Subsidies</v>
      </c>
      <c r="D1952" s="1" t="s">
        <v>2960</v>
      </c>
      <c r="F1952" s="1" t="s">
        <v>2975</v>
      </c>
      <c r="H1952" s="43">
        <v>576</v>
      </c>
      <c r="I1952" s="326" t="str">
        <f t="shared" ref="I1952:I1960" si="92">I$1951</f>
        <v>Yes</v>
      </c>
      <c r="J1952" s="255" t="str">
        <f>IF(ISBLANK(INDEX('Policy Characteristics'!D:D,MATCH($C1952,'Policy Characteristics'!$C:$C,0))),"",INDEX('Policy Characteristics'!D:D,MATCH($C1952,'Policy Characteristics'!$C:$C,0)))</f>
        <v/>
      </c>
      <c r="K1952" s="254" t="str">
        <f>IF(ISBLANK(INDEX('Policy Characteristics'!E:E,MATCH($C1952,'Policy Characteristics'!$C:$C,0))),"",INDEX('Policy Characteristics'!E:E,MATCH($C1952,'Policy Characteristics'!$C:$C,0)))</f>
        <v>GRA fuel subsidy</v>
      </c>
      <c r="L1952" s="254">
        <f>IF(ISBLANK(INDEX('Policy Characteristics'!F:F,MATCH($C1952,'Policy Characteristics'!$C:$C,0))),"",INDEX('Policy Characteristics'!F:F,MATCH($C1952,'Policy Characteristics'!$C:$C,0)))</f>
        <v>0</v>
      </c>
      <c r="M1952" s="254">
        <f>IF(ISBLANK(INDEX('Policy Characteristics'!G:G,MATCH($C1952,'Policy Characteristics'!$C:$C,0))),"",INDEX('Policy Characteristics'!G:G,MATCH($C1952,'Policy Characteristics'!$C:$C,0)))</f>
        <v>10</v>
      </c>
      <c r="N1952" s="254">
        <f>IF(ISBLANK(INDEX('Policy Characteristics'!H:H,MATCH($C1952,'Policy Characteristics'!$C:$C,0))),"",INDEX('Policy Characteristics'!H:H,MATCH($C1952,'Policy Characteristics'!$C:$C,0)))</f>
        <v>1</v>
      </c>
      <c r="O1952" s="254" t="str">
        <f>IF(ISBLANK(INDEX('Policy Characteristics'!I:I,MATCH($C1952,'Policy Characteristics'!$C:$C,0))),"",INDEX('Policy Characteristics'!I:I,MATCH($C1952,'Policy Characteristics'!$C:$C,0)))</f>
        <v>weight</v>
      </c>
      <c r="P1952" s="254" t="str">
        <f>IF(ISBLANK(INDEX('Policy Characteristics'!J:J,MATCH($C1952,'Policy Characteristics'!$C:$C,0))),"",INDEX('Policy Characteristics'!J:J,MATCH($C1952,'Policy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2" s="254" t="str">
        <f>IF(ISBLANK(INDEX('Policy Characteristics'!K:K,MATCH($C1952,'Policy Characteristics'!$C:$C,0))),"",INDEX('Policy Characteristics'!K:K,MATCH($C1952,'Policy Characteristics'!$C:$C,0)))</f>
        <v>io-model.html</v>
      </c>
      <c r="R1952" s="254" t="str">
        <f>IF(ISBLANK(INDEX('Policy Characteristics'!L:L,MATCH($C1952,'Policy Characteristics'!$C:$C,0))),"",INDEX('Policy Characteristics'!L:L,MATCH($C1952,'Policy Characteristics'!$C:$C,0)))</f>
        <v/>
      </c>
    </row>
    <row r="1953" spans="1:18" x14ac:dyDescent="0.3">
      <c r="A1953" s="254" t="str">
        <f>IF(ISBLANK(INDEX('Policy Characteristics'!A:A,MATCH($C1953,'Policy Characteristics'!$C:$C,0))),"",INDEX('Policy Characteristics'!A:A,MATCH($C1953,'Policy Characteristics'!$C:$C,0)))</f>
        <v>Government Revenue Accounting</v>
      </c>
      <c r="B1953" s="262" t="str">
        <f>IF(ISBLANK(INDEX('Policy Characteristics'!B:B,MATCH($C1953,'Policy Characteristics'!$C:$C,0))),"",INDEX('Policy Characteristics'!B:B,MATCH($C1953,'Policy Characteristics'!$C:$C,0)))</f>
        <v>Fuel Subsidy</v>
      </c>
      <c r="C1953" s="254" t="str">
        <f t="shared" si="91"/>
        <v>GRA for Fuel Subsidies</v>
      </c>
      <c r="D1953" s="1" t="s">
        <v>2961</v>
      </c>
      <c r="F1953" s="1" t="s">
        <v>2965</v>
      </c>
      <c r="H1953" s="43">
        <v>577</v>
      </c>
      <c r="I1953" s="326" t="str">
        <f t="shared" si="92"/>
        <v>Yes</v>
      </c>
      <c r="J1953" s="255" t="str">
        <f>IF(ISBLANK(INDEX('Policy Characteristics'!D:D,MATCH($C1953,'Policy Characteristics'!$C:$C,0))),"",INDEX('Policy Characteristics'!D:D,MATCH($C1953,'Policy Characteristics'!$C:$C,0)))</f>
        <v/>
      </c>
      <c r="K1953" s="254" t="str">
        <f>IF(ISBLANK(INDEX('Policy Characteristics'!E:E,MATCH($C1953,'Policy Characteristics'!$C:$C,0))),"",INDEX('Policy Characteristics'!E:E,MATCH($C1953,'Policy Characteristics'!$C:$C,0)))</f>
        <v>GRA fuel subsidy</v>
      </c>
      <c r="L1953" s="254">
        <f>IF(ISBLANK(INDEX('Policy Characteristics'!F:F,MATCH($C1953,'Policy Characteristics'!$C:$C,0))),"",INDEX('Policy Characteristics'!F:F,MATCH($C1953,'Policy Characteristics'!$C:$C,0)))</f>
        <v>0</v>
      </c>
      <c r="M1953" s="254">
        <f>IF(ISBLANK(INDEX('Policy Characteristics'!G:G,MATCH($C1953,'Policy Characteristics'!$C:$C,0))),"",INDEX('Policy Characteristics'!G:G,MATCH($C1953,'Policy Characteristics'!$C:$C,0)))</f>
        <v>10</v>
      </c>
      <c r="N1953" s="254">
        <f>IF(ISBLANK(INDEX('Policy Characteristics'!H:H,MATCH($C1953,'Policy Characteristics'!$C:$C,0))),"",INDEX('Policy Characteristics'!H:H,MATCH($C1953,'Policy Characteristics'!$C:$C,0)))</f>
        <v>1</v>
      </c>
      <c r="O1953" s="254" t="str">
        <f>IF(ISBLANK(INDEX('Policy Characteristics'!I:I,MATCH($C1953,'Policy Characteristics'!$C:$C,0))),"",INDEX('Policy Characteristics'!I:I,MATCH($C1953,'Policy Characteristics'!$C:$C,0)))</f>
        <v>weight</v>
      </c>
      <c r="P1953" s="254" t="str">
        <f>IF(ISBLANK(INDEX('Policy Characteristics'!J:J,MATCH($C1953,'Policy Characteristics'!$C:$C,0))),"",INDEX('Policy Characteristics'!J:J,MATCH($C1953,'Policy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3" s="254" t="str">
        <f>IF(ISBLANK(INDEX('Policy Characteristics'!K:K,MATCH($C1953,'Policy Characteristics'!$C:$C,0))),"",INDEX('Policy Characteristics'!K:K,MATCH($C1953,'Policy Characteristics'!$C:$C,0)))</f>
        <v>io-model.html</v>
      </c>
      <c r="R1953" s="254" t="str">
        <f>IF(ISBLANK(INDEX('Policy Characteristics'!L:L,MATCH($C1953,'Policy Characteristics'!$C:$C,0))),"",INDEX('Policy Characteristics'!L:L,MATCH($C1953,'Policy Characteristics'!$C:$C,0)))</f>
        <v/>
      </c>
    </row>
    <row r="1954" spans="1:18" x14ac:dyDescent="0.3">
      <c r="A1954" s="254" t="str">
        <f>IF(ISBLANK(INDEX('Policy Characteristics'!A:A,MATCH($C1954,'Policy Characteristics'!$C:$C,0))),"",INDEX('Policy Characteristics'!A:A,MATCH($C1954,'Policy Characteristics'!$C:$C,0)))</f>
        <v>Government Revenue Accounting</v>
      </c>
      <c r="B1954" s="262" t="str">
        <f>IF(ISBLANK(INDEX('Policy Characteristics'!B:B,MATCH($C1954,'Policy Characteristics'!$C:$C,0))),"",INDEX('Policy Characteristics'!B:B,MATCH($C1954,'Policy Characteristics'!$C:$C,0)))</f>
        <v>Fuel Subsidy</v>
      </c>
      <c r="C1954" s="254" t="str">
        <f t="shared" si="91"/>
        <v>GRA for Fuel Subsidies</v>
      </c>
      <c r="D1954" s="1" t="s">
        <v>2962</v>
      </c>
      <c r="F1954" s="1" t="s">
        <v>2966</v>
      </c>
      <c r="H1954" s="43">
        <v>578</v>
      </c>
      <c r="I1954" s="326" t="str">
        <f t="shared" si="92"/>
        <v>Yes</v>
      </c>
      <c r="J1954" s="255" t="str">
        <f>IF(ISBLANK(INDEX('Policy Characteristics'!D:D,MATCH($C1954,'Policy Characteristics'!$C:$C,0))),"",INDEX('Policy Characteristics'!D:D,MATCH($C1954,'Policy Characteristics'!$C:$C,0)))</f>
        <v/>
      </c>
      <c r="K1954" s="254" t="str">
        <f>IF(ISBLANK(INDEX('Policy Characteristics'!E:E,MATCH($C1954,'Policy Characteristics'!$C:$C,0))),"",INDEX('Policy Characteristics'!E:E,MATCH($C1954,'Policy Characteristics'!$C:$C,0)))</f>
        <v>GRA fuel subsidy</v>
      </c>
      <c r="L1954" s="254">
        <f>IF(ISBLANK(INDEX('Policy Characteristics'!F:F,MATCH($C1954,'Policy Characteristics'!$C:$C,0))),"",INDEX('Policy Characteristics'!F:F,MATCH($C1954,'Policy Characteristics'!$C:$C,0)))</f>
        <v>0</v>
      </c>
      <c r="M1954" s="254">
        <f>IF(ISBLANK(INDEX('Policy Characteristics'!G:G,MATCH($C1954,'Policy Characteristics'!$C:$C,0))),"",INDEX('Policy Characteristics'!G:G,MATCH($C1954,'Policy Characteristics'!$C:$C,0)))</f>
        <v>10</v>
      </c>
      <c r="N1954" s="254">
        <f>IF(ISBLANK(INDEX('Policy Characteristics'!H:H,MATCH($C1954,'Policy Characteristics'!$C:$C,0))),"",INDEX('Policy Characteristics'!H:H,MATCH($C1954,'Policy Characteristics'!$C:$C,0)))</f>
        <v>1</v>
      </c>
      <c r="O1954" s="254" t="str">
        <f>IF(ISBLANK(INDEX('Policy Characteristics'!I:I,MATCH($C1954,'Policy Characteristics'!$C:$C,0))),"",INDEX('Policy Characteristics'!I:I,MATCH($C1954,'Policy Characteristics'!$C:$C,0)))</f>
        <v>weight</v>
      </c>
      <c r="P1954" s="254" t="str">
        <f>IF(ISBLANK(INDEX('Policy Characteristics'!J:J,MATCH($C1954,'Policy Characteristics'!$C:$C,0))),"",INDEX('Policy Characteristics'!J:J,MATCH($C1954,'Policy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4" s="254" t="str">
        <f>IF(ISBLANK(INDEX('Policy Characteristics'!K:K,MATCH($C1954,'Policy Characteristics'!$C:$C,0))),"",INDEX('Policy Characteristics'!K:K,MATCH($C1954,'Policy Characteristics'!$C:$C,0)))</f>
        <v>io-model.html</v>
      </c>
      <c r="R1954" s="254" t="str">
        <f>IF(ISBLANK(INDEX('Policy Characteristics'!L:L,MATCH($C1954,'Policy Characteristics'!$C:$C,0))),"",INDEX('Policy Characteristics'!L:L,MATCH($C1954,'Policy Characteristics'!$C:$C,0)))</f>
        <v/>
      </c>
    </row>
    <row r="1955" spans="1:18" x14ac:dyDescent="0.3">
      <c r="A1955" s="254" t="str">
        <f>IF(ISBLANK(INDEX('Policy Characteristics'!A:A,MATCH($C1955,'Policy Characteristics'!$C:$C,0))),"",INDEX('Policy Characteristics'!A:A,MATCH($C1955,'Policy Characteristics'!$C:$C,0)))</f>
        <v>Government Revenue Accounting</v>
      </c>
      <c r="B1955" s="262" t="str">
        <f>IF(ISBLANK(INDEX('Policy Characteristics'!B:B,MATCH($C1955,'Policy Characteristics'!$C:$C,0))),"",INDEX('Policy Characteristics'!B:B,MATCH($C1955,'Policy Characteristics'!$C:$C,0)))</f>
        <v>Fuel Subsidy</v>
      </c>
      <c r="C1955" s="254" t="str">
        <f t="shared" si="91"/>
        <v>GRA for Fuel Subsidies</v>
      </c>
      <c r="D1955" s="1" t="s">
        <v>2963</v>
      </c>
      <c r="F1955" s="1" t="s">
        <v>2967</v>
      </c>
      <c r="H1955" s="43">
        <v>579</v>
      </c>
      <c r="I1955" s="326" t="str">
        <f t="shared" si="92"/>
        <v>Yes</v>
      </c>
      <c r="J1955" s="255" t="str">
        <f>IF(ISBLANK(INDEX('Policy Characteristics'!D:D,MATCH($C1955,'Policy Characteristics'!$C:$C,0))),"",INDEX('Policy Characteristics'!D:D,MATCH($C1955,'Policy Characteristics'!$C:$C,0)))</f>
        <v/>
      </c>
      <c r="K1955" s="254" t="str">
        <f>IF(ISBLANK(INDEX('Policy Characteristics'!E:E,MATCH($C1955,'Policy Characteristics'!$C:$C,0))),"",INDEX('Policy Characteristics'!E:E,MATCH($C1955,'Policy Characteristics'!$C:$C,0)))</f>
        <v>GRA fuel subsidy</v>
      </c>
      <c r="L1955" s="254">
        <f>IF(ISBLANK(INDEX('Policy Characteristics'!F:F,MATCH($C1955,'Policy Characteristics'!$C:$C,0))),"",INDEX('Policy Characteristics'!F:F,MATCH($C1955,'Policy Characteristics'!$C:$C,0)))</f>
        <v>0</v>
      </c>
      <c r="M1955" s="254">
        <f>IF(ISBLANK(INDEX('Policy Characteristics'!G:G,MATCH($C1955,'Policy Characteristics'!$C:$C,0))),"",INDEX('Policy Characteristics'!G:G,MATCH($C1955,'Policy Characteristics'!$C:$C,0)))</f>
        <v>10</v>
      </c>
      <c r="N1955" s="254">
        <f>IF(ISBLANK(INDEX('Policy Characteristics'!H:H,MATCH($C1955,'Policy Characteristics'!$C:$C,0))),"",INDEX('Policy Characteristics'!H:H,MATCH($C1955,'Policy Characteristics'!$C:$C,0)))</f>
        <v>1</v>
      </c>
      <c r="O1955" s="254" t="str">
        <f>IF(ISBLANK(INDEX('Policy Characteristics'!I:I,MATCH($C1955,'Policy Characteristics'!$C:$C,0))),"",INDEX('Policy Characteristics'!I:I,MATCH($C1955,'Policy Characteristics'!$C:$C,0)))</f>
        <v>weight</v>
      </c>
      <c r="P1955" s="254" t="str">
        <f>IF(ISBLANK(INDEX('Policy Characteristics'!J:J,MATCH($C1955,'Policy Characteristics'!$C:$C,0))),"",INDEX('Policy Characteristics'!J:J,MATCH($C1955,'Policy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5" s="254" t="str">
        <f>IF(ISBLANK(INDEX('Policy Characteristics'!K:K,MATCH($C1955,'Policy Characteristics'!$C:$C,0))),"",INDEX('Policy Characteristics'!K:K,MATCH($C1955,'Policy Characteristics'!$C:$C,0)))</f>
        <v>io-model.html</v>
      </c>
      <c r="R1955" s="254" t="str">
        <f>IF(ISBLANK(INDEX('Policy Characteristics'!L:L,MATCH($C1955,'Policy Characteristics'!$C:$C,0))),"",INDEX('Policy Characteristics'!L:L,MATCH($C1955,'Policy Characteristics'!$C:$C,0)))</f>
        <v/>
      </c>
    </row>
    <row r="1956" spans="1:18" x14ac:dyDescent="0.3">
      <c r="A1956" s="254" t="str">
        <f>IF(ISBLANK(INDEX('Policy Characteristics'!A:A,MATCH($C1956,'Policy Characteristics'!$C:$C,0))),"",INDEX('Policy Characteristics'!A:A,MATCH($C1956,'Policy Characteristics'!$C:$C,0)))</f>
        <v>Government Revenue Accounting</v>
      </c>
      <c r="B1956" s="262" t="str">
        <f>IF(ISBLANK(INDEX('Policy Characteristics'!B:B,MATCH($C1956,'Policy Characteristics'!$C:$C,0))),"",INDEX('Policy Characteristics'!B:B,MATCH($C1956,'Policy Characteristics'!$C:$C,0)))</f>
        <v>CCS Subsidy</v>
      </c>
      <c r="C1956" t="s">
        <v>3625</v>
      </c>
      <c r="D1956" s="1" t="s">
        <v>2959</v>
      </c>
      <c r="F1956" s="1" t="s">
        <v>2964</v>
      </c>
      <c r="H1956" s="43">
        <v>2252</v>
      </c>
      <c r="I1956" s="322" t="s">
        <v>43</v>
      </c>
      <c r="J1956" s="255" t="str">
        <f>IF(ISBLANK(INDEX('Policy Characteristics'!D:D,MATCH($C1956,'Policy Characteristics'!$C:$C,0))),"",INDEX('Policy Characteristics'!D:D,MATCH($C1956,'Policy Characteristics'!$C:$C,0)))</f>
        <v/>
      </c>
      <c r="K1956" s="254" t="str">
        <f>IF(ISBLANK(INDEX('Policy Characteristics'!E:E,MATCH($C1956,'Policy Characteristics'!$C:$C,0))),"",INDEX('Policy Characteristics'!E:E,MATCH($C1956,'Policy Characteristics'!$C:$C,0)))</f>
        <v>GRA CCS subsidy</v>
      </c>
      <c r="L1956" s="254">
        <f>IF(ISBLANK(INDEX('Policy Characteristics'!F:F,MATCH($C1956,'Policy Characteristics'!$C:$C,0))),"",INDEX('Policy Characteristics'!F:F,MATCH($C1956,'Policy Characteristics'!$C:$C,0)))</f>
        <v>0</v>
      </c>
      <c r="M1956" s="254">
        <f>IF(ISBLANK(INDEX('Policy Characteristics'!G:G,MATCH($C1956,'Policy Characteristics'!$C:$C,0))),"",INDEX('Policy Characteristics'!G:G,MATCH($C1956,'Policy Characteristics'!$C:$C,0)))</f>
        <v>10</v>
      </c>
      <c r="N1956" s="254">
        <f>IF(ISBLANK(INDEX('Policy Characteristics'!H:H,MATCH($C1956,'Policy Characteristics'!$C:$C,0))),"",INDEX('Policy Characteristics'!H:H,MATCH($C1956,'Policy Characteristics'!$C:$C,0)))</f>
        <v>1</v>
      </c>
      <c r="O1956" s="254" t="str">
        <f>IF(ISBLANK(INDEX('Policy Characteristics'!I:I,MATCH($C1956,'Policy Characteristics'!$C:$C,0))),"",INDEX('Policy Characteristics'!I:I,MATCH($C1956,'Policy Characteristics'!$C:$C,0)))</f>
        <v>weight</v>
      </c>
      <c r="P1956" s="254" t="str">
        <f>IF(ISBLANK(INDEX('Policy Characteristics'!J:J,MATCH($C1956,'Policy Characteristics'!$C:$C,0))),"",INDEX('Policy Characteristics'!J:J,MATCH($C1956,'Policy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6" s="254" t="str">
        <f>IF(ISBLANK(INDEX('Policy Characteristics'!K:K,MATCH($C1956,'Policy Characteristics'!$C:$C,0))),"",INDEX('Policy Characteristics'!K:K,MATCH($C1956,'Policy Characteristics'!$C:$C,0)))</f>
        <v>io-model.html</v>
      </c>
      <c r="R1956" s="254" t="str">
        <f>IF(ISBLANK(INDEX('Policy Characteristics'!L:L,MATCH($C1956,'Policy Characteristics'!$C:$C,0))),"",INDEX('Policy Characteristics'!L:L,MATCH($C1956,'Policy Characteristics'!$C:$C,0)))</f>
        <v/>
      </c>
    </row>
    <row r="1957" spans="1:18" x14ac:dyDescent="0.3">
      <c r="A1957" s="254" t="str">
        <f>IF(ISBLANK(INDEX('Policy Characteristics'!A:A,MATCH($C1957,'Policy Characteristics'!$C:$C,0))),"",INDEX('Policy Characteristics'!A:A,MATCH($C1957,'Policy Characteristics'!$C:$C,0)))</f>
        <v>Government Revenue Accounting</v>
      </c>
      <c r="B1957" s="262" t="str">
        <f>IF(ISBLANK(INDEX('Policy Characteristics'!B:B,MATCH($C1957,'Policy Characteristics'!$C:$C,0))),"",INDEX('Policy Characteristics'!B:B,MATCH($C1957,'Policy Characteristics'!$C:$C,0)))</f>
        <v>CCS Subsidy</v>
      </c>
      <c r="C1957" s="254" t="str">
        <f>C$1956</f>
        <v>GRA for CCS Subsidies</v>
      </c>
      <c r="D1957" s="1" t="s">
        <v>2960</v>
      </c>
      <c r="F1957" s="1" t="s">
        <v>2975</v>
      </c>
      <c r="H1957" s="43">
        <v>2253</v>
      </c>
      <c r="I1957" s="326" t="str">
        <f t="shared" si="92"/>
        <v>Yes</v>
      </c>
      <c r="J1957" s="255" t="str">
        <f>IF(ISBLANK(INDEX('Policy Characteristics'!D:D,MATCH($C1957,'Policy Characteristics'!$C:$C,0))),"",INDEX('Policy Characteristics'!D:D,MATCH($C1957,'Policy Characteristics'!$C:$C,0)))</f>
        <v/>
      </c>
      <c r="K1957" s="254" t="str">
        <f>IF(ISBLANK(INDEX('Policy Characteristics'!E:E,MATCH($C1957,'Policy Characteristics'!$C:$C,0))),"",INDEX('Policy Characteristics'!E:E,MATCH($C1957,'Policy Characteristics'!$C:$C,0)))</f>
        <v>GRA CCS subsidy</v>
      </c>
      <c r="L1957" s="254">
        <f>IF(ISBLANK(INDEX('Policy Characteristics'!F:F,MATCH($C1957,'Policy Characteristics'!$C:$C,0))),"",INDEX('Policy Characteristics'!F:F,MATCH($C1957,'Policy Characteristics'!$C:$C,0)))</f>
        <v>0</v>
      </c>
      <c r="M1957" s="254">
        <f>IF(ISBLANK(INDEX('Policy Characteristics'!G:G,MATCH($C1957,'Policy Characteristics'!$C:$C,0))),"",INDEX('Policy Characteristics'!G:G,MATCH($C1957,'Policy Characteristics'!$C:$C,0)))</f>
        <v>10</v>
      </c>
      <c r="N1957" s="254">
        <f>IF(ISBLANK(INDEX('Policy Characteristics'!H:H,MATCH($C1957,'Policy Characteristics'!$C:$C,0))),"",INDEX('Policy Characteristics'!H:H,MATCH($C1957,'Policy Characteristics'!$C:$C,0)))</f>
        <v>1</v>
      </c>
      <c r="O1957" s="254" t="str">
        <f>IF(ISBLANK(INDEX('Policy Characteristics'!I:I,MATCH($C1957,'Policy Characteristics'!$C:$C,0))),"",INDEX('Policy Characteristics'!I:I,MATCH($C1957,'Policy Characteristics'!$C:$C,0)))</f>
        <v>weight</v>
      </c>
      <c r="P1957" s="254" t="str">
        <f>IF(ISBLANK(INDEX('Policy Characteristics'!J:J,MATCH($C1957,'Policy Characteristics'!$C:$C,0))),"",INDEX('Policy Characteristics'!J:J,MATCH($C1957,'Policy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7" s="254" t="str">
        <f>IF(ISBLANK(INDEX('Policy Characteristics'!K:K,MATCH($C1957,'Policy Characteristics'!$C:$C,0))),"",INDEX('Policy Characteristics'!K:K,MATCH($C1957,'Policy Characteristics'!$C:$C,0)))</f>
        <v>io-model.html</v>
      </c>
      <c r="R1957" s="254" t="str">
        <f>IF(ISBLANK(INDEX('Policy Characteristics'!L:L,MATCH($C1957,'Policy Characteristics'!$C:$C,0))),"",INDEX('Policy Characteristics'!L:L,MATCH($C1957,'Policy Characteristics'!$C:$C,0)))</f>
        <v/>
      </c>
    </row>
    <row r="1958" spans="1:18" x14ac:dyDescent="0.3">
      <c r="A1958" s="254" t="str">
        <f>IF(ISBLANK(INDEX('Policy Characteristics'!A:A,MATCH($C1958,'Policy Characteristics'!$C:$C,0))),"",INDEX('Policy Characteristics'!A:A,MATCH($C1958,'Policy Characteristics'!$C:$C,0)))</f>
        <v>Government Revenue Accounting</v>
      </c>
      <c r="B1958" s="262" t="str">
        <f>IF(ISBLANK(INDEX('Policy Characteristics'!B:B,MATCH($C1958,'Policy Characteristics'!$C:$C,0))),"",INDEX('Policy Characteristics'!B:B,MATCH($C1958,'Policy Characteristics'!$C:$C,0)))</f>
        <v>CCS Subsidy</v>
      </c>
      <c r="C1958" s="254" t="str">
        <f t="shared" ref="C1958:C1960" si="93">C$1956</f>
        <v>GRA for CCS Subsidies</v>
      </c>
      <c r="D1958" s="1" t="s">
        <v>2961</v>
      </c>
      <c r="F1958" s="1" t="s">
        <v>2965</v>
      </c>
      <c r="H1958" s="43">
        <v>2254</v>
      </c>
      <c r="I1958" s="326" t="str">
        <f t="shared" si="92"/>
        <v>Yes</v>
      </c>
      <c r="J1958" s="255" t="str">
        <f>IF(ISBLANK(INDEX('Policy Characteristics'!D:D,MATCH($C1958,'Policy Characteristics'!$C:$C,0))),"",INDEX('Policy Characteristics'!D:D,MATCH($C1958,'Policy Characteristics'!$C:$C,0)))</f>
        <v/>
      </c>
      <c r="K1958" s="254" t="str">
        <f>IF(ISBLANK(INDEX('Policy Characteristics'!E:E,MATCH($C1958,'Policy Characteristics'!$C:$C,0))),"",INDEX('Policy Characteristics'!E:E,MATCH($C1958,'Policy Characteristics'!$C:$C,0)))</f>
        <v>GRA CCS subsidy</v>
      </c>
      <c r="L1958" s="254">
        <f>IF(ISBLANK(INDEX('Policy Characteristics'!F:F,MATCH($C1958,'Policy Characteristics'!$C:$C,0))),"",INDEX('Policy Characteristics'!F:F,MATCH($C1958,'Policy Characteristics'!$C:$C,0)))</f>
        <v>0</v>
      </c>
      <c r="M1958" s="254">
        <f>IF(ISBLANK(INDEX('Policy Characteristics'!G:G,MATCH($C1958,'Policy Characteristics'!$C:$C,0))),"",INDEX('Policy Characteristics'!G:G,MATCH($C1958,'Policy Characteristics'!$C:$C,0)))</f>
        <v>10</v>
      </c>
      <c r="N1958" s="254">
        <f>IF(ISBLANK(INDEX('Policy Characteristics'!H:H,MATCH($C1958,'Policy Characteristics'!$C:$C,0))),"",INDEX('Policy Characteristics'!H:H,MATCH($C1958,'Policy Characteristics'!$C:$C,0)))</f>
        <v>1</v>
      </c>
      <c r="O1958" s="254" t="str">
        <f>IF(ISBLANK(INDEX('Policy Characteristics'!I:I,MATCH($C1958,'Policy Characteristics'!$C:$C,0))),"",INDEX('Policy Characteristics'!I:I,MATCH($C1958,'Policy Characteristics'!$C:$C,0)))</f>
        <v>weight</v>
      </c>
      <c r="P1958" s="254" t="str">
        <f>IF(ISBLANK(INDEX('Policy Characteristics'!J:J,MATCH($C1958,'Policy Characteristics'!$C:$C,0))),"",INDEX('Policy Characteristics'!J:J,MATCH($C1958,'Policy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8" s="254" t="str">
        <f>IF(ISBLANK(INDEX('Policy Characteristics'!K:K,MATCH($C1958,'Policy Characteristics'!$C:$C,0))),"",INDEX('Policy Characteristics'!K:K,MATCH($C1958,'Policy Characteristics'!$C:$C,0)))</f>
        <v>io-model.html</v>
      </c>
      <c r="R1958" s="254" t="str">
        <f>IF(ISBLANK(INDEX('Policy Characteristics'!L:L,MATCH($C1958,'Policy Characteristics'!$C:$C,0))),"",INDEX('Policy Characteristics'!L:L,MATCH($C1958,'Policy Characteristics'!$C:$C,0)))</f>
        <v/>
      </c>
    </row>
    <row r="1959" spans="1:18" x14ac:dyDescent="0.3">
      <c r="A1959" s="254" t="str">
        <f>IF(ISBLANK(INDEX('Policy Characteristics'!A:A,MATCH($C1959,'Policy Characteristics'!$C:$C,0))),"",INDEX('Policy Characteristics'!A:A,MATCH($C1959,'Policy Characteristics'!$C:$C,0)))</f>
        <v>Government Revenue Accounting</v>
      </c>
      <c r="B1959" s="262" t="str">
        <f>IF(ISBLANK(INDEX('Policy Characteristics'!B:B,MATCH($C1959,'Policy Characteristics'!$C:$C,0))),"",INDEX('Policy Characteristics'!B:B,MATCH($C1959,'Policy Characteristics'!$C:$C,0)))</f>
        <v>CCS Subsidy</v>
      </c>
      <c r="C1959" s="254" t="str">
        <f t="shared" si="93"/>
        <v>GRA for CCS Subsidies</v>
      </c>
      <c r="D1959" s="1" t="s">
        <v>2962</v>
      </c>
      <c r="F1959" s="1" t="s">
        <v>2966</v>
      </c>
      <c r="H1959" s="43">
        <v>2255</v>
      </c>
      <c r="I1959" s="326" t="str">
        <f t="shared" si="92"/>
        <v>Yes</v>
      </c>
      <c r="J1959" s="255" t="str">
        <f>IF(ISBLANK(INDEX('Policy Characteristics'!D:D,MATCH($C1959,'Policy Characteristics'!$C:$C,0))),"",INDEX('Policy Characteristics'!D:D,MATCH($C1959,'Policy Characteristics'!$C:$C,0)))</f>
        <v/>
      </c>
      <c r="K1959" s="254" t="str">
        <f>IF(ISBLANK(INDEX('Policy Characteristics'!E:E,MATCH($C1959,'Policy Characteristics'!$C:$C,0))),"",INDEX('Policy Characteristics'!E:E,MATCH($C1959,'Policy Characteristics'!$C:$C,0)))</f>
        <v>GRA CCS subsidy</v>
      </c>
      <c r="L1959" s="254">
        <f>IF(ISBLANK(INDEX('Policy Characteristics'!F:F,MATCH($C1959,'Policy Characteristics'!$C:$C,0))),"",INDEX('Policy Characteristics'!F:F,MATCH($C1959,'Policy Characteristics'!$C:$C,0)))</f>
        <v>0</v>
      </c>
      <c r="M1959" s="254">
        <f>IF(ISBLANK(INDEX('Policy Characteristics'!G:G,MATCH($C1959,'Policy Characteristics'!$C:$C,0))),"",INDEX('Policy Characteristics'!G:G,MATCH($C1959,'Policy Characteristics'!$C:$C,0)))</f>
        <v>10</v>
      </c>
      <c r="N1959" s="254">
        <f>IF(ISBLANK(INDEX('Policy Characteristics'!H:H,MATCH($C1959,'Policy Characteristics'!$C:$C,0))),"",INDEX('Policy Characteristics'!H:H,MATCH($C1959,'Policy Characteristics'!$C:$C,0)))</f>
        <v>1</v>
      </c>
      <c r="O1959" s="254" t="str">
        <f>IF(ISBLANK(INDEX('Policy Characteristics'!I:I,MATCH($C1959,'Policy Characteristics'!$C:$C,0))),"",INDEX('Policy Characteristics'!I:I,MATCH($C1959,'Policy Characteristics'!$C:$C,0)))</f>
        <v>weight</v>
      </c>
      <c r="P1959" s="254" t="str">
        <f>IF(ISBLANK(INDEX('Policy Characteristics'!J:J,MATCH($C1959,'Policy Characteristics'!$C:$C,0))),"",INDEX('Policy Characteristics'!J:J,MATCH($C1959,'Policy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59" s="254" t="str">
        <f>IF(ISBLANK(INDEX('Policy Characteristics'!K:K,MATCH($C1959,'Policy Characteristics'!$C:$C,0))),"",INDEX('Policy Characteristics'!K:K,MATCH($C1959,'Policy Characteristics'!$C:$C,0)))</f>
        <v>io-model.html</v>
      </c>
      <c r="R1959" s="254" t="str">
        <f>IF(ISBLANK(INDEX('Policy Characteristics'!L:L,MATCH($C1959,'Policy Characteristics'!$C:$C,0))),"",INDEX('Policy Characteristics'!L:L,MATCH($C1959,'Policy Characteristics'!$C:$C,0)))</f>
        <v/>
      </c>
    </row>
    <row r="1960" spans="1:18" x14ac:dyDescent="0.3">
      <c r="A1960" s="254" t="str">
        <f>IF(ISBLANK(INDEX('Policy Characteristics'!A:A,MATCH($C1960,'Policy Characteristics'!$C:$C,0))),"",INDEX('Policy Characteristics'!A:A,MATCH($C1960,'Policy Characteristics'!$C:$C,0)))</f>
        <v>Government Revenue Accounting</v>
      </c>
      <c r="B1960" s="262" t="str">
        <f>IF(ISBLANK(INDEX('Policy Characteristics'!B:B,MATCH($C1960,'Policy Characteristics'!$C:$C,0))),"",INDEX('Policy Characteristics'!B:B,MATCH($C1960,'Policy Characteristics'!$C:$C,0)))</f>
        <v>CCS Subsidy</v>
      </c>
      <c r="C1960" s="254" t="str">
        <f t="shared" si="93"/>
        <v>GRA for CCS Subsidies</v>
      </c>
      <c r="D1960" s="1" t="s">
        <v>2963</v>
      </c>
      <c r="F1960" s="1" t="s">
        <v>2967</v>
      </c>
      <c r="H1960" s="43">
        <v>2256</v>
      </c>
      <c r="I1960" s="326" t="str">
        <f t="shared" si="92"/>
        <v>Yes</v>
      </c>
      <c r="J1960" s="255" t="str">
        <f>IF(ISBLANK(INDEX('Policy Characteristics'!D:D,MATCH($C1960,'Policy Characteristics'!$C:$C,0))),"",INDEX('Policy Characteristics'!D:D,MATCH($C1960,'Policy Characteristics'!$C:$C,0)))</f>
        <v/>
      </c>
      <c r="K1960" s="254" t="str">
        <f>IF(ISBLANK(INDEX('Policy Characteristics'!E:E,MATCH($C1960,'Policy Characteristics'!$C:$C,0))),"",INDEX('Policy Characteristics'!E:E,MATCH($C1960,'Policy Characteristics'!$C:$C,0)))</f>
        <v>GRA CCS subsidy</v>
      </c>
      <c r="L1960" s="254">
        <f>IF(ISBLANK(INDEX('Policy Characteristics'!F:F,MATCH($C1960,'Policy Characteristics'!$C:$C,0))),"",INDEX('Policy Characteristics'!F:F,MATCH($C1960,'Policy Characteristics'!$C:$C,0)))</f>
        <v>0</v>
      </c>
      <c r="M1960" s="254">
        <f>IF(ISBLANK(INDEX('Policy Characteristics'!G:G,MATCH($C1960,'Policy Characteristics'!$C:$C,0))),"",INDEX('Policy Characteristics'!G:G,MATCH($C1960,'Policy Characteristics'!$C:$C,0)))</f>
        <v>10</v>
      </c>
      <c r="N1960" s="254">
        <f>IF(ISBLANK(INDEX('Policy Characteristics'!H:H,MATCH($C1960,'Policy Characteristics'!$C:$C,0))),"",INDEX('Policy Characteristics'!H:H,MATCH($C1960,'Policy Characteristics'!$C:$C,0)))</f>
        <v>1</v>
      </c>
      <c r="O1960" s="254" t="str">
        <f>IF(ISBLANK(INDEX('Policy Characteristics'!I:I,MATCH($C1960,'Policy Characteristics'!$C:$C,0))),"",INDEX('Policy Characteristics'!I:I,MATCH($C1960,'Policy Characteristics'!$C:$C,0)))</f>
        <v>weight</v>
      </c>
      <c r="P1960" s="254" t="str">
        <f>IF(ISBLANK(INDEX('Policy Characteristics'!J:J,MATCH($C1960,'Policy Characteristics'!$C:$C,0))),"",INDEX('Policy Characteristics'!J:J,MATCH($C1960,'Policy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0" s="254" t="str">
        <f>IF(ISBLANK(INDEX('Policy Characteristics'!K:K,MATCH($C1960,'Policy Characteristics'!$C:$C,0))),"",INDEX('Policy Characteristics'!K:K,MATCH($C1960,'Policy Characteristics'!$C:$C,0)))</f>
        <v>io-model.html</v>
      </c>
      <c r="R1960" s="254" t="str">
        <f>IF(ISBLANK(INDEX('Policy Characteristics'!L:L,MATCH($C1960,'Policy Characteristics'!$C:$C,0))),"",INDEX('Policy Characteristics'!L:L,MATCH($C1960,'Policy Characteristics'!$C:$C,0)))</f>
        <v/>
      </c>
    </row>
    <row r="1961" spans="1:18" x14ac:dyDescent="0.3">
      <c r="A1961" s="254" t="str">
        <f>IF(ISBLANK(INDEX('Policy Characteristics'!A:A,MATCH($C1961,'Policy Characteristics'!$C:$C,0))),"",INDEX('Policy Characteristics'!A:A,MATCH($C1961,'Policy Characteristics'!$C:$C,0)))</f>
        <v>Government Revenue Accounting</v>
      </c>
      <c r="B1961" s="262" t="str">
        <f>IF(ISBLANK(INDEX('Policy Characteristics'!B:B,MATCH($C1961,'Policy Characteristics'!$C:$C,0))),"",INDEX('Policy Characteristics'!B:B,MATCH($C1961,'Policy Characteristics'!$C:$C,0)))</f>
        <v>National Debt Interest</v>
      </c>
      <c r="C1961" t="s">
        <v>2957</v>
      </c>
      <c r="D1961" s="1" t="s">
        <v>2959</v>
      </c>
      <c r="F1961" s="1" t="s">
        <v>2964</v>
      </c>
      <c r="H1961" s="43">
        <v>580</v>
      </c>
      <c r="I1961" s="322" t="s">
        <v>43</v>
      </c>
      <c r="J1961" s="255" t="str">
        <f>IF(ISBLANK(INDEX('Policy Characteristics'!D:D,MATCH($C1961,'Policy Characteristics'!$C:$C,0))),"",INDEX('Policy Characteristics'!D:D,MATCH($C1961,'Policy Characteristics'!$C:$C,0)))</f>
        <v/>
      </c>
      <c r="K1961" s="254" t="str">
        <f>IF(ISBLANK(INDEX('Policy Characteristics'!E:E,MATCH($C1961,'Policy Characteristics'!$C:$C,0))),"",INDEX('Policy Characteristics'!E:E,MATCH($C1961,'Policy Characteristics'!$C:$C,0)))</f>
        <v>GRA national debt interest</v>
      </c>
      <c r="L1961" s="254">
        <f>IF(ISBLANK(INDEX('Policy Characteristics'!F:F,MATCH($C1961,'Policy Characteristics'!$C:$C,0))),"",INDEX('Policy Characteristics'!F:F,MATCH($C1961,'Policy Characteristics'!$C:$C,0)))</f>
        <v>0</v>
      </c>
      <c r="M1961" s="254">
        <f>IF(ISBLANK(INDEX('Policy Characteristics'!G:G,MATCH($C1961,'Policy Characteristics'!$C:$C,0))),"",INDEX('Policy Characteristics'!G:G,MATCH($C1961,'Policy Characteristics'!$C:$C,0)))</f>
        <v>10</v>
      </c>
      <c r="N1961" s="254">
        <f>IF(ISBLANK(INDEX('Policy Characteristics'!H:H,MATCH($C1961,'Policy Characteristics'!$C:$C,0))),"",INDEX('Policy Characteristics'!H:H,MATCH($C1961,'Policy Characteristics'!$C:$C,0)))</f>
        <v>1</v>
      </c>
      <c r="O1961" s="254" t="str">
        <f>IF(ISBLANK(INDEX('Policy Characteristics'!I:I,MATCH($C1961,'Policy Characteristics'!$C:$C,0))),"",INDEX('Policy Characteristics'!I:I,MATCH($C1961,'Policy Characteristics'!$C:$C,0)))</f>
        <v>weight</v>
      </c>
      <c r="P1961" s="254" t="str">
        <f>IF(ISBLANK(INDEX('Policy Characteristics'!J:J,MATCH($C1961,'Policy Characteristics'!$C:$C,0))),"",INDEX('Policy Characteristics'!J:J,MATCH($C1961,'Policy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1" s="254" t="str">
        <f>IF(ISBLANK(INDEX('Policy Characteristics'!K:K,MATCH($C1961,'Policy Characteristics'!$C:$C,0))),"",INDEX('Policy Characteristics'!K:K,MATCH($C1961,'Policy Characteristics'!$C:$C,0)))</f>
        <v>io-model.html</v>
      </c>
      <c r="R1961" s="254" t="str">
        <f>IF(ISBLANK(INDEX('Policy Characteristics'!L:L,MATCH($C1961,'Policy Characteristics'!$C:$C,0))),"",INDEX('Policy Characteristics'!L:L,MATCH($C1961,'Policy Characteristics'!$C:$C,0)))</f>
        <v/>
      </c>
    </row>
    <row r="1962" spans="1:18" x14ac:dyDescent="0.3">
      <c r="A1962" s="254" t="str">
        <f>IF(ISBLANK(INDEX('Policy Characteristics'!A:A,MATCH($C1962,'Policy Characteristics'!$C:$C,0))),"",INDEX('Policy Characteristics'!A:A,MATCH($C1962,'Policy Characteristics'!$C:$C,0)))</f>
        <v>Government Revenue Accounting</v>
      </c>
      <c r="B1962" s="262" t="str">
        <f>IF(ISBLANK(INDEX('Policy Characteristics'!B:B,MATCH($C1962,'Policy Characteristics'!$C:$C,0))),"",INDEX('Policy Characteristics'!B:B,MATCH($C1962,'Policy Characteristics'!$C:$C,0)))</f>
        <v>National Debt Interest</v>
      </c>
      <c r="C1962" s="254" t="str">
        <f t="shared" ref="C1962:C1965" si="94">C$1961</f>
        <v>GRA for National Debt Interest</v>
      </c>
      <c r="D1962" s="1" t="s">
        <v>2960</v>
      </c>
      <c r="F1962" s="1" t="s">
        <v>2975</v>
      </c>
      <c r="H1962" s="43">
        <v>581</v>
      </c>
      <c r="I1962" s="326" t="str">
        <f t="shared" ref="I1962:I1965" si="95">I$1961</f>
        <v>Yes</v>
      </c>
      <c r="J1962" s="255" t="str">
        <f>IF(ISBLANK(INDEX('Policy Characteristics'!D:D,MATCH($C1962,'Policy Characteristics'!$C:$C,0))),"",INDEX('Policy Characteristics'!D:D,MATCH($C1962,'Policy Characteristics'!$C:$C,0)))</f>
        <v/>
      </c>
      <c r="K1962" s="254" t="str">
        <f>IF(ISBLANK(INDEX('Policy Characteristics'!E:E,MATCH($C1962,'Policy Characteristics'!$C:$C,0))),"",INDEX('Policy Characteristics'!E:E,MATCH($C1962,'Policy Characteristics'!$C:$C,0)))</f>
        <v>GRA national debt interest</v>
      </c>
      <c r="L1962" s="254">
        <f>IF(ISBLANK(INDEX('Policy Characteristics'!F:F,MATCH($C1962,'Policy Characteristics'!$C:$C,0))),"",INDEX('Policy Characteristics'!F:F,MATCH($C1962,'Policy Characteristics'!$C:$C,0)))</f>
        <v>0</v>
      </c>
      <c r="M1962" s="254">
        <f>IF(ISBLANK(INDEX('Policy Characteristics'!G:G,MATCH($C1962,'Policy Characteristics'!$C:$C,0))),"",INDEX('Policy Characteristics'!G:G,MATCH($C1962,'Policy Characteristics'!$C:$C,0)))</f>
        <v>10</v>
      </c>
      <c r="N1962" s="254">
        <f>IF(ISBLANK(INDEX('Policy Characteristics'!H:H,MATCH($C1962,'Policy Characteristics'!$C:$C,0))),"",INDEX('Policy Characteristics'!H:H,MATCH($C1962,'Policy Characteristics'!$C:$C,0)))</f>
        <v>1</v>
      </c>
      <c r="O1962" s="254" t="str">
        <f>IF(ISBLANK(INDEX('Policy Characteristics'!I:I,MATCH($C1962,'Policy Characteristics'!$C:$C,0))),"",INDEX('Policy Characteristics'!I:I,MATCH($C1962,'Policy Characteristics'!$C:$C,0)))</f>
        <v>weight</v>
      </c>
      <c r="P1962" s="254" t="str">
        <f>IF(ISBLANK(INDEX('Policy Characteristics'!J:J,MATCH($C1962,'Policy Characteristics'!$C:$C,0))),"",INDEX('Policy Characteristics'!J:J,MATCH($C1962,'Policy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2" s="254" t="str">
        <f>IF(ISBLANK(INDEX('Policy Characteristics'!K:K,MATCH($C1962,'Policy Characteristics'!$C:$C,0))),"",INDEX('Policy Characteristics'!K:K,MATCH($C1962,'Policy Characteristics'!$C:$C,0)))</f>
        <v>io-model.html</v>
      </c>
      <c r="R1962" s="254" t="str">
        <f>IF(ISBLANK(INDEX('Policy Characteristics'!L:L,MATCH($C1962,'Policy Characteristics'!$C:$C,0))),"",INDEX('Policy Characteristics'!L:L,MATCH($C1962,'Policy Characteristics'!$C:$C,0)))</f>
        <v/>
      </c>
    </row>
    <row r="1963" spans="1:18" x14ac:dyDescent="0.3">
      <c r="A1963" s="254" t="str">
        <f>IF(ISBLANK(INDEX('Policy Characteristics'!A:A,MATCH($C1963,'Policy Characteristics'!$C:$C,0))),"",INDEX('Policy Characteristics'!A:A,MATCH($C1963,'Policy Characteristics'!$C:$C,0)))</f>
        <v>Government Revenue Accounting</v>
      </c>
      <c r="B1963" s="262" t="str">
        <f>IF(ISBLANK(INDEX('Policy Characteristics'!B:B,MATCH($C1963,'Policy Characteristics'!$C:$C,0))),"",INDEX('Policy Characteristics'!B:B,MATCH($C1963,'Policy Characteristics'!$C:$C,0)))</f>
        <v>National Debt Interest</v>
      </c>
      <c r="C1963" s="254" t="str">
        <f t="shared" si="94"/>
        <v>GRA for National Debt Interest</v>
      </c>
      <c r="D1963" s="1" t="s">
        <v>2961</v>
      </c>
      <c r="F1963" s="1" t="s">
        <v>2965</v>
      </c>
      <c r="H1963" s="43">
        <v>582</v>
      </c>
      <c r="I1963" s="326" t="str">
        <f t="shared" si="95"/>
        <v>Yes</v>
      </c>
      <c r="J1963" s="255" t="str">
        <f>IF(ISBLANK(INDEX('Policy Characteristics'!D:D,MATCH($C1963,'Policy Characteristics'!$C:$C,0))),"",INDEX('Policy Characteristics'!D:D,MATCH($C1963,'Policy Characteristics'!$C:$C,0)))</f>
        <v/>
      </c>
      <c r="K1963" s="254" t="str">
        <f>IF(ISBLANK(INDEX('Policy Characteristics'!E:E,MATCH($C1963,'Policy Characteristics'!$C:$C,0))),"",INDEX('Policy Characteristics'!E:E,MATCH($C1963,'Policy Characteristics'!$C:$C,0)))</f>
        <v>GRA national debt interest</v>
      </c>
      <c r="L1963" s="254">
        <f>IF(ISBLANK(INDEX('Policy Characteristics'!F:F,MATCH($C1963,'Policy Characteristics'!$C:$C,0))),"",INDEX('Policy Characteristics'!F:F,MATCH($C1963,'Policy Characteristics'!$C:$C,0)))</f>
        <v>0</v>
      </c>
      <c r="M1963" s="254">
        <f>IF(ISBLANK(INDEX('Policy Characteristics'!G:G,MATCH($C1963,'Policy Characteristics'!$C:$C,0))),"",INDEX('Policy Characteristics'!G:G,MATCH($C1963,'Policy Characteristics'!$C:$C,0)))</f>
        <v>10</v>
      </c>
      <c r="N1963" s="254">
        <f>IF(ISBLANK(INDEX('Policy Characteristics'!H:H,MATCH($C1963,'Policy Characteristics'!$C:$C,0))),"",INDEX('Policy Characteristics'!H:H,MATCH($C1963,'Policy Characteristics'!$C:$C,0)))</f>
        <v>1</v>
      </c>
      <c r="O1963" s="254" t="str">
        <f>IF(ISBLANK(INDEX('Policy Characteristics'!I:I,MATCH($C1963,'Policy Characteristics'!$C:$C,0))),"",INDEX('Policy Characteristics'!I:I,MATCH($C1963,'Policy Characteristics'!$C:$C,0)))</f>
        <v>weight</v>
      </c>
      <c r="P1963" s="254" t="str">
        <f>IF(ISBLANK(INDEX('Policy Characteristics'!J:J,MATCH($C1963,'Policy Characteristics'!$C:$C,0))),"",INDEX('Policy Characteristics'!J:J,MATCH($C1963,'Policy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3" s="254" t="str">
        <f>IF(ISBLANK(INDEX('Policy Characteristics'!K:K,MATCH($C1963,'Policy Characteristics'!$C:$C,0))),"",INDEX('Policy Characteristics'!K:K,MATCH($C1963,'Policy Characteristics'!$C:$C,0)))</f>
        <v>io-model.html</v>
      </c>
      <c r="R1963" s="254" t="str">
        <f>IF(ISBLANK(INDEX('Policy Characteristics'!L:L,MATCH($C1963,'Policy Characteristics'!$C:$C,0))),"",INDEX('Policy Characteristics'!L:L,MATCH($C1963,'Policy Characteristics'!$C:$C,0)))</f>
        <v/>
      </c>
    </row>
    <row r="1964" spans="1:18" x14ac:dyDescent="0.3">
      <c r="A1964" s="254" t="str">
        <f>IF(ISBLANK(INDEX('Policy Characteristics'!A:A,MATCH($C1964,'Policy Characteristics'!$C:$C,0))),"",INDEX('Policy Characteristics'!A:A,MATCH($C1964,'Policy Characteristics'!$C:$C,0)))</f>
        <v>Government Revenue Accounting</v>
      </c>
      <c r="B1964" s="262" t="str">
        <f>IF(ISBLANK(INDEX('Policy Characteristics'!B:B,MATCH($C1964,'Policy Characteristics'!$C:$C,0))),"",INDEX('Policy Characteristics'!B:B,MATCH($C1964,'Policy Characteristics'!$C:$C,0)))</f>
        <v>National Debt Interest</v>
      </c>
      <c r="C1964" s="254" t="str">
        <f t="shared" si="94"/>
        <v>GRA for National Debt Interest</v>
      </c>
      <c r="D1964" s="1" t="s">
        <v>2962</v>
      </c>
      <c r="F1964" s="1" t="s">
        <v>2966</v>
      </c>
      <c r="H1964" s="43">
        <v>583</v>
      </c>
      <c r="I1964" s="326" t="str">
        <f t="shared" si="95"/>
        <v>Yes</v>
      </c>
      <c r="J1964" s="255" t="str">
        <f>IF(ISBLANK(INDEX('Policy Characteristics'!D:D,MATCH($C1964,'Policy Characteristics'!$C:$C,0))),"",INDEX('Policy Characteristics'!D:D,MATCH($C1964,'Policy Characteristics'!$C:$C,0)))</f>
        <v/>
      </c>
      <c r="K1964" s="254" t="str">
        <f>IF(ISBLANK(INDEX('Policy Characteristics'!E:E,MATCH($C1964,'Policy Characteristics'!$C:$C,0))),"",INDEX('Policy Characteristics'!E:E,MATCH($C1964,'Policy Characteristics'!$C:$C,0)))</f>
        <v>GRA national debt interest</v>
      </c>
      <c r="L1964" s="254">
        <f>IF(ISBLANK(INDEX('Policy Characteristics'!F:F,MATCH($C1964,'Policy Characteristics'!$C:$C,0))),"",INDEX('Policy Characteristics'!F:F,MATCH($C1964,'Policy Characteristics'!$C:$C,0)))</f>
        <v>0</v>
      </c>
      <c r="M1964" s="254">
        <f>IF(ISBLANK(INDEX('Policy Characteristics'!G:G,MATCH($C1964,'Policy Characteristics'!$C:$C,0))),"",INDEX('Policy Characteristics'!G:G,MATCH($C1964,'Policy Characteristics'!$C:$C,0)))</f>
        <v>10</v>
      </c>
      <c r="N1964" s="254">
        <f>IF(ISBLANK(INDEX('Policy Characteristics'!H:H,MATCH($C1964,'Policy Characteristics'!$C:$C,0))),"",INDEX('Policy Characteristics'!H:H,MATCH($C1964,'Policy Characteristics'!$C:$C,0)))</f>
        <v>1</v>
      </c>
      <c r="O1964" s="254" t="str">
        <f>IF(ISBLANK(INDEX('Policy Characteristics'!I:I,MATCH($C1964,'Policy Characteristics'!$C:$C,0))),"",INDEX('Policy Characteristics'!I:I,MATCH($C1964,'Policy Characteristics'!$C:$C,0)))</f>
        <v>weight</v>
      </c>
      <c r="P1964" s="254" t="str">
        <f>IF(ISBLANK(INDEX('Policy Characteristics'!J:J,MATCH($C1964,'Policy Characteristics'!$C:$C,0))),"",INDEX('Policy Characteristics'!J:J,MATCH($C1964,'Policy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4" s="254" t="str">
        <f>IF(ISBLANK(INDEX('Policy Characteristics'!K:K,MATCH($C1964,'Policy Characteristics'!$C:$C,0))),"",INDEX('Policy Characteristics'!K:K,MATCH($C1964,'Policy Characteristics'!$C:$C,0)))</f>
        <v>io-model.html</v>
      </c>
      <c r="R1964" s="254" t="str">
        <f>IF(ISBLANK(INDEX('Policy Characteristics'!L:L,MATCH($C1964,'Policy Characteristics'!$C:$C,0))),"",INDEX('Policy Characteristics'!L:L,MATCH($C1964,'Policy Characteristics'!$C:$C,0)))</f>
        <v/>
      </c>
    </row>
    <row r="1965" spans="1:18" x14ac:dyDescent="0.3">
      <c r="A1965" s="254" t="str">
        <f>IF(ISBLANK(INDEX('Policy Characteristics'!A:A,MATCH($C1965,'Policy Characteristics'!$C:$C,0))),"",INDEX('Policy Characteristics'!A:A,MATCH($C1965,'Policy Characteristics'!$C:$C,0)))</f>
        <v>Government Revenue Accounting</v>
      </c>
      <c r="B1965" s="262" t="str">
        <f>IF(ISBLANK(INDEX('Policy Characteristics'!B:B,MATCH($C1965,'Policy Characteristics'!$C:$C,0))),"",INDEX('Policy Characteristics'!B:B,MATCH($C1965,'Policy Characteristics'!$C:$C,0)))</f>
        <v>National Debt Interest</v>
      </c>
      <c r="C1965" s="254" t="str">
        <f t="shared" si="94"/>
        <v>GRA for National Debt Interest</v>
      </c>
      <c r="D1965" s="1" t="s">
        <v>2963</v>
      </c>
      <c r="F1965" s="1" t="s">
        <v>2967</v>
      </c>
      <c r="H1965" s="43">
        <v>584</v>
      </c>
      <c r="I1965" s="326" t="str">
        <f t="shared" si="95"/>
        <v>Yes</v>
      </c>
      <c r="J1965" s="255" t="str">
        <f>IF(ISBLANK(INDEX('Policy Characteristics'!D:D,MATCH($C1965,'Policy Characteristics'!$C:$C,0))),"",INDEX('Policy Characteristics'!D:D,MATCH($C1965,'Policy Characteristics'!$C:$C,0)))</f>
        <v/>
      </c>
      <c r="K1965" s="254" t="str">
        <f>IF(ISBLANK(INDEX('Policy Characteristics'!E:E,MATCH($C1965,'Policy Characteristics'!$C:$C,0))),"",INDEX('Policy Characteristics'!E:E,MATCH($C1965,'Policy Characteristics'!$C:$C,0)))</f>
        <v>GRA national debt interest</v>
      </c>
      <c r="L1965" s="254">
        <f>IF(ISBLANK(INDEX('Policy Characteristics'!F:F,MATCH($C1965,'Policy Characteristics'!$C:$C,0))),"",INDEX('Policy Characteristics'!F:F,MATCH($C1965,'Policy Characteristics'!$C:$C,0)))</f>
        <v>0</v>
      </c>
      <c r="M1965" s="254">
        <f>IF(ISBLANK(INDEX('Policy Characteristics'!G:G,MATCH($C1965,'Policy Characteristics'!$C:$C,0))),"",INDEX('Policy Characteristics'!G:G,MATCH($C1965,'Policy Characteristics'!$C:$C,0)))</f>
        <v>10</v>
      </c>
      <c r="N1965" s="254">
        <f>IF(ISBLANK(INDEX('Policy Characteristics'!H:H,MATCH($C1965,'Policy Characteristics'!$C:$C,0))),"",INDEX('Policy Characteristics'!H:H,MATCH($C1965,'Policy Characteristics'!$C:$C,0)))</f>
        <v>1</v>
      </c>
      <c r="O1965" s="254" t="str">
        <f>IF(ISBLANK(INDEX('Policy Characteristics'!I:I,MATCH($C1965,'Policy Characteristics'!$C:$C,0))),"",INDEX('Policy Characteristics'!I:I,MATCH($C1965,'Policy Characteristics'!$C:$C,0)))</f>
        <v>weight</v>
      </c>
      <c r="P1965" s="254" t="str">
        <f>IF(ISBLANK(INDEX('Policy Characteristics'!J:J,MATCH($C1965,'Policy Characteristics'!$C:$C,0))),"",INDEX('Policy Characteristics'!J:J,MATCH($C1965,'Policy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5" s="254" t="str">
        <f>IF(ISBLANK(INDEX('Policy Characteristics'!K:K,MATCH($C1965,'Policy Characteristics'!$C:$C,0))),"",INDEX('Policy Characteristics'!K:K,MATCH($C1965,'Policy Characteristics'!$C:$C,0)))</f>
        <v>io-model.html</v>
      </c>
      <c r="R1965" s="254" t="str">
        <f>IF(ISBLANK(INDEX('Policy Characteristics'!L:L,MATCH($C1965,'Policy Characteristics'!$C:$C,0))),"",INDEX('Policy Characteristics'!L:L,MATCH($C1965,'Policy Characteristics'!$C:$C,0)))</f>
        <v/>
      </c>
    </row>
    <row r="1966" spans="1:18" x14ac:dyDescent="0.3">
      <c r="A1966" s="254" t="str">
        <f>IF(ISBLANK(INDEX('Policy Characteristics'!A:A,MATCH($C1966,'Policy Characteristics'!$C:$C,0))),"",INDEX('Policy Characteristics'!A:A,MATCH($C1966,'Policy Characteristics'!$C:$C,0)))</f>
        <v>Government Revenue Accounting</v>
      </c>
      <c r="B1966" s="262" t="str">
        <f>IF(ISBLANK(INDEX('Policy Characteristics'!B:B,MATCH($C1966,'Policy Characteristics'!$C:$C,0))),"",INDEX('Policy Characteristics'!B:B,MATCH($C1966,'Policy Characteristics'!$C:$C,0)))</f>
        <v>Remaining Government Cash Flows</v>
      </c>
      <c r="C1966" t="s">
        <v>2958</v>
      </c>
      <c r="D1966" s="1" t="s">
        <v>2959</v>
      </c>
      <c r="F1966" s="1" t="s">
        <v>2964</v>
      </c>
      <c r="H1966" s="43">
        <v>585</v>
      </c>
      <c r="I1966" s="322" t="s">
        <v>43</v>
      </c>
      <c r="J1966" s="255" t="str">
        <f>IF(ISBLANK(INDEX('Policy Characteristics'!D:D,MATCH($C1966,'Policy Characteristics'!$C:$C,0))),"",INDEX('Policy Characteristics'!D:D,MATCH($C1966,'Policy Characteristics'!$C:$C,0)))</f>
        <v/>
      </c>
      <c r="K1966" s="254" t="str">
        <f>IF(ISBLANK(INDEX('Policy Characteristics'!E:E,MATCH($C1966,'Policy Characteristics'!$C:$C,0))),"",INDEX('Policy Characteristics'!E:E,MATCH($C1966,'Policy Characteristics'!$C:$C,0)))</f>
        <v>GRA remaining cash flow changes</v>
      </c>
      <c r="L1966" s="254">
        <f>IF(ISBLANK(INDEX('Policy Characteristics'!F:F,MATCH($C1966,'Policy Characteristics'!$C:$C,0))),"",INDEX('Policy Characteristics'!F:F,MATCH($C1966,'Policy Characteristics'!$C:$C,0)))</f>
        <v>0</v>
      </c>
      <c r="M1966" s="254">
        <f>IF(ISBLANK(INDEX('Policy Characteristics'!G:G,MATCH($C1966,'Policy Characteristics'!$C:$C,0))),"",INDEX('Policy Characteristics'!G:G,MATCH($C1966,'Policy Characteristics'!$C:$C,0)))</f>
        <v>10</v>
      </c>
      <c r="N1966" s="254">
        <f>IF(ISBLANK(INDEX('Policy Characteristics'!H:H,MATCH($C1966,'Policy Characteristics'!$C:$C,0))),"",INDEX('Policy Characteristics'!H:H,MATCH($C1966,'Policy Characteristics'!$C:$C,0)))</f>
        <v>1</v>
      </c>
      <c r="O1966" s="254" t="str">
        <f>IF(ISBLANK(INDEX('Policy Characteristics'!I:I,MATCH($C1966,'Policy Characteristics'!$C:$C,0))),"",INDEX('Policy Characteristics'!I:I,MATCH($C1966,'Policy Characteristics'!$C:$C,0)))</f>
        <v>weight</v>
      </c>
      <c r="P1966" s="254" t="str">
        <f>IF(ISBLANK(INDEX('Policy Characteristics'!J:J,MATCH($C1966,'Policy Characteristics'!$C:$C,0))),"",INDEX('Policy Characteristics'!J:J,MATCH($C1966,'Policy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6" s="254" t="str">
        <f>IF(ISBLANK(INDEX('Policy Characteristics'!K:K,MATCH($C1966,'Policy Characteristics'!$C:$C,0))),"",INDEX('Policy Characteristics'!K:K,MATCH($C1966,'Policy Characteristics'!$C:$C,0)))</f>
        <v>io-model.html</v>
      </c>
      <c r="R1966" s="254" t="str">
        <f>IF(ISBLANK(INDEX('Policy Characteristics'!L:L,MATCH($C1966,'Policy Characteristics'!$C:$C,0))),"",INDEX('Policy Characteristics'!L:L,MATCH($C1966,'Policy Characteristics'!$C:$C,0)))</f>
        <v/>
      </c>
    </row>
    <row r="1967" spans="1:18" x14ac:dyDescent="0.3">
      <c r="A1967" s="254" t="str">
        <f>IF(ISBLANK(INDEX('Policy Characteristics'!A:A,MATCH($C1967,'Policy Characteristics'!$C:$C,0))),"",INDEX('Policy Characteristics'!A:A,MATCH($C1967,'Policy Characteristics'!$C:$C,0)))</f>
        <v>Government Revenue Accounting</v>
      </c>
      <c r="B1967" s="262" t="str">
        <f>IF(ISBLANK(INDEX('Policy Characteristics'!B:B,MATCH($C1967,'Policy Characteristics'!$C:$C,0))),"",INDEX('Policy Characteristics'!B:B,MATCH($C1967,'Policy Characteristics'!$C:$C,0)))</f>
        <v>Remaining Government Cash Flows</v>
      </c>
      <c r="C1967" s="254" t="str">
        <f t="shared" ref="C1967" si="96">C$1966</f>
        <v>GRA for Remaining Government Cash Flow Changes</v>
      </c>
      <c r="D1967" s="1" t="s">
        <v>2960</v>
      </c>
      <c r="F1967" s="1" t="s">
        <v>2975</v>
      </c>
      <c r="H1967" s="43">
        <v>586</v>
      </c>
      <c r="I1967" s="326" t="str">
        <f t="shared" ref="I1967:I1970" si="97">I$1966</f>
        <v>Yes</v>
      </c>
      <c r="J1967" s="255" t="str">
        <f>IF(ISBLANK(INDEX('Policy Characteristics'!D:D,MATCH($C1967,'Policy Characteristics'!$C:$C,0))),"",INDEX('Policy Characteristics'!D:D,MATCH($C1967,'Policy Characteristics'!$C:$C,0)))</f>
        <v/>
      </c>
      <c r="K1967" s="254" t="str">
        <f>IF(ISBLANK(INDEX('Policy Characteristics'!E:E,MATCH($C1967,'Policy Characteristics'!$C:$C,0))),"",INDEX('Policy Characteristics'!E:E,MATCH($C1967,'Policy Characteristics'!$C:$C,0)))</f>
        <v>GRA remaining cash flow changes</v>
      </c>
      <c r="L1967" s="254">
        <f>IF(ISBLANK(INDEX('Policy Characteristics'!F:F,MATCH($C1967,'Policy Characteristics'!$C:$C,0))),"",INDEX('Policy Characteristics'!F:F,MATCH($C1967,'Policy Characteristics'!$C:$C,0)))</f>
        <v>0</v>
      </c>
      <c r="M1967" s="254">
        <f>IF(ISBLANK(INDEX('Policy Characteristics'!G:G,MATCH($C1967,'Policy Characteristics'!$C:$C,0))),"",INDEX('Policy Characteristics'!G:G,MATCH($C1967,'Policy Characteristics'!$C:$C,0)))</f>
        <v>10</v>
      </c>
      <c r="N1967" s="254">
        <f>IF(ISBLANK(INDEX('Policy Characteristics'!H:H,MATCH($C1967,'Policy Characteristics'!$C:$C,0))),"",INDEX('Policy Characteristics'!H:H,MATCH($C1967,'Policy Characteristics'!$C:$C,0)))</f>
        <v>1</v>
      </c>
      <c r="O1967" s="254" t="str">
        <f>IF(ISBLANK(INDEX('Policy Characteristics'!I:I,MATCH($C1967,'Policy Characteristics'!$C:$C,0))),"",INDEX('Policy Characteristics'!I:I,MATCH($C1967,'Policy Characteristics'!$C:$C,0)))</f>
        <v>weight</v>
      </c>
      <c r="P1967" s="254" t="str">
        <f>IF(ISBLANK(INDEX('Policy Characteristics'!J:J,MATCH($C1967,'Policy Characteristics'!$C:$C,0))),"",INDEX('Policy Characteristics'!J:J,MATCH($C1967,'Policy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7" s="254" t="str">
        <f>IF(ISBLANK(INDEX('Policy Characteristics'!K:K,MATCH($C1967,'Policy Characteristics'!$C:$C,0))),"",INDEX('Policy Characteristics'!K:K,MATCH($C1967,'Policy Characteristics'!$C:$C,0)))</f>
        <v>io-model.html</v>
      </c>
      <c r="R1967" s="254" t="str">
        <f>IF(ISBLANK(INDEX('Policy Characteristics'!L:L,MATCH($C1967,'Policy Characteristics'!$C:$C,0))),"",INDEX('Policy Characteristics'!L:L,MATCH($C1967,'Policy Characteristics'!$C:$C,0)))</f>
        <v/>
      </c>
    </row>
    <row r="1968" spans="1:18" x14ac:dyDescent="0.3">
      <c r="A1968" s="254" t="str">
        <f>IF(ISBLANK(INDEX('Policy Characteristics'!A:A,MATCH($C1968,'Policy Characteristics'!$C:$C,0))),"",INDEX('Policy Characteristics'!A:A,MATCH($C1968,'Policy Characteristics'!$C:$C,0)))</f>
        <v>Government Revenue Accounting</v>
      </c>
      <c r="B1968" s="262" t="str">
        <f>IF(ISBLANK(INDEX('Policy Characteristics'!B:B,MATCH($C1968,'Policy Characteristics'!$C:$C,0))),"",INDEX('Policy Characteristics'!B:B,MATCH($C1968,'Policy Characteristics'!$C:$C,0)))</f>
        <v>Remaining Government Cash Flows</v>
      </c>
      <c r="C1968" s="254" t="str">
        <f t="shared" ref="C1968:C1970" si="98">C$1966</f>
        <v>GRA for Remaining Government Cash Flow Changes</v>
      </c>
      <c r="D1968" s="1" t="s">
        <v>2961</v>
      </c>
      <c r="F1968" s="1" t="s">
        <v>2965</v>
      </c>
      <c r="H1968" s="43">
        <v>587</v>
      </c>
      <c r="I1968" s="326" t="str">
        <f t="shared" si="97"/>
        <v>Yes</v>
      </c>
      <c r="J1968" s="255" t="str">
        <f>IF(ISBLANK(INDEX('Policy Characteristics'!D:D,MATCH($C1968,'Policy Characteristics'!$C:$C,0))),"",INDEX('Policy Characteristics'!D:D,MATCH($C1968,'Policy Characteristics'!$C:$C,0)))</f>
        <v/>
      </c>
      <c r="K1968" s="254" t="str">
        <f>IF(ISBLANK(INDEX('Policy Characteristics'!E:E,MATCH($C1968,'Policy Characteristics'!$C:$C,0))),"",INDEX('Policy Characteristics'!E:E,MATCH($C1968,'Policy Characteristics'!$C:$C,0)))</f>
        <v>GRA remaining cash flow changes</v>
      </c>
      <c r="L1968" s="254">
        <f>IF(ISBLANK(INDEX('Policy Characteristics'!F:F,MATCH($C1968,'Policy Characteristics'!$C:$C,0))),"",INDEX('Policy Characteristics'!F:F,MATCH($C1968,'Policy Characteristics'!$C:$C,0)))</f>
        <v>0</v>
      </c>
      <c r="M1968" s="254">
        <f>IF(ISBLANK(INDEX('Policy Characteristics'!G:G,MATCH($C1968,'Policy Characteristics'!$C:$C,0))),"",INDEX('Policy Characteristics'!G:G,MATCH($C1968,'Policy Characteristics'!$C:$C,0)))</f>
        <v>10</v>
      </c>
      <c r="N1968" s="254">
        <f>IF(ISBLANK(INDEX('Policy Characteristics'!H:H,MATCH($C1968,'Policy Characteristics'!$C:$C,0))),"",INDEX('Policy Characteristics'!H:H,MATCH($C1968,'Policy Characteristics'!$C:$C,0)))</f>
        <v>1</v>
      </c>
      <c r="O1968" s="254" t="str">
        <f>IF(ISBLANK(INDEX('Policy Characteristics'!I:I,MATCH($C1968,'Policy Characteristics'!$C:$C,0))),"",INDEX('Policy Characteristics'!I:I,MATCH($C1968,'Policy Characteristics'!$C:$C,0)))</f>
        <v>weight</v>
      </c>
      <c r="P1968" s="254" t="str">
        <f>IF(ISBLANK(INDEX('Policy Characteristics'!J:J,MATCH($C1968,'Policy Characteristics'!$C:$C,0))),"",INDEX('Policy Characteristics'!J:J,MATCH($C1968,'Policy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8" s="254" t="str">
        <f>IF(ISBLANK(INDEX('Policy Characteristics'!K:K,MATCH($C1968,'Policy Characteristics'!$C:$C,0))),"",INDEX('Policy Characteristics'!K:K,MATCH($C1968,'Policy Characteristics'!$C:$C,0)))</f>
        <v>io-model.html</v>
      </c>
      <c r="R1968" s="254" t="str">
        <f>IF(ISBLANK(INDEX('Policy Characteristics'!L:L,MATCH($C1968,'Policy Characteristics'!$C:$C,0))),"",INDEX('Policy Characteristics'!L:L,MATCH($C1968,'Policy Characteristics'!$C:$C,0)))</f>
        <v/>
      </c>
    </row>
    <row r="1969" spans="1:18" x14ac:dyDescent="0.3">
      <c r="A1969" s="254" t="str">
        <f>IF(ISBLANK(INDEX('Policy Characteristics'!A:A,MATCH($C1969,'Policy Characteristics'!$C:$C,0))),"",INDEX('Policy Characteristics'!A:A,MATCH($C1969,'Policy Characteristics'!$C:$C,0)))</f>
        <v>Government Revenue Accounting</v>
      </c>
      <c r="B1969" s="262" t="str">
        <f>IF(ISBLANK(INDEX('Policy Characteristics'!B:B,MATCH($C1969,'Policy Characteristics'!$C:$C,0))),"",INDEX('Policy Characteristics'!B:B,MATCH($C1969,'Policy Characteristics'!$C:$C,0)))</f>
        <v>Remaining Government Cash Flows</v>
      </c>
      <c r="C1969" s="254" t="str">
        <f t="shared" si="98"/>
        <v>GRA for Remaining Government Cash Flow Changes</v>
      </c>
      <c r="D1969" s="1" t="s">
        <v>2962</v>
      </c>
      <c r="F1969" s="1" t="s">
        <v>2966</v>
      </c>
      <c r="H1969" s="43">
        <v>588</v>
      </c>
      <c r="I1969" s="326" t="str">
        <f t="shared" si="97"/>
        <v>Yes</v>
      </c>
      <c r="J1969" s="255" t="str">
        <f>IF(ISBLANK(INDEX('Policy Characteristics'!D:D,MATCH($C1969,'Policy Characteristics'!$C:$C,0))),"",INDEX('Policy Characteristics'!D:D,MATCH($C1969,'Policy Characteristics'!$C:$C,0)))</f>
        <v/>
      </c>
      <c r="K1969" s="254" t="str">
        <f>IF(ISBLANK(INDEX('Policy Characteristics'!E:E,MATCH($C1969,'Policy Characteristics'!$C:$C,0))),"",INDEX('Policy Characteristics'!E:E,MATCH($C1969,'Policy Characteristics'!$C:$C,0)))</f>
        <v>GRA remaining cash flow changes</v>
      </c>
      <c r="L1969" s="254">
        <f>IF(ISBLANK(INDEX('Policy Characteristics'!F:F,MATCH($C1969,'Policy Characteristics'!$C:$C,0))),"",INDEX('Policy Characteristics'!F:F,MATCH($C1969,'Policy Characteristics'!$C:$C,0)))</f>
        <v>0</v>
      </c>
      <c r="M1969" s="254">
        <f>IF(ISBLANK(INDEX('Policy Characteristics'!G:G,MATCH($C1969,'Policy Characteristics'!$C:$C,0))),"",INDEX('Policy Characteristics'!G:G,MATCH($C1969,'Policy Characteristics'!$C:$C,0)))</f>
        <v>10</v>
      </c>
      <c r="N1969" s="254">
        <f>IF(ISBLANK(INDEX('Policy Characteristics'!H:H,MATCH($C1969,'Policy Characteristics'!$C:$C,0))),"",INDEX('Policy Characteristics'!H:H,MATCH($C1969,'Policy Characteristics'!$C:$C,0)))</f>
        <v>1</v>
      </c>
      <c r="O1969" s="254" t="str">
        <f>IF(ISBLANK(INDEX('Policy Characteristics'!I:I,MATCH($C1969,'Policy Characteristics'!$C:$C,0))),"",INDEX('Policy Characteristics'!I:I,MATCH($C1969,'Policy Characteristics'!$C:$C,0)))</f>
        <v>weight</v>
      </c>
      <c r="P1969" s="254" t="str">
        <f>IF(ISBLANK(INDEX('Policy Characteristics'!J:J,MATCH($C1969,'Policy Characteristics'!$C:$C,0))),"",INDEX('Policy Characteristics'!J:J,MATCH($C1969,'Policy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69" s="254" t="str">
        <f>IF(ISBLANK(INDEX('Policy Characteristics'!K:K,MATCH($C1969,'Policy Characteristics'!$C:$C,0))),"",INDEX('Policy Characteristics'!K:K,MATCH($C1969,'Policy Characteristics'!$C:$C,0)))</f>
        <v>io-model.html</v>
      </c>
      <c r="R1969" s="254" t="str">
        <f>IF(ISBLANK(INDEX('Policy Characteristics'!L:L,MATCH($C1969,'Policy Characteristics'!$C:$C,0))),"",INDEX('Policy Characteristics'!L:L,MATCH($C1969,'Policy Characteristics'!$C:$C,0)))</f>
        <v/>
      </c>
    </row>
    <row r="1970" spans="1:18" x14ac:dyDescent="0.3">
      <c r="A1970" s="254" t="str">
        <f>IF(ISBLANK(INDEX('Policy Characteristics'!A:A,MATCH($C1970,'Policy Characteristics'!$C:$C,0))),"",INDEX('Policy Characteristics'!A:A,MATCH($C1970,'Policy Characteristics'!$C:$C,0)))</f>
        <v>Government Revenue Accounting</v>
      </c>
      <c r="B1970" s="262" t="str">
        <f>IF(ISBLANK(INDEX('Policy Characteristics'!B:B,MATCH($C1970,'Policy Characteristics'!$C:$C,0))),"",INDEX('Policy Characteristics'!B:B,MATCH($C1970,'Policy Characteristics'!$C:$C,0)))</f>
        <v>Remaining Government Cash Flows</v>
      </c>
      <c r="C1970" s="254" t="str">
        <f t="shared" si="98"/>
        <v>GRA for Remaining Government Cash Flow Changes</v>
      </c>
      <c r="D1970" s="1" t="s">
        <v>2963</v>
      </c>
      <c r="F1970" s="1" t="s">
        <v>2967</v>
      </c>
      <c r="H1970" s="43">
        <v>589</v>
      </c>
      <c r="I1970" s="326" t="str">
        <f t="shared" si="97"/>
        <v>Yes</v>
      </c>
      <c r="J1970" s="255" t="str">
        <f>IF(ISBLANK(INDEX('Policy Characteristics'!D:D,MATCH($C1970,'Policy Characteristics'!$C:$C,0))),"",INDEX('Policy Characteristics'!D:D,MATCH($C1970,'Policy Characteristics'!$C:$C,0)))</f>
        <v/>
      </c>
      <c r="K1970" s="254" t="str">
        <f>IF(ISBLANK(INDEX('Policy Characteristics'!E:E,MATCH($C1970,'Policy Characteristics'!$C:$C,0))),"",INDEX('Policy Characteristics'!E:E,MATCH($C1970,'Policy Characteristics'!$C:$C,0)))</f>
        <v>GRA remaining cash flow changes</v>
      </c>
      <c r="L1970" s="254">
        <f>IF(ISBLANK(INDEX('Policy Characteristics'!F:F,MATCH($C1970,'Policy Characteristics'!$C:$C,0))),"",INDEX('Policy Characteristics'!F:F,MATCH($C1970,'Policy Characteristics'!$C:$C,0)))</f>
        <v>0</v>
      </c>
      <c r="M1970" s="254">
        <f>IF(ISBLANK(INDEX('Policy Characteristics'!G:G,MATCH($C1970,'Policy Characteristics'!$C:$C,0))),"",INDEX('Policy Characteristics'!G:G,MATCH($C1970,'Policy Characteristics'!$C:$C,0)))</f>
        <v>10</v>
      </c>
      <c r="N1970" s="254">
        <f>IF(ISBLANK(INDEX('Policy Characteristics'!H:H,MATCH($C1970,'Policy Characteristics'!$C:$C,0))),"",INDEX('Policy Characteristics'!H:H,MATCH($C1970,'Policy Characteristics'!$C:$C,0)))</f>
        <v>1</v>
      </c>
      <c r="O1970" s="254" t="str">
        <f>IF(ISBLANK(INDEX('Policy Characteristics'!I:I,MATCH($C1970,'Policy Characteristics'!$C:$C,0))),"",INDEX('Policy Characteristics'!I:I,MATCH($C1970,'Policy Characteristics'!$C:$C,0)))</f>
        <v>weight</v>
      </c>
      <c r="P1970" s="254" t="str">
        <f>IF(ISBLANK(INDEX('Policy Characteristics'!J:J,MATCH($C1970,'Policy Characteristics'!$C:$C,0))),"",INDEX('Policy Characteristics'!J:J,MATCH($C1970,'Policy Characteristics'!$C:$C,0)))</f>
        <v>**Description:** This is one of several control settings that help determine how government accounts for policy-driven changes in its cash flow (such as increased or decreased tax revenues or subsidy payments). **Regular Spending** means government will increase or decrease its spending on its normal budget (e.g. activities such as defense, education, and administrative expenses) to spend increased revenue or to make up for a reduction in revenue. **Budget Deficit** means government will grow or shrink the national debt (with associated implications for interest payments) to spend increased revenue or to make up for a reduction in revenue. **Household Taxes** means government will increase or decrease taxes on households (or give households a "climate dividend") to spend increased revenue or to make up for a reduction in revenue. **Payroll Taxes** means government will increase or decrease payroll taxes to spend increased revenue or to make up for a reduction in revenue. **Corporate Taxes** means government will increase or decrease corporate income taxes to spend increased revenue or to make up for a reduction in revenue. // **Guidance for setting values:** This value is set as a weight (1 to 10) to indicate its relative importance among the modeled government revenue accounting modes.  The share of the change in government cash flow using this mode is this mode's weight divided by the total of the weights assigned to all modes (or an equal share, if every mode is assigned zero weight).</v>
      </c>
      <c r="Q1970" s="254" t="str">
        <f>IF(ISBLANK(INDEX('Policy Characteristics'!K:K,MATCH($C1970,'Policy Characteristics'!$C:$C,0))),"",INDEX('Policy Characteristics'!K:K,MATCH($C1970,'Policy Characteristics'!$C:$C,0)))</f>
        <v>io-model.html</v>
      </c>
      <c r="R1970" s="254" t="str">
        <f>IF(ISBLANK(INDEX('Policy Characteristics'!L:L,MATCH($C1970,'Policy Characteristics'!$C:$C,0))),"",INDEX('Policy Characteristics'!L:L,MATCH($C1970,'Policy Characteristics'!$C:$C,0)))</f>
        <v/>
      </c>
    </row>
    <row r="1971" spans="1:18" x14ac:dyDescent="0.3">
      <c r="A1971" s="254" t="str">
        <f>IF(ISBLANK(INDEX('Policy Characteristics'!A:A,MATCH($C1971,'Policy Characteristics'!$C:$C,0))),"",INDEX('Policy Characteristics'!A:A,MATCH($C1971,'Policy Characteristics'!$C:$C,0)))</f>
        <v>Control Settings</v>
      </c>
      <c r="B1971" s="262" t="str">
        <f>IF(ISBLANK(INDEX('Policy Characteristics'!B:B,MATCH($C1971,'Policy Characteristics'!$C:$C,0))),"",INDEX('Policy Characteristics'!B:B,MATCH($C1971,'Policy Characteristics'!$C:$C,0)))</f>
        <v>COVID-19 Recession</v>
      </c>
      <c r="C1971" s="1" t="s">
        <v>3419</v>
      </c>
      <c r="H1971" s="43">
        <v>543</v>
      </c>
      <c r="I1971" s="322" t="s">
        <v>44</v>
      </c>
      <c r="J1971" s="255" t="str">
        <f>IF(ISBLANK(INDEX('Policy Characteristics'!D:D,MATCH($C1971,'Policy Characteristics'!$C:$C,0))),"",INDEX('Policy Characteristics'!D:D,MATCH($C1971,'Policy Characteristics'!$C:$C,0)))</f>
        <v/>
      </c>
      <c r="K1971" s="254" t="str">
        <f>IF(ISBLANK(INDEX('Policy Characteristics'!E:E,MATCH($C1971,'Policy Characteristics'!$C:$C,0))),"",INDEX('Policy Characteristics'!E:E,MATCH($C1971,'Policy Characteristics'!$C:$C,0)))</f>
        <v>settings exogenous GDP adjustment</v>
      </c>
      <c r="L1971" s="359">
        <f>IF(ISBLANK(INDEX('Policy Characteristics'!F:F,MATCH($C1971,'Policy Characteristics'!$C:$C,0))),"",INDEX('Policy Characteristics'!F:F,MATCH($C1971,'Policy Characteristics'!$C:$C,0)))</f>
        <v>0</v>
      </c>
      <c r="M1971" s="359">
        <f>IF(ISBLANK(INDEX('Policy Characteristics'!G:G,MATCH($C1971,'Policy Characteristics'!$C:$C,0))),"",INDEX('Policy Characteristics'!G:G,MATCH($C1971,'Policy Characteristics'!$C:$C,0)))</f>
        <v>1</v>
      </c>
      <c r="N1971" s="359">
        <f>IF(ISBLANK(INDEX('Policy Characteristics'!H:H,MATCH($C1971,'Policy Characteristics'!$C:$C,0))),"",INDEX('Policy Characteristics'!H:H,MATCH($C1971,'Policy Characteristics'!$C:$C,0)))</f>
        <v>1</v>
      </c>
      <c r="O1971" s="254" t="str">
        <f>IF(ISBLANK(INDEX('Policy Characteristics'!I:I,MATCH($C1971,'Policy Characteristics'!$C:$C,0))),"",INDEX('Policy Characteristics'!I:I,MATCH($C1971,'Policy Characteristics'!$C:$C,0)))</f>
        <v>on/off</v>
      </c>
      <c r="P1971" s="254" t="str">
        <f>IF(ISBLANK(INDEX('Policy Characteristics'!J:J,MATCH($C1971,'Policy Characteristics'!$C:$C,0))),"",INDEX('Policy Characteristics'!J:J,MATCH($C1971,'Policy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71" s="254" t="str">
        <f>IF(ISBLANK(INDEX('Policy Characteristics'!K:K,MATCH($C1971,'Policy Characteristics'!$C:$C,0))),"",INDEX('Policy Characteristics'!K:K,MATCH($C1971,'Policy Characteristics'!$C:$C,0)))</f>
        <v/>
      </c>
      <c r="R1971" s="254" t="str">
        <f>IF(ISBLANK(INDEX('Policy Characteristics'!L:L,MATCH($C1971,'Policy Characteristics'!$C:$C,0))),"",INDEX('Policy Characteristics'!L:L,MATCH($C1971,'Policy Characteristics'!$C:$C,0)))</f>
        <v/>
      </c>
    </row>
    <row r="1972" spans="1:18" x14ac:dyDescent="0.3">
      <c r="A1972" s="254" t="str">
        <f>IF(ISBLANK(INDEX('Policy Characteristics'!A:A,MATCH($C1972,'Policy Characteristics'!$C:$C,0))),"",INDEX('Policy Characteristics'!A:A,MATCH($C1972,'Policy Characteristics'!$C:$C,0)))</f>
        <v>Control Settings</v>
      </c>
      <c r="B1972" s="262" t="str">
        <f>IF(ISBLANK(INDEX('Policy Characteristics'!B:B,MATCH($C1972,'Policy Characteristics'!$C:$C,0))),"",INDEX('Policy Characteristics'!B:B,MATCH($C1972,'Policy Characteristics'!$C:$C,0)))</f>
        <v>Use 20-Year GWP Values</v>
      </c>
      <c r="C1972" t="s">
        <v>3281</v>
      </c>
      <c r="H1972" s="43">
        <v>1601</v>
      </c>
      <c r="I1972" s="322" t="s">
        <v>44</v>
      </c>
      <c r="J1972" s="255" t="str">
        <f>IF(ISBLANK(INDEX('Policy Characteristics'!D:D,MATCH($C1972,'Policy Characteristics'!$C:$C,0))),"",INDEX('Policy Characteristics'!D:D,MATCH($C1972,'Policy Characteristics'!$C:$C,0)))</f>
        <v/>
      </c>
      <c r="K1972" s="254" t="str">
        <f>IF(ISBLANK(INDEX('Policy Characteristics'!E:E,MATCH($C1972,'Policy Characteristics'!$C:$C,0))),"",INDEX('Policy Characteristics'!E:E,MATCH($C1972,'Policy Characteristics'!$C:$C,0)))</f>
        <v/>
      </c>
      <c r="L1972" s="359">
        <f>IF(ISBLANK(INDEX('Policy Characteristics'!F:F,MATCH($C1972,'Policy Characteristics'!$C:$C,0))),"",INDEX('Policy Characteristics'!F:F,MATCH($C1972,'Policy Characteristics'!$C:$C,0)))</f>
        <v>0</v>
      </c>
      <c r="M1972" s="359">
        <f>IF(ISBLANK(INDEX('Policy Characteristics'!G:G,MATCH($C1972,'Policy Characteristics'!$C:$C,0))),"",INDEX('Policy Characteristics'!G:G,MATCH($C1972,'Policy Characteristics'!$C:$C,0)))</f>
        <v>1</v>
      </c>
      <c r="N1972" s="359">
        <f>IF(ISBLANK(INDEX('Policy Characteristics'!H:H,MATCH($C1972,'Policy Characteristics'!$C:$C,0))),"",INDEX('Policy Characteristics'!H:H,MATCH($C1972,'Policy Characteristics'!$C:$C,0)))</f>
        <v>1</v>
      </c>
      <c r="O1972" s="254" t="str">
        <f>IF(ISBLANK(INDEX('Policy Characteristics'!I:I,MATCH($C1972,'Policy Characteristics'!$C:$C,0))),"",INDEX('Policy Characteristics'!I:I,MATCH($C1972,'Policy Characteristics'!$C:$C,0)))</f>
        <v>on/off</v>
      </c>
      <c r="P1972" s="254" t="str">
        <f>IF(ISBLANK(INDEX('Policy Characteristics'!J:J,MATCH($C1972,'Policy Characteristics'!$C:$C,0))),"",INDEX('Policy Characteristics'!J:J,MATCH($C1972,'Policy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72" s="254" t="str">
        <f>IF(ISBLANK(INDEX('Policy Characteristics'!K:K,MATCH($C1972,'Policy Characteristics'!$C:$C,0))),"",INDEX('Policy Characteristics'!K:K,MATCH($C1972,'Policy Characteristics'!$C:$C,0)))</f>
        <v/>
      </c>
      <c r="R1972" s="254" t="str">
        <f>IF(ISBLANK(INDEX('Policy Characteristics'!L:L,MATCH($C1972,'Policy Characteristics'!$C:$C,0))),"",INDEX('Policy Characteristics'!L:L,MATCH($C1972,'Policy Characteristics'!$C:$C,0)))</f>
        <v/>
      </c>
    </row>
  </sheetData>
  <sortState xmlns:xlrd2="http://schemas.microsoft.com/office/spreadsheetml/2017/richdata2" ref="A203:I223">
    <sortCondition ref="B203:B223"/>
  </sortState>
  <conditionalFormatting sqref="I1:I1921 I1971:I1972 I1976:I1048576">
    <cfRule type="containsText" dxfId="5" priority="3" operator="containsText" text="No">
      <formula>NOT(ISERROR(SEARCH("No",I1)))</formula>
    </cfRule>
  </conditionalFormatting>
  <conditionalFormatting sqref="I1926 I1931 I1936 I1941 I1946 I1951 I1961 I1966">
    <cfRule type="containsText" dxfId="4" priority="133" operator="containsText" text="No">
      <formula>NOT(ISERROR(SEARCH("No",I1926)))</formula>
    </cfRule>
  </conditionalFormatting>
  <conditionalFormatting sqref="I1956">
    <cfRule type="containsText" dxfId="2" priority="1" operator="containsText" text="No">
      <formula>NOT(ISERROR(SEARCH("No",I1956)))</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B22" sqref="B22"/>
    </sheetView>
  </sheetViews>
  <sheetFormatPr defaultColWidth="9.109375" defaultRowHeight="14.4" x14ac:dyDescent="0.3"/>
  <cols>
    <col min="1" max="2" width="76.88671875" customWidth="1"/>
  </cols>
  <sheetData>
    <row r="1" spans="1:2" x14ac:dyDescent="0.3">
      <c r="A1" s="413" t="s">
        <v>2814</v>
      </c>
      <c r="B1" s="413"/>
    </row>
    <row r="2" spans="1:2" x14ac:dyDescent="0.3">
      <c r="A2" s="195" t="s">
        <v>2815</v>
      </c>
      <c r="B2" s="195" t="s">
        <v>2816</v>
      </c>
    </row>
    <row r="3" spans="1:2" x14ac:dyDescent="0.3">
      <c r="A3" s="196" t="s">
        <v>352</v>
      </c>
      <c r="B3" t="str">
        <f>A3</f>
        <v>million metric tons / year</v>
      </c>
    </row>
    <row r="4" spans="1:2" x14ac:dyDescent="0.3">
      <c r="A4" s="196" t="s">
        <v>3477</v>
      </c>
      <c r="B4" t="str">
        <f>A4</f>
        <v>million metric tons</v>
      </c>
    </row>
    <row r="5" spans="1:2" x14ac:dyDescent="0.3">
      <c r="A5" s="196" t="s">
        <v>3687</v>
      </c>
      <c r="B5" t="str">
        <f>A5</f>
        <v>g CO2e / 2023 dollar</v>
      </c>
    </row>
    <row r="6" spans="1:2" x14ac:dyDescent="0.3">
      <c r="A6" s="197" t="s">
        <v>2320</v>
      </c>
      <c r="B6" t="str">
        <f t="shared" ref="B6:B46" si="0">A6</f>
        <v>thousand metric tons / year</v>
      </c>
    </row>
    <row r="7" spans="1:2" x14ac:dyDescent="0.3">
      <c r="A7" s="197" t="s">
        <v>3688</v>
      </c>
      <c r="B7" t="str">
        <f>A7</f>
        <v>g CO2 / 2023 dollar</v>
      </c>
    </row>
    <row r="8" spans="1:2" ht="28.8" x14ac:dyDescent="0.3">
      <c r="A8" s="197" t="s">
        <v>3689</v>
      </c>
      <c r="B8" t="str">
        <f t="shared" si="0"/>
        <v>2023 dollars / metric ton CO2e abated, Annual average abatement (million metric tons CO2e)</v>
      </c>
    </row>
    <row r="9" spans="1:2" x14ac:dyDescent="0.3">
      <c r="A9" s="197" t="s">
        <v>3690</v>
      </c>
      <c r="B9" t="str">
        <f t="shared" si="0"/>
        <v>billion 2023 dollars / year</v>
      </c>
    </row>
    <row r="10" spans="1:2" x14ac:dyDescent="0.3">
      <c r="A10" s="197" t="s">
        <v>3691</v>
      </c>
      <c r="B10" t="str">
        <f t="shared" si="0"/>
        <v>billion 2023 dollars</v>
      </c>
    </row>
    <row r="11" spans="1:2" x14ac:dyDescent="0.3">
      <c r="A11" s="197" t="s">
        <v>2856</v>
      </c>
      <c r="B11" t="str">
        <f t="shared" si="0"/>
        <v>jobs</v>
      </c>
    </row>
    <row r="12" spans="1:2" x14ac:dyDescent="0.3">
      <c r="A12" s="197" t="s">
        <v>2898</v>
      </c>
      <c r="B12" t="str">
        <f t="shared" si="0"/>
        <v>incidents / year</v>
      </c>
    </row>
    <row r="13" spans="1:2" x14ac:dyDescent="0.3">
      <c r="A13" s="197" t="s">
        <v>2875</v>
      </c>
      <c r="B13" t="str">
        <f t="shared" si="0"/>
        <v>% change</v>
      </c>
    </row>
    <row r="14" spans="1:2" x14ac:dyDescent="0.3">
      <c r="A14" s="197" t="s">
        <v>3692</v>
      </c>
      <c r="B14" t="str">
        <f t="shared" si="0"/>
        <v>2023 dollars / employee-year</v>
      </c>
    </row>
    <row r="15" spans="1:2" x14ac:dyDescent="0.3">
      <c r="A15" s="197" t="s">
        <v>353</v>
      </c>
      <c r="B15" t="str">
        <f t="shared" si="0"/>
        <v>lives / year</v>
      </c>
    </row>
    <row r="16" spans="1:2" x14ac:dyDescent="0.3">
      <c r="A16" s="197" t="s">
        <v>354</v>
      </c>
      <c r="B16" t="str">
        <f t="shared" si="0"/>
        <v>terawatt-hours (TWh) / year</v>
      </c>
    </row>
    <row r="17" spans="1:2" x14ac:dyDescent="0.3">
      <c r="A17" s="197" t="s">
        <v>3556</v>
      </c>
      <c r="B17" t="str">
        <f t="shared" si="0"/>
        <v>terawatt-hours (TWh)</v>
      </c>
    </row>
    <row r="18" spans="1:2" x14ac:dyDescent="0.3">
      <c r="A18" s="197" t="s">
        <v>3325</v>
      </c>
      <c r="B18" t="str">
        <f t="shared" si="0"/>
        <v>%</v>
      </c>
    </row>
    <row r="19" spans="1:2" x14ac:dyDescent="0.3">
      <c r="A19" s="197" t="s">
        <v>3326</v>
      </c>
      <c r="B19" t="str">
        <f t="shared" si="0"/>
        <v>metric tons CO2e / megawatt-hour (MWh)</v>
      </c>
    </row>
    <row r="20" spans="1:2" x14ac:dyDescent="0.3">
      <c r="A20" s="197" t="s">
        <v>3693</v>
      </c>
      <c r="B20" t="str">
        <f t="shared" si="0"/>
        <v>kilowatt-hour / 2023 dollar</v>
      </c>
    </row>
    <row r="21" spans="1:2" x14ac:dyDescent="0.3">
      <c r="A21" s="197" t="s">
        <v>355</v>
      </c>
      <c r="B21" t="str">
        <f t="shared" si="0"/>
        <v>gigawatts (GW) / year</v>
      </c>
    </row>
    <row r="22" spans="1:2" x14ac:dyDescent="0.3">
      <c r="A22" s="197" t="s">
        <v>3694</v>
      </c>
      <c r="B22" t="str">
        <f t="shared" si="0"/>
        <v>2023 dollars / megawatt-hour (MWh)</v>
      </c>
    </row>
    <row r="23" spans="1:2" x14ac:dyDescent="0.3">
      <c r="A23" s="197" t="s">
        <v>2459</v>
      </c>
      <c r="B23" t="str">
        <f t="shared" si="0"/>
        <v>cubic km / yr</v>
      </c>
    </row>
    <row r="24" spans="1:2" x14ac:dyDescent="0.3">
      <c r="A24" s="197" t="s">
        <v>2379</v>
      </c>
      <c r="B24" t="str">
        <f t="shared" si="0"/>
        <v>trillion passenger-miles / year</v>
      </c>
    </row>
    <row r="25" spans="1:2" x14ac:dyDescent="0.3">
      <c r="A25" s="197" t="s">
        <v>2380</v>
      </c>
      <c r="B25" t="str">
        <f t="shared" si="0"/>
        <v>trillion freight ton-miles / year</v>
      </c>
    </row>
    <row r="26" spans="1:2" x14ac:dyDescent="0.3">
      <c r="A26" s="197" t="s">
        <v>475</v>
      </c>
      <c r="B26" t="str">
        <f t="shared" si="0"/>
        <v>million vehicles / year</v>
      </c>
    </row>
    <row r="27" spans="1:2" x14ac:dyDescent="0.3">
      <c r="A27" s="197" t="s">
        <v>2357</v>
      </c>
      <c r="B27" t="str">
        <f t="shared" si="0"/>
        <v>thousand vehicles / year</v>
      </c>
    </row>
    <row r="28" spans="1:2" x14ac:dyDescent="0.3">
      <c r="A28" s="197" t="s">
        <v>2356</v>
      </c>
      <c r="B28" t="str">
        <f t="shared" si="0"/>
        <v>million vehicles</v>
      </c>
    </row>
    <row r="29" spans="1:2" x14ac:dyDescent="0.3">
      <c r="A29" s="197" t="s">
        <v>2389</v>
      </c>
      <c r="B29" t="str">
        <f t="shared" si="0"/>
        <v>thousand vehicles</v>
      </c>
    </row>
    <row r="30" spans="1:2" x14ac:dyDescent="0.3">
      <c r="A30" s="197" t="s">
        <v>457</v>
      </c>
      <c r="B30" t="str">
        <f t="shared" si="0"/>
        <v>quads / year</v>
      </c>
    </row>
    <row r="31" spans="1:2" x14ac:dyDescent="0.3">
      <c r="A31" s="197" t="s">
        <v>3695</v>
      </c>
      <c r="B31" t="str">
        <f>A31</f>
        <v>thousand BTU / 2023 dollar</v>
      </c>
    </row>
    <row r="32" spans="1:2" x14ac:dyDescent="0.3">
      <c r="A32" s="197" t="s">
        <v>2362</v>
      </c>
      <c r="B32" t="str">
        <f t="shared" si="0"/>
        <v>millions of short tons / year</v>
      </c>
    </row>
    <row r="33" spans="1:2" x14ac:dyDescent="0.3">
      <c r="A33" s="197" t="s">
        <v>2363</v>
      </c>
      <c r="B33" t="str">
        <f t="shared" si="0"/>
        <v>trillion cubic feet / year</v>
      </c>
    </row>
    <row r="34" spans="1:2" x14ac:dyDescent="0.3">
      <c r="A34" s="197" t="s">
        <v>3295</v>
      </c>
      <c r="B34" t="str">
        <f t="shared" si="0"/>
        <v>million barrels of oil / year</v>
      </c>
    </row>
    <row r="35" spans="1:2" x14ac:dyDescent="0.3">
      <c r="A35" s="197" t="s">
        <v>2634</v>
      </c>
      <c r="B35" t="str">
        <f t="shared" si="0"/>
        <v>million gallons / year</v>
      </c>
    </row>
    <row r="36" spans="1:2" x14ac:dyDescent="0.3">
      <c r="A36" s="197" t="s">
        <v>2424</v>
      </c>
      <c r="B36" t="str">
        <f t="shared" si="0"/>
        <v>trillion BTU / year</v>
      </c>
    </row>
    <row r="37" spans="1:2" x14ac:dyDescent="0.3">
      <c r="A37" s="197" t="s">
        <v>3696</v>
      </c>
      <c r="B37" t="str">
        <f t="shared" si="0"/>
        <v>2023 dollars / short ton</v>
      </c>
    </row>
    <row r="38" spans="1:2" x14ac:dyDescent="0.3">
      <c r="A38" s="197" t="s">
        <v>3697</v>
      </c>
      <c r="B38" t="str">
        <f t="shared" si="0"/>
        <v>2023 dollars / thousand cubic feet</v>
      </c>
    </row>
    <row r="39" spans="1:2" x14ac:dyDescent="0.3">
      <c r="A39" s="197" t="s">
        <v>3698</v>
      </c>
      <c r="B39" t="str">
        <f t="shared" si="0"/>
        <v>2023 dollars / gallon</v>
      </c>
    </row>
    <row r="40" spans="1:2" x14ac:dyDescent="0.3">
      <c r="A40" s="197" t="s">
        <v>3699</v>
      </c>
      <c r="B40" t="str">
        <f t="shared" si="0"/>
        <v>2023 dollars / barrel of oil</v>
      </c>
    </row>
    <row r="41" spans="1:2" x14ac:dyDescent="0.3">
      <c r="A41" s="197" t="s">
        <v>3700</v>
      </c>
      <c r="B41" t="str">
        <f t="shared" si="0"/>
        <v>2023 dollars / kg</v>
      </c>
    </row>
    <row r="42" spans="1:2" x14ac:dyDescent="0.3">
      <c r="A42" s="197" t="s">
        <v>3701</v>
      </c>
      <c r="B42" t="str">
        <f t="shared" si="0"/>
        <v>2023 dollars / kilowatt-hour (kWh)</v>
      </c>
    </row>
    <row r="43" spans="1:2" x14ac:dyDescent="0.3">
      <c r="A43" s="197" t="s">
        <v>3694</v>
      </c>
      <c r="B43" t="str">
        <f t="shared" ref="B43" si="1">A43</f>
        <v>2023 dollars / megawatt-hour (MWh)</v>
      </c>
    </row>
    <row r="44" spans="1:2" x14ac:dyDescent="0.3">
      <c r="A44" s="197" t="s">
        <v>3284</v>
      </c>
      <c r="B44" t="str">
        <f t="shared" si="0"/>
        <v>cost of eqpt. to capture 1 metric ton CO2e/yr (2020 dollars)</v>
      </c>
    </row>
    <row r="45" spans="1:2" x14ac:dyDescent="0.3">
      <c r="A45" s="197" t="s">
        <v>3702</v>
      </c>
      <c r="B45" t="str">
        <f t="shared" si="0"/>
        <v>million 2023 dollars / megawatt (MW)</v>
      </c>
    </row>
    <row r="46" spans="1:2" x14ac:dyDescent="0.3">
      <c r="A46" s="197" t="s">
        <v>3703</v>
      </c>
      <c r="B46" t="str">
        <f t="shared" si="0"/>
        <v>cost of eqpt. to produce 1 kg H2/yr (2023 dollars)</v>
      </c>
    </row>
    <row r="48" spans="1:2" x14ac:dyDescent="0.3">
      <c r="A48" s="413" t="s">
        <v>2818</v>
      </c>
      <c r="B48" s="413"/>
    </row>
    <row r="49" spans="1:2" x14ac:dyDescent="0.3">
      <c r="A49" s="195" t="s">
        <v>2815</v>
      </c>
      <c r="B49" s="195" t="s">
        <v>2816</v>
      </c>
    </row>
    <row r="50" spans="1:2" x14ac:dyDescent="0.3">
      <c r="A50" s="159" t="s">
        <v>138</v>
      </c>
      <c r="B50" t="str">
        <f t="shared" ref="B50:B51" si="2">A50</f>
        <v>$/metric ton CO2e</v>
      </c>
    </row>
    <row r="51" spans="1:2" x14ac:dyDescent="0.3">
      <c r="A51" s="159" t="s">
        <v>140</v>
      </c>
      <c r="B51" t="str">
        <f t="shared" si="2"/>
        <v>$/MWh</v>
      </c>
    </row>
    <row r="62" spans="1:2" x14ac:dyDescent="0.3">
      <c r="A62" s="1"/>
    </row>
  </sheetData>
  <mergeCells count="2">
    <mergeCell ref="A1:B1"/>
    <mergeCell ref="A48:B48"/>
  </mergeCells>
  <phoneticPr fontId="113"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108" zoomScale="70" zoomScaleNormal="70" workbookViewId="0">
      <selection activeCell="A105" sqref="A105"/>
    </sheetView>
  </sheetViews>
  <sheetFormatPr defaultColWidth="9.109375" defaultRowHeight="14.4" x14ac:dyDescent="0.3"/>
  <cols>
    <col min="1" max="1" width="37.44140625" style="1" customWidth="1"/>
    <col min="2" max="2" width="27.44140625" style="1" customWidth="1"/>
    <col min="3" max="3" width="9" style="1" customWidth="1"/>
    <col min="4" max="4" width="18.44140625" style="1" customWidth="1"/>
    <col min="5" max="5" width="18.109375" style="1" customWidth="1"/>
    <col min="6" max="6" width="34.109375" style="1" customWidth="1"/>
    <col min="7" max="7" width="95" style="1" customWidth="1"/>
    <col min="8" max="8" width="37.44140625" style="1" customWidth="1"/>
    <col min="9" max="10" width="34.44140625" style="1" customWidth="1"/>
    <col min="11" max="16384" width="9.109375" style="1"/>
  </cols>
  <sheetData>
    <row r="1" spans="1:10" s="3" customFormat="1" ht="28.8" x14ac:dyDescent="0.3">
      <c r="A1" s="164" t="s">
        <v>2311</v>
      </c>
      <c r="B1" s="165" t="s">
        <v>2312</v>
      </c>
      <c r="C1" s="198" t="s">
        <v>2817</v>
      </c>
      <c r="D1" s="165" t="s">
        <v>60</v>
      </c>
      <c r="E1" s="165" t="s">
        <v>62</v>
      </c>
      <c r="F1" s="165" t="s">
        <v>439</v>
      </c>
      <c r="G1" s="165" t="s">
        <v>61</v>
      </c>
      <c r="H1" s="165" t="s">
        <v>2321</v>
      </c>
      <c r="I1" s="166" t="s">
        <v>303</v>
      </c>
      <c r="J1" s="44" t="s">
        <v>3566</v>
      </c>
    </row>
    <row r="2" spans="1:10" x14ac:dyDescent="0.3">
      <c r="A2" s="2" t="s">
        <v>2326</v>
      </c>
      <c r="B2" s="1" t="s">
        <v>2327</v>
      </c>
      <c r="C2" s="43">
        <v>1</v>
      </c>
      <c r="D2" s="1" t="s">
        <v>63</v>
      </c>
      <c r="E2" s="1" t="s">
        <v>64</v>
      </c>
      <c r="F2" s="1" t="str">
        <f>UnitControlCenter!$B$3</f>
        <v>million metric tons / year</v>
      </c>
      <c r="G2" s="1" t="s">
        <v>174</v>
      </c>
      <c r="J2" s="1" t="s">
        <v>3572</v>
      </c>
    </row>
    <row r="3" spans="1:10" x14ac:dyDescent="0.3">
      <c r="A3" s="2" t="s">
        <v>2326</v>
      </c>
      <c r="B3" s="1" t="s">
        <v>2328</v>
      </c>
      <c r="C3" s="47">
        <v>1</v>
      </c>
      <c r="D3" s="2" t="s">
        <v>63</v>
      </c>
      <c r="E3" s="2" t="s">
        <v>64</v>
      </c>
      <c r="F3" s="1" t="str">
        <f>UnitControlCenter!$B$3</f>
        <v>million metric tons / year</v>
      </c>
      <c r="G3" s="1" t="s">
        <v>2310</v>
      </c>
    </row>
    <row r="4" spans="1:10" ht="28.8" x14ac:dyDescent="0.3">
      <c r="A4" s="2" t="s">
        <v>2326</v>
      </c>
      <c r="B4" s="1" t="s">
        <v>3475</v>
      </c>
      <c r="C4" s="43">
        <v>1</v>
      </c>
      <c r="D4" s="1" t="s">
        <v>63</v>
      </c>
      <c r="E4" s="1" t="s">
        <v>64</v>
      </c>
      <c r="F4" s="1" t="str">
        <f>UnitControlCenter!B4</f>
        <v>million metric tons</v>
      </c>
      <c r="G4" s="1" t="s">
        <v>3478</v>
      </c>
      <c r="J4" s="1" t="s">
        <v>3573</v>
      </c>
    </row>
    <row r="5" spans="1:10" ht="28.8" x14ac:dyDescent="0.3">
      <c r="A5" s="2" t="s">
        <v>2326</v>
      </c>
      <c r="B5" s="1" t="s">
        <v>3476</v>
      </c>
      <c r="C5" s="47">
        <v>1</v>
      </c>
      <c r="D5" s="2" t="s">
        <v>63</v>
      </c>
      <c r="E5" s="2" t="s">
        <v>64</v>
      </c>
      <c r="F5" s="1" t="str">
        <f>UnitControlCenter!B4</f>
        <v>million metric tons</v>
      </c>
      <c r="G5" s="1" t="s">
        <v>3479</v>
      </c>
    </row>
    <row r="6" spans="1:10" ht="72" x14ac:dyDescent="0.3">
      <c r="A6" s="2" t="s">
        <v>2326</v>
      </c>
      <c r="B6" s="2" t="s">
        <v>2329</v>
      </c>
      <c r="C6" s="43">
        <v>1</v>
      </c>
      <c r="D6" s="1" t="s">
        <v>65</v>
      </c>
      <c r="E6" s="1" t="s">
        <v>66</v>
      </c>
      <c r="F6" s="1" t="str">
        <f>UnitControlCenter!$B$3</f>
        <v>million metric tons / year</v>
      </c>
      <c r="G6" s="1" t="s">
        <v>2795</v>
      </c>
      <c r="H6" s="1" t="s">
        <v>2796</v>
      </c>
      <c r="I6" s="1" t="s">
        <v>2797</v>
      </c>
    </row>
    <row r="7" spans="1:10" ht="28.8" x14ac:dyDescent="0.3">
      <c r="A7" s="2" t="s">
        <v>2326</v>
      </c>
      <c r="B7" s="2" t="s">
        <v>2330</v>
      </c>
      <c r="C7" s="43">
        <v>1</v>
      </c>
      <c r="D7" s="1" t="s">
        <v>65</v>
      </c>
      <c r="E7" s="1" t="s">
        <v>66</v>
      </c>
      <c r="F7" s="1" t="str">
        <f>UnitControlCenter!$B$3</f>
        <v>million metric tons / year</v>
      </c>
      <c r="G7" s="1" t="s">
        <v>2798</v>
      </c>
      <c r="H7" s="1" t="s">
        <v>2799</v>
      </c>
      <c r="I7" s="1" t="s">
        <v>2800</v>
      </c>
    </row>
    <row r="8" spans="1:10" ht="28.8" x14ac:dyDescent="0.3">
      <c r="A8" s="2" t="s">
        <v>2326</v>
      </c>
      <c r="B8" s="2" t="s">
        <v>2331</v>
      </c>
      <c r="C8" s="43">
        <v>1</v>
      </c>
      <c r="D8" s="1" t="s">
        <v>65</v>
      </c>
      <c r="E8" s="1" t="s">
        <v>66</v>
      </c>
      <c r="F8" s="1" t="str">
        <f>UnitControlCenter!$B$3</f>
        <v>million metric tons / year</v>
      </c>
      <c r="G8" s="1" t="s">
        <v>2602</v>
      </c>
      <c r="H8" s="1" t="s">
        <v>2603</v>
      </c>
      <c r="I8" s="1" t="s">
        <v>2604</v>
      </c>
    </row>
    <row r="9" spans="1:10" x14ac:dyDescent="0.3">
      <c r="A9" s="2" t="s">
        <v>2326</v>
      </c>
      <c r="B9" s="2" t="s">
        <v>2866</v>
      </c>
      <c r="C9" s="43">
        <v>0</v>
      </c>
      <c r="D9" s="1" t="s">
        <v>63</v>
      </c>
      <c r="E9" s="1" t="s">
        <v>64</v>
      </c>
      <c r="F9" s="1" t="str">
        <f>UnitControlCenter!$B$5</f>
        <v>g CO2e / 2023 dollar</v>
      </c>
      <c r="G9" s="1" t="s">
        <v>2820</v>
      </c>
    </row>
    <row r="10" spans="1:10" x14ac:dyDescent="0.3">
      <c r="A10" s="2" t="s">
        <v>2326</v>
      </c>
      <c r="B10" s="2" t="s">
        <v>132</v>
      </c>
      <c r="C10" s="43">
        <v>1</v>
      </c>
      <c r="D10" s="1" t="s">
        <v>63</v>
      </c>
      <c r="E10" s="1" t="s">
        <v>64</v>
      </c>
      <c r="F10" s="1" t="str">
        <f>UnitControlCenter!$B$3</f>
        <v>million metric tons / year</v>
      </c>
      <c r="G10" s="1" t="s">
        <v>2429</v>
      </c>
    </row>
    <row r="11" spans="1:10" x14ac:dyDescent="0.3">
      <c r="A11" s="2" t="s">
        <v>2326</v>
      </c>
      <c r="B11" s="2" t="s">
        <v>2427</v>
      </c>
      <c r="C11" s="43">
        <v>1</v>
      </c>
      <c r="D11" s="1" t="s">
        <v>63</v>
      </c>
      <c r="E11" s="1" t="s">
        <v>64</v>
      </c>
      <c r="F11" s="1" t="str">
        <f>UnitControlCenter!$B$3</f>
        <v>million metric tons / year</v>
      </c>
      <c r="G11" s="1" t="s">
        <v>2430</v>
      </c>
    </row>
    <row r="12" spans="1:10" x14ac:dyDescent="0.3">
      <c r="A12" s="2" t="s">
        <v>2326</v>
      </c>
      <c r="B12" s="2" t="s">
        <v>2488</v>
      </c>
      <c r="C12" s="43">
        <v>1</v>
      </c>
      <c r="D12" s="1" t="s">
        <v>63</v>
      </c>
      <c r="E12" s="1" t="s">
        <v>64</v>
      </c>
      <c r="F12" s="1" t="str">
        <f>UnitControlCenter!$B$3</f>
        <v>million metric tons / year</v>
      </c>
      <c r="G12" s="1" t="s">
        <v>2496</v>
      </c>
    </row>
    <row r="13" spans="1:10" x14ac:dyDescent="0.3">
      <c r="A13" s="2" t="s">
        <v>2326</v>
      </c>
      <c r="B13" s="2" t="s">
        <v>93</v>
      </c>
      <c r="C13" s="43">
        <v>1</v>
      </c>
      <c r="D13" s="1" t="s">
        <v>63</v>
      </c>
      <c r="E13" s="1" t="s">
        <v>64</v>
      </c>
      <c r="F13" s="1" t="str">
        <f>UnitControlCenter!$B$3</f>
        <v>million metric tons / year</v>
      </c>
      <c r="G13" s="1" t="s">
        <v>2431</v>
      </c>
    </row>
    <row r="14" spans="1:10" x14ac:dyDescent="0.3">
      <c r="A14" s="2" t="s">
        <v>2326</v>
      </c>
      <c r="B14" s="2" t="s">
        <v>9</v>
      </c>
      <c r="C14" s="43">
        <v>1</v>
      </c>
      <c r="D14" s="1" t="s">
        <v>63</v>
      </c>
      <c r="E14" s="1" t="s">
        <v>64</v>
      </c>
      <c r="F14" s="1" t="str">
        <f>UnitControlCenter!$B$3</f>
        <v>million metric tons / year</v>
      </c>
      <c r="G14" s="1" t="s">
        <v>2450</v>
      </c>
    </row>
    <row r="15" spans="1:10" x14ac:dyDescent="0.3">
      <c r="A15" s="2" t="s">
        <v>2326</v>
      </c>
      <c r="B15" s="2" t="s">
        <v>2428</v>
      </c>
      <c r="C15" s="43">
        <v>1</v>
      </c>
      <c r="D15" s="1" t="s">
        <v>63</v>
      </c>
      <c r="E15" s="1" t="s">
        <v>64</v>
      </c>
      <c r="F15" s="1" t="str">
        <f>UnitControlCenter!$B$3</f>
        <v>million metric tons / year</v>
      </c>
      <c r="G15" s="1" t="s">
        <v>2432</v>
      </c>
    </row>
    <row r="16" spans="1:10" x14ac:dyDescent="0.3">
      <c r="A16" s="2" t="s">
        <v>2326</v>
      </c>
      <c r="B16" s="2" t="s">
        <v>4</v>
      </c>
      <c r="C16" s="43">
        <v>1</v>
      </c>
      <c r="D16" s="1" t="s">
        <v>63</v>
      </c>
      <c r="E16" s="1" t="s">
        <v>64</v>
      </c>
      <c r="F16" s="1" t="str">
        <f>UnitControlCenter!$B$3</f>
        <v>million metric tons / year</v>
      </c>
      <c r="G16" s="1" t="s">
        <v>2433</v>
      </c>
    </row>
    <row r="17" spans="1:10" x14ac:dyDescent="0.3">
      <c r="A17" s="2" t="s">
        <v>2326</v>
      </c>
      <c r="B17" s="2" t="s">
        <v>2437</v>
      </c>
      <c r="C17" s="43">
        <v>1</v>
      </c>
      <c r="D17" s="1" t="s">
        <v>63</v>
      </c>
      <c r="E17" s="1" t="s">
        <v>64</v>
      </c>
      <c r="F17" s="1" t="str">
        <f>UnitControlCenter!$B$3</f>
        <v>million metric tons / year</v>
      </c>
      <c r="G17" s="1" t="s">
        <v>2434</v>
      </c>
    </row>
    <row r="18" spans="1:10" ht="346.2" thickBot="1" x14ac:dyDescent="0.35">
      <c r="A18" s="192" t="s">
        <v>2326</v>
      </c>
      <c r="B18" s="192" t="s">
        <v>3704</v>
      </c>
      <c r="C18" s="199">
        <v>1</v>
      </c>
      <c r="D18" s="193" t="s">
        <v>65</v>
      </c>
      <c r="E18" s="193" t="s">
        <v>66</v>
      </c>
      <c r="F18" s="193" t="s">
        <v>352</v>
      </c>
      <c r="G18" s="193" t="s">
        <v>3705</v>
      </c>
      <c r="H18" s="193" t="s">
        <v>3748</v>
      </c>
      <c r="I18" s="193" t="s">
        <v>3706</v>
      </c>
      <c r="J18" s="193"/>
    </row>
    <row r="19" spans="1:10" ht="100.8" x14ac:dyDescent="0.3">
      <c r="A19" s="2" t="s">
        <v>2332</v>
      </c>
      <c r="B19" s="2" t="s">
        <v>2219</v>
      </c>
      <c r="C19" s="43">
        <v>1</v>
      </c>
      <c r="D19" s="1" t="s">
        <v>65</v>
      </c>
      <c r="E19" s="1" t="s">
        <v>66</v>
      </c>
      <c r="F19" s="1" t="str">
        <f>UnitControlCenter!$B$3</f>
        <v>million metric tons / year</v>
      </c>
      <c r="G19" s="1" t="s">
        <v>3300</v>
      </c>
      <c r="H19" s="1" t="s">
        <v>2796</v>
      </c>
      <c r="I19" s="1" t="s">
        <v>2797</v>
      </c>
    </row>
    <row r="20" spans="1:10" ht="100.8" x14ac:dyDescent="0.3">
      <c r="A20" s="2" t="s">
        <v>2332</v>
      </c>
      <c r="B20" s="2" t="s">
        <v>2235</v>
      </c>
      <c r="C20" s="43">
        <v>1</v>
      </c>
      <c r="D20" s="1" t="s">
        <v>65</v>
      </c>
      <c r="E20" s="1" t="s">
        <v>66</v>
      </c>
      <c r="F20" s="1" t="str">
        <f>UnitControlCenter!$B$3</f>
        <v>million metric tons / year</v>
      </c>
      <c r="G20" s="1" t="s">
        <v>3312</v>
      </c>
      <c r="H20" s="1" t="s">
        <v>2796</v>
      </c>
      <c r="I20" s="1" t="s">
        <v>3301</v>
      </c>
    </row>
    <row r="21" spans="1:10" ht="100.8" x14ac:dyDescent="0.3">
      <c r="A21" s="2" t="s">
        <v>2332</v>
      </c>
      <c r="B21" s="2" t="s">
        <v>2237</v>
      </c>
      <c r="C21" s="43">
        <v>1</v>
      </c>
      <c r="D21" s="1" t="s">
        <v>65</v>
      </c>
      <c r="E21" s="1" t="s">
        <v>66</v>
      </c>
      <c r="F21" s="1" t="str">
        <f>UnitControlCenter!$B$3</f>
        <v>million metric tons / year</v>
      </c>
      <c r="G21" s="1" t="s">
        <v>3313</v>
      </c>
      <c r="H21" s="1" t="s">
        <v>2796</v>
      </c>
      <c r="I21" s="1" t="s">
        <v>3302</v>
      </c>
    </row>
    <row r="22" spans="1:10" ht="100.8" x14ac:dyDescent="0.3">
      <c r="A22" s="2" t="s">
        <v>2332</v>
      </c>
      <c r="B22" s="2" t="s">
        <v>2319</v>
      </c>
      <c r="C22" s="43">
        <v>1</v>
      </c>
      <c r="D22" s="1" t="s">
        <v>65</v>
      </c>
      <c r="E22" s="1" t="s">
        <v>66</v>
      </c>
      <c r="F22" s="1" t="str">
        <f>UnitControlCenter!$B$3</f>
        <v>million metric tons / year</v>
      </c>
      <c r="G22" s="1" t="s">
        <v>3314</v>
      </c>
      <c r="H22" s="1" t="s">
        <v>2796</v>
      </c>
      <c r="I22" s="1" t="s">
        <v>3303</v>
      </c>
    </row>
    <row r="23" spans="1:10" ht="100.8" x14ac:dyDescent="0.3">
      <c r="A23" s="2" t="s">
        <v>2332</v>
      </c>
      <c r="B23" s="2" t="s">
        <v>2318</v>
      </c>
      <c r="C23" s="43">
        <v>1</v>
      </c>
      <c r="D23" s="1" t="s">
        <v>65</v>
      </c>
      <c r="E23" s="1" t="s">
        <v>66</v>
      </c>
      <c r="F23" s="1" t="str">
        <f>UnitControlCenter!$B$6</f>
        <v>thousand metric tons / year</v>
      </c>
      <c r="G23" s="1" t="s">
        <v>3315</v>
      </c>
      <c r="H23" s="1" t="s">
        <v>2796</v>
      </c>
      <c r="I23" s="1" t="s">
        <v>3304</v>
      </c>
    </row>
    <row r="24" spans="1:10" ht="100.8" x14ac:dyDescent="0.3">
      <c r="A24" s="2" t="s">
        <v>2332</v>
      </c>
      <c r="B24" s="2" t="s">
        <v>2226</v>
      </c>
      <c r="C24" s="43">
        <v>1</v>
      </c>
      <c r="D24" s="1" t="s">
        <v>65</v>
      </c>
      <c r="E24" s="1" t="s">
        <v>66</v>
      </c>
      <c r="F24" s="1" t="str">
        <f>UnitControlCenter!$B$6</f>
        <v>thousand metric tons / year</v>
      </c>
      <c r="G24" s="1" t="s">
        <v>3316</v>
      </c>
      <c r="H24" s="1" t="s">
        <v>2796</v>
      </c>
      <c r="I24" s="1" t="s">
        <v>3305</v>
      </c>
    </row>
    <row r="25" spans="1:10" ht="86.4" x14ac:dyDescent="0.3">
      <c r="A25" s="2" t="s">
        <v>2332</v>
      </c>
      <c r="B25" s="2" t="s">
        <v>2231</v>
      </c>
      <c r="C25" s="43">
        <v>1</v>
      </c>
      <c r="D25" s="1" t="s">
        <v>65</v>
      </c>
      <c r="E25" s="1" t="s">
        <v>66</v>
      </c>
      <c r="F25" s="1" t="str">
        <f>UnitControlCenter!$B$6</f>
        <v>thousand metric tons / year</v>
      </c>
      <c r="G25" s="1" t="s">
        <v>3317</v>
      </c>
      <c r="H25" s="1" t="s">
        <v>2796</v>
      </c>
      <c r="I25" s="1" t="s">
        <v>3306</v>
      </c>
    </row>
    <row r="26" spans="1:10" ht="86.4" x14ac:dyDescent="0.3">
      <c r="A26" s="2" t="s">
        <v>2332</v>
      </c>
      <c r="B26" s="2" t="s">
        <v>2233</v>
      </c>
      <c r="C26" s="43">
        <v>1</v>
      </c>
      <c r="D26" s="1" t="s">
        <v>65</v>
      </c>
      <c r="E26" s="1" t="s">
        <v>66</v>
      </c>
      <c r="F26" s="1" t="str">
        <f>UnitControlCenter!$B$6</f>
        <v>thousand metric tons / year</v>
      </c>
      <c r="G26" s="1" t="s">
        <v>3318</v>
      </c>
      <c r="H26" s="1" t="s">
        <v>2796</v>
      </c>
      <c r="I26" s="1" t="s">
        <v>3307</v>
      </c>
    </row>
    <row r="27" spans="1:10" ht="100.8" x14ac:dyDescent="0.3">
      <c r="A27" s="2" t="s">
        <v>2332</v>
      </c>
      <c r="B27" s="2" t="s">
        <v>2224</v>
      </c>
      <c r="C27" s="43">
        <v>1</v>
      </c>
      <c r="D27" s="1" t="s">
        <v>65</v>
      </c>
      <c r="E27" s="1" t="s">
        <v>66</v>
      </c>
      <c r="F27" s="1" t="str">
        <f>UnitControlCenter!$B$3</f>
        <v>million metric tons / year</v>
      </c>
      <c r="G27" s="1" t="s">
        <v>3319</v>
      </c>
      <c r="H27" s="1" t="s">
        <v>2796</v>
      </c>
      <c r="I27" s="1" t="s">
        <v>3308</v>
      </c>
    </row>
    <row r="28" spans="1:10" ht="100.8" x14ac:dyDescent="0.3">
      <c r="A28" s="2" t="s">
        <v>2332</v>
      </c>
      <c r="B28" s="2" t="s">
        <v>2221</v>
      </c>
      <c r="C28" s="43">
        <v>1</v>
      </c>
      <c r="D28" s="1" t="s">
        <v>65</v>
      </c>
      <c r="E28" s="1" t="s">
        <v>66</v>
      </c>
      <c r="F28" s="1" t="str">
        <f>UnitControlCenter!$B$6</f>
        <v>thousand metric tons / year</v>
      </c>
      <c r="G28" s="1" t="s">
        <v>3320</v>
      </c>
      <c r="H28" s="1" t="s">
        <v>2796</v>
      </c>
      <c r="I28" s="1" t="s">
        <v>3309</v>
      </c>
    </row>
    <row r="29" spans="1:10" ht="100.8" x14ac:dyDescent="0.3">
      <c r="A29" s="2" t="s">
        <v>2332</v>
      </c>
      <c r="B29" s="2" t="s">
        <v>2229</v>
      </c>
      <c r="C29" s="43">
        <v>1</v>
      </c>
      <c r="D29" s="1" t="s">
        <v>65</v>
      </c>
      <c r="E29" s="1" t="s">
        <v>66</v>
      </c>
      <c r="F29" s="1" t="str">
        <f>UnitControlCenter!$B$3</f>
        <v>million metric tons / year</v>
      </c>
      <c r="G29" s="1" t="s">
        <v>3321</v>
      </c>
      <c r="H29" s="1" t="s">
        <v>2796</v>
      </c>
      <c r="I29" s="1" t="s">
        <v>3310</v>
      </c>
    </row>
    <row r="30" spans="1:10" ht="101.4" thickBot="1" x14ac:dyDescent="0.35">
      <c r="A30" s="192" t="s">
        <v>2332</v>
      </c>
      <c r="B30" s="192" t="s">
        <v>484</v>
      </c>
      <c r="C30" s="199">
        <v>1</v>
      </c>
      <c r="D30" s="1" t="s">
        <v>65</v>
      </c>
      <c r="E30" s="1" t="s">
        <v>66</v>
      </c>
      <c r="F30" s="193" t="str">
        <f>UnitControlCenter!$B$3</f>
        <v>million metric tons / year</v>
      </c>
      <c r="G30" s="1" t="s">
        <v>3322</v>
      </c>
      <c r="H30" s="1" t="s">
        <v>2796</v>
      </c>
      <c r="I30" s="1" t="s">
        <v>3311</v>
      </c>
    </row>
    <row r="31" spans="1:10" ht="72" x14ac:dyDescent="0.3">
      <c r="A31" s="2" t="s">
        <v>2333</v>
      </c>
      <c r="B31" s="2" t="s">
        <v>2329</v>
      </c>
      <c r="C31" s="43">
        <v>1</v>
      </c>
      <c r="D31" s="1" t="s">
        <v>65</v>
      </c>
      <c r="E31" s="1" t="s">
        <v>66</v>
      </c>
      <c r="F31" s="1" t="str">
        <f>UnitControlCenter!$B$3</f>
        <v>million metric tons / year</v>
      </c>
      <c r="G31" s="1" t="s">
        <v>2878</v>
      </c>
      <c r="H31" s="1" t="s">
        <v>2879</v>
      </c>
      <c r="I31" s="1" t="s">
        <v>2880</v>
      </c>
    </row>
    <row r="32" spans="1:10" ht="86.4" x14ac:dyDescent="0.3">
      <c r="A32" s="2" t="s">
        <v>2333</v>
      </c>
      <c r="B32" s="2" t="s">
        <v>2497</v>
      </c>
      <c r="C32" s="43">
        <v>1</v>
      </c>
      <c r="D32" s="1" t="s">
        <v>65</v>
      </c>
      <c r="E32" s="1" t="s">
        <v>66</v>
      </c>
      <c r="F32" s="1" t="str">
        <f>UnitControlCenter!$B$3</f>
        <v>million metric tons / year</v>
      </c>
      <c r="G32" s="1" t="s">
        <v>2881</v>
      </c>
      <c r="H32" s="1" t="s">
        <v>2882</v>
      </c>
      <c r="I32" s="1" t="s">
        <v>2883</v>
      </c>
    </row>
    <row r="33" spans="1:10" ht="57.6" x14ac:dyDescent="0.3">
      <c r="A33" s="2" t="s">
        <v>2333</v>
      </c>
      <c r="B33" s="2" t="s">
        <v>2334</v>
      </c>
      <c r="C33" s="43">
        <v>1</v>
      </c>
      <c r="D33" s="1" t="s">
        <v>65</v>
      </c>
      <c r="E33" s="1" t="s">
        <v>66</v>
      </c>
      <c r="F33" s="1" t="str">
        <f>UnitControlCenter!$B$3</f>
        <v>million metric tons / year</v>
      </c>
      <c r="G33" s="1" t="s">
        <v>2884</v>
      </c>
      <c r="H33" s="1" t="s">
        <v>2885</v>
      </c>
      <c r="I33" s="1" t="s">
        <v>2886</v>
      </c>
    </row>
    <row r="34" spans="1:10" ht="15" thickBot="1" x14ac:dyDescent="0.35">
      <c r="A34" s="192" t="s">
        <v>2333</v>
      </c>
      <c r="B34" s="192" t="s">
        <v>2866</v>
      </c>
      <c r="C34" s="199">
        <v>0</v>
      </c>
      <c r="D34" s="193" t="s">
        <v>63</v>
      </c>
      <c r="E34" s="193" t="s">
        <v>64</v>
      </c>
      <c r="F34" s="193" t="str">
        <f>UnitControlCenter!$B$7</f>
        <v>g CO2 / 2023 dollar</v>
      </c>
      <c r="G34" s="193" t="s">
        <v>2819</v>
      </c>
      <c r="H34" s="193"/>
      <c r="I34" s="193"/>
      <c r="J34" s="193"/>
    </row>
    <row r="35" spans="1:10" ht="86.4" x14ac:dyDescent="0.3">
      <c r="A35" s="2" t="s">
        <v>2728</v>
      </c>
      <c r="B35" s="2" t="s">
        <v>2567</v>
      </c>
      <c r="C35" s="43">
        <v>1</v>
      </c>
      <c r="D35" s="1" t="s">
        <v>63</v>
      </c>
      <c r="E35" s="1" t="s">
        <v>2971</v>
      </c>
      <c r="F35" s="1" t="str">
        <f>UnitControlCenter!$B$3</f>
        <v>million metric tons / year</v>
      </c>
      <c r="G35" s="1" t="s">
        <v>3014</v>
      </c>
    </row>
    <row r="36" spans="1:10" x14ac:dyDescent="0.3">
      <c r="A36" s="2" t="s">
        <v>2728</v>
      </c>
      <c r="B36" s="2" t="s">
        <v>132</v>
      </c>
      <c r="C36" s="43">
        <v>1</v>
      </c>
      <c r="D36" s="1" t="s">
        <v>63</v>
      </c>
      <c r="E36" s="1" t="s">
        <v>2971</v>
      </c>
      <c r="F36" s="1" t="str">
        <f>UnitControlCenter!$B$3</f>
        <v>million metric tons / year</v>
      </c>
      <c r="G36" s="1" t="s">
        <v>2429</v>
      </c>
    </row>
    <row r="37" spans="1:10" x14ac:dyDescent="0.3">
      <c r="A37" s="2" t="s">
        <v>2728</v>
      </c>
      <c r="B37" s="2" t="s">
        <v>2427</v>
      </c>
      <c r="C37" s="43">
        <v>1</v>
      </c>
      <c r="D37" s="1" t="s">
        <v>63</v>
      </c>
      <c r="E37" s="1" t="s">
        <v>2971</v>
      </c>
      <c r="F37" s="1" t="str">
        <f>UnitControlCenter!$B$3</f>
        <v>million metric tons / year</v>
      </c>
      <c r="G37" s="1" t="s">
        <v>2430</v>
      </c>
    </row>
    <row r="38" spans="1:10" x14ac:dyDescent="0.3">
      <c r="A38" s="2" t="s">
        <v>2728</v>
      </c>
      <c r="B38" s="2" t="s">
        <v>2488</v>
      </c>
      <c r="C38" s="43">
        <v>1</v>
      </c>
      <c r="D38" s="1" t="s">
        <v>63</v>
      </c>
      <c r="E38" s="1" t="s">
        <v>2971</v>
      </c>
      <c r="F38" s="1" t="str">
        <f>UnitControlCenter!$B$3</f>
        <v>million metric tons / year</v>
      </c>
      <c r="G38" s="1" t="s">
        <v>2496</v>
      </c>
    </row>
    <row r="39" spans="1:10" x14ac:dyDescent="0.3">
      <c r="A39" s="2" t="s">
        <v>2728</v>
      </c>
      <c r="B39" s="2" t="s">
        <v>93</v>
      </c>
      <c r="C39" s="43">
        <v>1</v>
      </c>
      <c r="D39" s="1" t="s">
        <v>63</v>
      </c>
      <c r="E39" s="1" t="s">
        <v>2971</v>
      </c>
      <c r="F39" s="1" t="str">
        <f>UnitControlCenter!$B$3</f>
        <v>million metric tons / year</v>
      </c>
      <c r="G39" s="1" t="s">
        <v>2431</v>
      </c>
    </row>
    <row r="40" spans="1:10" ht="28.8" x14ac:dyDescent="0.3">
      <c r="A40" s="2" t="s">
        <v>2728</v>
      </c>
      <c r="B40" s="2" t="s">
        <v>9</v>
      </c>
      <c r="C40" s="43">
        <v>1</v>
      </c>
      <c r="D40" s="1" t="s">
        <v>63</v>
      </c>
      <c r="E40" s="1" t="s">
        <v>2971</v>
      </c>
      <c r="F40" s="1" t="str">
        <f>UnitControlCenter!$B$3</f>
        <v>million metric tons / year</v>
      </c>
      <c r="G40" s="1" t="s">
        <v>3015</v>
      </c>
    </row>
    <row r="41" spans="1:10" ht="15" thickBot="1" x14ac:dyDescent="0.35">
      <c r="A41" s="192" t="s">
        <v>2728</v>
      </c>
      <c r="B41" s="192" t="s">
        <v>4</v>
      </c>
      <c r="C41" s="199">
        <v>1</v>
      </c>
      <c r="D41" s="193" t="s">
        <v>63</v>
      </c>
      <c r="E41" s="193" t="s">
        <v>2971</v>
      </c>
      <c r="F41" s="193" t="str">
        <f>UnitControlCenter!$B$3</f>
        <v>million metric tons / year</v>
      </c>
      <c r="G41" s="193" t="s">
        <v>2433</v>
      </c>
      <c r="H41" s="193"/>
      <c r="I41" s="193"/>
      <c r="J41" s="193"/>
    </row>
    <row r="42" spans="1:10" ht="43.2" x14ac:dyDescent="0.3">
      <c r="A42" s="2" t="s">
        <v>356</v>
      </c>
      <c r="B42" s="2" t="s">
        <v>2938</v>
      </c>
      <c r="C42" s="43">
        <v>1</v>
      </c>
      <c r="D42" s="1" t="s">
        <v>65</v>
      </c>
      <c r="E42" s="1" t="s">
        <v>438</v>
      </c>
      <c r="F42" s="1" t="str">
        <f>UnitControlCenter!$B$8</f>
        <v>2023 dollars / metric ton CO2e abated, Annual average abatement (million metric tons CO2e)</v>
      </c>
      <c r="G42" s="1" t="s">
        <v>3016</v>
      </c>
    </row>
    <row r="43" spans="1:10" ht="43.8" thickBot="1" x14ac:dyDescent="0.35">
      <c r="A43" s="192" t="s">
        <v>356</v>
      </c>
      <c r="B43" s="192" t="s">
        <v>2939</v>
      </c>
      <c r="C43" s="199">
        <v>1</v>
      </c>
      <c r="D43" s="193" t="s">
        <v>65</v>
      </c>
      <c r="E43" s="193" t="s">
        <v>438</v>
      </c>
      <c r="F43" s="193" t="str">
        <f>UnitControlCenter!$B$8</f>
        <v>2023 dollars / metric ton CO2e abated, Annual average abatement (million metric tons CO2e)</v>
      </c>
      <c r="G43" s="193" t="s">
        <v>3016</v>
      </c>
      <c r="H43" s="193"/>
      <c r="I43" s="193"/>
      <c r="J43" s="193"/>
    </row>
    <row r="44" spans="1:10" ht="43.2" x14ac:dyDescent="0.3">
      <c r="A44" s="2" t="s">
        <v>2335</v>
      </c>
      <c r="B44" s="2" t="s">
        <v>2942</v>
      </c>
      <c r="C44" s="43">
        <v>1</v>
      </c>
      <c r="D44" s="1" t="s">
        <v>65</v>
      </c>
      <c r="E44" s="1" t="s">
        <v>64</v>
      </c>
      <c r="F44" s="1" t="str">
        <f>UnitControlCenter!$B$9</f>
        <v>billion 2023 dollars / year</v>
      </c>
      <c r="G44" s="1" t="s">
        <v>2940</v>
      </c>
      <c r="H44" s="1" t="s">
        <v>2413</v>
      </c>
      <c r="I44" s="1" t="s">
        <v>2397</v>
      </c>
    </row>
    <row r="45" spans="1:10" x14ac:dyDescent="0.3">
      <c r="A45" s="2" t="s">
        <v>2335</v>
      </c>
      <c r="B45" s="191" t="s">
        <v>2747</v>
      </c>
      <c r="C45" s="43">
        <v>1</v>
      </c>
      <c r="D45" s="1" t="s">
        <v>63</v>
      </c>
      <c r="E45" s="1" t="s">
        <v>64</v>
      </c>
      <c r="F45" s="1" t="str">
        <f>UnitControlCenter!$B$9</f>
        <v>billion 2023 dollars / year</v>
      </c>
      <c r="G45" s="1" t="s">
        <v>2741</v>
      </c>
    </row>
    <row r="46" spans="1:10" ht="57.6" x14ac:dyDescent="0.3">
      <c r="A46" s="2" t="s">
        <v>2335</v>
      </c>
      <c r="B46" s="2" t="s">
        <v>2929</v>
      </c>
      <c r="C46" s="43">
        <v>1</v>
      </c>
      <c r="D46" s="1" t="s">
        <v>65</v>
      </c>
      <c r="E46" s="1" t="s">
        <v>66</v>
      </c>
      <c r="F46" s="1" t="str">
        <f>UnitControlCenter!$B$9</f>
        <v>billion 2023 dollars / year</v>
      </c>
      <c r="G46" s="1" t="s">
        <v>2930</v>
      </c>
      <c r="H46" s="1" t="s">
        <v>2931</v>
      </c>
      <c r="I46" s="1" t="s">
        <v>2932</v>
      </c>
    </row>
    <row r="47" spans="1:10" ht="28.8" x14ac:dyDescent="0.3">
      <c r="A47" s="2" t="s">
        <v>2335</v>
      </c>
      <c r="B47" s="191" t="s">
        <v>2933</v>
      </c>
      <c r="C47" s="43">
        <v>1</v>
      </c>
      <c r="D47" s="1" t="s">
        <v>63</v>
      </c>
      <c r="E47" s="1" t="s">
        <v>64</v>
      </c>
      <c r="F47" s="1" t="str">
        <f>UnitControlCenter!$B$10</f>
        <v>billion 2023 dollars</v>
      </c>
      <c r="G47" s="1" t="s">
        <v>2934</v>
      </c>
    </row>
    <row r="48" spans="1:10" ht="28.8" x14ac:dyDescent="0.3">
      <c r="A48" s="2" t="s">
        <v>2335</v>
      </c>
      <c r="B48" s="191" t="s">
        <v>2935</v>
      </c>
      <c r="C48" s="43">
        <v>1</v>
      </c>
      <c r="D48" s="1" t="s">
        <v>63</v>
      </c>
      <c r="E48" s="1" t="s">
        <v>64</v>
      </c>
      <c r="F48" s="1" t="str">
        <f>UnitControlCenter!$B$9</f>
        <v>billion 2023 dollars / year</v>
      </c>
      <c r="G48" s="1" t="s">
        <v>2936</v>
      </c>
    </row>
    <row r="49" spans="1:10" ht="115.8" thickBot="1" x14ac:dyDescent="0.35">
      <c r="A49" s="192" t="s">
        <v>2335</v>
      </c>
      <c r="B49" s="194" t="s">
        <v>3009</v>
      </c>
      <c r="C49" s="199">
        <v>1</v>
      </c>
      <c r="D49" s="193" t="s">
        <v>65</v>
      </c>
      <c r="E49" s="193" t="s">
        <v>64</v>
      </c>
      <c r="F49" s="193" t="str">
        <f>UnitControlCenter!$B$9</f>
        <v>billion 2023 dollars / year</v>
      </c>
      <c r="G49" s="193" t="s">
        <v>3013</v>
      </c>
      <c r="H49" s="193" t="s">
        <v>3010</v>
      </c>
      <c r="I49" s="193" t="s">
        <v>3012</v>
      </c>
      <c r="J49" s="193"/>
    </row>
    <row r="50" spans="1:10" ht="28.8" x14ac:dyDescent="0.3">
      <c r="A50" s="2" t="s">
        <v>2853</v>
      </c>
      <c r="B50" s="191" t="s">
        <v>2870</v>
      </c>
      <c r="C50" s="43">
        <v>1</v>
      </c>
      <c r="D50" s="1" t="s">
        <v>65</v>
      </c>
      <c r="E50" s="1" t="s">
        <v>64</v>
      </c>
      <c r="F50" s="1" t="str">
        <f>UnitControlCenter!$B$11</f>
        <v>jobs</v>
      </c>
      <c r="G50" s="1" t="s">
        <v>2861</v>
      </c>
      <c r="H50" s="1" t="s">
        <v>2860</v>
      </c>
      <c r="I50" s="1" t="s">
        <v>2398</v>
      </c>
    </row>
    <row r="51" spans="1:10" ht="28.8" x14ac:dyDescent="0.3">
      <c r="A51" s="2" t="s">
        <v>2853</v>
      </c>
      <c r="B51" s="191" t="s">
        <v>3264</v>
      </c>
      <c r="C51" s="43">
        <v>0</v>
      </c>
      <c r="D51" s="1" t="s">
        <v>65</v>
      </c>
      <c r="E51" s="1" t="s">
        <v>66</v>
      </c>
      <c r="F51" s="1" t="str">
        <f>UnitControlCenter!$B$11</f>
        <v>jobs</v>
      </c>
      <c r="G51" s="1" t="s">
        <v>3150</v>
      </c>
      <c r="H51" s="1" t="s">
        <v>3151</v>
      </c>
      <c r="I51" s="1" t="s">
        <v>3152</v>
      </c>
    </row>
    <row r="52" spans="1:10" ht="28.8" x14ac:dyDescent="0.3">
      <c r="A52" s="2" t="s">
        <v>2853</v>
      </c>
      <c r="B52" s="191" t="s">
        <v>3265</v>
      </c>
      <c r="C52" s="43">
        <v>0</v>
      </c>
      <c r="D52" s="1" t="s">
        <v>65</v>
      </c>
      <c r="E52" s="1" t="s">
        <v>64</v>
      </c>
      <c r="F52" s="1" t="str">
        <f>UnitControlCenter!$B$13</f>
        <v>% change</v>
      </c>
      <c r="G52" s="1" t="s">
        <v>3169</v>
      </c>
      <c r="H52" s="1" t="s">
        <v>3151</v>
      </c>
      <c r="I52" s="1" t="s">
        <v>3152</v>
      </c>
    </row>
    <row r="53" spans="1:10" ht="43.2" x14ac:dyDescent="0.3">
      <c r="A53" s="2" t="s">
        <v>2853</v>
      </c>
      <c r="B53" s="191" t="s">
        <v>3134</v>
      </c>
      <c r="C53" s="43">
        <v>0</v>
      </c>
      <c r="D53" s="1" t="s">
        <v>65</v>
      </c>
      <c r="E53" s="1" t="s">
        <v>66</v>
      </c>
      <c r="F53" s="1" t="str">
        <f>UnitControlCenter!$B$11</f>
        <v>jobs</v>
      </c>
      <c r="G53" s="1" t="s">
        <v>3173</v>
      </c>
      <c r="H53" s="1" t="s">
        <v>3153</v>
      </c>
      <c r="I53" s="20" t="s">
        <v>3154</v>
      </c>
      <c r="J53" s="20"/>
    </row>
    <row r="54" spans="1:10" ht="43.2" x14ac:dyDescent="0.3">
      <c r="A54" s="2" t="s">
        <v>2853</v>
      </c>
      <c r="B54" s="191" t="s">
        <v>3166</v>
      </c>
      <c r="C54" s="43">
        <v>0</v>
      </c>
      <c r="D54" s="1" t="s">
        <v>65</v>
      </c>
      <c r="E54" s="1" t="s">
        <v>64</v>
      </c>
      <c r="F54" s="1" t="str">
        <f>UnitControlCenter!$B$13</f>
        <v>% change</v>
      </c>
      <c r="G54" s="1" t="s">
        <v>3172</v>
      </c>
      <c r="H54" s="1" t="s">
        <v>3153</v>
      </c>
      <c r="I54" s="20" t="s">
        <v>3154</v>
      </c>
      <c r="J54" s="20"/>
    </row>
    <row r="55" spans="1:10" ht="28.8" x14ac:dyDescent="0.3">
      <c r="A55" s="2" t="s">
        <v>2853</v>
      </c>
      <c r="B55" s="191" t="s">
        <v>3139</v>
      </c>
      <c r="C55" s="43">
        <v>0</v>
      </c>
      <c r="D55" s="1" t="s">
        <v>65</v>
      </c>
      <c r="E55" s="1" t="s">
        <v>66</v>
      </c>
      <c r="F55" s="1" t="str">
        <f>UnitControlCenter!$B$11</f>
        <v>jobs</v>
      </c>
      <c r="G55" s="1" t="s">
        <v>3155</v>
      </c>
      <c r="H55" s="1" t="s">
        <v>3156</v>
      </c>
      <c r="I55" s="1" t="s">
        <v>3157</v>
      </c>
    </row>
    <row r="56" spans="1:10" ht="28.8" x14ac:dyDescent="0.3">
      <c r="A56" s="2" t="s">
        <v>2853</v>
      </c>
      <c r="B56" s="191" t="s">
        <v>3167</v>
      </c>
      <c r="C56" s="43">
        <v>0</v>
      </c>
      <c r="D56" s="1" t="s">
        <v>65</v>
      </c>
      <c r="E56" s="1" t="s">
        <v>64</v>
      </c>
      <c r="F56" s="1" t="str">
        <f>UnitControlCenter!$B$13</f>
        <v>% change</v>
      </c>
      <c r="G56" s="1" t="s">
        <v>3170</v>
      </c>
      <c r="H56" s="1" t="s">
        <v>3156</v>
      </c>
      <c r="I56" s="1" t="s">
        <v>3157</v>
      </c>
    </row>
    <row r="57" spans="1:10" ht="72" x14ac:dyDescent="0.3">
      <c r="A57" s="2" t="s">
        <v>2853</v>
      </c>
      <c r="B57" s="191" t="s">
        <v>3142</v>
      </c>
      <c r="C57" s="43">
        <v>0</v>
      </c>
      <c r="D57" s="1" t="s">
        <v>65</v>
      </c>
      <c r="E57" s="1" t="s">
        <v>66</v>
      </c>
      <c r="F57" s="1" t="str">
        <f>UnitControlCenter!$B$11</f>
        <v>jobs</v>
      </c>
      <c r="G57" s="1" t="s">
        <v>3158</v>
      </c>
      <c r="H57" s="1" t="s">
        <v>3159</v>
      </c>
      <c r="I57" s="1" t="s">
        <v>3160</v>
      </c>
    </row>
    <row r="58" spans="1:10" ht="72" x14ac:dyDescent="0.3">
      <c r="A58" s="2" t="s">
        <v>2853</v>
      </c>
      <c r="B58" s="191" t="s">
        <v>3168</v>
      </c>
      <c r="C58" s="43">
        <v>0</v>
      </c>
      <c r="D58" s="1" t="s">
        <v>65</v>
      </c>
      <c r="E58" s="1" t="s">
        <v>64</v>
      </c>
      <c r="F58" s="1" t="str">
        <f>UnitControlCenter!$B$13</f>
        <v>% change</v>
      </c>
      <c r="G58" s="1" t="s">
        <v>3171</v>
      </c>
      <c r="H58" s="1" t="s">
        <v>3159</v>
      </c>
      <c r="I58" s="1" t="s">
        <v>3160</v>
      </c>
    </row>
    <row r="59" spans="1:10" ht="28.8" x14ac:dyDescent="0.3">
      <c r="A59" s="2" t="s">
        <v>2853</v>
      </c>
      <c r="B59" s="191" t="s">
        <v>3223</v>
      </c>
      <c r="C59" s="43">
        <v>1</v>
      </c>
      <c r="D59" s="1" t="s">
        <v>65</v>
      </c>
      <c r="E59" s="1" t="s">
        <v>66</v>
      </c>
      <c r="F59" s="1" t="str">
        <f>UnitControlCenter!$B$11</f>
        <v>jobs</v>
      </c>
      <c r="G59" s="1" t="s">
        <v>3224</v>
      </c>
      <c r="H59" s="1" t="s">
        <v>3225</v>
      </c>
      <c r="I59" s="1" t="s">
        <v>3226</v>
      </c>
    </row>
    <row r="60" spans="1:10" ht="28.8" x14ac:dyDescent="0.3">
      <c r="A60" s="2" t="s">
        <v>2853</v>
      </c>
      <c r="B60" s="191" t="s">
        <v>3227</v>
      </c>
      <c r="C60" s="43">
        <v>1</v>
      </c>
      <c r="D60" s="1" t="s">
        <v>65</v>
      </c>
      <c r="E60" s="1" t="s">
        <v>64</v>
      </c>
      <c r="F60" s="1" t="str">
        <f>UnitControlCenter!$B$13</f>
        <v>% change</v>
      </c>
      <c r="G60" s="1" t="s">
        <v>3228</v>
      </c>
      <c r="H60" s="1" t="s">
        <v>3225</v>
      </c>
      <c r="I60" s="1" t="s">
        <v>3226</v>
      </c>
    </row>
    <row r="61" spans="1:10" ht="28.8" x14ac:dyDescent="0.3">
      <c r="A61" s="2" t="s">
        <v>2853</v>
      </c>
      <c r="B61" s="191" t="s">
        <v>2914</v>
      </c>
      <c r="C61" s="43">
        <v>1</v>
      </c>
      <c r="D61" s="1" t="s">
        <v>65</v>
      </c>
      <c r="E61" s="1" t="s">
        <v>64</v>
      </c>
      <c r="F61" s="1" t="str">
        <f>UnitControlCenter!$B$11</f>
        <v>jobs</v>
      </c>
      <c r="G61" s="1" t="s">
        <v>2918</v>
      </c>
      <c r="H61" s="1" t="s">
        <v>2917</v>
      </c>
      <c r="I61" s="1" t="s">
        <v>2928</v>
      </c>
    </row>
    <row r="62" spans="1:10" ht="43.2" x14ac:dyDescent="0.3">
      <c r="A62" s="2" t="s">
        <v>2853</v>
      </c>
      <c r="B62" s="191" t="s">
        <v>2969</v>
      </c>
      <c r="C62" s="43">
        <v>1</v>
      </c>
      <c r="D62" s="1" t="s">
        <v>65</v>
      </c>
      <c r="E62" s="1" t="s">
        <v>64</v>
      </c>
      <c r="F62" s="1" t="str">
        <f>UnitControlCenter!$B$11</f>
        <v>jobs</v>
      </c>
      <c r="G62" s="1" t="s">
        <v>2968</v>
      </c>
      <c r="H62" s="1" t="s">
        <v>2860</v>
      </c>
      <c r="I62" s="1" t="s">
        <v>2398</v>
      </c>
    </row>
    <row r="63" spans="1:10" ht="28.8" x14ac:dyDescent="0.3">
      <c r="A63" s="2" t="s">
        <v>2853</v>
      </c>
      <c r="B63" s="191" t="s">
        <v>2855</v>
      </c>
      <c r="C63" s="43">
        <v>1</v>
      </c>
      <c r="D63" s="1" t="s">
        <v>65</v>
      </c>
      <c r="E63" s="1" t="s">
        <v>64</v>
      </c>
      <c r="F63" s="1" t="str">
        <f>UnitControlCenter!$B$9</f>
        <v>billion 2023 dollars / year</v>
      </c>
      <c r="G63" s="1" t="s">
        <v>2862</v>
      </c>
      <c r="H63" s="1" t="s">
        <v>2864</v>
      </c>
      <c r="I63" s="1" t="s">
        <v>2398</v>
      </c>
    </row>
    <row r="64" spans="1:10" ht="43.2" x14ac:dyDescent="0.3">
      <c r="A64" s="2" t="s">
        <v>2853</v>
      </c>
      <c r="B64" s="191" t="s">
        <v>2874</v>
      </c>
      <c r="C64" s="43">
        <v>1</v>
      </c>
      <c r="D64" s="1" t="s">
        <v>65</v>
      </c>
      <c r="E64" s="1" t="s">
        <v>64</v>
      </c>
      <c r="F64" s="1" t="str">
        <f>UnitControlCenter!$B$13</f>
        <v>% change</v>
      </c>
      <c r="G64" s="1" t="s">
        <v>2876</v>
      </c>
      <c r="H64" s="1" t="s">
        <v>2864</v>
      </c>
      <c r="I64" s="1" t="s">
        <v>2398</v>
      </c>
    </row>
    <row r="65" spans="1:10" ht="28.8" x14ac:dyDescent="0.3">
      <c r="A65" s="2" t="s">
        <v>2853</v>
      </c>
      <c r="B65" s="191" t="s">
        <v>2915</v>
      </c>
      <c r="C65" s="43">
        <v>1</v>
      </c>
      <c r="D65" s="1" t="s">
        <v>65</v>
      </c>
      <c r="E65" s="1" t="s">
        <v>64</v>
      </c>
      <c r="F65" s="1" t="str">
        <f>UnitControlCenter!$B$9</f>
        <v>billion 2023 dollars / year</v>
      </c>
      <c r="G65" s="1" t="s">
        <v>2919</v>
      </c>
      <c r="H65" s="1" t="s">
        <v>2917</v>
      </c>
      <c r="I65" s="1" t="s">
        <v>2928</v>
      </c>
    </row>
    <row r="66" spans="1:10" ht="43.2" x14ac:dyDescent="0.3">
      <c r="A66" s="2" t="s">
        <v>2853</v>
      </c>
      <c r="B66" s="191" t="s">
        <v>2869</v>
      </c>
      <c r="C66" s="43">
        <v>1</v>
      </c>
      <c r="D66" s="1" t="s">
        <v>65</v>
      </c>
      <c r="E66" s="1" t="s">
        <v>64</v>
      </c>
      <c r="F66" s="1" t="str">
        <f>UnitControlCenter!$B$9</f>
        <v>billion 2023 dollars / year</v>
      </c>
      <c r="G66" s="1" t="s">
        <v>2865</v>
      </c>
      <c r="H66" s="1" t="s">
        <v>2863</v>
      </c>
      <c r="I66" s="1" t="s">
        <v>2398</v>
      </c>
    </row>
    <row r="67" spans="1:10" ht="28.8" x14ac:dyDescent="0.3">
      <c r="A67" s="2" t="s">
        <v>2853</v>
      </c>
      <c r="B67" s="191" t="s">
        <v>2867</v>
      </c>
      <c r="C67" s="43">
        <v>1</v>
      </c>
      <c r="D67" s="1" t="s">
        <v>63</v>
      </c>
      <c r="E67" s="1" t="s">
        <v>64</v>
      </c>
      <c r="F67" s="1" t="str">
        <f>UnitControlCenter!$B$14</f>
        <v>2023 dollars / employee-year</v>
      </c>
      <c r="G67" s="1" t="s">
        <v>2868</v>
      </c>
    </row>
    <row r="68" spans="1:10" ht="29.4" thickBot="1" x14ac:dyDescent="0.35">
      <c r="A68" s="192" t="s">
        <v>2853</v>
      </c>
      <c r="B68" s="194" t="s">
        <v>2916</v>
      </c>
      <c r="C68" s="199">
        <v>1</v>
      </c>
      <c r="D68" s="193" t="s">
        <v>65</v>
      </c>
      <c r="E68" s="193" t="s">
        <v>64</v>
      </c>
      <c r="F68" s="193" t="str">
        <f>UnitControlCenter!$B$9</f>
        <v>billion 2023 dollars / year</v>
      </c>
      <c r="G68" s="193" t="s">
        <v>2920</v>
      </c>
      <c r="H68" s="193" t="s">
        <v>2917</v>
      </c>
      <c r="I68" s="193" t="s">
        <v>2928</v>
      </c>
      <c r="J68" s="193"/>
    </row>
    <row r="69" spans="1:10" ht="72" x14ac:dyDescent="0.3">
      <c r="A69" s="2" t="s">
        <v>2854</v>
      </c>
      <c r="B69" s="2" t="s">
        <v>2660</v>
      </c>
      <c r="C69" s="43">
        <v>0</v>
      </c>
      <c r="D69" s="1" t="s">
        <v>65</v>
      </c>
      <c r="E69" s="1" t="s">
        <v>64</v>
      </c>
      <c r="F69" s="1" t="str">
        <f>UnitControlCenter!$B$9</f>
        <v>billion 2023 dollars / year</v>
      </c>
      <c r="G69" s="1" t="s">
        <v>2661</v>
      </c>
      <c r="H69" s="1" t="s">
        <v>2662</v>
      </c>
      <c r="I69" s="1" t="s">
        <v>2641</v>
      </c>
    </row>
    <row r="70" spans="1:10" ht="43.2" x14ac:dyDescent="0.3">
      <c r="A70" s="2" t="s">
        <v>2854</v>
      </c>
      <c r="B70" s="2" t="s">
        <v>2664</v>
      </c>
      <c r="C70" s="43">
        <v>0</v>
      </c>
      <c r="D70" s="1" t="s">
        <v>65</v>
      </c>
      <c r="E70" s="1" t="s">
        <v>64</v>
      </c>
      <c r="F70" s="1" t="str">
        <f>UnitControlCenter!$B$9</f>
        <v>billion 2023 dollars / year</v>
      </c>
      <c r="G70" s="1" t="s">
        <v>2674</v>
      </c>
      <c r="H70" s="1" t="s">
        <v>2675</v>
      </c>
      <c r="I70" s="1" t="s">
        <v>2676</v>
      </c>
    </row>
    <row r="71" spans="1:10" ht="57.6" x14ac:dyDescent="0.3">
      <c r="A71" s="2" t="s">
        <v>2854</v>
      </c>
      <c r="B71" s="2" t="s">
        <v>2665</v>
      </c>
      <c r="C71" s="43">
        <v>0</v>
      </c>
      <c r="D71" s="1" t="s">
        <v>65</v>
      </c>
      <c r="E71" s="1" t="s">
        <v>64</v>
      </c>
      <c r="F71" s="1" t="str">
        <f>UnitControlCenter!$B$9</f>
        <v>billion 2023 dollars / year</v>
      </c>
      <c r="G71" s="1" t="s">
        <v>2685</v>
      </c>
      <c r="H71" s="1" t="s">
        <v>2683</v>
      </c>
      <c r="I71" s="1" t="s">
        <v>2684</v>
      </c>
    </row>
    <row r="72" spans="1:10" ht="43.2" x14ac:dyDescent="0.3">
      <c r="A72" s="2" t="s">
        <v>2854</v>
      </c>
      <c r="B72" s="2" t="s">
        <v>2666</v>
      </c>
      <c r="C72" s="43">
        <v>0</v>
      </c>
      <c r="D72" s="1" t="s">
        <v>65</v>
      </c>
      <c r="E72" s="1" t="s">
        <v>64</v>
      </c>
      <c r="F72" s="1" t="str">
        <f>UnitControlCenter!$B$9</f>
        <v>billion 2023 dollars / year</v>
      </c>
      <c r="G72" s="1" t="s">
        <v>2679</v>
      </c>
      <c r="H72" s="1" t="s">
        <v>2675</v>
      </c>
      <c r="I72" s="1" t="s">
        <v>2677</v>
      </c>
    </row>
    <row r="73" spans="1:10" ht="43.2" x14ac:dyDescent="0.3">
      <c r="A73" s="2" t="s">
        <v>2854</v>
      </c>
      <c r="B73" s="2" t="s">
        <v>2667</v>
      </c>
      <c r="C73" s="43">
        <v>0</v>
      </c>
      <c r="D73" s="1" t="s">
        <v>65</v>
      </c>
      <c r="E73" s="1" t="s">
        <v>64</v>
      </c>
      <c r="F73" s="1" t="str">
        <f>UnitControlCenter!$B$9</f>
        <v>billion 2023 dollars / year</v>
      </c>
      <c r="G73" s="1" t="s">
        <v>2680</v>
      </c>
      <c r="H73" s="1" t="s">
        <v>2675</v>
      </c>
      <c r="I73" s="1" t="s">
        <v>2678</v>
      </c>
    </row>
    <row r="74" spans="1:10" ht="57.6" x14ac:dyDescent="0.3">
      <c r="A74" s="2" t="s">
        <v>2854</v>
      </c>
      <c r="B74" s="2" t="s">
        <v>2668</v>
      </c>
      <c r="C74" s="43">
        <v>0</v>
      </c>
      <c r="D74" s="1" t="s">
        <v>65</v>
      </c>
      <c r="E74" s="1" t="s">
        <v>64</v>
      </c>
      <c r="F74" s="1" t="str">
        <f>UnitControlCenter!$B$9</f>
        <v>billion 2023 dollars / year</v>
      </c>
      <c r="G74" s="1" t="s">
        <v>2686</v>
      </c>
      <c r="H74" s="1" t="s">
        <v>2683</v>
      </c>
      <c r="I74" s="1" t="s">
        <v>2684</v>
      </c>
    </row>
    <row r="75" spans="1:10" ht="57.6" x14ac:dyDescent="0.3">
      <c r="A75" s="2" t="s">
        <v>2854</v>
      </c>
      <c r="B75" s="2" t="s">
        <v>2669</v>
      </c>
      <c r="C75" s="43">
        <v>0</v>
      </c>
      <c r="D75" s="1" t="s">
        <v>65</v>
      </c>
      <c r="E75" s="1" t="s">
        <v>64</v>
      </c>
      <c r="F75" s="1" t="str">
        <f>UnitControlCenter!$B$9</f>
        <v>billion 2023 dollars / year</v>
      </c>
      <c r="G75" s="1" t="s">
        <v>2687</v>
      </c>
      <c r="H75" s="1" t="s">
        <v>2683</v>
      </c>
      <c r="I75" s="1" t="s">
        <v>2684</v>
      </c>
    </row>
    <row r="76" spans="1:10" ht="72" x14ac:dyDescent="0.3">
      <c r="A76" s="2" t="s">
        <v>2854</v>
      </c>
      <c r="B76" s="2" t="s">
        <v>2670</v>
      </c>
      <c r="C76" s="43">
        <v>0</v>
      </c>
      <c r="D76" s="1" t="s">
        <v>65</v>
      </c>
      <c r="E76" s="1" t="s">
        <v>64</v>
      </c>
      <c r="F76" s="1" t="str">
        <f>UnitControlCenter!$B$9</f>
        <v>billion 2023 dollars / year</v>
      </c>
      <c r="G76" s="1" t="s">
        <v>2688</v>
      </c>
      <c r="H76" s="1" t="s">
        <v>2683</v>
      </c>
      <c r="I76" s="1" t="s">
        <v>2684</v>
      </c>
    </row>
    <row r="77" spans="1:10" ht="57.6" x14ac:dyDescent="0.3">
      <c r="A77" s="2" t="s">
        <v>2854</v>
      </c>
      <c r="B77" s="2" t="s">
        <v>2693</v>
      </c>
      <c r="C77" s="43">
        <v>0</v>
      </c>
      <c r="D77" s="1" t="s">
        <v>65</v>
      </c>
      <c r="E77" s="1" t="s">
        <v>64</v>
      </c>
      <c r="F77" s="1" t="str">
        <f>UnitControlCenter!$B$9</f>
        <v>billion 2023 dollars / year</v>
      </c>
      <c r="G77" s="1" t="s">
        <v>2691</v>
      </c>
      <c r="H77" s="1" t="s">
        <v>2683</v>
      </c>
      <c r="I77" s="1" t="s">
        <v>2689</v>
      </c>
    </row>
    <row r="78" spans="1:10" ht="58.2" thickBot="1" x14ac:dyDescent="0.35">
      <c r="A78" s="192" t="s">
        <v>2854</v>
      </c>
      <c r="B78" s="192" t="s">
        <v>2694</v>
      </c>
      <c r="C78" s="199">
        <v>0</v>
      </c>
      <c r="D78" s="193" t="s">
        <v>65</v>
      </c>
      <c r="E78" s="193" t="s">
        <v>64</v>
      </c>
      <c r="F78" s="193" t="str">
        <f>UnitControlCenter!$B$9</f>
        <v>billion 2023 dollars / year</v>
      </c>
      <c r="G78" s="193" t="s">
        <v>2692</v>
      </c>
      <c r="H78" s="193" t="s">
        <v>2683</v>
      </c>
      <c r="I78" s="193" t="s">
        <v>2690</v>
      </c>
      <c r="J78" s="193"/>
    </row>
    <row r="79" spans="1:10" x14ac:dyDescent="0.3">
      <c r="A79" s="2" t="s">
        <v>2336</v>
      </c>
      <c r="B79" s="2" t="s">
        <v>2970</v>
      </c>
      <c r="C79" s="43">
        <v>1</v>
      </c>
      <c r="D79" s="1" t="s">
        <v>63</v>
      </c>
      <c r="E79" s="1" t="s">
        <v>2972</v>
      </c>
      <c r="F79" s="1" t="str">
        <f>UnitControlCenter!$B$12</f>
        <v>incidents / year</v>
      </c>
      <c r="G79" s="1" t="s">
        <v>2899</v>
      </c>
    </row>
    <row r="80" spans="1:10" x14ac:dyDescent="0.3">
      <c r="A80" s="2" t="s">
        <v>2336</v>
      </c>
      <c r="B80" s="2" t="s">
        <v>3179</v>
      </c>
      <c r="C80" s="43">
        <v>1</v>
      </c>
      <c r="D80" s="1" t="s">
        <v>63</v>
      </c>
      <c r="E80" s="1" t="s">
        <v>64</v>
      </c>
      <c r="F80" s="1" t="str">
        <f>UnitControlCenter!$B$13</f>
        <v>% change</v>
      </c>
      <c r="G80" s="1" t="s">
        <v>3180</v>
      </c>
    </row>
    <row r="81" spans="1:10" ht="28.8" x14ac:dyDescent="0.3">
      <c r="A81" s="2" t="s">
        <v>2336</v>
      </c>
      <c r="B81" s="2" t="s">
        <v>3262</v>
      </c>
      <c r="C81" s="43">
        <v>1</v>
      </c>
      <c r="D81" s="1" t="s">
        <v>65</v>
      </c>
      <c r="E81" s="1" t="s">
        <v>66</v>
      </c>
      <c r="F81" s="1" t="str">
        <f>UnitControlCenter!$B$12</f>
        <v>incidents / year</v>
      </c>
      <c r="G81" s="1" t="s">
        <v>3163</v>
      </c>
      <c r="H81" s="1" t="s">
        <v>3151</v>
      </c>
      <c r="I81" s="1" t="s">
        <v>3152</v>
      </c>
    </row>
    <row r="82" spans="1:10" ht="28.8" x14ac:dyDescent="0.3">
      <c r="A82" s="2" t="s">
        <v>2336</v>
      </c>
      <c r="B82" s="2" t="s">
        <v>3263</v>
      </c>
      <c r="C82" s="43">
        <v>1</v>
      </c>
      <c r="D82" s="1" t="s">
        <v>65</v>
      </c>
      <c r="E82" s="1" t="s">
        <v>64</v>
      </c>
      <c r="F82" s="1" t="str">
        <f>UnitControlCenter!$B$13</f>
        <v>% change</v>
      </c>
      <c r="G82" s="1" t="s">
        <v>3174</v>
      </c>
      <c r="H82" s="1" t="s">
        <v>3151</v>
      </c>
      <c r="I82" s="1" t="s">
        <v>3152</v>
      </c>
    </row>
    <row r="83" spans="1:10" ht="43.2" x14ac:dyDescent="0.3">
      <c r="A83" s="2" t="s">
        <v>2336</v>
      </c>
      <c r="B83" s="2" t="s">
        <v>3161</v>
      </c>
      <c r="C83" s="43">
        <v>1</v>
      </c>
      <c r="D83" s="1" t="s">
        <v>65</v>
      </c>
      <c r="E83" s="1" t="s">
        <v>66</v>
      </c>
      <c r="F83" s="1" t="str">
        <f>UnitControlCenter!$B$12</f>
        <v>incidents / year</v>
      </c>
      <c r="G83" s="1" t="s">
        <v>3164</v>
      </c>
      <c r="H83" s="1" t="s">
        <v>3153</v>
      </c>
      <c r="I83" s="20" t="s">
        <v>3154</v>
      </c>
      <c r="J83" s="20"/>
    </row>
    <row r="84" spans="1:10" ht="43.2" x14ac:dyDescent="0.3">
      <c r="A84" s="2" t="s">
        <v>2336</v>
      </c>
      <c r="B84" s="2" t="s">
        <v>3177</v>
      </c>
      <c r="C84" s="43">
        <v>1</v>
      </c>
      <c r="D84" s="1" t="s">
        <v>65</v>
      </c>
      <c r="E84" s="1" t="s">
        <v>64</v>
      </c>
      <c r="F84" s="1" t="str">
        <f>UnitControlCenter!$B$13</f>
        <v>% change</v>
      </c>
      <c r="G84" s="1" t="s">
        <v>3175</v>
      </c>
      <c r="H84" s="1" t="s">
        <v>3153</v>
      </c>
      <c r="I84" s="20" t="s">
        <v>3154</v>
      </c>
      <c r="J84" s="20"/>
    </row>
    <row r="85" spans="1:10" ht="28.8" x14ac:dyDescent="0.3">
      <c r="A85" s="2" t="s">
        <v>2336</v>
      </c>
      <c r="B85" s="2" t="s">
        <v>3162</v>
      </c>
      <c r="C85" s="43">
        <v>1</v>
      </c>
      <c r="D85" s="1" t="s">
        <v>65</v>
      </c>
      <c r="E85" s="1" t="s">
        <v>66</v>
      </c>
      <c r="F85" s="1" t="str">
        <f>UnitControlCenter!$B$12</f>
        <v>incidents / year</v>
      </c>
      <c r="G85" s="1" t="s">
        <v>3165</v>
      </c>
      <c r="H85" s="1" t="s">
        <v>3156</v>
      </c>
      <c r="I85" s="1" t="s">
        <v>3157</v>
      </c>
    </row>
    <row r="86" spans="1:10" ht="28.8" x14ac:dyDescent="0.3">
      <c r="A86" s="2" t="s">
        <v>2336</v>
      </c>
      <c r="B86" s="2" t="s">
        <v>3178</v>
      </c>
      <c r="C86" s="43">
        <v>1</v>
      </c>
      <c r="D86" s="1" t="s">
        <v>65</v>
      </c>
      <c r="E86" s="1" t="s">
        <v>64</v>
      </c>
      <c r="F86" s="1" t="str">
        <f>UnitControlCenter!$B$13</f>
        <v>% change</v>
      </c>
      <c r="G86" s="1" t="s">
        <v>3176</v>
      </c>
      <c r="H86" s="1" t="s">
        <v>3156</v>
      </c>
      <c r="I86" s="1" t="s">
        <v>3157</v>
      </c>
    </row>
    <row r="87" spans="1:10" x14ac:dyDescent="0.3">
      <c r="A87" s="2" t="s">
        <v>2336</v>
      </c>
      <c r="B87" s="2" t="s">
        <v>2891</v>
      </c>
      <c r="C87" s="43">
        <v>0</v>
      </c>
      <c r="D87" s="1" t="s">
        <v>63</v>
      </c>
      <c r="E87" s="1" t="s">
        <v>64</v>
      </c>
      <c r="F87" s="1" t="str">
        <f>UnitControlCenter!$B$12</f>
        <v>incidents / year</v>
      </c>
      <c r="G87" s="1" t="s">
        <v>2899</v>
      </c>
    </row>
    <row r="88" spans="1:10" ht="28.8" x14ac:dyDescent="0.3">
      <c r="A88" s="2" t="s">
        <v>2336</v>
      </c>
      <c r="B88" s="2" t="s">
        <v>2337</v>
      </c>
      <c r="C88" s="43">
        <v>1</v>
      </c>
      <c r="D88" s="1" t="s">
        <v>63</v>
      </c>
      <c r="E88" s="1" t="s">
        <v>64</v>
      </c>
      <c r="F88" s="1" t="str">
        <f>UnitControlCenter!$B$9</f>
        <v>billion 2023 dollars / year</v>
      </c>
      <c r="G88" s="1" t="s">
        <v>67</v>
      </c>
    </row>
    <row r="89" spans="1:10" x14ac:dyDescent="0.3">
      <c r="A89" s="2" t="s">
        <v>2336</v>
      </c>
      <c r="B89" s="2" t="s">
        <v>2892</v>
      </c>
      <c r="C89" s="43">
        <v>1</v>
      </c>
      <c r="D89" s="1" t="s">
        <v>63</v>
      </c>
      <c r="E89" s="1" t="s">
        <v>64</v>
      </c>
      <c r="F89" s="1" t="str">
        <f>UnitControlCenter!$B$12</f>
        <v>incidents / year</v>
      </c>
      <c r="G89" s="1" t="s">
        <v>2900</v>
      </c>
    </row>
    <row r="90" spans="1:10" ht="28.8" x14ac:dyDescent="0.3">
      <c r="A90" s="2" t="s">
        <v>2336</v>
      </c>
      <c r="B90" s="2" t="s">
        <v>2893</v>
      </c>
      <c r="C90" s="43">
        <v>1</v>
      </c>
      <c r="D90" s="1" t="s">
        <v>63</v>
      </c>
      <c r="E90" s="1" t="s">
        <v>64</v>
      </c>
      <c r="F90" s="1" t="str">
        <f>UnitControlCenter!$B$12</f>
        <v>incidents / year</v>
      </c>
      <c r="G90" s="1" t="s">
        <v>2901</v>
      </c>
    </row>
    <row r="91" spans="1:10" x14ac:dyDescent="0.3">
      <c r="A91" s="2" t="s">
        <v>2336</v>
      </c>
      <c r="B91" s="2" t="s">
        <v>2906</v>
      </c>
      <c r="C91" s="43">
        <v>1</v>
      </c>
      <c r="D91" s="1" t="s">
        <v>63</v>
      </c>
      <c r="E91" s="1" t="s">
        <v>64</v>
      </c>
      <c r="F91" s="1" t="str">
        <f>UnitControlCenter!$B$12</f>
        <v>incidents / year</v>
      </c>
      <c r="G91" s="1" t="s">
        <v>2907</v>
      </c>
    </row>
    <row r="92" spans="1:10" x14ac:dyDescent="0.3">
      <c r="A92" s="2" t="s">
        <v>2336</v>
      </c>
      <c r="B92" s="2" t="s">
        <v>2894</v>
      </c>
      <c r="C92" s="43">
        <v>1</v>
      </c>
      <c r="D92" s="1" t="s">
        <v>63</v>
      </c>
      <c r="E92" s="1" t="s">
        <v>64</v>
      </c>
      <c r="F92" s="1" t="str">
        <f>UnitControlCenter!$B$12</f>
        <v>incidents / year</v>
      </c>
      <c r="G92" s="1" t="s">
        <v>2902</v>
      </c>
    </row>
    <row r="93" spans="1:10" x14ac:dyDescent="0.3">
      <c r="A93" s="2" t="s">
        <v>2336</v>
      </c>
      <c r="B93" s="2" t="s">
        <v>2895</v>
      </c>
      <c r="C93" s="43">
        <v>1</v>
      </c>
      <c r="D93" s="1" t="s">
        <v>63</v>
      </c>
      <c r="E93" s="1" t="s">
        <v>64</v>
      </c>
      <c r="F93" s="1" t="str">
        <f>UnitControlCenter!$B$12</f>
        <v>incidents / year</v>
      </c>
      <c r="G93" s="1" t="s">
        <v>2903</v>
      </c>
    </row>
    <row r="94" spans="1:10" x14ac:dyDescent="0.3">
      <c r="A94" s="2" t="s">
        <v>2336</v>
      </c>
      <c r="B94" s="2" t="s">
        <v>2896</v>
      </c>
      <c r="C94" s="43">
        <v>1</v>
      </c>
      <c r="D94" s="1" t="s">
        <v>63</v>
      </c>
      <c r="E94" s="1" t="s">
        <v>64</v>
      </c>
      <c r="F94" s="1" t="str">
        <f>UnitControlCenter!$B$12</f>
        <v>incidents / year</v>
      </c>
      <c r="G94" s="1" t="s">
        <v>2904</v>
      </c>
    </row>
    <row r="95" spans="1:10" ht="29.4" thickBot="1" x14ac:dyDescent="0.35">
      <c r="A95" s="192" t="s">
        <v>2336</v>
      </c>
      <c r="B95" s="192" t="s">
        <v>2897</v>
      </c>
      <c r="C95" s="199">
        <v>1</v>
      </c>
      <c r="D95" s="193" t="s">
        <v>63</v>
      </c>
      <c r="E95" s="193" t="s">
        <v>64</v>
      </c>
      <c r="F95" s="193" t="str">
        <f>UnitControlCenter!$B$12</f>
        <v>incidents / year</v>
      </c>
      <c r="G95" s="193" t="s">
        <v>2905</v>
      </c>
      <c r="H95" s="193"/>
      <c r="I95" s="193"/>
      <c r="J95" s="193"/>
    </row>
    <row r="96" spans="1:10" ht="216" x14ac:dyDescent="0.3">
      <c r="A96" s="2" t="s">
        <v>2463</v>
      </c>
      <c r="B96" s="2" t="s">
        <v>2338</v>
      </c>
      <c r="C96" s="43">
        <v>1</v>
      </c>
      <c r="D96" s="1" t="s">
        <v>65</v>
      </c>
      <c r="E96" s="1" t="s">
        <v>66</v>
      </c>
      <c r="F96" s="1" t="str">
        <f>UnitControlCenter!$B$16</f>
        <v>terawatt-hours (TWh) / year</v>
      </c>
      <c r="G96" s="1" t="s">
        <v>3806</v>
      </c>
      <c r="H96" s="1" t="s">
        <v>3807</v>
      </c>
      <c r="I96" s="1" t="s">
        <v>3808</v>
      </c>
    </row>
    <row r="97" spans="1:10" ht="259.2" x14ac:dyDescent="0.3">
      <c r="A97" s="2" t="s">
        <v>2463</v>
      </c>
      <c r="B97" s="2" t="s">
        <v>2339</v>
      </c>
      <c r="C97" s="43">
        <v>1</v>
      </c>
      <c r="D97" s="1" t="s">
        <v>65</v>
      </c>
      <c r="E97" s="1" t="s">
        <v>64</v>
      </c>
      <c r="F97" s="1" t="str">
        <f>UnitControlCenter!$B$16</f>
        <v>terawatt-hours (TWh) / year</v>
      </c>
      <c r="G97" s="1" t="s">
        <v>3831</v>
      </c>
      <c r="H97" s="1" t="s">
        <v>3807</v>
      </c>
      <c r="I97" s="1" t="s">
        <v>3808</v>
      </c>
    </row>
    <row r="98" spans="1:10" ht="216" x14ac:dyDescent="0.3">
      <c r="A98" s="2" t="s">
        <v>2463</v>
      </c>
      <c r="B98" s="2" t="s">
        <v>2340</v>
      </c>
      <c r="C98" s="43">
        <v>1</v>
      </c>
      <c r="D98" s="1" t="s">
        <v>65</v>
      </c>
      <c r="E98" s="1" t="s">
        <v>66</v>
      </c>
      <c r="F98" s="1" t="str">
        <f>UnitControlCenter!$B$21</f>
        <v>gigawatts (GW) / year</v>
      </c>
      <c r="G98" s="1" t="s">
        <v>3805</v>
      </c>
      <c r="H98" s="1" t="s">
        <v>3803</v>
      </c>
      <c r="I98" s="1" t="s">
        <v>3804</v>
      </c>
    </row>
    <row r="99" spans="1:10" ht="244.8" x14ac:dyDescent="0.3">
      <c r="A99" s="2" t="s">
        <v>2463</v>
      </c>
      <c r="B99" s="2" t="s">
        <v>2341</v>
      </c>
      <c r="C99" s="43">
        <v>1</v>
      </c>
      <c r="D99" s="1" t="s">
        <v>65</v>
      </c>
      <c r="E99" s="1" t="s">
        <v>64</v>
      </c>
      <c r="F99" s="1" t="str">
        <f>UnitControlCenter!$B$21</f>
        <v>gigawatts (GW) / year</v>
      </c>
      <c r="G99" s="1" t="s">
        <v>3832</v>
      </c>
      <c r="H99" s="1" t="s">
        <v>3803</v>
      </c>
      <c r="I99" s="1" t="s">
        <v>3804</v>
      </c>
    </row>
    <row r="100" spans="1:10" ht="72" x14ac:dyDescent="0.3">
      <c r="A100" s="2" t="s">
        <v>2463</v>
      </c>
      <c r="B100" s="2" t="s">
        <v>2464</v>
      </c>
      <c r="C100" s="43">
        <v>1</v>
      </c>
      <c r="D100" s="1" t="s">
        <v>65</v>
      </c>
      <c r="E100" s="1" t="s">
        <v>66</v>
      </c>
      <c r="F100" s="1" t="str">
        <f>UnitControlCenter!$B$16</f>
        <v>terawatt-hours (TWh) / year</v>
      </c>
      <c r="G100" s="1" t="s">
        <v>3800</v>
      </c>
      <c r="H100" s="1" t="s">
        <v>3801</v>
      </c>
      <c r="I100" s="1" t="s">
        <v>3802</v>
      </c>
    </row>
    <row r="101" spans="1:10" ht="28.8" x14ac:dyDescent="0.3">
      <c r="A101" s="2" t="s">
        <v>2463</v>
      </c>
      <c r="B101" s="2" t="s">
        <v>3775</v>
      </c>
      <c r="C101" s="43">
        <v>1</v>
      </c>
      <c r="D101" s="1" t="s">
        <v>63</v>
      </c>
      <c r="E101" s="1" t="s">
        <v>64</v>
      </c>
      <c r="F101" s="1" t="str">
        <f>UnitControlCenter!B18</f>
        <v>%</v>
      </c>
      <c r="G101" s="1" t="s">
        <v>3327</v>
      </c>
    </row>
    <row r="102" spans="1:10" ht="28.8" x14ac:dyDescent="0.3">
      <c r="A102" s="2" t="s">
        <v>2463</v>
      </c>
      <c r="B102" s="2" t="s">
        <v>3329</v>
      </c>
      <c r="C102" s="43">
        <v>1</v>
      </c>
      <c r="D102" s="1" t="s">
        <v>63</v>
      </c>
      <c r="E102" s="1" t="s">
        <v>64</v>
      </c>
      <c r="F102" s="1" t="str">
        <f>UnitControlCenter!B19</f>
        <v>metric tons CO2e / megawatt-hour (MWh)</v>
      </c>
      <c r="G102" s="1" t="s">
        <v>3328</v>
      </c>
    </row>
    <row r="103" spans="1:10" ht="29.4" thickBot="1" x14ac:dyDescent="0.35">
      <c r="A103" s="192" t="s">
        <v>2463</v>
      </c>
      <c r="B103" s="192" t="s">
        <v>3336</v>
      </c>
      <c r="C103" s="199">
        <v>1</v>
      </c>
      <c r="D103" s="193" t="s">
        <v>63</v>
      </c>
      <c r="E103" s="193" t="s">
        <v>64</v>
      </c>
      <c r="F103" s="193" t="str">
        <f>UnitControlCenter!B20</f>
        <v>kilowatt-hour / 2023 dollar</v>
      </c>
      <c r="G103" s="193" t="s">
        <v>3337</v>
      </c>
      <c r="H103" s="193"/>
      <c r="I103" s="193"/>
      <c r="J103" s="193"/>
    </row>
    <row r="104" spans="1:10" ht="172.8" x14ac:dyDescent="0.3">
      <c r="A104" s="2" t="s">
        <v>3112</v>
      </c>
      <c r="B104" s="2" t="s">
        <v>2342</v>
      </c>
      <c r="C104" s="43">
        <v>1</v>
      </c>
      <c r="D104" s="1" t="s">
        <v>65</v>
      </c>
      <c r="E104" s="1" t="s">
        <v>2354</v>
      </c>
      <c r="F104" s="1" t="str">
        <f>UnitControlCenter!$B$22</f>
        <v>2023 dollars / megawatt-hour (MWh)</v>
      </c>
      <c r="G104" s="1" t="s">
        <v>3586</v>
      </c>
      <c r="H104" s="1" t="s">
        <v>3658</v>
      </c>
      <c r="I104" s="43" t="s">
        <v>3660</v>
      </c>
    </row>
    <row r="105" spans="1:10" ht="28.8" x14ac:dyDescent="0.3">
      <c r="A105" s="2" t="s">
        <v>3112</v>
      </c>
      <c r="B105" s="2" t="s">
        <v>3809</v>
      </c>
      <c r="C105" s="43">
        <v>1</v>
      </c>
      <c r="D105" s="1" t="s">
        <v>63</v>
      </c>
      <c r="E105" s="1" t="s">
        <v>64</v>
      </c>
      <c r="F105" s="1" t="str">
        <f>UnitControlCenter!B22</f>
        <v>2023 dollars / megawatt-hour (MWh)</v>
      </c>
      <c r="G105" s="1" t="s">
        <v>3810</v>
      </c>
    </row>
    <row r="106" spans="1:10" ht="28.8" x14ac:dyDescent="0.3">
      <c r="A106" s="2" t="s">
        <v>3112</v>
      </c>
      <c r="B106" s="2" t="s">
        <v>2343</v>
      </c>
      <c r="C106" s="43">
        <v>1</v>
      </c>
      <c r="D106" s="1" t="s">
        <v>65</v>
      </c>
      <c r="E106" s="1" t="s">
        <v>66</v>
      </c>
      <c r="F106" s="1" t="str">
        <f>UnitControlCenter!$B$16</f>
        <v>terawatt-hours (TWh) / year</v>
      </c>
      <c r="G106" s="1" t="s">
        <v>2765</v>
      </c>
      <c r="H106" s="1" t="s">
        <v>2766</v>
      </c>
      <c r="I106" s="1" t="s">
        <v>2767</v>
      </c>
    </row>
    <row r="107" spans="1:10" ht="100.8" x14ac:dyDescent="0.3">
      <c r="A107" s="2" t="s">
        <v>3112</v>
      </c>
      <c r="B107" s="2" t="s">
        <v>3113</v>
      </c>
      <c r="C107" s="43">
        <v>1</v>
      </c>
      <c r="D107" s="1" t="s">
        <v>65</v>
      </c>
      <c r="E107" s="1" t="s">
        <v>66</v>
      </c>
      <c r="F107" s="1" t="str">
        <f>UnitControlCenter!$B$3</f>
        <v>million metric tons / year</v>
      </c>
      <c r="G107" s="1" t="s">
        <v>3588</v>
      </c>
      <c r="H107" s="1" t="s">
        <v>3659</v>
      </c>
      <c r="I107" s="43" t="s">
        <v>3661</v>
      </c>
    </row>
    <row r="108" spans="1:10" ht="187.2" x14ac:dyDescent="0.3">
      <c r="A108" s="2" t="s">
        <v>3112</v>
      </c>
      <c r="B108" s="2" t="s">
        <v>2457</v>
      </c>
      <c r="C108" s="43">
        <v>1</v>
      </c>
      <c r="D108" s="1" t="s">
        <v>65</v>
      </c>
      <c r="E108" s="1" t="s">
        <v>66</v>
      </c>
      <c r="F108" s="1" t="str">
        <f>UnitControlCenter!$B$23</f>
        <v>cubic km / yr</v>
      </c>
      <c r="G108" s="1" t="s">
        <v>3587</v>
      </c>
      <c r="H108" s="1" t="s">
        <v>3658</v>
      </c>
      <c r="I108" s="43" t="s">
        <v>3660</v>
      </c>
    </row>
    <row r="109" spans="1:10" s="193" customFormat="1" ht="187.8" thickBot="1" x14ac:dyDescent="0.35">
      <c r="A109" s="192" t="s">
        <v>3112</v>
      </c>
      <c r="B109" s="192" t="s">
        <v>2458</v>
      </c>
      <c r="C109" s="199">
        <v>1</v>
      </c>
      <c r="D109" s="193" t="s">
        <v>65</v>
      </c>
      <c r="E109" s="193" t="s">
        <v>66</v>
      </c>
      <c r="F109" s="193" t="str">
        <f>UnitControlCenter!$B$23</f>
        <v>cubic km / yr</v>
      </c>
      <c r="G109" s="193" t="s">
        <v>3589</v>
      </c>
      <c r="H109" s="1" t="s">
        <v>3658</v>
      </c>
      <c r="I109" s="43" t="s">
        <v>3660</v>
      </c>
    </row>
    <row r="110" spans="1:10" ht="409.6" x14ac:dyDescent="0.3">
      <c r="A110" s="2" t="s">
        <v>3547</v>
      </c>
      <c r="B110" s="2" t="s">
        <v>3548</v>
      </c>
      <c r="C110" s="43">
        <v>1</v>
      </c>
      <c r="D110" s="1" t="s">
        <v>65</v>
      </c>
      <c r="E110" s="1" t="s">
        <v>3554</v>
      </c>
      <c r="F110" s="1" t="str">
        <f>UnitControlCenter!$B$17</f>
        <v>terawatt-hours (TWh)</v>
      </c>
      <c r="G110" s="1" t="s">
        <v>3614</v>
      </c>
      <c r="H110" s="1" t="s">
        <v>3749</v>
      </c>
      <c r="I110" s="1" t="s">
        <v>3611</v>
      </c>
    </row>
    <row r="111" spans="1:10" ht="403.2" x14ac:dyDescent="0.3">
      <c r="A111" s="2" t="s">
        <v>3547</v>
      </c>
      <c r="B111" s="2" t="s">
        <v>3549</v>
      </c>
      <c r="C111" s="43">
        <v>1</v>
      </c>
      <c r="D111" s="1" t="s">
        <v>65</v>
      </c>
      <c r="E111" s="1" t="s">
        <v>3554</v>
      </c>
      <c r="F111" s="1" t="str">
        <f>UnitControlCenter!$B$17</f>
        <v>terawatt-hours (TWh)</v>
      </c>
      <c r="G111" s="1" t="s">
        <v>3615</v>
      </c>
      <c r="H111" s="373"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1" s="373" t="str">
        <f>I$110</f>
        <v>abd8a4, af64ff, b49f00, ff9999, e5ffcc, 620e7a, 65fffb, 00b050, ff6400, ffff00, f1bb18, c2dffd, 087bf1, 004185, ccff33, 04ffaf, bfb088, ff00ff, 000000, ad6600, 740000, f593e0, 9b1cb0, c01b00, ff0000, 6e8000, 004d10, 009999, 969696, b49f00, af64ff</v>
      </c>
    </row>
    <row r="112" spans="1:10" ht="409.6" x14ac:dyDescent="0.3">
      <c r="A112" s="2" t="s">
        <v>3547</v>
      </c>
      <c r="B112" s="2" t="s">
        <v>3550</v>
      </c>
      <c r="C112" s="43">
        <v>1</v>
      </c>
      <c r="D112" s="1" t="s">
        <v>65</v>
      </c>
      <c r="E112" s="1" t="s">
        <v>3554</v>
      </c>
      <c r="F112" s="1" t="str">
        <f>UnitControlCenter!$B$17</f>
        <v>terawatt-hours (TWh)</v>
      </c>
      <c r="G112" s="1" t="s">
        <v>3616</v>
      </c>
      <c r="H112" s="373"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2" s="373" t="str">
        <f t="shared" si="0"/>
        <v>abd8a4, af64ff, b49f00, ff9999, e5ffcc, 620e7a, 65fffb, 00b050, ff6400, ffff00, f1bb18, c2dffd, 087bf1, 004185, ccff33, 04ffaf, bfb088, ff00ff, 000000, ad6600, 740000, f593e0, 9b1cb0, c01b00, ff0000, 6e8000, 004d10, 009999, 969696, b49f00, af64ff</v>
      </c>
    </row>
    <row r="113" spans="1:10" ht="409.6" x14ac:dyDescent="0.3">
      <c r="A113" s="2" t="s">
        <v>3547</v>
      </c>
      <c r="B113" s="2" t="s">
        <v>3551</v>
      </c>
      <c r="C113" s="43">
        <v>1</v>
      </c>
      <c r="D113" s="1" t="s">
        <v>65</v>
      </c>
      <c r="E113" s="1" t="s">
        <v>3554</v>
      </c>
      <c r="F113" s="1" t="str">
        <f>UnitControlCenter!$B$17</f>
        <v>terawatt-hours (TWh)</v>
      </c>
      <c r="G113" s="1" t="s">
        <v>3617</v>
      </c>
      <c r="H113"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3" s="373" t="str">
        <f t="shared" si="0"/>
        <v>abd8a4, af64ff, b49f00, ff9999, e5ffcc, 620e7a, 65fffb, 00b050, ff6400, ffff00, f1bb18, c2dffd, 087bf1, 004185, ccff33, 04ffaf, bfb088, ff00ff, 000000, ad6600, 740000, f593e0, 9b1cb0, c01b00, ff0000, 6e8000, 004d10, 009999, 969696, b49f00, af64ff</v>
      </c>
    </row>
    <row r="114" spans="1:10" ht="409.6" x14ac:dyDescent="0.3">
      <c r="A114" s="2" t="s">
        <v>3547</v>
      </c>
      <c r="B114" s="2" t="s">
        <v>3552</v>
      </c>
      <c r="C114" s="43">
        <v>1</v>
      </c>
      <c r="D114" s="1" t="s">
        <v>65</v>
      </c>
      <c r="E114" s="1" t="s">
        <v>3554</v>
      </c>
      <c r="F114" s="1" t="str">
        <f>UnitControlCenter!$B$17</f>
        <v>terawatt-hours (TWh)</v>
      </c>
      <c r="G114" s="1" t="s">
        <v>3612</v>
      </c>
      <c r="H114"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4" s="373" t="str">
        <f t="shared" si="0"/>
        <v>abd8a4, af64ff, b49f00, ff9999, e5ffcc, 620e7a, 65fffb, 00b050, ff6400, ffff00, f1bb18, c2dffd, 087bf1, 004185, ccff33, 04ffaf, bfb088, ff00ff, 000000, ad6600, 740000, f593e0, 9b1cb0, c01b00, ff0000, 6e8000, 004d10, 009999, 969696, b49f00, af64ff</v>
      </c>
    </row>
    <row r="115" spans="1:10" ht="409.6" x14ac:dyDescent="0.3">
      <c r="A115" s="2" t="s">
        <v>3547</v>
      </c>
      <c r="B115" s="2" t="s">
        <v>3553</v>
      </c>
      <c r="C115" s="43">
        <v>1</v>
      </c>
      <c r="D115" s="1" t="s">
        <v>65</v>
      </c>
      <c r="E115" s="1" t="s">
        <v>3554</v>
      </c>
      <c r="F115" s="1" t="str">
        <f>UnitControlCenter!$B$17</f>
        <v>terawatt-hours (TWh)</v>
      </c>
      <c r="G115" s="1" t="s">
        <v>3613</v>
      </c>
      <c r="H115" s="373"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5" s="373" t="str">
        <f t="shared" si="0"/>
        <v>abd8a4, af64ff, b49f00, ff9999, e5ffcc, 620e7a, 65fffb, 00b050, ff6400, ffff00, f1bb18, c2dffd, 087bf1, 004185, ccff33, 04ffaf, bfb088, ff00ff, 000000, ad6600, 740000, f593e0, 9b1cb0, c01b00, ff0000, 6e8000, 004d10, 009999, 969696, b49f00, af64ff</v>
      </c>
    </row>
    <row r="116" spans="1:10" ht="409.6" x14ac:dyDescent="0.3">
      <c r="A116" s="2" t="s">
        <v>3547</v>
      </c>
      <c r="B116" s="2" t="s">
        <v>3557</v>
      </c>
      <c r="C116" s="43">
        <v>1</v>
      </c>
      <c r="D116" s="1" t="s">
        <v>65</v>
      </c>
      <c r="E116" s="1" t="s">
        <v>3555</v>
      </c>
      <c r="F116" s="1" t="str">
        <f>UnitControlCenter!$B$17</f>
        <v>terawatt-hours (TWh)</v>
      </c>
      <c r="G116" s="363"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363"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6" s="363" t="str">
        <f t="shared" si="1"/>
        <v>abd8a4, af64ff, b49f00, ff9999, e5ffcc, 620e7a, 65fffb, 00b050, ff6400, ffff00, f1bb18, c2dffd, 087bf1, 004185, ccff33, 04ffaf, bfb088, ff00ff, 000000, ad6600, 740000, f593e0, 9b1cb0, c01b00, ff0000, 6e8000, 004d10, 009999, 969696, b49f00, af64ff</v>
      </c>
      <c r="J116" s="363"/>
    </row>
    <row r="117" spans="1:10" ht="403.2" x14ac:dyDescent="0.3">
      <c r="A117" s="2" t="s">
        <v>3547</v>
      </c>
      <c r="B117" s="2" t="s">
        <v>3558</v>
      </c>
      <c r="C117" s="43">
        <v>1</v>
      </c>
      <c r="D117" s="1" t="s">
        <v>65</v>
      </c>
      <c r="E117" s="1" t="s">
        <v>3555</v>
      </c>
      <c r="F117" s="1" t="str">
        <f>UnitControlCenter!$B$17</f>
        <v>terawatt-hours (TWh)</v>
      </c>
      <c r="G117" s="363"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36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7" s="363" t="str">
        <f t="shared" si="2"/>
        <v>abd8a4, af64ff, b49f00, ff9999, e5ffcc, 620e7a, 65fffb, 00b050, ff6400, ffff00, f1bb18, c2dffd, 087bf1, 004185, ccff33, 04ffaf, bfb088, ff00ff, 000000, ad6600, 740000, f593e0, 9b1cb0, c01b00, ff0000, 6e8000, 004d10, 009999, 969696, b49f00, af64ff</v>
      </c>
      <c r="J117" s="363"/>
    </row>
    <row r="118" spans="1:10" ht="409.6" x14ac:dyDescent="0.3">
      <c r="A118" s="2" t="s">
        <v>3547</v>
      </c>
      <c r="B118" s="2" t="s">
        <v>3559</v>
      </c>
      <c r="C118" s="43">
        <v>1</v>
      </c>
      <c r="D118" s="1" t="s">
        <v>65</v>
      </c>
      <c r="E118" s="1" t="s">
        <v>3555</v>
      </c>
      <c r="F118" s="1" t="str">
        <f>UnitControlCenter!$B$17</f>
        <v>terawatt-hours (TWh)</v>
      </c>
      <c r="G118" s="363"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363"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8" s="363" t="str">
        <f t="shared" si="3"/>
        <v>abd8a4, af64ff, b49f00, ff9999, e5ffcc, 620e7a, 65fffb, 00b050, ff6400, ffff00, f1bb18, c2dffd, 087bf1, 004185, ccff33, 04ffaf, bfb088, ff00ff, 000000, ad6600, 740000, f593e0, 9b1cb0, c01b00, ff0000, 6e8000, 004d10, 009999, 969696, b49f00, af64ff</v>
      </c>
      <c r="J118" s="363"/>
    </row>
    <row r="119" spans="1:10" ht="409.6" x14ac:dyDescent="0.3">
      <c r="A119" s="2" t="s">
        <v>3547</v>
      </c>
      <c r="B119" s="2" t="s">
        <v>3560</v>
      </c>
      <c r="C119" s="43">
        <v>1</v>
      </c>
      <c r="D119" s="1" t="s">
        <v>65</v>
      </c>
      <c r="E119" s="1" t="s">
        <v>3555</v>
      </c>
      <c r="F119" s="1" t="str">
        <f>UnitControlCenter!$B$17</f>
        <v>terawatt-hours (TWh)</v>
      </c>
      <c r="G119" s="363"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363"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63" t="str">
        <f t="shared" si="4"/>
        <v>abd8a4, af64ff, b49f00, ff9999, e5ffcc, 620e7a, 65fffb, 00b050, ff6400, ffff00, f1bb18, c2dffd, 087bf1, 004185, ccff33, 04ffaf, bfb088, ff00ff, 000000, ad6600, 740000, f593e0, 9b1cb0, c01b00, ff0000, 6e8000, 004d10, 009999, 969696, b49f00, af64ff</v>
      </c>
      <c r="J119" s="363"/>
    </row>
    <row r="120" spans="1:10" ht="409.6" x14ac:dyDescent="0.3">
      <c r="A120" s="2" t="s">
        <v>3547</v>
      </c>
      <c r="B120" s="2" t="s">
        <v>3561</v>
      </c>
      <c r="C120" s="43">
        <v>1</v>
      </c>
      <c r="D120" s="1" t="s">
        <v>65</v>
      </c>
      <c r="E120" s="1" t="s">
        <v>3555</v>
      </c>
      <c r="F120" s="1" t="str">
        <f>UnitControlCenter!$B$17</f>
        <v>terawatt-hours (TWh)</v>
      </c>
      <c r="G120" s="363"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363"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63" t="str">
        <f t="shared" si="5"/>
        <v>abd8a4, af64ff, b49f00, ff9999, e5ffcc, 620e7a, 65fffb, 00b050, ff6400, ffff00, f1bb18, c2dffd, 087bf1, 004185, ccff33, 04ffaf, bfb088, ff00ff, 000000, ad6600, 740000, f593e0, 9b1cb0, c01b00, ff0000, 6e8000, 004d10, 009999, 969696, b49f00, af64ff</v>
      </c>
      <c r="J120" s="363"/>
    </row>
    <row r="121" spans="1:10" s="193" customFormat="1" ht="409.6" thickBot="1" x14ac:dyDescent="0.35">
      <c r="A121" s="192" t="s">
        <v>3547</v>
      </c>
      <c r="B121" s="192" t="s">
        <v>3562</v>
      </c>
      <c r="C121" s="199">
        <v>1</v>
      </c>
      <c r="D121" s="193" t="s">
        <v>65</v>
      </c>
      <c r="E121" s="193" t="s">
        <v>3555</v>
      </c>
      <c r="F121" s="193" t="str">
        <f>UnitControlCenter!$B$17</f>
        <v>terawatt-hours (TWh)</v>
      </c>
      <c r="G121" s="364"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364"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64" t="str">
        <f t="shared" si="6"/>
        <v>abd8a4, af64ff, b49f00, ff9999, e5ffcc, 620e7a, 65fffb, 00b050, ff6400, ffff00, f1bb18, c2dffd, 087bf1, 004185, ccff33, 04ffaf, bfb088, ff00ff, 000000, ad6600, 740000, f593e0, 9b1cb0, c01b00, ff0000, 6e8000, 004d10, 009999, 969696, b49f00, af64ff</v>
      </c>
      <c r="J121" s="364"/>
    </row>
    <row r="122" spans="1:10" ht="72" x14ac:dyDescent="0.3">
      <c r="A122" s="2" t="s">
        <v>2742</v>
      </c>
      <c r="B122" s="2" t="s">
        <v>2743</v>
      </c>
      <c r="C122" s="43">
        <v>1</v>
      </c>
      <c r="D122" s="1" t="s">
        <v>65</v>
      </c>
      <c r="E122" s="1" t="s">
        <v>66</v>
      </c>
      <c r="F122" s="1" t="str">
        <f>UnitControlCenter!$B$26</f>
        <v>million vehicles / year</v>
      </c>
      <c r="G122" s="1" t="s">
        <v>2607</v>
      </c>
      <c r="H122" s="1" t="s">
        <v>2608</v>
      </c>
      <c r="I122" s="1" t="s">
        <v>2609</v>
      </c>
    </row>
    <row r="123" spans="1:10" ht="72" x14ac:dyDescent="0.3">
      <c r="A123" s="2" t="s">
        <v>2742</v>
      </c>
      <c r="B123" s="2" t="s">
        <v>2744</v>
      </c>
      <c r="C123" s="43">
        <v>1</v>
      </c>
      <c r="D123" s="1" t="s">
        <v>65</v>
      </c>
      <c r="E123" s="1" t="s">
        <v>66</v>
      </c>
      <c r="F123" s="1" t="str">
        <f>UnitControlCenter!$B$27</f>
        <v>thousand vehicles / year</v>
      </c>
      <c r="G123" s="1" t="s">
        <v>2610</v>
      </c>
      <c r="H123" s="1" t="s">
        <v>2611</v>
      </c>
      <c r="I123" s="1" t="s">
        <v>2612</v>
      </c>
    </row>
    <row r="124" spans="1:10" ht="72" x14ac:dyDescent="0.3">
      <c r="A124" s="2" t="s">
        <v>2742</v>
      </c>
      <c r="B124" s="2" t="s">
        <v>3114</v>
      </c>
      <c r="C124" s="43">
        <v>1</v>
      </c>
      <c r="D124" s="1" t="s">
        <v>65</v>
      </c>
      <c r="E124" s="1" t="s">
        <v>66</v>
      </c>
      <c r="F124" s="1" t="str">
        <f>UnitControlCenter!$B$27</f>
        <v>thousand vehicles / year</v>
      </c>
      <c r="G124" s="1" t="s">
        <v>2613</v>
      </c>
      <c r="H124" s="1" t="s">
        <v>2608</v>
      </c>
      <c r="I124" s="1" t="s">
        <v>2609</v>
      </c>
    </row>
    <row r="125" spans="1:10" ht="72" x14ac:dyDescent="0.3">
      <c r="A125" s="2" t="s">
        <v>2742</v>
      </c>
      <c r="B125" s="2" t="s">
        <v>3117</v>
      </c>
      <c r="C125" s="43">
        <v>1</v>
      </c>
      <c r="D125" s="1" t="s">
        <v>65</v>
      </c>
      <c r="E125" s="1" t="s">
        <v>66</v>
      </c>
      <c r="F125" s="1" t="str">
        <f>UnitControlCenter!$B$27</f>
        <v>thousand vehicles / year</v>
      </c>
      <c r="G125" s="1" t="s">
        <v>2614</v>
      </c>
      <c r="H125" s="1" t="s">
        <v>2611</v>
      </c>
      <c r="I125" s="1" t="s">
        <v>2612</v>
      </c>
    </row>
    <row r="126" spans="1:10" ht="28.8" x14ac:dyDescent="0.3">
      <c r="A126" s="2" t="s">
        <v>2742</v>
      </c>
      <c r="B126" s="2" t="s">
        <v>3359</v>
      </c>
      <c r="C126" s="43">
        <v>1</v>
      </c>
      <c r="D126" s="1" t="s">
        <v>65</v>
      </c>
      <c r="E126" s="1" t="s">
        <v>66</v>
      </c>
      <c r="F126" s="1" t="str">
        <f>UnitControlCenter!$B$27</f>
        <v>thousand vehicles / year</v>
      </c>
      <c r="G126" s="1" t="s">
        <v>2498</v>
      </c>
      <c r="H126" s="1" t="s">
        <v>2499</v>
      </c>
      <c r="I126" s="1" t="s">
        <v>2598</v>
      </c>
    </row>
    <row r="127" spans="1:10" ht="28.8" x14ac:dyDescent="0.3">
      <c r="A127" s="2" t="s">
        <v>2742</v>
      </c>
      <c r="B127" s="2" t="s">
        <v>3360</v>
      </c>
      <c r="C127" s="43">
        <v>0</v>
      </c>
      <c r="D127" s="1" t="s">
        <v>65</v>
      </c>
      <c r="E127" s="1" t="s">
        <v>66</v>
      </c>
      <c r="F127" s="1" t="str">
        <f>UnitControlCenter!$B$27</f>
        <v>thousand vehicles / year</v>
      </c>
      <c r="G127" s="1" t="s">
        <v>3361</v>
      </c>
      <c r="H127" s="1" t="s">
        <v>2499</v>
      </c>
      <c r="I127" s="1" t="s">
        <v>2598</v>
      </c>
    </row>
    <row r="128" spans="1:10" ht="57.6" x14ac:dyDescent="0.3">
      <c r="A128" s="2" t="s">
        <v>2742</v>
      </c>
      <c r="B128" s="2" t="s">
        <v>2745</v>
      </c>
      <c r="C128" s="43">
        <v>1</v>
      </c>
      <c r="D128" s="1" t="s">
        <v>65</v>
      </c>
      <c r="E128" s="1" t="s">
        <v>66</v>
      </c>
      <c r="F128" s="1" t="str">
        <f>UnitControlCenter!$B$28</f>
        <v>million vehicles</v>
      </c>
      <c r="G128" s="1" t="s">
        <v>2615</v>
      </c>
      <c r="H128" s="1" t="s">
        <v>2608</v>
      </c>
      <c r="I128" s="1" t="s">
        <v>2609</v>
      </c>
    </row>
    <row r="129" spans="1:10" ht="72" x14ac:dyDescent="0.3">
      <c r="A129" s="2" t="s">
        <v>2742</v>
      </c>
      <c r="B129" s="2" t="s">
        <v>2746</v>
      </c>
      <c r="C129" s="43">
        <v>1</v>
      </c>
      <c r="D129" s="1" t="s">
        <v>65</v>
      </c>
      <c r="E129" s="1" t="s">
        <v>66</v>
      </c>
      <c r="F129" s="1" t="str">
        <f>UnitControlCenter!$B$29</f>
        <v>thousand vehicles</v>
      </c>
      <c r="G129" s="1" t="s">
        <v>2825</v>
      </c>
      <c r="H129" s="1" t="s">
        <v>2611</v>
      </c>
      <c r="I129" s="1" t="s">
        <v>2612</v>
      </c>
    </row>
    <row r="130" spans="1:10" ht="57.6" x14ac:dyDescent="0.3">
      <c r="A130" s="2" t="s">
        <v>2742</v>
      </c>
      <c r="B130" s="2" t="s">
        <v>3115</v>
      </c>
      <c r="C130" s="43">
        <v>1</v>
      </c>
      <c r="D130" s="1" t="s">
        <v>65</v>
      </c>
      <c r="E130" s="1" t="s">
        <v>66</v>
      </c>
      <c r="F130" s="1" t="str">
        <f>UnitControlCenter!$B$28</f>
        <v>million vehicles</v>
      </c>
      <c r="G130" s="1" t="s">
        <v>2616</v>
      </c>
      <c r="H130" s="1" t="s">
        <v>2608</v>
      </c>
      <c r="I130" s="1" t="s">
        <v>2609</v>
      </c>
    </row>
    <row r="131" spans="1:10" ht="57.6" x14ac:dyDescent="0.3">
      <c r="A131" s="2" t="s">
        <v>2742</v>
      </c>
      <c r="B131" s="2" t="s">
        <v>3118</v>
      </c>
      <c r="C131" s="43">
        <v>1</v>
      </c>
      <c r="D131" s="1" t="s">
        <v>65</v>
      </c>
      <c r="E131" s="1" t="s">
        <v>66</v>
      </c>
      <c r="F131" s="1" t="str">
        <f>UnitControlCenter!$B$28</f>
        <v>million vehicles</v>
      </c>
      <c r="G131" s="1" t="s">
        <v>2617</v>
      </c>
      <c r="H131" s="1" t="s">
        <v>2611</v>
      </c>
      <c r="I131" s="1" t="s">
        <v>2612</v>
      </c>
    </row>
    <row r="132" spans="1:10" ht="28.8" x14ac:dyDescent="0.3">
      <c r="A132" s="2" t="s">
        <v>2742</v>
      </c>
      <c r="B132" s="2" t="s">
        <v>3362</v>
      </c>
      <c r="C132" s="43">
        <v>1</v>
      </c>
      <c r="D132" s="1" t="s">
        <v>65</v>
      </c>
      <c r="E132" s="1" t="s">
        <v>66</v>
      </c>
      <c r="F132" s="1" t="str">
        <f>UnitControlCenter!$B$28</f>
        <v>million vehicles</v>
      </c>
      <c r="G132" s="1" t="s">
        <v>2599</v>
      </c>
      <c r="H132" s="1" t="s">
        <v>2499</v>
      </c>
      <c r="I132" s="1" t="s">
        <v>2598</v>
      </c>
    </row>
    <row r="133" spans="1:10" s="193" customFormat="1" ht="29.4" thickBot="1" x14ac:dyDescent="0.35">
      <c r="A133" s="192" t="s">
        <v>2742</v>
      </c>
      <c r="B133" s="192" t="s">
        <v>3363</v>
      </c>
      <c r="C133" s="199">
        <v>0</v>
      </c>
      <c r="D133" s="193" t="s">
        <v>65</v>
      </c>
      <c r="E133" s="193" t="s">
        <v>66</v>
      </c>
      <c r="F133" s="193" t="str">
        <f>UnitControlCenter!$B$28</f>
        <v>million vehicles</v>
      </c>
      <c r="G133" s="193" t="s">
        <v>3364</v>
      </c>
      <c r="H133" s="193" t="s">
        <v>2499</v>
      </c>
      <c r="I133" s="193" t="s">
        <v>2598</v>
      </c>
    </row>
    <row r="134" spans="1:10" ht="129.6" x14ac:dyDescent="0.3">
      <c r="A134" s="2" t="s">
        <v>2850</v>
      </c>
      <c r="B134" s="2" t="s">
        <v>2345</v>
      </c>
      <c r="C134" s="43">
        <v>1</v>
      </c>
      <c r="D134" s="1" t="s">
        <v>65</v>
      </c>
      <c r="E134" s="1" t="s">
        <v>66</v>
      </c>
      <c r="F134" s="1" t="str">
        <f>UnitControlCenter!$B$3</f>
        <v>million metric tons / year</v>
      </c>
      <c r="G134" s="1" t="s">
        <v>3267</v>
      </c>
      <c r="H134" s="1" t="s">
        <v>3266</v>
      </c>
      <c r="I134" s="1" t="s">
        <v>2600</v>
      </c>
    </row>
    <row r="135" spans="1:10" ht="86.4" x14ac:dyDescent="0.3">
      <c r="A135" s="2" t="s">
        <v>2850</v>
      </c>
      <c r="B135" s="2" t="s">
        <v>2346</v>
      </c>
      <c r="C135" s="43">
        <v>1</v>
      </c>
      <c r="D135" s="1" t="s">
        <v>65</v>
      </c>
      <c r="E135" s="1" t="s">
        <v>66</v>
      </c>
      <c r="F135" s="1" t="str">
        <f>UnitControlCenter!$B$30</f>
        <v>quads / year</v>
      </c>
      <c r="G135" s="1" t="s">
        <v>2764</v>
      </c>
      <c r="H135" s="1" t="s">
        <v>2618</v>
      </c>
      <c r="I135" s="1" t="s">
        <v>2619</v>
      </c>
    </row>
    <row r="136" spans="1:10" ht="115.2" x14ac:dyDescent="0.3">
      <c r="A136" s="2" t="s">
        <v>2850</v>
      </c>
      <c r="B136" s="2" t="s">
        <v>2396</v>
      </c>
      <c r="C136" s="43">
        <v>1</v>
      </c>
      <c r="D136" s="1" t="s">
        <v>65</v>
      </c>
      <c r="E136" s="1" t="s">
        <v>66</v>
      </c>
      <c r="F136" s="1" t="str">
        <f>UnitControlCenter!$B$30</f>
        <v>quads / year</v>
      </c>
      <c r="G136" s="1" t="s">
        <v>3268</v>
      </c>
      <c r="H136" s="1" t="s">
        <v>3266</v>
      </c>
      <c r="I136" s="1" t="s">
        <v>2600</v>
      </c>
    </row>
    <row r="137" spans="1:10" ht="28.8" x14ac:dyDescent="0.3">
      <c r="A137" s="2" t="s">
        <v>2850</v>
      </c>
      <c r="B137" s="2" t="s">
        <v>3274</v>
      </c>
      <c r="C137" s="43">
        <v>1</v>
      </c>
      <c r="D137" s="1" t="s">
        <v>63</v>
      </c>
      <c r="E137" s="1" t="s">
        <v>64</v>
      </c>
      <c r="F137" s="1" t="str">
        <f>UnitControlCenter!$B$30</f>
        <v>quads / year</v>
      </c>
      <c r="G137" s="1" t="s">
        <v>3275</v>
      </c>
    </row>
    <row r="138" spans="1:10" ht="43.2" x14ac:dyDescent="0.3">
      <c r="A138" s="2" t="s">
        <v>2850</v>
      </c>
      <c r="B138" s="2" t="s">
        <v>2851</v>
      </c>
      <c r="C138" s="43">
        <v>1</v>
      </c>
      <c r="D138" s="1" t="s">
        <v>65</v>
      </c>
      <c r="E138" s="1" t="s">
        <v>66</v>
      </c>
      <c r="F138" s="1" t="str">
        <f>UnitControlCenter!$B$24</f>
        <v>trillion passenger-miles / year</v>
      </c>
      <c r="G138" s="1" t="s">
        <v>2355</v>
      </c>
      <c r="H138" s="1" t="s">
        <v>2559</v>
      </c>
      <c r="I138" s="1" t="s">
        <v>2560</v>
      </c>
    </row>
    <row r="139" spans="1:10" ht="43.8" thickBot="1" x14ac:dyDescent="0.35">
      <c r="A139" s="192" t="s">
        <v>2850</v>
      </c>
      <c r="B139" s="192" t="s">
        <v>2852</v>
      </c>
      <c r="C139" s="199">
        <v>1</v>
      </c>
      <c r="D139" s="193" t="s">
        <v>65</v>
      </c>
      <c r="E139" s="193" t="s">
        <v>66</v>
      </c>
      <c r="F139" s="193" t="str">
        <f>UnitControlCenter!$B$25</f>
        <v>trillion freight ton-miles / year</v>
      </c>
      <c r="G139" s="193" t="s">
        <v>2596</v>
      </c>
      <c r="H139" s="193" t="s">
        <v>3122</v>
      </c>
      <c r="I139" s="193" t="s">
        <v>2597</v>
      </c>
      <c r="J139" s="193"/>
    </row>
    <row r="140" spans="1:10" ht="273.60000000000002" x14ac:dyDescent="0.3">
      <c r="A140" s="2" t="s">
        <v>2347</v>
      </c>
      <c r="B140" s="2" t="s">
        <v>2734</v>
      </c>
      <c r="C140" s="43">
        <v>1</v>
      </c>
      <c r="D140" s="1" t="s">
        <v>65</v>
      </c>
      <c r="E140" s="1" t="s">
        <v>66</v>
      </c>
      <c r="F140" s="1" t="str">
        <f>UnitControlCenter!$B$30</f>
        <v>quads / year</v>
      </c>
      <c r="G140" s="1" t="s">
        <v>3058</v>
      </c>
      <c r="H140" s="1" t="s">
        <v>3056</v>
      </c>
      <c r="I140" s="208" t="s">
        <v>3057</v>
      </c>
      <c r="J140" s="208"/>
    </row>
    <row r="141" spans="1:10" ht="100.8" x14ac:dyDescent="0.3">
      <c r="A141" s="2" t="s">
        <v>2347</v>
      </c>
      <c r="B141" s="2" t="s">
        <v>2735</v>
      </c>
      <c r="C141" s="43">
        <v>1</v>
      </c>
      <c r="D141" s="1" t="s">
        <v>65</v>
      </c>
      <c r="E141" s="1" t="s">
        <v>66</v>
      </c>
      <c r="F141" s="1" t="str">
        <f>UnitControlCenter!$B$30</f>
        <v>quads / year</v>
      </c>
      <c r="G141" s="1" t="s">
        <v>2736</v>
      </c>
      <c r="H141" s="1" t="s">
        <v>2730</v>
      </c>
      <c r="I141" s="1" t="s">
        <v>2731</v>
      </c>
    </row>
    <row r="142" spans="1:10" x14ac:dyDescent="0.3">
      <c r="A142" s="2" t="s">
        <v>2347</v>
      </c>
      <c r="B142" s="2" t="s">
        <v>3276</v>
      </c>
      <c r="C142" s="43">
        <v>1</v>
      </c>
      <c r="D142" s="1" t="s">
        <v>63</v>
      </c>
      <c r="E142" s="1" t="s">
        <v>64</v>
      </c>
      <c r="F142" s="1" t="str">
        <f>UnitControlCenter!$B$30</f>
        <v>quads / year</v>
      </c>
      <c r="G142" s="1" t="s">
        <v>3277</v>
      </c>
    </row>
    <row r="143" spans="1:10" ht="216" x14ac:dyDescent="0.3">
      <c r="A143" s="2" t="s">
        <v>2347</v>
      </c>
      <c r="B143" s="2" t="s">
        <v>2732</v>
      </c>
      <c r="C143" s="43">
        <v>1</v>
      </c>
      <c r="D143" s="1" t="s">
        <v>65</v>
      </c>
      <c r="E143" s="1" t="s">
        <v>66</v>
      </c>
      <c r="F143" s="1" t="str">
        <f>UnitControlCenter!$B$30</f>
        <v>quads / year</v>
      </c>
      <c r="G143" s="1" t="s">
        <v>3055</v>
      </c>
      <c r="H143" s="1" t="s">
        <v>3056</v>
      </c>
      <c r="I143" s="208" t="s">
        <v>3057</v>
      </c>
      <c r="J143" s="208"/>
    </row>
    <row r="144" spans="1:10" ht="72" x14ac:dyDescent="0.3">
      <c r="A144" s="2" t="s">
        <v>2347</v>
      </c>
      <c r="B144" s="2" t="s">
        <v>2733</v>
      </c>
      <c r="C144" s="43">
        <v>1</v>
      </c>
      <c r="D144" s="1" t="s">
        <v>65</v>
      </c>
      <c r="E144" s="1" t="s">
        <v>66</v>
      </c>
      <c r="F144" s="1" t="str">
        <f>UnitControlCenter!$B$30</f>
        <v>quads / year</v>
      </c>
      <c r="G144" s="1" t="s">
        <v>2729</v>
      </c>
      <c r="H144" s="1" t="s">
        <v>2730</v>
      </c>
      <c r="I144" s="1" t="s">
        <v>2731</v>
      </c>
    </row>
    <row r="145" spans="1:10" x14ac:dyDescent="0.3">
      <c r="A145" s="2" t="s">
        <v>2347</v>
      </c>
      <c r="B145" s="2" t="s">
        <v>3278</v>
      </c>
      <c r="C145" s="43">
        <v>1</v>
      </c>
      <c r="D145" s="1" t="s">
        <v>63</v>
      </c>
      <c r="E145" s="1" t="s">
        <v>64</v>
      </c>
      <c r="F145" s="1" t="str">
        <f>UnitControlCenter!$B$30</f>
        <v>quads / year</v>
      </c>
      <c r="G145" s="1" t="s">
        <v>3279</v>
      </c>
    </row>
    <row r="146" spans="1:10" ht="129.6" x14ac:dyDescent="0.3">
      <c r="A146" s="2" t="s">
        <v>2347</v>
      </c>
      <c r="B146" s="2" t="s">
        <v>3530</v>
      </c>
      <c r="C146" s="43">
        <v>1</v>
      </c>
      <c r="D146" s="1" t="s">
        <v>65</v>
      </c>
      <c r="E146" s="1" t="s">
        <v>66</v>
      </c>
      <c r="F146" s="1" t="str">
        <f>UnitControlCenter!$B$30</f>
        <v>quads / year</v>
      </c>
      <c r="G146" s="1" t="s">
        <v>3676</v>
      </c>
      <c r="H146" s="1" t="s">
        <v>3534</v>
      </c>
      <c r="I146" s="1" t="s">
        <v>3535</v>
      </c>
    </row>
    <row r="147" spans="1:10" s="193" customFormat="1" ht="87" thickBot="1" x14ac:dyDescent="0.35">
      <c r="A147" s="192" t="s">
        <v>2347</v>
      </c>
      <c r="B147" s="192" t="s">
        <v>3531</v>
      </c>
      <c r="C147" s="199">
        <v>1</v>
      </c>
      <c r="D147" s="193" t="s">
        <v>65</v>
      </c>
      <c r="E147" s="193" t="s">
        <v>66</v>
      </c>
      <c r="F147" s="193" t="str">
        <f>UnitControlCenter!$B$16</f>
        <v>terawatt-hours (TWh) / year</v>
      </c>
      <c r="G147" s="193" t="s">
        <v>3677</v>
      </c>
      <c r="H147" s="193" t="s">
        <v>3532</v>
      </c>
      <c r="I147" s="193" t="s">
        <v>3533</v>
      </c>
    </row>
    <row r="148" spans="1:10" ht="259.2" x14ac:dyDescent="0.3">
      <c r="A148" s="2" t="s">
        <v>2810</v>
      </c>
      <c r="B148" s="2" t="s">
        <v>2392</v>
      </c>
      <c r="C148" s="43">
        <v>1</v>
      </c>
      <c r="D148" s="1" t="s">
        <v>65</v>
      </c>
      <c r="E148" s="1" t="s">
        <v>66</v>
      </c>
      <c r="F148" s="1" t="str">
        <f>UnitControlCenter!$B$3</f>
        <v>million metric tons / year</v>
      </c>
      <c r="G148" s="1" t="s">
        <v>3059</v>
      </c>
      <c r="H148" s="1" t="s">
        <v>3056</v>
      </c>
      <c r="I148" s="208" t="s">
        <v>3057</v>
      </c>
      <c r="J148" s="208"/>
    </row>
    <row r="149" spans="1:10" ht="43.2" x14ac:dyDescent="0.3">
      <c r="A149" s="2" t="s">
        <v>2810</v>
      </c>
      <c r="B149" s="2" t="s">
        <v>2393</v>
      </c>
      <c r="C149" s="43">
        <v>1</v>
      </c>
      <c r="D149" s="1" t="s">
        <v>65</v>
      </c>
      <c r="E149" s="1" t="s">
        <v>66</v>
      </c>
      <c r="F149" s="1" t="str">
        <f>UnitControlCenter!$B$3</f>
        <v>million metric tons / year</v>
      </c>
      <c r="G149" s="1" t="s">
        <v>2605</v>
      </c>
      <c r="H149" s="1" t="s">
        <v>2603</v>
      </c>
      <c r="I149" s="1" t="s">
        <v>2604</v>
      </c>
    </row>
    <row r="150" spans="1:10" ht="230.4" x14ac:dyDescent="0.3">
      <c r="A150" s="2" t="s">
        <v>2810</v>
      </c>
      <c r="B150" s="2" t="s">
        <v>2394</v>
      </c>
      <c r="C150" s="43">
        <v>1</v>
      </c>
      <c r="D150" s="1" t="s">
        <v>65</v>
      </c>
      <c r="E150" s="1" t="s">
        <v>66</v>
      </c>
      <c r="F150" s="1" t="str">
        <f>UnitControlCenter!$B$3</f>
        <v>million metric tons / year</v>
      </c>
      <c r="G150" s="1" t="s">
        <v>3111</v>
      </c>
      <c r="H150" s="1" t="s">
        <v>3056</v>
      </c>
      <c r="I150" s="208" t="s">
        <v>3057</v>
      </c>
      <c r="J150" s="208"/>
    </row>
    <row r="151" spans="1:10" ht="28.8" x14ac:dyDescent="0.3">
      <c r="A151" s="2" t="s">
        <v>2810</v>
      </c>
      <c r="B151" s="2" t="s">
        <v>2395</v>
      </c>
      <c r="C151" s="43">
        <v>1</v>
      </c>
      <c r="D151" s="1" t="s">
        <v>65</v>
      </c>
      <c r="E151" s="1" t="s">
        <v>66</v>
      </c>
      <c r="F151" s="1" t="str">
        <f>UnitControlCenter!$B$3</f>
        <v>million metric tons / year</v>
      </c>
      <c r="G151" s="1" t="s">
        <v>2606</v>
      </c>
      <c r="H151" s="1" t="s">
        <v>2603</v>
      </c>
      <c r="I151" s="1" t="s">
        <v>2604</v>
      </c>
    </row>
    <row r="152" spans="1:10" ht="302.39999999999998" x14ac:dyDescent="0.3">
      <c r="A152" s="2" t="s">
        <v>2810</v>
      </c>
      <c r="B152" s="2" t="s">
        <v>2808</v>
      </c>
      <c r="C152" s="43">
        <v>1</v>
      </c>
      <c r="D152" s="1" t="s">
        <v>65</v>
      </c>
      <c r="E152" s="1" t="s">
        <v>66</v>
      </c>
      <c r="F152" s="1" t="str">
        <f>UnitControlCenter!$B$3</f>
        <v>million metric tons / year</v>
      </c>
      <c r="G152" s="1" t="s">
        <v>3060</v>
      </c>
      <c r="H152" s="1" t="s">
        <v>3056</v>
      </c>
      <c r="I152" s="208" t="s">
        <v>3057</v>
      </c>
      <c r="J152" s="208"/>
    </row>
    <row r="153" spans="1:10" ht="28.8" x14ac:dyDescent="0.3">
      <c r="A153" s="2" t="s">
        <v>2810</v>
      </c>
      <c r="B153" s="2" t="s">
        <v>2809</v>
      </c>
      <c r="C153" s="43">
        <v>1</v>
      </c>
      <c r="D153" s="1" t="s">
        <v>65</v>
      </c>
      <c r="E153" s="1" t="s">
        <v>66</v>
      </c>
      <c r="F153" s="1" t="str">
        <f>UnitControlCenter!$B$3</f>
        <v>million metric tons / year</v>
      </c>
      <c r="G153" s="1" t="s">
        <v>2847</v>
      </c>
      <c r="H153" s="1" t="s">
        <v>2811</v>
      </c>
      <c r="I153" s="1" t="s">
        <v>2812</v>
      </c>
    </row>
    <row r="154" spans="1:10" ht="28.8" x14ac:dyDescent="0.3">
      <c r="A154" s="2" t="s">
        <v>2810</v>
      </c>
      <c r="B154" s="2" t="s">
        <v>3338</v>
      </c>
      <c r="C154" s="43">
        <v>1</v>
      </c>
      <c r="D154" s="1" t="s">
        <v>65</v>
      </c>
      <c r="E154" s="1" t="s">
        <v>66</v>
      </c>
      <c r="F154" s="1" t="str">
        <f>UnitControlCenter!$B$3</f>
        <v>million metric tons / year</v>
      </c>
      <c r="G154" s="1" t="s">
        <v>3436</v>
      </c>
      <c r="H154" s="1" t="s">
        <v>3332</v>
      </c>
      <c r="I154" s="1" t="s">
        <v>3335</v>
      </c>
    </row>
    <row r="155" spans="1:10" ht="230.4" x14ac:dyDescent="0.3">
      <c r="A155" s="2" t="s">
        <v>2810</v>
      </c>
      <c r="B155" s="2" t="s">
        <v>3330</v>
      </c>
      <c r="C155" s="43">
        <v>1</v>
      </c>
      <c r="D155" s="1" t="s">
        <v>65</v>
      </c>
      <c r="E155" s="1" t="s">
        <v>66</v>
      </c>
      <c r="F155" s="1" t="str">
        <f>UnitControlCenter!$B$3</f>
        <v>million metric tons / year</v>
      </c>
      <c r="G155" s="1" t="s">
        <v>3333</v>
      </c>
      <c r="H155" s="1" t="s">
        <v>3056</v>
      </c>
      <c r="I155" s="208" t="s">
        <v>3057</v>
      </c>
      <c r="J155" s="208"/>
    </row>
    <row r="156" spans="1:10" ht="288.60000000000002" thickBot="1" x14ac:dyDescent="0.35">
      <c r="A156" s="192" t="s">
        <v>2810</v>
      </c>
      <c r="B156" s="192" t="s">
        <v>3331</v>
      </c>
      <c r="C156" s="199">
        <v>1</v>
      </c>
      <c r="D156" s="192" t="s">
        <v>65</v>
      </c>
      <c r="E156" s="192" t="s">
        <v>66</v>
      </c>
      <c r="F156" s="192" t="str">
        <f>UnitControlCenter!$B$3</f>
        <v>million metric tons / year</v>
      </c>
      <c r="G156" s="192" t="s">
        <v>3334</v>
      </c>
      <c r="H156" s="192" t="s">
        <v>3056</v>
      </c>
      <c r="I156" s="192" t="s">
        <v>3057</v>
      </c>
      <c r="J156" s="192"/>
    </row>
    <row r="157" spans="1:10" ht="43.2" x14ac:dyDescent="0.3">
      <c r="A157" s="2" t="s">
        <v>3466</v>
      </c>
      <c r="B157" s="2" t="s">
        <v>3467</v>
      </c>
      <c r="C157" s="43">
        <v>1</v>
      </c>
      <c r="D157" s="1" t="s">
        <v>65</v>
      </c>
      <c r="E157" s="1" t="s">
        <v>66</v>
      </c>
      <c r="F157" s="1" t="str">
        <f>UnitControlCenter!$B$30</f>
        <v>quads / year</v>
      </c>
      <c r="G157" s="1" t="s">
        <v>2358</v>
      </c>
      <c r="H157" s="1" t="s">
        <v>2359</v>
      </c>
      <c r="I157" s="1" t="s">
        <v>2589</v>
      </c>
    </row>
    <row r="158" spans="1:10" s="2" customFormat="1" ht="28.8" x14ac:dyDescent="0.3">
      <c r="A158" s="2" t="s">
        <v>3466</v>
      </c>
      <c r="B158" s="2" t="s">
        <v>3468</v>
      </c>
      <c r="C158" s="43">
        <v>1</v>
      </c>
      <c r="D158" s="2" t="s">
        <v>65</v>
      </c>
      <c r="E158" s="2" t="s">
        <v>66</v>
      </c>
      <c r="F158" s="2" t="str">
        <f>UnitControlCenter!$B$30</f>
        <v>quads / year</v>
      </c>
      <c r="G158" s="2" t="s">
        <v>2376</v>
      </c>
      <c r="H158" s="2" t="s">
        <v>2360</v>
      </c>
      <c r="I158" s="2" t="s">
        <v>2361</v>
      </c>
    </row>
    <row r="159" spans="1:10" ht="72" x14ac:dyDescent="0.3">
      <c r="A159" s="2" t="s">
        <v>3466</v>
      </c>
      <c r="B159" s="2" t="s">
        <v>3469</v>
      </c>
      <c r="C159" s="43">
        <v>1</v>
      </c>
      <c r="D159" s="1" t="s">
        <v>65</v>
      </c>
      <c r="E159" s="1" t="s">
        <v>66</v>
      </c>
      <c r="F159" s="1" t="str">
        <f>UnitControlCenter!$B$30</f>
        <v>quads / year</v>
      </c>
      <c r="G159" s="1" t="s">
        <v>2628</v>
      </c>
      <c r="H159" s="1" t="s">
        <v>2630</v>
      </c>
      <c r="I159" s="1" t="s">
        <v>2629</v>
      </c>
    </row>
    <row r="160" spans="1:10" s="2" customFormat="1" x14ac:dyDescent="0.3">
      <c r="A160" s="2" t="s">
        <v>3466</v>
      </c>
      <c r="B160" s="2" t="s">
        <v>3470</v>
      </c>
      <c r="C160" s="43">
        <v>1</v>
      </c>
      <c r="D160" s="2" t="s">
        <v>63</v>
      </c>
      <c r="E160" s="2" t="s">
        <v>64</v>
      </c>
      <c r="F160" s="2" t="str">
        <f>UnitControlCenter!$B$30</f>
        <v>quads / year</v>
      </c>
      <c r="G160" s="2" t="s">
        <v>3280</v>
      </c>
    </row>
    <row r="161" spans="1:10" ht="172.8" x14ac:dyDescent="0.3">
      <c r="A161" s="2" t="s">
        <v>3466</v>
      </c>
      <c r="B161" s="2" t="s">
        <v>3471</v>
      </c>
      <c r="C161" s="43">
        <v>1</v>
      </c>
      <c r="D161" s="1" t="s">
        <v>65</v>
      </c>
      <c r="E161" s="1" t="s">
        <v>66</v>
      </c>
      <c r="F161" s="2" t="str">
        <f>UnitControlCenter!B3</f>
        <v>million metric tons / year</v>
      </c>
      <c r="G161" s="1" t="s">
        <v>3618</v>
      </c>
      <c r="H161" s="1" t="s">
        <v>3473</v>
      </c>
      <c r="I161" s="2" t="s">
        <v>3474</v>
      </c>
      <c r="J161" s="2"/>
    </row>
    <row r="162" spans="1:10" s="193" customFormat="1" ht="231" thickBot="1" x14ac:dyDescent="0.35">
      <c r="A162" s="2" t="s">
        <v>3466</v>
      </c>
      <c r="B162" s="192" t="s">
        <v>3472</v>
      </c>
      <c r="C162" s="199">
        <v>1</v>
      </c>
      <c r="D162" s="193" t="s">
        <v>65</v>
      </c>
      <c r="E162" s="193" t="s">
        <v>66</v>
      </c>
      <c r="F162" s="192" t="str">
        <f>UnitControlCenter!B3</f>
        <v>million metric tons / year</v>
      </c>
      <c r="G162" s="193" t="s">
        <v>3619</v>
      </c>
      <c r="H162" s="193" t="s">
        <v>3473</v>
      </c>
      <c r="I162" s="192" t="s">
        <v>3474</v>
      </c>
      <c r="J162" s="192"/>
    </row>
    <row r="163" spans="1:10" ht="86.4" x14ac:dyDescent="0.3">
      <c r="A163" s="2" t="s">
        <v>2414</v>
      </c>
      <c r="B163" s="2" t="s">
        <v>2415</v>
      </c>
      <c r="C163" s="43">
        <v>1</v>
      </c>
      <c r="D163" s="1" t="s">
        <v>65</v>
      </c>
      <c r="E163" s="1" t="s">
        <v>66</v>
      </c>
      <c r="F163" s="1" t="str">
        <f>UnitControlCenter!$B$30</f>
        <v>quads / year</v>
      </c>
      <c r="G163" s="1" t="s">
        <v>3652</v>
      </c>
      <c r="H163" s="1" t="s">
        <v>3651</v>
      </c>
      <c r="I163" s="1" t="s">
        <v>3650</v>
      </c>
    </row>
    <row r="164" spans="1:10" ht="72" x14ac:dyDescent="0.3">
      <c r="A164" s="2" t="s">
        <v>2414</v>
      </c>
      <c r="B164" s="2" t="s">
        <v>2416</v>
      </c>
      <c r="C164" s="43">
        <v>1</v>
      </c>
      <c r="D164" s="1" t="s">
        <v>65</v>
      </c>
      <c r="E164" s="1" t="s">
        <v>66</v>
      </c>
      <c r="F164" s="1" t="str">
        <f>UnitControlCenter!$B$30</f>
        <v>quads / year</v>
      </c>
      <c r="G164" s="1" t="s">
        <v>3653</v>
      </c>
      <c r="H164" s="1" t="s">
        <v>3272</v>
      </c>
      <c r="I164" s="1" t="s">
        <v>3273</v>
      </c>
    </row>
    <row r="165" spans="1:10" ht="72" x14ac:dyDescent="0.3">
      <c r="A165" s="2" t="s">
        <v>2414</v>
      </c>
      <c r="B165" s="2" t="s">
        <v>3648</v>
      </c>
      <c r="C165" s="43">
        <v>1</v>
      </c>
      <c r="D165" s="1" t="s">
        <v>65</v>
      </c>
      <c r="E165" s="1" t="s">
        <v>66</v>
      </c>
      <c r="F165" s="1" t="str">
        <f>UnitControlCenter!$B$30</f>
        <v>quads / year</v>
      </c>
      <c r="G165" s="1" t="s">
        <v>3662</v>
      </c>
      <c r="H165" s="1" t="s">
        <v>3654</v>
      </c>
      <c r="I165" s="43" t="s">
        <v>3655</v>
      </c>
    </row>
    <row r="166" spans="1:10" ht="72" x14ac:dyDescent="0.3">
      <c r="A166" s="2" t="s">
        <v>2414</v>
      </c>
      <c r="B166" s="2" t="s">
        <v>3649</v>
      </c>
      <c r="C166" s="43">
        <v>1</v>
      </c>
      <c r="D166" s="1" t="s">
        <v>65</v>
      </c>
      <c r="E166" s="1" t="s">
        <v>66</v>
      </c>
      <c r="F166" s="1" t="str">
        <f>UnitControlCenter!$B$30</f>
        <v>quads / year</v>
      </c>
      <c r="G166" s="1" t="s">
        <v>3663</v>
      </c>
      <c r="H166" s="1" t="s">
        <v>3272</v>
      </c>
      <c r="I166" s="1" t="s">
        <v>3273</v>
      </c>
    </row>
    <row r="167" spans="1:10" x14ac:dyDescent="0.3">
      <c r="A167" s="2" t="s">
        <v>2414</v>
      </c>
      <c r="B167" s="2" t="s">
        <v>2866</v>
      </c>
      <c r="C167" s="43">
        <v>0</v>
      </c>
      <c r="D167" s="1" t="s">
        <v>63</v>
      </c>
      <c r="E167" s="1" t="s">
        <v>64</v>
      </c>
      <c r="F167" s="1" t="str">
        <f>UnitControlCenter!$B$31</f>
        <v>thousand BTU / 2023 dollar</v>
      </c>
      <c r="G167" s="1" t="s">
        <v>2821</v>
      </c>
    </row>
    <row r="168" spans="1:10" x14ac:dyDescent="0.3">
      <c r="A168" s="2" t="s">
        <v>2414</v>
      </c>
      <c r="B168" s="2" t="s">
        <v>2417</v>
      </c>
      <c r="C168" s="43">
        <v>1</v>
      </c>
      <c r="D168" s="1" t="s">
        <v>63</v>
      </c>
      <c r="E168" s="1" t="s">
        <v>64</v>
      </c>
      <c r="F168" s="1" t="str">
        <f>UnitControlCenter!$B$16</f>
        <v>terawatt-hours (TWh) / year</v>
      </c>
      <c r="G168" s="1" t="s">
        <v>2317</v>
      </c>
    </row>
    <row r="169" spans="1:10" x14ac:dyDescent="0.3">
      <c r="A169" s="2" t="s">
        <v>2414</v>
      </c>
      <c r="B169" s="2" t="s">
        <v>2418</v>
      </c>
      <c r="C169" s="43">
        <v>1</v>
      </c>
      <c r="D169" s="1" t="s">
        <v>63</v>
      </c>
      <c r="E169" s="1" t="s">
        <v>64</v>
      </c>
      <c r="F169" s="1" t="str">
        <f>UnitControlCenter!$B$32</f>
        <v>millions of short tons / year</v>
      </c>
      <c r="G169" s="1" t="s">
        <v>2316</v>
      </c>
    </row>
    <row r="170" spans="1:10" x14ac:dyDescent="0.3">
      <c r="A170" s="2" t="s">
        <v>2414</v>
      </c>
      <c r="B170" s="2" t="s">
        <v>2419</v>
      </c>
      <c r="C170" s="43">
        <v>1</v>
      </c>
      <c r="D170" s="1" t="s">
        <v>63</v>
      </c>
      <c r="E170" s="1" t="s">
        <v>64</v>
      </c>
      <c r="F170" s="1" t="str">
        <f>UnitControlCenter!$B$32</f>
        <v>millions of short tons / year</v>
      </c>
      <c r="G170" s="1" t="s">
        <v>2315</v>
      </c>
    </row>
    <row r="171" spans="1:10" x14ac:dyDescent="0.3">
      <c r="A171" s="2" t="s">
        <v>2414</v>
      </c>
      <c r="B171" s="2" t="s">
        <v>2420</v>
      </c>
      <c r="C171" s="43">
        <v>1</v>
      </c>
      <c r="D171" s="1" t="s">
        <v>63</v>
      </c>
      <c r="E171" s="1" t="s">
        <v>64</v>
      </c>
      <c r="F171" s="1" t="str">
        <f>UnitControlCenter!$B$33</f>
        <v>trillion cubic feet / year</v>
      </c>
      <c r="G171" s="1" t="s">
        <v>2314</v>
      </c>
    </row>
    <row r="172" spans="1:10" x14ac:dyDescent="0.3">
      <c r="A172" s="2" t="s">
        <v>2414</v>
      </c>
      <c r="B172" s="2" t="s">
        <v>2421</v>
      </c>
      <c r="C172" s="43">
        <v>1</v>
      </c>
      <c r="D172" s="1" t="s">
        <v>63</v>
      </c>
      <c r="E172" s="1" t="s">
        <v>64</v>
      </c>
      <c r="F172" s="1" t="str">
        <f>UnitControlCenter!$B$34</f>
        <v>million barrels of oil / year</v>
      </c>
      <c r="G172" s="1" t="s">
        <v>2313</v>
      </c>
    </row>
    <row r="173" spans="1:10" x14ac:dyDescent="0.3">
      <c r="A173" s="2" t="s">
        <v>2414</v>
      </c>
      <c r="B173" s="2" t="s">
        <v>2422</v>
      </c>
      <c r="C173" s="43">
        <v>1</v>
      </c>
      <c r="D173" s="1" t="s">
        <v>63</v>
      </c>
      <c r="E173" s="1" t="s">
        <v>64</v>
      </c>
      <c r="F173" s="1" t="str">
        <f>UnitControlCenter!$B$34</f>
        <v>million barrels of oil / year</v>
      </c>
      <c r="G173" s="1" t="s">
        <v>2364</v>
      </c>
    </row>
    <row r="174" spans="1:10" x14ac:dyDescent="0.3">
      <c r="A174" s="2" t="s">
        <v>2414</v>
      </c>
      <c r="B174" s="2" t="s">
        <v>2423</v>
      </c>
      <c r="C174" s="43">
        <v>1</v>
      </c>
      <c r="D174" s="1" t="s">
        <v>63</v>
      </c>
      <c r="E174" s="1" t="s">
        <v>64</v>
      </c>
      <c r="F174" s="1" t="str">
        <f>UnitControlCenter!$B$32</f>
        <v>millions of short tons / year</v>
      </c>
      <c r="G174" s="1" t="s">
        <v>2365</v>
      </c>
    </row>
    <row r="175" spans="1:10" ht="28.8" x14ac:dyDescent="0.3">
      <c r="A175" s="2" t="s">
        <v>2414</v>
      </c>
      <c r="B175" s="2" t="s">
        <v>2631</v>
      </c>
      <c r="C175" s="43">
        <v>1</v>
      </c>
      <c r="D175" s="1" t="s">
        <v>63</v>
      </c>
      <c r="E175" s="1" t="s">
        <v>64</v>
      </c>
      <c r="F175" s="1" t="str">
        <f>UnitControlCenter!$B$35</f>
        <v>million gallons / year</v>
      </c>
      <c r="G175" s="1" t="s">
        <v>2635</v>
      </c>
    </row>
    <row r="176" spans="1:10" ht="28.8" x14ac:dyDescent="0.3">
      <c r="A176" s="2" t="s">
        <v>2414</v>
      </c>
      <c r="B176" s="2" t="s">
        <v>2632</v>
      </c>
      <c r="C176" s="43">
        <v>1</v>
      </c>
      <c r="D176" s="1" t="s">
        <v>63</v>
      </c>
      <c r="E176" s="1" t="s">
        <v>64</v>
      </c>
      <c r="F176" s="1" t="str">
        <f>UnitControlCenter!$B$32</f>
        <v>millions of short tons / year</v>
      </c>
      <c r="G176" s="1" t="s">
        <v>2636</v>
      </c>
    </row>
    <row r="177" spans="1:10" ht="15" thickBot="1" x14ac:dyDescent="0.35">
      <c r="A177" s="192" t="s">
        <v>2414</v>
      </c>
      <c r="B177" s="192" t="s">
        <v>2633</v>
      </c>
      <c r="C177" s="199">
        <v>1</v>
      </c>
      <c r="D177" s="193" t="s">
        <v>63</v>
      </c>
      <c r="E177" s="193" t="s">
        <v>64</v>
      </c>
      <c r="F177" s="193" t="str">
        <f>UnitControlCenter!$B$6</f>
        <v>thousand metric tons / year</v>
      </c>
      <c r="G177" s="193" t="s">
        <v>2637</v>
      </c>
      <c r="H177" s="193"/>
      <c r="I177" s="193"/>
      <c r="J177" s="193"/>
    </row>
    <row r="178" spans="1:10" ht="43.2" x14ac:dyDescent="0.3">
      <c r="A178" s="2" t="s">
        <v>3341</v>
      </c>
      <c r="B178" s="2" t="s">
        <v>3369</v>
      </c>
      <c r="C178" s="43">
        <v>1</v>
      </c>
      <c r="D178" s="1" t="s">
        <v>65</v>
      </c>
      <c r="E178" s="1" t="s">
        <v>66</v>
      </c>
      <c r="F178" s="1" t="str">
        <f>UnitControlCenter!$B$36</f>
        <v>trillion BTU / year</v>
      </c>
      <c r="G178" s="1" t="s">
        <v>2642</v>
      </c>
      <c r="H178" s="1" t="s">
        <v>2643</v>
      </c>
      <c r="I178" s="1" t="s">
        <v>2644</v>
      </c>
    </row>
    <row r="179" spans="1:10" ht="57.6" x14ac:dyDescent="0.3">
      <c r="A179" s="2" t="s">
        <v>3341</v>
      </c>
      <c r="B179" s="2" t="s">
        <v>3370</v>
      </c>
      <c r="C179" s="43">
        <v>1</v>
      </c>
      <c r="D179" s="1" t="s">
        <v>65</v>
      </c>
      <c r="E179" s="1" t="s">
        <v>66</v>
      </c>
      <c r="F179" s="1" t="str">
        <f>UnitControlCenter!$B$36</f>
        <v>trillion BTU / year</v>
      </c>
      <c r="G179" s="1" t="s">
        <v>2645</v>
      </c>
      <c r="H179" s="1" t="s">
        <v>2643</v>
      </c>
      <c r="I179" s="1" t="s">
        <v>2644</v>
      </c>
    </row>
    <row r="180" spans="1:10" ht="57.6" x14ac:dyDescent="0.3">
      <c r="A180" s="2" t="s">
        <v>3341</v>
      </c>
      <c r="B180" s="2" t="s">
        <v>3371</v>
      </c>
      <c r="C180" s="43">
        <v>1</v>
      </c>
      <c r="D180" s="1" t="s">
        <v>65</v>
      </c>
      <c r="E180" s="1" t="s">
        <v>66</v>
      </c>
      <c r="F180" s="1" t="str">
        <f>UnitControlCenter!$B$9</f>
        <v>billion 2023 dollars / year</v>
      </c>
      <c r="G180" s="1" t="s">
        <v>2646</v>
      </c>
      <c r="H180" s="1" t="s">
        <v>2643</v>
      </c>
      <c r="I180" s="1" t="s">
        <v>2644</v>
      </c>
    </row>
    <row r="181" spans="1:10" ht="72" x14ac:dyDescent="0.3">
      <c r="A181" s="2" t="s">
        <v>3341</v>
      </c>
      <c r="B181" s="2" t="s">
        <v>3372</v>
      </c>
      <c r="C181" s="43">
        <v>1</v>
      </c>
      <c r="D181" s="1" t="s">
        <v>65</v>
      </c>
      <c r="E181" s="1" t="s">
        <v>66</v>
      </c>
      <c r="F181" s="1" t="str">
        <f>UnitControlCenter!$B$9</f>
        <v>billion 2023 dollars / year</v>
      </c>
      <c r="G181" s="1" t="s">
        <v>2647</v>
      </c>
      <c r="H181" s="1" t="s">
        <v>2643</v>
      </c>
      <c r="I181" s="1" t="s">
        <v>2644</v>
      </c>
    </row>
    <row r="182" spans="1:10" ht="43.2" x14ac:dyDescent="0.3">
      <c r="A182" s="2" t="s">
        <v>3341</v>
      </c>
      <c r="B182" s="2" t="s">
        <v>3373</v>
      </c>
      <c r="C182" s="43">
        <v>1</v>
      </c>
      <c r="D182" s="1" t="s">
        <v>65</v>
      </c>
      <c r="E182" s="1" t="s">
        <v>66</v>
      </c>
      <c r="F182" s="1" t="str">
        <f>UnitControlCenter!B3</f>
        <v>million metric tons / year</v>
      </c>
      <c r="G182" s="1" t="s">
        <v>2889</v>
      </c>
      <c r="H182" s="1" t="s">
        <v>2887</v>
      </c>
      <c r="I182" s="1" t="s">
        <v>2888</v>
      </c>
    </row>
    <row r="183" spans="1:10" ht="57.6" x14ac:dyDescent="0.3">
      <c r="A183" s="2" t="s">
        <v>3341</v>
      </c>
      <c r="B183" s="2" t="s">
        <v>3374</v>
      </c>
      <c r="C183" s="43">
        <v>1</v>
      </c>
      <c r="D183" s="1" t="s">
        <v>65</v>
      </c>
      <c r="E183" s="1" t="s">
        <v>66</v>
      </c>
      <c r="F183" s="1" t="str">
        <f>UnitControlCenter!B3</f>
        <v>million metric tons / year</v>
      </c>
      <c r="G183" s="1" t="s">
        <v>2890</v>
      </c>
      <c r="H183" s="1" t="s">
        <v>2887</v>
      </c>
      <c r="I183" s="1" t="s">
        <v>2888</v>
      </c>
    </row>
    <row r="184" spans="1:10" ht="57.6" x14ac:dyDescent="0.3">
      <c r="A184" s="2" t="s">
        <v>3341</v>
      </c>
      <c r="B184" s="2" t="s">
        <v>3375</v>
      </c>
      <c r="C184" s="43">
        <v>1</v>
      </c>
      <c r="D184" s="1" t="s">
        <v>65</v>
      </c>
      <c r="E184" s="1" t="s">
        <v>66</v>
      </c>
      <c r="F184" s="1" t="str">
        <f>UnitControlCenter!$B$36</f>
        <v>trillion BTU / year</v>
      </c>
      <c r="G184" s="1" t="s">
        <v>2724</v>
      </c>
      <c r="H184" s="1" t="s">
        <v>2719</v>
      </c>
      <c r="I184" s="1" t="s">
        <v>2720</v>
      </c>
    </row>
    <row r="185" spans="1:10" ht="72" x14ac:dyDescent="0.3">
      <c r="A185" s="2" t="s">
        <v>3341</v>
      </c>
      <c r="B185" s="2" t="s">
        <v>3376</v>
      </c>
      <c r="C185" s="43">
        <v>1</v>
      </c>
      <c r="D185" s="1" t="s">
        <v>65</v>
      </c>
      <c r="E185" s="1" t="s">
        <v>66</v>
      </c>
      <c r="F185" s="1" t="str">
        <f>UnitControlCenter!$B$36</f>
        <v>trillion BTU / year</v>
      </c>
      <c r="G185" s="1" t="s">
        <v>2725</v>
      </c>
      <c r="H185" s="1" t="s">
        <v>2719</v>
      </c>
      <c r="I185" s="1" t="s">
        <v>2721</v>
      </c>
    </row>
    <row r="186" spans="1:10" ht="72" x14ac:dyDescent="0.3">
      <c r="A186" s="2" t="s">
        <v>3341</v>
      </c>
      <c r="B186" s="2" t="s">
        <v>3377</v>
      </c>
      <c r="C186" s="43">
        <v>1</v>
      </c>
      <c r="D186" s="1" t="s">
        <v>65</v>
      </c>
      <c r="E186" s="1" t="s">
        <v>66</v>
      </c>
      <c r="F186" s="1" t="str">
        <f>UnitControlCenter!$B$9</f>
        <v>billion 2023 dollars / year</v>
      </c>
      <c r="G186" s="1" t="s">
        <v>2726</v>
      </c>
      <c r="H186" s="1" t="s">
        <v>2719</v>
      </c>
      <c r="I186" s="1" t="s">
        <v>2722</v>
      </c>
    </row>
    <row r="187" spans="1:10" ht="86.4" x14ac:dyDescent="0.3">
      <c r="A187" s="2" t="s">
        <v>3341</v>
      </c>
      <c r="B187" s="2" t="s">
        <v>3378</v>
      </c>
      <c r="C187" s="43">
        <v>1</v>
      </c>
      <c r="D187" s="1" t="s">
        <v>65</v>
      </c>
      <c r="E187" s="1" t="s">
        <v>66</v>
      </c>
      <c r="F187" s="1" t="str">
        <f>UnitControlCenter!$B$9</f>
        <v>billion 2023 dollars / year</v>
      </c>
      <c r="G187" s="1" t="s">
        <v>2727</v>
      </c>
      <c r="H187" s="1" t="s">
        <v>2719</v>
      </c>
      <c r="I187" s="1" t="s">
        <v>2723</v>
      </c>
    </row>
    <row r="188" spans="1:10" ht="100.8" x14ac:dyDescent="0.3">
      <c r="A188" s="2" t="s">
        <v>3341</v>
      </c>
      <c r="B188" s="2" t="s">
        <v>3379</v>
      </c>
      <c r="C188" s="43">
        <v>1</v>
      </c>
      <c r="D188" s="1" t="s">
        <v>65</v>
      </c>
      <c r="E188" s="1" t="s">
        <v>66</v>
      </c>
      <c r="F188" s="1" t="str">
        <f>UnitControlCenter!$B$30</f>
        <v>quads / year</v>
      </c>
      <c r="G188" s="1" t="s">
        <v>2752</v>
      </c>
      <c r="H188" s="1" t="s">
        <v>2754</v>
      </c>
      <c r="I188" s="1" t="s">
        <v>2755</v>
      </c>
    </row>
    <row r="189" spans="1:10" ht="115.2" x14ac:dyDescent="0.3">
      <c r="A189" s="2" t="s">
        <v>3341</v>
      </c>
      <c r="B189" s="2" t="s">
        <v>3380</v>
      </c>
      <c r="C189" s="43">
        <v>1</v>
      </c>
      <c r="D189" s="1" t="s">
        <v>65</v>
      </c>
      <c r="E189" s="1" t="s">
        <v>66</v>
      </c>
      <c r="F189" s="1" t="str">
        <f>UnitControlCenter!$B$30</f>
        <v>quads / year</v>
      </c>
      <c r="G189" s="1" t="s">
        <v>2753</v>
      </c>
      <c r="H189" s="1" t="s">
        <v>2754</v>
      </c>
      <c r="I189" s="1" t="s">
        <v>2755</v>
      </c>
    </row>
    <row r="190" spans="1:10" ht="101.4" customHeight="1" x14ac:dyDescent="0.3">
      <c r="A190" s="2" t="s">
        <v>3341</v>
      </c>
      <c r="B190" s="2" t="s">
        <v>3707</v>
      </c>
      <c r="C190" s="43">
        <v>1</v>
      </c>
      <c r="D190" s="1" t="s">
        <v>65</v>
      </c>
      <c r="E190" s="1" t="s">
        <v>66</v>
      </c>
      <c r="F190" s="1" t="s">
        <v>352</v>
      </c>
      <c r="G190" s="1" t="s">
        <v>3812</v>
      </c>
      <c r="H190" s="1" t="s">
        <v>3813</v>
      </c>
      <c r="I190" s="1" t="s">
        <v>3826</v>
      </c>
    </row>
    <row r="191" spans="1:10" ht="201.6" x14ac:dyDescent="0.3">
      <c r="A191" s="2" t="s">
        <v>3341</v>
      </c>
      <c r="B191" s="2" t="s">
        <v>3388</v>
      </c>
      <c r="C191" s="43">
        <v>1</v>
      </c>
      <c r="D191" s="1" t="s">
        <v>65</v>
      </c>
      <c r="E191" s="1" t="s">
        <v>66</v>
      </c>
      <c r="F191" s="1" t="str">
        <f>UnitControlCenter!$B$10</f>
        <v>billion 2023 dollars</v>
      </c>
      <c r="G191" s="1" t="s">
        <v>3344</v>
      </c>
      <c r="H191" s="1" t="s">
        <v>3343</v>
      </c>
      <c r="I191" s="208" t="s">
        <v>3342</v>
      </c>
      <c r="J191" s="208"/>
    </row>
    <row r="192" spans="1:10" ht="230.4" x14ac:dyDescent="0.3">
      <c r="A192" s="2" t="s">
        <v>3341</v>
      </c>
      <c r="B192" s="2" t="s">
        <v>3381</v>
      </c>
      <c r="C192" s="43">
        <v>1</v>
      </c>
      <c r="D192" s="1" t="s">
        <v>65</v>
      </c>
      <c r="E192" s="1" t="s">
        <v>66</v>
      </c>
      <c r="F192" s="1" t="str">
        <f>UnitControlCenter!$B$10</f>
        <v>billion 2023 dollars</v>
      </c>
      <c r="G192" s="1" t="s">
        <v>3352</v>
      </c>
      <c r="H192" s="1" t="s">
        <v>3343</v>
      </c>
      <c r="I192" s="208" t="s">
        <v>3345</v>
      </c>
      <c r="J192" s="208"/>
    </row>
    <row r="193" spans="1:10" ht="201.6" x14ac:dyDescent="0.3">
      <c r="A193" s="2" t="s">
        <v>3341</v>
      </c>
      <c r="B193" s="2" t="s">
        <v>3382</v>
      </c>
      <c r="C193" s="43">
        <v>1</v>
      </c>
      <c r="D193" s="1" t="s">
        <v>65</v>
      </c>
      <c r="E193" s="1" t="s">
        <v>66</v>
      </c>
      <c r="F193" s="1" t="str">
        <f>UnitControlCenter!$B$10</f>
        <v>billion 2023 dollars</v>
      </c>
      <c r="G193" s="1" t="s">
        <v>3353</v>
      </c>
      <c r="H193" s="1" t="s">
        <v>3343</v>
      </c>
      <c r="I193" s="208" t="s">
        <v>3346</v>
      </c>
      <c r="J193" s="208"/>
    </row>
    <row r="194" spans="1:10" ht="230.4" x14ac:dyDescent="0.3">
      <c r="A194" s="2" t="s">
        <v>3341</v>
      </c>
      <c r="B194" s="2" t="s">
        <v>3383</v>
      </c>
      <c r="C194" s="43">
        <v>1</v>
      </c>
      <c r="D194" s="1" t="s">
        <v>65</v>
      </c>
      <c r="E194" s="1" t="s">
        <v>66</v>
      </c>
      <c r="F194" s="1" t="str">
        <f>UnitControlCenter!$B$10</f>
        <v>billion 2023 dollars</v>
      </c>
      <c r="G194" s="1" t="s">
        <v>3354</v>
      </c>
      <c r="H194" s="1" t="s">
        <v>3343</v>
      </c>
      <c r="I194" s="208" t="s">
        <v>3347</v>
      </c>
      <c r="J194" s="208"/>
    </row>
    <row r="195" spans="1:10" ht="187.2" x14ac:dyDescent="0.3">
      <c r="A195" s="2" t="s">
        <v>3341</v>
      </c>
      <c r="B195" s="2" t="s">
        <v>3384</v>
      </c>
      <c r="C195" s="43">
        <v>1</v>
      </c>
      <c r="D195" s="1" t="s">
        <v>65</v>
      </c>
      <c r="E195" s="1" t="s">
        <v>66</v>
      </c>
      <c r="F195" s="1" t="str">
        <f>UnitControlCenter!$B$10</f>
        <v>billion 2023 dollars</v>
      </c>
      <c r="G195" s="1" t="s">
        <v>3357</v>
      </c>
      <c r="H195" s="1" t="s">
        <v>3343</v>
      </c>
      <c r="I195" s="208" t="s">
        <v>3348</v>
      </c>
      <c r="J195" s="208"/>
    </row>
    <row r="196" spans="1:10" ht="201.6" x14ac:dyDescent="0.3">
      <c r="A196" s="2" t="s">
        <v>3341</v>
      </c>
      <c r="B196" s="2" t="s">
        <v>3385</v>
      </c>
      <c r="C196" s="43">
        <v>1</v>
      </c>
      <c r="D196" s="1" t="s">
        <v>65</v>
      </c>
      <c r="E196" s="1" t="s">
        <v>66</v>
      </c>
      <c r="F196" s="1" t="str">
        <f>UnitControlCenter!$B$10</f>
        <v>billion 2023 dollars</v>
      </c>
      <c r="G196" s="1" t="s">
        <v>3358</v>
      </c>
      <c r="H196" s="1" t="s">
        <v>3343</v>
      </c>
      <c r="I196" s="208" t="s">
        <v>3349</v>
      </c>
      <c r="J196" s="208"/>
    </row>
    <row r="197" spans="1:10" ht="244.8" x14ac:dyDescent="0.3">
      <c r="A197" s="2" t="s">
        <v>3341</v>
      </c>
      <c r="B197" s="2" t="s">
        <v>3386</v>
      </c>
      <c r="C197" s="43">
        <v>1</v>
      </c>
      <c r="D197" s="1" t="s">
        <v>65</v>
      </c>
      <c r="E197" s="1" t="s">
        <v>66</v>
      </c>
      <c r="F197" s="1" t="str">
        <f>UnitControlCenter!$B$10</f>
        <v>billion 2023 dollars</v>
      </c>
      <c r="G197" s="1" t="s">
        <v>3355</v>
      </c>
      <c r="H197" s="1" t="s">
        <v>3343</v>
      </c>
      <c r="I197" s="208" t="s">
        <v>3350</v>
      </c>
      <c r="J197" s="208"/>
    </row>
    <row r="198" spans="1:10" ht="274.2" thickBot="1" x14ac:dyDescent="0.35">
      <c r="A198" s="192" t="s">
        <v>3341</v>
      </c>
      <c r="B198" s="192" t="s">
        <v>3387</v>
      </c>
      <c r="C198" s="199">
        <v>1</v>
      </c>
      <c r="D198" s="193" t="s">
        <v>65</v>
      </c>
      <c r="E198" s="193" t="s">
        <v>66</v>
      </c>
      <c r="F198" s="193" t="str">
        <f>UnitControlCenter!$B$10</f>
        <v>billion 2023 dollars</v>
      </c>
      <c r="G198" s="193" t="s">
        <v>3356</v>
      </c>
      <c r="H198" s="193" t="s">
        <v>3343</v>
      </c>
      <c r="I198" s="315" t="s">
        <v>3351</v>
      </c>
      <c r="J198" s="315"/>
    </row>
    <row r="199" spans="1:10" ht="72" x14ac:dyDescent="0.3">
      <c r="A199" s="2" t="s">
        <v>2348</v>
      </c>
      <c r="B199" s="2" t="s">
        <v>93</v>
      </c>
      <c r="C199" s="43">
        <v>1</v>
      </c>
      <c r="D199" s="1" t="s">
        <v>65</v>
      </c>
      <c r="E199" s="1" t="s">
        <v>2354</v>
      </c>
      <c r="F199" s="1" t="str">
        <f>UnitControlCenter!$B$22</f>
        <v>2023 dollars / megawatt-hour (MWh)</v>
      </c>
      <c r="G199" s="1" t="s">
        <v>3297</v>
      </c>
      <c r="H199" s="1" t="s">
        <v>3296</v>
      </c>
      <c r="I199" s="1" t="s">
        <v>3656</v>
      </c>
    </row>
    <row r="200" spans="1:10" ht="43.2" x14ac:dyDescent="0.3">
      <c r="A200" s="2" t="s">
        <v>2348</v>
      </c>
      <c r="B200" s="2" t="s">
        <v>446</v>
      </c>
      <c r="C200" s="43">
        <v>1</v>
      </c>
      <c r="D200" s="1" t="s">
        <v>65</v>
      </c>
      <c r="E200" s="1" t="s">
        <v>2354</v>
      </c>
      <c r="F200" s="1" t="str">
        <f>UnitControlCenter!$B$37</f>
        <v>2023 dollars / short ton</v>
      </c>
      <c r="G200" s="1" t="s">
        <v>2655</v>
      </c>
      <c r="H200" s="1" t="s">
        <v>2656</v>
      </c>
      <c r="I200" s="1" t="s">
        <v>2657</v>
      </c>
    </row>
    <row r="201" spans="1:10" x14ac:dyDescent="0.3">
      <c r="A201" s="2" t="s">
        <v>2348</v>
      </c>
      <c r="B201" s="2" t="s">
        <v>443</v>
      </c>
      <c r="C201" s="43">
        <v>1</v>
      </c>
      <c r="D201" s="1" t="s">
        <v>65</v>
      </c>
      <c r="E201" s="1" t="s">
        <v>2354</v>
      </c>
      <c r="F201" s="1" t="str">
        <f>UnitControlCenter!$B$37</f>
        <v>2023 dollars / short ton</v>
      </c>
      <c r="G201" s="1" t="s">
        <v>2367</v>
      </c>
      <c r="H201" s="1" t="s">
        <v>341</v>
      </c>
      <c r="I201" s="1" t="s">
        <v>2542</v>
      </c>
    </row>
    <row r="202" spans="1:10" ht="86.4" x14ac:dyDescent="0.3">
      <c r="A202" s="2" t="s">
        <v>2348</v>
      </c>
      <c r="B202" s="2" t="s">
        <v>87</v>
      </c>
      <c r="C202" s="43">
        <v>1</v>
      </c>
      <c r="D202" s="1" t="s">
        <v>65</v>
      </c>
      <c r="E202" s="1" t="s">
        <v>2354</v>
      </c>
      <c r="F202" s="1" t="str">
        <f>UnitControlCenter!$B$38</f>
        <v>2023 dollars / thousand cubic feet</v>
      </c>
      <c r="G202" s="1" t="s">
        <v>3299</v>
      </c>
      <c r="H202" s="1" t="s">
        <v>3298</v>
      </c>
      <c r="I202" s="1" t="s">
        <v>3657</v>
      </c>
    </row>
    <row r="203" spans="1:10" x14ac:dyDescent="0.3">
      <c r="A203" s="2" t="s">
        <v>2348</v>
      </c>
      <c r="B203" s="2" t="s">
        <v>95</v>
      </c>
      <c r="C203" s="43">
        <v>1</v>
      </c>
      <c r="D203" s="1" t="s">
        <v>65</v>
      </c>
      <c r="E203" s="1" t="s">
        <v>2354</v>
      </c>
      <c r="F203" s="1" t="str">
        <f>UnitControlCenter!$B$39</f>
        <v>2023 dollars / gallon</v>
      </c>
      <c r="G203" s="1" t="s">
        <v>2369</v>
      </c>
      <c r="H203" s="1" t="s">
        <v>336</v>
      </c>
      <c r="I203" s="43">
        <v>969696</v>
      </c>
      <c r="J203" s="43"/>
    </row>
    <row r="204" spans="1:10" ht="72" x14ac:dyDescent="0.3">
      <c r="A204" s="2" t="s">
        <v>2348</v>
      </c>
      <c r="B204" s="2" t="s">
        <v>96</v>
      </c>
      <c r="C204" s="43">
        <v>1</v>
      </c>
      <c r="D204" s="1" t="s">
        <v>65</v>
      </c>
      <c r="E204" s="1" t="s">
        <v>2354</v>
      </c>
      <c r="F204" s="1" t="str">
        <f>UnitControlCenter!$B$39</f>
        <v>2023 dollars / gallon</v>
      </c>
      <c r="G204" s="1" t="s">
        <v>2650</v>
      </c>
      <c r="H204" s="1" t="s">
        <v>2648</v>
      </c>
      <c r="I204" s="1" t="s">
        <v>2649</v>
      </c>
    </row>
    <row r="205" spans="1:10" ht="57.6" x14ac:dyDescent="0.3">
      <c r="A205" s="2" t="s">
        <v>2348</v>
      </c>
      <c r="B205" s="2" t="s">
        <v>92</v>
      </c>
      <c r="C205" s="43">
        <v>1</v>
      </c>
      <c r="D205" s="1" t="s">
        <v>65</v>
      </c>
      <c r="E205" s="1" t="s">
        <v>2354</v>
      </c>
      <c r="F205" s="1" t="str">
        <f>UnitControlCenter!$B$37</f>
        <v>2023 dollars / short ton</v>
      </c>
      <c r="G205" s="1" t="s">
        <v>2651</v>
      </c>
      <c r="H205" s="1" t="s">
        <v>2652</v>
      </c>
      <c r="I205" s="1" t="s">
        <v>2653</v>
      </c>
    </row>
    <row r="206" spans="1:10" ht="57.6" x14ac:dyDescent="0.3">
      <c r="A206" s="2" t="s">
        <v>2348</v>
      </c>
      <c r="B206" s="2" t="s">
        <v>2592</v>
      </c>
      <c r="C206" s="43">
        <v>1</v>
      </c>
      <c r="D206" s="1" t="s">
        <v>65</v>
      </c>
      <c r="E206" s="1" t="s">
        <v>2354</v>
      </c>
      <c r="F206" s="1" t="str">
        <f>UnitControlCenter!$B$40</f>
        <v>2023 dollars / barrel of oil</v>
      </c>
      <c r="G206" s="1" t="s">
        <v>2716</v>
      </c>
      <c r="H206" s="1" t="s">
        <v>2717</v>
      </c>
      <c r="I206" s="1" t="s">
        <v>2718</v>
      </c>
    </row>
    <row r="207" spans="1:10" ht="57.6" x14ac:dyDescent="0.3">
      <c r="A207" s="2" t="s">
        <v>2348</v>
      </c>
      <c r="B207" s="2" t="s">
        <v>2654</v>
      </c>
      <c r="C207" s="43">
        <v>1</v>
      </c>
      <c r="D207" s="1" t="s">
        <v>65</v>
      </c>
      <c r="E207" s="1" t="s">
        <v>2354</v>
      </c>
      <c r="F207" s="1" t="str">
        <f>UnitControlCenter!$B$39</f>
        <v>2023 dollars / gallon</v>
      </c>
      <c r="G207" s="1" t="s">
        <v>2658</v>
      </c>
      <c r="H207" s="1" t="s">
        <v>2366</v>
      </c>
      <c r="I207" s="1" t="s">
        <v>2588</v>
      </c>
    </row>
    <row r="208" spans="1:10" ht="29.4" thickBot="1" x14ac:dyDescent="0.35">
      <c r="A208" s="192" t="s">
        <v>2348</v>
      </c>
      <c r="B208" s="192" t="s">
        <v>2472</v>
      </c>
      <c r="C208" s="199">
        <v>1</v>
      </c>
      <c r="D208" s="193" t="s">
        <v>65</v>
      </c>
      <c r="E208" s="193" t="s">
        <v>2354</v>
      </c>
      <c r="F208" s="193" t="str">
        <f>UnitControlCenter!$B$41</f>
        <v>2023 dollars / kg</v>
      </c>
      <c r="G208" s="193" t="s">
        <v>2760</v>
      </c>
      <c r="H208" s="193" t="s">
        <v>2761</v>
      </c>
      <c r="I208" s="193" t="s">
        <v>2762</v>
      </c>
      <c r="J208" s="193"/>
    </row>
    <row r="209" spans="1:10" x14ac:dyDescent="0.3">
      <c r="A209" s="2" t="s">
        <v>2349</v>
      </c>
      <c r="B209" s="2" t="s">
        <v>3480</v>
      </c>
      <c r="C209" s="43">
        <v>1</v>
      </c>
      <c r="D209" s="1" t="s">
        <v>63</v>
      </c>
      <c r="E209" s="1" t="s">
        <v>64</v>
      </c>
      <c r="F209" s="1" t="str">
        <f>UnitControlCenter!$B$42</f>
        <v>2023 dollars / kilowatt-hour (kWh)</v>
      </c>
      <c r="G209" s="1" t="s">
        <v>2370</v>
      </c>
    </row>
    <row r="210" spans="1:10" ht="28.8" x14ac:dyDescent="0.3">
      <c r="A210" s="2" t="s">
        <v>2349</v>
      </c>
      <c r="B210" s="2" t="s">
        <v>2350</v>
      </c>
      <c r="C210" s="43">
        <v>0</v>
      </c>
      <c r="D210" s="1" t="s">
        <v>65</v>
      </c>
      <c r="E210" s="1" t="s">
        <v>64</v>
      </c>
      <c r="F210" s="1" t="str">
        <f>UnitControlCenter!$B$44</f>
        <v>cost of eqpt. to capture 1 metric ton CO2e/yr (2020 dollars)</v>
      </c>
      <c r="G210" s="1" t="s">
        <v>2374</v>
      </c>
      <c r="H210" s="1" t="s">
        <v>2375</v>
      </c>
      <c r="I210" s="1" t="s">
        <v>2549</v>
      </c>
    </row>
    <row r="211" spans="1:10" x14ac:dyDescent="0.3">
      <c r="A211" s="2" t="s">
        <v>2349</v>
      </c>
      <c r="B211" s="2" t="s">
        <v>2351</v>
      </c>
      <c r="C211" s="43">
        <v>1</v>
      </c>
      <c r="D211" s="1" t="s">
        <v>63</v>
      </c>
      <c r="E211" s="1" t="s">
        <v>64</v>
      </c>
      <c r="F211" s="1" t="str">
        <f>UnitControlCenter!$B$45</f>
        <v>million 2023 dollars / megawatt (MW)</v>
      </c>
      <c r="G211" s="1" t="s">
        <v>2371</v>
      </c>
    </row>
    <row r="212" spans="1:10" x14ac:dyDescent="0.3">
      <c r="A212" s="2" t="s">
        <v>2349</v>
      </c>
      <c r="B212" s="2" t="s">
        <v>2352</v>
      </c>
      <c r="C212" s="43">
        <v>1</v>
      </c>
      <c r="D212" s="1" t="s">
        <v>63</v>
      </c>
      <c r="E212" s="1" t="s">
        <v>64</v>
      </c>
      <c r="F212" s="1" t="str">
        <f>UnitControlCenter!$B$45</f>
        <v>million 2023 dollars / megawatt (MW)</v>
      </c>
      <c r="G212" s="1" t="s">
        <v>2372</v>
      </c>
    </row>
    <row r="213" spans="1:10" x14ac:dyDescent="0.3">
      <c r="A213" s="2" t="s">
        <v>2349</v>
      </c>
      <c r="B213" s="2" t="s">
        <v>2353</v>
      </c>
      <c r="C213" s="43">
        <v>1</v>
      </c>
      <c r="D213" s="1" t="s">
        <v>63</v>
      </c>
      <c r="E213" s="1" t="s">
        <v>64</v>
      </c>
      <c r="F213" s="1" t="str">
        <f>UnitControlCenter!$B$45</f>
        <v>million 2023 dollars / megawatt (MW)</v>
      </c>
      <c r="G213" s="1" t="s">
        <v>2373</v>
      </c>
    </row>
    <row r="214" spans="1:10" ht="29.4" thickBot="1" x14ac:dyDescent="0.35">
      <c r="A214" s="192" t="s">
        <v>2349</v>
      </c>
      <c r="B214" s="192" t="s">
        <v>2489</v>
      </c>
      <c r="C214" s="199">
        <v>1</v>
      </c>
      <c r="D214" s="193" t="s">
        <v>63</v>
      </c>
      <c r="E214" s="193" t="s">
        <v>64</v>
      </c>
      <c r="F214" s="193" t="str">
        <f>UnitControlCenter!$B$46</f>
        <v>cost of eqpt. to produce 1 kg H2/yr (2023 dollars)</v>
      </c>
      <c r="G214" s="193" t="s">
        <v>2490</v>
      </c>
      <c r="H214" s="193"/>
      <c r="I214" s="193"/>
      <c r="J214" s="193"/>
    </row>
  </sheetData>
  <phoneticPr fontId="113"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topLeftCell="A4" workbookViewId="0">
      <selection activeCell="B23" sqref="B23"/>
    </sheetView>
  </sheetViews>
  <sheetFormatPr defaultColWidth="8.88671875" defaultRowHeight="14.4" x14ac:dyDescent="0.3"/>
  <cols>
    <col min="1" max="1" width="13.44140625" customWidth="1"/>
    <col min="2" max="2" width="8.88671875" style="20"/>
    <col min="4" max="4" width="46" customWidth="1"/>
  </cols>
  <sheetData>
    <row r="1" spans="1:5" x14ac:dyDescent="0.3">
      <c r="A1" s="42" t="s">
        <v>2537</v>
      </c>
      <c r="B1" s="169"/>
      <c r="C1" s="159"/>
      <c r="D1" s="159"/>
    </row>
    <row r="2" spans="1:5" x14ac:dyDescent="0.3">
      <c r="A2" s="9" t="s">
        <v>2501</v>
      </c>
      <c r="B2" s="170" t="s">
        <v>2502</v>
      </c>
      <c r="C2" s="9" t="s">
        <v>2503</v>
      </c>
      <c r="D2" s="9" t="s">
        <v>2504</v>
      </c>
    </row>
    <row r="3" spans="1:5" x14ac:dyDescent="0.3">
      <c r="A3" s="371" t="s">
        <v>3591</v>
      </c>
      <c r="B3" s="375" t="s">
        <v>3593</v>
      </c>
      <c r="C3" s="372"/>
      <c r="D3" s="374" t="s">
        <v>3592</v>
      </c>
    </row>
    <row r="4" spans="1:5" x14ac:dyDescent="0.3">
      <c r="A4" t="s">
        <v>2551</v>
      </c>
      <c r="B4" s="20" t="s">
        <v>2545</v>
      </c>
      <c r="C4" s="188"/>
      <c r="D4" s="376" t="s">
        <v>3595</v>
      </c>
      <c r="E4" t="s">
        <v>3598</v>
      </c>
    </row>
    <row r="5" spans="1:5" x14ac:dyDescent="0.3">
      <c r="A5" t="s">
        <v>3602</v>
      </c>
      <c r="B5" s="171" t="s">
        <v>3603</v>
      </c>
      <c r="C5" s="377"/>
      <c r="D5" s="376" t="s">
        <v>3597</v>
      </c>
      <c r="E5" t="s">
        <v>3601</v>
      </c>
    </row>
    <row r="6" spans="1:5" x14ac:dyDescent="0.3">
      <c r="A6" t="s">
        <v>3796</v>
      </c>
      <c r="B6" s="171" t="s">
        <v>3795</v>
      </c>
      <c r="C6" s="411"/>
      <c r="D6" s="408" t="s">
        <v>3789</v>
      </c>
    </row>
    <row r="7" spans="1:5" x14ac:dyDescent="0.3">
      <c r="A7" t="s">
        <v>3793</v>
      </c>
      <c r="B7" s="171" t="s">
        <v>3792</v>
      </c>
      <c r="C7" s="409"/>
      <c r="D7" s="408" t="s">
        <v>3790</v>
      </c>
    </row>
    <row r="8" spans="1:5" x14ac:dyDescent="0.3">
      <c r="A8" t="s">
        <v>3794</v>
      </c>
      <c r="B8" s="20">
        <v>6699</v>
      </c>
      <c r="C8" s="410"/>
      <c r="D8" s="408" t="s">
        <v>3791</v>
      </c>
    </row>
    <row r="9" spans="1:5" x14ac:dyDescent="0.3">
      <c r="A9" t="s">
        <v>3796</v>
      </c>
      <c r="B9" s="171" t="s">
        <v>3604</v>
      </c>
      <c r="C9" s="205"/>
      <c r="D9" t="s">
        <v>3608</v>
      </c>
    </row>
    <row r="10" spans="1:5" x14ac:dyDescent="0.3">
      <c r="A10" t="s">
        <v>3609</v>
      </c>
      <c r="B10" s="171" t="s">
        <v>3610</v>
      </c>
      <c r="C10" s="379"/>
      <c r="D10" s="378" t="s">
        <v>3581</v>
      </c>
    </row>
    <row r="11" spans="1:5" x14ac:dyDescent="0.3">
      <c r="A11" t="s">
        <v>2511</v>
      </c>
      <c r="B11" s="20" t="s">
        <v>2522</v>
      </c>
      <c r="C11" s="176"/>
      <c r="D11" t="s">
        <v>436</v>
      </c>
    </row>
    <row r="12" spans="1:5" x14ac:dyDescent="0.3">
      <c r="A12" t="s">
        <v>3565</v>
      </c>
      <c r="B12" s="20" t="s">
        <v>3564</v>
      </c>
      <c r="C12" s="362"/>
      <c r="D12" t="s">
        <v>3496</v>
      </c>
    </row>
    <row r="13" spans="1:5" x14ac:dyDescent="0.3">
      <c r="A13" t="s">
        <v>2519</v>
      </c>
      <c r="B13" s="171" t="s">
        <v>2520</v>
      </c>
      <c r="C13" s="175"/>
      <c r="D13" t="s">
        <v>92</v>
      </c>
    </row>
    <row r="14" spans="1:5" x14ac:dyDescent="0.3">
      <c r="A14" t="s">
        <v>2547</v>
      </c>
      <c r="B14" s="20" t="s">
        <v>2541</v>
      </c>
      <c r="C14" s="185"/>
      <c r="D14" t="s">
        <v>91</v>
      </c>
    </row>
    <row r="15" spans="1:5" x14ac:dyDescent="0.3">
      <c r="A15" t="s">
        <v>2526</v>
      </c>
      <c r="B15" s="20" t="s">
        <v>2542</v>
      </c>
      <c r="C15" s="180"/>
      <c r="D15" t="s">
        <v>2538</v>
      </c>
    </row>
    <row r="16" spans="1:5" x14ac:dyDescent="0.3">
      <c r="A16" t="s">
        <v>2548</v>
      </c>
      <c r="B16" s="20" t="s">
        <v>2368</v>
      </c>
      <c r="C16" s="184"/>
      <c r="D16" t="s">
        <v>2539</v>
      </c>
    </row>
    <row r="17" spans="1:4" x14ac:dyDescent="0.3">
      <c r="A17" t="s">
        <v>2546</v>
      </c>
      <c r="B17" s="20" t="s">
        <v>2543</v>
      </c>
      <c r="C17" s="187"/>
      <c r="D17" t="s">
        <v>451</v>
      </c>
    </row>
    <row r="18" spans="1:4" x14ac:dyDescent="0.3">
      <c r="A18" t="s">
        <v>2527</v>
      </c>
      <c r="B18" s="20" t="s">
        <v>2523</v>
      </c>
      <c r="C18" s="179"/>
      <c r="D18" t="s">
        <v>454</v>
      </c>
    </row>
    <row r="19" spans="1:4" x14ac:dyDescent="0.3">
      <c r="A19" t="s">
        <v>2500</v>
      </c>
      <c r="B19" s="172" t="s">
        <v>2507</v>
      </c>
      <c r="C19" s="168"/>
      <c r="D19" t="s">
        <v>89</v>
      </c>
    </row>
    <row r="20" spans="1:4" x14ac:dyDescent="0.3">
      <c r="A20" t="s">
        <v>3052</v>
      </c>
      <c r="B20" t="s">
        <v>3605</v>
      </c>
      <c r="C20" s="206"/>
      <c r="D20" t="s">
        <v>3498</v>
      </c>
    </row>
    <row r="21" spans="1:4" x14ac:dyDescent="0.3">
      <c r="A21" t="s">
        <v>2528</v>
      </c>
      <c r="B21" s="20" t="s">
        <v>2524</v>
      </c>
      <c r="C21" s="181"/>
      <c r="D21" t="s">
        <v>3499</v>
      </c>
    </row>
    <row r="22" spans="1:4" x14ac:dyDescent="0.3">
      <c r="A22" t="s">
        <v>2510</v>
      </c>
      <c r="B22" s="171" t="s">
        <v>2515</v>
      </c>
      <c r="C22" s="177"/>
      <c r="D22" t="s">
        <v>2540</v>
      </c>
    </row>
    <row r="23" spans="1:4" x14ac:dyDescent="0.3">
      <c r="A23" t="s">
        <v>2550</v>
      </c>
      <c r="B23" s="20" t="s">
        <v>2544</v>
      </c>
      <c r="C23" s="186"/>
      <c r="D23" t="s">
        <v>2471</v>
      </c>
    </row>
    <row r="24" spans="1:4" x14ac:dyDescent="0.3">
      <c r="A24" t="s">
        <v>2513</v>
      </c>
      <c r="B24" s="171" t="s">
        <v>2514</v>
      </c>
      <c r="C24" s="167"/>
      <c r="D24" t="s">
        <v>2625</v>
      </c>
    </row>
    <row r="25" spans="1:4" x14ac:dyDescent="0.3">
      <c r="A25" t="s">
        <v>2593</v>
      </c>
      <c r="B25" s="171" t="s">
        <v>2595</v>
      </c>
      <c r="C25" s="189"/>
      <c r="D25" t="s">
        <v>2592</v>
      </c>
    </row>
    <row r="26" spans="1:4" x14ac:dyDescent="0.3">
      <c r="A26" t="s">
        <v>2594</v>
      </c>
      <c r="B26" s="171">
        <v>740000</v>
      </c>
      <c r="C26" s="190"/>
      <c r="D26" t="s">
        <v>2469</v>
      </c>
    </row>
    <row r="27" spans="1:4" x14ac:dyDescent="0.3">
      <c r="A27" t="s">
        <v>2529</v>
      </c>
      <c r="B27" s="20" t="s">
        <v>2525</v>
      </c>
      <c r="C27" s="182"/>
      <c r="D27" t="s">
        <v>311</v>
      </c>
    </row>
    <row r="28" spans="1:4" x14ac:dyDescent="0.3">
      <c r="A28" t="s">
        <v>3563</v>
      </c>
      <c r="B28" s="20" t="s">
        <v>3606</v>
      </c>
      <c r="C28" s="361"/>
      <c r="D28" t="s">
        <v>3495</v>
      </c>
    </row>
    <row r="29" spans="1:4" x14ac:dyDescent="0.3">
      <c r="A29" t="s">
        <v>2512</v>
      </c>
      <c r="B29" s="171" t="s">
        <v>2517</v>
      </c>
      <c r="C29" s="174"/>
      <c r="D29" t="s">
        <v>3425</v>
      </c>
    </row>
    <row r="30" spans="1:4" x14ac:dyDescent="0.3">
      <c r="A30" t="s">
        <v>3426</v>
      </c>
      <c r="B30" s="171" t="s">
        <v>3427</v>
      </c>
      <c r="C30" s="360"/>
      <c r="D30" t="s">
        <v>3424</v>
      </c>
    </row>
    <row r="31" spans="1:4" x14ac:dyDescent="0.3">
      <c r="A31" t="s">
        <v>3053</v>
      </c>
      <c r="B31" s="17" t="s">
        <v>3607</v>
      </c>
      <c r="C31" s="207"/>
      <c r="D31" t="s">
        <v>3497</v>
      </c>
    </row>
    <row r="32" spans="1:4" x14ac:dyDescent="0.3">
      <c r="A32" t="s">
        <v>2536</v>
      </c>
      <c r="B32" s="20" t="s">
        <v>2535</v>
      </c>
      <c r="C32" s="183"/>
      <c r="D32" t="s">
        <v>443</v>
      </c>
    </row>
    <row r="33" spans="1:5" x14ac:dyDescent="0.3">
      <c r="A33" t="s">
        <v>3054</v>
      </c>
      <c r="B33" s="204" t="s">
        <v>3047</v>
      </c>
      <c r="C33" s="203"/>
      <c r="D33" t="s">
        <v>3494</v>
      </c>
    </row>
    <row r="34" spans="1:5" x14ac:dyDescent="0.3">
      <c r="A34" t="s">
        <v>2506</v>
      </c>
      <c r="B34" s="171" t="s">
        <v>2516</v>
      </c>
      <c r="C34" s="173"/>
      <c r="D34" t="s">
        <v>446</v>
      </c>
    </row>
    <row r="35" spans="1:5" x14ac:dyDescent="0.3">
      <c r="A35" t="s">
        <v>3602</v>
      </c>
      <c r="B35" s="171" t="s">
        <v>3603</v>
      </c>
      <c r="C35" s="377"/>
      <c r="D35" t="s">
        <v>3596</v>
      </c>
      <c r="E35" t="s">
        <v>3600</v>
      </c>
    </row>
    <row r="36" spans="1:5" x14ac:dyDescent="0.3">
      <c r="A36" t="s">
        <v>2551</v>
      </c>
      <c r="B36" s="20" t="s">
        <v>2545</v>
      </c>
      <c r="C36" s="188"/>
      <c r="D36" s="376" t="s">
        <v>3594</v>
      </c>
      <c r="E36" t="s">
        <v>3599</v>
      </c>
    </row>
    <row r="38" spans="1:5" x14ac:dyDescent="0.3">
      <c r="A38" s="42" t="s">
        <v>2521</v>
      </c>
      <c r="B38" s="169"/>
      <c r="C38" s="159"/>
      <c r="D38" s="159"/>
    </row>
    <row r="39" spans="1:5" s="9" customFormat="1" x14ac:dyDescent="0.3">
      <c r="A39" s="9" t="s">
        <v>2501</v>
      </c>
      <c r="B39" s="170" t="s">
        <v>2502</v>
      </c>
      <c r="C39" s="9" t="s">
        <v>2503</v>
      </c>
      <c r="D39" s="9" t="s">
        <v>2585</v>
      </c>
    </row>
    <row r="40" spans="1:5" x14ac:dyDescent="0.3">
      <c r="A40" t="s">
        <v>2527</v>
      </c>
      <c r="B40" s="20" t="s">
        <v>2523</v>
      </c>
      <c r="C40" s="179"/>
      <c r="D40" t="s">
        <v>2587</v>
      </c>
    </row>
    <row r="41" spans="1:5" x14ac:dyDescent="0.3">
      <c r="A41" t="s">
        <v>2500</v>
      </c>
      <c r="B41" s="172" t="s">
        <v>2507</v>
      </c>
      <c r="C41" s="168"/>
      <c r="D41" t="s">
        <v>2586</v>
      </c>
    </row>
    <row r="42" spans="1:5" x14ac:dyDescent="0.3">
      <c r="A42" t="s">
        <v>2512</v>
      </c>
      <c r="B42" s="20" t="s">
        <v>2517</v>
      </c>
      <c r="C42" s="174"/>
      <c r="D42" t="s">
        <v>4</v>
      </c>
    </row>
    <row r="43" spans="1:5" x14ac:dyDescent="0.3">
      <c r="A43" t="s">
        <v>2526</v>
      </c>
      <c r="B43" s="20" t="s">
        <v>2542</v>
      </c>
      <c r="C43" s="180"/>
      <c r="D43" t="s">
        <v>93</v>
      </c>
    </row>
    <row r="44" spans="1:5" x14ac:dyDescent="0.3">
      <c r="A44" t="s">
        <v>2506</v>
      </c>
      <c r="B44" s="20">
        <v>969696</v>
      </c>
      <c r="C44" s="173"/>
      <c r="D44" t="s">
        <v>9</v>
      </c>
    </row>
    <row r="45" spans="1:5" x14ac:dyDescent="0.3">
      <c r="A45" t="s">
        <v>2519</v>
      </c>
      <c r="B45" s="20" t="s">
        <v>2520</v>
      </c>
      <c r="C45" s="175"/>
      <c r="D45" t="s">
        <v>2428</v>
      </c>
    </row>
    <row r="46" spans="1:5" x14ac:dyDescent="0.3">
      <c r="A46" t="s">
        <v>2528</v>
      </c>
      <c r="B46" s="20" t="s">
        <v>2524</v>
      </c>
      <c r="C46" s="181"/>
      <c r="D46" t="s">
        <v>132</v>
      </c>
    </row>
    <row r="47" spans="1:5" x14ac:dyDescent="0.3">
      <c r="A47" t="s">
        <v>2529</v>
      </c>
      <c r="B47" s="20" t="s">
        <v>2525</v>
      </c>
      <c r="C47" s="182"/>
      <c r="D47" t="s">
        <v>2437</v>
      </c>
    </row>
    <row r="48" spans="1:5" x14ac:dyDescent="0.3">
      <c r="A48" t="s">
        <v>2511</v>
      </c>
      <c r="B48" s="20" t="s">
        <v>2522</v>
      </c>
      <c r="C48" s="178"/>
      <c r="D48" t="s">
        <v>3797</v>
      </c>
    </row>
    <row r="49" spans="1:4" x14ac:dyDescent="0.3">
      <c r="A49" t="s">
        <v>2547</v>
      </c>
      <c r="B49" s="20" t="s">
        <v>2541</v>
      </c>
      <c r="C49" s="185"/>
      <c r="D49" t="s">
        <v>3798</v>
      </c>
    </row>
    <row r="50" spans="1:4" x14ac:dyDescent="0.3">
      <c r="A50" t="s">
        <v>2526</v>
      </c>
      <c r="B50" s="20" t="s">
        <v>2542</v>
      </c>
      <c r="C50" s="180"/>
      <c r="D50" t="s">
        <v>3799</v>
      </c>
    </row>
    <row r="51" spans="1:4" x14ac:dyDescent="0.3">
      <c r="A51" t="s">
        <v>2593</v>
      </c>
      <c r="B51" s="171" t="s">
        <v>2595</v>
      </c>
      <c r="C51" s="189"/>
      <c r="D51" t="s">
        <v>2793</v>
      </c>
    </row>
    <row r="53" spans="1:4" x14ac:dyDescent="0.3">
      <c r="A53" s="42" t="s">
        <v>2530</v>
      </c>
      <c r="B53" s="169"/>
      <c r="C53" s="159"/>
      <c r="D53" s="159"/>
    </row>
    <row r="54" spans="1:4" x14ac:dyDescent="0.3">
      <c r="A54" s="9" t="s">
        <v>2501</v>
      </c>
      <c r="B54" s="170" t="s">
        <v>2502</v>
      </c>
      <c r="C54" s="9" t="s">
        <v>2503</v>
      </c>
      <c r="D54" s="9" t="s">
        <v>2504</v>
      </c>
    </row>
    <row r="55" spans="1:4" x14ac:dyDescent="0.3">
      <c r="A55" t="s">
        <v>2512</v>
      </c>
      <c r="B55" s="171" t="s">
        <v>2517</v>
      </c>
      <c r="C55" s="174"/>
      <c r="D55" t="s">
        <v>2531</v>
      </c>
    </row>
    <row r="56" spans="1:4" x14ac:dyDescent="0.3">
      <c r="A56" t="s">
        <v>2506</v>
      </c>
      <c r="B56" s="20">
        <v>969696</v>
      </c>
      <c r="C56" s="173"/>
      <c r="D56" t="s">
        <v>2532</v>
      </c>
    </row>
    <row r="57" spans="1:4" x14ac:dyDescent="0.3">
      <c r="A57" t="s">
        <v>2519</v>
      </c>
      <c r="B57" s="20" t="s">
        <v>2520</v>
      </c>
      <c r="C57" s="175"/>
      <c r="D57" t="s">
        <v>2533</v>
      </c>
    </row>
    <row r="58" spans="1:4" x14ac:dyDescent="0.3">
      <c r="A58" t="s">
        <v>2593</v>
      </c>
      <c r="B58" s="171" t="s">
        <v>2595</v>
      </c>
      <c r="C58" s="189"/>
      <c r="D58" t="s">
        <v>2794</v>
      </c>
    </row>
    <row r="60" spans="1:4" x14ac:dyDescent="0.3">
      <c r="A60" s="42" t="s">
        <v>2534</v>
      </c>
      <c r="B60" s="169"/>
      <c r="C60" s="159"/>
      <c r="D60" s="159"/>
    </row>
    <row r="61" spans="1:4" x14ac:dyDescent="0.3">
      <c r="A61" s="9" t="s">
        <v>2501</v>
      </c>
      <c r="B61" s="170" t="s">
        <v>2502</v>
      </c>
      <c r="C61" s="9" t="s">
        <v>2503</v>
      </c>
      <c r="D61" s="9" t="s">
        <v>2504</v>
      </c>
    </row>
    <row r="62" spans="1:4" x14ac:dyDescent="0.3">
      <c r="A62" t="s">
        <v>2519</v>
      </c>
      <c r="B62" s="20" t="s">
        <v>2520</v>
      </c>
      <c r="C62" s="175"/>
      <c r="D62" t="s">
        <v>2237</v>
      </c>
    </row>
    <row r="63" spans="1:4" x14ac:dyDescent="0.3">
      <c r="A63" t="s">
        <v>2513</v>
      </c>
      <c r="B63" s="171" t="s">
        <v>2514</v>
      </c>
      <c r="C63" s="167"/>
      <c r="D63" t="s">
        <v>846</v>
      </c>
    </row>
    <row r="64" spans="1:4" x14ac:dyDescent="0.3">
      <c r="A64" t="s">
        <v>2512</v>
      </c>
      <c r="B64" s="171" t="s">
        <v>2517</v>
      </c>
      <c r="C64" s="174"/>
      <c r="D64" t="s">
        <v>2235</v>
      </c>
    </row>
    <row r="65" spans="1:4" x14ac:dyDescent="0.3">
      <c r="A65" t="s">
        <v>2506</v>
      </c>
      <c r="B65" s="171" t="s">
        <v>2516</v>
      </c>
      <c r="C65" s="173"/>
      <c r="D65" t="s">
        <v>2219</v>
      </c>
    </row>
    <row r="66" spans="1:4" x14ac:dyDescent="0.3">
      <c r="B66" s="171"/>
    </row>
    <row r="67" spans="1:4" x14ac:dyDescent="0.3">
      <c r="A67" s="42" t="s">
        <v>2671</v>
      </c>
      <c r="B67" s="169"/>
      <c r="C67" s="159"/>
      <c r="D67" s="159"/>
    </row>
    <row r="68" spans="1:4" x14ac:dyDescent="0.3">
      <c r="A68" s="9" t="s">
        <v>2501</v>
      </c>
      <c r="B68" s="170" t="s">
        <v>2502</v>
      </c>
      <c r="C68" s="9" t="s">
        <v>2503</v>
      </c>
      <c r="D68" s="9" t="s">
        <v>2504</v>
      </c>
    </row>
    <row r="69" spans="1:4" x14ac:dyDescent="0.3">
      <c r="A69" t="s">
        <v>2512</v>
      </c>
      <c r="B69" s="171" t="s">
        <v>2517</v>
      </c>
      <c r="C69" s="174"/>
      <c r="D69" t="s">
        <v>2563</v>
      </c>
    </row>
    <row r="70" spans="1:4" x14ac:dyDescent="0.3">
      <c r="A70" t="s">
        <v>2527</v>
      </c>
      <c r="B70" s="20" t="s">
        <v>2523</v>
      </c>
      <c r="C70" s="179"/>
      <c r="D70" t="s">
        <v>2564</v>
      </c>
    </row>
    <row r="71" spans="1:4" x14ac:dyDescent="0.3">
      <c r="A71" t="s">
        <v>2526</v>
      </c>
      <c r="B71" s="20" t="s">
        <v>2542</v>
      </c>
      <c r="C71" s="180"/>
      <c r="D71" t="s">
        <v>2565</v>
      </c>
    </row>
    <row r="72" spans="1:4" x14ac:dyDescent="0.3">
      <c r="A72" t="s">
        <v>2519</v>
      </c>
      <c r="B72" s="171" t="s">
        <v>2520</v>
      </c>
      <c r="C72" s="175"/>
      <c r="D72" t="s">
        <v>2566</v>
      </c>
    </row>
    <row r="73" spans="1:4" x14ac:dyDescent="0.3">
      <c r="A73" t="s">
        <v>2513</v>
      </c>
      <c r="B73" s="171" t="s">
        <v>2514</v>
      </c>
      <c r="C73" s="167"/>
      <c r="D73" t="s">
        <v>2567</v>
      </c>
    </row>
    <row r="75" spans="1:4" x14ac:dyDescent="0.3">
      <c r="A75" s="42" t="s">
        <v>2937</v>
      </c>
      <c r="B75" s="169"/>
      <c r="C75" s="159"/>
      <c r="D75" s="159"/>
    </row>
    <row r="76" spans="1:4" x14ac:dyDescent="0.3">
      <c r="A76" s="9" t="s">
        <v>2501</v>
      </c>
      <c r="B76" s="170" t="s">
        <v>2502</v>
      </c>
      <c r="C76" s="9" t="s">
        <v>2503</v>
      </c>
      <c r="D76" s="9" t="s">
        <v>2504</v>
      </c>
    </row>
    <row r="77" spans="1:4" x14ac:dyDescent="0.3">
      <c r="A77" t="s">
        <v>2527</v>
      </c>
      <c r="B77" s="20" t="s">
        <v>2523</v>
      </c>
      <c r="C77" s="179"/>
      <c r="D77" t="s">
        <v>2927</v>
      </c>
    </row>
    <row r="78" spans="1:4" x14ac:dyDescent="0.3">
      <c r="A78" t="s">
        <v>2512</v>
      </c>
      <c r="B78" s="171" t="s">
        <v>2517</v>
      </c>
      <c r="C78" s="174"/>
      <c r="D78" t="s">
        <v>2926</v>
      </c>
    </row>
    <row r="79" spans="1:4" x14ac:dyDescent="0.3">
      <c r="A79" t="s">
        <v>2511</v>
      </c>
      <c r="B79" s="20" t="s">
        <v>2522</v>
      </c>
      <c r="C79" s="178"/>
      <c r="D79" t="s">
        <v>2923</v>
      </c>
    </row>
    <row r="80" spans="1:4" x14ac:dyDescent="0.3">
      <c r="A80" t="s">
        <v>2551</v>
      </c>
      <c r="B80" s="20" t="s">
        <v>2545</v>
      </c>
      <c r="C80" s="188"/>
      <c r="D80" t="s">
        <v>2924</v>
      </c>
    </row>
    <row r="81" spans="1:4" x14ac:dyDescent="0.3">
      <c r="A81" t="s">
        <v>2529</v>
      </c>
      <c r="B81" s="20" t="s">
        <v>2525</v>
      </c>
      <c r="C81" s="182"/>
      <c r="D81" t="s">
        <v>2925</v>
      </c>
    </row>
    <row r="83" spans="1:4" x14ac:dyDescent="0.3">
      <c r="A83" s="42" t="s">
        <v>3011</v>
      </c>
      <c r="B83" s="169"/>
      <c r="C83" s="159"/>
      <c r="D83" s="159"/>
    </row>
    <row r="84" spans="1:4" x14ac:dyDescent="0.3">
      <c r="A84" s="9" t="s">
        <v>2501</v>
      </c>
      <c r="B84" s="170" t="s">
        <v>2502</v>
      </c>
      <c r="C84" s="9" t="s">
        <v>2503</v>
      </c>
      <c r="D84" s="9" t="s">
        <v>2504</v>
      </c>
    </row>
    <row r="85" spans="1:4" x14ac:dyDescent="0.3">
      <c r="A85" t="s">
        <v>2593</v>
      </c>
      <c r="B85" s="171" t="s">
        <v>2595</v>
      </c>
      <c r="C85" s="189"/>
      <c r="D85" t="s">
        <v>2944</v>
      </c>
    </row>
    <row r="86" spans="1:4" x14ac:dyDescent="0.3">
      <c r="A86" t="s">
        <v>2527</v>
      </c>
      <c r="B86" s="20" t="s">
        <v>2523</v>
      </c>
      <c r="C86" s="179"/>
      <c r="D86" t="s">
        <v>2945</v>
      </c>
    </row>
    <row r="87" spans="1:4" x14ac:dyDescent="0.3">
      <c r="A87" t="s">
        <v>2529</v>
      </c>
      <c r="B87" s="20" t="s">
        <v>2525</v>
      </c>
      <c r="C87" s="182"/>
      <c r="D87" t="s">
        <v>458</v>
      </c>
    </row>
    <row r="88" spans="1:4" x14ac:dyDescent="0.3">
      <c r="A88" t="s">
        <v>2528</v>
      </c>
      <c r="B88" s="20" t="s">
        <v>2524</v>
      </c>
      <c r="C88" s="181"/>
      <c r="D88" t="s">
        <v>2946</v>
      </c>
    </row>
    <row r="89" spans="1:4" x14ac:dyDescent="0.3">
      <c r="A89" t="s">
        <v>2526</v>
      </c>
      <c r="B89" s="20" t="s">
        <v>2542</v>
      </c>
      <c r="C89" s="180"/>
      <c r="D89" t="s">
        <v>2947</v>
      </c>
    </row>
    <row r="90" spans="1:4" x14ac:dyDescent="0.3">
      <c r="A90" t="s">
        <v>2506</v>
      </c>
      <c r="B90" s="171" t="s">
        <v>2516</v>
      </c>
      <c r="C90" s="173"/>
      <c r="D90" t="s">
        <v>263</v>
      </c>
    </row>
    <row r="91" spans="1:4" x14ac:dyDescent="0.3">
      <c r="A91" t="s">
        <v>2512</v>
      </c>
      <c r="B91" s="171" t="s">
        <v>2517</v>
      </c>
      <c r="C91" s="174"/>
      <c r="D91" t="s">
        <v>2948</v>
      </c>
    </row>
    <row r="92" spans="1:4" x14ac:dyDescent="0.3">
      <c r="A92" t="s">
        <v>2519</v>
      </c>
      <c r="B92" s="171" t="s">
        <v>2520</v>
      </c>
      <c r="C92" s="175"/>
      <c r="D92" t="s">
        <v>2949</v>
      </c>
    </row>
    <row r="93" spans="1:4" x14ac:dyDescent="0.3">
      <c r="A93" t="s">
        <v>2511</v>
      </c>
      <c r="B93" s="20" t="s">
        <v>2522</v>
      </c>
      <c r="C93" s="178"/>
      <c r="D93" t="s">
        <v>2950</v>
      </c>
    </row>
    <row r="94" spans="1:4" x14ac:dyDescent="0.3">
      <c r="A94" t="s">
        <v>2513</v>
      </c>
      <c r="B94" s="171" t="s">
        <v>2514</v>
      </c>
      <c r="C94" s="167"/>
      <c r="D94" t="s">
        <v>2567</v>
      </c>
    </row>
    <row r="95" spans="1:4" x14ac:dyDescent="0.3">
      <c r="B95" s="171"/>
    </row>
    <row r="96" spans="1:4" x14ac:dyDescent="0.3">
      <c r="A96" s="42" t="s">
        <v>2909</v>
      </c>
      <c r="B96" s="169"/>
      <c r="C96" s="159"/>
      <c r="D96" s="159"/>
    </row>
    <row r="97" spans="1:4" x14ac:dyDescent="0.3">
      <c r="A97" s="9" t="s">
        <v>2501</v>
      </c>
      <c r="B97" s="170" t="s">
        <v>2502</v>
      </c>
      <c r="C97" s="9" t="s">
        <v>2503</v>
      </c>
      <c r="D97" s="9" t="s">
        <v>2504</v>
      </c>
    </row>
    <row r="98" spans="1:4" x14ac:dyDescent="0.3">
      <c r="A98" t="s">
        <v>2512</v>
      </c>
      <c r="B98" s="171" t="s">
        <v>2517</v>
      </c>
      <c r="C98" s="174"/>
      <c r="D98" t="s">
        <v>2857</v>
      </c>
    </row>
    <row r="99" spans="1:4" x14ac:dyDescent="0.3">
      <c r="A99" t="s">
        <v>2527</v>
      </c>
      <c r="B99" s="20" t="s">
        <v>2523</v>
      </c>
      <c r="C99" s="179"/>
      <c r="D99" t="s">
        <v>2858</v>
      </c>
    </row>
    <row r="100" spans="1:4" x14ac:dyDescent="0.3">
      <c r="A100" t="s">
        <v>2526</v>
      </c>
      <c r="B100" s="20" t="s">
        <v>2542</v>
      </c>
      <c r="C100" s="180"/>
      <c r="D100" t="s">
        <v>2859</v>
      </c>
    </row>
    <row r="101" spans="1:4" x14ac:dyDescent="0.3">
      <c r="A101" t="s">
        <v>2513</v>
      </c>
      <c r="B101" s="171" t="s">
        <v>2514</v>
      </c>
      <c r="C101" s="167"/>
      <c r="D101" t="s">
        <v>2567</v>
      </c>
    </row>
    <row r="103" spans="1:4" x14ac:dyDescent="0.3">
      <c r="A103" s="42" t="s">
        <v>3264</v>
      </c>
      <c r="B103" s="169"/>
      <c r="C103" s="159"/>
      <c r="D103" s="159"/>
    </row>
    <row r="104" spans="1:4" x14ac:dyDescent="0.3">
      <c r="A104" s="9" t="s">
        <v>2501</v>
      </c>
      <c r="B104" s="170" t="s">
        <v>2502</v>
      </c>
      <c r="C104" s="9" t="s">
        <v>2503</v>
      </c>
      <c r="D104" s="9" t="s">
        <v>2504</v>
      </c>
    </row>
    <row r="105" spans="1:4" x14ac:dyDescent="0.3">
      <c r="A105" t="s">
        <v>2547</v>
      </c>
      <c r="B105" s="20" t="s">
        <v>2541</v>
      </c>
      <c r="C105" s="185"/>
      <c r="D105" t="s">
        <v>3132</v>
      </c>
    </row>
    <row r="106" spans="1:4" x14ac:dyDescent="0.3">
      <c r="A106" t="s">
        <v>2519</v>
      </c>
      <c r="B106" s="171" t="s">
        <v>2520</v>
      </c>
      <c r="C106" s="175"/>
      <c r="D106" t="s">
        <v>3133</v>
      </c>
    </row>
    <row r="108" spans="1:4" x14ac:dyDescent="0.3">
      <c r="A108" s="42" t="s">
        <v>3134</v>
      </c>
      <c r="B108" s="169"/>
      <c r="C108" s="159"/>
      <c r="D108" s="159"/>
    </row>
    <row r="109" spans="1:4" x14ac:dyDescent="0.3">
      <c r="A109" s="9" t="s">
        <v>2501</v>
      </c>
      <c r="B109" s="170" t="s">
        <v>2502</v>
      </c>
      <c r="C109" s="9" t="s">
        <v>2503</v>
      </c>
      <c r="D109" s="9" t="s">
        <v>2504</v>
      </c>
    </row>
    <row r="110" spans="1:4" x14ac:dyDescent="0.3">
      <c r="A110" t="s">
        <v>2512</v>
      </c>
      <c r="B110" s="171" t="s">
        <v>2517</v>
      </c>
      <c r="C110" s="174"/>
      <c r="D110" t="s">
        <v>3135</v>
      </c>
    </row>
    <row r="111" spans="1:4" x14ac:dyDescent="0.3">
      <c r="A111" t="s">
        <v>2526</v>
      </c>
      <c r="B111" s="20" t="s">
        <v>2542</v>
      </c>
      <c r="C111" s="180"/>
      <c r="D111" t="s">
        <v>3136</v>
      </c>
    </row>
    <row r="112" spans="1:4" x14ac:dyDescent="0.3">
      <c r="A112" t="s">
        <v>2519</v>
      </c>
      <c r="B112" s="171" t="s">
        <v>2520</v>
      </c>
      <c r="C112" s="175"/>
      <c r="D112" t="s">
        <v>3137</v>
      </c>
    </row>
    <row r="113" spans="1:4" x14ac:dyDescent="0.3">
      <c r="A113" t="s">
        <v>2527</v>
      </c>
      <c r="B113" s="20" t="s">
        <v>2523</v>
      </c>
      <c r="C113" s="179"/>
      <c r="D113" t="s">
        <v>3138</v>
      </c>
    </row>
    <row r="115" spans="1:4" x14ac:dyDescent="0.3">
      <c r="A115" s="42" t="s">
        <v>3139</v>
      </c>
      <c r="B115" s="169"/>
      <c r="C115" s="159"/>
      <c r="D115" s="159"/>
    </row>
    <row r="116" spans="1:4" x14ac:dyDescent="0.3">
      <c r="A116" s="9" t="s">
        <v>2501</v>
      </c>
      <c r="B116" s="170" t="s">
        <v>2502</v>
      </c>
      <c r="C116" s="9" t="s">
        <v>2503</v>
      </c>
      <c r="D116" s="9" t="s">
        <v>2504</v>
      </c>
    </row>
    <row r="117" spans="1:4" x14ac:dyDescent="0.3">
      <c r="A117" t="s">
        <v>2551</v>
      </c>
      <c r="B117" s="20" t="s">
        <v>2545</v>
      </c>
      <c r="C117" s="188"/>
      <c r="D117" t="s">
        <v>3140</v>
      </c>
    </row>
    <row r="118" spans="1:4" x14ac:dyDescent="0.3">
      <c r="A118" t="s">
        <v>2528</v>
      </c>
      <c r="B118" s="20" t="s">
        <v>2524</v>
      </c>
      <c r="C118" s="181"/>
      <c r="D118" t="s">
        <v>3141</v>
      </c>
    </row>
    <row r="120" spans="1:4" x14ac:dyDescent="0.3">
      <c r="A120" s="42" t="s">
        <v>3142</v>
      </c>
      <c r="B120" s="169"/>
      <c r="C120" s="159"/>
      <c r="D120" s="159"/>
    </row>
    <row r="121" spans="1:4" x14ac:dyDescent="0.3">
      <c r="A121" s="9" t="s">
        <v>2501</v>
      </c>
      <c r="B121" s="170" t="s">
        <v>2502</v>
      </c>
      <c r="C121" s="9" t="s">
        <v>2503</v>
      </c>
      <c r="D121" s="9" t="s">
        <v>2504</v>
      </c>
    </row>
    <row r="122" spans="1:4" x14ac:dyDescent="0.3">
      <c r="A122" t="s">
        <v>2547</v>
      </c>
      <c r="B122" s="20" t="s">
        <v>2541</v>
      </c>
      <c r="C122" s="185"/>
      <c r="D122" t="s">
        <v>3143</v>
      </c>
    </row>
    <row r="123" spans="1:4" x14ac:dyDescent="0.3">
      <c r="A123" t="s">
        <v>2527</v>
      </c>
      <c r="B123" s="20" t="s">
        <v>2523</v>
      </c>
      <c r="C123" s="179"/>
      <c r="D123" t="s">
        <v>3144</v>
      </c>
    </row>
    <row r="124" spans="1:4" x14ac:dyDescent="0.3">
      <c r="A124" t="s">
        <v>2529</v>
      </c>
      <c r="B124" s="20" t="s">
        <v>2525</v>
      </c>
      <c r="C124" s="182"/>
      <c r="D124" t="s">
        <v>3145</v>
      </c>
    </row>
    <row r="125" spans="1:4" x14ac:dyDescent="0.3">
      <c r="A125" t="s">
        <v>2519</v>
      </c>
      <c r="B125" s="171" t="s">
        <v>2520</v>
      </c>
      <c r="C125" s="175"/>
      <c r="D125" t="s">
        <v>3146</v>
      </c>
    </row>
    <row r="126" spans="1:4" x14ac:dyDescent="0.3">
      <c r="A126" t="s">
        <v>2526</v>
      </c>
      <c r="B126" s="20" t="s">
        <v>2542</v>
      </c>
      <c r="C126" s="180"/>
      <c r="D126" t="s">
        <v>3147</v>
      </c>
    </row>
    <row r="127" spans="1:4" x14ac:dyDescent="0.3">
      <c r="A127" t="s">
        <v>2506</v>
      </c>
      <c r="B127" s="171" t="s">
        <v>2516</v>
      </c>
      <c r="C127" s="173"/>
      <c r="D127" t="s">
        <v>3148</v>
      </c>
    </row>
    <row r="128" spans="1:4" x14ac:dyDescent="0.3">
      <c r="A128" t="s">
        <v>2512</v>
      </c>
      <c r="B128" s="171" t="s">
        <v>2517</v>
      </c>
      <c r="C128" s="174"/>
      <c r="D128" t="s">
        <v>3149</v>
      </c>
    </row>
    <row r="130" spans="1:4" x14ac:dyDescent="0.3">
      <c r="A130" s="42" t="s">
        <v>2871</v>
      </c>
      <c r="B130" s="169"/>
      <c r="C130" s="159"/>
      <c r="D130" s="159"/>
    </row>
    <row r="131" spans="1:4" x14ac:dyDescent="0.3">
      <c r="A131" s="9" t="s">
        <v>2501</v>
      </c>
      <c r="B131" s="170" t="s">
        <v>2502</v>
      </c>
      <c r="C131" s="9" t="s">
        <v>2503</v>
      </c>
      <c r="D131" s="9" t="s">
        <v>2504</v>
      </c>
    </row>
    <row r="132" spans="1:4" x14ac:dyDescent="0.3">
      <c r="A132" t="s">
        <v>2527</v>
      </c>
      <c r="B132" s="20" t="s">
        <v>2523</v>
      </c>
      <c r="C132" s="179"/>
      <c r="D132" t="s">
        <v>2872</v>
      </c>
    </row>
    <row r="133" spans="1:4" x14ac:dyDescent="0.3">
      <c r="A133" t="s">
        <v>2519</v>
      </c>
      <c r="B133" s="171" t="s">
        <v>2520</v>
      </c>
      <c r="C133" s="175"/>
      <c r="D133" t="s">
        <v>2873</v>
      </c>
    </row>
    <row r="134" spans="1:4" x14ac:dyDescent="0.3">
      <c r="A134" t="s">
        <v>2513</v>
      </c>
      <c r="B134" s="171" t="s">
        <v>2514</v>
      </c>
      <c r="C134" s="167"/>
      <c r="D134" t="s">
        <v>2567</v>
      </c>
    </row>
    <row r="135" spans="1:4" x14ac:dyDescent="0.3">
      <c r="B135" s="171"/>
    </row>
    <row r="136" spans="1:4" x14ac:dyDescent="0.3">
      <c r="A136" s="42" t="s">
        <v>2910</v>
      </c>
      <c r="B136" s="169"/>
      <c r="C136" s="159"/>
      <c r="D136" s="159"/>
    </row>
    <row r="137" spans="1:4" x14ac:dyDescent="0.3">
      <c r="A137" s="9" t="s">
        <v>2501</v>
      </c>
      <c r="B137" s="170" t="s">
        <v>2502</v>
      </c>
      <c r="C137" s="9" t="s">
        <v>2503</v>
      </c>
      <c r="D137" s="9" t="s">
        <v>2504</v>
      </c>
    </row>
    <row r="138" spans="1:4" x14ac:dyDescent="0.3">
      <c r="A138" t="s">
        <v>2512</v>
      </c>
      <c r="B138" s="171" t="s">
        <v>2517</v>
      </c>
      <c r="C138" s="174"/>
      <c r="D138" t="s">
        <v>2911</v>
      </c>
    </row>
    <row r="139" spans="1:4" x14ac:dyDescent="0.3">
      <c r="A139" t="s">
        <v>2551</v>
      </c>
      <c r="B139" s="20" t="s">
        <v>2545</v>
      </c>
      <c r="C139" s="188"/>
      <c r="D139" t="s">
        <v>2912</v>
      </c>
    </row>
    <row r="140" spans="1:4" x14ac:dyDescent="0.3">
      <c r="A140" t="s">
        <v>2529</v>
      </c>
      <c r="B140" s="20" t="s">
        <v>2525</v>
      </c>
      <c r="C140" s="182"/>
      <c r="D140" t="s">
        <v>2913</v>
      </c>
    </row>
    <row r="141" spans="1:4" x14ac:dyDescent="0.3">
      <c r="A141" t="s">
        <v>2513</v>
      </c>
      <c r="B141" s="171" t="s">
        <v>2514</v>
      </c>
      <c r="C141" s="167"/>
      <c r="D141" t="s">
        <v>2567</v>
      </c>
    </row>
    <row r="143" spans="1:4" x14ac:dyDescent="0.3">
      <c r="A143" s="42" t="s">
        <v>2569</v>
      </c>
      <c r="B143" s="169"/>
      <c r="C143" s="159"/>
      <c r="D143" s="159"/>
    </row>
    <row r="144" spans="1:4" x14ac:dyDescent="0.3">
      <c r="A144" s="9" t="s">
        <v>2501</v>
      </c>
      <c r="B144" s="170" t="s">
        <v>2502</v>
      </c>
      <c r="C144" s="9" t="s">
        <v>2503</v>
      </c>
      <c r="D144" s="9" t="s">
        <v>2504</v>
      </c>
    </row>
    <row r="145" spans="1:4" x14ac:dyDescent="0.3">
      <c r="A145" t="s">
        <v>2513</v>
      </c>
      <c r="B145" s="171" t="s">
        <v>2514</v>
      </c>
      <c r="C145" s="167"/>
      <c r="D145" t="s">
        <v>2570</v>
      </c>
    </row>
    <row r="146" spans="1:4" x14ac:dyDescent="0.3">
      <c r="A146" t="s">
        <v>2527</v>
      </c>
      <c r="B146" s="20" t="s">
        <v>2523</v>
      </c>
      <c r="C146" s="179"/>
      <c r="D146" t="s">
        <v>2571</v>
      </c>
    </row>
    <row r="147" spans="1:4" x14ac:dyDescent="0.3">
      <c r="A147" t="s">
        <v>2529</v>
      </c>
      <c r="B147" s="20" t="s">
        <v>2525</v>
      </c>
      <c r="C147" s="182"/>
      <c r="D147" t="s">
        <v>2663</v>
      </c>
    </row>
    <row r="148" spans="1:4" x14ac:dyDescent="0.3">
      <c r="A148" t="s">
        <v>2528</v>
      </c>
      <c r="B148" s="20" t="s">
        <v>2524</v>
      </c>
      <c r="C148" s="181"/>
      <c r="D148" t="s">
        <v>2572</v>
      </c>
    </row>
    <row r="149" spans="1:4" x14ac:dyDescent="0.3">
      <c r="A149" t="s">
        <v>2526</v>
      </c>
      <c r="B149" s="20" t="s">
        <v>2542</v>
      </c>
      <c r="C149" s="180"/>
      <c r="D149" t="s">
        <v>2573</v>
      </c>
    </row>
    <row r="150" spans="1:4" x14ac:dyDescent="0.3">
      <c r="A150" t="s">
        <v>2506</v>
      </c>
      <c r="B150" s="171" t="s">
        <v>2516</v>
      </c>
      <c r="C150" s="173"/>
      <c r="D150" t="s">
        <v>2574</v>
      </c>
    </row>
    <row r="151" spans="1:4" x14ac:dyDescent="0.3">
      <c r="A151" t="s">
        <v>2512</v>
      </c>
      <c r="B151" s="171" t="s">
        <v>2517</v>
      </c>
      <c r="C151" s="174"/>
      <c r="D151" t="s">
        <v>2575</v>
      </c>
    </row>
    <row r="152" spans="1:4" x14ac:dyDescent="0.3">
      <c r="A152" t="s">
        <v>2519</v>
      </c>
      <c r="B152" s="171" t="s">
        <v>2520</v>
      </c>
      <c r="C152" s="175"/>
      <c r="D152" t="s">
        <v>2576</v>
      </c>
    </row>
    <row r="153" spans="1:4" x14ac:dyDescent="0.3">
      <c r="A153" t="s">
        <v>2511</v>
      </c>
      <c r="B153" s="20" t="s">
        <v>2522</v>
      </c>
      <c r="C153" s="178"/>
      <c r="D153" t="s">
        <v>2577</v>
      </c>
    </row>
    <row r="155" spans="1:4" x14ac:dyDescent="0.3">
      <c r="A155" s="42" t="s">
        <v>2568</v>
      </c>
      <c r="B155" s="169"/>
      <c r="C155" s="159"/>
      <c r="D155" s="159"/>
    </row>
    <row r="156" spans="1:4" x14ac:dyDescent="0.3">
      <c r="A156" s="9" t="s">
        <v>2501</v>
      </c>
      <c r="B156" s="170" t="s">
        <v>2502</v>
      </c>
      <c r="C156" s="9" t="s">
        <v>2503</v>
      </c>
      <c r="D156" s="9" t="s">
        <v>2504</v>
      </c>
    </row>
    <row r="157" spans="1:4" x14ac:dyDescent="0.3">
      <c r="A157" t="s">
        <v>2519</v>
      </c>
      <c r="B157" s="171" t="s">
        <v>2520</v>
      </c>
      <c r="C157" s="175"/>
      <c r="D157" t="s">
        <v>2681</v>
      </c>
    </row>
    <row r="158" spans="1:4" x14ac:dyDescent="0.3">
      <c r="A158" t="s">
        <v>2526</v>
      </c>
      <c r="B158" s="20" t="s">
        <v>2542</v>
      </c>
      <c r="C158" s="180"/>
      <c r="D158" t="s">
        <v>2682</v>
      </c>
    </row>
    <row r="159" spans="1:4" x14ac:dyDescent="0.3">
      <c r="A159" t="s">
        <v>2512</v>
      </c>
      <c r="B159" s="171" t="s">
        <v>2517</v>
      </c>
      <c r="C159" s="174"/>
      <c r="D159" t="s">
        <v>2672</v>
      </c>
    </row>
    <row r="160" spans="1:4" x14ac:dyDescent="0.3">
      <c r="A160" t="s">
        <v>2527</v>
      </c>
      <c r="B160" s="20" t="s">
        <v>2523</v>
      </c>
      <c r="C160" s="179"/>
      <c r="D160" t="s">
        <v>2673</v>
      </c>
    </row>
    <row r="161" spans="1:4" x14ac:dyDescent="0.3">
      <c r="A161" t="s">
        <v>2513</v>
      </c>
      <c r="B161" s="171" t="s">
        <v>2514</v>
      </c>
      <c r="C161" s="167"/>
      <c r="D161" t="s">
        <v>2567</v>
      </c>
    </row>
    <row r="163" spans="1:4" x14ac:dyDescent="0.3">
      <c r="A163" s="42" t="s">
        <v>2505</v>
      </c>
      <c r="B163" s="169"/>
      <c r="C163" s="159"/>
      <c r="D163" s="159"/>
    </row>
    <row r="164" spans="1:4" x14ac:dyDescent="0.3">
      <c r="A164" s="9" t="s">
        <v>2501</v>
      </c>
      <c r="B164" s="170" t="s">
        <v>2502</v>
      </c>
      <c r="C164" s="9" t="s">
        <v>2503</v>
      </c>
      <c r="D164" s="9" t="s">
        <v>2504</v>
      </c>
    </row>
    <row r="165" spans="1:4" x14ac:dyDescent="0.3">
      <c r="A165" t="s">
        <v>2526</v>
      </c>
      <c r="B165" s="20" t="s">
        <v>2542</v>
      </c>
      <c r="C165" s="180"/>
      <c r="D165" t="s">
        <v>2245</v>
      </c>
    </row>
    <row r="166" spans="1:4" x14ac:dyDescent="0.3">
      <c r="A166" t="s">
        <v>2506</v>
      </c>
      <c r="B166" s="171" t="s">
        <v>2516</v>
      </c>
      <c r="C166" s="173"/>
      <c r="D166" t="s">
        <v>2247</v>
      </c>
    </row>
    <row r="167" spans="1:4" x14ac:dyDescent="0.3">
      <c r="A167" t="s">
        <v>2512</v>
      </c>
      <c r="B167" s="171" t="s">
        <v>2517</v>
      </c>
      <c r="C167" s="174"/>
      <c r="D167" t="s">
        <v>2246</v>
      </c>
    </row>
    <row r="168" spans="1:4" x14ac:dyDescent="0.3">
      <c r="A168" t="s">
        <v>2511</v>
      </c>
      <c r="B168" s="20" t="s">
        <v>2522</v>
      </c>
      <c r="C168" s="176"/>
      <c r="D168" t="s">
        <v>2508</v>
      </c>
    </row>
    <row r="169" spans="1:4" x14ac:dyDescent="0.3">
      <c r="A169" t="s">
        <v>2527</v>
      </c>
      <c r="B169" s="20" t="s">
        <v>2523</v>
      </c>
      <c r="C169" s="179"/>
      <c r="D169" t="s">
        <v>2509</v>
      </c>
    </row>
    <row r="170" spans="1:4" x14ac:dyDescent="0.3">
      <c r="A170" t="s">
        <v>2513</v>
      </c>
      <c r="B170" s="171" t="s">
        <v>2514</v>
      </c>
      <c r="C170" s="167"/>
      <c r="D170" t="s">
        <v>2248</v>
      </c>
    </row>
    <row r="171" spans="1:4" x14ac:dyDescent="0.3">
      <c r="A171" t="s">
        <v>2519</v>
      </c>
      <c r="B171" s="171" t="s">
        <v>2520</v>
      </c>
      <c r="C171" s="175"/>
      <c r="D171" t="s">
        <v>2518</v>
      </c>
    </row>
    <row r="173" spans="1:4" x14ac:dyDescent="0.3">
      <c r="A173" s="42" t="s">
        <v>2552</v>
      </c>
      <c r="B173" s="169"/>
      <c r="C173" s="159"/>
      <c r="D173" s="159"/>
    </row>
    <row r="174" spans="1:4" x14ac:dyDescent="0.3">
      <c r="A174" s="9" t="s">
        <v>2501</v>
      </c>
      <c r="B174" s="170" t="s">
        <v>2502</v>
      </c>
      <c r="C174" s="9" t="s">
        <v>2503</v>
      </c>
      <c r="D174" s="9" t="s">
        <v>2504</v>
      </c>
    </row>
    <row r="175" spans="1:4" x14ac:dyDescent="0.3">
      <c r="A175" t="s">
        <v>2512</v>
      </c>
      <c r="B175" s="171" t="s">
        <v>2517</v>
      </c>
      <c r="C175" s="174"/>
      <c r="D175" t="s">
        <v>143</v>
      </c>
    </row>
    <row r="176" spans="1:4" x14ac:dyDescent="0.3">
      <c r="A176" t="s">
        <v>2500</v>
      </c>
      <c r="B176" s="172" t="s">
        <v>2507</v>
      </c>
      <c r="C176" s="168"/>
      <c r="D176" t="s">
        <v>2554</v>
      </c>
    </row>
    <row r="177" spans="1:4" x14ac:dyDescent="0.3">
      <c r="A177" t="s">
        <v>2551</v>
      </c>
      <c r="B177" s="20" t="s">
        <v>2545</v>
      </c>
      <c r="C177" s="188"/>
      <c r="D177" t="s">
        <v>2561</v>
      </c>
    </row>
    <row r="178" spans="1:4" x14ac:dyDescent="0.3">
      <c r="A178" t="s">
        <v>2519</v>
      </c>
      <c r="B178" s="171" t="s">
        <v>2520</v>
      </c>
      <c r="C178" s="175"/>
      <c r="D178" t="s">
        <v>2555</v>
      </c>
    </row>
    <row r="179" spans="1:4" x14ac:dyDescent="0.3">
      <c r="A179" t="s">
        <v>2528</v>
      </c>
      <c r="B179" s="20" t="s">
        <v>2524</v>
      </c>
      <c r="C179" s="181"/>
      <c r="D179" t="s">
        <v>2556</v>
      </c>
    </row>
    <row r="180" spans="1:4" x14ac:dyDescent="0.3">
      <c r="A180" t="s">
        <v>2527</v>
      </c>
      <c r="B180" s="20" t="s">
        <v>2523</v>
      </c>
      <c r="C180" s="179"/>
      <c r="D180" t="s">
        <v>2557</v>
      </c>
    </row>
    <row r="181" spans="1:4" x14ac:dyDescent="0.3">
      <c r="A181" t="s">
        <v>2546</v>
      </c>
      <c r="B181" s="20" t="s">
        <v>2543</v>
      </c>
      <c r="C181" s="187"/>
      <c r="D181" t="s">
        <v>2558</v>
      </c>
    </row>
    <row r="182" spans="1:4" x14ac:dyDescent="0.3">
      <c r="A182" t="s">
        <v>2513</v>
      </c>
      <c r="B182" s="171" t="s">
        <v>2514</v>
      </c>
      <c r="C182" s="167"/>
      <c r="D182" t="s">
        <v>2562</v>
      </c>
    </row>
    <row r="183" spans="1:4" x14ac:dyDescent="0.3">
      <c r="A183" t="s">
        <v>2526</v>
      </c>
      <c r="B183" s="20" t="s">
        <v>2542</v>
      </c>
      <c r="C183" s="180"/>
      <c r="D183" t="s">
        <v>2344</v>
      </c>
    </row>
    <row r="184" spans="1:4" x14ac:dyDescent="0.3">
      <c r="A184" t="s">
        <v>2529</v>
      </c>
      <c r="B184" s="20" t="s">
        <v>2525</v>
      </c>
      <c r="C184" s="182"/>
      <c r="D184" t="s">
        <v>3116</v>
      </c>
    </row>
    <row r="185" spans="1:4" x14ac:dyDescent="0.3">
      <c r="A185" t="s">
        <v>2506</v>
      </c>
      <c r="B185" s="171" t="s">
        <v>2516</v>
      </c>
      <c r="C185" s="173"/>
      <c r="D185" t="s">
        <v>2553</v>
      </c>
    </row>
    <row r="187" spans="1:4" x14ac:dyDescent="0.3">
      <c r="A187" s="42" t="s">
        <v>2578</v>
      </c>
      <c r="B187" s="169"/>
      <c r="C187" s="159"/>
      <c r="D187" s="159"/>
    </row>
    <row r="188" spans="1:4" x14ac:dyDescent="0.3">
      <c r="A188" s="9" t="s">
        <v>2501</v>
      </c>
      <c r="B188" s="170" t="s">
        <v>2502</v>
      </c>
      <c r="C188" s="9" t="s">
        <v>2503</v>
      </c>
      <c r="D188" s="9" t="s">
        <v>2504</v>
      </c>
    </row>
    <row r="189" spans="1:4" x14ac:dyDescent="0.3">
      <c r="A189" t="s">
        <v>2506</v>
      </c>
      <c r="B189" s="171" t="s">
        <v>2516</v>
      </c>
      <c r="C189" s="173"/>
      <c r="D189" t="s">
        <v>2759</v>
      </c>
    </row>
    <row r="190" spans="1:4" x14ac:dyDescent="0.3">
      <c r="A190" t="s">
        <v>2512</v>
      </c>
      <c r="B190" s="171" t="s">
        <v>2517</v>
      </c>
      <c r="C190" s="174"/>
      <c r="D190" t="s">
        <v>3027</v>
      </c>
    </row>
    <row r="191" spans="1:4" x14ac:dyDescent="0.3">
      <c r="A191" t="s">
        <v>2511</v>
      </c>
      <c r="B191" s="20" t="s">
        <v>2522</v>
      </c>
      <c r="C191" s="176"/>
      <c r="D191" t="s">
        <v>3028</v>
      </c>
    </row>
    <row r="192" spans="1:4" x14ac:dyDescent="0.3">
      <c r="A192" t="s">
        <v>2547</v>
      </c>
      <c r="B192" s="20" t="s">
        <v>2541</v>
      </c>
      <c r="C192" s="185"/>
      <c r="D192" t="s">
        <v>3029</v>
      </c>
    </row>
    <row r="193" spans="1:4" x14ac:dyDescent="0.3">
      <c r="A193" t="s">
        <v>2548</v>
      </c>
      <c r="B193" s="20" t="s">
        <v>2368</v>
      </c>
      <c r="C193" s="184"/>
      <c r="D193" t="s">
        <v>3030</v>
      </c>
    </row>
    <row r="194" spans="1:4" x14ac:dyDescent="0.3">
      <c r="A194" t="s">
        <v>2519</v>
      </c>
      <c r="B194" s="171" t="s">
        <v>2520</v>
      </c>
      <c r="C194" s="175"/>
      <c r="D194" t="s">
        <v>3031</v>
      </c>
    </row>
    <row r="195" spans="1:4" x14ac:dyDescent="0.3">
      <c r="A195" t="s">
        <v>2528</v>
      </c>
      <c r="B195" s="20" t="s">
        <v>2524</v>
      </c>
      <c r="C195" s="181"/>
      <c r="D195" t="s">
        <v>3032</v>
      </c>
    </row>
    <row r="196" spans="1:4" x14ac:dyDescent="0.3">
      <c r="A196" t="s">
        <v>2513</v>
      </c>
      <c r="B196" s="171" t="s">
        <v>2514</v>
      </c>
      <c r="C196" s="167"/>
      <c r="D196" t="s">
        <v>3033</v>
      </c>
    </row>
    <row r="197" spans="1:4" x14ac:dyDescent="0.3">
      <c r="A197" t="s">
        <v>2526</v>
      </c>
      <c r="B197" s="20" t="s">
        <v>2542</v>
      </c>
      <c r="C197" s="180"/>
      <c r="D197" t="s">
        <v>2579</v>
      </c>
    </row>
    <row r="198" spans="1:4" x14ac:dyDescent="0.3">
      <c r="A198" t="s">
        <v>2550</v>
      </c>
      <c r="B198" s="20" t="s">
        <v>2544</v>
      </c>
      <c r="C198" s="186"/>
      <c r="D198" t="s">
        <v>3034</v>
      </c>
    </row>
    <row r="199" spans="1:4" x14ac:dyDescent="0.3">
      <c r="A199" t="s">
        <v>2593</v>
      </c>
      <c r="B199" s="171" t="s">
        <v>2595</v>
      </c>
      <c r="C199" s="189"/>
      <c r="D199" t="s">
        <v>3035</v>
      </c>
    </row>
    <row r="200" spans="1:4" x14ac:dyDescent="0.3">
      <c r="A200" t="s">
        <v>2546</v>
      </c>
      <c r="B200" s="20" t="s">
        <v>2543</v>
      </c>
      <c r="C200" s="187"/>
      <c r="D200" t="s">
        <v>3036</v>
      </c>
    </row>
    <row r="201" spans="1:4" x14ac:dyDescent="0.3">
      <c r="A201" t="s">
        <v>2500</v>
      </c>
      <c r="B201" s="172" t="s">
        <v>2507</v>
      </c>
      <c r="C201" s="168"/>
      <c r="D201" t="s">
        <v>2580</v>
      </c>
    </row>
    <row r="202" spans="1:4" x14ac:dyDescent="0.3">
      <c r="A202" t="s">
        <v>2527</v>
      </c>
      <c r="B202" s="20" t="s">
        <v>2523</v>
      </c>
      <c r="C202" s="179"/>
      <c r="D202" t="s">
        <v>3037</v>
      </c>
    </row>
    <row r="203" spans="1:4" x14ac:dyDescent="0.3">
      <c r="A203" t="s">
        <v>2594</v>
      </c>
      <c r="B203" s="171">
        <v>740000</v>
      </c>
      <c r="C203" s="190"/>
      <c r="D203" t="s">
        <v>3038</v>
      </c>
    </row>
    <row r="204" spans="1:4" x14ac:dyDescent="0.3">
      <c r="A204" t="s">
        <v>2529</v>
      </c>
      <c r="B204" s="20" t="s">
        <v>2525</v>
      </c>
      <c r="C204" s="182"/>
      <c r="D204" t="s">
        <v>3039</v>
      </c>
    </row>
    <row r="205" spans="1:4" x14ac:dyDescent="0.3">
      <c r="A205" t="s">
        <v>2536</v>
      </c>
      <c r="B205" s="20" t="s">
        <v>2535</v>
      </c>
      <c r="C205" s="183"/>
      <c r="D205" t="s">
        <v>3040</v>
      </c>
    </row>
    <row r="206" spans="1:4" x14ac:dyDescent="0.3">
      <c r="A206" t="s">
        <v>2551</v>
      </c>
      <c r="B206" s="20" t="s">
        <v>2545</v>
      </c>
      <c r="C206" s="188"/>
      <c r="D206" t="s">
        <v>3041</v>
      </c>
    </row>
    <row r="207" spans="1:4" x14ac:dyDescent="0.3">
      <c r="A207" t="s">
        <v>2510</v>
      </c>
      <c r="B207" s="171" t="s">
        <v>2515</v>
      </c>
      <c r="C207" s="177"/>
      <c r="D207" t="s">
        <v>3042</v>
      </c>
    </row>
    <row r="208" spans="1:4" x14ac:dyDescent="0.3">
      <c r="A208" t="s">
        <v>3054</v>
      </c>
      <c r="B208" s="204" t="s">
        <v>3047</v>
      </c>
      <c r="C208" s="203"/>
      <c r="D208" t="s">
        <v>3043</v>
      </c>
    </row>
    <row r="209" spans="1:4" x14ac:dyDescent="0.3">
      <c r="A209" t="s">
        <v>3051</v>
      </c>
      <c r="B209" s="171" t="s">
        <v>3048</v>
      </c>
      <c r="C209" s="205"/>
      <c r="D209" t="s">
        <v>3044</v>
      </c>
    </row>
    <row r="210" spans="1:4" x14ac:dyDescent="0.3">
      <c r="A210" t="s">
        <v>3052</v>
      </c>
      <c r="B210" t="s">
        <v>3049</v>
      </c>
      <c r="C210" s="206"/>
      <c r="D210" t="s">
        <v>3045</v>
      </c>
    </row>
    <row r="211" spans="1:4" x14ac:dyDescent="0.3">
      <c r="A211" t="s">
        <v>3053</v>
      </c>
      <c r="B211" s="17" t="s">
        <v>3050</v>
      </c>
      <c r="C211" s="207"/>
      <c r="D211" t="s">
        <v>3046</v>
      </c>
    </row>
    <row r="213" spans="1:4" x14ac:dyDescent="0.3">
      <c r="A213" s="42" t="s">
        <v>2581</v>
      </c>
      <c r="B213" s="169"/>
      <c r="C213" s="159"/>
      <c r="D213" s="159"/>
    </row>
    <row r="214" spans="1:4" x14ac:dyDescent="0.3">
      <c r="A214" s="9" t="s">
        <v>2501</v>
      </c>
      <c r="B214" s="170" t="s">
        <v>2502</v>
      </c>
      <c r="C214" s="9" t="s">
        <v>2503</v>
      </c>
      <c r="D214" s="9" t="s">
        <v>2504</v>
      </c>
    </row>
    <row r="215" spans="1:4" x14ac:dyDescent="0.3">
      <c r="A215" t="s">
        <v>2513</v>
      </c>
      <c r="B215" s="171" t="s">
        <v>2514</v>
      </c>
      <c r="C215" s="167"/>
      <c r="D215" t="s">
        <v>126</v>
      </c>
    </row>
    <row r="216" spans="1:4" x14ac:dyDescent="0.3">
      <c r="A216" t="s">
        <v>2519</v>
      </c>
      <c r="B216" s="171" t="s">
        <v>2520</v>
      </c>
      <c r="C216" s="175"/>
      <c r="D216" t="s">
        <v>125</v>
      </c>
    </row>
    <row r="217" spans="1:4" x14ac:dyDescent="0.3">
      <c r="A217" t="s">
        <v>2526</v>
      </c>
      <c r="B217" s="20" t="s">
        <v>2542</v>
      </c>
      <c r="C217" s="180"/>
      <c r="D217" t="s">
        <v>124</v>
      </c>
    </row>
    <row r="218" spans="1:4" x14ac:dyDescent="0.3">
      <c r="A218" t="s">
        <v>2527</v>
      </c>
      <c r="B218" s="20" t="s">
        <v>2523</v>
      </c>
      <c r="C218" s="179"/>
      <c r="D218" t="s">
        <v>122</v>
      </c>
    </row>
    <row r="219" spans="1:4" x14ac:dyDescent="0.3">
      <c r="A219" t="s">
        <v>2512</v>
      </c>
      <c r="B219" s="171" t="s">
        <v>2517</v>
      </c>
      <c r="C219" s="174"/>
      <c r="D219" t="s">
        <v>121</v>
      </c>
    </row>
    <row r="221" spans="1:4" x14ac:dyDescent="0.3">
      <c r="A221" s="42" t="s">
        <v>2582</v>
      </c>
      <c r="B221" s="169"/>
      <c r="C221" s="159"/>
      <c r="D221" s="159"/>
    </row>
    <row r="222" spans="1:4" x14ac:dyDescent="0.3">
      <c r="A222" s="9" t="s">
        <v>2501</v>
      </c>
      <c r="B222" s="170" t="s">
        <v>2502</v>
      </c>
      <c r="C222" s="9" t="s">
        <v>2503</v>
      </c>
      <c r="D222" s="9" t="s">
        <v>2504</v>
      </c>
    </row>
    <row r="223" spans="1:4" x14ac:dyDescent="0.3">
      <c r="A223" t="s">
        <v>2500</v>
      </c>
      <c r="B223" s="172" t="s">
        <v>2507</v>
      </c>
      <c r="C223" s="168"/>
      <c r="D223" t="s">
        <v>164</v>
      </c>
    </row>
    <row r="224" spans="1:4" x14ac:dyDescent="0.3">
      <c r="A224" t="s">
        <v>2519</v>
      </c>
      <c r="B224" s="171" t="s">
        <v>2520</v>
      </c>
      <c r="C224" s="175"/>
      <c r="D224" t="s">
        <v>279</v>
      </c>
    </row>
    <row r="225" spans="1:4" x14ac:dyDescent="0.3">
      <c r="A225" t="s">
        <v>2506</v>
      </c>
      <c r="B225" s="171" t="s">
        <v>2516</v>
      </c>
      <c r="C225" s="173"/>
      <c r="D225" t="s">
        <v>280</v>
      </c>
    </row>
    <row r="227" spans="1:4" x14ac:dyDescent="0.3">
      <c r="A227" s="42" t="s">
        <v>2621</v>
      </c>
      <c r="B227" s="169"/>
      <c r="C227" s="159"/>
      <c r="D227" s="159"/>
    </row>
    <row r="228" spans="1:4" x14ac:dyDescent="0.3">
      <c r="A228" s="9" t="s">
        <v>2501</v>
      </c>
      <c r="B228" s="170" t="s">
        <v>2502</v>
      </c>
      <c r="C228" s="9" t="s">
        <v>2503</v>
      </c>
      <c r="D228" s="9" t="s">
        <v>2504</v>
      </c>
    </row>
    <row r="229" spans="1:4" x14ac:dyDescent="0.3">
      <c r="A229" t="s">
        <v>2511</v>
      </c>
      <c r="B229" s="20" t="s">
        <v>2522</v>
      </c>
      <c r="C229" s="176"/>
      <c r="D229" t="s">
        <v>2472</v>
      </c>
    </row>
    <row r="230" spans="1:4" x14ac:dyDescent="0.3">
      <c r="A230" t="s">
        <v>2526</v>
      </c>
      <c r="B230" s="20" t="s">
        <v>2542</v>
      </c>
      <c r="C230" s="180"/>
      <c r="D230" t="s">
        <v>93</v>
      </c>
    </row>
    <row r="231" spans="1:4" x14ac:dyDescent="0.3">
      <c r="A231" t="s">
        <v>2512</v>
      </c>
      <c r="B231" s="171" t="s">
        <v>2517</v>
      </c>
      <c r="C231" s="174"/>
      <c r="D231" t="s">
        <v>87</v>
      </c>
    </row>
    <row r="232" spans="1:4" x14ac:dyDescent="0.3">
      <c r="A232" t="s">
        <v>2546</v>
      </c>
      <c r="B232" s="20" t="s">
        <v>2543</v>
      </c>
      <c r="C232" s="187"/>
      <c r="D232" t="s">
        <v>2622</v>
      </c>
    </row>
    <row r="233" spans="1:4" x14ac:dyDescent="0.3">
      <c r="A233" t="s">
        <v>2527</v>
      </c>
      <c r="B233" s="20" t="s">
        <v>2523</v>
      </c>
      <c r="C233" s="179"/>
      <c r="D233" t="s">
        <v>2623</v>
      </c>
    </row>
    <row r="234" spans="1:4" x14ac:dyDescent="0.3">
      <c r="A234" t="s">
        <v>2519</v>
      </c>
      <c r="B234" s="171" t="s">
        <v>2520</v>
      </c>
      <c r="C234" s="175"/>
      <c r="D234" t="s">
        <v>98</v>
      </c>
    </row>
    <row r="235" spans="1:4" x14ac:dyDescent="0.3">
      <c r="A235" t="s">
        <v>2528</v>
      </c>
      <c r="B235" s="20" t="s">
        <v>2524</v>
      </c>
      <c r="C235" s="181"/>
      <c r="D235" t="s">
        <v>97</v>
      </c>
    </row>
    <row r="236" spans="1:4" x14ac:dyDescent="0.3">
      <c r="A236" t="s">
        <v>2513</v>
      </c>
      <c r="B236" s="171" t="s">
        <v>2514</v>
      </c>
      <c r="C236" s="167"/>
      <c r="D236" t="s">
        <v>96</v>
      </c>
    </row>
    <row r="237" spans="1:4" x14ac:dyDescent="0.3">
      <c r="A237" t="s">
        <v>2506</v>
      </c>
      <c r="B237" s="171" t="s">
        <v>2516</v>
      </c>
      <c r="C237" s="173"/>
      <c r="D237" t="s">
        <v>95</v>
      </c>
    </row>
    <row r="239" spans="1:4" x14ac:dyDescent="0.3">
      <c r="A239" s="42" t="s">
        <v>2626</v>
      </c>
      <c r="B239" s="169"/>
      <c r="C239" s="159"/>
      <c r="D239" s="159"/>
    </row>
    <row r="240" spans="1:4" x14ac:dyDescent="0.3">
      <c r="A240" s="9" t="s">
        <v>2501</v>
      </c>
      <c r="B240" s="170" t="s">
        <v>2502</v>
      </c>
      <c r="C240" s="9" t="s">
        <v>2503</v>
      </c>
      <c r="D240" s="9" t="s">
        <v>2504</v>
      </c>
    </row>
    <row r="241" spans="1:4" x14ac:dyDescent="0.3">
      <c r="A241" t="s">
        <v>2511</v>
      </c>
      <c r="B241" s="20" t="s">
        <v>2522</v>
      </c>
      <c r="C241" s="176"/>
      <c r="D241" t="s">
        <v>2472</v>
      </c>
    </row>
    <row r="242" spans="1:4" x14ac:dyDescent="0.3">
      <c r="A242" t="s">
        <v>2529</v>
      </c>
      <c r="B242" s="20" t="s">
        <v>2525</v>
      </c>
      <c r="C242" s="182"/>
      <c r="D242" t="s">
        <v>2584</v>
      </c>
    </row>
    <row r="243" spans="1:4" x14ac:dyDescent="0.3">
      <c r="A243" t="s">
        <v>2519</v>
      </c>
      <c r="B243" s="171" t="s">
        <v>2520</v>
      </c>
      <c r="C243" s="175"/>
      <c r="D243" t="s">
        <v>92</v>
      </c>
    </row>
    <row r="244" spans="1:4" x14ac:dyDescent="0.3">
      <c r="A244" t="s">
        <v>2526</v>
      </c>
      <c r="B244" s="20" t="s">
        <v>2542</v>
      </c>
      <c r="C244" s="180"/>
      <c r="D244" t="s">
        <v>93</v>
      </c>
    </row>
    <row r="245" spans="1:4" x14ac:dyDescent="0.3">
      <c r="A245" t="s">
        <v>2512</v>
      </c>
      <c r="B245" s="171" t="s">
        <v>2517</v>
      </c>
      <c r="C245" s="174"/>
      <c r="D245" t="s">
        <v>87</v>
      </c>
    </row>
    <row r="246" spans="1:4" x14ac:dyDescent="0.3">
      <c r="A246" t="s">
        <v>2527</v>
      </c>
      <c r="B246" s="20" t="s">
        <v>2523</v>
      </c>
      <c r="C246" s="179"/>
      <c r="D246" t="s">
        <v>2624</v>
      </c>
    </row>
    <row r="247" spans="1:4" x14ac:dyDescent="0.3">
      <c r="A247" t="s">
        <v>2506</v>
      </c>
      <c r="B247" s="171" t="s">
        <v>2516</v>
      </c>
      <c r="C247" s="173"/>
      <c r="D247" t="s">
        <v>446</v>
      </c>
    </row>
    <row r="248" spans="1:4" x14ac:dyDescent="0.3">
      <c r="A248" t="s">
        <v>2593</v>
      </c>
      <c r="B248" s="171" t="s">
        <v>2595</v>
      </c>
      <c r="C248" s="189"/>
      <c r="D248" t="s">
        <v>2592</v>
      </c>
    </row>
    <row r="249" spans="1:4" x14ac:dyDescent="0.3">
      <c r="A249" t="s">
        <v>2594</v>
      </c>
      <c r="B249" s="171">
        <v>740000</v>
      </c>
      <c r="C249" s="190"/>
      <c r="D249" t="s">
        <v>2469</v>
      </c>
    </row>
    <row r="250" spans="1:4" x14ac:dyDescent="0.3">
      <c r="A250" t="s">
        <v>2513</v>
      </c>
      <c r="B250" s="171" t="s">
        <v>2514</v>
      </c>
      <c r="C250" s="167"/>
      <c r="D250" t="s">
        <v>2625</v>
      </c>
    </row>
    <row r="252" spans="1:4" x14ac:dyDescent="0.3">
      <c r="A252" s="42" t="s">
        <v>3514</v>
      </c>
      <c r="B252" s="169"/>
      <c r="C252" s="159"/>
      <c r="D252" s="159"/>
    </row>
    <row r="253" spans="1:4" x14ac:dyDescent="0.3">
      <c r="A253" s="9" t="s">
        <v>2501</v>
      </c>
      <c r="B253" s="170" t="s">
        <v>2502</v>
      </c>
      <c r="C253" s="9" t="s">
        <v>2503</v>
      </c>
      <c r="D253" s="9" t="s">
        <v>2504</v>
      </c>
    </row>
    <row r="254" spans="1:4" x14ac:dyDescent="0.3">
      <c r="A254" t="s">
        <v>2548</v>
      </c>
      <c r="B254" s="20" t="s">
        <v>2368</v>
      </c>
      <c r="C254" s="184"/>
      <c r="D254" t="s">
        <v>3522</v>
      </c>
    </row>
    <row r="255" spans="1:4" x14ac:dyDescent="0.3">
      <c r="A255" t="s">
        <v>2526</v>
      </c>
      <c r="B255" s="20" t="s">
        <v>2542</v>
      </c>
      <c r="C255" s="180"/>
      <c r="D255" t="s">
        <v>3523</v>
      </c>
    </row>
    <row r="256" spans="1:4" x14ac:dyDescent="0.3">
      <c r="A256" t="s">
        <v>2547</v>
      </c>
      <c r="B256" s="20" t="s">
        <v>2541</v>
      </c>
      <c r="C256" s="185"/>
      <c r="D256" t="s">
        <v>3524</v>
      </c>
    </row>
    <row r="257" spans="1:4" x14ac:dyDescent="0.3">
      <c r="A257" t="s">
        <v>2512</v>
      </c>
      <c r="B257" s="171" t="s">
        <v>2517</v>
      </c>
      <c r="C257" s="174"/>
      <c r="D257" t="s">
        <v>3525</v>
      </c>
    </row>
    <row r="258" spans="1:4" x14ac:dyDescent="0.3">
      <c r="A258" t="s">
        <v>2527</v>
      </c>
      <c r="B258" s="20" t="s">
        <v>2523</v>
      </c>
      <c r="C258" s="179"/>
      <c r="D258" t="s">
        <v>3526</v>
      </c>
    </row>
    <row r="259" spans="1:4" x14ac:dyDescent="0.3">
      <c r="A259" t="s">
        <v>2506</v>
      </c>
      <c r="B259" s="171" t="s">
        <v>2516</v>
      </c>
      <c r="C259" s="173"/>
      <c r="D259" t="s">
        <v>3527</v>
      </c>
    </row>
    <row r="260" spans="1:4" x14ac:dyDescent="0.3">
      <c r="A260" t="s">
        <v>2528</v>
      </c>
      <c r="B260" s="20" t="s">
        <v>2524</v>
      </c>
      <c r="C260" s="181"/>
      <c r="D260" t="s">
        <v>3528</v>
      </c>
    </row>
    <row r="261" spans="1:4" x14ac:dyDescent="0.3">
      <c r="A261" t="s">
        <v>2551</v>
      </c>
      <c r="B261" s="20" t="s">
        <v>2545</v>
      </c>
      <c r="C261" s="188"/>
      <c r="D261" t="s">
        <v>3529</v>
      </c>
    </row>
    <row r="263" spans="1:4" x14ac:dyDescent="0.3">
      <c r="A263" s="42" t="s">
        <v>2627</v>
      </c>
      <c r="B263" s="169"/>
      <c r="C263" s="159"/>
      <c r="D263" s="159"/>
    </row>
    <row r="264" spans="1:4" x14ac:dyDescent="0.3">
      <c r="A264" s="9" t="s">
        <v>2501</v>
      </c>
      <c r="B264" s="170" t="s">
        <v>2502</v>
      </c>
      <c r="C264" s="9" t="s">
        <v>2503</v>
      </c>
      <c r="D264" s="9" t="s">
        <v>2504</v>
      </c>
    </row>
    <row r="265" spans="1:4" x14ac:dyDescent="0.3">
      <c r="A265" t="s">
        <v>2511</v>
      </c>
      <c r="B265" s="20" t="s">
        <v>2522</v>
      </c>
      <c r="C265" s="176"/>
      <c r="D265" t="s">
        <v>2472</v>
      </c>
    </row>
    <row r="266" spans="1:4" x14ac:dyDescent="0.3">
      <c r="A266" t="s">
        <v>2506</v>
      </c>
      <c r="B266" s="171" t="s">
        <v>2516</v>
      </c>
      <c r="C266" s="173"/>
      <c r="D266" t="s">
        <v>446</v>
      </c>
    </row>
    <row r="267" spans="1:4" x14ac:dyDescent="0.3">
      <c r="A267" t="s">
        <v>2529</v>
      </c>
      <c r="B267" s="20" t="s">
        <v>2525</v>
      </c>
      <c r="C267" s="182"/>
      <c r="D267" t="s">
        <v>2584</v>
      </c>
    </row>
    <row r="268" spans="1:4" x14ac:dyDescent="0.3">
      <c r="A268" t="s">
        <v>2519</v>
      </c>
      <c r="B268" s="171" t="s">
        <v>2520</v>
      </c>
      <c r="C268" s="175"/>
      <c r="D268" t="s">
        <v>92</v>
      </c>
    </row>
    <row r="269" spans="1:4" x14ac:dyDescent="0.3">
      <c r="A269" t="s">
        <v>2546</v>
      </c>
      <c r="B269" s="20" t="s">
        <v>2543</v>
      </c>
      <c r="C269" s="187"/>
      <c r="D269" t="s">
        <v>2620</v>
      </c>
    </row>
    <row r="270" spans="1:4" x14ac:dyDescent="0.3">
      <c r="A270" t="s">
        <v>2593</v>
      </c>
      <c r="B270" s="171" t="s">
        <v>2595</v>
      </c>
      <c r="C270" s="189"/>
      <c r="D270" t="s">
        <v>2592</v>
      </c>
    </row>
    <row r="271" spans="1:4" x14ac:dyDescent="0.3">
      <c r="A271" t="s">
        <v>2513</v>
      </c>
      <c r="B271" s="171" t="s">
        <v>2514</v>
      </c>
      <c r="C271" s="167"/>
      <c r="D271" t="s">
        <v>2625</v>
      </c>
    </row>
    <row r="272" spans="1:4" x14ac:dyDescent="0.3">
      <c r="A272" t="s">
        <v>2527</v>
      </c>
      <c r="B272" s="20" t="s">
        <v>2523</v>
      </c>
      <c r="C272" s="179"/>
      <c r="D272" t="s">
        <v>2624</v>
      </c>
    </row>
    <row r="273" spans="1:4" x14ac:dyDescent="0.3">
      <c r="A273" t="s">
        <v>2512</v>
      </c>
      <c r="B273" s="171" t="s">
        <v>2517</v>
      </c>
      <c r="C273" s="174"/>
      <c r="D273" t="s">
        <v>87</v>
      </c>
    </row>
    <row r="274" spans="1:4" x14ac:dyDescent="0.3">
      <c r="A274" t="s">
        <v>2526</v>
      </c>
      <c r="B274" s="20" t="s">
        <v>2542</v>
      </c>
      <c r="C274" s="180"/>
      <c r="D274" t="s">
        <v>93</v>
      </c>
    </row>
    <row r="276" spans="1:4" x14ac:dyDescent="0.3">
      <c r="A276" s="42" t="s">
        <v>2601</v>
      </c>
      <c r="B276" s="169"/>
      <c r="C276" s="159"/>
      <c r="D276" s="159"/>
    </row>
    <row r="277" spans="1:4" x14ac:dyDescent="0.3">
      <c r="A277" s="9" t="s">
        <v>2501</v>
      </c>
      <c r="B277" s="170" t="s">
        <v>2502</v>
      </c>
      <c r="C277" s="9" t="s">
        <v>2503</v>
      </c>
      <c r="D277" s="9" t="s">
        <v>2504</v>
      </c>
    </row>
    <row r="278" spans="1:4" x14ac:dyDescent="0.3">
      <c r="A278" t="s">
        <v>2511</v>
      </c>
      <c r="B278" s="20" t="s">
        <v>2522</v>
      </c>
      <c r="C278" s="176"/>
      <c r="D278" t="s">
        <v>436</v>
      </c>
    </row>
    <row r="279" spans="1:4" x14ac:dyDescent="0.3">
      <c r="A279" t="s">
        <v>2550</v>
      </c>
      <c r="B279" s="20" t="s">
        <v>2544</v>
      </c>
      <c r="C279" s="186"/>
      <c r="D279" t="s">
        <v>2471</v>
      </c>
    </row>
    <row r="280" spans="1:4" x14ac:dyDescent="0.3">
      <c r="A280" t="s">
        <v>2519</v>
      </c>
      <c r="B280" s="171" t="s">
        <v>2520</v>
      </c>
      <c r="C280" s="175"/>
      <c r="D280" t="s">
        <v>92</v>
      </c>
    </row>
    <row r="281" spans="1:4" x14ac:dyDescent="0.3">
      <c r="A281" t="s">
        <v>2526</v>
      </c>
      <c r="B281" s="20" t="s">
        <v>2542</v>
      </c>
      <c r="C281" s="180"/>
      <c r="D281" t="s">
        <v>2590</v>
      </c>
    </row>
    <row r="282" spans="1:4" x14ac:dyDescent="0.3">
      <c r="A282" t="s">
        <v>2546</v>
      </c>
      <c r="B282" s="20" t="s">
        <v>2543</v>
      </c>
      <c r="C282" s="187"/>
      <c r="D282" t="s">
        <v>2591</v>
      </c>
    </row>
    <row r="283" spans="1:4" x14ac:dyDescent="0.3">
      <c r="A283" t="s">
        <v>2500</v>
      </c>
      <c r="B283" s="172" t="s">
        <v>2507</v>
      </c>
      <c r="C283" s="168"/>
      <c r="D283" t="s">
        <v>89</v>
      </c>
    </row>
    <row r="284" spans="1:4" x14ac:dyDescent="0.3">
      <c r="A284" t="s">
        <v>2528</v>
      </c>
      <c r="B284" s="20" t="s">
        <v>2524</v>
      </c>
      <c r="C284" s="181"/>
      <c r="D284" t="s">
        <v>88</v>
      </c>
    </row>
    <row r="285" spans="1:4" x14ac:dyDescent="0.3">
      <c r="A285" t="s">
        <v>2512</v>
      </c>
      <c r="B285" s="171" t="s">
        <v>2517</v>
      </c>
      <c r="C285" s="174"/>
      <c r="D285" t="s">
        <v>87</v>
      </c>
    </row>
    <row r="286" spans="1:4" x14ac:dyDescent="0.3">
      <c r="A286" t="s">
        <v>2536</v>
      </c>
      <c r="B286" s="20" t="s">
        <v>2535</v>
      </c>
      <c r="C286" s="183"/>
      <c r="D286" t="s">
        <v>443</v>
      </c>
    </row>
    <row r="287" spans="1:4" x14ac:dyDescent="0.3">
      <c r="A287" t="s">
        <v>2506</v>
      </c>
      <c r="B287" s="171" t="s">
        <v>2516</v>
      </c>
      <c r="C287" s="173"/>
      <c r="D287" t="s">
        <v>446</v>
      </c>
    </row>
    <row r="288" spans="1:4" x14ac:dyDescent="0.3">
      <c r="A288" t="s">
        <v>2594</v>
      </c>
      <c r="B288" s="171">
        <v>740000</v>
      </c>
      <c r="C288" s="190"/>
      <c r="D288" t="s">
        <v>2469</v>
      </c>
    </row>
    <row r="289" spans="1:4" x14ac:dyDescent="0.3">
      <c r="B289" s="171"/>
    </row>
    <row r="290" spans="1:4" x14ac:dyDescent="0.3">
      <c r="A290" s="42" t="s">
        <v>2601</v>
      </c>
      <c r="B290" s="169"/>
      <c r="C290" s="159"/>
      <c r="D290" s="159"/>
    </row>
    <row r="291" spans="1:4" x14ac:dyDescent="0.3">
      <c r="A291" s="9" t="s">
        <v>2501</v>
      </c>
      <c r="B291" s="170" t="s">
        <v>2502</v>
      </c>
      <c r="C291" s="9" t="s">
        <v>2503</v>
      </c>
      <c r="D291" s="9" t="s">
        <v>2504</v>
      </c>
    </row>
    <row r="292" spans="1:4" x14ac:dyDescent="0.3">
      <c r="A292" t="s">
        <v>2511</v>
      </c>
      <c r="B292" s="20" t="s">
        <v>2522</v>
      </c>
      <c r="C292" s="176"/>
      <c r="D292" s="380" t="s">
        <v>2472</v>
      </c>
    </row>
    <row r="293" spans="1:4" x14ac:dyDescent="0.3">
      <c r="A293" t="s">
        <v>2551</v>
      </c>
      <c r="B293" s="20" t="s">
        <v>2545</v>
      </c>
      <c r="C293" s="188"/>
      <c r="D293" t="s">
        <v>2583</v>
      </c>
    </row>
    <row r="294" spans="1:4" x14ac:dyDescent="0.3">
      <c r="A294" t="s">
        <v>2519</v>
      </c>
      <c r="B294" s="171" t="s">
        <v>2520</v>
      </c>
      <c r="C294" s="175"/>
      <c r="D294" t="s">
        <v>92</v>
      </c>
    </row>
    <row r="295" spans="1:4" x14ac:dyDescent="0.3">
      <c r="A295" t="s">
        <v>2513</v>
      </c>
      <c r="B295" s="171" t="s">
        <v>2514</v>
      </c>
      <c r="C295" s="167"/>
      <c r="D295" t="s">
        <v>2638</v>
      </c>
    </row>
    <row r="296" spans="1:4" x14ac:dyDescent="0.3">
      <c r="A296" t="s">
        <v>2512</v>
      </c>
      <c r="B296" s="171" t="s">
        <v>2517</v>
      </c>
      <c r="C296" s="174"/>
      <c r="D296" t="s">
        <v>87</v>
      </c>
    </row>
    <row r="297" spans="1:4" x14ac:dyDescent="0.3">
      <c r="A297" t="s">
        <v>2536</v>
      </c>
      <c r="B297" s="20" t="s">
        <v>2535</v>
      </c>
      <c r="C297" s="183"/>
      <c r="D297" t="s">
        <v>443</v>
      </c>
    </row>
    <row r="298" spans="1:4" x14ac:dyDescent="0.3">
      <c r="A298" t="s">
        <v>2506</v>
      </c>
      <c r="B298" s="171" t="s">
        <v>2516</v>
      </c>
      <c r="C298" s="173"/>
      <c r="D298" t="s">
        <v>446</v>
      </c>
    </row>
    <row r="299" spans="1:4" x14ac:dyDescent="0.3">
      <c r="A299" t="s">
        <v>2594</v>
      </c>
      <c r="B299" s="171">
        <v>740000</v>
      </c>
      <c r="C299" s="190"/>
      <c r="D299" t="s">
        <v>2469</v>
      </c>
    </row>
    <row r="300" spans="1:4" x14ac:dyDescent="0.3">
      <c r="A300" t="s">
        <v>2529</v>
      </c>
      <c r="B300" s="20" t="s">
        <v>2525</v>
      </c>
      <c r="C300" s="182"/>
      <c r="D300" t="s">
        <v>2584</v>
      </c>
    </row>
    <row r="301" spans="1:4" x14ac:dyDescent="0.3">
      <c r="A301" t="s">
        <v>2526</v>
      </c>
      <c r="B301" s="20" t="s">
        <v>2542</v>
      </c>
      <c r="C301" s="180"/>
      <c r="D301" t="s">
        <v>93</v>
      </c>
    </row>
    <row r="302" spans="1:4" x14ac:dyDescent="0.3">
      <c r="B302"/>
    </row>
    <row r="303" spans="1:4" x14ac:dyDescent="0.3">
      <c r="A303" s="42" t="s">
        <v>2751</v>
      </c>
      <c r="B303" s="169"/>
      <c r="C303" s="159"/>
      <c r="D303" s="159"/>
    </row>
    <row r="304" spans="1:4" x14ac:dyDescent="0.3">
      <c r="A304" s="9" t="s">
        <v>2501</v>
      </c>
      <c r="B304" s="170" t="s">
        <v>2502</v>
      </c>
      <c r="C304" s="9" t="s">
        <v>2503</v>
      </c>
      <c r="D304" s="9" t="s">
        <v>2504</v>
      </c>
    </row>
    <row r="305" spans="1:4" x14ac:dyDescent="0.3">
      <c r="A305" t="s">
        <v>2511</v>
      </c>
      <c r="B305" s="20" t="s">
        <v>2522</v>
      </c>
      <c r="C305" s="176"/>
      <c r="D305" t="s">
        <v>2472</v>
      </c>
    </row>
    <row r="306" spans="1:4" x14ac:dyDescent="0.3">
      <c r="A306" t="s">
        <v>2526</v>
      </c>
      <c r="B306" s="20" t="s">
        <v>2542</v>
      </c>
      <c r="C306" s="180"/>
      <c r="D306" t="s">
        <v>93</v>
      </c>
    </row>
    <row r="307" spans="1:4" x14ac:dyDescent="0.3">
      <c r="A307" t="s">
        <v>2529</v>
      </c>
      <c r="B307" s="20" t="s">
        <v>2525</v>
      </c>
      <c r="C307" s="182"/>
      <c r="D307" t="s">
        <v>2584</v>
      </c>
    </row>
    <row r="308" spans="1:4" x14ac:dyDescent="0.3">
      <c r="A308" t="s">
        <v>2550</v>
      </c>
      <c r="B308" s="20" t="s">
        <v>2544</v>
      </c>
      <c r="C308" s="186"/>
      <c r="D308" t="s">
        <v>2471</v>
      </c>
    </row>
    <row r="309" spans="1:4" x14ac:dyDescent="0.3">
      <c r="A309" t="s">
        <v>2551</v>
      </c>
      <c r="B309" s="20" t="s">
        <v>2545</v>
      </c>
      <c r="C309" s="188"/>
      <c r="D309" t="s">
        <v>2583</v>
      </c>
    </row>
    <row r="310" spans="1:4" x14ac:dyDescent="0.3">
      <c r="A310" t="s">
        <v>2519</v>
      </c>
      <c r="B310" s="171" t="s">
        <v>2520</v>
      </c>
      <c r="C310" s="175"/>
      <c r="D310" t="s">
        <v>92</v>
      </c>
    </row>
    <row r="311" spans="1:4" x14ac:dyDescent="0.3">
      <c r="A311" t="s">
        <v>2528</v>
      </c>
      <c r="B311" s="20" t="s">
        <v>2524</v>
      </c>
      <c r="C311" s="181"/>
      <c r="D311" t="s">
        <v>2640</v>
      </c>
    </row>
    <row r="312" spans="1:4" x14ac:dyDescent="0.3">
      <c r="A312" t="s">
        <v>2506</v>
      </c>
      <c r="B312" s="171" t="s">
        <v>2516</v>
      </c>
      <c r="C312" s="173"/>
      <c r="D312" t="s">
        <v>2639</v>
      </c>
    </row>
    <row r="313" spans="1:4" x14ac:dyDescent="0.3">
      <c r="A313" t="s">
        <v>2512</v>
      </c>
      <c r="B313" s="171" t="s">
        <v>2517</v>
      </c>
      <c r="C313" s="174"/>
      <c r="D313" t="s">
        <v>87</v>
      </c>
    </row>
    <row r="314" spans="1:4" x14ac:dyDescent="0.3">
      <c r="A314" t="s">
        <v>2513</v>
      </c>
      <c r="B314" s="171" t="s">
        <v>2514</v>
      </c>
      <c r="C314" s="167"/>
      <c r="D314" t="s">
        <v>2638</v>
      </c>
    </row>
    <row r="315" spans="1:4" x14ac:dyDescent="0.3">
      <c r="A315" t="s">
        <v>2594</v>
      </c>
      <c r="B315" s="171">
        <v>740000</v>
      </c>
      <c r="C315" s="190"/>
      <c r="D315" t="s">
        <v>2469</v>
      </c>
    </row>
    <row r="317" spans="1:4" x14ac:dyDescent="0.3">
      <c r="A317" s="42" t="s">
        <v>3815</v>
      </c>
      <c r="B317" s="169"/>
      <c r="C317" s="159"/>
      <c r="D317" s="159"/>
    </row>
    <row r="318" spans="1:4" x14ac:dyDescent="0.3">
      <c r="A318" s="9" t="s">
        <v>2501</v>
      </c>
      <c r="B318" s="170" t="s">
        <v>2502</v>
      </c>
      <c r="C318" s="9" t="s">
        <v>2503</v>
      </c>
      <c r="D318" s="9" t="s">
        <v>2504</v>
      </c>
    </row>
    <row r="319" spans="1:4" x14ac:dyDescent="0.3">
      <c r="A319" t="s">
        <v>2526</v>
      </c>
      <c r="B319" s="20" t="s">
        <v>2542</v>
      </c>
      <c r="C319" s="180"/>
      <c r="D319" t="s">
        <v>3816</v>
      </c>
    </row>
    <row r="320" spans="1:4" x14ac:dyDescent="0.3">
      <c r="A320" t="s">
        <v>3824</v>
      </c>
      <c r="B320" s="20" t="s">
        <v>3823</v>
      </c>
      <c r="C320" s="159"/>
      <c r="D320" t="s">
        <v>3817</v>
      </c>
    </row>
    <row r="321" spans="1:4" x14ac:dyDescent="0.3">
      <c r="A321" t="s">
        <v>2513</v>
      </c>
      <c r="B321" s="171" t="s">
        <v>2514</v>
      </c>
      <c r="C321" s="167"/>
      <c r="D321" t="s">
        <v>3818</v>
      </c>
    </row>
    <row r="322" spans="1:4" x14ac:dyDescent="0.3">
      <c r="A322" t="s">
        <v>2593</v>
      </c>
      <c r="B322" s="171" t="s">
        <v>2595</v>
      </c>
      <c r="C322" s="189"/>
      <c r="D322" t="s">
        <v>3819</v>
      </c>
    </row>
    <row r="323" spans="1:4" x14ac:dyDescent="0.3">
      <c r="A323" t="s">
        <v>3825</v>
      </c>
      <c r="B323" s="171">
        <v>808080</v>
      </c>
      <c r="C323" s="412"/>
      <c r="D323" t="s">
        <v>3820</v>
      </c>
    </row>
    <row r="324" spans="1:4" x14ac:dyDescent="0.3">
      <c r="A324" t="s">
        <v>2519</v>
      </c>
      <c r="B324" s="171" t="s">
        <v>2520</v>
      </c>
      <c r="C324" s="175"/>
      <c r="D324" t="s">
        <v>3821</v>
      </c>
    </row>
    <row r="325" spans="1:4" x14ac:dyDescent="0.3">
      <c r="A325" t="s">
        <v>2527</v>
      </c>
      <c r="B325" s="20" t="s">
        <v>2523</v>
      </c>
      <c r="C325" s="179"/>
      <c r="D325" t="s">
        <v>3822</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3" sqref="A3:B4"/>
    </sheetView>
  </sheetViews>
  <sheetFormatPr defaultColWidth="8.88671875" defaultRowHeight="14.4" x14ac:dyDescent="0.3"/>
  <cols>
    <col min="1" max="1" width="31.44140625" customWidth="1"/>
    <col min="2" max="2" width="28.109375" customWidth="1"/>
    <col min="3" max="3" width="85.44140625" customWidth="1"/>
  </cols>
  <sheetData>
    <row r="1" spans="1:3" x14ac:dyDescent="0.3">
      <c r="A1" s="42" t="s">
        <v>72</v>
      </c>
      <c r="B1" s="42" t="s">
        <v>73</v>
      </c>
    </row>
    <row r="2" spans="1:3" ht="129.6" x14ac:dyDescent="0.3">
      <c r="A2" t="s">
        <v>3770</v>
      </c>
      <c r="B2" t="s">
        <v>3422</v>
      </c>
      <c r="C2" s="163" t="s">
        <v>3423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A2" sqref="A2:XFD2"/>
    </sheetView>
  </sheetViews>
  <sheetFormatPr defaultColWidth="11.44140625" defaultRowHeight="14.4" x14ac:dyDescent="0.3"/>
  <cols>
    <col min="1" max="1" width="11.109375" customWidth="1"/>
    <col min="2" max="2" width="25.109375" customWidth="1"/>
    <col min="3" max="3" width="10.109375" style="370" customWidth="1"/>
    <col min="4" max="33" width="10.109375" customWidth="1"/>
  </cols>
  <sheetData>
    <row r="1" spans="1:33" x14ac:dyDescent="0.3">
      <c r="A1" s="365" t="s">
        <v>3566</v>
      </c>
      <c r="B1" s="366" t="s">
        <v>3590</v>
      </c>
      <c r="C1" s="369" t="s">
        <v>2503</v>
      </c>
      <c r="D1" s="366">
        <v>2021</v>
      </c>
      <c r="E1" s="366">
        <v>2022</v>
      </c>
      <c r="F1" s="366">
        <v>2023</v>
      </c>
      <c r="G1" s="366">
        <v>2024</v>
      </c>
      <c r="H1" s="366">
        <v>2025</v>
      </c>
      <c r="I1" s="366">
        <v>2026</v>
      </c>
      <c r="J1" s="366">
        <v>2027</v>
      </c>
      <c r="K1" s="366">
        <v>2028</v>
      </c>
      <c r="L1" s="366">
        <v>2029</v>
      </c>
      <c r="M1" s="366">
        <v>2030</v>
      </c>
      <c r="N1" s="366">
        <v>2031</v>
      </c>
      <c r="O1" s="366">
        <v>2032</v>
      </c>
      <c r="P1" s="366">
        <v>2033</v>
      </c>
      <c r="Q1" s="366">
        <v>2034</v>
      </c>
      <c r="R1" s="366">
        <v>2035</v>
      </c>
      <c r="S1" s="366">
        <v>2036</v>
      </c>
      <c r="T1" s="366">
        <v>2037</v>
      </c>
      <c r="U1" s="366">
        <v>2038</v>
      </c>
      <c r="V1" s="366">
        <v>2039</v>
      </c>
      <c r="W1" s="366">
        <v>2040</v>
      </c>
      <c r="X1" s="366">
        <v>2041</v>
      </c>
      <c r="Y1" s="366">
        <v>2042</v>
      </c>
      <c r="Z1" s="366">
        <v>2043</v>
      </c>
      <c r="AA1" s="366">
        <v>2044</v>
      </c>
      <c r="AB1" s="366">
        <v>2045</v>
      </c>
      <c r="AC1" s="366">
        <v>2046</v>
      </c>
      <c r="AD1" s="366">
        <v>2047</v>
      </c>
      <c r="AE1" s="366">
        <v>2048</v>
      </c>
      <c r="AF1" s="366">
        <v>2049</v>
      </c>
      <c r="AG1" s="366">
        <v>2050</v>
      </c>
    </row>
    <row r="2" spans="1:33" x14ac:dyDescent="0.3">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2" sqref="A2:XFD2"/>
    </sheetView>
  </sheetViews>
  <sheetFormatPr defaultColWidth="11.44140625" defaultRowHeight="14.4" x14ac:dyDescent="0.3"/>
  <cols>
    <col min="1" max="1" width="15.88671875" customWidth="1"/>
    <col min="2" max="2" width="39" customWidth="1"/>
    <col min="3" max="3" width="13.109375" customWidth="1"/>
    <col min="4" max="4" width="17.109375" customWidth="1"/>
    <col min="5" max="5" width="16.109375" customWidth="1"/>
    <col min="6" max="6" width="39.109375" customWidth="1"/>
  </cols>
  <sheetData>
    <row r="1" spans="1:6" x14ac:dyDescent="0.3">
      <c r="A1" s="365" t="s">
        <v>3566</v>
      </c>
      <c r="B1" s="366" t="s">
        <v>3567</v>
      </c>
      <c r="C1" s="366" t="s">
        <v>3568</v>
      </c>
      <c r="D1" s="366" t="s">
        <v>3569</v>
      </c>
      <c r="E1" s="366" t="s">
        <v>3570</v>
      </c>
      <c r="F1" s="367" t="s">
        <v>3571</v>
      </c>
    </row>
    <row r="2" spans="1:6" x14ac:dyDescent="0.3">
      <c r="A2" s="1"/>
      <c r="B2" s="1"/>
      <c r="C2" s="1"/>
      <c r="D2" s="5"/>
      <c r="E2" s="5"/>
    </row>
    <row r="3" spans="1:6" x14ac:dyDescent="0.3">
      <c r="A3" s="1"/>
      <c r="B3" s="1"/>
      <c r="C3" s="1"/>
      <c r="D3" s="5"/>
      <c r="E3" s="5"/>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1"/>
  <sheetViews>
    <sheetView workbookViewId="0"/>
  </sheetViews>
  <sheetFormatPr defaultRowHeight="14.4" x14ac:dyDescent="0.3"/>
  <sheetData>
    <row r="1" spans="1:35" x14ac:dyDescent="0.3">
      <c r="A1" t="s">
        <v>3736</v>
      </c>
    </row>
    <row r="2" spans="1:35" x14ac:dyDescent="0.3">
      <c r="A2" t="s">
        <v>3737</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3750</v>
      </c>
    </row>
    <row r="3" spans="1:35" x14ac:dyDescent="0.3">
      <c r="A3" t="s">
        <v>2219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3">
      <c r="A4" t="s">
        <v>3751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3">
      <c r="A5" t="s">
        <v>3752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3">
      <c r="A6" t="s">
        <v>3738</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3">
      <c r="A7" t="s">
        <v>3739</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3">
      <c r="A8" t="s">
        <v>842</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3">
      <c r="A9" t="s">
        <v>843</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3">
      <c r="A10" t="s">
        <v>3753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3">
      <c r="A11" t="s">
        <v>3754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3">
      <c r="A12" t="s">
        <v>3740</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3">
      <c r="A13" t="s">
        <v>3741</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3">
      <c r="A14" t="s">
        <v>3755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3">
      <c r="A15" t="s">
        <v>3756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3">
      <c r="A16" t="s">
        <v>3742</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3">
      <c r="A17" t="s">
        <v>3757</v>
      </c>
    </row>
    <row r="18" spans="1:1" x14ac:dyDescent="0.3">
      <c r="A18" t="s">
        <v>3758</v>
      </c>
    </row>
    <row r="19" spans="1:1" x14ac:dyDescent="0.3">
      <c r="A19" t="s">
        <v>3759</v>
      </c>
    </row>
    <row r="20" spans="1:1" x14ac:dyDescent="0.3">
      <c r="A20" t="s">
        <v>3760</v>
      </c>
    </row>
    <row r="21" spans="1:1" x14ac:dyDescent="0.3">
      <c r="A21" t="s">
        <v>3743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8671875" defaultRowHeight="14.4" x14ac:dyDescent="0.3"/>
  <cols>
    <col min="1" max="1" width="49.44140625" style="1" customWidth="1"/>
    <col min="2" max="2" width="12.88671875" style="1" bestFit="1" customWidth="1"/>
    <col min="3" max="3" width="12.88671875" style="1" customWidth="1"/>
    <col min="4" max="4" width="13.44140625" style="1" customWidth="1"/>
    <col min="5" max="5" width="20.44140625" style="1" customWidth="1"/>
    <col min="7" max="7" width="14" customWidth="1"/>
    <col min="10" max="10" width="9.44140625" bestFit="1" customWidth="1"/>
    <col min="14" max="15" width="12.109375" bestFit="1" customWidth="1"/>
    <col min="16" max="16" width="12.44140625" bestFit="1" customWidth="1"/>
  </cols>
  <sheetData>
    <row r="1" spans="1:8" s="1" customFormat="1" x14ac:dyDescent="0.3">
      <c r="A1" s="3"/>
      <c r="B1" s="200"/>
      <c r="C1" s="200"/>
      <c r="D1" s="200"/>
      <c r="E1" s="3"/>
    </row>
    <row r="2" spans="1:8" ht="15.6" x14ac:dyDescent="0.3">
      <c r="A2" s="414" t="s">
        <v>476</v>
      </c>
      <c r="B2" s="414"/>
      <c r="C2" s="212"/>
      <c r="D2" s="212"/>
      <c r="E2" s="212"/>
      <c r="F2" s="212"/>
      <c r="G2" s="212"/>
      <c r="H2" s="49" t="s">
        <v>477</v>
      </c>
    </row>
    <row r="3" spans="1:8" ht="15.6" x14ac:dyDescent="0.3">
      <c r="A3" s="212" t="s">
        <v>722</v>
      </c>
      <c r="B3" s="212"/>
      <c r="C3" s="212"/>
      <c r="D3" s="212"/>
      <c r="E3" s="212"/>
      <c r="F3" s="212"/>
      <c r="G3" s="212"/>
      <c r="H3" s="49" t="s">
        <v>3399</v>
      </c>
    </row>
    <row r="4" spans="1:8" x14ac:dyDescent="0.3">
      <c r="A4" s="213"/>
      <c r="B4" s="213"/>
      <c r="C4" s="213"/>
      <c r="D4" s="213"/>
      <c r="E4" s="213"/>
      <c r="F4" s="213"/>
      <c r="G4" s="49"/>
      <c r="H4" s="49" t="s">
        <v>478</v>
      </c>
    </row>
    <row r="5" spans="1:8" x14ac:dyDescent="0.3">
      <c r="A5" s="213"/>
      <c r="B5" s="213"/>
      <c r="C5" s="213"/>
      <c r="D5" s="213"/>
      <c r="E5" s="213"/>
      <c r="F5" s="213"/>
      <c r="G5" s="213"/>
      <c r="H5" s="213"/>
    </row>
    <row r="6" spans="1:8" x14ac:dyDescent="0.3">
      <c r="A6" s="415" t="s">
        <v>479</v>
      </c>
      <c r="B6" s="267" t="s">
        <v>480</v>
      </c>
      <c r="C6" s="267" t="s">
        <v>481</v>
      </c>
      <c r="D6" s="267" t="s">
        <v>482</v>
      </c>
      <c r="E6" s="267" t="s">
        <v>483</v>
      </c>
      <c r="F6" s="267" t="s">
        <v>484</v>
      </c>
      <c r="G6" s="267" t="s">
        <v>485</v>
      </c>
      <c r="H6" s="267" t="s">
        <v>486</v>
      </c>
    </row>
    <row r="7" spans="1:8" ht="15" thickBot="1" x14ac:dyDescent="0.35">
      <c r="A7" s="416"/>
      <c r="B7" s="417" t="s">
        <v>487</v>
      </c>
      <c r="C7" s="418"/>
      <c r="D7" s="418"/>
      <c r="E7" s="418"/>
      <c r="F7" s="418"/>
      <c r="G7" s="418"/>
      <c r="H7" s="419"/>
    </row>
    <row r="8" spans="1:8" ht="15" thickTop="1" x14ac:dyDescent="0.3">
      <c r="A8" s="268" t="s">
        <v>488</v>
      </c>
      <c r="B8" s="269">
        <v>5935361.2048846316</v>
      </c>
      <c r="C8" s="269">
        <v>12331.35516763239</v>
      </c>
      <c r="D8" s="269">
        <v>255.41813011993699</v>
      </c>
      <c r="E8" s="269">
        <v>16601.736021301014</v>
      </c>
      <c r="F8" s="269">
        <v>64984.511311122282</v>
      </c>
      <c r="G8" s="269">
        <v>7345.4310275876951</v>
      </c>
      <c r="H8" s="269">
        <v>12364.091048770906</v>
      </c>
    </row>
    <row r="9" spans="1:8" x14ac:dyDescent="0.3">
      <c r="A9" s="270" t="s">
        <v>489</v>
      </c>
      <c r="B9" s="269">
        <v>5894246.3300794624</v>
      </c>
      <c r="C9" s="269">
        <v>474.07141405218891</v>
      </c>
      <c r="D9" s="269">
        <v>255.32625983564566</v>
      </c>
      <c r="E9" s="269">
        <v>16392.841699559172</v>
      </c>
      <c r="F9" s="269">
        <v>64879.039506516223</v>
      </c>
      <c r="G9" s="269">
        <v>6989.45692056402</v>
      </c>
      <c r="H9" s="269">
        <v>12298.979757295287</v>
      </c>
    </row>
    <row r="10" spans="1:8" x14ac:dyDescent="0.3">
      <c r="A10" s="271" t="s">
        <v>490</v>
      </c>
      <c r="B10" s="269">
        <v>2540094.5307982946</v>
      </c>
      <c r="C10" s="269">
        <v>37.656050059714502</v>
      </c>
      <c r="D10" s="269">
        <v>101.32241952488565</v>
      </c>
      <c r="E10" s="269">
        <v>3546.3367720364731</v>
      </c>
      <c r="F10" s="269">
        <v>794.66570664443441</v>
      </c>
      <c r="G10" s="269">
        <v>197.74109991391563</v>
      </c>
      <c r="H10" s="269">
        <v>9554.1507363760447</v>
      </c>
    </row>
    <row r="11" spans="1:8" x14ac:dyDescent="0.3">
      <c r="A11" s="272" t="s">
        <v>491</v>
      </c>
      <c r="B11" s="269">
        <v>2400057.4856406469</v>
      </c>
      <c r="C11" s="269">
        <v>34.823479419570468</v>
      </c>
      <c r="D11" s="269">
        <v>100.86538569159121</v>
      </c>
      <c r="E11" s="273">
        <v>3434.4290996747714</v>
      </c>
      <c r="F11" s="273">
        <v>581.83867235005948</v>
      </c>
      <c r="G11" s="273">
        <v>43.701395420034459</v>
      </c>
      <c r="H11" s="273">
        <v>9439.0432746602182</v>
      </c>
    </row>
    <row r="12" spans="1:8" x14ac:dyDescent="0.3">
      <c r="A12" s="272" t="s">
        <v>492</v>
      </c>
      <c r="B12" s="269">
        <v>94253.062008181601</v>
      </c>
      <c r="C12" s="269">
        <v>1.46027512323081</v>
      </c>
      <c r="D12" s="269">
        <v>0.26593010197444999</v>
      </c>
      <c r="E12" s="273">
        <v>111.9076723617019</v>
      </c>
      <c r="F12" s="273">
        <v>212.82703429437495</v>
      </c>
      <c r="G12" s="273">
        <v>154.03970449388117</v>
      </c>
      <c r="H12" s="273">
        <v>115.10746171582606</v>
      </c>
    </row>
    <row r="13" spans="1:8" x14ac:dyDescent="0.3">
      <c r="A13" s="272" t="s">
        <v>494</v>
      </c>
      <c r="B13" s="269">
        <v>45783.983149465937</v>
      </c>
      <c r="C13" s="269">
        <v>1.37229551691322</v>
      </c>
      <c r="D13" s="269">
        <v>0.19110373131999001</v>
      </c>
      <c r="E13" s="273" t="s">
        <v>495</v>
      </c>
      <c r="F13" s="273" t="s">
        <v>495</v>
      </c>
      <c r="G13" s="273" t="s">
        <v>495</v>
      </c>
      <c r="H13" s="273" t="s">
        <v>495</v>
      </c>
    </row>
    <row r="14" spans="1:8" x14ac:dyDescent="0.3">
      <c r="A14" s="274" t="s">
        <v>496</v>
      </c>
      <c r="B14" s="269">
        <v>711227.52746031829</v>
      </c>
      <c r="C14" s="269">
        <v>66.667583289309391</v>
      </c>
      <c r="D14" s="269">
        <v>9.3662220369597406</v>
      </c>
      <c r="E14" s="269">
        <v>1515.3616266750041</v>
      </c>
      <c r="F14" s="269">
        <v>1044.8381666781022</v>
      </c>
      <c r="G14" s="269">
        <v>120.23413844415886</v>
      </c>
      <c r="H14" s="269">
        <v>1574.0871153371656</v>
      </c>
    </row>
    <row r="15" spans="1:8" x14ac:dyDescent="0.3">
      <c r="A15" s="272" t="s">
        <v>497</v>
      </c>
      <c r="B15" s="269">
        <v>14978.572362155866</v>
      </c>
      <c r="C15" s="269">
        <v>0.23835740177008</v>
      </c>
      <c r="D15" s="269">
        <v>5.0815371746130003E-2</v>
      </c>
      <c r="E15" s="273" t="s">
        <v>495</v>
      </c>
      <c r="F15" s="273" t="s">
        <v>495</v>
      </c>
      <c r="G15" s="273" t="s">
        <v>495</v>
      </c>
      <c r="H15" s="273" t="s">
        <v>495</v>
      </c>
    </row>
    <row r="16" spans="1:8" x14ac:dyDescent="0.3">
      <c r="A16" s="272" t="s">
        <v>498</v>
      </c>
      <c r="B16" s="269">
        <v>5057.2748720254449</v>
      </c>
      <c r="C16" s="269">
        <v>0.25516926930848</v>
      </c>
      <c r="D16" s="269">
        <v>3.8004328346280002E-2</v>
      </c>
      <c r="E16" s="273" t="s">
        <v>495</v>
      </c>
      <c r="F16" s="273" t="s">
        <v>495</v>
      </c>
      <c r="G16" s="273" t="s">
        <v>495</v>
      </c>
      <c r="H16" s="273" t="s">
        <v>495</v>
      </c>
    </row>
    <row r="17" spans="1:8" x14ac:dyDescent="0.3">
      <c r="A17" s="272" t="s">
        <v>499</v>
      </c>
      <c r="B17" s="269">
        <v>67269.957813983725</v>
      </c>
      <c r="C17" s="269">
        <v>1.85662734289529</v>
      </c>
      <c r="D17" s="269">
        <v>0.29458061428601001</v>
      </c>
      <c r="E17" s="273" t="s">
        <v>495</v>
      </c>
      <c r="F17" s="273" t="s">
        <v>495</v>
      </c>
      <c r="G17" s="273" t="s">
        <v>495</v>
      </c>
      <c r="H17" s="273" t="s">
        <v>495</v>
      </c>
    </row>
    <row r="18" spans="1:8" x14ac:dyDescent="0.3">
      <c r="A18" s="272" t="s">
        <v>500</v>
      </c>
      <c r="B18" s="269">
        <v>45070.579654334128</v>
      </c>
      <c r="C18" s="269">
        <v>3.0283235843053902</v>
      </c>
      <c r="D18" s="269">
        <v>0.52839203850651995</v>
      </c>
      <c r="E18" s="273" t="s">
        <v>495</v>
      </c>
      <c r="F18" s="273" t="s">
        <v>495</v>
      </c>
      <c r="G18" s="273" t="s">
        <v>495</v>
      </c>
      <c r="H18" s="273" t="s">
        <v>495</v>
      </c>
    </row>
    <row r="19" spans="1:8" x14ac:dyDescent="0.3">
      <c r="A19" s="272" t="s">
        <v>501</v>
      </c>
      <c r="B19" s="269">
        <v>46357.764227420019</v>
      </c>
      <c r="C19" s="269">
        <v>3.41919088614388</v>
      </c>
      <c r="D19" s="269">
        <v>0.52415757023381004</v>
      </c>
      <c r="E19" s="273" t="s">
        <v>495</v>
      </c>
      <c r="F19" s="273" t="s">
        <v>495</v>
      </c>
      <c r="G19" s="273" t="s">
        <v>495</v>
      </c>
      <c r="H19" s="273" t="s">
        <v>495</v>
      </c>
    </row>
    <row r="20" spans="1:8" x14ac:dyDescent="0.3">
      <c r="A20" s="272" t="s">
        <v>502</v>
      </c>
      <c r="B20" s="269">
        <v>36302.033778109631</v>
      </c>
      <c r="C20" s="269">
        <v>2.4295382607283198</v>
      </c>
      <c r="D20" s="269">
        <v>0.36471649490099001</v>
      </c>
      <c r="E20" s="273" t="s">
        <v>495</v>
      </c>
      <c r="F20" s="273" t="s">
        <v>495</v>
      </c>
      <c r="G20" s="273" t="s">
        <v>495</v>
      </c>
      <c r="H20" s="273" t="s">
        <v>495</v>
      </c>
    </row>
    <row r="21" spans="1:8" x14ac:dyDescent="0.3">
      <c r="A21" s="275" t="s">
        <v>3390</v>
      </c>
      <c r="B21" s="269">
        <v>496191.34475228947</v>
      </c>
      <c r="C21" s="269">
        <v>55.440376544157949</v>
      </c>
      <c r="D21" s="269">
        <v>7.5655556189400004</v>
      </c>
      <c r="E21" s="273">
        <v>1515.3616266750041</v>
      </c>
      <c r="F21" s="273">
        <v>1044.8381666781022</v>
      </c>
      <c r="G21" s="273">
        <v>120.23413844415886</v>
      </c>
      <c r="H21" s="273">
        <v>1574.0871153371656</v>
      </c>
    </row>
    <row r="22" spans="1:8" x14ac:dyDescent="0.3">
      <c r="A22" s="274" t="s">
        <v>503</v>
      </c>
      <c r="B22" s="269">
        <v>1830505.6056332772</v>
      </c>
      <c r="C22" s="269">
        <v>160.28001983992968</v>
      </c>
      <c r="D22" s="269">
        <v>137.97722792661688</v>
      </c>
      <c r="E22" s="269">
        <v>10294.630529494003</v>
      </c>
      <c r="F22" s="269">
        <v>58614.797849139453</v>
      </c>
      <c r="G22" s="269">
        <v>5723.5980346497408</v>
      </c>
      <c r="H22" s="269">
        <v>618.63077203361581</v>
      </c>
    </row>
    <row r="23" spans="1:8" x14ac:dyDescent="0.3">
      <c r="A23" s="272" t="s">
        <v>504</v>
      </c>
      <c r="B23" s="269">
        <v>170713.69036083069</v>
      </c>
      <c r="C23" s="269">
        <v>2.0771880881664</v>
      </c>
      <c r="D23" s="269">
        <v>5.2617344805668296</v>
      </c>
      <c r="E23" s="273">
        <v>40.811932568812999</v>
      </c>
      <c r="F23" s="273">
        <v>207.24271059858924</v>
      </c>
      <c r="G23" s="273">
        <v>20.972782413204179</v>
      </c>
      <c r="H23" s="273">
        <v>7.9863698191035404</v>
      </c>
    </row>
    <row r="24" spans="1:8" x14ac:dyDescent="0.3">
      <c r="A24" s="272" t="s">
        <v>505</v>
      </c>
      <c r="B24" s="269">
        <v>1543321.2347240872</v>
      </c>
      <c r="C24" s="269">
        <v>95.722338182973743</v>
      </c>
      <c r="D24" s="269">
        <v>108.02744179292077</v>
      </c>
      <c r="E24" s="273">
        <v>7564.0039070770663</v>
      </c>
      <c r="F24" s="273">
        <v>38851.488066997837</v>
      </c>
      <c r="G24" s="273">
        <v>3123.5335919534832</v>
      </c>
      <c r="H24" s="273">
        <v>155.69594484037685</v>
      </c>
    </row>
    <row r="25" spans="1:8" x14ac:dyDescent="0.3">
      <c r="A25" s="272" t="s">
        <v>506</v>
      </c>
      <c r="B25" s="269">
        <v>46055.912865416671</v>
      </c>
      <c r="C25" s="269">
        <v>3.5201759225</v>
      </c>
      <c r="D25" s="269">
        <v>1.1264562951999999</v>
      </c>
      <c r="E25" s="273">
        <v>504.06504986911966</v>
      </c>
      <c r="F25" s="273">
        <v>79.731529299018959</v>
      </c>
      <c r="G25" s="273">
        <v>38.628071801561717</v>
      </c>
      <c r="H25" s="273">
        <v>59.549191471448658</v>
      </c>
    </row>
    <row r="26" spans="1:8" x14ac:dyDescent="0.3">
      <c r="A26" s="272" t="s">
        <v>507</v>
      </c>
      <c r="B26" s="269">
        <v>38024.136018348065</v>
      </c>
      <c r="C26" s="269">
        <v>16.174692701572852</v>
      </c>
      <c r="D26" s="269">
        <v>0.73291389331867995</v>
      </c>
      <c r="E26" s="273">
        <v>564.78322714808633</v>
      </c>
      <c r="F26" s="273">
        <v>1625.6330147817607</v>
      </c>
      <c r="G26" s="273">
        <v>797.79002364334588</v>
      </c>
      <c r="H26" s="273">
        <v>168.62503652225149</v>
      </c>
    </row>
    <row r="27" spans="1:8" ht="15" thickBot="1" x14ac:dyDescent="0.35">
      <c r="A27" s="272" t="s">
        <v>508</v>
      </c>
      <c r="B27" s="269">
        <v>32390.631664594664</v>
      </c>
      <c r="C27" s="269">
        <v>42.78562494471668</v>
      </c>
      <c r="D27" s="269">
        <v>22.8286814646106</v>
      </c>
      <c r="E27" s="273">
        <v>1620.9664128309175</v>
      </c>
      <c r="F27" s="273">
        <v>17850.702527462247</v>
      </c>
      <c r="G27" s="273">
        <v>1742.6735648381459</v>
      </c>
      <c r="H27" s="273">
        <v>226.77422938043526</v>
      </c>
    </row>
    <row r="28" spans="1:8" ht="15" thickTop="1" x14ac:dyDescent="0.3">
      <c r="A28" s="276" t="s">
        <v>509</v>
      </c>
      <c r="B28" s="269">
        <v>586285.4434706961</v>
      </c>
      <c r="C28" s="269">
        <v>205.34813377159594</v>
      </c>
      <c r="D28" s="269">
        <v>4.1002059296026401</v>
      </c>
      <c r="E28" s="269">
        <v>908.26373148672474</v>
      </c>
      <c r="F28" s="269">
        <v>3021.6454373622296</v>
      </c>
      <c r="G28" s="269">
        <v>706.60096524296171</v>
      </c>
      <c r="H28" s="269">
        <v>527.57585355553215</v>
      </c>
    </row>
    <row r="29" spans="1:8" x14ac:dyDescent="0.3">
      <c r="A29" s="272" t="s">
        <v>510</v>
      </c>
      <c r="B29" s="269">
        <v>227130.02298152124</v>
      </c>
      <c r="C29" s="269">
        <v>43.127051806573057</v>
      </c>
      <c r="D29" s="269">
        <v>1.1609958550767701</v>
      </c>
      <c r="E29" s="273">
        <v>490.17465541376572</v>
      </c>
      <c r="F29" s="273">
        <v>165.62633435353089</v>
      </c>
      <c r="G29" s="273">
        <v>188.2774974794886</v>
      </c>
      <c r="H29" s="273">
        <v>369.97578072655716</v>
      </c>
    </row>
    <row r="30" spans="1:8" x14ac:dyDescent="0.3">
      <c r="A30" s="272" t="s">
        <v>511</v>
      </c>
      <c r="B30" s="269">
        <v>358897.51072027022</v>
      </c>
      <c r="C30" s="269">
        <v>162.20807697148538</v>
      </c>
      <c r="D30" s="269">
        <v>2.9373316220328798</v>
      </c>
      <c r="E30" s="273">
        <v>418.08907607295907</v>
      </c>
      <c r="F30" s="273">
        <v>2856.0191030086989</v>
      </c>
      <c r="G30" s="273">
        <v>518.3234677634731</v>
      </c>
      <c r="H30" s="273">
        <v>157.60007282897502</v>
      </c>
    </row>
    <row r="31" spans="1:8" x14ac:dyDescent="0.3">
      <c r="A31" s="272" t="s">
        <v>512</v>
      </c>
      <c r="B31" s="269">
        <v>257.90976890459297</v>
      </c>
      <c r="C31" s="269">
        <v>1.300499353749E-2</v>
      </c>
      <c r="D31" s="269">
        <v>1.87845249299E-3</v>
      </c>
      <c r="E31" s="273" t="s">
        <v>495</v>
      </c>
      <c r="F31" s="273" t="s">
        <v>495</v>
      </c>
      <c r="G31" s="273" t="s">
        <v>495</v>
      </c>
      <c r="H31" s="273" t="s">
        <v>495</v>
      </c>
    </row>
    <row r="32" spans="1:8" x14ac:dyDescent="0.3">
      <c r="A32" s="274" t="s">
        <v>3391</v>
      </c>
      <c r="B32" s="269">
        <v>226133.22271687587</v>
      </c>
      <c r="C32" s="269">
        <v>4.1196270916394298</v>
      </c>
      <c r="D32" s="269">
        <v>2.5601844175807398</v>
      </c>
      <c r="E32" s="269">
        <v>128.24903986696705</v>
      </c>
      <c r="F32" s="269">
        <v>1403.092346692003</v>
      </c>
      <c r="G32" s="269">
        <v>241.28268231324299</v>
      </c>
      <c r="H32" s="269">
        <v>24.535279992929539</v>
      </c>
    </row>
    <row r="33" spans="1:8" x14ac:dyDescent="0.3">
      <c r="A33" s="272" t="s">
        <v>513</v>
      </c>
      <c r="B33" s="269">
        <v>198086.65897924625</v>
      </c>
      <c r="C33" s="269">
        <v>3.6313603130694299</v>
      </c>
      <c r="D33" s="269">
        <v>1.7785747835824199</v>
      </c>
      <c r="E33" s="273">
        <v>128.24903986696705</v>
      </c>
      <c r="F33" s="273">
        <v>1403.092346692003</v>
      </c>
      <c r="G33" s="273">
        <v>241.28268231324299</v>
      </c>
      <c r="H33" s="273">
        <v>24.535279992929539</v>
      </c>
    </row>
    <row r="34" spans="1:8" x14ac:dyDescent="0.3">
      <c r="A34" s="272" t="s">
        <v>514</v>
      </c>
      <c r="B34" s="269">
        <v>28046.5637376296</v>
      </c>
      <c r="C34" s="269">
        <v>0.48826677857</v>
      </c>
      <c r="D34" s="269">
        <v>0.78160963399831995</v>
      </c>
      <c r="E34" s="273" t="s">
        <v>493</v>
      </c>
      <c r="F34" s="273" t="s">
        <v>493</v>
      </c>
      <c r="G34" s="273" t="s">
        <v>493</v>
      </c>
      <c r="H34" s="273" t="s">
        <v>493</v>
      </c>
    </row>
    <row r="35" spans="1:8" x14ac:dyDescent="0.3">
      <c r="A35" s="277" t="s">
        <v>515</v>
      </c>
      <c r="B35" s="269">
        <v>41114.874805169908</v>
      </c>
      <c r="C35" s="269">
        <v>11857.283753580201</v>
      </c>
      <c r="D35" s="269">
        <v>9.1870284291349996E-2</v>
      </c>
      <c r="E35" s="269">
        <v>208.89432174184356</v>
      </c>
      <c r="F35" s="269">
        <v>105.47180460606191</v>
      </c>
      <c r="G35" s="269">
        <v>355.97410702367489</v>
      </c>
      <c r="H35" s="269">
        <v>65.111291475618813</v>
      </c>
    </row>
    <row r="36" spans="1:8" x14ac:dyDescent="0.3">
      <c r="A36" s="274" t="s">
        <v>517</v>
      </c>
      <c r="B36" s="269">
        <v>4169.7141237857086</v>
      </c>
      <c r="C36" s="269">
        <v>2828.7193306107342</v>
      </c>
      <c r="D36" s="269" t="s">
        <v>493</v>
      </c>
      <c r="E36" s="269" t="s">
        <v>493</v>
      </c>
      <c r="F36" s="269" t="s">
        <v>493</v>
      </c>
      <c r="G36" s="269" t="s">
        <v>493</v>
      </c>
      <c r="H36" s="269" t="s">
        <v>493</v>
      </c>
    </row>
    <row r="37" spans="1:8" x14ac:dyDescent="0.3">
      <c r="A37" s="272" t="s">
        <v>519</v>
      </c>
      <c r="B37" s="269">
        <v>4169.7141237857086</v>
      </c>
      <c r="C37" s="269">
        <v>2828.7193306107342</v>
      </c>
      <c r="D37" s="273" t="s">
        <v>493</v>
      </c>
      <c r="E37" s="273" t="s">
        <v>493</v>
      </c>
      <c r="F37" s="273" t="s">
        <v>493</v>
      </c>
      <c r="G37" s="273" t="s">
        <v>493</v>
      </c>
      <c r="H37" s="278" t="s">
        <v>188</v>
      </c>
    </row>
    <row r="38" spans="1:8" x14ac:dyDescent="0.3">
      <c r="A38" s="272" t="s">
        <v>521</v>
      </c>
      <c r="B38" s="269" t="s">
        <v>495</v>
      </c>
      <c r="C38" s="269" t="s">
        <v>495</v>
      </c>
      <c r="D38" s="273" t="s">
        <v>493</v>
      </c>
      <c r="E38" s="273" t="s">
        <v>493</v>
      </c>
      <c r="F38" s="273" t="s">
        <v>493</v>
      </c>
      <c r="G38" s="273" t="s">
        <v>493</v>
      </c>
      <c r="H38" s="273" t="s">
        <v>493</v>
      </c>
    </row>
    <row r="39" spans="1:8" x14ac:dyDescent="0.3">
      <c r="A39" s="272" t="s">
        <v>3392</v>
      </c>
      <c r="B39" s="269" t="s">
        <v>522</v>
      </c>
      <c r="C39" s="269" t="s">
        <v>522</v>
      </c>
      <c r="D39" s="273" t="s">
        <v>493</v>
      </c>
      <c r="E39" s="269" t="s">
        <v>493</v>
      </c>
      <c r="F39" s="269" t="s">
        <v>493</v>
      </c>
      <c r="G39" s="269" t="s">
        <v>493</v>
      </c>
      <c r="H39" s="269" t="s">
        <v>493</v>
      </c>
    </row>
    <row r="40" spans="1:8" x14ac:dyDescent="0.3">
      <c r="A40" s="274" t="s">
        <v>523</v>
      </c>
      <c r="B40" s="269">
        <v>36945.160681384201</v>
      </c>
      <c r="C40" s="269">
        <v>9028.5644229694662</v>
      </c>
      <c r="D40" s="269">
        <v>9.1870284291349996E-2</v>
      </c>
      <c r="E40" s="269">
        <v>208.89432174184356</v>
      </c>
      <c r="F40" s="269">
        <v>105.47180460606191</v>
      </c>
      <c r="G40" s="269">
        <v>355.97410702367489</v>
      </c>
      <c r="H40" s="269">
        <v>65.111291475618813</v>
      </c>
    </row>
    <row r="41" spans="1:8" x14ac:dyDescent="0.3">
      <c r="A41" s="272" t="s">
        <v>524</v>
      </c>
      <c r="B41" s="269">
        <v>11998.333379274758</v>
      </c>
      <c r="C41" s="269">
        <v>1877.1194091493796</v>
      </c>
      <c r="D41" s="269">
        <v>3.5424165198090003E-2</v>
      </c>
      <c r="E41" s="273" t="s">
        <v>495</v>
      </c>
      <c r="F41" s="273" t="s">
        <v>495</v>
      </c>
      <c r="G41" s="273" t="s">
        <v>495</v>
      </c>
      <c r="H41" s="273" t="s">
        <v>495</v>
      </c>
    </row>
    <row r="42" spans="1:8" x14ac:dyDescent="0.3">
      <c r="A42" s="272" t="s">
        <v>525</v>
      </c>
      <c r="B42" s="269">
        <v>24946.827302109439</v>
      </c>
      <c r="C42" s="269">
        <v>7151.4450138200864</v>
      </c>
      <c r="D42" s="278" t="s">
        <v>188</v>
      </c>
      <c r="E42" s="278" t="s">
        <v>188</v>
      </c>
      <c r="F42" s="278" t="s">
        <v>188</v>
      </c>
      <c r="G42" s="273" t="s">
        <v>495</v>
      </c>
      <c r="H42" s="273" t="s">
        <v>495</v>
      </c>
    </row>
    <row r="43" spans="1:8" x14ac:dyDescent="0.3">
      <c r="A43" s="272" t="s">
        <v>526</v>
      </c>
      <c r="B43" s="269" t="s">
        <v>495</v>
      </c>
      <c r="C43" s="269" t="s">
        <v>495</v>
      </c>
      <c r="D43" s="269">
        <v>5.644611909326E-2</v>
      </c>
      <c r="E43" s="273" t="s">
        <v>495</v>
      </c>
      <c r="F43" s="273" t="s">
        <v>495</v>
      </c>
      <c r="G43" s="273" t="s">
        <v>495</v>
      </c>
      <c r="H43" s="273" t="s">
        <v>495</v>
      </c>
    </row>
    <row r="44" spans="1:8" x14ac:dyDescent="0.3">
      <c r="A44" s="272" t="s">
        <v>3393</v>
      </c>
      <c r="B44" s="269" t="s">
        <v>522</v>
      </c>
      <c r="C44" s="269" t="s">
        <v>522</v>
      </c>
      <c r="D44" s="269" t="s">
        <v>522</v>
      </c>
      <c r="E44" s="269">
        <v>208.89432174184356</v>
      </c>
      <c r="F44" s="269">
        <v>105.47180460606191</v>
      </c>
      <c r="G44" s="269">
        <v>355.97410702367489</v>
      </c>
      <c r="H44" s="269">
        <v>65.111291475618813</v>
      </c>
    </row>
    <row r="45" spans="1:8" x14ac:dyDescent="0.3">
      <c r="A45" s="279" t="s">
        <v>3394</v>
      </c>
      <c r="B45" s="269" t="s">
        <v>527</v>
      </c>
      <c r="C45" s="278" t="s">
        <v>188</v>
      </c>
      <c r="D45" s="278" t="s">
        <v>188</v>
      </c>
      <c r="E45" s="278" t="s">
        <v>188</v>
      </c>
      <c r="F45" s="278" t="s">
        <v>188</v>
      </c>
      <c r="G45" s="278" t="s">
        <v>188</v>
      </c>
      <c r="H45" s="278" t="s">
        <v>188</v>
      </c>
    </row>
    <row r="46" spans="1:8" x14ac:dyDescent="0.3">
      <c r="A46" s="274" t="s">
        <v>3395</v>
      </c>
      <c r="B46" s="269" t="s">
        <v>495</v>
      </c>
      <c r="C46" s="278" t="s">
        <v>188</v>
      </c>
      <c r="D46" s="278" t="s">
        <v>188</v>
      </c>
      <c r="E46" s="278" t="s">
        <v>188</v>
      </c>
      <c r="F46" s="278" t="s">
        <v>188</v>
      </c>
      <c r="G46" s="278" t="s">
        <v>188</v>
      </c>
      <c r="H46" s="278" t="s">
        <v>188</v>
      </c>
    </row>
    <row r="47" spans="1:8" x14ac:dyDescent="0.3">
      <c r="A47" s="274" t="s">
        <v>528</v>
      </c>
      <c r="B47" s="269" t="s">
        <v>495</v>
      </c>
      <c r="C47" s="278" t="s">
        <v>188</v>
      </c>
      <c r="D47" s="278" t="s">
        <v>188</v>
      </c>
      <c r="E47" s="278" t="s">
        <v>188</v>
      </c>
      <c r="F47" s="278" t="s">
        <v>188</v>
      </c>
      <c r="G47" s="278" t="s">
        <v>188</v>
      </c>
      <c r="H47" s="278" t="s">
        <v>188</v>
      </c>
    </row>
    <row r="48" spans="1:8" x14ac:dyDescent="0.3">
      <c r="A48" s="271" t="s">
        <v>529</v>
      </c>
      <c r="B48" s="269" t="s">
        <v>527</v>
      </c>
      <c r="C48" s="278" t="s">
        <v>188</v>
      </c>
      <c r="D48" s="278" t="s">
        <v>188</v>
      </c>
      <c r="E48" s="278" t="s">
        <v>188</v>
      </c>
      <c r="F48" s="278" t="s">
        <v>188</v>
      </c>
      <c r="G48" s="278" t="s">
        <v>188</v>
      </c>
      <c r="H48" s="278" t="s">
        <v>188</v>
      </c>
    </row>
    <row r="49" spans="1:8" x14ac:dyDescent="0.3">
      <c r="A49" s="279" t="s">
        <v>3396</v>
      </c>
      <c r="B49" s="278" t="s">
        <v>188</v>
      </c>
      <c r="C49" s="278" t="s">
        <v>188</v>
      </c>
      <c r="D49" s="278" t="s">
        <v>188</v>
      </c>
      <c r="E49" s="278" t="s">
        <v>188</v>
      </c>
      <c r="F49" s="278" t="s">
        <v>188</v>
      </c>
      <c r="G49" s="278" t="s">
        <v>188</v>
      </c>
      <c r="H49" s="278" t="s">
        <v>188</v>
      </c>
    </row>
    <row r="50" spans="1:8" x14ac:dyDescent="0.3">
      <c r="A50" s="271" t="s">
        <v>530</v>
      </c>
      <c r="B50" s="269">
        <v>113327.83658654301</v>
      </c>
      <c r="C50" s="269">
        <v>5.2928930187330101</v>
      </c>
      <c r="D50" s="269">
        <v>3.2441550799905401</v>
      </c>
      <c r="E50" s="269">
        <v>1699.3376784668872</v>
      </c>
      <c r="F50" s="269">
        <v>130.7216571044716</v>
      </c>
      <c r="G50" s="269">
        <v>53.656498765611978</v>
      </c>
      <c r="H50" s="269" t="s">
        <v>520</v>
      </c>
    </row>
    <row r="51" spans="1:8" x14ac:dyDescent="0.3">
      <c r="A51" s="280" t="s">
        <v>531</v>
      </c>
      <c r="B51" s="269">
        <v>60220.980376771418</v>
      </c>
      <c r="C51" s="269" t="s">
        <v>555</v>
      </c>
      <c r="D51" s="269">
        <v>1.8999282815821601</v>
      </c>
      <c r="E51" s="273">
        <v>237.49103519777046</v>
      </c>
      <c r="F51" s="273">
        <v>98.796270642272503</v>
      </c>
      <c r="G51" s="273">
        <v>14.819440596340881</v>
      </c>
      <c r="H51" s="273" t="s">
        <v>520</v>
      </c>
    </row>
    <row r="52" spans="1:8" x14ac:dyDescent="0.3">
      <c r="A52" s="280" t="s">
        <v>532</v>
      </c>
      <c r="B52" s="269">
        <v>53106.856209771599</v>
      </c>
      <c r="C52" s="269">
        <v>5.2928930187330101</v>
      </c>
      <c r="D52" s="269">
        <v>1.34422679840838</v>
      </c>
      <c r="E52" s="273">
        <v>1461.8466432691168</v>
      </c>
      <c r="F52" s="273">
        <v>31.9253864621991</v>
      </c>
      <c r="G52" s="273">
        <v>38.837058169271103</v>
      </c>
      <c r="H52" s="273" t="s">
        <v>520</v>
      </c>
    </row>
    <row r="53" spans="1:8" x14ac:dyDescent="0.3">
      <c r="A53" s="271" t="s">
        <v>533</v>
      </c>
      <c r="B53" s="269" t="s">
        <v>495</v>
      </c>
      <c r="C53" s="269" t="s">
        <v>495</v>
      </c>
      <c r="D53" s="269" t="s">
        <v>495</v>
      </c>
      <c r="E53" s="273" t="s">
        <v>495</v>
      </c>
      <c r="F53" s="273" t="s">
        <v>495</v>
      </c>
      <c r="G53" s="273" t="s">
        <v>495</v>
      </c>
      <c r="H53" s="273" t="s">
        <v>520</v>
      </c>
    </row>
    <row r="54" spans="1:8" x14ac:dyDescent="0.3">
      <c r="A54" s="281" t="s">
        <v>3397</v>
      </c>
      <c r="B54" s="269">
        <v>230699.51036740557</v>
      </c>
      <c r="C54" s="278" t="s">
        <v>188</v>
      </c>
      <c r="D54" s="278" t="s">
        <v>188</v>
      </c>
      <c r="E54" s="278" t="s">
        <v>188</v>
      </c>
      <c r="F54" s="278" t="s">
        <v>188</v>
      </c>
      <c r="G54" s="278" t="s">
        <v>188</v>
      </c>
      <c r="H54" s="278" t="s">
        <v>188</v>
      </c>
    </row>
    <row r="55" spans="1:8" x14ac:dyDescent="0.3">
      <c r="A55" s="214" t="s">
        <v>3398</v>
      </c>
      <c r="B55" s="269" t="s">
        <v>555</v>
      </c>
      <c r="C55" s="278" t="s">
        <v>188</v>
      </c>
      <c r="D55" s="278" t="s">
        <v>188</v>
      </c>
      <c r="E55" s="278" t="s">
        <v>188</v>
      </c>
      <c r="F55" s="278" t="s">
        <v>188</v>
      </c>
      <c r="G55" s="278" t="s">
        <v>188</v>
      </c>
      <c r="H55" s="278" t="s">
        <v>188</v>
      </c>
    </row>
    <row r="56" spans="1:8" x14ac:dyDescent="0.3">
      <c r="A56" s="282" t="s">
        <v>534</v>
      </c>
      <c r="B56" s="273" t="s">
        <v>493</v>
      </c>
      <c r="C56" s="278" t="s">
        <v>188</v>
      </c>
      <c r="D56" s="278" t="s">
        <v>188</v>
      </c>
      <c r="E56" s="278" t="s">
        <v>188</v>
      </c>
      <c r="F56" s="278" t="s">
        <v>188</v>
      </c>
      <c r="G56" s="278" t="s">
        <v>188</v>
      </c>
      <c r="H56" s="278" t="s">
        <v>188</v>
      </c>
    </row>
    <row r="57" spans="1:8" x14ac:dyDescent="0.3">
      <c r="A57" s="282" t="s">
        <v>535</v>
      </c>
      <c r="B57" s="273" t="s">
        <v>493</v>
      </c>
      <c r="C57" s="278" t="s">
        <v>188</v>
      </c>
      <c r="D57" s="278" t="s">
        <v>188</v>
      </c>
      <c r="E57" s="278" t="s">
        <v>188</v>
      </c>
      <c r="F57" s="278" t="s">
        <v>188</v>
      </c>
      <c r="G57" s="278" t="s">
        <v>188</v>
      </c>
      <c r="H57" s="278" t="s">
        <v>188</v>
      </c>
    </row>
    <row r="58" spans="1:8" x14ac:dyDescent="0.3">
      <c r="C58" s="5"/>
      <c r="D58" s="5"/>
    </row>
    <row r="59" spans="1:8" x14ac:dyDescent="0.3">
      <c r="A59" s="50" t="s">
        <v>3664</v>
      </c>
      <c r="B59" s="51">
        <f t="shared" ref="B59:H59" si="0">B8</f>
        <v>5935361.2048846316</v>
      </c>
      <c r="C59" s="51">
        <f t="shared" si="0"/>
        <v>12331.35516763239</v>
      </c>
      <c r="D59" s="51">
        <f t="shared" si="0"/>
        <v>255.41813011993699</v>
      </c>
      <c r="E59" s="51">
        <f t="shared" si="0"/>
        <v>16601.736021301014</v>
      </c>
      <c r="F59" s="51">
        <f t="shared" si="0"/>
        <v>64984.511311122282</v>
      </c>
      <c r="G59" s="51">
        <f t="shared" si="0"/>
        <v>7345.4310275876951</v>
      </c>
      <c r="H59" s="51">
        <f t="shared" si="0"/>
        <v>12364.091048770906</v>
      </c>
    </row>
    <row r="60" spans="1:8" x14ac:dyDescent="0.3">
      <c r="A60" s="50" t="s">
        <v>536</v>
      </c>
      <c r="B60" s="51">
        <f>B8+B50</f>
        <v>6048689.0414711749</v>
      </c>
      <c r="C60" s="51">
        <f t="shared" ref="C60:G60" si="1">C8+C50</f>
        <v>12336.648060651123</v>
      </c>
      <c r="D60" s="51">
        <f t="shared" si="1"/>
        <v>258.66228519992751</v>
      </c>
      <c r="E60" s="51">
        <f t="shared" si="1"/>
        <v>18301.073699767901</v>
      </c>
      <c r="F60" s="51">
        <f t="shared" si="1"/>
        <v>65115.232968226752</v>
      </c>
      <c r="G60" s="51">
        <f t="shared" si="1"/>
        <v>7399.0875263533071</v>
      </c>
      <c r="H60" s="51">
        <f>H8</f>
        <v>12364.091048770906</v>
      </c>
    </row>
    <row r="61" spans="1:8" x14ac:dyDescent="0.3">
      <c r="A61" s="50" t="s">
        <v>93</v>
      </c>
      <c r="B61" s="51">
        <f>B11</f>
        <v>2400057.4856406469</v>
      </c>
      <c r="C61" s="51">
        <f t="shared" ref="C61:H61" si="2">C11</f>
        <v>34.823479419570468</v>
      </c>
      <c r="D61" s="51">
        <f t="shared" si="2"/>
        <v>100.86538569159121</v>
      </c>
      <c r="E61" s="51">
        <f t="shared" si="2"/>
        <v>3434.4290996747714</v>
      </c>
      <c r="F61" s="51">
        <f t="shared" si="2"/>
        <v>581.83867235005948</v>
      </c>
      <c r="G61" s="51">
        <f t="shared" si="2"/>
        <v>43.701395420034459</v>
      </c>
      <c r="H61" s="51">
        <f t="shared" si="2"/>
        <v>9439.0432746602182</v>
      </c>
    </row>
    <row r="62" spans="1:8" x14ac:dyDescent="0.3">
      <c r="A62" s="50" t="s">
        <v>4</v>
      </c>
      <c r="B62" s="51">
        <f>SUM(B22,B50)-G294</f>
        <v>1911442.8105552257</v>
      </c>
      <c r="C62" s="51">
        <f t="shared" ref="C62:H62" si="3">SUM(C22,C50)</f>
        <v>165.57291285866268</v>
      </c>
      <c r="D62" s="51">
        <f t="shared" si="3"/>
        <v>141.22138300660743</v>
      </c>
      <c r="E62" s="51">
        <f t="shared" si="3"/>
        <v>11993.96820796089</v>
      </c>
      <c r="F62" s="51">
        <f t="shared" si="3"/>
        <v>58745.519506243923</v>
      </c>
      <c r="G62" s="51">
        <f t="shared" si="3"/>
        <v>5777.2545334153529</v>
      </c>
      <c r="H62" s="51">
        <f t="shared" si="3"/>
        <v>618.63077203361581</v>
      </c>
    </row>
    <row r="63" spans="1:8" x14ac:dyDescent="0.3">
      <c r="A63" s="50" t="s">
        <v>2427</v>
      </c>
      <c r="B63" s="51">
        <f>SUM(B29:B30)</f>
        <v>586027.53370179143</v>
      </c>
      <c r="C63" s="51">
        <f t="shared" ref="C63:H63" si="4">SUM(C29:C30)</f>
        <v>205.33512877805845</v>
      </c>
      <c r="D63" s="51">
        <f t="shared" si="4"/>
        <v>4.0983274771096498</v>
      </c>
      <c r="E63" s="51">
        <f t="shared" si="4"/>
        <v>908.26373148672474</v>
      </c>
      <c r="F63" s="51">
        <f t="shared" si="4"/>
        <v>3021.64543736223</v>
      </c>
      <c r="G63" s="51">
        <f t="shared" si="4"/>
        <v>706.60096524296171</v>
      </c>
      <c r="H63" s="51">
        <f t="shared" si="4"/>
        <v>527.57585355553215</v>
      </c>
    </row>
    <row r="64" spans="1:8" x14ac:dyDescent="0.3">
      <c r="A64" s="50" t="s">
        <v>9</v>
      </c>
      <c r="B64" s="51">
        <f>SUM(B12:B14,B35,B45,B32)+G294-G375</f>
        <v>1137620.3858851495</v>
      </c>
      <c r="C64" s="51">
        <f>SUM(C12:C14,C35,C45,C32)-H375</f>
        <v>11930.898339782843</v>
      </c>
      <c r="D64" s="51">
        <f>SUM(D12:D14,D35,D45,D32)-I375</f>
        <v>11.176634590788881</v>
      </c>
      <c r="E64" s="51">
        <f t="shared" ref="E64:H64" si="5">SUM(E12:E14,E35,E45,E32)</f>
        <v>1964.4126606455166</v>
      </c>
      <c r="F64" s="51">
        <f t="shared" si="5"/>
        <v>2766.2293522705422</v>
      </c>
      <c r="G64" s="51">
        <f t="shared" si="5"/>
        <v>871.53063227495795</v>
      </c>
      <c r="H64" s="51">
        <f t="shared" si="5"/>
        <v>1778.8411485215402</v>
      </c>
    </row>
    <row r="65" spans="1:10" x14ac:dyDescent="0.3">
      <c r="A65" s="50" t="s">
        <v>132</v>
      </c>
      <c r="B65" s="51">
        <f>B31</f>
        <v>257.90976890459297</v>
      </c>
      <c r="C65" s="51">
        <f t="shared" ref="C65:H65" si="6">C31</f>
        <v>1.300499353749E-2</v>
      </c>
      <c r="D65" s="51">
        <f t="shared" si="6"/>
        <v>1.87845249299E-3</v>
      </c>
      <c r="E65" s="51" t="str">
        <f t="shared" si="6"/>
        <v>IE</v>
      </c>
      <c r="F65" s="51" t="str">
        <f t="shared" si="6"/>
        <v>IE</v>
      </c>
      <c r="G65" s="51" t="str">
        <f t="shared" si="6"/>
        <v>IE</v>
      </c>
      <c r="H65" s="51" t="str">
        <f t="shared" si="6"/>
        <v>IE</v>
      </c>
    </row>
    <row r="66" spans="1:10" x14ac:dyDescent="0.3">
      <c r="A66" s="50" t="s">
        <v>3120</v>
      </c>
      <c r="B66" s="51">
        <f>G375</f>
        <v>13282.915919456782</v>
      </c>
      <c r="C66" s="51">
        <f t="shared" ref="C66:D66" si="7">H375</f>
        <v>5.1948184495699996E-3</v>
      </c>
      <c r="D66" s="51">
        <f t="shared" si="7"/>
        <v>1.29867598133739</v>
      </c>
      <c r="E66" s="51"/>
      <c r="F66" s="51"/>
      <c r="G66" s="51"/>
      <c r="H66" s="51"/>
    </row>
    <row r="67" spans="1:10" ht="43.2" x14ac:dyDescent="0.3">
      <c r="A67" s="1" t="s">
        <v>3121</v>
      </c>
      <c r="B67" s="5"/>
      <c r="C67" s="5"/>
      <c r="D67" s="5"/>
      <c r="E67" s="5"/>
      <c r="F67" s="5"/>
      <c r="G67" s="5"/>
      <c r="H67" s="5"/>
    </row>
    <row r="68" spans="1:10" ht="15" thickBot="1" x14ac:dyDescent="0.35">
      <c r="B68" s="81"/>
      <c r="C68" s="81"/>
      <c r="D68" s="81"/>
      <c r="E68" s="81"/>
      <c r="F68" s="81"/>
      <c r="G68" s="81"/>
      <c r="H68" s="81"/>
    </row>
    <row r="69" spans="1:10" ht="15.6" x14ac:dyDescent="0.3">
      <c r="A69" s="420" t="s">
        <v>537</v>
      </c>
      <c r="B69" s="421"/>
      <c r="C69" s="215"/>
      <c r="D69" s="215"/>
      <c r="E69" s="215"/>
      <c r="F69" s="215"/>
      <c r="G69" s="215"/>
      <c r="H69" s="215"/>
      <c r="I69" s="54"/>
      <c r="J69" s="49" t="s">
        <v>477</v>
      </c>
    </row>
    <row r="70" spans="1:10" ht="15.6" x14ac:dyDescent="0.3">
      <c r="A70" s="48" t="s">
        <v>538</v>
      </c>
      <c r="B70" s="52"/>
      <c r="C70" s="53"/>
      <c r="D70" s="53"/>
      <c r="E70" s="53"/>
      <c r="F70" s="53"/>
      <c r="G70" s="53"/>
      <c r="H70" s="53"/>
      <c r="I70" s="54"/>
      <c r="J70" s="49" t="s">
        <v>3399</v>
      </c>
    </row>
    <row r="71" spans="1:10" ht="15.6" x14ac:dyDescent="0.3">
      <c r="A71" s="48"/>
      <c r="B71" s="52"/>
      <c r="C71" s="53"/>
      <c r="D71" s="53"/>
      <c r="E71" s="53"/>
      <c r="F71" s="53"/>
      <c r="G71" s="53"/>
      <c r="H71" s="49"/>
      <c r="I71" s="54"/>
      <c r="J71" s="49" t="s">
        <v>478</v>
      </c>
    </row>
    <row r="72" spans="1:10" x14ac:dyDescent="0.3">
      <c r="A72" s="422" t="s">
        <v>479</v>
      </c>
      <c r="B72" s="425" t="s">
        <v>539</v>
      </c>
      <c r="C72" s="426"/>
      <c r="D72" s="425" t="s">
        <v>540</v>
      </c>
      <c r="E72" s="427"/>
      <c r="F72" s="428"/>
      <c r="G72" s="425" t="s">
        <v>541</v>
      </c>
      <c r="H72" s="429"/>
      <c r="I72" s="429"/>
      <c r="J72" s="426"/>
    </row>
    <row r="73" spans="1:10" x14ac:dyDescent="0.3">
      <c r="A73" s="423"/>
      <c r="B73" s="430" t="s">
        <v>542</v>
      </c>
      <c r="C73" s="431"/>
      <c r="D73" s="434" t="s">
        <v>543</v>
      </c>
      <c r="E73" s="430" t="s">
        <v>481</v>
      </c>
      <c r="F73" s="431" t="s">
        <v>482</v>
      </c>
      <c r="G73" s="434" t="s">
        <v>544</v>
      </c>
      <c r="H73" s="434" t="s">
        <v>481</v>
      </c>
      <c r="I73" s="434" t="s">
        <v>482</v>
      </c>
      <c r="J73" s="263" t="s">
        <v>480</v>
      </c>
    </row>
    <row r="74" spans="1:10" x14ac:dyDescent="0.3">
      <c r="A74" s="423"/>
      <c r="B74" s="432"/>
      <c r="C74" s="433"/>
      <c r="D74" s="435"/>
      <c r="E74" s="432"/>
      <c r="F74" s="433"/>
      <c r="G74" s="436"/>
      <c r="H74" s="435"/>
      <c r="I74" s="435"/>
      <c r="J74" s="263" t="s">
        <v>545</v>
      </c>
    </row>
    <row r="75" spans="1:10" ht="15" thickBot="1" x14ac:dyDescent="0.35">
      <c r="A75" s="424"/>
      <c r="B75" s="266" t="s">
        <v>546</v>
      </c>
      <c r="C75" s="55" t="s">
        <v>547</v>
      </c>
      <c r="D75" s="55" t="s">
        <v>548</v>
      </c>
      <c r="E75" s="442" t="s">
        <v>549</v>
      </c>
      <c r="F75" s="443"/>
      <c r="G75" s="442" t="s">
        <v>487</v>
      </c>
      <c r="H75" s="440"/>
      <c r="I75" s="440"/>
      <c r="J75" s="441"/>
    </row>
    <row r="76" spans="1:10" ht="15" thickTop="1" x14ac:dyDescent="0.3">
      <c r="A76" s="56" t="s">
        <v>550</v>
      </c>
      <c r="B76" s="327">
        <v>91119552.110468924</v>
      </c>
      <c r="C76" s="327" t="s">
        <v>551</v>
      </c>
      <c r="D76" s="328" t="s">
        <v>188</v>
      </c>
      <c r="E76" s="328" t="s">
        <v>188</v>
      </c>
      <c r="F76" s="328" t="s">
        <v>188</v>
      </c>
      <c r="G76" s="327">
        <v>5894246.3300794624</v>
      </c>
      <c r="H76" s="327">
        <v>474.07141405218891</v>
      </c>
      <c r="I76" s="327">
        <v>255.32625983564566</v>
      </c>
      <c r="J76" s="327" t="s">
        <v>555</v>
      </c>
    </row>
    <row r="77" spans="1:10" x14ac:dyDescent="0.3">
      <c r="A77" s="283" t="s">
        <v>552</v>
      </c>
      <c r="B77" s="327">
        <v>39518350.449221194</v>
      </c>
      <c r="C77" s="327" t="s">
        <v>551</v>
      </c>
      <c r="D77" s="327">
        <v>62.818550609275022</v>
      </c>
      <c r="E77" s="327">
        <v>4.71081601067928</v>
      </c>
      <c r="F77" s="327">
        <v>3.6043774931421502</v>
      </c>
      <c r="G77" s="327">
        <v>2482485.4976894674</v>
      </c>
      <c r="H77" s="327">
        <v>186.16367801182585</v>
      </c>
      <c r="I77" s="327">
        <v>142.439052925277</v>
      </c>
      <c r="J77" s="327" t="s">
        <v>493</v>
      </c>
    </row>
    <row r="78" spans="1:10" x14ac:dyDescent="0.3">
      <c r="A78" s="283" t="s">
        <v>553</v>
      </c>
      <c r="B78" s="327">
        <v>23547856.46013758</v>
      </c>
      <c r="C78" s="327" t="s">
        <v>551</v>
      </c>
      <c r="D78" s="327">
        <v>90.390222007608685</v>
      </c>
      <c r="E78" s="327">
        <v>1.3293847084140999</v>
      </c>
      <c r="F78" s="327">
        <v>4.0838943275543604</v>
      </c>
      <c r="G78" s="327">
        <v>2128495.9732351382</v>
      </c>
      <c r="H78" s="327">
        <v>31.304160294037182</v>
      </c>
      <c r="I78" s="327">
        <v>96.166957423620104</v>
      </c>
      <c r="J78" s="327" t="s">
        <v>493</v>
      </c>
    </row>
    <row r="79" spans="1:10" x14ac:dyDescent="0.3">
      <c r="A79" s="283" t="s">
        <v>554</v>
      </c>
      <c r="B79" s="327">
        <v>25079732.293968797</v>
      </c>
      <c r="C79" s="327" t="s">
        <v>551</v>
      </c>
      <c r="D79" s="327">
        <v>50.61939699547608</v>
      </c>
      <c r="E79" s="327">
        <v>2.9025747542863098</v>
      </c>
      <c r="F79" s="327">
        <v>0.31864834210840998</v>
      </c>
      <c r="G79" s="327">
        <v>1269520.9255286683</v>
      </c>
      <c r="H79" s="327">
        <v>72.795797800732927</v>
      </c>
      <c r="I79" s="327">
        <v>7.9916151159959297</v>
      </c>
      <c r="J79" s="327" t="s">
        <v>493</v>
      </c>
    </row>
    <row r="80" spans="1:10" x14ac:dyDescent="0.3">
      <c r="A80" s="283" t="s">
        <v>3233</v>
      </c>
      <c r="B80" s="327">
        <v>353451.33084586024</v>
      </c>
      <c r="C80" s="327" t="s">
        <v>551</v>
      </c>
      <c r="D80" s="327">
        <v>38.884939528440349</v>
      </c>
      <c r="E80" s="327">
        <v>1.469740809049E-2</v>
      </c>
      <c r="F80" s="327">
        <v>3.6742710183873699</v>
      </c>
      <c r="G80" s="327">
        <v>13743.93362618804</v>
      </c>
      <c r="H80" s="327">
        <v>5.1948184495699996E-3</v>
      </c>
      <c r="I80" s="327">
        <v>1.29867598133739</v>
      </c>
      <c r="J80" s="327" t="s">
        <v>555</v>
      </c>
    </row>
    <row r="81" spans="1:10" x14ac:dyDescent="0.3">
      <c r="A81" s="283" t="s">
        <v>3234</v>
      </c>
      <c r="B81" s="327" t="s">
        <v>522</v>
      </c>
      <c r="C81" s="327" t="s">
        <v>551</v>
      </c>
      <c r="D81" s="327" t="s">
        <v>522</v>
      </c>
      <c r="E81" s="327" t="s">
        <v>522</v>
      </c>
      <c r="F81" s="327" t="s">
        <v>522</v>
      </c>
      <c r="G81" s="327" t="s">
        <v>522</v>
      </c>
      <c r="H81" s="327" t="s">
        <v>522</v>
      </c>
      <c r="I81" s="327" t="s">
        <v>522</v>
      </c>
      <c r="J81" s="327" t="s">
        <v>522</v>
      </c>
    </row>
    <row r="82" spans="1:10" x14ac:dyDescent="0.3">
      <c r="A82" s="283" t="s">
        <v>3235</v>
      </c>
      <c r="B82" s="327">
        <v>2620161.5762954974</v>
      </c>
      <c r="C82" s="327" t="s">
        <v>551</v>
      </c>
      <c r="D82" s="327">
        <v>88.047818292785962</v>
      </c>
      <c r="E82" s="327">
        <v>70.149331548862634</v>
      </c>
      <c r="F82" s="327">
        <v>2.8356871028999802</v>
      </c>
      <c r="G82" s="328" t="s">
        <v>188</v>
      </c>
      <c r="H82" s="327">
        <v>183.80258312714338</v>
      </c>
      <c r="I82" s="327">
        <v>7.4299583894152299</v>
      </c>
      <c r="J82" s="327" t="s">
        <v>493</v>
      </c>
    </row>
    <row r="83" spans="1:10" x14ac:dyDescent="0.3">
      <c r="A83" s="284" t="s">
        <v>556</v>
      </c>
      <c r="B83" s="327">
        <v>32351773.409563068</v>
      </c>
      <c r="C83" s="327" t="s">
        <v>551</v>
      </c>
      <c r="D83" s="328" t="s">
        <v>188</v>
      </c>
      <c r="E83" s="328" t="s">
        <v>188</v>
      </c>
      <c r="F83" s="328" t="s">
        <v>188</v>
      </c>
      <c r="G83" s="327">
        <v>2540094.5307982946</v>
      </c>
      <c r="H83" s="327">
        <v>37.656050059714502</v>
      </c>
      <c r="I83" s="327">
        <v>101.32241952488565</v>
      </c>
      <c r="J83" s="327" t="s">
        <v>555</v>
      </c>
    </row>
    <row r="84" spans="1:10" x14ac:dyDescent="0.3">
      <c r="A84" s="285" t="s">
        <v>552</v>
      </c>
      <c r="B84" s="327">
        <v>1343810.0384583769</v>
      </c>
      <c r="C84" s="327" t="s">
        <v>551</v>
      </c>
      <c r="D84" s="327">
        <v>75.928141051021797</v>
      </c>
      <c r="E84" s="327">
        <v>0.76379847184557004</v>
      </c>
      <c r="F84" s="327">
        <v>0.35425092693756</v>
      </c>
      <c r="G84" s="327">
        <v>102032.99814584665</v>
      </c>
      <c r="H84" s="327">
        <v>1.02640005382524</v>
      </c>
      <c r="I84" s="327">
        <v>0.47604595175188003</v>
      </c>
      <c r="J84" s="327" t="s">
        <v>493</v>
      </c>
    </row>
    <row r="85" spans="1:10" x14ac:dyDescent="0.3">
      <c r="A85" s="285" t="s">
        <v>553</v>
      </c>
      <c r="B85" s="327">
        <v>21964918.19043801</v>
      </c>
      <c r="C85" s="327" t="s">
        <v>551</v>
      </c>
      <c r="D85" s="327">
        <v>90.62078968100333</v>
      </c>
      <c r="E85" s="327">
        <v>0.73257570335638</v>
      </c>
      <c r="F85" s="327">
        <v>4.2890443345528002</v>
      </c>
      <c r="G85" s="327">
        <v>1990478.2316961272</v>
      </c>
      <c r="H85" s="327">
        <v>16.09096539252544</v>
      </c>
      <c r="I85" s="327">
        <v>94.208507923613965</v>
      </c>
      <c r="J85" s="327" t="s">
        <v>493</v>
      </c>
    </row>
    <row r="86" spans="1:10" x14ac:dyDescent="0.3">
      <c r="A86" s="285" t="s">
        <v>554</v>
      </c>
      <c r="B86" s="327">
        <v>8795000.2471165303</v>
      </c>
      <c r="C86" s="327" t="s">
        <v>551</v>
      </c>
      <c r="D86" s="327">
        <v>50.838234302060421</v>
      </c>
      <c r="E86" s="327">
        <v>2.3338941529224702</v>
      </c>
      <c r="F86" s="327">
        <v>0.75335764658167004</v>
      </c>
      <c r="G86" s="327">
        <v>447122.28324958944</v>
      </c>
      <c r="H86" s="327">
        <v>20.526599651696909</v>
      </c>
      <c r="I86" s="327">
        <v>6.6257806878528998</v>
      </c>
      <c r="J86" s="327" t="s">
        <v>493</v>
      </c>
    </row>
    <row r="87" spans="1:10" x14ac:dyDescent="0.3">
      <c r="A87" s="285" t="s">
        <v>3233</v>
      </c>
      <c r="B87" s="327">
        <v>52888.087323471489</v>
      </c>
      <c r="C87" s="327" t="s">
        <v>551</v>
      </c>
      <c r="D87" s="327">
        <v>8.7168534553273496</v>
      </c>
      <c r="E87" s="327" t="s">
        <v>3126</v>
      </c>
      <c r="F87" s="327" t="s">
        <v>3126</v>
      </c>
      <c r="G87" s="327">
        <v>461.01770673125719</v>
      </c>
      <c r="H87" s="327" t="s">
        <v>3126</v>
      </c>
      <c r="I87" s="327" t="s">
        <v>3126</v>
      </c>
      <c r="J87" s="327" t="s">
        <v>555</v>
      </c>
    </row>
    <row r="88" spans="1:10" x14ac:dyDescent="0.3">
      <c r="A88" s="285" t="s">
        <v>3234</v>
      </c>
      <c r="B88" s="327" t="s">
        <v>522</v>
      </c>
      <c r="C88" s="327" t="s">
        <v>551</v>
      </c>
      <c r="D88" s="327" t="s">
        <v>522</v>
      </c>
      <c r="E88" s="327" t="s">
        <v>522</v>
      </c>
      <c r="F88" s="327" t="s">
        <v>522</v>
      </c>
      <c r="G88" s="327" t="s">
        <v>522</v>
      </c>
      <c r="H88" s="327" t="s">
        <v>522</v>
      </c>
      <c r="I88" s="327" t="s">
        <v>522</v>
      </c>
      <c r="J88" s="327" t="s">
        <v>522</v>
      </c>
    </row>
    <row r="89" spans="1:10" x14ac:dyDescent="0.3">
      <c r="A89" s="285" t="s">
        <v>3235</v>
      </c>
      <c r="B89" s="327">
        <v>195156.84622667928</v>
      </c>
      <c r="C89" s="327" t="s">
        <v>551</v>
      </c>
      <c r="D89" s="327">
        <v>97.735736802039924</v>
      </c>
      <c r="E89" s="327">
        <v>6.192435418265E-2</v>
      </c>
      <c r="F89" s="327">
        <v>6.192435418265E-2</v>
      </c>
      <c r="G89" s="327">
        <v>19073.798157926904</v>
      </c>
      <c r="H89" s="327">
        <v>1.2084961666909999E-2</v>
      </c>
      <c r="I89" s="327">
        <v>1.2084961666909999E-2</v>
      </c>
      <c r="J89" s="327" t="s">
        <v>493</v>
      </c>
    </row>
    <row r="90" spans="1:10" x14ac:dyDescent="0.3">
      <c r="A90" s="286" t="s">
        <v>3236</v>
      </c>
      <c r="B90" s="327">
        <v>29762022.261531696</v>
      </c>
      <c r="C90" s="327" t="s">
        <v>551</v>
      </c>
      <c r="D90" s="328" t="s">
        <v>188</v>
      </c>
      <c r="E90" s="328" t="s">
        <v>188</v>
      </c>
      <c r="F90" s="328" t="s">
        <v>188</v>
      </c>
      <c r="G90" s="327">
        <v>2400057.4856406469</v>
      </c>
      <c r="H90" s="327">
        <v>34.823479419570468</v>
      </c>
      <c r="I90" s="327">
        <v>100.86538569159121</v>
      </c>
      <c r="J90" s="327" t="s">
        <v>555</v>
      </c>
    </row>
    <row r="91" spans="1:10" x14ac:dyDescent="0.3">
      <c r="A91" s="285" t="s">
        <v>552</v>
      </c>
      <c r="B91" s="327">
        <v>1289345.7754762077</v>
      </c>
      <c r="C91" s="327" t="s">
        <v>551</v>
      </c>
      <c r="D91" s="327">
        <v>75.981710695644367</v>
      </c>
      <c r="E91" s="327">
        <v>0.66331306705496995</v>
      </c>
      <c r="F91" s="327">
        <v>0.25283307148143003</v>
      </c>
      <c r="G91" s="327">
        <v>97966.697698884454</v>
      </c>
      <c r="H91" s="327">
        <v>0.85523990082548995</v>
      </c>
      <c r="I91" s="327">
        <v>0.32598925261525002</v>
      </c>
      <c r="J91" s="327" t="s">
        <v>493</v>
      </c>
    </row>
    <row r="92" spans="1:10" x14ac:dyDescent="0.3">
      <c r="A92" s="285" t="s">
        <v>553</v>
      </c>
      <c r="B92" s="327">
        <v>21878947.484241422</v>
      </c>
      <c r="C92" s="327" t="s">
        <v>551</v>
      </c>
      <c r="D92" s="327">
        <v>90.624623010701626</v>
      </c>
      <c r="E92" s="327">
        <v>0.69812515865578995</v>
      </c>
      <c r="F92" s="327">
        <v>4.3002982540659396</v>
      </c>
      <c r="G92" s="327">
        <v>1982771.3676303178</v>
      </c>
      <c r="H92" s="327">
        <v>15.27424368365784</v>
      </c>
      <c r="I92" s="327">
        <v>94.085999667283815</v>
      </c>
      <c r="J92" s="327" t="s">
        <v>493</v>
      </c>
    </row>
    <row r="93" spans="1:10" x14ac:dyDescent="0.3">
      <c r="A93" s="285" t="s">
        <v>554</v>
      </c>
      <c r="B93" s="327">
        <v>6345684.0682639154</v>
      </c>
      <c r="C93" s="327" t="s">
        <v>551</v>
      </c>
      <c r="D93" s="327">
        <v>50.248073994006518</v>
      </c>
      <c r="E93" s="327">
        <v>2.9440341927598199</v>
      </c>
      <c r="F93" s="327">
        <v>1.01506972939916</v>
      </c>
      <c r="G93" s="327">
        <v>318858.40260471357</v>
      </c>
      <c r="H93" s="327">
        <v>18.681910873420229</v>
      </c>
      <c r="I93" s="327">
        <v>6.4413118100252298</v>
      </c>
      <c r="J93" s="327" t="s">
        <v>493</v>
      </c>
    </row>
    <row r="94" spans="1:10" x14ac:dyDescent="0.3">
      <c r="A94" s="285" t="s">
        <v>3233</v>
      </c>
      <c r="B94" s="327">
        <v>52888.087323471489</v>
      </c>
      <c r="C94" s="327" t="s">
        <v>551</v>
      </c>
      <c r="D94" s="327">
        <v>8.7168534553273496</v>
      </c>
      <c r="E94" s="327" t="s">
        <v>527</v>
      </c>
      <c r="F94" s="327" t="s">
        <v>527</v>
      </c>
      <c r="G94" s="327">
        <v>461.01770673125719</v>
      </c>
      <c r="H94" s="327" t="s">
        <v>527</v>
      </c>
      <c r="I94" s="327" t="s">
        <v>527</v>
      </c>
      <c r="J94" s="327" t="s">
        <v>493</v>
      </c>
    </row>
    <row r="95" spans="1:10" x14ac:dyDescent="0.3">
      <c r="A95" s="285" t="s">
        <v>3234</v>
      </c>
      <c r="B95" s="327" t="s">
        <v>522</v>
      </c>
      <c r="C95" s="327" t="s">
        <v>551</v>
      </c>
      <c r="D95" s="327" t="s">
        <v>522</v>
      </c>
      <c r="E95" s="327" t="s">
        <v>522</v>
      </c>
      <c r="F95" s="327" t="s">
        <v>522</v>
      </c>
      <c r="G95" s="327" t="s">
        <v>522</v>
      </c>
      <c r="H95" s="327" t="s">
        <v>522</v>
      </c>
      <c r="I95" s="327" t="s">
        <v>522</v>
      </c>
      <c r="J95" s="327" t="s">
        <v>522</v>
      </c>
    </row>
    <row r="96" spans="1:10" x14ac:dyDescent="0.3">
      <c r="A96" s="285" t="s">
        <v>3235</v>
      </c>
      <c r="B96" s="327">
        <v>195156.84622667928</v>
      </c>
      <c r="C96" s="327" t="s">
        <v>551</v>
      </c>
      <c r="D96" s="327">
        <v>97.735736802039924</v>
      </c>
      <c r="E96" s="327">
        <v>6.192435418265E-2</v>
      </c>
      <c r="F96" s="327">
        <v>6.192435418265E-2</v>
      </c>
      <c r="G96" s="327">
        <v>19073.798157926904</v>
      </c>
      <c r="H96" s="327">
        <v>1.2084961666909999E-2</v>
      </c>
      <c r="I96" s="327">
        <v>1.2084961666909999E-2</v>
      </c>
      <c r="J96" s="327" t="s">
        <v>493</v>
      </c>
    </row>
    <row r="97" spans="1:10" x14ac:dyDescent="0.3">
      <c r="A97" s="287" t="s">
        <v>557</v>
      </c>
      <c r="B97" s="327">
        <v>29762022.261531696</v>
      </c>
      <c r="C97" s="327" t="s">
        <v>551</v>
      </c>
      <c r="D97" s="328" t="s">
        <v>188</v>
      </c>
      <c r="E97" s="328" t="s">
        <v>188</v>
      </c>
      <c r="F97" s="328" t="s">
        <v>188</v>
      </c>
      <c r="G97" s="327">
        <v>2400057.4856406469</v>
      </c>
      <c r="H97" s="327">
        <v>34.823479419570468</v>
      </c>
      <c r="I97" s="327">
        <v>100.86538569159121</v>
      </c>
      <c r="J97" s="327" t="s">
        <v>555</v>
      </c>
    </row>
    <row r="98" spans="1:10" x14ac:dyDescent="0.3">
      <c r="A98" s="288" t="s">
        <v>558</v>
      </c>
      <c r="B98" s="329">
        <v>1289345.7754762077</v>
      </c>
      <c r="C98" s="327" t="s">
        <v>551</v>
      </c>
      <c r="D98" s="327">
        <v>75.981710695644367</v>
      </c>
      <c r="E98" s="327">
        <v>0.66331306705496995</v>
      </c>
      <c r="F98" s="327">
        <v>0.25283307148143003</v>
      </c>
      <c r="G98" s="329">
        <v>97966.697698884454</v>
      </c>
      <c r="H98" s="329">
        <v>0.85523990082548995</v>
      </c>
      <c r="I98" s="329">
        <v>0.32598925261525002</v>
      </c>
      <c r="J98" s="329" t="s">
        <v>493</v>
      </c>
    </row>
    <row r="99" spans="1:10" x14ac:dyDescent="0.3">
      <c r="A99" s="288" t="s">
        <v>559</v>
      </c>
      <c r="B99" s="329">
        <v>21878947.484241422</v>
      </c>
      <c r="C99" s="327" t="s">
        <v>551</v>
      </c>
      <c r="D99" s="327">
        <v>90.624623010701626</v>
      </c>
      <c r="E99" s="327">
        <v>0.69812515865578995</v>
      </c>
      <c r="F99" s="327">
        <v>4.3002982540659396</v>
      </c>
      <c r="G99" s="329">
        <v>1982771.3676303178</v>
      </c>
      <c r="H99" s="329">
        <v>15.27424368365784</v>
      </c>
      <c r="I99" s="329">
        <v>94.085999667283815</v>
      </c>
      <c r="J99" s="329" t="s">
        <v>493</v>
      </c>
    </row>
    <row r="100" spans="1:10" x14ac:dyDescent="0.3">
      <c r="A100" s="288" t="s">
        <v>560</v>
      </c>
      <c r="B100" s="329">
        <v>6345684.0682639154</v>
      </c>
      <c r="C100" s="327" t="s">
        <v>551</v>
      </c>
      <c r="D100" s="327">
        <v>50.248073994006518</v>
      </c>
      <c r="E100" s="327">
        <v>2.9440341927598199</v>
      </c>
      <c r="F100" s="327">
        <v>1.01506972939916</v>
      </c>
      <c r="G100" s="329">
        <v>318858.40260471357</v>
      </c>
      <c r="H100" s="329">
        <v>18.681910873420229</v>
      </c>
      <c r="I100" s="329">
        <v>6.4413118100252298</v>
      </c>
      <c r="J100" s="329" t="s">
        <v>493</v>
      </c>
    </row>
    <row r="101" spans="1:10" x14ac:dyDescent="0.3">
      <c r="A101" s="288" t="s">
        <v>561</v>
      </c>
      <c r="B101" s="329">
        <v>52888.087323471489</v>
      </c>
      <c r="C101" s="327" t="s">
        <v>551</v>
      </c>
      <c r="D101" s="327">
        <v>8.7168534553273496</v>
      </c>
      <c r="E101" s="327" t="s">
        <v>493</v>
      </c>
      <c r="F101" s="327" t="s">
        <v>493</v>
      </c>
      <c r="G101" s="329">
        <v>461.01770673125719</v>
      </c>
      <c r="H101" s="329" t="s">
        <v>493</v>
      </c>
      <c r="I101" s="329" t="s">
        <v>493</v>
      </c>
      <c r="J101" s="329" t="s">
        <v>493</v>
      </c>
    </row>
    <row r="102" spans="1:10" x14ac:dyDescent="0.3">
      <c r="A102" s="288" t="s">
        <v>562</v>
      </c>
      <c r="B102" s="329" t="s">
        <v>522</v>
      </c>
      <c r="C102" s="327" t="s">
        <v>551</v>
      </c>
      <c r="D102" s="327" t="s">
        <v>522</v>
      </c>
      <c r="E102" s="327" t="s">
        <v>522</v>
      </c>
      <c r="F102" s="327" t="s">
        <v>522</v>
      </c>
      <c r="G102" s="329" t="s">
        <v>522</v>
      </c>
      <c r="H102" s="329" t="s">
        <v>522</v>
      </c>
      <c r="I102" s="329" t="s">
        <v>522</v>
      </c>
      <c r="J102" s="329" t="s">
        <v>522</v>
      </c>
    </row>
    <row r="103" spans="1:10" x14ac:dyDescent="0.3">
      <c r="A103" s="288" t="s">
        <v>92</v>
      </c>
      <c r="B103" s="329">
        <v>195156.84622667928</v>
      </c>
      <c r="C103" s="327" t="s">
        <v>551</v>
      </c>
      <c r="D103" s="327">
        <v>97.735736802039924</v>
      </c>
      <c r="E103" s="327">
        <v>6.192435418265E-2</v>
      </c>
      <c r="F103" s="327">
        <v>6.192435418265E-2</v>
      </c>
      <c r="G103" s="329">
        <v>19073.798157926904</v>
      </c>
      <c r="H103" s="329">
        <v>1.2084961666909999E-2</v>
      </c>
      <c r="I103" s="329">
        <v>1.2084961666909999E-2</v>
      </c>
      <c r="J103" s="329" t="s">
        <v>493</v>
      </c>
    </row>
    <row r="104" spans="1:10" x14ac:dyDescent="0.3">
      <c r="A104" s="287" t="s">
        <v>563</v>
      </c>
      <c r="B104" s="327" t="s">
        <v>3127</v>
      </c>
      <c r="C104" s="327" t="s">
        <v>551</v>
      </c>
      <c r="D104" s="328" t="s">
        <v>188</v>
      </c>
      <c r="E104" s="328" t="s">
        <v>188</v>
      </c>
      <c r="F104" s="328" t="s">
        <v>188</v>
      </c>
      <c r="G104" s="327" t="s">
        <v>3127</v>
      </c>
      <c r="H104" s="327" t="s">
        <v>567</v>
      </c>
      <c r="I104" s="327" t="s">
        <v>567</v>
      </c>
      <c r="J104" s="327" t="s">
        <v>555</v>
      </c>
    </row>
    <row r="105" spans="1:10" x14ac:dyDescent="0.3">
      <c r="A105" s="288" t="s">
        <v>558</v>
      </c>
      <c r="B105" s="329" t="s">
        <v>495</v>
      </c>
      <c r="C105" s="327" t="s">
        <v>551</v>
      </c>
      <c r="D105" s="327" t="s">
        <v>527</v>
      </c>
      <c r="E105" s="327" t="s">
        <v>495</v>
      </c>
      <c r="F105" s="327" t="s">
        <v>495</v>
      </c>
      <c r="G105" s="329" t="s">
        <v>495</v>
      </c>
      <c r="H105" s="329" t="s">
        <v>495</v>
      </c>
      <c r="I105" s="329" t="s">
        <v>495</v>
      </c>
      <c r="J105" s="329" t="s">
        <v>493</v>
      </c>
    </row>
    <row r="106" spans="1:10" x14ac:dyDescent="0.3">
      <c r="A106" s="288" t="s">
        <v>559</v>
      </c>
      <c r="B106" s="329" t="s">
        <v>495</v>
      </c>
      <c r="C106" s="327" t="s">
        <v>551</v>
      </c>
      <c r="D106" s="327" t="s">
        <v>527</v>
      </c>
      <c r="E106" s="327" t="s">
        <v>495</v>
      </c>
      <c r="F106" s="327" t="s">
        <v>495</v>
      </c>
      <c r="G106" s="329" t="s">
        <v>495</v>
      </c>
      <c r="H106" s="329" t="s">
        <v>495</v>
      </c>
      <c r="I106" s="329" t="s">
        <v>495</v>
      </c>
      <c r="J106" s="329" t="s">
        <v>493</v>
      </c>
    </row>
    <row r="107" spans="1:10" x14ac:dyDescent="0.3">
      <c r="A107" s="288" t="s">
        <v>560</v>
      </c>
      <c r="B107" s="329" t="s">
        <v>495</v>
      </c>
      <c r="C107" s="327" t="s">
        <v>551</v>
      </c>
      <c r="D107" s="327" t="s">
        <v>527</v>
      </c>
      <c r="E107" s="327" t="s">
        <v>495</v>
      </c>
      <c r="F107" s="327" t="s">
        <v>495</v>
      </c>
      <c r="G107" s="329" t="s">
        <v>495</v>
      </c>
      <c r="H107" s="329" t="s">
        <v>495</v>
      </c>
      <c r="I107" s="329" t="s">
        <v>495</v>
      </c>
      <c r="J107" s="329" t="s">
        <v>493</v>
      </c>
    </row>
    <row r="108" spans="1:10" x14ac:dyDescent="0.3">
      <c r="A108" s="288" t="s">
        <v>561</v>
      </c>
      <c r="B108" s="329" t="s">
        <v>495</v>
      </c>
      <c r="C108" s="327" t="s">
        <v>551</v>
      </c>
      <c r="D108" s="327" t="s">
        <v>527</v>
      </c>
      <c r="E108" s="327" t="s">
        <v>495</v>
      </c>
      <c r="F108" s="327" t="s">
        <v>495</v>
      </c>
      <c r="G108" s="329" t="s">
        <v>495</v>
      </c>
      <c r="H108" s="329" t="s">
        <v>495</v>
      </c>
      <c r="I108" s="329" t="s">
        <v>495</v>
      </c>
      <c r="J108" s="329" t="s">
        <v>493</v>
      </c>
    </row>
    <row r="109" spans="1:10" x14ac:dyDescent="0.3">
      <c r="A109" s="288" t="s">
        <v>562</v>
      </c>
      <c r="B109" s="329" t="s">
        <v>522</v>
      </c>
      <c r="C109" s="327" t="s">
        <v>551</v>
      </c>
      <c r="D109" s="327" t="s">
        <v>522</v>
      </c>
      <c r="E109" s="327" t="s">
        <v>522</v>
      </c>
      <c r="F109" s="327" t="s">
        <v>522</v>
      </c>
      <c r="G109" s="329" t="s">
        <v>522</v>
      </c>
      <c r="H109" s="329" t="s">
        <v>522</v>
      </c>
      <c r="I109" s="329" t="s">
        <v>522</v>
      </c>
      <c r="J109" s="329" t="s">
        <v>522</v>
      </c>
    </row>
    <row r="110" spans="1:10" x14ac:dyDescent="0.3">
      <c r="A110" s="288" t="s">
        <v>92</v>
      </c>
      <c r="B110" s="329" t="s">
        <v>495</v>
      </c>
      <c r="C110" s="327" t="s">
        <v>551</v>
      </c>
      <c r="D110" s="327" t="s">
        <v>527</v>
      </c>
      <c r="E110" s="327" t="s">
        <v>495</v>
      </c>
      <c r="F110" s="327" t="s">
        <v>495</v>
      </c>
      <c r="G110" s="329" t="s">
        <v>495</v>
      </c>
      <c r="H110" s="329" t="s">
        <v>495</v>
      </c>
      <c r="I110" s="329" t="s">
        <v>495</v>
      </c>
      <c r="J110" s="329" t="s">
        <v>493</v>
      </c>
    </row>
    <row r="111" spans="1:10" x14ac:dyDescent="0.3">
      <c r="A111" s="287" t="s">
        <v>564</v>
      </c>
      <c r="B111" s="327" t="s">
        <v>3127</v>
      </c>
      <c r="C111" s="327" t="s">
        <v>551</v>
      </c>
      <c r="D111" s="328" t="s">
        <v>188</v>
      </c>
      <c r="E111" s="328" t="s">
        <v>188</v>
      </c>
      <c r="F111" s="328" t="s">
        <v>188</v>
      </c>
      <c r="G111" s="327" t="s">
        <v>567</v>
      </c>
      <c r="H111" s="327" t="s">
        <v>3127</v>
      </c>
      <c r="I111" s="327" t="s">
        <v>567</v>
      </c>
      <c r="J111" s="327" t="s">
        <v>555</v>
      </c>
    </row>
    <row r="112" spans="1:10" x14ac:dyDescent="0.3">
      <c r="A112" s="288" t="s">
        <v>558</v>
      </c>
      <c r="B112" s="329" t="s">
        <v>495</v>
      </c>
      <c r="C112" s="327" t="s">
        <v>551</v>
      </c>
      <c r="D112" s="327" t="s">
        <v>527</v>
      </c>
      <c r="E112" s="327" t="s">
        <v>495</v>
      </c>
      <c r="F112" s="327" t="s">
        <v>495</v>
      </c>
      <c r="G112" s="329" t="s">
        <v>495</v>
      </c>
      <c r="H112" s="329" t="s">
        <v>495</v>
      </c>
      <c r="I112" s="329" t="s">
        <v>495</v>
      </c>
      <c r="J112" s="329" t="s">
        <v>493</v>
      </c>
    </row>
    <row r="113" spans="1:10" x14ac:dyDescent="0.3">
      <c r="A113" s="288" t="s">
        <v>559</v>
      </c>
      <c r="B113" s="329" t="s">
        <v>495</v>
      </c>
      <c r="C113" s="327" t="s">
        <v>551</v>
      </c>
      <c r="D113" s="327" t="s">
        <v>527</v>
      </c>
      <c r="E113" s="327" t="s">
        <v>495</v>
      </c>
      <c r="F113" s="327" t="s">
        <v>495</v>
      </c>
      <c r="G113" s="329" t="s">
        <v>495</v>
      </c>
      <c r="H113" s="329" t="s">
        <v>495</v>
      </c>
      <c r="I113" s="329" t="s">
        <v>495</v>
      </c>
      <c r="J113" s="329" t="s">
        <v>493</v>
      </c>
    </row>
    <row r="114" spans="1:10" x14ac:dyDescent="0.3">
      <c r="A114" s="288" t="s">
        <v>560</v>
      </c>
      <c r="B114" s="329" t="s">
        <v>495</v>
      </c>
      <c r="C114" s="327" t="s">
        <v>551</v>
      </c>
      <c r="D114" s="327" t="s">
        <v>527</v>
      </c>
      <c r="E114" s="327" t="s">
        <v>495</v>
      </c>
      <c r="F114" s="327" t="s">
        <v>495</v>
      </c>
      <c r="G114" s="329" t="s">
        <v>495</v>
      </c>
      <c r="H114" s="329" t="s">
        <v>495</v>
      </c>
      <c r="I114" s="329" t="s">
        <v>495</v>
      </c>
      <c r="J114" s="329" t="s">
        <v>493</v>
      </c>
    </row>
    <row r="115" spans="1:10" x14ac:dyDescent="0.3">
      <c r="A115" s="288" t="s">
        <v>561</v>
      </c>
      <c r="B115" s="329" t="s">
        <v>495</v>
      </c>
      <c r="C115" s="327" t="s">
        <v>551</v>
      </c>
      <c r="D115" s="327" t="s">
        <v>527</v>
      </c>
      <c r="E115" s="327" t="s">
        <v>495</v>
      </c>
      <c r="F115" s="327" t="s">
        <v>495</v>
      </c>
      <c r="G115" s="329" t="s">
        <v>495</v>
      </c>
      <c r="H115" s="329" t="s">
        <v>495</v>
      </c>
      <c r="I115" s="329" t="s">
        <v>495</v>
      </c>
      <c r="J115" s="329" t="s">
        <v>493</v>
      </c>
    </row>
    <row r="116" spans="1:10" x14ac:dyDescent="0.3">
      <c r="A116" s="288" t="s">
        <v>562</v>
      </c>
      <c r="B116" s="329" t="s">
        <v>522</v>
      </c>
      <c r="C116" s="327" t="s">
        <v>551</v>
      </c>
      <c r="D116" s="327" t="s">
        <v>522</v>
      </c>
      <c r="E116" s="327" t="s">
        <v>522</v>
      </c>
      <c r="F116" s="327" t="s">
        <v>522</v>
      </c>
      <c r="G116" s="329" t="s">
        <v>522</v>
      </c>
      <c r="H116" s="329" t="s">
        <v>522</v>
      </c>
      <c r="I116" s="329" t="s">
        <v>522</v>
      </c>
      <c r="J116" s="329" t="s">
        <v>522</v>
      </c>
    </row>
    <row r="117" spans="1:10" x14ac:dyDescent="0.3">
      <c r="A117" s="288" t="s">
        <v>92</v>
      </c>
      <c r="B117" s="329" t="s">
        <v>495</v>
      </c>
      <c r="C117" s="327" t="s">
        <v>551</v>
      </c>
      <c r="D117" s="327" t="s">
        <v>527</v>
      </c>
      <c r="E117" s="327" t="s">
        <v>495</v>
      </c>
      <c r="F117" s="327" t="s">
        <v>495</v>
      </c>
      <c r="G117" s="329" t="s">
        <v>495</v>
      </c>
      <c r="H117" s="329" t="s">
        <v>495</v>
      </c>
      <c r="I117" s="329" t="s">
        <v>495</v>
      </c>
      <c r="J117" s="329" t="s">
        <v>493</v>
      </c>
    </row>
    <row r="118" spans="1:10" x14ac:dyDescent="0.3">
      <c r="A118" s="289" t="s">
        <v>492</v>
      </c>
      <c r="B118" s="327">
        <v>1778687.0543379753</v>
      </c>
      <c r="C118" s="327" t="s">
        <v>551</v>
      </c>
      <c r="D118" s="328" t="s">
        <v>188</v>
      </c>
      <c r="E118" s="328" t="s">
        <v>188</v>
      </c>
      <c r="F118" s="328" t="s">
        <v>188</v>
      </c>
      <c r="G118" s="327">
        <v>94253.062008181601</v>
      </c>
      <c r="H118" s="327">
        <v>1.46027512323081</v>
      </c>
      <c r="I118" s="327">
        <v>0.26593010197444999</v>
      </c>
      <c r="J118" s="327" t="s">
        <v>555</v>
      </c>
    </row>
    <row r="119" spans="1:10" x14ac:dyDescent="0.3">
      <c r="A119" s="285" t="s">
        <v>552</v>
      </c>
      <c r="B119" s="329">
        <v>49045.406851392239</v>
      </c>
      <c r="C119" s="327" t="s">
        <v>551</v>
      </c>
      <c r="D119" s="327">
        <v>74.659973794071973</v>
      </c>
      <c r="E119" s="327">
        <v>3.1426139568948201</v>
      </c>
      <c r="F119" s="327">
        <v>2.75514054391506</v>
      </c>
      <c r="G119" s="329">
        <v>3661.7287902445428</v>
      </c>
      <c r="H119" s="329">
        <v>0.15413078009277001</v>
      </c>
      <c r="I119" s="329">
        <v>0.13512698890908001</v>
      </c>
      <c r="J119" s="329" t="s">
        <v>493</v>
      </c>
    </row>
    <row r="120" spans="1:10" x14ac:dyDescent="0.3">
      <c r="A120" s="285" t="s">
        <v>553</v>
      </c>
      <c r="B120" s="329">
        <v>397.21842434588893</v>
      </c>
      <c r="C120" s="327" t="s">
        <v>551</v>
      </c>
      <c r="D120" s="327">
        <v>89.645233903118736</v>
      </c>
      <c r="E120" s="327">
        <v>9.5000000000102105</v>
      </c>
      <c r="F120" s="327">
        <v>1.4249999999927201</v>
      </c>
      <c r="G120" s="329">
        <v>35.608738561115487</v>
      </c>
      <c r="H120" s="329">
        <v>3.77357503129E-3</v>
      </c>
      <c r="I120" s="329">
        <v>5.6603625469000001E-4</v>
      </c>
      <c r="J120" s="329" t="s">
        <v>493</v>
      </c>
    </row>
    <row r="121" spans="1:10" x14ac:dyDescent="0.3">
      <c r="A121" s="285" t="s">
        <v>554</v>
      </c>
      <c r="B121" s="329">
        <v>1729244.4290622373</v>
      </c>
      <c r="C121" s="327" t="s">
        <v>551</v>
      </c>
      <c r="D121" s="327">
        <v>52.367220594999381</v>
      </c>
      <c r="E121" s="327">
        <v>0.75314440585650999</v>
      </c>
      <c r="F121" s="327">
        <v>7.5314440585649997E-2</v>
      </c>
      <c r="G121" s="329">
        <v>90555.724479375946</v>
      </c>
      <c r="H121" s="329">
        <v>1.30237076810675</v>
      </c>
      <c r="I121" s="329">
        <v>0.13023707681068</v>
      </c>
      <c r="J121" s="329" t="s">
        <v>493</v>
      </c>
    </row>
    <row r="122" spans="1:10" x14ac:dyDescent="0.3">
      <c r="A122" s="285" t="s">
        <v>3233</v>
      </c>
      <c r="B122" s="329" t="s">
        <v>522</v>
      </c>
      <c r="C122" s="327" t="s">
        <v>551</v>
      </c>
      <c r="D122" s="327" t="s">
        <v>522</v>
      </c>
      <c r="E122" s="327" t="s">
        <v>522</v>
      </c>
      <c r="F122" s="327" t="s">
        <v>522</v>
      </c>
      <c r="G122" s="329" t="s">
        <v>522</v>
      </c>
      <c r="H122" s="329" t="s">
        <v>522</v>
      </c>
      <c r="I122" s="329" t="s">
        <v>522</v>
      </c>
      <c r="J122" s="329" t="s">
        <v>522</v>
      </c>
    </row>
    <row r="123" spans="1:10" x14ac:dyDescent="0.3">
      <c r="A123" s="285" t="s">
        <v>3234</v>
      </c>
      <c r="B123" s="329" t="s">
        <v>522</v>
      </c>
      <c r="C123" s="327" t="s">
        <v>551</v>
      </c>
      <c r="D123" s="327" t="s">
        <v>522</v>
      </c>
      <c r="E123" s="327" t="s">
        <v>522</v>
      </c>
      <c r="F123" s="327" t="s">
        <v>522</v>
      </c>
      <c r="G123" s="329" t="s">
        <v>522</v>
      </c>
      <c r="H123" s="329" t="s">
        <v>522</v>
      </c>
      <c r="I123" s="329" t="s">
        <v>522</v>
      </c>
      <c r="J123" s="329" t="s">
        <v>522</v>
      </c>
    </row>
    <row r="124" spans="1:10" x14ac:dyDescent="0.3">
      <c r="A124" s="285" t="s">
        <v>3235</v>
      </c>
      <c r="B124" s="329" t="s">
        <v>495</v>
      </c>
      <c r="C124" s="327" t="s">
        <v>551</v>
      </c>
      <c r="D124" s="327" t="s">
        <v>527</v>
      </c>
      <c r="E124" s="327" t="s">
        <v>495</v>
      </c>
      <c r="F124" s="327" t="s">
        <v>495</v>
      </c>
      <c r="G124" s="329" t="s">
        <v>495</v>
      </c>
      <c r="H124" s="329" t="s">
        <v>495</v>
      </c>
      <c r="I124" s="329" t="s">
        <v>495</v>
      </c>
      <c r="J124" s="329" t="s">
        <v>493</v>
      </c>
    </row>
    <row r="125" spans="1:10" x14ac:dyDescent="0.3">
      <c r="A125" s="290" t="s">
        <v>3237</v>
      </c>
      <c r="B125" s="327">
        <v>811064.09369339747</v>
      </c>
      <c r="C125" s="327" t="s">
        <v>551</v>
      </c>
      <c r="D125" s="328" t="s">
        <v>188</v>
      </c>
      <c r="E125" s="328" t="s">
        <v>188</v>
      </c>
      <c r="F125" s="328" t="s">
        <v>188</v>
      </c>
      <c r="G125" s="327">
        <v>45783.983149465937</v>
      </c>
      <c r="H125" s="327">
        <v>1.37229551691322</v>
      </c>
      <c r="I125" s="327">
        <v>0.19110373131999001</v>
      </c>
      <c r="J125" s="327" t="s">
        <v>555</v>
      </c>
    </row>
    <row r="126" spans="1:10" x14ac:dyDescent="0.3">
      <c r="A126" s="283" t="s">
        <v>552</v>
      </c>
      <c r="B126" s="327">
        <v>5418.8561307769987</v>
      </c>
      <c r="C126" s="327" t="s">
        <v>551</v>
      </c>
      <c r="D126" s="327">
        <v>74.659973794071973</v>
      </c>
      <c r="E126" s="327">
        <v>3.14261395689392</v>
      </c>
      <c r="F126" s="327">
        <v>2.7551405439157199</v>
      </c>
      <c r="G126" s="327">
        <v>404.57165671765699</v>
      </c>
      <c r="H126" s="327">
        <v>1.7029372906979999E-2</v>
      </c>
      <c r="I126" s="327">
        <v>1.492971022755E-2</v>
      </c>
      <c r="J126" s="327" t="s">
        <v>493</v>
      </c>
    </row>
    <row r="127" spans="1:10" x14ac:dyDescent="0.3">
      <c r="A127" s="283" t="s">
        <v>553</v>
      </c>
      <c r="B127" s="327">
        <v>85573.487772242661</v>
      </c>
      <c r="C127" s="327" t="s">
        <v>551</v>
      </c>
      <c r="D127" s="327">
        <v>89.645233903118736</v>
      </c>
      <c r="E127" s="327">
        <v>9.5000000000000604</v>
      </c>
      <c r="F127" s="327">
        <v>1.42500000000005</v>
      </c>
      <c r="G127" s="327">
        <v>7671.2553272483647</v>
      </c>
      <c r="H127" s="327">
        <v>0.81294813383631004</v>
      </c>
      <c r="I127" s="327">
        <v>0.12194222007545</v>
      </c>
      <c r="J127" s="327" t="s">
        <v>493</v>
      </c>
    </row>
    <row r="128" spans="1:10" x14ac:dyDescent="0.3">
      <c r="A128" s="283" t="s">
        <v>554</v>
      </c>
      <c r="B128" s="327">
        <v>720071.7497903778</v>
      </c>
      <c r="C128" s="327" t="s">
        <v>551</v>
      </c>
      <c r="D128" s="327">
        <v>52.367220594999388</v>
      </c>
      <c r="E128" s="327">
        <v>0.75314440585650999</v>
      </c>
      <c r="F128" s="327">
        <v>7.5314440585649997E-2</v>
      </c>
      <c r="G128" s="327">
        <v>37708.156165499917</v>
      </c>
      <c r="H128" s="327">
        <v>0.54231801016992998</v>
      </c>
      <c r="I128" s="327">
        <v>5.4231801016990003E-2</v>
      </c>
      <c r="J128" s="327" t="s">
        <v>493</v>
      </c>
    </row>
    <row r="129" spans="1:10" x14ac:dyDescent="0.3">
      <c r="A129" s="283" t="s">
        <v>3233</v>
      </c>
      <c r="B129" s="327" t="s">
        <v>522</v>
      </c>
      <c r="C129" s="327" t="s">
        <v>551</v>
      </c>
      <c r="D129" s="327" t="s">
        <v>522</v>
      </c>
      <c r="E129" s="327" t="s">
        <v>522</v>
      </c>
      <c r="F129" s="327" t="s">
        <v>522</v>
      </c>
      <c r="G129" s="327" t="s">
        <v>522</v>
      </c>
      <c r="H129" s="327" t="s">
        <v>522</v>
      </c>
      <c r="I129" s="327" t="s">
        <v>522</v>
      </c>
      <c r="J129" s="327" t="s">
        <v>522</v>
      </c>
    </row>
    <row r="130" spans="1:10" x14ac:dyDescent="0.3">
      <c r="A130" s="283" t="s">
        <v>3234</v>
      </c>
      <c r="B130" s="327" t="s">
        <v>522</v>
      </c>
      <c r="C130" s="327" t="s">
        <v>551</v>
      </c>
      <c r="D130" s="327" t="s">
        <v>522</v>
      </c>
      <c r="E130" s="327" t="s">
        <v>522</v>
      </c>
      <c r="F130" s="327" t="s">
        <v>522</v>
      </c>
      <c r="G130" s="327" t="s">
        <v>522</v>
      </c>
      <c r="H130" s="327" t="s">
        <v>522</v>
      </c>
      <c r="I130" s="327" t="s">
        <v>522</v>
      </c>
      <c r="J130" s="327" t="s">
        <v>522</v>
      </c>
    </row>
    <row r="131" spans="1:10" x14ac:dyDescent="0.3">
      <c r="A131" s="283" t="s">
        <v>3235</v>
      </c>
      <c r="B131" s="327" t="s">
        <v>495</v>
      </c>
      <c r="C131" s="327" t="s">
        <v>551</v>
      </c>
      <c r="D131" s="327" t="s">
        <v>527</v>
      </c>
      <c r="E131" s="327" t="s">
        <v>495</v>
      </c>
      <c r="F131" s="327" t="s">
        <v>495</v>
      </c>
      <c r="G131" s="327" t="s">
        <v>495</v>
      </c>
      <c r="H131" s="327" t="s">
        <v>495</v>
      </c>
      <c r="I131" s="327" t="s">
        <v>495</v>
      </c>
      <c r="J131" s="327" t="s">
        <v>493</v>
      </c>
    </row>
    <row r="132" spans="1:10" x14ac:dyDescent="0.3">
      <c r="A132" s="287" t="s">
        <v>565</v>
      </c>
      <c r="B132" s="327">
        <v>811064.09369339747</v>
      </c>
      <c r="C132" s="327" t="s">
        <v>551</v>
      </c>
      <c r="D132" s="328" t="s">
        <v>188</v>
      </c>
      <c r="E132" s="328" t="s">
        <v>188</v>
      </c>
      <c r="F132" s="328" t="s">
        <v>188</v>
      </c>
      <c r="G132" s="327">
        <v>45783.983149465937</v>
      </c>
      <c r="H132" s="327">
        <v>1.37229551691322</v>
      </c>
      <c r="I132" s="327">
        <v>0.19110373131999001</v>
      </c>
      <c r="J132" s="327" t="s">
        <v>555</v>
      </c>
    </row>
    <row r="133" spans="1:10" x14ac:dyDescent="0.3">
      <c r="A133" s="288" t="s">
        <v>558</v>
      </c>
      <c r="B133" s="329">
        <v>5418.8561307769987</v>
      </c>
      <c r="C133" s="327" t="s">
        <v>551</v>
      </c>
      <c r="D133" s="327">
        <v>74.659973794071973</v>
      </c>
      <c r="E133" s="327">
        <v>3.14261395689392</v>
      </c>
      <c r="F133" s="327">
        <v>2.7551405439157199</v>
      </c>
      <c r="G133" s="329">
        <v>404.57165671765699</v>
      </c>
      <c r="H133" s="329">
        <v>1.7029372906979999E-2</v>
      </c>
      <c r="I133" s="329">
        <v>1.492971022755E-2</v>
      </c>
      <c r="J133" s="329" t="s">
        <v>493</v>
      </c>
    </row>
    <row r="134" spans="1:10" x14ac:dyDescent="0.3">
      <c r="A134" s="288" t="s">
        <v>559</v>
      </c>
      <c r="B134" s="329">
        <v>85573.487772242661</v>
      </c>
      <c r="C134" s="327" t="s">
        <v>551</v>
      </c>
      <c r="D134" s="327">
        <v>89.645233903118736</v>
      </c>
      <c r="E134" s="327">
        <v>9.5000000000000604</v>
      </c>
      <c r="F134" s="327">
        <v>1.42500000000005</v>
      </c>
      <c r="G134" s="329">
        <v>7671.2553272483647</v>
      </c>
      <c r="H134" s="329">
        <v>0.81294813383631004</v>
      </c>
      <c r="I134" s="329">
        <v>0.12194222007545</v>
      </c>
      <c r="J134" s="329" t="s">
        <v>493</v>
      </c>
    </row>
    <row r="135" spans="1:10" x14ac:dyDescent="0.3">
      <c r="A135" s="288" t="s">
        <v>560</v>
      </c>
      <c r="B135" s="329">
        <v>720071.7497903778</v>
      </c>
      <c r="C135" s="327" t="s">
        <v>551</v>
      </c>
      <c r="D135" s="327">
        <v>52.367220594999388</v>
      </c>
      <c r="E135" s="327">
        <v>0.75314440585650999</v>
      </c>
      <c r="F135" s="327">
        <v>7.5314440585649997E-2</v>
      </c>
      <c r="G135" s="329">
        <v>37708.156165499917</v>
      </c>
      <c r="H135" s="329">
        <v>0.54231801016992998</v>
      </c>
      <c r="I135" s="329">
        <v>5.4231801016990003E-2</v>
      </c>
      <c r="J135" s="329" t="s">
        <v>493</v>
      </c>
    </row>
    <row r="136" spans="1:10" x14ac:dyDescent="0.3">
      <c r="A136" s="288" t="s">
        <v>561</v>
      </c>
      <c r="B136" s="329" t="s">
        <v>522</v>
      </c>
      <c r="C136" s="327" t="s">
        <v>551</v>
      </c>
      <c r="D136" s="327" t="s">
        <v>522</v>
      </c>
      <c r="E136" s="327" t="s">
        <v>522</v>
      </c>
      <c r="F136" s="327" t="s">
        <v>522</v>
      </c>
      <c r="G136" s="329" t="s">
        <v>522</v>
      </c>
      <c r="H136" s="329" t="s">
        <v>522</v>
      </c>
      <c r="I136" s="329" t="s">
        <v>522</v>
      </c>
      <c r="J136" s="329" t="s">
        <v>522</v>
      </c>
    </row>
    <row r="137" spans="1:10" x14ac:dyDescent="0.3">
      <c r="A137" s="288" t="s">
        <v>562</v>
      </c>
      <c r="B137" s="329" t="s">
        <v>522</v>
      </c>
      <c r="C137" s="327" t="s">
        <v>551</v>
      </c>
      <c r="D137" s="327" t="s">
        <v>522</v>
      </c>
      <c r="E137" s="327" t="s">
        <v>522</v>
      </c>
      <c r="F137" s="327" t="s">
        <v>522</v>
      </c>
      <c r="G137" s="329" t="s">
        <v>522</v>
      </c>
      <c r="H137" s="329" t="s">
        <v>522</v>
      </c>
      <c r="I137" s="329" t="s">
        <v>522</v>
      </c>
      <c r="J137" s="329" t="s">
        <v>522</v>
      </c>
    </row>
    <row r="138" spans="1:10" x14ac:dyDescent="0.3">
      <c r="A138" s="288" t="s">
        <v>92</v>
      </c>
      <c r="B138" s="329" t="s">
        <v>495</v>
      </c>
      <c r="C138" s="327" t="s">
        <v>551</v>
      </c>
      <c r="D138" s="327" t="s">
        <v>527</v>
      </c>
      <c r="E138" s="327" t="s">
        <v>495</v>
      </c>
      <c r="F138" s="327" t="s">
        <v>495</v>
      </c>
      <c r="G138" s="329" t="s">
        <v>495</v>
      </c>
      <c r="H138" s="329" t="s">
        <v>495</v>
      </c>
      <c r="I138" s="329" t="s">
        <v>495</v>
      </c>
      <c r="J138" s="329" t="s">
        <v>493</v>
      </c>
    </row>
    <row r="139" spans="1:10" x14ac:dyDescent="0.3">
      <c r="A139" s="287" t="s">
        <v>566</v>
      </c>
      <c r="B139" s="327" t="s">
        <v>567</v>
      </c>
      <c r="C139" s="327" t="s">
        <v>551</v>
      </c>
      <c r="D139" s="328" t="s">
        <v>188</v>
      </c>
      <c r="E139" s="328" t="s">
        <v>188</v>
      </c>
      <c r="F139" s="328" t="s">
        <v>188</v>
      </c>
      <c r="G139" s="327" t="s">
        <v>567</v>
      </c>
      <c r="H139" s="327" t="s">
        <v>567</v>
      </c>
      <c r="I139" s="327" t="s">
        <v>567</v>
      </c>
      <c r="J139" s="327" t="s">
        <v>555</v>
      </c>
    </row>
    <row r="140" spans="1:10" x14ac:dyDescent="0.3">
      <c r="A140" s="288" t="s">
        <v>558</v>
      </c>
      <c r="B140" s="329" t="s">
        <v>495</v>
      </c>
      <c r="C140" s="327" t="s">
        <v>551</v>
      </c>
      <c r="D140" s="327" t="s">
        <v>527</v>
      </c>
      <c r="E140" s="327" t="s">
        <v>495</v>
      </c>
      <c r="F140" s="327" t="s">
        <v>495</v>
      </c>
      <c r="G140" s="329" t="s">
        <v>495</v>
      </c>
      <c r="H140" s="329" t="s">
        <v>495</v>
      </c>
      <c r="I140" s="329" t="s">
        <v>495</v>
      </c>
      <c r="J140" s="329" t="s">
        <v>493</v>
      </c>
    </row>
    <row r="141" spans="1:10" x14ac:dyDescent="0.3">
      <c r="A141" s="288" t="s">
        <v>559</v>
      </c>
      <c r="B141" s="329" t="s">
        <v>495</v>
      </c>
      <c r="C141" s="327" t="s">
        <v>551</v>
      </c>
      <c r="D141" s="327" t="s">
        <v>527</v>
      </c>
      <c r="E141" s="327" t="s">
        <v>495</v>
      </c>
      <c r="F141" s="327" t="s">
        <v>495</v>
      </c>
      <c r="G141" s="329" t="s">
        <v>495</v>
      </c>
      <c r="H141" s="329" t="s">
        <v>495</v>
      </c>
      <c r="I141" s="329" t="s">
        <v>495</v>
      </c>
      <c r="J141" s="329" t="s">
        <v>493</v>
      </c>
    </row>
    <row r="142" spans="1:10" x14ac:dyDescent="0.3">
      <c r="A142" s="288" t="s">
        <v>560</v>
      </c>
      <c r="B142" s="329" t="s">
        <v>495</v>
      </c>
      <c r="C142" s="327" t="s">
        <v>551</v>
      </c>
      <c r="D142" s="327" t="s">
        <v>527</v>
      </c>
      <c r="E142" s="327" t="s">
        <v>495</v>
      </c>
      <c r="F142" s="327" t="s">
        <v>495</v>
      </c>
      <c r="G142" s="329" t="s">
        <v>495</v>
      </c>
      <c r="H142" s="329" t="s">
        <v>495</v>
      </c>
      <c r="I142" s="329" t="s">
        <v>495</v>
      </c>
      <c r="J142" s="329" t="s">
        <v>493</v>
      </c>
    </row>
    <row r="143" spans="1:10" x14ac:dyDescent="0.3">
      <c r="A143" s="288" t="s">
        <v>561</v>
      </c>
      <c r="B143" s="329" t="s">
        <v>522</v>
      </c>
      <c r="C143" s="327" t="s">
        <v>551</v>
      </c>
      <c r="D143" s="327" t="s">
        <v>522</v>
      </c>
      <c r="E143" s="327" t="s">
        <v>522</v>
      </c>
      <c r="F143" s="327" t="s">
        <v>522</v>
      </c>
      <c r="G143" s="329" t="s">
        <v>522</v>
      </c>
      <c r="H143" s="329" t="s">
        <v>522</v>
      </c>
      <c r="I143" s="329" t="s">
        <v>522</v>
      </c>
      <c r="J143" s="329" t="s">
        <v>522</v>
      </c>
    </row>
    <row r="144" spans="1:10" x14ac:dyDescent="0.3">
      <c r="A144" s="288" t="s">
        <v>562</v>
      </c>
      <c r="B144" s="329" t="s">
        <v>522</v>
      </c>
      <c r="C144" s="327" t="s">
        <v>551</v>
      </c>
      <c r="D144" s="327" t="s">
        <v>522</v>
      </c>
      <c r="E144" s="327" t="s">
        <v>522</v>
      </c>
      <c r="F144" s="327" t="s">
        <v>522</v>
      </c>
      <c r="G144" s="329" t="s">
        <v>522</v>
      </c>
      <c r="H144" s="329" t="s">
        <v>522</v>
      </c>
      <c r="I144" s="329" t="s">
        <v>522</v>
      </c>
      <c r="J144" s="329" t="s">
        <v>522</v>
      </c>
    </row>
    <row r="145" spans="1:10" x14ac:dyDescent="0.3">
      <c r="A145" s="288" t="s">
        <v>92</v>
      </c>
      <c r="B145" s="329" t="s">
        <v>495</v>
      </c>
      <c r="C145" s="327" t="s">
        <v>551</v>
      </c>
      <c r="D145" s="327" t="s">
        <v>527</v>
      </c>
      <c r="E145" s="327" t="s">
        <v>495</v>
      </c>
      <c r="F145" s="327" t="s">
        <v>495</v>
      </c>
      <c r="G145" s="329" t="s">
        <v>495</v>
      </c>
      <c r="H145" s="329" t="s">
        <v>495</v>
      </c>
      <c r="I145" s="329" t="s">
        <v>495</v>
      </c>
      <c r="J145" s="329" t="s">
        <v>493</v>
      </c>
    </row>
    <row r="146" spans="1:10" x14ac:dyDescent="0.3">
      <c r="A146" s="287" t="s">
        <v>568</v>
      </c>
      <c r="B146" s="327" t="s">
        <v>567</v>
      </c>
      <c r="C146" s="327" t="s">
        <v>551</v>
      </c>
      <c r="D146" s="328" t="s">
        <v>188</v>
      </c>
      <c r="E146" s="328" t="s">
        <v>188</v>
      </c>
      <c r="F146" s="328" t="s">
        <v>188</v>
      </c>
      <c r="G146" s="327" t="s">
        <v>567</v>
      </c>
      <c r="H146" s="327" t="s">
        <v>567</v>
      </c>
      <c r="I146" s="327" t="s">
        <v>567</v>
      </c>
      <c r="J146" s="327" t="s">
        <v>555</v>
      </c>
    </row>
    <row r="147" spans="1:10" x14ac:dyDescent="0.3">
      <c r="A147" s="288" t="s">
        <v>558</v>
      </c>
      <c r="B147" s="329" t="s">
        <v>495</v>
      </c>
      <c r="C147" s="327" t="s">
        <v>551</v>
      </c>
      <c r="D147" s="327" t="s">
        <v>527</v>
      </c>
      <c r="E147" s="327" t="s">
        <v>495</v>
      </c>
      <c r="F147" s="327" t="s">
        <v>495</v>
      </c>
      <c r="G147" s="329" t="s">
        <v>495</v>
      </c>
      <c r="H147" s="329" t="s">
        <v>495</v>
      </c>
      <c r="I147" s="329" t="s">
        <v>495</v>
      </c>
      <c r="J147" s="329" t="s">
        <v>493</v>
      </c>
    </row>
    <row r="148" spans="1:10" x14ac:dyDescent="0.3">
      <c r="A148" s="288" t="s">
        <v>559</v>
      </c>
      <c r="B148" s="329" t="s">
        <v>495</v>
      </c>
      <c r="C148" s="327" t="s">
        <v>551</v>
      </c>
      <c r="D148" s="327" t="s">
        <v>527</v>
      </c>
      <c r="E148" s="327" t="s">
        <v>495</v>
      </c>
      <c r="F148" s="327" t="s">
        <v>495</v>
      </c>
      <c r="G148" s="329" t="s">
        <v>495</v>
      </c>
      <c r="H148" s="329" t="s">
        <v>495</v>
      </c>
      <c r="I148" s="329" t="s">
        <v>495</v>
      </c>
      <c r="J148" s="329" t="s">
        <v>493</v>
      </c>
    </row>
    <row r="149" spans="1:10" x14ac:dyDescent="0.3">
      <c r="A149" s="288" t="s">
        <v>560</v>
      </c>
      <c r="B149" s="329" t="s">
        <v>495</v>
      </c>
      <c r="C149" s="327" t="s">
        <v>551</v>
      </c>
      <c r="D149" s="327" t="s">
        <v>527</v>
      </c>
      <c r="E149" s="327" t="s">
        <v>495</v>
      </c>
      <c r="F149" s="327" t="s">
        <v>495</v>
      </c>
      <c r="G149" s="329" t="s">
        <v>495</v>
      </c>
      <c r="H149" s="329" t="s">
        <v>495</v>
      </c>
      <c r="I149" s="329" t="s">
        <v>495</v>
      </c>
      <c r="J149" s="329" t="s">
        <v>493</v>
      </c>
    </row>
    <row r="150" spans="1:10" x14ac:dyDescent="0.3">
      <c r="A150" s="288" t="s">
        <v>561</v>
      </c>
      <c r="B150" s="329" t="s">
        <v>522</v>
      </c>
      <c r="C150" s="327" t="s">
        <v>551</v>
      </c>
      <c r="D150" s="327" t="s">
        <v>522</v>
      </c>
      <c r="E150" s="327" t="s">
        <v>522</v>
      </c>
      <c r="F150" s="327" t="s">
        <v>522</v>
      </c>
      <c r="G150" s="329" t="s">
        <v>522</v>
      </c>
      <c r="H150" s="329" t="s">
        <v>522</v>
      </c>
      <c r="I150" s="329" t="s">
        <v>522</v>
      </c>
      <c r="J150" s="329" t="s">
        <v>522</v>
      </c>
    </row>
    <row r="151" spans="1:10" x14ac:dyDescent="0.3">
      <c r="A151" s="288" t="s">
        <v>562</v>
      </c>
      <c r="B151" s="329" t="s">
        <v>522</v>
      </c>
      <c r="C151" s="327" t="s">
        <v>551</v>
      </c>
      <c r="D151" s="327" t="s">
        <v>522</v>
      </c>
      <c r="E151" s="327" t="s">
        <v>522</v>
      </c>
      <c r="F151" s="327" t="s">
        <v>522</v>
      </c>
      <c r="G151" s="329" t="s">
        <v>522</v>
      </c>
      <c r="H151" s="329" t="s">
        <v>522</v>
      </c>
      <c r="I151" s="329" t="s">
        <v>522</v>
      </c>
      <c r="J151" s="329" t="s">
        <v>522</v>
      </c>
    </row>
    <row r="152" spans="1:10" x14ac:dyDescent="0.3">
      <c r="A152" s="288" t="s">
        <v>92</v>
      </c>
      <c r="B152" s="329" t="s">
        <v>495</v>
      </c>
      <c r="C152" s="327" t="s">
        <v>551</v>
      </c>
      <c r="D152" s="327" t="s">
        <v>527</v>
      </c>
      <c r="E152" s="327" t="s">
        <v>495</v>
      </c>
      <c r="F152" s="327" t="s">
        <v>495</v>
      </c>
      <c r="G152" s="329" t="s">
        <v>495</v>
      </c>
      <c r="H152" s="329" t="s">
        <v>495</v>
      </c>
      <c r="I152" s="329" t="s">
        <v>495</v>
      </c>
      <c r="J152" s="329" t="s">
        <v>493</v>
      </c>
    </row>
    <row r="153" spans="1:10" x14ac:dyDescent="0.3">
      <c r="A153" s="216" t="s">
        <v>569</v>
      </c>
      <c r="B153" s="327">
        <v>12857095.578220105</v>
      </c>
      <c r="C153" s="327" t="s">
        <v>551</v>
      </c>
      <c r="D153" s="328" t="s">
        <v>188</v>
      </c>
      <c r="E153" s="328" t="s">
        <v>188</v>
      </c>
      <c r="F153" s="328" t="s">
        <v>188</v>
      </c>
      <c r="G153" s="327">
        <v>711227.52746031829</v>
      </c>
      <c r="H153" s="327">
        <v>66.667583289309391</v>
      </c>
      <c r="I153" s="327">
        <v>9.3662220369597406</v>
      </c>
      <c r="J153" s="327" t="s">
        <v>555</v>
      </c>
    </row>
    <row r="154" spans="1:10" x14ac:dyDescent="0.3">
      <c r="A154" s="291" t="s">
        <v>552</v>
      </c>
      <c r="B154" s="327">
        <v>3289687.0402968642</v>
      </c>
      <c r="C154" s="327" t="s">
        <v>551</v>
      </c>
      <c r="D154" s="327">
        <v>74.659973794071988</v>
      </c>
      <c r="E154" s="327">
        <v>2.5953153081467302</v>
      </c>
      <c r="F154" s="327">
        <v>0.48384345490726</v>
      </c>
      <c r="G154" s="327">
        <v>245607.94821926212</v>
      </c>
      <c r="H154" s="327">
        <v>8.5377751346943498</v>
      </c>
      <c r="I154" s="327">
        <v>1.5916935431408601</v>
      </c>
      <c r="J154" s="327" t="s">
        <v>493</v>
      </c>
    </row>
    <row r="155" spans="1:10" x14ac:dyDescent="0.3">
      <c r="A155" s="291" t="s">
        <v>553</v>
      </c>
      <c r="B155" s="327">
        <v>1227490.5647916261</v>
      </c>
      <c r="C155" s="327" t="s">
        <v>551</v>
      </c>
      <c r="D155" s="327">
        <v>89.645233903118751</v>
      </c>
      <c r="E155" s="327">
        <v>9.5</v>
      </c>
      <c r="F155" s="327">
        <v>1.4249999999999901</v>
      </c>
      <c r="G155" s="327">
        <v>110038.67879461666</v>
      </c>
      <c r="H155" s="327">
        <v>11.66116036552045</v>
      </c>
      <c r="I155" s="327">
        <v>1.7491740548280601</v>
      </c>
      <c r="J155" s="327" t="s">
        <v>493</v>
      </c>
    </row>
    <row r="156" spans="1:10" x14ac:dyDescent="0.3">
      <c r="A156" s="291" t="s">
        <v>554</v>
      </c>
      <c r="B156" s="327">
        <v>6790142.6962574841</v>
      </c>
      <c r="C156" s="327" t="s">
        <v>551</v>
      </c>
      <c r="D156" s="327">
        <v>52.367220594999381</v>
      </c>
      <c r="E156" s="327">
        <v>0.75314440585650999</v>
      </c>
      <c r="F156" s="327">
        <v>7.5314440585649997E-2</v>
      </c>
      <c r="G156" s="327">
        <v>355580.90044643951</v>
      </c>
      <c r="H156" s="327">
        <v>5.1139579866537304</v>
      </c>
      <c r="I156" s="327">
        <v>0.51139579866536999</v>
      </c>
      <c r="J156" s="327" t="s">
        <v>493</v>
      </c>
    </row>
    <row r="157" spans="1:10" x14ac:dyDescent="0.3">
      <c r="A157" s="291" t="s">
        <v>3238</v>
      </c>
      <c r="B157" s="327" t="s">
        <v>522</v>
      </c>
      <c r="C157" s="327" t="s">
        <v>551</v>
      </c>
      <c r="D157" s="327" t="s">
        <v>522</v>
      </c>
      <c r="E157" s="327" t="s">
        <v>522</v>
      </c>
      <c r="F157" s="327" t="s">
        <v>522</v>
      </c>
      <c r="G157" s="327" t="s">
        <v>522</v>
      </c>
      <c r="H157" s="327" t="s">
        <v>522</v>
      </c>
      <c r="I157" s="327" t="s">
        <v>522</v>
      </c>
      <c r="J157" s="327" t="s">
        <v>522</v>
      </c>
    </row>
    <row r="158" spans="1:10" x14ac:dyDescent="0.3">
      <c r="A158" s="291" t="s">
        <v>3239</v>
      </c>
      <c r="B158" s="327" t="s">
        <v>522</v>
      </c>
      <c r="C158" s="327" t="s">
        <v>551</v>
      </c>
      <c r="D158" s="327" t="s">
        <v>522</v>
      </c>
      <c r="E158" s="327" t="s">
        <v>522</v>
      </c>
      <c r="F158" s="327" t="s">
        <v>522</v>
      </c>
      <c r="G158" s="327" t="s">
        <v>522</v>
      </c>
      <c r="H158" s="327" t="s">
        <v>522</v>
      </c>
      <c r="I158" s="327" t="s">
        <v>522</v>
      </c>
      <c r="J158" s="327" t="s">
        <v>522</v>
      </c>
    </row>
    <row r="159" spans="1:10" x14ac:dyDescent="0.3">
      <c r="A159" s="291" t="s">
        <v>3240</v>
      </c>
      <c r="B159" s="327">
        <v>1549775.2768741304</v>
      </c>
      <c r="C159" s="327" t="s">
        <v>551</v>
      </c>
      <c r="D159" s="327">
        <v>88.686898265961545</v>
      </c>
      <c r="E159" s="327">
        <v>26.684313796676729</v>
      </c>
      <c r="F159" s="327">
        <v>3.55790850622357</v>
      </c>
      <c r="G159" s="327">
        <v>137444.76231523839</v>
      </c>
      <c r="H159" s="327">
        <v>41.354689802440859</v>
      </c>
      <c r="I159" s="327">
        <v>5.5139586403254501</v>
      </c>
      <c r="J159" s="327" t="s">
        <v>493</v>
      </c>
    </row>
    <row r="160" spans="1:10" x14ac:dyDescent="0.3">
      <c r="A160" s="292" t="s">
        <v>497</v>
      </c>
      <c r="B160" s="327">
        <v>281318.6741082315</v>
      </c>
      <c r="C160" s="327" t="s">
        <v>551</v>
      </c>
      <c r="D160" s="328" t="s">
        <v>188</v>
      </c>
      <c r="E160" s="328" t="s">
        <v>188</v>
      </c>
      <c r="F160" s="328" t="s">
        <v>188</v>
      </c>
      <c r="G160" s="327">
        <v>14978.572362155866</v>
      </c>
      <c r="H160" s="327">
        <v>0.23835740177008</v>
      </c>
      <c r="I160" s="327">
        <v>5.0815371746130003E-2</v>
      </c>
      <c r="J160" s="327" t="s">
        <v>555</v>
      </c>
    </row>
    <row r="161" spans="1:10" x14ac:dyDescent="0.3">
      <c r="A161" s="291" t="s">
        <v>552</v>
      </c>
      <c r="B161" s="329">
        <v>11051.541643286968</v>
      </c>
      <c r="C161" s="327" t="s">
        <v>551</v>
      </c>
      <c r="D161" s="327">
        <v>74.659973794071973</v>
      </c>
      <c r="E161" s="327">
        <v>3.1426139568950102</v>
      </c>
      <c r="F161" s="327">
        <v>2.7551405439145502</v>
      </c>
      <c r="G161" s="329">
        <v>825.10780947190017</v>
      </c>
      <c r="H161" s="329">
        <v>3.4730729013399998E-2</v>
      </c>
      <c r="I161" s="329">
        <v>3.044855045418E-2</v>
      </c>
      <c r="J161" s="329" t="s">
        <v>493</v>
      </c>
    </row>
    <row r="162" spans="1:10" x14ac:dyDescent="0.3">
      <c r="A162" s="291" t="s">
        <v>553</v>
      </c>
      <c r="B162" s="329">
        <v>8.7452974385318907</v>
      </c>
      <c r="C162" s="327" t="s">
        <v>551</v>
      </c>
      <c r="D162" s="327">
        <v>89.645233903119134</v>
      </c>
      <c r="E162" s="327">
        <v>9.5000000004513296</v>
      </c>
      <c r="F162" s="327">
        <v>1.4250000000105301</v>
      </c>
      <c r="G162" s="329">
        <v>0.78397423442953995</v>
      </c>
      <c r="H162" s="329">
        <v>8.3080325669999998E-5</v>
      </c>
      <c r="I162" s="329">
        <v>1.246204885E-5</v>
      </c>
      <c r="J162" s="329" t="s">
        <v>493</v>
      </c>
    </row>
    <row r="163" spans="1:10" x14ac:dyDescent="0.3">
      <c r="A163" s="291" t="s">
        <v>554</v>
      </c>
      <c r="B163" s="329">
        <v>270258.38716750598</v>
      </c>
      <c r="C163" s="327" t="s">
        <v>551</v>
      </c>
      <c r="D163" s="327">
        <v>52.367220594999388</v>
      </c>
      <c r="E163" s="327">
        <v>0.75314440585650999</v>
      </c>
      <c r="F163" s="327">
        <v>7.5314440585649997E-2</v>
      </c>
      <c r="G163" s="329">
        <v>14152.680578449537</v>
      </c>
      <c r="H163" s="329">
        <v>0.20354359243101</v>
      </c>
      <c r="I163" s="329">
        <v>2.0354359243100001E-2</v>
      </c>
      <c r="J163" s="329" t="s">
        <v>493</v>
      </c>
    </row>
    <row r="164" spans="1:10" x14ac:dyDescent="0.3">
      <c r="A164" s="291" t="s">
        <v>3238</v>
      </c>
      <c r="B164" s="329" t="s">
        <v>522</v>
      </c>
      <c r="C164" s="327" t="s">
        <v>551</v>
      </c>
      <c r="D164" s="327" t="s">
        <v>522</v>
      </c>
      <c r="E164" s="327" t="s">
        <v>522</v>
      </c>
      <c r="F164" s="327" t="s">
        <v>522</v>
      </c>
      <c r="G164" s="329" t="s">
        <v>522</v>
      </c>
      <c r="H164" s="329" t="s">
        <v>522</v>
      </c>
      <c r="I164" s="329" t="s">
        <v>522</v>
      </c>
      <c r="J164" s="329" t="s">
        <v>522</v>
      </c>
    </row>
    <row r="165" spans="1:10" x14ac:dyDescent="0.3">
      <c r="A165" s="291" t="s">
        <v>3239</v>
      </c>
      <c r="B165" s="329" t="s">
        <v>522</v>
      </c>
      <c r="C165" s="327" t="s">
        <v>551</v>
      </c>
      <c r="D165" s="327" t="s">
        <v>522</v>
      </c>
      <c r="E165" s="327" t="s">
        <v>522</v>
      </c>
      <c r="F165" s="327" t="s">
        <v>522</v>
      </c>
      <c r="G165" s="329" t="s">
        <v>522</v>
      </c>
      <c r="H165" s="329" t="s">
        <v>522</v>
      </c>
      <c r="I165" s="329" t="s">
        <v>522</v>
      </c>
      <c r="J165" s="329" t="s">
        <v>522</v>
      </c>
    </row>
    <row r="166" spans="1:10" x14ac:dyDescent="0.3">
      <c r="A166" s="291" t="s">
        <v>3240</v>
      </c>
      <c r="B166" s="329" t="s">
        <v>495</v>
      </c>
      <c r="C166" s="327" t="s">
        <v>551</v>
      </c>
      <c r="D166" s="327" t="s">
        <v>527</v>
      </c>
      <c r="E166" s="327" t="s">
        <v>495</v>
      </c>
      <c r="F166" s="327" t="s">
        <v>495</v>
      </c>
      <c r="G166" s="329" t="s">
        <v>495</v>
      </c>
      <c r="H166" s="329" t="s">
        <v>495</v>
      </c>
      <c r="I166" s="329" t="s">
        <v>495</v>
      </c>
      <c r="J166" s="329" t="s">
        <v>493</v>
      </c>
    </row>
    <row r="167" spans="1:10" x14ac:dyDescent="0.3">
      <c r="A167" s="292" t="s">
        <v>498</v>
      </c>
      <c r="B167" s="327">
        <v>80551.220863386668</v>
      </c>
      <c r="C167" s="327" t="s">
        <v>551</v>
      </c>
      <c r="D167" s="328" t="s">
        <v>188</v>
      </c>
      <c r="E167" s="328" t="s">
        <v>188</v>
      </c>
      <c r="F167" s="328" t="s">
        <v>188</v>
      </c>
      <c r="G167" s="327">
        <v>5057.2748720254449</v>
      </c>
      <c r="H167" s="327">
        <v>0.25516926930848</v>
      </c>
      <c r="I167" s="327">
        <v>3.8004328346280002E-2</v>
      </c>
      <c r="J167" s="327" t="s">
        <v>555</v>
      </c>
    </row>
    <row r="168" spans="1:10" x14ac:dyDescent="0.3">
      <c r="A168" s="291" t="s">
        <v>552</v>
      </c>
      <c r="B168" s="329">
        <v>832.8845414672511</v>
      </c>
      <c r="C168" s="327" t="s">
        <v>551</v>
      </c>
      <c r="D168" s="327">
        <v>74.659973794071973</v>
      </c>
      <c r="E168" s="327">
        <v>3.1426139568985101</v>
      </c>
      <c r="F168" s="327">
        <v>2.75514054391923</v>
      </c>
      <c r="G168" s="329">
        <v>62.18313803943262</v>
      </c>
      <c r="H168" s="329">
        <v>2.6174345845000001E-3</v>
      </c>
      <c r="I168" s="329">
        <v>2.2947139686E-3</v>
      </c>
      <c r="J168" s="329" t="s">
        <v>493</v>
      </c>
    </row>
    <row r="169" spans="1:10" x14ac:dyDescent="0.3">
      <c r="A169" s="291" t="s">
        <v>553</v>
      </c>
      <c r="B169" s="329">
        <v>22009.328221657259</v>
      </c>
      <c r="C169" s="327" t="s">
        <v>551</v>
      </c>
      <c r="D169" s="327">
        <v>89.645233903118736</v>
      </c>
      <c r="E169" s="327">
        <v>9.4999999999998206</v>
      </c>
      <c r="F169" s="327">
        <v>1.4249999999999301</v>
      </c>
      <c r="G169" s="329">
        <v>1973.0313764809773</v>
      </c>
      <c r="H169" s="329">
        <v>0.20908861810574</v>
      </c>
      <c r="I169" s="329">
        <v>3.1363292715859997E-2</v>
      </c>
      <c r="J169" s="329" t="s">
        <v>493</v>
      </c>
    </row>
    <row r="170" spans="1:10" x14ac:dyDescent="0.3">
      <c r="A170" s="291" t="s">
        <v>554</v>
      </c>
      <c r="B170" s="329">
        <v>57709.008100262159</v>
      </c>
      <c r="C170" s="327" t="s">
        <v>551</v>
      </c>
      <c r="D170" s="327">
        <v>52.367220594999388</v>
      </c>
      <c r="E170" s="327">
        <v>0.7531444058565</v>
      </c>
      <c r="F170" s="327">
        <v>7.5314440585579998E-2</v>
      </c>
      <c r="G170" s="329">
        <v>3022.060357505035</v>
      </c>
      <c r="H170" s="329">
        <v>4.346321661824E-2</v>
      </c>
      <c r="I170" s="329">
        <v>4.3463216618200001E-3</v>
      </c>
      <c r="J170" s="329" t="s">
        <v>493</v>
      </c>
    </row>
    <row r="171" spans="1:10" x14ac:dyDescent="0.3">
      <c r="A171" s="291" t="s">
        <v>3238</v>
      </c>
      <c r="B171" s="329" t="s">
        <v>522</v>
      </c>
      <c r="C171" s="327" t="s">
        <v>551</v>
      </c>
      <c r="D171" s="327" t="s">
        <v>522</v>
      </c>
      <c r="E171" s="327" t="s">
        <v>522</v>
      </c>
      <c r="F171" s="327" t="s">
        <v>522</v>
      </c>
      <c r="G171" s="329" t="s">
        <v>522</v>
      </c>
      <c r="H171" s="329" t="s">
        <v>522</v>
      </c>
      <c r="I171" s="329" t="s">
        <v>522</v>
      </c>
      <c r="J171" s="329" t="s">
        <v>522</v>
      </c>
    </row>
    <row r="172" spans="1:10" x14ac:dyDescent="0.3">
      <c r="A172" s="291" t="s">
        <v>3239</v>
      </c>
      <c r="B172" s="329" t="s">
        <v>522</v>
      </c>
      <c r="C172" s="327" t="s">
        <v>551</v>
      </c>
      <c r="D172" s="327" t="s">
        <v>522</v>
      </c>
      <c r="E172" s="327" t="s">
        <v>522</v>
      </c>
      <c r="F172" s="327" t="s">
        <v>522</v>
      </c>
      <c r="G172" s="329" t="s">
        <v>522</v>
      </c>
      <c r="H172" s="329" t="s">
        <v>522</v>
      </c>
      <c r="I172" s="329" t="s">
        <v>522</v>
      </c>
      <c r="J172" s="329" t="s">
        <v>522</v>
      </c>
    </row>
    <row r="173" spans="1:10" x14ac:dyDescent="0.3">
      <c r="A173" s="291" t="s">
        <v>3240</v>
      </c>
      <c r="B173" s="329" t="s">
        <v>495</v>
      </c>
      <c r="C173" s="327" t="s">
        <v>551</v>
      </c>
      <c r="D173" s="327" t="s">
        <v>527</v>
      </c>
      <c r="E173" s="327" t="s">
        <v>495</v>
      </c>
      <c r="F173" s="327" t="s">
        <v>495</v>
      </c>
      <c r="G173" s="329" t="s">
        <v>495</v>
      </c>
      <c r="H173" s="329" t="s">
        <v>495</v>
      </c>
      <c r="I173" s="329" t="s">
        <v>495</v>
      </c>
      <c r="J173" s="329" t="s">
        <v>493</v>
      </c>
    </row>
    <row r="174" spans="1:10" x14ac:dyDescent="0.3">
      <c r="A174" s="292" t="s">
        <v>499</v>
      </c>
      <c r="B174" s="327">
        <v>1201393.2916326267</v>
      </c>
      <c r="C174" s="327" t="s">
        <v>551</v>
      </c>
      <c r="D174" s="328" t="s">
        <v>188</v>
      </c>
      <c r="E174" s="328" t="s">
        <v>188</v>
      </c>
      <c r="F174" s="328" t="s">
        <v>188</v>
      </c>
      <c r="G174" s="327">
        <v>67269.957813983725</v>
      </c>
      <c r="H174" s="327">
        <v>1.85662734289529</v>
      </c>
      <c r="I174" s="327">
        <v>0.29458061428601001</v>
      </c>
      <c r="J174" s="327" t="s">
        <v>555</v>
      </c>
    </row>
    <row r="175" spans="1:10" x14ac:dyDescent="0.3">
      <c r="A175" s="291" t="s">
        <v>552</v>
      </c>
      <c r="B175" s="329">
        <v>24762.86184900811</v>
      </c>
      <c r="C175" s="327" t="s">
        <v>551</v>
      </c>
      <c r="D175" s="327">
        <v>74.659973794071973</v>
      </c>
      <c r="E175" s="327">
        <v>3.14261395689477</v>
      </c>
      <c r="F175" s="327">
        <v>2.7551405439150698</v>
      </c>
      <c r="G175" s="329">
        <v>1848.7946167131702</v>
      </c>
      <c r="H175" s="329">
        <v>7.7820115259349995E-2</v>
      </c>
      <c r="I175" s="329">
        <v>6.8225164663569995E-2</v>
      </c>
      <c r="J175" s="329" t="s">
        <v>493</v>
      </c>
    </row>
    <row r="176" spans="1:10" x14ac:dyDescent="0.3">
      <c r="A176" s="291" t="s">
        <v>553</v>
      </c>
      <c r="B176" s="329">
        <v>102052.05654493057</v>
      </c>
      <c r="C176" s="327" t="s">
        <v>551</v>
      </c>
      <c r="D176" s="327">
        <v>89.645233903118736</v>
      </c>
      <c r="E176" s="327">
        <v>9.5</v>
      </c>
      <c r="F176" s="327">
        <v>1.42500000000004</v>
      </c>
      <c r="G176" s="329">
        <v>9148.4804792646009</v>
      </c>
      <c r="H176" s="329">
        <v>0.96949453717683998</v>
      </c>
      <c r="I176" s="329">
        <v>0.14542418057653</v>
      </c>
      <c r="J176" s="329" t="s">
        <v>493</v>
      </c>
    </row>
    <row r="177" spans="1:10" x14ac:dyDescent="0.3">
      <c r="A177" s="291" t="s">
        <v>554</v>
      </c>
      <c r="B177" s="329">
        <v>1074578.3732386879</v>
      </c>
      <c r="C177" s="327" t="s">
        <v>551</v>
      </c>
      <c r="D177" s="327">
        <v>52.367220594999388</v>
      </c>
      <c r="E177" s="327">
        <v>0.7531444058565</v>
      </c>
      <c r="F177" s="327">
        <v>7.5314440585649997E-2</v>
      </c>
      <c r="G177" s="329">
        <v>56272.682718005955</v>
      </c>
      <c r="H177" s="329">
        <v>0.80931269045910004</v>
      </c>
      <c r="I177" s="329">
        <v>8.0931269045909998E-2</v>
      </c>
      <c r="J177" s="329" t="s">
        <v>493</v>
      </c>
    </row>
    <row r="178" spans="1:10" x14ac:dyDescent="0.3">
      <c r="A178" s="291" t="s">
        <v>3238</v>
      </c>
      <c r="B178" s="329" t="s">
        <v>522</v>
      </c>
      <c r="C178" s="327" t="s">
        <v>551</v>
      </c>
      <c r="D178" s="327" t="s">
        <v>522</v>
      </c>
      <c r="E178" s="327" t="s">
        <v>522</v>
      </c>
      <c r="F178" s="327" t="s">
        <v>522</v>
      </c>
      <c r="G178" s="329" t="s">
        <v>522</v>
      </c>
      <c r="H178" s="329" t="s">
        <v>522</v>
      </c>
      <c r="I178" s="329" t="s">
        <v>522</v>
      </c>
      <c r="J178" s="329" t="s">
        <v>522</v>
      </c>
    </row>
    <row r="179" spans="1:10" x14ac:dyDescent="0.3">
      <c r="A179" s="291" t="s">
        <v>3239</v>
      </c>
      <c r="B179" s="329" t="s">
        <v>522</v>
      </c>
      <c r="C179" s="327" t="s">
        <v>551</v>
      </c>
      <c r="D179" s="327" t="s">
        <v>522</v>
      </c>
      <c r="E179" s="327" t="s">
        <v>522</v>
      </c>
      <c r="F179" s="327" t="s">
        <v>522</v>
      </c>
      <c r="G179" s="329" t="s">
        <v>522</v>
      </c>
      <c r="H179" s="329" t="s">
        <v>522</v>
      </c>
      <c r="I179" s="329" t="s">
        <v>522</v>
      </c>
      <c r="J179" s="329" t="s">
        <v>522</v>
      </c>
    </row>
    <row r="180" spans="1:10" x14ac:dyDescent="0.3">
      <c r="A180" s="291" t="s">
        <v>3240</v>
      </c>
      <c r="B180" s="329" t="s">
        <v>495</v>
      </c>
      <c r="C180" s="327" t="s">
        <v>551</v>
      </c>
      <c r="D180" s="327" t="s">
        <v>527</v>
      </c>
      <c r="E180" s="327" t="s">
        <v>495</v>
      </c>
      <c r="F180" s="327" t="s">
        <v>495</v>
      </c>
      <c r="G180" s="329" t="s">
        <v>495</v>
      </c>
      <c r="H180" s="329" t="s">
        <v>495</v>
      </c>
      <c r="I180" s="329" t="s">
        <v>495</v>
      </c>
      <c r="J180" s="329" t="s">
        <v>493</v>
      </c>
    </row>
    <row r="181" spans="1:10" x14ac:dyDescent="0.3">
      <c r="A181" s="292" t="s">
        <v>500</v>
      </c>
      <c r="B181" s="327">
        <v>644986.316561252</v>
      </c>
      <c r="C181" s="327" t="s">
        <v>551</v>
      </c>
      <c r="D181" s="328" t="s">
        <v>188</v>
      </c>
      <c r="E181" s="328" t="s">
        <v>188</v>
      </c>
      <c r="F181" s="328" t="s">
        <v>188</v>
      </c>
      <c r="G181" s="327">
        <v>45070.579654334128</v>
      </c>
      <c r="H181" s="327">
        <v>3.0283235843053902</v>
      </c>
      <c r="I181" s="327">
        <v>0.52839203850651995</v>
      </c>
      <c r="J181" s="327" t="s">
        <v>555</v>
      </c>
    </row>
    <row r="182" spans="1:10" x14ac:dyDescent="0.3">
      <c r="A182" s="291" t="s">
        <v>552</v>
      </c>
      <c r="B182" s="329">
        <v>37854.22878650669</v>
      </c>
      <c r="C182" s="327" t="s">
        <v>551</v>
      </c>
      <c r="D182" s="327">
        <v>74.659973794071973</v>
      </c>
      <c r="E182" s="327">
        <v>3.1426139568949401</v>
      </c>
      <c r="F182" s="327">
        <v>2.7551405439150298</v>
      </c>
      <c r="G182" s="329">
        <v>2826.1957291953945</v>
      </c>
      <c r="H182" s="329">
        <v>0.11896122771197</v>
      </c>
      <c r="I182" s="329">
        <v>0.10429372048834</v>
      </c>
      <c r="J182" s="329" t="s">
        <v>493</v>
      </c>
    </row>
    <row r="183" spans="1:10" x14ac:dyDescent="0.3">
      <c r="A183" s="291" t="s">
        <v>553</v>
      </c>
      <c r="B183" s="329">
        <v>280341.22601860663</v>
      </c>
      <c r="C183" s="327" t="s">
        <v>551</v>
      </c>
      <c r="D183" s="327">
        <v>89.645233903118736</v>
      </c>
      <c r="E183" s="327">
        <v>9.4999999999999893</v>
      </c>
      <c r="F183" s="327">
        <v>1.4249999999999801</v>
      </c>
      <c r="G183" s="329">
        <v>25131.254779125069</v>
      </c>
      <c r="H183" s="329">
        <v>2.6632416471767599</v>
      </c>
      <c r="I183" s="329">
        <v>0.39948624707650998</v>
      </c>
      <c r="J183" s="329" t="s">
        <v>493</v>
      </c>
    </row>
    <row r="184" spans="1:10" x14ac:dyDescent="0.3">
      <c r="A184" s="291" t="s">
        <v>554</v>
      </c>
      <c r="B184" s="329">
        <v>326790.86175613868</v>
      </c>
      <c r="C184" s="327" t="s">
        <v>551</v>
      </c>
      <c r="D184" s="327">
        <v>52.367220594999388</v>
      </c>
      <c r="E184" s="327">
        <v>0.7531444058565</v>
      </c>
      <c r="F184" s="327">
        <v>7.5314440585660003E-2</v>
      </c>
      <c r="G184" s="329">
        <v>17113.129146013664</v>
      </c>
      <c r="H184" s="329">
        <v>0.24612070941666001</v>
      </c>
      <c r="I184" s="329">
        <v>2.4612070941669999E-2</v>
      </c>
      <c r="J184" s="329" t="s">
        <v>493</v>
      </c>
    </row>
    <row r="185" spans="1:10" x14ac:dyDescent="0.3">
      <c r="A185" s="291" t="s">
        <v>3238</v>
      </c>
      <c r="B185" s="329" t="s">
        <v>522</v>
      </c>
      <c r="C185" s="327" t="s">
        <v>551</v>
      </c>
      <c r="D185" s="327" t="s">
        <v>522</v>
      </c>
      <c r="E185" s="327" t="s">
        <v>522</v>
      </c>
      <c r="F185" s="327" t="s">
        <v>522</v>
      </c>
      <c r="G185" s="329" t="s">
        <v>522</v>
      </c>
      <c r="H185" s="329" t="s">
        <v>522</v>
      </c>
      <c r="I185" s="329" t="s">
        <v>522</v>
      </c>
      <c r="J185" s="329" t="s">
        <v>522</v>
      </c>
    </row>
    <row r="186" spans="1:10" x14ac:dyDescent="0.3">
      <c r="A186" s="291" t="s">
        <v>3239</v>
      </c>
      <c r="B186" s="329" t="s">
        <v>522</v>
      </c>
      <c r="C186" s="327" t="s">
        <v>551</v>
      </c>
      <c r="D186" s="327" t="s">
        <v>522</v>
      </c>
      <c r="E186" s="327" t="s">
        <v>522</v>
      </c>
      <c r="F186" s="327" t="s">
        <v>522</v>
      </c>
      <c r="G186" s="329" t="s">
        <v>522</v>
      </c>
      <c r="H186" s="329" t="s">
        <v>522</v>
      </c>
      <c r="I186" s="329" t="s">
        <v>522</v>
      </c>
      <c r="J186" s="329" t="s">
        <v>522</v>
      </c>
    </row>
    <row r="187" spans="1:10" x14ac:dyDescent="0.3">
      <c r="A187" s="291" t="s">
        <v>3240</v>
      </c>
      <c r="B187" s="329" t="s">
        <v>495</v>
      </c>
      <c r="C187" s="327" t="s">
        <v>551</v>
      </c>
      <c r="D187" s="327" t="s">
        <v>527</v>
      </c>
      <c r="E187" s="327" t="s">
        <v>495</v>
      </c>
      <c r="F187" s="327" t="s">
        <v>495</v>
      </c>
      <c r="G187" s="329" t="s">
        <v>495</v>
      </c>
      <c r="H187" s="329" t="s">
        <v>495</v>
      </c>
      <c r="I187" s="329" t="s">
        <v>495</v>
      </c>
      <c r="J187" s="329" t="s">
        <v>493</v>
      </c>
    </row>
    <row r="188" spans="1:10" x14ac:dyDescent="0.3">
      <c r="A188" s="292" t="s">
        <v>501</v>
      </c>
      <c r="B188" s="327">
        <v>644167.08432937111</v>
      </c>
      <c r="C188" s="327" t="s">
        <v>551</v>
      </c>
      <c r="D188" s="328" t="s">
        <v>188</v>
      </c>
      <c r="E188" s="328" t="s">
        <v>188</v>
      </c>
      <c r="F188" s="328" t="s">
        <v>188</v>
      </c>
      <c r="G188" s="327">
        <v>46357.764227420019</v>
      </c>
      <c r="H188" s="327">
        <v>3.41919088614388</v>
      </c>
      <c r="I188" s="327">
        <v>0.52415757023381004</v>
      </c>
      <c r="J188" s="327" t="s">
        <v>555</v>
      </c>
    </row>
    <row r="189" spans="1:10" x14ac:dyDescent="0.3">
      <c r="A189" s="291" t="s">
        <v>552</v>
      </c>
      <c r="B189" s="329">
        <v>9910.6834716533631</v>
      </c>
      <c r="C189" s="327" t="s">
        <v>551</v>
      </c>
      <c r="D189" s="327">
        <v>74.659973794071973</v>
      </c>
      <c r="E189" s="327">
        <v>3.1426139568943499</v>
      </c>
      <c r="F189" s="327">
        <v>2.7551405439149499</v>
      </c>
      <c r="G189" s="329">
        <v>739.93136827498245</v>
      </c>
      <c r="H189" s="329">
        <v>3.1145452200380001E-2</v>
      </c>
      <c r="I189" s="329">
        <v>2.7305325850659999E-2</v>
      </c>
      <c r="J189" s="329" t="s">
        <v>493</v>
      </c>
    </row>
    <row r="190" spans="1:10" x14ac:dyDescent="0.3">
      <c r="A190" s="291" t="s">
        <v>553</v>
      </c>
      <c r="B190" s="329">
        <v>332732.0020816935</v>
      </c>
      <c r="C190" s="327" t="s">
        <v>551</v>
      </c>
      <c r="D190" s="327">
        <v>89.645233903118736</v>
      </c>
      <c r="E190" s="327">
        <v>9.5000000000000107</v>
      </c>
      <c r="F190" s="327">
        <v>1.4249999999999901</v>
      </c>
      <c r="G190" s="329">
        <v>29827.838153666406</v>
      </c>
      <c r="H190" s="329">
        <v>3.1609540197760899</v>
      </c>
      <c r="I190" s="329">
        <v>0.47414310296640999</v>
      </c>
      <c r="J190" s="329" t="s">
        <v>493</v>
      </c>
    </row>
    <row r="191" spans="1:10" x14ac:dyDescent="0.3">
      <c r="A191" s="291" t="s">
        <v>554</v>
      </c>
      <c r="B191" s="329">
        <v>301524.39877602429</v>
      </c>
      <c r="C191" s="327" t="s">
        <v>551</v>
      </c>
      <c r="D191" s="327">
        <v>52.367220594999388</v>
      </c>
      <c r="E191" s="327">
        <v>0.75314440585650999</v>
      </c>
      <c r="F191" s="327">
        <v>7.5314440585649997E-2</v>
      </c>
      <c r="G191" s="329">
        <v>15789.994705478628</v>
      </c>
      <c r="H191" s="329">
        <v>0.22709141416740999</v>
      </c>
      <c r="I191" s="329">
        <v>2.2709141416739999E-2</v>
      </c>
      <c r="J191" s="329" t="s">
        <v>493</v>
      </c>
    </row>
    <row r="192" spans="1:10" x14ac:dyDescent="0.3">
      <c r="A192" s="291" t="s">
        <v>3238</v>
      </c>
      <c r="B192" s="329" t="s">
        <v>522</v>
      </c>
      <c r="C192" s="327" t="s">
        <v>551</v>
      </c>
      <c r="D192" s="327" t="s">
        <v>522</v>
      </c>
      <c r="E192" s="327" t="s">
        <v>522</v>
      </c>
      <c r="F192" s="327" t="s">
        <v>522</v>
      </c>
      <c r="G192" s="329" t="s">
        <v>522</v>
      </c>
      <c r="H192" s="329" t="s">
        <v>522</v>
      </c>
      <c r="I192" s="329" t="s">
        <v>522</v>
      </c>
      <c r="J192" s="329" t="s">
        <v>522</v>
      </c>
    </row>
    <row r="193" spans="1:10" x14ac:dyDescent="0.3">
      <c r="A193" s="291" t="s">
        <v>3239</v>
      </c>
      <c r="B193" s="329" t="s">
        <v>522</v>
      </c>
      <c r="C193" s="327" t="s">
        <v>551</v>
      </c>
      <c r="D193" s="327" t="s">
        <v>522</v>
      </c>
      <c r="E193" s="327" t="s">
        <v>522</v>
      </c>
      <c r="F193" s="327" t="s">
        <v>522</v>
      </c>
      <c r="G193" s="329" t="s">
        <v>522</v>
      </c>
      <c r="H193" s="329" t="s">
        <v>522</v>
      </c>
      <c r="I193" s="329" t="s">
        <v>522</v>
      </c>
      <c r="J193" s="329" t="s">
        <v>522</v>
      </c>
    </row>
    <row r="194" spans="1:10" x14ac:dyDescent="0.3">
      <c r="A194" s="291" t="s">
        <v>3240</v>
      </c>
      <c r="B194" s="329" t="s">
        <v>495</v>
      </c>
      <c r="C194" s="327" t="s">
        <v>551</v>
      </c>
      <c r="D194" s="327" t="s">
        <v>527</v>
      </c>
      <c r="E194" s="327" t="s">
        <v>495</v>
      </c>
      <c r="F194" s="327" t="s">
        <v>495</v>
      </c>
      <c r="G194" s="329" t="s">
        <v>495</v>
      </c>
      <c r="H194" s="329" t="s">
        <v>495</v>
      </c>
      <c r="I194" s="329" t="s">
        <v>495</v>
      </c>
      <c r="J194" s="329" t="s">
        <v>493</v>
      </c>
    </row>
    <row r="195" spans="1:10" x14ac:dyDescent="0.3">
      <c r="A195" s="292" t="s">
        <v>502</v>
      </c>
      <c r="B195" s="327">
        <v>526636.63815383136</v>
      </c>
      <c r="C195" s="327" t="s">
        <v>551</v>
      </c>
      <c r="D195" s="328" t="s">
        <v>188</v>
      </c>
      <c r="E195" s="328" t="s">
        <v>188</v>
      </c>
      <c r="F195" s="328" t="s">
        <v>188</v>
      </c>
      <c r="G195" s="327">
        <v>36302.033778109631</v>
      </c>
      <c r="H195" s="327">
        <v>2.4295382607283198</v>
      </c>
      <c r="I195" s="327">
        <v>0.36471649490099001</v>
      </c>
      <c r="J195" s="327" t="s">
        <v>555</v>
      </c>
    </row>
    <row r="196" spans="1:10" x14ac:dyDescent="0.3">
      <c r="A196" s="291" t="s">
        <v>552</v>
      </c>
      <c r="B196" s="329">
        <v>4917.664842663351</v>
      </c>
      <c r="C196" s="327" t="s">
        <v>551</v>
      </c>
      <c r="D196" s="327">
        <v>74.659973794071973</v>
      </c>
      <c r="E196" s="327">
        <v>3.14261395689384</v>
      </c>
      <c r="F196" s="327">
        <v>2.7551405439155698</v>
      </c>
      <c r="G196" s="329">
        <v>367.1527282812749</v>
      </c>
      <c r="H196" s="329">
        <v>1.545432216988E-2</v>
      </c>
      <c r="I196" s="329">
        <v>1.354885778941E-2</v>
      </c>
      <c r="J196" s="329" t="s">
        <v>493</v>
      </c>
    </row>
    <row r="197" spans="1:10" x14ac:dyDescent="0.3">
      <c r="A197" s="291" t="s">
        <v>553</v>
      </c>
      <c r="B197" s="329">
        <v>231072.091064726</v>
      </c>
      <c r="C197" s="327" t="s">
        <v>551</v>
      </c>
      <c r="D197" s="327">
        <v>89.645233903118736</v>
      </c>
      <c r="E197" s="327">
        <v>9.5000000000000107</v>
      </c>
      <c r="F197" s="327">
        <v>1.4249999999999801</v>
      </c>
      <c r="G197" s="329">
        <v>20714.511651980116</v>
      </c>
      <c r="H197" s="329">
        <v>2.1951848651149</v>
      </c>
      <c r="I197" s="329">
        <v>0.32927772976723002</v>
      </c>
      <c r="J197" s="329" t="s">
        <v>493</v>
      </c>
    </row>
    <row r="198" spans="1:10" x14ac:dyDescent="0.3">
      <c r="A198" s="291" t="s">
        <v>554</v>
      </c>
      <c r="B198" s="329">
        <v>290646.88224644202</v>
      </c>
      <c r="C198" s="327" t="s">
        <v>551</v>
      </c>
      <c r="D198" s="327">
        <v>52.367220594999388</v>
      </c>
      <c r="E198" s="327">
        <v>0.7531444058565</v>
      </c>
      <c r="F198" s="327">
        <v>7.5314440585640005E-2</v>
      </c>
      <c r="G198" s="329">
        <v>15220.369397848241</v>
      </c>
      <c r="H198" s="329">
        <v>0.21889907344354001</v>
      </c>
      <c r="I198" s="329">
        <v>2.188990734435E-2</v>
      </c>
      <c r="J198" s="329" t="s">
        <v>493</v>
      </c>
    </row>
    <row r="199" spans="1:10" x14ac:dyDescent="0.3">
      <c r="A199" s="291" t="s">
        <v>3238</v>
      </c>
      <c r="B199" s="329" t="s">
        <v>522</v>
      </c>
      <c r="C199" s="327" t="s">
        <v>551</v>
      </c>
      <c r="D199" s="327" t="s">
        <v>522</v>
      </c>
      <c r="E199" s="327" t="s">
        <v>522</v>
      </c>
      <c r="F199" s="327" t="s">
        <v>522</v>
      </c>
      <c r="G199" s="329" t="s">
        <v>522</v>
      </c>
      <c r="H199" s="329" t="s">
        <v>522</v>
      </c>
      <c r="I199" s="329" t="s">
        <v>522</v>
      </c>
      <c r="J199" s="329" t="s">
        <v>522</v>
      </c>
    </row>
    <row r="200" spans="1:10" x14ac:dyDescent="0.3">
      <c r="A200" s="293" t="s">
        <v>3239</v>
      </c>
      <c r="B200" s="329" t="s">
        <v>522</v>
      </c>
      <c r="C200" s="327" t="s">
        <v>551</v>
      </c>
      <c r="D200" s="327" t="s">
        <v>522</v>
      </c>
      <c r="E200" s="327" t="s">
        <v>522</v>
      </c>
      <c r="F200" s="327" t="s">
        <v>522</v>
      </c>
      <c r="G200" s="329" t="s">
        <v>522</v>
      </c>
      <c r="H200" s="329" t="s">
        <v>522</v>
      </c>
      <c r="I200" s="329" t="s">
        <v>522</v>
      </c>
      <c r="J200" s="329" t="s">
        <v>522</v>
      </c>
    </row>
    <row r="201" spans="1:10" x14ac:dyDescent="0.3">
      <c r="A201" s="291" t="s">
        <v>3240</v>
      </c>
      <c r="B201" s="329" t="s">
        <v>495</v>
      </c>
      <c r="C201" s="327" t="s">
        <v>551</v>
      </c>
      <c r="D201" s="327" t="s">
        <v>527</v>
      </c>
      <c r="E201" s="327" t="s">
        <v>495</v>
      </c>
      <c r="F201" s="327" t="s">
        <v>495</v>
      </c>
      <c r="G201" s="329" t="s">
        <v>495</v>
      </c>
      <c r="H201" s="329" t="s">
        <v>495</v>
      </c>
      <c r="I201" s="329" t="s">
        <v>495</v>
      </c>
      <c r="J201" s="329" t="s">
        <v>493</v>
      </c>
    </row>
    <row r="202" spans="1:10" x14ac:dyDescent="0.3">
      <c r="A202" s="292" t="s">
        <v>3241</v>
      </c>
      <c r="B202" s="327">
        <v>9478042.3525714055</v>
      </c>
      <c r="C202" s="327" t="s">
        <v>551</v>
      </c>
      <c r="D202" s="328" t="s">
        <v>188</v>
      </c>
      <c r="E202" s="328" t="s">
        <v>188</v>
      </c>
      <c r="F202" s="328" t="s">
        <v>188</v>
      </c>
      <c r="G202" s="327">
        <v>496191.34475228947</v>
      </c>
      <c r="H202" s="327">
        <v>55.440376544157949</v>
      </c>
      <c r="I202" s="327">
        <v>7.5655556189400004</v>
      </c>
      <c r="J202" s="327" t="s">
        <v>555</v>
      </c>
    </row>
    <row r="203" spans="1:10" x14ac:dyDescent="0.3">
      <c r="A203" s="287" t="s">
        <v>570</v>
      </c>
      <c r="B203" s="327">
        <v>9478042.3525714055</v>
      </c>
      <c r="C203" s="327" t="s">
        <v>551</v>
      </c>
      <c r="D203" s="328" t="s">
        <v>188</v>
      </c>
      <c r="E203" s="328" t="s">
        <v>188</v>
      </c>
      <c r="F203" s="328" t="s">
        <v>188</v>
      </c>
      <c r="G203" s="327">
        <v>496191.34475228947</v>
      </c>
      <c r="H203" s="327">
        <v>55.440376544157949</v>
      </c>
      <c r="I203" s="327">
        <v>7.5655556189400004</v>
      </c>
      <c r="J203" s="327" t="s">
        <v>555</v>
      </c>
    </row>
    <row r="204" spans="1:10" x14ac:dyDescent="0.3">
      <c r="A204" s="288" t="s">
        <v>571</v>
      </c>
      <c r="B204" s="327">
        <v>9478042.3525714055</v>
      </c>
      <c r="C204" s="327" t="s">
        <v>551</v>
      </c>
      <c r="D204" s="328" t="s">
        <v>188</v>
      </c>
      <c r="E204" s="328" t="s">
        <v>188</v>
      </c>
      <c r="F204" s="328" t="s">
        <v>188</v>
      </c>
      <c r="G204" s="327">
        <v>496191.34475228947</v>
      </c>
      <c r="H204" s="327">
        <v>55.440376544157949</v>
      </c>
      <c r="I204" s="327">
        <v>7.5655556189400004</v>
      </c>
      <c r="J204" s="327" t="s">
        <v>555</v>
      </c>
    </row>
    <row r="205" spans="1:10" x14ac:dyDescent="0.3">
      <c r="A205" s="294" t="s">
        <v>558</v>
      </c>
      <c r="B205" s="329">
        <v>3200357.1751622786</v>
      </c>
      <c r="C205" s="327" t="s">
        <v>551</v>
      </c>
      <c r="D205" s="327">
        <v>74.659973794071988</v>
      </c>
      <c r="E205" s="327">
        <v>2.5800388524872</v>
      </c>
      <c r="F205" s="327">
        <v>0.42044594908624999</v>
      </c>
      <c r="G205" s="329">
        <v>238938.58282928597</v>
      </c>
      <c r="H205" s="329">
        <v>8.2570458537548692</v>
      </c>
      <c r="I205" s="329">
        <v>1.3455772099261001</v>
      </c>
      <c r="J205" s="329" t="s">
        <v>493</v>
      </c>
    </row>
    <row r="206" spans="1:10" x14ac:dyDescent="0.3">
      <c r="A206" s="294" t="s">
        <v>559</v>
      </c>
      <c r="B206" s="329">
        <v>259275.11556257354</v>
      </c>
      <c r="C206" s="327" t="s">
        <v>551</v>
      </c>
      <c r="D206" s="327">
        <v>89.645233903118793</v>
      </c>
      <c r="E206" s="327">
        <v>9.5000000000000107</v>
      </c>
      <c r="F206" s="327">
        <v>1.42500000000001</v>
      </c>
      <c r="G206" s="329">
        <v>23242.778379865063</v>
      </c>
      <c r="H206" s="329">
        <v>2.4631135978444498</v>
      </c>
      <c r="I206" s="329">
        <v>0.36946703967666999</v>
      </c>
      <c r="J206" s="329" t="s">
        <v>493</v>
      </c>
    </row>
    <row r="207" spans="1:10" x14ac:dyDescent="0.3">
      <c r="A207" s="294" t="s">
        <v>560</v>
      </c>
      <c r="B207" s="329">
        <v>4468634.7849724228</v>
      </c>
      <c r="C207" s="327" t="s">
        <v>551</v>
      </c>
      <c r="D207" s="327">
        <v>52.367220594999367</v>
      </c>
      <c r="E207" s="327">
        <v>0.75314440585650999</v>
      </c>
      <c r="F207" s="327">
        <v>7.5314440585649997E-2</v>
      </c>
      <c r="G207" s="329">
        <v>234009.98354313846</v>
      </c>
      <c r="H207" s="329">
        <v>3.36552729011777</v>
      </c>
      <c r="I207" s="329">
        <v>0.33655272901178002</v>
      </c>
      <c r="J207" s="329" t="s">
        <v>493</v>
      </c>
    </row>
    <row r="208" spans="1:10" x14ac:dyDescent="0.3">
      <c r="A208" s="294" t="s">
        <v>561</v>
      </c>
      <c r="B208" s="329" t="s">
        <v>522</v>
      </c>
      <c r="C208" s="327" t="s">
        <v>551</v>
      </c>
      <c r="D208" s="327" t="s">
        <v>522</v>
      </c>
      <c r="E208" s="327" t="s">
        <v>522</v>
      </c>
      <c r="F208" s="327" t="s">
        <v>522</v>
      </c>
      <c r="G208" s="329" t="s">
        <v>522</v>
      </c>
      <c r="H208" s="329" t="s">
        <v>522</v>
      </c>
      <c r="I208" s="329" t="s">
        <v>522</v>
      </c>
      <c r="J208" s="329" t="s">
        <v>522</v>
      </c>
    </row>
    <row r="209" spans="1:10" x14ac:dyDescent="0.3">
      <c r="A209" s="294" t="s">
        <v>562</v>
      </c>
      <c r="B209" s="329" t="s">
        <v>522</v>
      </c>
      <c r="C209" s="327" t="s">
        <v>551</v>
      </c>
      <c r="D209" s="327" t="s">
        <v>522</v>
      </c>
      <c r="E209" s="327" t="s">
        <v>522</v>
      </c>
      <c r="F209" s="327" t="s">
        <v>522</v>
      </c>
      <c r="G209" s="329" t="s">
        <v>522</v>
      </c>
      <c r="H209" s="329" t="s">
        <v>522</v>
      </c>
      <c r="I209" s="329" t="s">
        <v>522</v>
      </c>
      <c r="J209" s="329" t="s">
        <v>522</v>
      </c>
    </row>
    <row r="210" spans="1:10" x14ac:dyDescent="0.3">
      <c r="A210" s="294" t="s">
        <v>92</v>
      </c>
      <c r="B210" s="329">
        <v>1549775.2768741304</v>
      </c>
      <c r="C210" s="327" t="s">
        <v>551</v>
      </c>
      <c r="D210" s="327">
        <v>88.686898265961545</v>
      </c>
      <c r="E210" s="327">
        <v>26.684313796676729</v>
      </c>
      <c r="F210" s="327">
        <v>3.55790850622357</v>
      </c>
      <c r="G210" s="329">
        <v>137444.76231523839</v>
      </c>
      <c r="H210" s="329">
        <v>41.354689802440859</v>
      </c>
      <c r="I210" s="329">
        <v>5.5139586403254501</v>
      </c>
      <c r="J210" s="329" t="s">
        <v>493</v>
      </c>
    </row>
    <row r="211" spans="1:10" x14ac:dyDescent="0.3">
      <c r="A211" s="295" t="s">
        <v>572</v>
      </c>
      <c r="B211" s="327">
        <v>27381911.119104017</v>
      </c>
      <c r="C211" s="327" t="s">
        <v>551</v>
      </c>
      <c r="D211" s="328" t="s">
        <v>188</v>
      </c>
      <c r="E211" s="328" t="s">
        <v>188</v>
      </c>
      <c r="F211" s="328" t="s">
        <v>188</v>
      </c>
      <c r="G211" s="327">
        <v>1830505.6056332772</v>
      </c>
      <c r="H211" s="327">
        <v>160.28001983992968</v>
      </c>
      <c r="I211" s="327">
        <v>137.97722792661688</v>
      </c>
    </row>
    <row r="212" spans="1:10" x14ac:dyDescent="0.3">
      <c r="A212" s="283" t="s">
        <v>552</v>
      </c>
      <c r="B212" s="327">
        <v>26378279.690856297</v>
      </c>
      <c r="C212" s="327" t="s">
        <v>551</v>
      </c>
      <c r="D212" s="327">
        <v>68.140519616442361</v>
      </c>
      <c r="E212" s="327">
        <v>5.7327599121391097</v>
      </c>
      <c r="F212" s="327">
        <v>5.2271031113979696</v>
      </c>
      <c r="G212" s="327">
        <v>1797429.6847227968</v>
      </c>
      <c r="H212" s="327">
        <v>151.2203443629343</v>
      </c>
      <c r="I212" s="327">
        <v>137.88198784540089</v>
      </c>
    </row>
    <row r="213" spans="1:10" x14ac:dyDescent="0.3">
      <c r="A213" s="283" t="s">
        <v>553</v>
      </c>
      <c r="B213" s="327" t="s">
        <v>522</v>
      </c>
      <c r="C213" s="327" t="s">
        <v>551</v>
      </c>
      <c r="D213" s="327" t="s">
        <v>522</v>
      </c>
      <c r="E213" s="327" t="s">
        <v>522</v>
      </c>
      <c r="F213" s="327" t="s">
        <v>522</v>
      </c>
      <c r="G213" s="327" t="s">
        <v>522</v>
      </c>
      <c r="H213" s="327" t="s">
        <v>522</v>
      </c>
      <c r="I213" s="327" t="s">
        <v>522</v>
      </c>
    </row>
    <row r="214" spans="1:10" x14ac:dyDescent="0.3">
      <c r="A214" s="283" t="s">
        <v>554</v>
      </c>
      <c r="B214" s="327">
        <v>658252.51161717589</v>
      </c>
      <c r="C214" s="327" t="s">
        <v>551</v>
      </c>
      <c r="D214" s="327">
        <v>50.248073994006511</v>
      </c>
      <c r="E214" s="327">
        <v>13.756093189850089</v>
      </c>
      <c r="F214" s="327">
        <v>0.13734370307478</v>
      </c>
      <c r="G214" s="327">
        <v>33075.920910480483</v>
      </c>
      <c r="H214" s="327">
        <v>9.0549828922587494</v>
      </c>
      <c r="I214" s="327">
        <v>9.0406837503779994E-2</v>
      </c>
    </row>
    <row r="215" spans="1:10" x14ac:dyDescent="0.3">
      <c r="A215" s="283" t="s">
        <v>3233</v>
      </c>
      <c r="B215" s="327" t="s">
        <v>567</v>
      </c>
      <c r="C215" s="327" t="s">
        <v>551</v>
      </c>
      <c r="D215" s="327" t="s">
        <v>567</v>
      </c>
      <c r="E215" s="327" t="s">
        <v>3126</v>
      </c>
      <c r="F215" s="327" t="s">
        <v>3126</v>
      </c>
      <c r="G215" s="327" t="s">
        <v>567</v>
      </c>
      <c r="H215" s="327" t="s">
        <v>3126</v>
      </c>
      <c r="I215" s="327" t="s">
        <v>3126</v>
      </c>
    </row>
    <row r="216" spans="1:10" x14ac:dyDescent="0.3">
      <c r="A216" s="283" t="s">
        <v>3235</v>
      </c>
      <c r="B216" s="327">
        <v>345378.91663054173</v>
      </c>
      <c r="C216" s="327" t="s">
        <v>551</v>
      </c>
      <c r="D216" s="327">
        <v>65.065035461819363</v>
      </c>
      <c r="E216" s="327">
        <v>1.358677241335E-2</v>
      </c>
      <c r="F216" s="327">
        <v>1.399403229176E-2</v>
      </c>
      <c r="G216" s="327">
        <v>22472.091458330953</v>
      </c>
      <c r="H216" s="327">
        <v>4.6925847366299997E-3</v>
      </c>
      <c r="I216" s="327">
        <v>4.8332437122200001E-3</v>
      </c>
    </row>
    <row r="217" spans="1:10" x14ac:dyDescent="0.3">
      <c r="A217" s="59" t="s">
        <v>3242</v>
      </c>
      <c r="B217" s="327">
        <v>2513561.9207105725</v>
      </c>
      <c r="C217" s="327" t="s">
        <v>551</v>
      </c>
      <c r="D217" s="328" t="s">
        <v>188</v>
      </c>
      <c r="E217" s="328" t="s">
        <v>188</v>
      </c>
      <c r="F217" s="328" t="s">
        <v>188</v>
      </c>
      <c r="G217" s="327">
        <v>170713.69036083069</v>
      </c>
      <c r="H217" s="327">
        <v>2.0771880881664</v>
      </c>
      <c r="I217" s="327">
        <v>5.2617344805668296</v>
      </c>
    </row>
    <row r="218" spans="1:10" x14ac:dyDescent="0.3">
      <c r="A218" s="283" t="s">
        <v>573</v>
      </c>
      <c r="B218" s="329">
        <v>37296.193325856322</v>
      </c>
      <c r="C218" s="327" t="s">
        <v>551</v>
      </c>
      <c r="D218" s="327">
        <v>65.528560814054615</v>
      </c>
      <c r="E218" s="327">
        <v>55.694372613795643</v>
      </c>
      <c r="F218" s="327">
        <v>0.84385413051206004</v>
      </c>
      <c r="G218" s="329">
        <v>2443.9658724861142</v>
      </c>
      <c r="H218" s="329">
        <v>2.0771880881664</v>
      </c>
      <c r="I218" s="329">
        <v>3.1472546790399999E-2</v>
      </c>
    </row>
    <row r="219" spans="1:10" x14ac:dyDescent="0.3">
      <c r="A219" s="283" t="s">
        <v>574</v>
      </c>
      <c r="B219" s="329">
        <v>2476265.7273847163</v>
      </c>
      <c r="C219" s="327" t="s">
        <v>551</v>
      </c>
      <c r="D219" s="327">
        <v>67.953015957645619</v>
      </c>
      <c r="E219" s="327" t="s">
        <v>522</v>
      </c>
      <c r="F219" s="327">
        <v>2.1121569773129001</v>
      </c>
      <c r="G219" s="329">
        <v>168269.72448834457</v>
      </c>
      <c r="H219" s="329" t="s">
        <v>522</v>
      </c>
      <c r="I219" s="329">
        <v>5.23026193377643</v>
      </c>
    </row>
    <row r="220" spans="1:10" x14ac:dyDescent="0.3">
      <c r="A220" s="283" t="s">
        <v>92</v>
      </c>
      <c r="B220" s="329" t="s">
        <v>522</v>
      </c>
      <c r="C220" s="327" t="s">
        <v>551</v>
      </c>
      <c r="D220" s="327" t="s">
        <v>522</v>
      </c>
      <c r="E220" s="327" t="s">
        <v>522</v>
      </c>
      <c r="F220" s="327" t="s">
        <v>522</v>
      </c>
      <c r="G220" s="329" t="s">
        <v>522</v>
      </c>
      <c r="H220" s="329" t="s">
        <v>522</v>
      </c>
      <c r="I220" s="329" t="s">
        <v>522</v>
      </c>
    </row>
    <row r="221" spans="1:10" x14ac:dyDescent="0.3">
      <c r="A221" s="296" t="s">
        <v>3243</v>
      </c>
      <c r="B221" s="327">
        <v>23026953.414224558</v>
      </c>
      <c r="C221" s="327" t="s">
        <v>551</v>
      </c>
      <c r="D221" s="328" t="s">
        <v>188</v>
      </c>
      <c r="E221" s="328" t="s">
        <v>188</v>
      </c>
      <c r="F221" s="328" t="s">
        <v>188</v>
      </c>
      <c r="G221" s="327">
        <v>1543321.2347240872</v>
      </c>
      <c r="H221" s="327">
        <v>95.722338182973743</v>
      </c>
      <c r="I221" s="327">
        <v>108.02744179292077</v>
      </c>
    </row>
    <row r="222" spans="1:10" x14ac:dyDescent="0.3">
      <c r="A222" s="283" t="s">
        <v>575</v>
      </c>
      <c r="B222" s="327">
        <v>16921811.276726622</v>
      </c>
      <c r="C222" s="327" t="s">
        <v>551</v>
      </c>
      <c r="D222" s="327">
        <v>67.143364802995379</v>
      </c>
      <c r="E222" s="327">
        <v>5.1050721535713901</v>
      </c>
      <c r="F222" s="327">
        <v>6.3193548667016204</v>
      </c>
      <c r="G222" s="327">
        <v>1136187.3476806968</v>
      </c>
      <c r="H222" s="327">
        <v>86.387067536807479</v>
      </c>
      <c r="I222" s="327">
        <v>106.93493044498868</v>
      </c>
    </row>
    <row r="223" spans="1:10" x14ac:dyDescent="0.3">
      <c r="A223" s="283" t="s">
        <v>576</v>
      </c>
      <c r="B223" s="327">
        <v>5716335.5992072541</v>
      </c>
      <c r="C223" s="327" t="s">
        <v>551</v>
      </c>
      <c r="D223" s="327">
        <v>70.79246071620166</v>
      </c>
      <c r="E223" s="327">
        <v>0.18688644136495999</v>
      </c>
      <c r="F223" s="327">
        <v>0.18566201675339999</v>
      </c>
      <c r="G223" s="327">
        <v>404673.46334750456</v>
      </c>
      <c r="H223" s="327">
        <v>1.0683056177837</v>
      </c>
      <c r="I223" s="327">
        <v>1.0613063957880999</v>
      </c>
    </row>
    <row r="224" spans="1:10" x14ac:dyDescent="0.3">
      <c r="A224" s="283" t="s">
        <v>577</v>
      </c>
      <c r="B224" s="327">
        <v>29789.5019987257</v>
      </c>
      <c r="C224" s="327" t="s">
        <v>551</v>
      </c>
      <c r="D224" s="327">
        <v>59.589262354098238</v>
      </c>
      <c r="E224" s="327">
        <v>0.32721071521896999</v>
      </c>
      <c r="F224" s="327">
        <v>0.67984698987101</v>
      </c>
      <c r="G224" s="327">
        <v>1775.1344499999996</v>
      </c>
      <c r="H224" s="327">
        <v>9.7474442550200009E-3</v>
      </c>
      <c r="I224" s="327">
        <v>2.025230326359E-2</v>
      </c>
    </row>
    <row r="225" spans="1:9" x14ac:dyDescent="0.3">
      <c r="A225" s="283" t="s">
        <v>3244</v>
      </c>
      <c r="B225" s="327" t="s">
        <v>567</v>
      </c>
      <c r="C225" s="327" t="s">
        <v>551</v>
      </c>
      <c r="D225" s="328" t="s">
        <v>188</v>
      </c>
      <c r="E225" s="328" t="s">
        <v>188</v>
      </c>
      <c r="F225" s="328" t="s">
        <v>188</v>
      </c>
      <c r="G225" s="327" t="s">
        <v>567</v>
      </c>
      <c r="H225" s="327">
        <v>1.05278679567487</v>
      </c>
      <c r="I225" s="327">
        <v>1.4965547714000001E-4</v>
      </c>
    </row>
    <row r="226" spans="1:9" x14ac:dyDescent="0.3">
      <c r="A226" s="283" t="s">
        <v>554</v>
      </c>
      <c r="B226" s="327">
        <v>13638.11966141349</v>
      </c>
      <c r="C226" s="327" t="s">
        <v>551</v>
      </c>
      <c r="D226" s="327">
        <v>50.248073994006518</v>
      </c>
      <c r="E226" s="327">
        <v>527.9128195425908</v>
      </c>
      <c r="F226" s="327">
        <v>0.43772527586264998</v>
      </c>
      <c r="G226" s="327">
        <v>685.28924588582026</v>
      </c>
      <c r="H226" s="327">
        <v>7.1997382037160396</v>
      </c>
      <c r="I226" s="327">
        <v>5.9697496910400003E-3</v>
      </c>
    </row>
    <row r="227" spans="1:9" x14ac:dyDescent="0.3">
      <c r="A227" s="283" t="s">
        <v>3235</v>
      </c>
      <c r="B227" s="327">
        <v>345378.91663054173</v>
      </c>
      <c r="C227" s="327" t="s">
        <v>551</v>
      </c>
      <c r="D227" s="327">
        <v>65.065035461819363</v>
      </c>
      <c r="E227" s="327">
        <v>1.358677241335E-2</v>
      </c>
      <c r="F227" s="327">
        <v>1.399403229176E-2</v>
      </c>
      <c r="G227" s="327">
        <v>22472.091458330953</v>
      </c>
      <c r="H227" s="327">
        <v>4.6925847366299997E-3</v>
      </c>
      <c r="I227" s="327">
        <v>4.8332437122200001E-3</v>
      </c>
    </row>
    <row r="228" spans="1:9" x14ac:dyDescent="0.3">
      <c r="A228" s="283" t="s">
        <v>3245</v>
      </c>
      <c r="B228" s="327" t="s">
        <v>567</v>
      </c>
      <c r="C228" s="327" t="s">
        <v>551</v>
      </c>
      <c r="D228" s="328" t="s">
        <v>188</v>
      </c>
      <c r="E228" s="328" t="s">
        <v>188</v>
      </c>
      <c r="F228" s="328" t="s">
        <v>188</v>
      </c>
      <c r="G228" s="327" t="s">
        <v>567</v>
      </c>
      <c r="H228" s="327" t="s">
        <v>3126</v>
      </c>
      <c r="I228" s="327" t="s">
        <v>3126</v>
      </c>
    </row>
    <row r="229" spans="1:9" x14ac:dyDescent="0.3">
      <c r="A229" s="297" t="s">
        <v>578</v>
      </c>
      <c r="B229" s="327">
        <v>9895321.6493915115</v>
      </c>
      <c r="C229" s="327" t="s">
        <v>551</v>
      </c>
      <c r="D229" s="328" t="s">
        <v>188</v>
      </c>
      <c r="E229" s="328" t="s">
        <v>188</v>
      </c>
      <c r="F229" s="328" t="s">
        <v>188</v>
      </c>
      <c r="G229" s="327">
        <v>641430.12035975454</v>
      </c>
      <c r="H229" s="327">
        <v>50.343513986278801</v>
      </c>
      <c r="I229" s="327">
        <v>58.026007452344672</v>
      </c>
    </row>
    <row r="230" spans="1:9" x14ac:dyDescent="0.3">
      <c r="A230" s="283" t="s">
        <v>575</v>
      </c>
      <c r="B230" s="329">
        <v>9488919.2231781483</v>
      </c>
      <c r="C230" s="327" t="s">
        <v>551</v>
      </c>
      <c r="D230" s="327">
        <v>67.143364802995379</v>
      </c>
      <c r="E230" s="327">
        <v>5.3042882930240696</v>
      </c>
      <c r="F230" s="327">
        <v>6.1142265296351903</v>
      </c>
      <c r="G230" s="329">
        <v>637117.96498800593</v>
      </c>
      <c r="H230" s="329">
        <v>50.331963148954898</v>
      </c>
      <c r="I230" s="329">
        <v>58.017401651921162</v>
      </c>
    </row>
    <row r="231" spans="1:9" x14ac:dyDescent="0.3">
      <c r="A231" s="283" t="s">
        <v>576</v>
      </c>
      <c r="B231" s="329">
        <v>60577.355202458224</v>
      </c>
      <c r="C231" s="327" t="s">
        <v>551</v>
      </c>
      <c r="D231" s="327">
        <v>70.792460716201674</v>
      </c>
      <c r="E231" s="327">
        <v>5.0531921540309999E-2</v>
      </c>
      <c r="F231" s="327">
        <v>0.11107027591734001</v>
      </c>
      <c r="G231" s="329">
        <v>4288.4200384614187</v>
      </c>
      <c r="H231" s="329">
        <v>3.06109016021E-3</v>
      </c>
      <c r="I231" s="329">
        <v>6.7283435566800002E-3</v>
      </c>
    </row>
    <row r="232" spans="1:9" x14ac:dyDescent="0.3">
      <c r="A232" s="283" t="s">
        <v>577</v>
      </c>
      <c r="B232" s="329">
        <v>140.98152388821543</v>
      </c>
      <c r="C232" s="327" t="s">
        <v>551</v>
      </c>
      <c r="D232" s="327">
        <v>59.58926235409826</v>
      </c>
      <c r="E232" s="327">
        <v>0.33296282083898998</v>
      </c>
      <c r="F232" s="327">
        <v>0.40322366046400998</v>
      </c>
      <c r="G232" s="329">
        <v>8.4009850140554398</v>
      </c>
      <c r="H232" s="329">
        <v>4.6941605880000003E-5</v>
      </c>
      <c r="I232" s="329">
        <v>5.684708612E-5</v>
      </c>
    </row>
    <row r="233" spans="1:9" x14ac:dyDescent="0.3">
      <c r="A233" s="283" t="s">
        <v>3244</v>
      </c>
      <c r="B233" s="327" t="s">
        <v>495</v>
      </c>
      <c r="C233" s="327" t="s">
        <v>551</v>
      </c>
      <c r="D233" s="328" t="s">
        <v>188</v>
      </c>
      <c r="E233" s="328" t="s">
        <v>188</v>
      </c>
      <c r="F233" s="328" t="s">
        <v>188</v>
      </c>
      <c r="G233" s="327" t="s">
        <v>495</v>
      </c>
      <c r="H233" s="327" t="s">
        <v>522</v>
      </c>
      <c r="I233" s="327" t="s">
        <v>522</v>
      </c>
    </row>
    <row r="234" spans="1:9" x14ac:dyDescent="0.3">
      <c r="A234" s="294" t="s">
        <v>579</v>
      </c>
      <c r="B234" s="329" t="s">
        <v>495</v>
      </c>
      <c r="C234" s="327" t="s">
        <v>551</v>
      </c>
      <c r="D234" s="327" t="s">
        <v>495</v>
      </c>
      <c r="E234" s="327" t="s">
        <v>522</v>
      </c>
      <c r="F234" s="327" t="s">
        <v>522</v>
      </c>
      <c r="G234" s="329" t="s">
        <v>495</v>
      </c>
      <c r="H234" s="329" t="s">
        <v>522</v>
      </c>
      <c r="I234" s="329" t="s">
        <v>522</v>
      </c>
    </row>
    <row r="235" spans="1:9" x14ac:dyDescent="0.3">
      <c r="A235" s="283" t="s">
        <v>554</v>
      </c>
      <c r="B235" s="329">
        <v>305.17285647552848</v>
      </c>
      <c r="C235" s="327" t="s">
        <v>551</v>
      </c>
      <c r="D235" s="327">
        <v>50.248073994006504</v>
      </c>
      <c r="E235" s="327">
        <v>25.74784814192703</v>
      </c>
      <c r="F235" s="327">
        <v>3.1181083671388201</v>
      </c>
      <c r="G235" s="329">
        <v>15.334348273144681</v>
      </c>
      <c r="H235" s="329">
        <v>7.8575443655700006E-3</v>
      </c>
      <c r="I235" s="329">
        <v>9.5156203720000001E-4</v>
      </c>
    </row>
    <row r="236" spans="1:9" x14ac:dyDescent="0.3">
      <c r="A236" s="283" t="s">
        <v>3235</v>
      </c>
      <c r="B236" s="329">
        <v>345378.91663054173</v>
      </c>
      <c r="C236" s="327" t="s">
        <v>551</v>
      </c>
      <c r="D236" s="327">
        <v>65.065035461819363</v>
      </c>
      <c r="E236" s="327">
        <v>1.6945481152999999E-3</v>
      </c>
      <c r="F236" s="327">
        <v>2.5162153845099998E-3</v>
      </c>
      <c r="G236" s="329">
        <v>22472.091458330953</v>
      </c>
      <c r="H236" s="329">
        <v>5.8526119223999997E-4</v>
      </c>
      <c r="I236" s="329">
        <v>8.6904774350999995E-4</v>
      </c>
    </row>
    <row r="237" spans="1:9" x14ac:dyDescent="0.3">
      <c r="A237" s="283" t="s">
        <v>3245</v>
      </c>
      <c r="B237" s="327" t="s">
        <v>495</v>
      </c>
      <c r="C237" s="327" t="s">
        <v>551</v>
      </c>
      <c r="D237" s="328" t="s">
        <v>188</v>
      </c>
      <c r="E237" s="328" t="s">
        <v>188</v>
      </c>
      <c r="F237" s="328" t="s">
        <v>188</v>
      </c>
      <c r="G237" s="327" t="s">
        <v>495</v>
      </c>
      <c r="H237" s="327" t="s">
        <v>495</v>
      </c>
      <c r="I237" s="327" t="s">
        <v>495</v>
      </c>
    </row>
    <row r="238" spans="1:9" x14ac:dyDescent="0.3">
      <c r="A238" s="294" t="s">
        <v>87</v>
      </c>
      <c r="B238" s="329" t="s">
        <v>495</v>
      </c>
      <c r="C238" s="327" t="s">
        <v>551</v>
      </c>
      <c r="D238" s="327" t="s">
        <v>495</v>
      </c>
      <c r="E238" s="327" t="s">
        <v>495</v>
      </c>
      <c r="F238" s="327" t="s">
        <v>495</v>
      </c>
      <c r="G238" s="329" t="s">
        <v>495</v>
      </c>
      <c r="H238" s="329" t="s">
        <v>495</v>
      </c>
      <c r="I238" s="329" t="s">
        <v>495</v>
      </c>
    </row>
    <row r="239" spans="1:9" x14ac:dyDescent="0.3">
      <c r="A239" s="297" t="s">
        <v>580</v>
      </c>
      <c r="B239" s="327">
        <v>7275346.9410186997</v>
      </c>
      <c r="C239" s="327" t="s">
        <v>551</v>
      </c>
      <c r="D239" s="328" t="s">
        <v>188</v>
      </c>
      <c r="E239" s="328" t="s">
        <v>188</v>
      </c>
      <c r="F239" s="328" t="s">
        <v>188</v>
      </c>
      <c r="G239" s="327">
        <v>489781.06499535905</v>
      </c>
      <c r="H239" s="327">
        <v>32.089244234644681</v>
      </c>
      <c r="I239" s="327">
        <v>45.787711245390042</v>
      </c>
    </row>
    <row r="240" spans="1:9" x14ac:dyDescent="0.3">
      <c r="A240" s="283" t="s">
        <v>575</v>
      </c>
      <c r="B240" s="329">
        <v>6900391.8026401587</v>
      </c>
      <c r="C240" s="327" t="s">
        <v>551</v>
      </c>
      <c r="D240" s="327">
        <v>67.143364802995393</v>
      </c>
      <c r="E240" s="327">
        <v>4.6393852673657197</v>
      </c>
      <c r="F240" s="327">
        <v>6.6251876256970998</v>
      </c>
      <c r="G240" s="329">
        <v>463315.52408826712</v>
      </c>
      <c r="H240" s="329">
        <v>32.013576068219912</v>
      </c>
      <c r="I240" s="329">
        <v>45.716390383313303</v>
      </c>
    </row>
    <row r="241" spans="1:9" x14ac:dyDescent="0.3">
      <c r="A241" s="283" t="s">
        <v>576</v>
      </c>
      <c r="B241" s="329">
        <v>368504.73200550408</v>
      </c>
      <c r="C241" s="327" t="s">
        <v>551</v>
      </c>
      <c r="D241" s="327">
        <v>70.79246071620166</v>
      </c>
      <c r="E241" s="327">
        <v>0.10430192094477</v>
      </c>
      <c r="F241" s="327">
        <v>0.16232031354685</v>
      </c>
      <c r="G241" s="329">
        <v>26087.356764234068</v>
      </c>
      <c r="H241" s="329">
        <v>3.8435751425410003E-2</v>
      </c>
      <c r="I241" s="329">
        <v>5.9815803642629999E-2</v>
      </c>
    </row>
    <row r="242" spans="1:9" x14ac:dyDescent="0.3">
      <c r="A242" s="283" t="s">
        <v>577</v>
      </c>
      <c r="B242" s="329">
        <v>5787.6625596214753</v>
      </c>
      <c r="C242" s="327" t="s">
        <v>551</v>
      </c>
      <c r="D242" s="327">
        <v>59.589262354098253</v>
      </c>
      <c r="E242" s="327">
        <v>0.62659220241706004</v>
      </c>
      <c r="F242" s="327">
        <v>0.80766557619863999</v>
      </c>
      <c r="G242" s="329">
        <v>344.88254268227587</v>
      </c>
      <c r="H242" s="329">
        <v>3.6265042300800002E-3</v>
      </c>
      <c r="I242" s="329">
        <v>4.6744958160599998E-3</v>
      </c>
    </row>
    <row r="243" spans="1:9" x14ac:dyDescent="0.3">
      <c r="A243" s="283" t="s">
        <v>3244</v>
      </c>
      <c r="B243" s="327" t="s">
        <v>495</v>
      </c>
      <c r="C243" s="327" t="s">
        <v>551</v>
      </c>
      <c r="D243" s="328" t="s">
        <v>188</v>
      </c>
      <c r="E243" s="328" t="s">
        <v>188</v>
      </c>
      <c r="F243" s="328" t="s">
        <v>188</v>
      </c>
      <c r="G243" s="327" t="s">
        <v>495</v>
      </c>
      <c r="H243" s="327">
        <v>9.7455516189999999E-5</v>
      </c>
      <c r="I243" s="327">
        <v>1.256183293E-5</v>
      </c>
    </row>
    <row r="244" spans="1:9" x14ac:dyDescent="0.3">
      <c r="A244" s="294" t="s">
        <v>579</v>
      </c>
      <c r="B244" s="329" t="s">
        <v>495</v>
      </c>
      <c r="C244" s="327" t="s">
        <v>551</v>
      </c>
      <c r="D244" s="327" t="s">
        <v>495</v>
      </c>
      <c r="E244" s="327" t="s">
        <v>495</v>
      </c>
      <c r="F244" s="327" t="s">
        <v>495</v>
      </c>
      <c r="G244" s="329" t="s">
        <v>495</v>
      </c>
      <c r="H244" s="329">
        <v>9.7455516189999999E-5</v>
      </c>
      <c r="I244" s="329">
        <v>1.256183293E-5</v>
      </c>
    </row>
    <row r="245" spans="1:9" x14ac:dyDescent="0.3">
      <c r="A245" s="283" t="s">
        <v>554</v>
      </c>
      <c r="B245" s="329">
        <v>662.74381341579385</v>
      </c>
      <c r="C245" s="327" t="s">
        <v>551</v>
      </c>
      <c r="D245" s="327">
        <v>50.248073994006518</v>
      </c>
      <c r="E245" s="327">
        <v>47.605136115704603</v>
      </c>
      <c r="F245" s="327">
        <v>6.1362126024835497</v>
      </c>
      <c r="G245" s="329">
        <v>33.301600175586863</v>
      </c>
      <c r="H245" s="329">
        <v>3.1550009447499999E-2</v>
      </c>
      <c r="I245" s="329">
        <v>4.0667369401000001E-3</v>
      </c>
    </row>
    <row r="246" spans="1:9" x14ac:dyDescent="0.3">
      <c r="A246" s="283" t="s">
        <v>3235</v>
      </c>
      <c r="B246" s="329" t="s">
        <v>495</v>
      </c>
      <c r="C246" s="327" t="s">
        <v>551</v>
      </c>
      <c r="D246" s="327" t="s">
        <v>495</v>
      </c>
      <c r="E246" s="327" t="s">
        <v>495</v>
      </c>
      <c r="F246" s="327" t="s">
        <v>495</v>
      </c>
      <c r="G246" s="329" t="s">
        <v>495</v>
      </c>
      <c r="H246" s="329">
        <v>1.9584458055900002E-3</v>
      </c>
      <c r="I246" s="329">
        <v>2.75126384502E-3</v>
      </c>
    </row>
    <row r="247" spans="1:9" x14ac:dyDescent="0.3">
      <c r="A247" s="283" t="s">
        <v>3245</v>
      </c>
      <c r="B247" s="327" t="s">
        <v>522</v>
      </c>
      <c r="C247" s="327" t="s">
        <v>551</v>
      </c>
      <c r="D247" s="328" t="s">
        <v>188</v>
      </c>
      <c r="E247" s="328" t="s">
        <v>188</v>
      </c>
      <c r="F247" s="328" t="s">
        <v>188</v>
      </c>
      <c r="G247" s="327" t="s">
        <v>522</v>
      </c>
      <c r="H247" s="327" t="s">
        <v>522</v>
      </c>
      <c r="I247" s="327" t="s">
        <v>522</v>
      </c>
    </row>
    <row r="248" spans="1:9" x14ac:dyDescent="0.3">
      <c r="A248" s="297" t="s">
        <v>581</v>
      </c>
      <c r="B248" s="327">
        <v>5832942.3483651699</v>
      </c>
      <c r="C248" s="327" t="s">
        <v>551</v>
      </c>
      <c r="D248" s="328" t="s">
        <v>188</v>
      </c>
      <c r="E248" s="328" t="s">
        <v>188</v>
      </c>
      <c r="F248" s="328" t="s">
        <v>188</v>
      </c>
      <c r="G248" s="327">
        <v>410542.75702448451</v>
      </c>
      <c r="H248" s="327">
        <v>12.55614437939165</v>
      </c>
      <c r="I248" s="327">
        <v>4.1395436288617402</v>
      </c>
    </row>
    <row r="249" spans="1:9" x14ac:dyDescent="0.3">
      <c r="A249" s="283" t="s">
        <v>575</v>
      </c>
      <c r="B249" s="329">
        <v>509157.7754591406</v>
      </c>
      <c r="C249" s="327" t="s">
        <v>551</v>
      </c>
      <c r="D249" s="327">
        <v>67.143364802995393</v>
      </c>
      <c r="E249" s="327">
        <v>6.4971859341457296</v>
      </c>
      <c r="F249" s="327">
        <v>6.1414341372084902</v>
      </c>
      <c r="G249" s="329">
        <v>34186.566259934691</v>
      </c>
      <c r="H249" s="329">
        <v>3.3080927369740598</v>
      </c>
      <c r="I249" s="329">
        <v>3.1269589434299001</v>
      </c>
    </row>
    <row r="250" spans="1:9" x14ac:dyDescent="0.3">
      <c r="A250" s="283" t="s">
        <v>576</v>
      </c>
      <c r="B250" s="329">
        <v>5287253.5119992914</v>
      </c>
      <c r="C250" s="327" t="s">
        <v>551</v>
      </c>
      <c r="D250" s="327">
        <v>70.79246071620166</v>
      </c>
      <c r="E250" s="327">
        <v>0.19420456648574999</v>
      </c>
      <c r="F250" s="327">
        <v>0.18814347493101999</v>
      </c>
      <c r="G250" s="329">
        <v>374297.68654480908</v>
      </c>
      <c r="H250" s="329">
        <v>1.02680877619808</v>
      </c>
      <c r="I250" s="329">
        <v>0.99476224858879003</v>
      </c>
    </row>
    <row r="251" spans="1:9" x14ac:dyDescent="0.3">
      <c r="A251" s="283" t="s">
        <v>577</v>
      </c>
      <c r="B251" s="329">
        <v>23860.857915216009</v>
      </c>
      <c r="C251" s="327" t="s">
        <v>551</v>
      </c>
      <c r="D251" s="327">
        <v>59.589262354098238</v>
      </c>
      <c r="E251" s="327">
        <v>0.25455909593203002</v>
      </c>
      <c r="F251" s="327">
        <v>0.65047788376092996</v>
      </c>
      <c r="G251" s="329">
        <v>1421.8509223036683</v>
      </c>
      <c r="H251" s="329">
        <v>6.07399841906E-3</v>
      </c>
      <c r="I251" s="329">
        <v>1.5520960361409999E-2</v>
      </c>
    </row>
    <row r="252" spans="1:9" x14ac:dyDescent="0.3">
      <c r="A252" s="283" t="s">
        <v>3246</v>
      </c>
      <c r="B252" s="327" t="s">
        <v>495</v>
      </c>
      <c r="C252" s="327" t="s">
        <v>551</v>
      </c>
      <c r="D252" s="328" t="s">
        <v>188</v>
      </c>
      <c r="E252" s="328" t="s">
        <v>188</v>
      </c>
      <c r="F252" s="328" t="s">
        <v>188</v>
      </c>
      <c r="G252" s="327" t="s">
        <v>495</v>
      </c>
      <c r="H252" s="327">
        <v>1.0526893401586801</v>
      </c>
      <c r="I252" s="327">
        <v>1.3709364421000001E-4</v>
      </c>
    </row>
    <row r="253" spans="1:9" x14ac:dyDescent="0.3">
      <c r="A253" s="294" t="s">
        <v>579</v>
      </c>
      <c r="B253" s="329" t="s">
        <v>495</v>
      </c>
      <c r="C253" s="327" t="s">
        <v>551</v>
      </c>
      <c r="D253" s="327" t="s">
        <v>495</v>
      </c>
      <c r="E253" s="327" t="s">
        <v>495</v>
      </c>
      <c r="F253" s="327" t="s">
        <v>495</v>
      </c>
      <c r="G253" s="329" t="s">
        <v>495</v>
      </c>
      <c r="H253" s="329">
        <v>1.0526893401586801</v>
      </c>
      <c r="I253" s="329">
        <v>1.3709364421000001E-4</v>
      </c>
    </row>
    <row r="254" spans="1:9" x14ac:dyDescent="0.3">
      <c r="A254" s="283" t="s">
        <v>554</v>
      </c>
      <c r="B254" s="329">
        <v>12670.202991522168</v>
      </c>
      <c r="C254" s="327" t="s">
        <v>551</v>
      </c>
      <c r="D254" s="327">
        <v>50.248073994006518</v>
      </c>
      <c r="E254" s="327">
        <v>565.1314864248078</v>
      </c>
      <c r="F254" s="327">
        <v>7.5093565144669999E-2</v>
      </c>
      <c r="G254" s="329">
        <v>636.65329743708867</v>
      </c>
      <c r="H254" s="329">
        <v>7.1603306499029697</v>
      </c>
      <c r="I254" s="329">
        <v>9.5145071374E-4</v>
      </c>
    </row>
    <row r="255" spans="1:9" x14ac:dyDescent="0.3">
      <c r="A255" s="283" t="s">
        <v>3235</v>
      </c>
      <c r="B255" s="329" t="s">
        <v>495</v>
      </c>
      <c r="C255" s="327" t="s">
        <v>551</v>
      </c>
      <c r="D255" s="327" t="s">
        <v>495</v>
      </c>
      <c r="E255" s="327" t="s">
        <v>495</v>
      </c>
      <c r="F255" s="327" t="s">
        <v>495</v>
      </c>
      <c r="G255" s="329" t="s">
        <v>495</v>
      </c>
      <c r="H255" s="329">
        <v>2.1488777387999999E-3</v>
      </c>
      <c r="I255" s="329">
        <v>1.21293212369E-3</v>
      </c>
    </row>
    <row r="256" spans="1:9" x14ac:dyDescent="0.3">
      <c r="A256" s="283" t="s">
        <v>3245</v>
      </c>
      <c r="B256" s="327" t="s">
        <v>522</v>
      </c>
      <c r="C256" s="327" t="s">
        <v>551</v>
      </c>
      <c r="D256" s="328" t="s">
        <v>188</v>
      </c>
      <c r="E256" s="328" t="s">
        <v>188</v>
      </c>
      <c r="F256" s="328" t="s">
        <v>188</v>
      </c>
      <c r="G256" s="327" t="s">
        <v>522</v>
      </c>
      <c r="H256" s="327" t="s">
        <v>522</v>
      </c>
      <c r="I256" s="327" t="s">
        <v>522</v>
      </c>
    </row>
    <row r="257" spans="1:9" x14ac:dyDescent="0.3">
      <c r="A257" s="297" t="s">
        <v>582</v>
      </c>
      <c r="B257" s="327">
        <v>23342.475449176363</v>
      </c>
      <c r="C257" s="327" t="s">
        <v>551</v>
      </c>
      <c r="D257" s="328" t="s">
        <v>188</v>
      </c>
      <c r="E257" s="328" t="s">
        <v>188</v>
      </c>
      <c r="F257" s="328" t="s">
        <v>188</v>
      </c>
      <c r="G257" s="327">
        <v>1567.2923444890123</v>
      </c>
      <c r="H257" s="327">
        <v>0.73343558265860997</v>
      </c>
      <c r="I257" s="327">
        <v>7.4179466324320001E-2</v>
      </c>
    </row>
    <row r="258" spans="1:9" x14ac:dyDescent="0.3">
      <c r="A258" s="283" t="s">
        <v>575</v>
      </c>
      <c r="B258" s="329">
        <v>23342.475449176363</v>
      </c>
      <c r="C258" s="327" t="s">
        <v>551</v>
      </c>
      <c r="D258" s="327">
        <v>67.143364802995393</v>
      </c>
      <c r="E258" s="327">
        <v>31.42064277867707</v>
      </c>
      <c r="F258" s="327">
        <v>3.17787487817353</v>
      </c>
      <c r="G258" s="329">
        <v>1567.2923444890123</v>
      </c>
      <c r="H258" s="329">
        <v>0.73343558265860997</v>
      </c>
      <c r="I258" s="329">
        <v>7.4179466324320001E-2</v>
      </c>
    </row>
    <row r="259" spans="1:9" x14ac:dyDescent="0.3">
      <c r="A259" s="283" t="s">
        <v>576</v>
      </c>
      <c r="B259" s="329" t="s">
        <v>522</v>
      </c>
      <c r="C259" s="327" t="s">
        <v>551</v>
      </c>
      <c r="D259" s="327" t="s">
        <v>522</v>
      </c>
      <c r="E259" s="327" t="s">
        <v>522</v>
      </c>
      <c r="F259" s="327" t="s">
        <v>522</v>
      </c>
      <c r="G259" s="329" t="s">
        <v>522</v>
      </c>
      <c r="H259" s="329" t="s">
        <v>522</v>
      </c>
      <c r="I259" s="329" t="s">
        <v>522</v>
      </c>
    </row>
    <row r="260" spans="1:9" x14ac:dyDescent="0.3">
      <c r="A260" s="283" t="s">
        <v>577</v>
      </c>
      <c r="B260" s="329" t="s">
        <v>522</v>
      </c>
      <c r="C260" s="327" t="s">
        <v>551</v>
      </c>
      <c r="D260" s="327" t="s">
        <v>522</v>
      </c>
      <c r="E260" s="327" t="s">
        <v>522</v>
      </c>
      <c r="F260" s="327" t="s">
        <v>522</v>
      </c>
      <c r="G260" s="329" t="s">
        <v>522</v>
      </c>
      <c r="H260" s="329" t="s">
        <v>522</v>
      </c>
      <c r="I260" s="329" t="s">
        <v>522</v>
      </c>
    </row>
    <row r="261" spans="1:9" x14ac:dyDescent="0.3">
      <c r="A261" s="283" t="s">
        <v>3244</v>
      </c>
      <c r="B261" s="327" t="s">
        <v>522</v>
      </c>
      <c r="C261" s="327" t="s">
        <v>551</v>
      </c>
      <c r="D261" s="328" t="s">
        <v>188</v>
      </c>
      <c r="E261" s="328" t="s">
        <v>188</v>
      </c>
      <c r="F261" s="328" t="s">
        <v>188</v>
      </c>
      <c r="G261" s="327" t="s">
        <v>522</v>
      </c>
      <c r="H261" s="327" t="s">
        <v>522</v>
      </c>
      <c r="I261" s="327" t="s">
        <v>522</v>
      </c>
    </row>
    <row r="262" spans="1:9" x14ac:dyDescent="0.3">
      <c r="A262" s="283" t="s">
        <v>554</v>
      </c>
      <c r="B262" s="329" t="s">
        <v>522</v>
      </c>
      <c r="C262" s="327" t="s">
        <v>551</v>
      </c>
      <c r="D262" s="327" t="s">
        <v>522</v>
      </c>
      <c r="E262" s="327" t="s">
        <v>522</v>
      </c>
      <c r="F262" s="327" t="s">
        <v>522</v>
      </c>
      <c r="G262" s="329" t="s">
        <v>522</v>
      </c>
      <c r="H262" s="329" t="s">
        <v>522</v>
      </c>
      <c r="I262" s="329" t="s">
        <v>522</v>
      </c>
    </row>
    <row r="263" spans="1:9" x14ac:dyDescent="0.3">
      <c r="A263" s="283" t="s">
        <v>3235</v>
      </c>
      <c r="B263" s="329" t="s">
        <v>495</v>
      </c>
      <c r="C263" s="327" t="s">
        <v>551</v>
      </c>
      <c r="D263" s="327" t="s">
        <v>495</v>
      </c>
      <c r="E263" s="327" t="s">
        <v>520</v>
      </c>
      <c r="F263" s="327" t="s">
        <v>520</v>
      </c>
      <c r="G263" s="329" t="s">
        <v>495</v>
      </c>
      <c r="H263" s="329" t="s">
        <v>520</v>
      </c>
      <c r="I263" s="329" t="s">
        <v>520</v>
      </c>
    </row>
    <row r="264" spans="1:9" x14ac:dyDescent="0.3">
      <c r="A264" s="283" t="s">
        <v>3245</v>
      </c>
      <c r="B264" s="327" t="s">
        <v>522</v>
      </c>
      <c r="C264" s="327" t="s">
        <v>551</v>
      </c>
      <c r="D264" s="328" t="s">
        <v>188</v>
      </c>
      <c r="E264" s="328" t="s">
        <v>188</v>
      </c>
      <c r="F264" s="328" t="s">
        <v>188</v>
      </c>
      <c r="G264" s="327" t="s">
        <v>522</v>
      </c>
      <c r="H264" s="327" t="s">
        <v>522</v>
      </c>
      <c r="I264" s="327" t="s">
        <v>522</v>
      </c>
    </row>
    <row r="265" spans="1:9" x14ac:dyDescent="0.3">
      <c r="A265" s="297" t="s">
        <v>583</v>
      </c>
      <c r="B265" s="327" t="s">
        <v>522</v>
      </c>
      <c r="C265" s="327" t="s">
        <v>551</v>
      </c>
      <c r="D265" s="328" t="s">
        <v>188</v>
      </c>
      <c r="E265" s="328" t="s">
        <v>188</v>
      </c>
      <c r="F265" s="328" t="s">
        <v>188</v>
      </c>
      <c r="G265" s="327" t="s">
        <v>522</v>
      </c>
      <c r="H265" s="327" t="s">
        <v>527</v>
      </c>
      <c r="I265" s="327" t="s">
        <v>527</v>
      </c>
    </row>
    <row r="266" spans="1:9" x14ac:dyDescent="0.3">
      <c r="A266" s="288" t="s">
        <v>584</v>
      </c>
      <c r="B266" s="327" t="s">
        <v>522</v>
      </c>
      <c r="C266" s="327" t="s">
        <v>551</v>
      </c>
      <c r="D266" s="328" t="s">
        <v>188</v>
      </c>
      <c r="E266" s="328" t="s">
        <v>188</v>
      </c>
      <c r="F266" s="328" t="s">
        <v>188</v>
      </c>
      <c r="G266" s="327" t="s">
        <v>522</v>
      </c>
      <c r="H266" s="327" t="s">
        <v>527</v>
      </c>
      <c r="I266" s="327" t="s">
        <v>527</v>
      </c>
    </row>
    <row r="267" spans="1:9" x14ac:dyDescent="0.3">
      <c r="A267" s="294" t="s">
        <v>575</v>
      </c>
      <c r="B267" s="329" t="s">
        <v>522</v>
      </c>
      <c r="C267" s="327" t="s">
        <v>551</v>
      </c>
      <c r="D267" s="327" t="s">
        <v>522</v>
      </c>
      <c r="E267" s="327" t="s">
        <v>495</v>
      </c>
      <c r="F267" s="327" t="s">
        <v>495</v>
      </c>
      <c r="G267" s="329" t="s">
        <v>522</v>
      </c>
      <c r="H267" s="329" t="s">
        <v>495</v>
      </c>
      <c r="I267" s="329" t="s">
        <v>495</v>
      </c>
    </row>
    <row r="268" spans="1:9" x14ac:dyDescent="0.3">
      <c r="A268" s="294" t="s">
        <v>585</v>
      </c>
      <c r="B268" s="329" t="s">
        <v>522</v>
      </c>
      <c r="C268" s="327" t="s">
        <v>551</v>
      </c>
      <c r="D268" s="327" t="s">
        <v>522</v>
      </c>
      <c r="E268" s="327" t="s">
        <v>495</v>
      </c>
      <c r="F268" s="327" t="s">
        <v>495</v>
      </c>
      <c r="G268" s="329" t="s">
        <v>522</v>
      </c>
      <c r="H268" s="329" t="s">
        <v>495</v>
      </c>
      <c r="I268" s="329" t="s">
        <v>495</v>
      </c>
    </row>
    <row r="269" spans="1:9" x14ac:dyDescent="0.3">
      <c r="A269" s="294" t="s">
        <v>586</v>
      </c>
      <c r="B269" s="329" t="s">
        <v>522</v>
      </c>
      <c r="C269" s="327" t="s">
        <v>551</v>
      </c>
      <c r="D269" s="327" t="s">
        <v>522</v>
      </c>
      <c r="E269" s="327" t="s">
        <v>495</v>
      </c>
      <c r="F269" s="327" t="s">
        <v>495</v>
      </c>
      <c r="G269" s="329" t="s">
        <v>522</v>
      </c>
      <c r="H269" s="329" t="s">
        <v>495</v>
      </c>
      <c r="I269" s="329" t="s">
        <v>495</v>
      </c>
    </row>
    <row r="270" spans="1:9" x14ac:dyDescent="0.3">
      <c r="A270" s="294" t="s">
        <v>587</v>
      </c>
      <c r="B270" s="327" t="s">
        <v>522</v>
      </c>
      <c r="C270" s="327" t="s">
        <v>551</v>
      </c>
      <c r="D270" s="328" t="s">
        <v>188</v>
      </c>
      <c r="E270" s="328" t="s">
        <v>188</v>
      </c>
      <c r="F270" s="328" t="s">
        <v>188</v>
      </c>
      <c r="G270" s="327" t="s">
        <v>522</v>
      </c>
      <c r="H270" s="327" t="s">
        <v>495</v>
      </c>
      <c r="I270" s="327" t="s">
        <v>495</v>
      </c>
    </row>
    <row r="271" spans="1:9" x14ac:dyDescent="0.3">
      <c r="A271" s="294" t="s">
        <v>560</v>
      </c>
      <c r="B271" s="329" t="s">
        <v>522</v>
      </c>
      <c r="C271" s="327" t="s">
        <v>551</v>
      </c>
      <c r="D271" s="327" t="s">
        <v>522</v>
      </c>
      <c r="E271" s="327" t="s">
        <v>495</v>
      </c>
      <c r="F271" s="327" t="s">
        <v>495</v>
      </c>
      <c r="G271" s="329" t="s">
        <v>522</v>
      </c>
      <c r="H271" s="329" t="s">
        <v>495</v>
      </c>
      <c r="I271" s="329" t="s">
        <v>495</v>
      </c>
    </row>
    <row r="272" spans="1:9" x14ac:dyDescent="0.3">
      <c r="A272" s="294" t="s">
        <v>92</v>
      </c>
      <c r="B272" s="329" t="s">
        <v>522</v>
      </c>
      <c r="C272" s="327" t="s">
        <v>551</v>
      </c>
      <c r="D272" s="327" t="s">
        <v>522</v>
      </c>
      <c r="E272" s="327" t="s">
        <v>495</v>
      </c>
      <c r="F272" s="327" t="s">
        <v>495</v>
      </c>
      <c r="G272" s="329" t="s">
        <v>522</v>
      </c>
      <c r="H272" s="329" t="s">
        <v>495</v>
      </c>
      <c r="I272" s="329" t="s">
        <v>495</v>
      </c>
    </row>
    <row r="273" spans="1:10" x14ac:dyDescent="0.3">
      <c r="A273" s="294" t="s">
        <v>588</v>
      </c>
      <c r="B273" s="327" t="s">
        <v>522</v>
      </c>
      <c r="C273" s="327" t="s">
        <v>551</v>
      </c>
      <c r="D273" s="328" t="s">
        <v>188</v>
      </c>
      <c r="E273" s="328" t="s">
        <v>188</v>
      </c>
      <c r="F273" s="328" t="s">
        <v>188</v>
      </c>
      <c r="G273" s="327" t="s">
        <v>522</v>
      </c>
      <c r="H273" s="327" t="s">
        <v>493</v>
      </c>
      <c r="I273" s="327" t="s">
        <v>493</v>
      </c>
    </row>
    <row r="274" spans="1:10" x14ac:dyDescent="0.3">
      <c r="A274" s="59" t="s">
        <v>506</v>
      </c>
      <c r="B274" s="327">
        <v>650576.52184247714</v>
      </c>
      <c r="C274" s="327" t="s">
        <v>551</v>
      </c>
      <c r="D274" s="328" t="s">
        <v>188</v>
      </c>
      <c r="E274" s="328" t="s">
        <v>188</v>
      </c>
      <c r="F274" s="328" t="s">
        <v>188</v>
      </c>
      <c r="G274" s="327">
        <v>46055.912865416671</v>
      </c>
      <c r="H274" s="327">
        <v>3.5201759225</v>
      </c>
      <c r="I274" s="327">
        <v>1.1264562951999999</v>
      </c>
    </row>
    <row r="275" spans="1:10" x14ac:dyDescent="0.3">
      <c r="A275" s="283" t="s">
        <v>552</v>
      </c>
      <c r="B275" s="329">
        <v>650576.52184247714</v>
      </c>
      <c r="C275" s="327" t="s">
        <v>551</v>
      </c>
      <c r="D275" s="327">
        <v>70.79246071620166</v>
      </c>
      <c r="E275" s="327">
        <v>5.4108560704444404</v>
      </c>
      <c r="F275" s="327">
        <v>1.7314739425422201</v>
      </c>
      <c r="G275" s="329">
        <v>46055.912865416671</v>
      </c>
      <c r="H275" s="329">
        <v>3.5201759225</v>
      </c>
      <c r="I275" s="329">
        <v>1.1264562951999999</v>
      </c>
    </row>
    <row r="276" spans="1:10" x14ac:dyDescent="0.3">
      <c r="A276" s="283" t="s">
        <v>553</v>
      </c>
      <c r="B276" s="329" t="s">
        <v>522</v>
      </c>
      <c r="C276" s="327" t="s">
        <v>551</v>
      </c>
      <c r="D276" s="327" t="s">
        <v>522</v>
      </c>
      <c r="E276" s="327" t="s">
        <v>522</v>
      </c>
      <c r="F276" s="327" t="s">
        <v>522</v>
      </c>
      <c r="G276" s="329" t="s">
        <v>522</v>
      </c>
      <c r="H276" s="329" t="s">
        <v>522</v>
      </c>
      <c r="I276" s="329" t="s">
        <v>522</v>
      </c>
    </row>
    <row r="277" spans="1:10" x14ac:dyDescent="0.3">
      <c r="A277" s="283" t="s">
        <v>554</v>
      </c>
      <c r="B277" s="329" t="s">
        <v>495</v>
      </c>
      <c r="C277" s="327" t="s">
        <v>551</v>
      </c>
      <c r="D277" s="327" t="s">
        <v>495</v>
      </c>
      <c r="E277" s="327" t="s">
        <v>495</v>
      </c>
      <c r="F277" s="327" t="s">
        <v>495</v>
      </c>
      <c r="G277" s="329" t="s">
        <v>495</v>
      </c>
      <c r="H277" s="329" t="s">
        <v>495</v>
      </c>
      <c r="I277" s="329" t="s">
        <v>495</v>
      </c>
    </row>
    <row r="278" spans="1:10" x14ac:dyDescent="0.3">
      <c r="A278" s="283" t="s">
        <v>3235</v>
      </c>
      <c r="B278" s="329" t="s">
        <v>495</v>
      </c>
      <c r="C278" s="327" t="s">
        <v>551</v>
      </c>
      <c r="D278" s="327" t="s">
        <v>495</v>
      </c>
      <c r="E278" s="327" t="s">
        <v>520</v>
      </c>
      <c r="F278" s="327" t="s">
        <v>520</v>
      </c>
      <c r="G278" s="329" t="s">
        <v>495</v>
      </c>
      <c r="H278" s="329" t="s">
        <v>520</v>
      </c>
      <c r="I278" s="329" t="s">
        <v>520</v>
      </c>
    </row>
    <row r="279" spans="1:10" x14ac:dyDescent="0.3">
      <c r="A279" s="283" t="s">
        <v>3247</v>
      </c>
      <c r="B279" s="327" t="s">
        <v>495</v>
      </c>
      <c r="C279" s="327" t="s">
        <v>551</v>
      </c>
      <c r="D279" s="328" t="s">
        <v>188</v>
      </c>
      <c r="E279" s="328" t="s">
        <v>188</v>
      </c>
      <c r="F279" s="328" t="s">
        <v>188</v>
      </c>
      <c r="G279" s="327" t="s">
        <v>495</v>
      </c>
      <c r="H279" s="327" t="s">
        <v>493</v>
      </c>
      <c r="I279" s="327" t="s">
        <v>493</v>
      </c>
    </row>
    <row r="280" spans="1:10" x14ac:dyDescent="0.3">
      <c r="A280" s="59" t="s">
        <v>3248</v>
      </c>
      <c r="B280" s="327">
        <v>546204.87037064438</v>
      </c>
      <c r="C280" s="327" t="s">
        <v>551</v>
      </c>
      <c r="D280" s="328" t="s">
        <v>188</v>
      </c>
      <c r="E280" s="328" t="s">
        <v>188</v>
      </c>
      <c r="F280" s="328" t="s">
        <v>188</v>
      </c>
      <c r="G280" s="327">
        <v>38024.136018348065</v>
      </c>
      <c r="H280" s="327">
        <v>16.174692701572852</v>
      </c>
      <c r="I280" s="327">
        <v>0.73291389331867995</v>
      </c>
    </row>
    <row r="281" spans="1:10" x14ac:dyDescent="0.3">
      <c r="A281" s="283" t="s">
        <v>589</v>
      </c>
      <c r="B281" s="329">
        <v>270555.52902466076</v>
      </c>
      <c r="C281" s="327" t="s">
        <v>551</v>
      </c>
      <c r="D281" s="327">
        <v>71.174746954728036</v>
      </c>
      <c r="E281" s="327">
        <v>7.2747437896637797</v>
      </c>
      <c r="F281" s="327">
        <v>2.07984266172793</v>
      </c>
      <c r="G281" s="329">
        <v>19256.721315532806</v>
      </c>
      <c r="H281" s="329">
        <v>1.9682221545313501</v>
      </c>
      <c r="I281" s="329">
        <v>0.56271293163185998</v>
      </c>
    </row>
    <row r="282" spans="1:10" x14ac:dyDescent="0.3">
      <c r="A282" s="283" t="s">
        <v>590</v>
      </c>
      <c r="B282" s="329">
        <v>275649.34134598356</v>
      </c>
      <c r="C282" s="327" t="s">
        <v>551</v>
      </c>
      <c r="D282" s="327">
        <v>68.084380725071952</v>
      </c>
      <c r="E282" s="327">
        <v>51.538198777011146</v>
      </c>
      <c r="F282" s="327">
        <v>0.61745462860799005</v>
      </c>
      <c r="G282" s="329">
        <v>18767.414702815262</v>
      </c>
      <c r="H282" s="329">
        <v>14.2064705470415</v>
      </c>
      <c r="I282" s="329">
        <v>0.17020096168682</v>
      </c>
    </row>
    <row r="283" spans="1:10" x14ac:dyDescent="0.3">
      <c r="A283" s="283" t="s">
        <v>575</v>
      </c>
      <c r="B283" s="329" t="s">
        <v>495</v>
      </c>
      <c r="C283" s="327" t="s">
        <v>551</v>
      </c>
      <c r="D283" s="327" t="s">
        <v>495</v>
      </c>
      <c r="E283" s="327" t="s">
        <v>495</v>
      </c>
      <c r="F283" s="327" t="s">
        <v>495</v>
      </c>
      <c r="G283" s="329" t="s">
        <v>495</v>
      </c>
      <c r="H283" s="329" t="s">
        <v>495</v>
      </c>
      <c r="I283" s="329" t="s">
        <v>495</v>
      </c>
    </row>
    <row r="284" spans="1:10" x14ac:dyDescent="0.3">
      <c r="A284" s="283" t="s">
        <v>3249</v>
      </c>
      <c r="B284" s="327" t="s">
        <v>522</v>
      </c>
      <c r="C284" s="327" t="s">
        <v>551</v>
      </c>
      <c r="D284" s="328" t="s">
        <v>188</v>
      </c>
      <c r="E284" s="328" t="s">
        <v>188</v>
      </c>
      <c r="F284" s="328" t="s">
        <v>188</v>
      </c>
      <c r="G284" s="327" t="s">
        <v>522</v>
      </c>
      <c r="H284" s="327" t="s">
        <v>493</v>
      </c>
      <c r="I284" s="327" t="s">
        <v>493</v>
      </c>
    </row>
    <row r="285" spans="1:10" x14ac:dyDescent="0.3">
      <c r="A285" s="283" t="s">
        <v>554</v>
      </c>
      <c r="B285" s="329" t="s">
        <v>520</v>
      </c>
      <c r="C285" s="327" t="s">
        <v>551</v>
      </c>
      <c r="D285" s="327" t="s">
        <v>520</v>
      </c>
      <c r="E285" s="327" t="s">
        <v>495</v>
      </c>
      <c r="F285" s="327" t="s">
        <v>495</v>
      </c>
      <c r="G285" s="329" t="s">
        <v>520</v>
      </c>
      <c r="H285" s="329" t="s">
        <v>495</v>
      </c>
      <c r="I285" s="329" t="s">
        <v>495</v>
      </c>
      <c r="J285" s="57" t="s">
        <v>493</v>
      </c>
    </row>
    <row r="286" spans="1:10" x14ac:dyDescent="0.3">
      <c r="A286" s="283" t="s">
        <v>3235</v>
      </c>
      <c r="B286" s="329" t="s">
        <v>495</v>
      </c>
      <c r="C286" s="327" t="s">
        <v>551</v>
      </c>
      <c r="D286" s="327" t="s">
        <v>495</v>
      </c>
      <c r="E286" s="327" t="s">
        <v>520</v>
      </c>
      <c r="F286" s="327" t="s">
        <v>520</v>
      </c>
      <c r="G286" s="329" t="s">
        <v>495</v>
      </c>
      <c r="H286" s="329" t="s">
        <v>520</v>
      </c>
      <c r="I286" s="329" t="s">
        <v>520</v>
      </c>
      <c r="J286" s="57" t="s">
        <v>493</v>
      </c>
    </row>
    <row r="287" spans="1:10" x14ac:dyDescent="0.3">
      <c r="A287" s="283" t="s">
        <v>3250</v>
      </c>
      <c r="B287" s="327" t="s">
        <v>522</v>
      </c>
      <c r="C287" s="327" t="s">
        <v>551</v>
      </c>
      <c r="D287" s="328" t="s">
        <v>188</v>
      </c>
      <c r="E287" s="328" t="s">
        <v>188</v>
      </c>
      <c r="F287" s="328" t="s">
        <v>188</v>
      </c>
      <c r="G287" s="327" t="s">
        <v>522</v>
      </c>
      <c r="H287" s="327" t="s">
        <v>493</v>
      </c>
      <c r="I287" s="327" t="s">
        <v>493</v>
      </c>
      <c r="J287" s="57" t="s">
        <v>493</v>
      </c>
    </row>
    <row r="288" spans="1:10" x14ac:dyDescent="0.3">
      <c r="A288" s="59" t="s">
        <v>3251</v>
      </c>
      <c r="B288" s="327">
        <v>644614.3919557624</v>
      </c>
      <c r="C288" s="327" t="s">
        <v>551</v>
      </c>
      <c r="D288" s="328" t="s">
        <v>188</v>
      </c>
      <c r="E288" s="328" t="s">
        <v>188</v>
      </c>
      <c r="F288" s="328" t="s">
        <v>188</v>
      </c>
      <c r="G288" s="327">
        <v>32390.631664594664</v>
      </c>
      <c r="H288" s="327">
        <v>42.78562494471668</v>
      </c>
      <c r="I288" s="327">
        <v>22.8286814646106</v>
      </c>
      <c r="J288" s="57" t="s">
        <v>493</v>
      </c>
    </row>
    <row r="289" spans="1:10" x14ac:dyDescent="0.3">
      <c r="A289" s="291" t="s">
        <v>552</v>
      </c>
      <c r="B289" s="327" t="s">
        <v>591</v>
      </c>
      <c r="C289" s="327" t="s">
        <v>551</v>
      </c>
      <c r="D289" s="327" t="s">
        <v>591</v>
      </c>
      <c r="E289" s="327" t="s">
        <v>591</v>
      </c>
      <c r="F289" s="327" t="s">
        <v>591</v>
      </c>
      <c r="G289" s="327" t="s">
        <v>591</v>
      </c>
      <c r="H289" s="327">
        <v>40.930380256173969</v>
      </c>
      <c r="I289" s="327">
        <v>22.744244376797859</v>
      </c>
      <c r="J289" s="57" t="s">
        <v>493</v>
      </c>
    </row>
    <row r="290" spans="1:10" x14ac:dyDescent="0.3">
      <c r="A290" s="291" t="s">
        <v>553</v>
      </c>
      <c r="B290" s="327" t="s">
        <v>522</v>
      </c>
      <c r="C290" s="327" t="s">
        <v>551</v>
      </c>
      <c r="D290" s="327" t="s">
        <v>522</v>
      </c>
      <c r="E290" s="327" t="s">
        <v>522</v>
      </c>
      <c r="F290" s="327" t="s">
        <v>522</v>
      </c>
      <c r="G290" s="327" t="s">
        <v>522</v>
      </c>
      <c r="H290" s="327" t="s">
        <v>522</v>
      </c>
      <c r="I290" s="327" t="s">
        <v>522</v>
      </c>
      <c r="J290" s="57" t="s">
        <v>493</v>
      </c>
    </row>
    <row r="291" spans="1:10" x14ac:dyDescent="0.3">
      <c r="A291" s="291" t="s">
        <v>554</v>
      </c>
      <c r="B291" s="327">
        <v>644614.3919557624</v>
      </c>
      <c r="C291" s="327" t="s">
        <v>551</v>
      </c>
      <c r="D291" s="327">
        <v>50.248073994006511</v>
      </c>
      <c r="E291" s="327">
        <v>2.8780689846434999</v>
      </c>
      <c r="F291" s="327">
        <v>0.13098852409508999</v>
      </c>
      <c r="G291" s="327">
        <v>32390.631664594664</v>
      </c>
      <c r="H291" s="327">
        <v>1.8552446885427101</v>
      </c>
      <c r="I291" s="327">
        <v>8.4437087812739994E-2</v>
      </c>
      <c r="J291" s="57" t="s">
        <v>493</v>
      </c>
    </row>
    <row r="292" spans="1:10" x14ac:dyDescent="0.3">
      <c r="A292" s="291" t="s">
        <v>3238</v>
      </c>
      <c r="B292" s="327" t="s">
        <v>567</v>
      </c>
      <c r="C292" s="327" t="s">
        <v>551</v>
      </c>
      <c r="D292" s="327" t="s">
        <v>567</v>
      </c>
      <c r="E292" s="327" t="s">
        <v>522</v>
      </c>
      <c r="F292" s="327" t="s">
        <v>522</v>
      </c>
      <c r="G292" s="327" t="s">
        <v>567</v>
      </c>
      <c r="H292" s="327" t="s">
        <v>522</v>
      </c>
      <c r="I292" s="327" t="s">
        <v>522</v>
      </c>
      <c r="J292" s="57" t="s">
        <v>493</v>
      </c>
    </row>
    <row r="293" spans="1:10" x14ac:dyDescent="0.3">
      <c r="A293" s="291" t="s">
        <v>3240</v>
      </c>
      <c r="B293" s="327" t="s">
        <v>495</v>
      </c>
      <c r="C293" s="327" t="s">
        <v>551</v>
      </c>
      <c r="D293" s="327" t="s">
        <v>495</v>
      </c>
      <c r="E293" s="327" t="s">
        <v>592</v>
      </c>
      <c r="F293" s="327" t="s">
        <v>592</v>
      </c>
      <c r="G293" s="327" t="s">
        <v>495</v>
      </c>
      <c r="H293" s="327" t="s">
        <v>592</v>
      </c>
      <c r="I293" s="327" t="s">
        <v>592</v>
      </c>
      <c r="J293" s="57" t="s">
        <v>493</v>
      </c>
    </row>
    <row r="294" spans="1:10" x14ac:dyDescent="0.3">
      <c r="A294" s="298" t="s">
        <v>593</v>
      </c>
      <c r="B294" s="327">
        <v>644614.3919557624</v>
      </c>
      <c r="C294" s="327" t="s">
        <v>551</v>
      </c>
      <c r="D294" s="328" t="s">
        <v>188</v>
      </c>
      <c r="E294" s="328" t="s">
        <v>188</v>
      </c>
      <c r="F294" s="328" t="s">
        <v>188</v>
      </c>
      <c r="G294" s="327">
        <v>32390.631664594664</v>
      </c>
      <c r="H294" s="327" t="s">
        <v>592</v>
      </c>
      <c r="I294" s="327" t="s">
        <v>592</v>
      </c>
      <c r="J294" s="57" t="s">
        <v>493</v>
      </c>
    </row>
    <row r="295" spans="1:10" x14ac:dyDescent="0.3">
      <c r="A295" s="291" t="s">
        <v>552</v>
      </c>
      <c r="B295" s="329" t="s">
        <v>520</v>
      </c>
      <c r="C295" s="327" t="s">
        <v>551</v>
      </c>
      <c r="D295" s="327" t="s">
        <v>520</v>
      </c>
      <c r="E295" s="327" t="s">
        <v>520</v>
      </c>
      <c r="F295" s="327" t="s">
        <v>520</v>
      </c>
      <c r="G295" s="329" t="s">
        <v>520</v>
      </c>
      <c r="H295" s="329" t="s">
        <v>520</v>
      </c>
      <c r="I295" s="329" t="s">
        <v>520</v>
      </c>
      <c r="J295" s="57" t="s">
        <v>493</v>
      </c>
    </row>
    <row r="296" spans="1:10" x14ac:dyDescent="0.3">
      <c r="A296" s="291" t="s">
        <v>553</v>
      </c>
      <c r="B296" s="329" t="s">
        <v>522</v>
      </c>
      <c r="C296" s="327" t="s">
        <v>551</v>
      </c>
      <c r="D296" s="327" t="s">
        <v>522</v>
      </c>
      <c r="E296" s="327" t="s">
        <v>522</v>
      </c>
      <c r="F296" s="327" t="s">
        <v>522</v>
      </c>
      <c r="G296" s="329" t="s">
        <v>522</v>
      </c>
      <c r="H296" s="329" t="s">
        <v>522</v>
      </c>
      <c r="I296" s="329" t="s">
        <v>522</v>
      </c>
      <c r="J296" s="57" t="s">
        <v>493</v>
      </c>
    </row>
    <row r="297" spans="1:10" x14ac:dyDescent="0.3">
      <c r="A297" s="291" t="s">
        <v>554</v>
      </c>
      <c r="B297" s="329">
        <v>644614.3919557624</v>
      </c>
      <c r="C297" s="327" t="s">
        <v>551</v>
      </c>
      <c r="D297" s="327">
        <v>50.248073994006511</v>
      </c>
      <c r="E297" s="327" t="s">
        <v>520</v>
      </c>
      <c r="F297" s="327" t="s">
        <v>520</v>
      </c>
      <c r="G297" s="329">
        <v>32390.631664594664</v>
      </c>
      <c r="H297" s="329" t="s">
        <v>520</v>
      </c>
      <c r="I297" s="329" t="s">
        <v>520</v>
      </c>
      <c r="J297" s="57" t="s">
        <v>493</v>
      </c>
    </row>
    <row r="298" spans="1:10" x14ac:dyDescent="0.3">
      <c r="A298" s="291" t="s">
        <v>3238</v>
      </c>
      <c r="B298" s="329" t="s">
        <v>495</v>
      </c>
      <c r="C298" s="327" t="s">
        <v>551</v>
      </c>
      <c r="D298" s="327" t="s">
        <v>495</v>
      </c>
      <c r="E298" s="327" t="s">
        <v>522</v>
      </c>
      <c r="F298" s="327" t="s">
        <v>522</v>
      </c>
      <c r="G298" s="329" t="s">
        <v>495</v>
      </c>
      <c r="H298" s="329" t="s">
        <v>522</v>
      </c>
      <c r="I298" s="329" t="s">
        <v>522</v>
      </c>
      <c r="J298" s="57" t="s">
        <v>493</v>
      </c>
    </row>
    <row r="299" spans="1:10" x14ac:dyDescent="0.3">
      <c r="A299" s="291" t="s">
        <v>3240</v>
      </c>
      <c r="B299" s="329" t="s">
        <v>495</v>
      </c>
      <c r="C299" s="327" t="s">
        <v>551</v>
      </c>
      <c r="D299" s="327" t="s">
        <v>495</v>
      </c>
      <c r="E299" s="327" t="s">
        <v>522</v>
      </c>
      <c r="F299" s="327" t="s">
        <v>522</v>
      </c>
      <c r="G299" s="329" t="s">
        <v>495</v>
      </c>
      <c r="H299" s="329" t="s">
        <v>522</v>
      </c>
      <c r="I299" s="329" t="s">
        <v>522</v>
      </c>
      <c r="J299" s="57" t="s">
        <v>493</v>
      </c>
    </row>
    <row r="300" spans="1:10" x14ac:dyDescent="0.3">
      <c r="A300" s="298" t="s">
        <v>3252</v>
      </c>
      <c r="B300" s="327" t="s">
        <v>567</v>
      </c>
      <c r="C300" s="327" t="s">
        <v>551</v>
      </c>
      <c r="D300" s="328" t="s">
        <v>188</v>
      </c>
      <c r="E300" s="328" t="s">
        <v>188</v>
      </c>
      <c r="F300" s="328" t="s">
        <v>188</v>
      </c>
      <c r="G300" s="327" t="s">
        <v>567</v>
      </c>
      <c r="H300" s="327">
        <v>42.78562494471668</v>
      </c>
      <c r="I300" s="327">
        <v>22.8286814646106</v>
      </c>
      <c r="J300" s="57" t="s">
        <v>493</v>
      </c>
    </row>
    <row r="301" spans="1:10" x14ac:dyDescent="0.3">
      <c r="A301" s="287" t="s">
        <v>594</v>
      </c>
      <c r="B301" s="327" t="s">
        <v>567</v>
      </c>
      <c r="C301" s="327" t="s">
        <v>551</v>
      </c>
      <c r="D301" s="328" t="s">
        <v>188</v>
      </c>
      <c r="E301" s="328" t="s">
        <v>188</v>
      </c>
      <c r="F301" s="328" t="s">
        <v>188</v>
      </c>
      <c r="G301" s="327" t="s">
        <v>567</v>
      </c>
      <c r="H301" s="327">
        <v>42.78562494471668</v>
      </c>
      <c r="I301" s="327">
        <v>22.8286814646106</v>
      </c>
      <c r="J301" s="57" t="s">
        <v>493</v>
      </c>
    </row>
    <row r="302" spans="1:10" x14ac:dyDescent="0.3">
      <c r="A302" s="288" t="s">
        <v>558</v>
      </c>
      <c r="B302" s="329" t="s">
        <v>495</v>
      </c>
      <c r="C302" s="327" t="s">
        <v>551</v>
      </c>
      <c r="D302" s="327" t="s">
        <v>495</v>
      </c>
      <c r="E302" s="327" t="s">
        <v>495</v>
      </c>
      <c r="F302" s="327" t="s">
        <v>495</v>
      </c>
      <c r="G302" s="329" t="s">
        <v>495</v>
      </c>
      <c r="H302" s="329">
        <v>40.930380256173969</v>
      </c>
      <c r="I302" s="329">
        <v>22.744244376797859</v>
      </c>
      <c r="J302" s="57" t="s">
        <v>493</v>
      </c>
    </row>
    <row r="303" spans="1:10" x14ac:dyDescent="0.3">
      <c r="A303" s="288" t="s">
        <v>559</v>
      </c>
      <c r="B303" s="329" t="s">
        <v>522</v>
      </c>
      <c r="C303" s="327" t="s">
        <v>551</v>
      </c>
      <c r="D303" s="327" t="s">
        <v>522</v>
      </c>
      <c r="E303" s="327" t="s">
        <v>522</v>
      </c>
      <c r="F303" s="327" t="s">
        <v>522</v>
      </c>
      <c r="G303" s="329" t="s">
        <v>522</v>
      </c>
      <c r="H303" s="329" t="s">
        <v>522</v>
      </c>
      <c r="I303" s="329" t="s">
        <v>522</v>
      </c>
      <c r="J303" s="57" t="s">
        <v>493</v>
      </c>
    </row>
    <row r="304" spans="1:10" x14ac:dyDescent="0.3">
      <c r="A304" s="288" t="s">
        <v>560</v>
      </c>
      <c r="B304" s="329" t="s">
        <v>495</v>
      </c>
      <c r="C304" s="327" t="s">
        <v>551</v>
      </c>
      <c r="D304" s="327" t="s">
        <v>495</v>
      </c>
      <c r="E304" s="327" t="s">
        <v>495</v>
      </c>
      <c r="F304" s="327" t="s">
        <v>495</v>
      </c>
      <c r="G304" s="329" t="s">
        <v>495</v>
      </c>
      <c r="H304" s="329">
        <v>1.8552446885427101</v>
      </c>
      <c r="I304" s="329">
        <v>8.4437087812739994E-2</v>
      </c>
      <c r="J304" s="57" t="s">
        <v>493</v>
      </c>
    </row>
    <row r="305" spans="1:10" x14ac:dyDescent="0.3">
      <c r="A305" s="288" t="s">
        <v>561</v>
      </c>
      <c r="B305" s="329" t="s">
        <v>522</v>
      </c>
      <c r="C305" s="327" t="s">
        <v>551</v>
      </c>
      <c r="D305" s="327" t="s">
        <v>522</v>
      </c>
      <c r="E305" s="327" t="s">
        <v>522</v>
      </c>
      <c r="F305" s="327" t="s">
        <v>522</v>
      </c>
      <c r="G305" s="329" t="s">
        <v>522</v>
      </c>
      <c r="H305" s="329" t="s">
        <v>522</v>
      </c>
      <c r="I305" s="329" t="s">
        <v>522</v>
      </c>
      <c r="J305" s="57" t="s">
        <v>493</v>
      </c>
    </row>
    <row r="306" spans="1:10" x14ac:dyDescent="0.3">
      <c r="A306" s="288" t="s">
        <v>92</v>
      </c>
      <c r="B306" s="329" t="s">
        <v>495</v>
      </c>
      <c r="C306" s="327" t="s">
        <v>551</v>
      </c>
      <c r="D306" s="327" t="s">
        <v>495</v>
      </c>
      <c r="E306" s="327" t="s">
        <v>520</v>
      </c>
      <c r="F306" s="327" t="s">
        <v>520</v>
      </c>
      <c r="G306" s="329" t="s">
        <v>495</v>
      </c>
      <c r="H306" s="329" t="s">
        <v>520</v>
      </c>
      <c r="I306" s="329" t="s">
        <v>520</v>
      </c>
      <c r="J306" s="57" t="s">
        <v>493</v>
      </c>
    </row>
    <row r="307" spans="1:10" x14ac:dyDescent="0.3">
      <c r="A307" s="284" t="s">
        <v>595</v>
      </c>
      <c r="B307" s="327">
        <v>11350565.440672889</v>
      </c>
      <c r="C307" s="327" t="s">
        <v>551</v>
      </c>
      <c r="D307" s="328" t="s">
        <v>188</v>
      </c>
      <c r="E307" s="328" t="s">
        <v>188</v>
      </c>
      <c r="F307" s="328" t="s">
        <v>188</v>
      </c>
      <c r="G307" s="327">
        <v>586285.4434706961</v>
      </c>
      <c r="H307" s="327">
        <v>205.34813377159594</v>
      </c>
      <c r="I307" s="327">
        <v>4.1002059296026401</v>
      </c>
      <c r="J307" s="327" t="s">
        <v>555</v>
      </c>
    </row>
    <row r="308" spans="1:10" x14ac:dyDescent="0.3">
      <c r="A308" s="283" t="s">
        <v>552</v>
      </c>
      <c r="B308" s="327">
        <v>2244284.3614724921</v>
      </c>
      <c r="C308" s="327" t="s">
        <v>551</v>
      </c>
      <c r="D308" s="327">
        <v>67.197268126614205</v>
      </c>
      <c r="E308" s="327">
        <v>9.4999509612768396</v>
      </c>
      <c r="F308" s="327">
        <v>0.57001685543420999</v>
      </c>
      <c r="G308" s="327">
        <v>150809.77799023423</v>
      </c>
      <c r="H308" s="327">
        <v>21.320591377149189</v>
      </c>
      <c r="I308" s="327">
        <v>1.2792799144267299</v>
      </c>
      <c r="J308" s="327" t="s">
        <v>493</v>
      </c>
    </row>
    <row r="309" spans="1:10" x14ac:dyDescent="0.3">
      <c r="A309" s="283" t="s">
        <v>553</v>
      </c>
      <c r="B309" s="327">
        <v>112366.54296457814</v>
      </c>
      <c r="C309" s="327" t="s">
        <v>551</v>
      </c>
      <c r="D309" s="327">
        <v>90.475845936581024</v>
      </c>
      <c r="E309" s="327">
        <v>31.31951642816826</v>
      </c>
      <c r="F309" s="327">
        <v>1.4249999999999701</v>
      </c>
      <c r="G309" s="327">
        <v>10166.458029689384</v>
      </c>
      <c r="H309" s="327">
        <v>3.5192657883555798</v>
      </c>
      <c r="I309" s="327">
        <v>0.16012232372452001</v>
      </c>
      <c r="J309" s="327" t="s">
        <v>493</v>
      </c>
    </row>
    <row r="310" spans="1:10" x14ac:dyDescent="0.3">
      <c r="A310" s="283" t="s">
        <v>554</v>
      </c>
      <c r="B310" s="327">
        <v>8464063.9996716734</v>
      </c>
      <c r="C310" s="327" t="s">
        <v>551</v>
      </c>
      <c r="D310" s="327">
        <v>50.248817526340829</v>
      </c>
      <c r="E310" s="327">
        <v>4.4986853631150696</v>
      </c>
      <c r="F310" s="327">
        <v>8.9994847365319999E-2</v>
      </c>
      <c r="G310" s="327">
        <v>425309.20745077246</v>
      </c>
      <c r="H310" s="327">
        <v>38.07716082779217</v>
      </c>
      <c r="I310" s="327">
        <v>0.76172214774073999</v>
      </c>
      <c r="J310" s="327" t="s">
        <v>493</v>
      </c>
    </row>
    <row r="311" spans="1:10" x14ac:dyDescent="0.3">
      <c r="A311" s="283" t="s">
        <v>3233</v>
      </c>
      <c r="B311" s="327" t="s">
        <v>522</v>
      </c>
      <c r="C311" s="327" t="s">
        <v>551</v>
      </c>
      <c r="D311" s="327" t="s">
        <v>522</v>
      </c>
      <c r="E311" s="327" t="s">
        <v>522</v>
      </c>
      <c r="F311" s="327" t="s">
        <v>522</v>
      </c>
      <c r="G311" s="327" t="s">
        <v>522</v>
      </c>
      <c r="H311" s="327" t="s">
        <v>522</v>
      </c>
      <c r="I311" s="327" t="s">
        <v>522</v>
      </c>
      <c r="J311" s="327" t="s">
        <v>522</v>
      </c>
    </row>
    <row r="312" spans="1:10" x14ac:dyDescent="0.3">
      <c r="A312" s="283" t="s">
        <v>3234</v>
      </c>
      <c r="B312" s="327" t="s">
        <v>522</v>
      </c>
      <c r="C312" s="327" t="s">
        <v>551</v>
      </c>
      <c r="D312" s="327" t="s">
        <v>522</v>
      </c>
      <c r="E312" s="327" t="s">
        <v>522</v>
      </c>
      <c r="F312" s="327" t="s">
        <v>522</v>
      </c>
      <c r="G312" s="327" t="s">
        <v>522</v>
      </c>
      <c r="H312" s="327" t="s">
        <v>522</v>
      </c>
      <c r="I312" s="327" t="s">
        <v>522</v>
      </c>
      <c r="J312" s="327" t="s">
        <v>522</v>
      </c>
    </row>
    <row r="313" spans="1:10" x14ac:dyDescent="0.3">
      <c r="A313" s="283" t="s">
        <v>3235</v>
      </c>
      <c r="B313" s="327">
        <v>529850.53656414582</v>
      </c>
      <c r="C313" s="327" t="s">
        <v>551</v>
      </c>
      <c r="D313" s="327">
        <v>97.591405250278996</v>
      </c>
      <c r="E313" s="327">
        <v>268.8137615220773</v>
      </c>
      <c r="F313" s="327">
        <v>3.5841834869610198</v>
      </c>
      <c r="G313" s="327">
        <v>51708.858435909322</v>
      </c>
      <c r="H313" s="327">
        <v>142.43111577829899</v>
      </c>
      <c r="I313" s="327">
        <v>1.8990815437106501</v>
      </c>
      <c r="J313" s="327" t="s">
        <v>493</v>
      </c>
    </row>
    <row r="314" spans="1:10" x14ac:dyDescent="0.3">
      <c r="A314" s="296" t="s">
        <v>3253</v>
      </c>
      <c r="B314" s="327">
        <v>4223544.2202831479</v>
      </c>
      <c r="C314" s="327" t="s">
        <v>551</v>
      </c>
      <c r="D314" s="328" t="s">
        <v>188</v>
      </c>
      <c r="E314" s="328" t="s">
        <v>188</v>
      </c>
      <c r="F314" s="328" t="s">
        <v>188</v>
      </c>
      <c r="G314" s="327">
        <v>227130.02298152124</v>
      </c>
      <c r="H314" s="327">
        <v>43.127051806573057</v>
      </c>
      <c r="I314" s="327">
        <v>1.1609958550767701</v>
      </c>
      <c r="J314" s="327" t="s">
        <v>555</v>
      </c>
    </row>
    <row r="315" spans="1:10" x14ac:dyDescent="0.3">
      <c r="A315" s="283" t="s">
        <v>552</v>
      </c>
      <c r="B315" s="327">
        <v>802613.81053188839</v>
      </c>
      <c r="C315" s="327" t="s">
        <v>551</v>
      </c>
      <c r="D315" s="327">
        <v>68.457376341550798</v>
      </c>
      <c r="E315" s="327">
        <v>9.5</v>
      </c>
      <c r="F315" s="327">
        <v>0.56999999999999995</v>
      </c>
      <c r="G315" s="327">
        <v>54944.835684507634</v>
      </c>
      <c r="H315" s="327">
        <v>7.6248312000529399</v>
      </c>
      <c r="I315" s="327">
        <v>0.45748987200317998</v>
      </c>
      <c r="J315" s="327" t="s">
        <v>493</v>
      </c>
    </row>
    <row r="316" spans="1:10" x14ac:dyDescent="0.3">
      <c r="A316" s="283" t="s">
        <v>553</v>
      </c>
      <c r="B316" s="327">
        <v>102339.36264828738</v>
      </c>
      <c r="C316" s="327" t="s">
        <v>551</v>
      </c>
      <c r="D316" s="327">
        <v>90.484267022339296</v>
      </c>
      <c r="E316" s="327">
        <v>9.5</v>
      </c>
      <c r="F316" s="327">
        <v>1.425</v>
      </c>
      <c r="G316" s="327">
        <v>9260.1022167636511</v>
      </c>
      <c r="H316" s="327">
        <v>0.97222394515873001</v>
      </c>
      <c r="I316" s="327">
        <v>0.14583359177381</v>
      </c>
      <c r="J316" s="327" t="s">
        <v>493</v>
      </c>
    </row>
    <row r="317" spans="1:10" x14ac:dyDescent="0.3">
      <c r="A317" s="283" t="s">
        <v>554</v>
      </c>
      <c r="B317" s="327">
        <v>3242414.5271654259</v>
      </c>
      <c r="C317" s="327" t="s">
        <v>551</v>
      </c>
      <c r="D317" s="327">
        <v>50.248073994006511</v>
      </c>
      <c r="E317" s="327">
        <v>4.5</v>
      </c>
      <c r="F317" s="327">
        <v>0.09</v>
      </c>
      <c r="G317" s="327">
        <v>162925.08508024996</v>
      </c>
      <c r="H317" s="327">
        <v>14.590865372244419</v>
      </c>
      <c r="I317" s="327">
        <v>0.29181730744488998</v>
      </c>
      <c r="J317" s="327" t="s">
        <v>493</v>
      </c>
    </row>
    <row r="318" spans="1:10" x14ac:dyDescent="0.3">
      <c r="A318" s="283" t="s">
        <v>3233</v>
      </c>
      <c r="B318" s="327" t="s">
        <v>522</v>
      </c>
      <c r="C318" s="327" t="s">
        <v>551</v>
      </c>
      <c r="D318" s="327" t="s">
        <v>522</v>
      </c>
      <c r="E318" s="327" t="s">
        <v>522</v>
      </c>
      <c r="F318" s="327" t="s">
        <v>522</v>
      </c>
      <c r="G318" s="327" t="s">
        <v>522</v>
      </c>
      <c r="H318" s="327" t="s">
        <v>522</v>
      </c>
      <c r="I318" s="327" t="s">
        <v>522</v>
      </c>
      <c r="J318" s="327" t="s">
        <v>522</v>
      </c>
    </row>
    <row r="319" spans="1:10" x14ac:dyDescent="0.3">
      <c r="A319" s="283" t="s">
        <v>3234</v>
      </c>
      <c r="B319" s="327" t="s">
        <v>522</v>
      </c>
      <c r="C319" s="327" t="s">
        <v>551</v>
      </c>
      <c r="D319" s="327" t="s">
        <v>522</v>
      </c>
      <c r="E319" s="327" t="s">
        <v>522</v>
      </c>
      <c r="F319" s="327" t="s">
        <v>522</v>
      </c>
      <c r="G319" s="327" t="s">
        <v>522</v>
      </c>
      <c r="H319" s="327" t="s">
        <v>522</v>
      </c>
      <c r="I319" s="327" t="s">
        <v>522</v>
      </c>
      <c r="J319" s="327" t="s">
        <v>522</v>
      </c>
    </row>
    <row r="320" spans="1:10" x14ac:dyDescent="0.3">
      <c r="A320" s="283" t="s">
        <v>3235</v>
      </c>
      <c r="B320" s="327">
        <v>76176.519937545774</v>
      </c>
      <c r="C320" s="327" t="s">
        <v>551</v>
      </c>
      <c r="D320" s="327">
        <v>96.731829689896188</v>
      </c>
      <c r="E320" s="327">
        <v>261.74904426540229</v>
      </c>
      <c r="F320" s="327">
        <v>3.4899872568719901</v>
      </c>
      <c r="G320" s="327">
        <v>7368.6941529676596</v>
      </c>
      <c r="H320" s="327">
        <v>19.939131289116968</v>
      </c>
      <c r="I320" s="327">
        <v>0.26585508385488998</v>
      </c>
      <c r="J320" s="327" t="s">
        <v>493</v>
      </c>
    </row>
    <row r="321" spans="1:10" x14ac:dyDescent="0.3">
      <c r="A321" s="288" t="s">
        <v>596</v>
      </c>
      <c r="B321" s="327">
        <v>4223544.2202831479</v>
      </c>
      <c r="C321" s="327" t="s">
        <v>551</v>
      </c>
      <c r="D321" s="328" t="s">
        <v>188</v>
      </c>
      <c r="E321" s="328" t="s">
        <v>188</v>
      </c>
      <c r="F321" s="328" t="s">
        <v>188</v>
      </c>
      <c r="G321" s="327">
        <v>227130.02298152124</v>
      </c>
      <c r="H321" s="327">
        <v>43.127051806573057</v>
      </c>
      <c r="I321" s="327">
        <v>1.1609958550767701</v>
      </c>
      <c r="J321" s="327" t="s">
        <v>555</v>
      </c>
    </row>
    <row r="322" spans="1:10" x14ac:dyDescent="0.3">
      <c r="A322" s="294" t="s">
        <v>558</v>
      </c>
      <c r="B322" s="329">
        <v>802613.81053188839</v>
      </c>
      <c r="C322" s="327" t="s">
        <v>551</v>
      </c>
      <c r="D322" s="327">
        <v>68.457376341550798</v>
      </c>
      <c r="E322" s="327">
        <v>9.5</v>
      </c>
      <c r="F322" s="327">
        <v>0.56999999999999995</v>
      </c>
      <c r="G322" s="329">
        <v>54944.835684507634</v>
      </c>
      <c r="H322" s="329">
        <v>7.6248312000529399</v>
      </c>
      <c r="I322" s="329">
        <v>0.45748987200317998</v>
      </c>
      <c r="J322" s="329" t="s">
        <v>493</v>
      </c>
    </row>
    <row r="323" spans="1:10" x14ac:dyDescent="0.3">
      <c r="A323" s="294" t="s">
        <v>559</v>
      </c>
      <c r="B323" s="329">
        <v>102339.36264828738</v>
      </c>
      <c r="C323" s="327" t="s">
        <v>551</v>
      </c>
      <c r="D323" s="327">
        <v>90.484267022339296</v>
      </c>
      <c r="E323" s="327">
        <v>9.5</v>
      </c>
      <c r="F323" s="327">
        <v>1.425</v>
      </c>
      <c r="G323" s="329">
        <v>9260.1022167636511</v>
      </c>
      <c r="H323" s="329">
        <v>0.97222394515873001</v>
      </c>
      <c r="I323" s="329">
        <v>0.14583359177381</v>
      </c>
      <c r="J323" s="329" t="s">
        <v>493</v>
      </c>
    </row>
    <row r="324" spans="1:10" x14ac:dyDescent="0.3">
      <c r="A324" s="294" t="s">
        <v>560</v>
      </c>
      <c r="B324" s="329">
        <v>3242414.5271654259</v>
      </c>
      <c r="C324" s="327" t="s">
        <v>551</v>
      </c>
      <c r="D324" s="327">
        <v>50.248073994006511</v>
      </c>
      <c r="E324" s="327">
        <v>4.5</v>
      </c>
      <c r="F324" s="327">
        <v>0.09</v>
      </c>
      <c r="G324" s="329">
        <v>162925.08508024996</v>
      </c>
      <c r="H324" s="329">
        <v>14.590865372244419</v>
      </c>
      <c r="I324" s="329">
        <v>0.29181730744488998</v>
      </c>
      <c r="J324" s="329" t="s">
        <v>493</v>
      </c>
    </row>
    <row r="325" spans="1:10" x14ac:dyDescent="0.3">
      <c r="A325" s="294" t="s">
        <v>561</v>
      </c>
      <c r="B325" s="329" t="s">
        <v>522</v>
      </c>
      <c r="C325" s="327" t="s">
        <v>551</v>
      </c>
      <c r="D325" s="327" t="s">
        <v>522</v>
      </c>
      <c r="E325" s="327" t="s">
        <v>522</v>
      </c>
      <c r="F325" s="327" t="s">
        <v>522</v>
      </c>
      <c r="G325" s="329" t="s">
        <v>522</v>
      </c>
      <c r="H325" s="329" t="s">
        <v>522</v>
      </c>
      <c r="I325" s="329" t="s">
        <v>522</v>
      </c>
      <c r="J325" s="329" t="s">
        <v>522</v>
      </c>
    </row>
    <row r="326" spans="1:10" x14ac:dyDescent="0.3">
      <c r="A326" s="294" t="s">
        <v>562</v>
      </c>
      <c r="B326" s="329" t="s">
        <v>522</v>
      </c>
      <c r="C326" s="327" t="s">
        <v>551</v>
      </c>
      <c r="D326" s="327" t="s">
        <v>522</v>
      </c>
      <c r="E326" s="327" t="s">
        <v>522</v>
      </c>
      <c r="F326" s="327" t="s">
        <v>522</v>
      </c>
      <c r="G326" s="329" t="s">
        <v>522</v>
      </c>
      <c r="H326" s="329" t="s">
        <v>522</v>
      </c>
      <c r="I326" s="329" t="s">
        <v>522</v>
      </c>
      <c r="J326" s="329" t="s">
        <v>522</v>
      </c>
    </row>
    <row r="327" spans="1:10" x14ac:dyDescent="0.3">
      <c r="A327" s="294" t="s">
        <v>92</v>
      </c>
      <c r="B327" s="329">
        <v>76176.519937545774</v>
      </c>
      <c r="C327" s="327" t="s">
        <v>551</v>
      </c>
      <c r="D327" s="327">
        <v>96.731829689896188</v>
      </c>
      <c r="E327" s="327">
        <v>261.74904426540229</v>
      </c>
      <c r="F327" s="327">
        <v>3.4899872568719901</v>
      </c>
      <c r="G327" s="329">
        <v>7368.6941529676596</v>
      </c>
      <c r="H327" s="329">
        <v>19.939131289116968</v>
      </c>
      <c r="I327" s="329">
        <v>0.26585508385488998</v>
      </c>
      <c r="J327" s="329" t="s">
        <v>493</v>
      </c>
    </row>
    <row r="328" spans="1:10" x14ac:dyDescent="0.3">
      <c r="A328" s="296" t="s">
        <v>3254</v>
      </c>
      <c r="B328" s="327">
        <v>7122906.3888648106</v>
      </c>
      <c r="C328" s="327" t="s">
        <v>551</v>
      </c>
      <c r="D328" s="328" t="s">
        <v>188</v>
      </c>
      <c r="E328" s="328" t="s">
        <v>188</v>
      </c>
      <c r="F328" s="328" t="s">
        <v>188</v>
      </c>
      <c r="G328" s="327">
        <v>358897.51072027022</v>
      </c>
      <c r="H328" s="327">
        <v>162.20807697148538</v>
      </c>
      <c r="I328" s="327">
        <v>2.9373316220328798</v>
      </c>
      <c r="J328" s="327" t="s">
        <v>555</v>
      </c>
    </row>
    <row r="329" spans="1:10" x14ac:dyDescent="0.3">
      <c r="A329" s="283" t="s">
        <v>552</v>
      </c>
      <c r="B329" s="327">
        <v>1441653.2392910132</v>
      </c>
      <c r="C329" s="327" t="s">
        <v>551</v>
      </c>
      <c r="D329" s="327">
        <v>66.495636541257568</v>
      </c>
      <c r="E329" s="327">
        <v>9.5</v>
      </c>
      <c r="F329" s="327">
        <v>0.56999999999999995</v>
      </c>
      <c r="G329" s="327">
        <v>95863.649818421836</v>
      </c>
      <c r="H329" s="327">
        <v>13.695705773264629</v>
      </c>
      <c r="I329" s="327">
        <v>0.82174234639587995</v>
      </c>
      <c r="J329" s="327" t="s">
        <v>493</v>
      </c>
    </row>
    <row r="330" spans="1:10" x14ac:dyDescent="0.3">
      <c r="A330" s="283" t="s">
        <v>553</v>
      </c>
      <c r="B330" s="327">
        <v>8899.3961168497008</v>
      </c>
      <c r="C330" s="327" t="s">
        <v>551</v>
      </c>
      <c r="D330" s="327">
        <v>90.484267022339282</v>
      </c>
      <c r="E330" s="327">
        <v>284.99999999999949</v>
      </c>
      <c r="F330" s="327">
        <v>1.4249999999999099</v>
      </c>
      <c r="G330" s="327">
        <v>805.25533457459767</v>
      </c>
      <c r="H330" s="327">
        <v>2.5363278933021598</v>
      </c>
      <c r="I330" s="327">
        <v>1.2681639466510001E-2</v>
      </c>
      <c r="J330" s="327" t="s">
        <v>493</v>
      </c>
    </row>
    <row r="331" spans="1:10" x14ac:dyDescent="0.3">
      <c r="A331" s="283" t="s">
        <v>554</v>
      </c>
      <c r="B331" s="327">
        <v>5218679.7368303481</v>
      </c>
      <c r="C331" s="327" t="s">
        <v>551</v>
      </c>
      <c r="D331" s="327">
        <v>50.248073994006518</v>
      </c>
      <c r="E331" s="327">
        <v>4.5</v>
      </c>
      <c r="F331" s="327">
        <v>0.09</v>
      </c>
      <c r="G331" s="327">
        <v>262228.6055672738</v>
      </c>
      <c r="H331" s="327">
        <v>23.484058815736571</v>
      </c>
      <c r="I331" s="327">
        <v>0.46968117631473</v>
      </c>
      <c r="J331" s="327" t="s">
        <v>493</v>
      </c>
    </row>
    <row r="332" spans="1:10" x14ac:dyDescent="0.3">
      <c r="A332" s="283" t="s">
        <v>3233</v>
      </c>
      <c r="B332" s="327" t="s">
        <v>522</v>
      </c>
      <c r="C332" s="327" t="s">
        <v>551</v>
      </c>
      <c r="D332" s="327" t="s">
        <v>522</v>
      </c>
      <c r="E332" s="327" t="s">
        <v>522</v>
      </c>
      <c r="F332" s="327" t="s">
        <v>522</v>
      </c>
      <c r="G332" s="327" t="s">
        <v>522</v>
      </c>
      <c r="H332" s="327" t="s">
        <v>522</v>
      </c>
      <c r="I332" s="327" t="s">
        <v>522</v>
      </c>
      <c r="J332" s="327" t="s">
        <v>522</v>
      </c>
    </row>
    <row r="333" spans="1:10" x14ac:dyDescent="0.3">
      <c r="A333" s="283" t="s">
        <v>3234</v>
      </c>
      <c r="B333" s="327" t="s">
        <v>522</v>
      </c>
      <c r="C333" s="327" t="s">
        <v>551</v>
      </c>
      <c r="D333" s="327" t="s">
        <v>522</v>
      </c>
      <c r="E333" s="327" t="s">
        <v>522</v>
      </c>
      <c r="F333" s="327" t="s">
        <v>522</v>
      </c>
      <c r="G333" s="327" t="s">
        <v>522</v>
      </c>
      <c r="H333" s="327" t="s">
        <v>522</v>
      </c>
      <c r="I333" s="327" t="s">
        <v>522</v>
      </c>
      <c r="J333" s="327" t="s">
        <v>522</v>
      </c>
    </row>
    <row r="334" spans="1:10" x14ac:dyDescent="0.3">
      <c r="A334" s="283" t="s">
        <v>3235</v>
      </c>
      <c r="B334" s="327">
        <v>453674.0166266</v>
      </c>
      <c r="C334" s="327" t="s">
        <v>551</v>
      </c>
      <c r="D334" s="327">
        <v>97.735736802039924</v>
      </c>
      <c r="E334" s="327">
        <v>270.00000000000006</v>
      </c>
      <c r="F334" s="327">
        <v>3.6</v>
      </c>
      <c r="G334" s="327">
        <v>44340.16428294166</v>
      </c>
      <c r="H334" s="327">
        <v>122.49198448918202</v>
      </c>
      <c r="I334" s="327">
        <v>1.63322645985576</v>
      </c>
      <c r="J334" s="327" t="s">
        <v>493</v>
      </c>
    </row>
    <row r="335" spans="1:10" x14ac:dyDescent="0.3">
      <c r="A335" s="287" t="s">
        <v>597</v>
      </c>
      <c r="B335" s="327">
        <v>7122906.3888648106</v>
      </c>
      <c r="C335" s="327" t="s">
        <v>551</v>
      </c>
      <c r="D335" s="328" t="s">
        <v>188</v>
      </c>
      <c r="E335" s="328" t="s">
        <v>188</v>
      </c>
      <c r="F335" s="328" t="s">
        <v>188</v>
      </c>
      <c r="G335" s="327">
        <v>358897.51072027022</v>
      </c>
      <c r="H335" s="327">
        <v>162.20807697148538</v>
      </c>
      <c r="I335" s="327">
        <v>2.9373316220328798</v>
      </c>
      <c r="J335" s="327" t="s">
        <v>555</v>
      </c>
    </row>
    <row r="336" spans="1:10" x14ac:dyDescent="0.3">
      <c r="A336" s="288" t="s">
        <v>598</v>
      </c>
      <c r="B336" s="327">
        <v>7122906.3888648106</v>
      </c>
      <c r="C336" s="327" t="s">
        <v>551</v>
      </c>
      <c r="D336" s="328" t="s">
        <v>188</v>
      </c>
      <c r="E336" s="328" t="s">
        <v>188</v>
      </c>
      <c r="F336" s="328" t="s">
        <v>188</v>
      </c>
      <c r="G336" s="327">
        <v>358897.51072027022</v>
      </c>
      <c r="H336" s="327">
        <v>162.20807697148538</v>
      </c>
      <c r="I336" s="327">
        <v>2.9373316220328798</v>
      </c>
      <c r="J336" s="327" t="s">
        <v>555</v>
      </c>
    </row>
    <row r="337" spans="1:10" x14ac:dyDescent="0.3">
      <c r="A337" s="294" t="s">
        <v>558</v>
      </c>
      <c r="B337" s="329">
        <v>1441653.2392910132</v>
      </c>
      <c r="C337" s="327" t="s">
        <v>551</v>
      </c>
      <c r="D337" s="327">
        <v>66.495636541257568</v>
      </c>
      <c r="E337" s="327">
        <v>9.5</v>
      </c>
      <c r="F337" s="327">
        <v>0.56999999999999995</v>
      </c>
      <c r="G337" s="329">
        <v>95863.649818421836</v>
      </c>
      <c r="H337" s="329">
        <v>13.695705773264629</v>
      </c>
      <c r="I337" s="329">
        <v>0.82174234639587995</v>
      </c>
      <c r="J337" s="329" t="s">
        <v>493</v>
      </c>
    </row>
    <row r="338" spans="1:10" x14ac:dyDescent="0.3">
      <c r="A338" s="294" t="s">
        <v>559</v>
      </c>
      <c r="B338" s="329">
        <v>8899.3961168497008</v>
      </c>
      <c r="C338" s="327" t="s">
        <v>551</v>
      </c>
      <c r="D338" s="327">
        <v>90.484267022339282</v>
      </c>
      <c r="E338" s="327">
        <v>284.99999999999949</v>
      </c>
      <c r="F338" s="327">
        <v>1.4249999999999099</v>
      </c>
      <c r="G338" s="329">
        <v>805.25533457459767</v>
      </c>
      <c r="H338" s="329">
        <v>2.5363278933021598</v>
      </c>
      <c r="I338" s="329">
        <v>1.2681639466510001E-2</v>
      </c>
      <c r="J338" s="329" t="s">
        <v>493</v>
      </c>
    </row>
    <row r="339" spans="1:10" x14ac:dyDescent="0.3">
      <c r="A339" s="294" t="s">
        <v>560</v>
      </c>
      <c r="B339" s="329">
        <v>5218679.7368303481</v>
      </c>
      <c r="C339" s="327" t="s">
        <v>551</v>
      </c>
      <c r="D339" s="327">
        <v>50.248073994006518</v>
      </c>
      <c r="E339" s="327">
        <v>4.5</v>
      </c>
      <c r="F339" s="327">
        <v>0.09</v>
      </c>
      <c r="G339" s="329">
        <v>262228.6055672738</v>
      </c>
      <c r="H339" s="329">
        <v>23.484058815736571</v>
      </c>
      <c r="I339" s="329">
        <v>0.46968117631473</v>
      </c>
      <c r="J339" s="329" t="s">
        <v>493</v>
      </c>
    </row>
    <row r="340" spans="1:10" x14ac:dyDescent="0.3">
      <c r="A340" s="294" t="s">
        <v>561</v>
      </c>
      <c r="B340" s="329" t="s">
        <v>522</v>
      </c>
      <c r="C340" s="327" t="s">
        <v>551</v>
      </c>
      <c r="D340" s="327" t="s">
        <v>522</v>
      </c>
      <c r="E340" s="327" t="s">
        <v>522</v>
      </c>
      <c r="F340" s="327" t="s">
        <v>522</v>
      </c>
      <c r="G340" s="329" t="s">
        <v>522</v>
      </c>
      <c r="H340" s="329" t="s">
        <v>522</v>
      </c>
      <c r="I340" s="329" t="s">
        <v>522</v>
      </c>
      <c r="J340" s="329" t="s">
        <v>522</v>
      </c>
    </row>
    <row r="341" spans="1:10" x14ac:dyDescent="0.3">
      <c r="A341" s="294" t="s">
        <v>562</v>
      </c>
      <c r="B341" s="329" t="s">
        <v>522</v>
      </c>
      <c r="C341" s="327" t="s">
        <v>551</v>
      </c>
      <c r="D341" s="327" t="s">
        <v>522</v>
      </c>
      <c r="E341" s="327" t="s">
        <v>522</v>
      </c>
      <c r="F341" s="327" t="s">
        <v>522</v>
      </c>
      <c r="G341" s="329" t="s">
        <v>522</v>
      </c>
      <c r="H341" s="329" t="s">
        <v>522</v>
      </c>
      <c r="I341" s="329" t="s">
        <v>522</v>
      </c>
      <c r="J341" s="329" t="s">
        <v>522</v>
      </c>
    </row>
    <row r="342" spans="1:10" x14ac:dyDescent="0.3">
      <c r="A342" s="294" t="s">
        <v>92</v>
      </c>
      <c r="B342" s="329">
        <v>453674.0166266</v>
      </c>
      <c r="C342" s="327" t="s">
        <v>551</v>
      </c>
      <c r="D342" s="327">
        <v>97.735736802039924</v>
      </c>
      <c r="E342" s="327">
        <v>270.00000000000006</v>
      </c>
      <c r="F342" s="327">
        <v>3.6</v>
      </c>
      <c r="G342" s="329">
        <v>44340.16428294166</v>
      </c>
      <c r="H342" s="329">
        <v>122.49198448918202</v>
      </c>
      <c r="I342" s="329">
        <v>1.63322645985576</v>
      </c>
      <c r="J342" s="329" t="s">
        <v>493</v>
      </c>
    </row>
    <row r="343" spans="1:10" x14ac:dyDescent="0.3">
      <c r="A343" s="296" t="s">
        <v>512</v>
      </c>
      <c r="B343" s="327">
        <v>4114.8315249317002</v>
      </c>
      <c r="C343" s="327" t="s">
        <v>551</v>
      </c>
      <c r="D343" s="328" t="s">
        <v>188</v>
      </c>
      <c r="E343" s="328" t="s">
        <v>188</v>
      </c>
      <c r="F343" s="328" t="s">
        <v>188</v>
      </c>
      <c r="G343" s="327">
        <v>257.90976890459297</v>
      </c>
      <c r="H343" s="327">
        <v>1.300499353749E-2</v>
      </c>
      <c r="I343" s="327">
        <v>1.87845249299E-3</v>
      </c>
      <c r="J343" s="327" t="s">
        <v>555</v>
      </c>
    </row>
    <row r="344" spans="1:10" x14ac:dyDescent="0.3">
      <c r="A344" s="283" t="s">
        <v>552</v>
      </c>
      <c r="B344" s="327">
        <v>17.3116495903528</v>
      </c>
      <c r="C344" s="327" t="s">
        <v>551</v>
      </c>
      <c r="D344" s="327">
        <v>74.659973794072144</v>
      </c>
      <c r="E344" s="327">
        <v>3.14261395692282</v>
      </c>
      <c r="F344" s="327">
        <v>2.75514054400566</v>
      </c>
      <c r="G344" s="327">
        <v>1.2924873047479</v>
      </c>
      <c r="H344" s="327">
        <v>5.4403831620000003E-5</v>
      </c>
      <c r="I344" s="327">
        <v>4.7696027669999998E-5</v>
      </c>
      <c r="J344" s="327" t="s">
        <v>493</v>
      </c>
    </row>
    <row r="345" spans="1:10" x14ac:dyDescent="0.3">
      <c r="A345" s="283" t="s">
        <v>553</v>
      </c>
      <c r="B345" s="327">
        <v>1127.7841994410535</v>
      </c>
      <c r="C345" s="327" t="s">
        <v>551</v>
      </c>
      <c r="D345" s="327">
        <v>89.645233903118736</v>
      </c>
      <c r="E345" s="327">
        <v>9.4999999999999893</v>
      </c>
      <c r="F345" s="327">
        <v>1.4249999999969001</v>
      </c>
      <c r="G345" s="327">
        <v>101.10047835113475</v>
      </c>
      <c r="H345" s="327">
        <v>1.071394989469E-2</v>
      </c>
      <c r="I345" s="327">
        <v>1.6070924842E-3</v>
      </c>
      <c r="J345" s="327" t="s">
        <v>493</v>
      </c>
    </row>
    <row r="346" spans="1:10" x14ac:dyDescent="0.3">
      <c r="A346" s="283" t="s">
        <v>554</v>
      </c>
      <c r="B346" s="327">
        <v>2969.7356759002942</v>
      </c>
      <c r="C346" s="327" t="s">
        <v>551</v>
      </c>
      <c r="D346" s="327">
        <v>52.367220594999388</v>
      </c>
      <c r="E346" s="327">
        <v>0.75314440585758002</v>
      </c>
      <c r="F346" s="327">
        <v>7.5314440586429998E-2</v>
      </c>
      <c r="G346" s="327">
        <v>155.51680324871032</v>
      </c>
      <c r="H346" s="327">
        <v>2.2366398111799998E-3</v>
      </c>
      <c r="I346" s="327">
        <v>2.2366398112E-4</v>
      </c>
      <c r="J346" s="327" t="s">
        <v>493</v>
      </c>
    </row>
    <row r="347" spans="1:10" x14ac:dyDescent="0.3">
      <c r="A347" s="283" t="s">
        <v>3233</v>
      </c>
      <c r="B347" s="327" t="s">
        <v>522</v>
      </c>
      <c r="C347" s="327" t="s">
        <v>551</v>
      </c>
      <c r="D347" s="327" t="s">
        <v>522</v>
      </c>
      <c r="E347" s="327" t="s">
        <v>522</v>
      </c>
      <c r="F347" s="327" t="s">
        <v>522</v>
      </c>
      <c r="G347" s="327" t="s">
        <v>522</v>
      </c>
      <c r="H347" s="327" t="s">
        <v>522</v>
      </c>
      <c r="I347" s="327" t="s">
        <v>522</v>
      </c>
      <c r="J347" s="327" t="s">
        <v>522</v>
      </c>
    </row>
    <row r="348" spans="1:10" x14ac:dyDescent="0.3">
      <c r="A348" s="283" t="s">
        <v>3234</v>
      </c>
      <c r="B348" s="327" t="s">
        <v>522</v>
      </c>
      <c r="C348" s="327" t="s">
        <v>551</v>
      </c>
      <c r="D348" s="327" t="s">
        <v>522</v>
      </c>
      <c r="E348" s="327" t="s">
        <v>522</v>
      </c>
      <c r="F348" s="327" t="s">
        <v>522</v>
      </c>
      <c r="G348" s="327" t="s">
        <v>522</v>
      </c>
      <c r="H348" s="327" t="s">
        <v>522</v>
      </c>
      <c r="I348" s="327" t="s">
        <v>522</v>
      </c>
      <c r="J348" s="327" t="s">
        <v>522</v>
      </c>
    </row>
    <row r="349" spans="1:10" x14ac:dyDescent="0.3">
      <c r="A349" s="283" t="s">
        <v>3235</v>
      </c>
      <c r="B349" s="327" t="s">
        <v>495</v>
      </c>
      <c r="C349" s="327" t="s">
        <v>551</v>
      </c>
      <c r="D349" s="327" t="s">
        <v>527</v>
      </c>
      <c r="E349" s="327" t="s">
        <v>493</v>
      </c>
      <c r="F349" s="327" t="s">
        <v>493</v>
      </c>
      <c r="G349" s="327" t="s">
        <v>495</v>
      </c>
      <c r="H349" s="327" t="s">
        <v>493</v>
      </c>
      <c r="I349" s="327" t="s">
        <v>493</v>
      </c>
      <c r="J349" s="327" t="s">
        <v>493</v>
      </c>
    </row>
    <row r="350" spans="1:10" x14ac:dyDescent="0.3">
      <c r="A350" s="290" t="s">
        <v>599</v>
      </c>
      <c r="B350" s="327">
        <v>4114.8315249317002</v>
      </c>
      <c r="C350" s="327" t="s">
        <v>551</v>
      </c>
      <c r="D350" s="328" t="s">
        <v>188</v>
      </c>
      <c r="E350" s="328" t="s">
        <v>188</v>
      </c>
      <c r="F350" s="328" t="s">
        <v>188</v>
      </c>
      <c r="G350" s="327">
        <v>257.90976890459297</v>
      </c>
      <c r="H350" s="327">
        <v>1.300499353749E-2</v>
      </c>
      <c r="I350" s="327">
        <v>1.87845249299E-3</v>
      </c>
      <c r="J350" s="327" t="s">
        <v>555</v>
      </c>
    </row>
    <row r="351" spans="1:10" x14ac:dyDescent="0.3">
      <c r="A351" s="283" t="s">
        <v>552</v>
      </c>
      <c r="B351" s="329">
        <v>17.3116495903528</v>
      </c>
      <c r="C351" s="327" t="s">
        <v>551</v>
      </c>
      <c r="D351" s="327">
        <v>74.659973794072144</v>
      </c>
      <c r="E351" s="327">
        <v>3.14261395692282</v>
      </c>
      <c r="F351" s="327">
        <v>2.75514054400566</v>
      </c>
      <c r="G351" s="329">
        <v>1.2924873047479</v>
      </c>
      <c r="H351" s="329">
        <v>5.4403831620000003E-5</v>
      </c>
      <c r="I351" s="329">
        <v>4.7696027669999998E-5</v>
      </c>
      <c r="J351" s="329" t="s">
        <v>493</v>
      </c>
    </row>
    <row r="352" spans="1:10" x14ac:dyDescent="0.3">
      <c r="A352" s="283" t="s">
        <v>553</v>
      </c>
      <c r="B352" s="329">
        <v>1127.7841994410535</v>
      </c>
      <c r="C352" s="327" t="s">
        <v>551</v>
      </c>
      <c r="D352" s="327">
        <v>89.645233903118736</v>
      </c>
      <c r="E352" s="327">
        <v>9.4999999999999893</v>
      </c>
      <c r="F352" s="327">
        <v>1.4249999999969001</v>
      </c>
      <c r="G352" s="329">
        <v>101.10047835113475</v>
      </c>
      <c r="H352" s="329">
        <v>1.071394989469E-2</v>
      </c>
      <c r="I352" s="329">
        <v>1.6070924842E-3</v>
      </c>
      <c r="J352" s="329" t="s">
        <v>493</v>
      </c>
    </row>
    <row r="353" spans="1:10" x14ac:dyDescent="0.3">
      <c r="A353" s="283" t="s">
        <v>554</v>
      </c>
      <c r="B353" s="329">
        <v>2969.7356759002942</v>
      </c>
      <c r="C353" s="327" t="s">
        <v>551</v>
      </c>
      <c r="D353" s="327">
        <v>52.367220594999388</v>
      </c>
      <c r="E353" s="327">
        <v>0.75314440585758002</v>
      </c>
      <c r="F353" s="327">
        <v>7.5314440586429998E-2</v>
      </c>
      <c r="G353" s="329">
        <v>155.51680324871032</v>
      </c>
      <c r="H353" s="329">
        <v>2.2366398111799998E-3</v>
      </c>
      <c r="I353" s="329">
        <v>2.2366398112E-4</v>
      </c>
      <c r="J353" s="329" t="s">
        <v>493</v>
      </c>
    </row>
    <row r="354" spans="1:10" x14ac:dyDescent="0.3">
      <c r="A354" s="283" t="s">
        <v>3233</v>
      </c>
      <c r="B354" s="329" t="s">
        <v>522</v>
      </c>
      <c r="C354" s="327" t="s">
        <v>551</v>
      </c>
      <c r="D354" s="327" t="s">
        <v>522</v>
      </c>
      <c r="E354" s="327" t="s">
        <v>522</v>
      </c>
      <c r="F354" s="327" t="s">
        <v>522</v>
      </c>
      <c r="G354" s="329" t="s">
        <v>522</v>
      </c>
      <c r="H354" s="329" t="s">
        <v>522</v>
      </c>
      <c r="I354" s="329" t="s">
        <v>522</v>
      </c>
      <c r="J354" s="329" t="s">
        <v>522</v>
      </c>
    </row>
    <row r="355" spans="1:10" x14ac:dyDescent="0.3">
      <c r="A355" s="283" t="s">
        <v>3234</v>
      </c>
      <c r="B355" s="329" t="s">
        <v>522</v>
      </c>
      <c r="C355" s="327" t="s">
        <v>551</v>
      </c>
      <c r="D355" s="327" t="s">
        <v>522</v>
      </c>
      <c r="E355" s="327" t="s">
        <v>522</v>
      </c>
      <c r="F355" s="327" t="s">
        <v>522</v>
      </c>
      <c r="G355" s="329" t="s">
        <v>522</v>
      </c>
      <c r="H355" s="329" t="s">
        <v>522</v>
      </c>
      <c r="I355" s="329" t="s">
        <v>522</v>
      </c>
      <c r="J355" s="329" t="s">
        <v>522</v>
      </c>
    </row>
    <row r="356" spans="1:10" x14ac:dyDescent="0.3">
      <c r="A356" s="283" t="s">
        <v>3235</v>
      </c>
      <c r="B356" s="329" t="s">
        <v>495</v>
      </c>
      <c r="C356" s="327" t="s">
        <v>551</v>
      </c>
      <c r="D356" s="327" t="s">
        <v>527</v>
      </c>
      <c r="E356" s="327" t="s">
        <v>493</v>
      </c>
      <c r="F356" s="327" t="s">
        <v>493</v>
      </c>
      <c r="G356" s="329" t="s">
        <v>495</v>
      </c>
      <c r="H356" s="329" t="s">
        <v>493</v>
      </c>
      <c r="I356" s="329" t="s">
        <v>493</v>
      </c>
      <c r="J356" s="329" t="s">
        <v>493</v>
      </c>
    </row>
    <row r="357" spans="1:10" x14ac:dyDescent="0.3">
      <c r="A357" s="290" t="s">
        <v>600</v>
      </c>
      <c r="B357" s="327" t="s">
        <v>567</v>
      </c>
      <c r="C357" s="327" t="s">
        <v>551</v>
      </c>
      <c r="D357" s="328" t="s">
        <v>188</v>
      </c>
      <c r="E357" s="328" t="s">
        <v>188</v>
      </c>
      <c r="F357" s="328" t="s">
        <v>188</v>
      </c>
      <c r="G357" s="327" t="s">
        <v>567</v>
      </c>
      <c r="H357" s="327" t="s">
        <v>3126</v>
      </c>
      <c r="I357" s="327" t="s">
        <v>3126</v>
      </c>
      <c r="J357" s="328" t="s">
        <v>188</v>
      </c>
    </row>
    <row r="358" spans="1:10" x14ac:dyDescent="0.3">
      <c r="A358" s="283" t="s">
        <v>575</v>
      </c>
      <c r="B358" s="329" t="s">
        <v>495</v>
      </c>
      <c r="C358" s="327" t="s">
        <v>551</v>
      </c>
      <c r="D358" s="327" t="s">
        <v>495</v>
      </c>
      <c r="E358" s="327" t="s">
        <v>495</v>
      </c>
      <c r="F358" s="327" t="s">
        <v>495</v>
      </c>
      <c r="G358" s="329" t="s">
        <v>495</v>
      </c>
      <c r="H358" s="329" t="s">
        <v>495</v>
      </c>
      <c r="I358" s="329" t="s">
        <v>495</v>
      </c>
      <c r="J358" s="328" t="s">
        <v>188</v>
      </c>
    </row>
    <row r="359" spans="1:10" x14ac:dyDescent="0.3">
      <c r="A359" s="283" t="s">
        <v>576</v>
      </c>
      <c r="B359" s="329" t="s">
        <v>495</v>
      </c>
      <c r="C359" s="327" t="s">
        <v>551</v>
      </c>
      <c r="D359" s="327" t="s">
        <v>495</v>
      </c>
      <c r="E359" s="327" t="s">
        <v>495</v>
      </c>
      <c r="F359" s="327" t="s">
        <v>495</v>
      </c>
      <c r="G359" s="329" t="s">
        <v>495</v>
      </c>
      <c r="H359" s="329" t="s">
        <v>495</v>
      </c>
      <c r="I359" s="329" t="s">
        <v>495</v>
      </c>
      <c r="J359" s="328" t="s">
        <v>188</v>
      </c>
    </row>
    <row r="360" spans="1:10" x14ac:dyDescent="0.3">
      <c r="A360" s="283" t="s">
        <v>577</v>
      </c>
      <c r="B360" s="329" t="s">
        <v>495</v>
      </c>
      <c r="C360" s="327" t="s">
        <v>551</v>
      </c>
      <c r="D360" s="327" t="s">
        <v>495</v>
      </c>
      <c r="E360" s="327" t="s">
        <v>495</v>
      </c>
      <c r="F360" s="327" t="s">
        <v>495</v>
      </c>
      <c r="G360" s="329" t="s">
        <v>495</v>
      </c>
      <c r="H360" s="329" t="s">
        <v>495</v>
      </c>
      <c r="I360" s="329" t="s">
        <v>495</v>
      </c>
      <c r="J360" s="328" t="s">
        <v>188</v>
      </c>
    </row>
    <row r="361" spans="1:10" x14ac:dyDescent="0.3">
      <c r="A361" s="283" t="s">
        <v>3244</v>
      </c>
      <c r="B361" s="327" t="s">
        <v>495</v>
      </c>
      <c r="C361" s="327" t="s">
        <v>551</v>
      </c>
      <c r="D361" s="328" t="s">
        <v>188</v>
      </c>
      <c r="E361" s="328" t="s">
        <v>188</v>
      </c>
      <c r="F361" s="328" t="s">
        <v>188</v>
      </c>
      <c r="G361" s="327" t="s">
        <v>495</v>
      </c>
      <c r="H361" s="327" t="s">
        <v>522</v>
      </c>
      <c r="I361" s="327" t="s">
        <v>522</v>
      </c>
      <c r="J361" s="328" t="s">
        <v>188</v>
      </c>
    </row>
    <row r="362" spans="1:10" x14ac:dyDescent="0.3">
      <c r="A362" s="283" t="s">
        <v>554</v>
      </c>
      <c r="B362" s="329" t="s">
        <v>495</v>
      </c>
      <c r="C362" s="327" t="s">
        <v>551</v>
      </c>
      <c r="D362" s="327" t="s">
        <v>495</v>
      </c>
      <c r="E362" s="327" t="s">
        <v>495</v>
      </c>
      <c r="F362" s="327" t="s">
        <v>495</v>
      </c>
      <c r="G362" s="329" t="s">
        <v>495</v>
      </c>
      <c r="H362" s="329" t="s">
        <v>495</v>
      </c>
      <c r="I362" s="329" t="s">
        <v>495</v>
      </c>
      <c r="J362" s="328" t="s">
        <v>188</v>
      </c>
    </row>
    <row r="363" spans="1:10" x14ac:dyDescent="0.3">
      <c r="A363" s="283" t="s">
        <v>3235</v>
      </c>
      <c r="B363" s="329" t="s">
        <v>495</v>
      </c>
      <c r="C363" s="327" t="s">
        <v>551</v>
      </c>
      <c r="D363" s="327" t="s">
        <v>495</v>
      </c>
      <c r="E363" s="327" t="s">
        <v>493</v>
      </c>
      <c r="F363" s="327" t="s">
        <v>493</v>
      </c>
      <c r="G363" s="329" t="s">
        <v>495</v>
      </c>
      <c r="H363" s="329" t="s">
        <v>493</v>
      </c>
      <c r="I363" s="329" t="s">
        <v>493</v>
      </c>
      <c r="J363" s="328" t="s">
        <v>188</v>
      </c>
    </row>
    <row r="364" spans="1:10" x14ac:dyDescent="0.3">
      <c r="A364" s="283" t="s">
        <v>3245</v>
      </c>
      <c r="B364" s="327" t="s">
        <v>522</v>
      </c>
      <c r="C364" s="327" t="s">
        <v>551</v>
      </c>
      <c r="D364" s="328" t="s">
        <v>188</v>
      </c>
      <c r="E364" s="328" t="s">
        <v>188</v>
      </c>
      <c r="F364" s="328" t="s">
        <v>188</v>
      </c>
      <c r="G364" s="327" t="s">
        <v>522</v>
      </c>
      <c r="H364" s="327" t="s">
        <v>522</v>
      </c>
      <c r="I364" s="327" t="s">
        <v>522</v>
      </c>
      <c r="J364" s="328" t="s">
        <v>188</v>
      </c>
    </row>
    <row r="365" spans="1:10" x14ac:dyDescent="0.3">
      <c r="A365" s="290" t="s">
        <v>601</v>
      </c>
      <c r="B365" s="327" t="s">
        <v>567</v>
      </c>
      <c r="C365" s="327" t="s">
        <v>551</v>
      </c>
      <c r="D365" s="328" t="s">
        <v>188</v>
      </c>
      <c r="E365" s="328" t="s">
        <v>188</v>
      </c>
      <c r="F365" s="328" t="s">
        <v>188</v>
      </c>
      <c r="G365" s="327" t="s">
        <v>567</v>
      </c>
      <c r="H365" s="327" t="s">
        <v>3126</v>
      </c>
      <c r="I365" s="327" t="s">
        <v>3126</v>
      </c>
      <c r="J365" s="328" t="s">
        <v>188</v>
      </c>
    </row>
    <row r="366" spans="1:10" x14ac:dyDescent="0.3">
      <c r="A366" s="283" t="s">
        <v>589</v>
      </c>
      <c r="B366" s="329" t="s">
        <v>495</v>
      </c>
      <c r="C366" s="327" t="s">
        <v>551</v>
      </c>
      <c r="D366" s="327" t="s">
        <v>495</v>
      </c>
      <c r="E366" s="327" t="s">
        <v>495</v>
      </c>
      <c r="F366" s="327" t="s">
        <v>495</v>
      </c>
      <c r="G366" s="329" t="s">
        <v>495</v>
      </c>
      <c r="H366" s="329" t="s">
        <v>495</v>
      </c>
      <c r="I366" s="329" t="s">
        <v>495</v>
      </c>
      <c r="J366" s="328" t="s">
        <v>188</v>
      </c>
    </row>
    <row r="367" spans="1:10" x14ac:dyDescent="0.3">
      <c r="A367" s="283" t="s">
        <v>590</v>
      </c>
      <c r="B367" s="329" t="s">
        <v>495</v>
      </c>
      <c r="C367" s="327" t="s">
        <v>551</v>
      </c>
      <c r="D367" s="327" t="s">
        <v>495</v>
      </c>
      <c r="E367" s="327" t="s">
        <v>495</v>
      </c>
      <c r="F367" s="327" t="s">
        <v>495</v>
      </c>
      <c r="G367" s="329" t="s">
        <v>495</v>
      </c>
      <c r="H367" s="329" t="s">
        <v>495</v>
      </c>
      <c r="I367" s="329" t="s">
        <v>495</v>
      </c>
      <c r="J367" s="328" t="s">
        <v>188</v>
      </c>
    </row>
    <row r="368" spans="1:10" x14ac:dyDescent="0.3">
      <c r="A368" s="283" t="s">
        <v>575</v>
      </c>
      <c r="B368" s="329" t="s">
        <v>495</v>
      </c>
      <c r="C368" s="327" t="s">
        <v>551</v>
      </c>
      <c r="D368" s="327" t="s">
        <v>495</v>
      </c>
      <c r="E368" s="327" t="s">
        <v>495</v>
      </c>
      <c r="F368" s="327" t="s">
        <v>495</v>
      </c>
      <c r="G368" s="329" t="s">
        <v>495</v>
      </c>
      <c r="H368" s="329" t="s">
        <v>495</v>
      </c>
      <c r="I368" s="329" t="s">
        <v>495</v>
      </c>
      <c r="J368" s="328" t="s">
        <v>188</v>
      </c>
    </row>
    <row r="369" spans="1:10" x14ac:dyDescent="0.3">
      <c r="A369" s="283" t="s">
        <v>3249</v>
      </c>
      <c r="B369" s="327" t="s">
        <v>495</v>
      </c>
      <c r="C369" s="327" t="s">
        <v>551</v>
      </c>
      <c r="D369" s="328" t="s">
        <v>188</v>
      </c>
      <c r="E369" s="328" t="s">
        <v>188</v>
      </c>
      <c r="F369" s="328" t="s">
        <v>188</v>
      </c>
      <c r="G369" s="327" t="s">
        <v>495</v>
      </c>
      <c r="H369" s="327" t="s">
        <v>495</v>
      </c>
      <c r="I369" s="327" t="s">
        <v>495</v>
      </c>
      <c r="J369" s="328" t="s">
        <v>188</v>
      </c>
    </row>
    <row r="370" spans="1:10" x14ac:dyDescent="0.3">
      <c r="A370" s="283" t="s">
        <v>554</v>
      </c>
      <c r="B370" s="329" t="s">
        <v>495</v>
      </c>
      <c r="C370" s="327" t="s">
        <v>551</v>
      </c>
      <c r="D370" s="327" t="s">
        <v>495</v>
      </c>
      <c r="E370" s="327" t="s">
        <v>495</v>
      </c>
      <c r="F370" s="327" t="s">
        <v>495</v>
      </c>
      <c r="G370" s="329" t="s">
        <v>495</v>
      </c>
      <c r="H370" s="329" t="s">
        <v>495</v>
      </c>
      <c r="I370" s="329" t="s">
        <v>495</v>
      </c>
      <c r="J370" s="328" t="s">
        <v>188</v>
      </c>
    </row>
    <row r="371" spans="1:10" x14ac:dyDescent="0.3">
      <c r="A371" s="283" t="s">
        <v>3235</v>
      </c>
      <c r="B371" s="329" t="s">
        <v>495</v>
      </c>
      <c r="C371" s="327" t="s">
        <v>551</v>
      </c>
      <c r="D371" s="327" t="s">
        <v>495</v>
      </c>
      <c r="E371" s="327" t="s">
        <v>493</v>
      </c>
      <c r="F371" s="327" t="s">
        <v>493</v>
      </c>
      <c r="G371" s="329" t="s">
        <v>495</v>
      </c>
      <c r="H371" s="329" t="s">
        <v>493</v>
      </c>
      <c r="I371" s="329" t="s">
        <v>493</v>
      </c>
      <c r="J371" s="328" t="s">
        <v>188</v>
      </c>
    </row>
    <row r="372" spans="1:10" x14ac:dyDescent="0.3">
      <c r="A372" s="283" t="s">
        <v>3250</v>
      </c>
      <c r="B372" s="327" t="s">
        <v>522</v>
      </c>
      <c r="C372" s="327" t="s">
        <v>551</v>
      </c>
      <c r="D372" s="328" t="s">
        <v>188</v>
      </c>
      <c r="E372" s="328" t="s">
        <v>188</v>
      </c>
      <c r="F372" s="328" t="s">
        <v>188</v>
      </c>
      <c r="G372" s="327" t="s">
        <v>522</v>
      </c>
      <c r="H372" s="327" t="s">
        <v>522</v>
      </c>
      <c r="I372" s="327" t="s">
        <v>522</v>
      </c>
      <c r="J372" s="328" t="s">
        <v>188</v>
      </c>
    </row>
    <row r="373" spans="1:10" x14ac:dyDescent="0.3">
      <c r="A373" s="58" t="s">
        <v>602</v>
      </c>
      <c r="B373" s="327">
        <v>7178206.5629088432</v>
      </c>
      <c r="C373" s="327" t="s">
        <v>551</v>
      </c>
      <c r="D373" s="328" t="s">
        <v>188</v>
      </c>
      <c r="E373" s="328" t="s">
        <v>188</v>
      </c>
      <c r="F373" s="328" t="s">
        <v>188</v>
      </c>
      <c r="G373" s="327">
        <v>226133.22271687587</v>
      </c>
      <c r="H373" s="327">
        <v>4.1196270916394298</v>
      </c>
      <c r="I373" s="327">
        <v>2.5601844175807398</v>
      </c>
      <c r="J373" s="327" t="s">
        <v>555</v>
      </c>
    </row>
    <row r="374" spans="1:10" x14ac:dyDescent="0.3">
      <c r="A374" s="59" t="s">
        <v>603</v>
      </c>
      <c r="B374" s="327">
        <v>6789839.4054550147</v>
      </c>
      <c r="C374" s="327" t="s">
        <v>551</v>
      </c>
      <c r="D374" s="328" t="s">
        <v>188</v>
      </c>
      <c r="E374" s="328" t="s">
        <v>188</v>
      </c>
      <c r="F374" s="328" t="s">
        <v>188</v>
      </c>
      <c r="G374" s="327">
        <v>198086.65897924625</v>
      </c>
      <c r="H374" s="327">
        <v>3.6313603130694299</v>
      </c>
      <c r="I374" s="327">
        <v>1.7785747835824199</v>
      </c>
      <c r="J374" s="327" t="s">
        <v>555</v>
      </c>
    </row>
    <row r="375" spans="1:10" x14ac:dyDescent="0.3">
      <c r="A375" s="287" t="s">
        <v>604</v>
      </c>
      <c r="B375" s="327">
        <v>300563.24352238874</v>
      </c>
      <c r="C375" s="327" t="s">
        <v>551</v>
      </c>
      <c r="D375" s="328" t="s">
        <v>188</v>
      </c>
      <c r="E375" s="328" t="s">
        <v>188</v>
      </c>
      <c r="F375" s="328" t="s">
        <v>188</v>
      </c>
      <c r="G375" s="327">
        <v>13282.915919456782</v>
      </c>
      <c r="H375" s="327">
        <v>5.1948184495699996E-3</v>
      </c>
      <c r="I375" s="327">
        <v>1.29867598133739</v>
      </c>
      <c r="J375" s="327" t="s">
        <v>555</v>
      </c>
    </row>
    <row r="376" spans="1:10" x14ac:dyDescent="0.3">
      <c r="A376" s="288" t="s">
        <v>558</v>
      </c>
      <c r="B376" s="329" t="s">
        <v>493</v>
      </c>
      <c r="C376" s="327" t="s">
        <v>551</v>
      </c>
      <c r="D376" s="327" t="s">
        <v>493</v>
      </c>
      <c r="E376" s="327" t="s">
        <v>493</v>
      </c>
      <c r="F376" s="327" t="s">
        <v>493</v>
      </c>
      <c r="G376" s="329" t="s">
        <v>493</v>
      </c>
      <c r="H376" s="329" t="s">
        <v>493</v>
      </c>
      <c r="I376" s="329" t="s">
        <v>493</v>
      </c>
      <c r="J376" s="329" t="s">
        <v>493</v>
      </c>
    </row>
    <row r="377" spans="1:10" x14ac:dyDescent="0.3">
      <c r="A377" s="288" t="s">
        <v>559</v>
      </c>
      <c r="B377" s="329" t="s">
        <v>493</v>
      </c>
      <c r="C377" s="327" t="s">
        <v>551</v>
      </c>
      <c r="D377" s="327" t="s">
        <v>493</v>
      </c>
      <c r="E377" s="327" t="s">
        <v>493</v>
      </c>
      <c r="F377" s="327" t="s">
        <v>493</v>
      </c>
      <c r="G377" s="329" t="s">
        <v>493</v>
      </c>
      <c r="H377" s="329" t="s">
        <v>493</v>
      </c>
      <c r="I377" s="329" t="s">
        <v>493</v>
      </c>
      <c r="J377" s="329" t="s">
        <v>493</v>
      </c>
    </row>
    <row r="378" spans="1:10" x14ac:dyDescent="0.3">
      <c r="A378" s="288" t="s">
        <v>560</v>
      </c>
      <c r="B378" s="329" t="s">
        <v>493</v>
      </c>
      <c r="C378" s="327" t="s">
        <v>551</v>
      </c>
      <c r="D378" s="327" t="s">
        <v>493</v>
      </c>
      <c r="E378" s="327" t="s">
        <v>493</v>
      </c>
      <c r="F378" s="327" t="s">
        <v>493</v>
      </c>
      <c r="G378" s="329" t="s">
        <v>493</v>
      </c>
      <c r="H378" s="329" t="s">
        <v>493</v>
      </c>
      <c r="I378" s="329" t="s">
        <v>493</v>
      </c>
      <c r="J378" s="329" t="s">
        <v>493</v>
      </c>
    </row>
    <row r="379" spans="1:10" x14ac:dyDescent="0.3">
      <c r="A379" s="288" t="s">
        <v>561</v>
      </c>
      <c r="B379" s="329">
        <v>300563.24352238874</v>
      </c>
      <c r="C379" s="327" t="s">
        <v>551</v>
      </c>
      <c r="D379" s="327">
        <v>44.193414217222298</v>
      </c>
      <c r="E379" s="327">
        <v>1.7283611890430001E-2</v>
      </c>
      <c r="F379" s="327">
        <v>4.3208077146021804</v>
      </c>
      <c r="G379" s="329">
        <v>13282.915919456782</v>
      </c>
      <c r="H379" s="329">
        <v>5.1948184495699996E-3</v>
      </c>
      <c r="I379" s="329">
        <v>1.29867598133739</v>
      </c>
      <c r="J379" s="329" t="s">
        <v>493</v>
      </c>
    </row>
    <row r="380" spans="1:10" x14ac:dyDescent="0.3">
      <c r="A380" s="288" t="s">
        <v>562</v>
      </c>
      <c r="B380" s="329" t="s">
        <v>522</v>
      </c>
      <c r="C380" s="327" t="s">
        <v>551</v>
      </c>
      <c r="D380" s="327" t="s">
        <v>522</v>
      </c>
      <c r="E380" s="327" t="s">
        <v>522</v>
      </c>
      <c r="F380" s="327" t="s">
        <v>522</v>
      </c>
      <c r="G380" s="329" t="s">
        <v>522</v>
      </c>
      <c r="H380" s="329" t="s">
        <v>522</v>
      </c>
      <c r="I380" s="329" t="s">
        <v>522</v>
      </c>
      <c r="J380" s="329" t="s">
        <v>522</v>
      </c>
    </row>
    <row r="381" spans="1:10" x14ac:dyDescent="0.3">
      <c r="A381" s="288" t="s">
        <v>92</v>
      </c>
      <c r="B381" s="329" t="s">
        <v>493</v>
      </c>
      <c r="C381" s="327" t="s">
        <v>551</v>
      </c>
      <c r="D381" s="327" t="s">
        <v>493</v>
      </c>
      <c r="E381" s="327" t="s">
        <v>493</v>
      </c>
      <c r="F381" s="327" t="s">
        <v>493</v>
      </c>
      <c r="G381" s="329" t="s">
        <v>493</v>
      </c>
      <c r="H381" s="329" t="s">
        <v>493</v>
      </c>
      <c r="I381" s="329" t="s">
        <v>493</v>
      </c>
      <c r="J381" s="329" t="s">
        <v>493</v>
      </c>
    </row>
    <row r="382" spans="1:10" x14ac:dyDescent="0.3">
      <c r="A382" s="287" t="s">
        <v>605</v>
      </c>
      <c r="B382" s="327">
        <v>811798.30166600703</v>
      </c>
      <c r="C382" s="327" t="s">
        <v>551</v>
      </c>
      <c r="D382" s="328" t="s">
        <v>188</v>
      </c>
      <c r="E382" s="328" t="s">
        <v>188</v>
      </c>
      <c r="F382" s="328" t="s">
        <v>188</v>
      </c>
      <c r="G382" s="327">
        <v>63474.462414260372</v>
      </c>
      <c r="H382" s="327">
        <v>3.62616549461986</v>
      </c>
      <c r="I382" s="327">
        <v>0.47989880224503001</v>
      </c>
      <c r="J382" s="327" t="s">
        <v>555</v>
      </c>
    </row>
    <row r="383" spans="1:10" x14ac:dyDescent="0.3">
      <c r="A383" s="288" t="s">
        <v>558</v>
      </c>
      <c r="B383" s="329">
        <v>751642.169400585</v>
      </c>
      <c r="C383" s="327" t="s">
        <v>551</v>
      </c>
      <c r="D383" s="327">
        <v>78.722669403891274</v>
      </c>
      <c r="E383" s="327">
        <v>4.75</v>
      </c>
      <c r="F383" s="327">
        <v>0.56999999999999995</v>
      </c>
      <c r="G383" s="329">
        <v>59171.278011745897</v>
      </c>
      <c r="H383" s="329">
        <v>3.5703003046527799</v>
      </c>
      <c r="I383" s="329">
        <v>0.42843603655833001</v>
      </c>
      <c r="J383" s="329" t="s">
        <v>493</v>
      </c>
    </row>
    <row r="384" spans="1:10" x14ac:dyDescent="0.3">
      <c r="A384" s="288" t="s">
        <v>559</v>
      </c>
      <c r="B384" s="329">
        <v>34493.418563901811</v>
      </c>
      <c r="C384" s="327" t="s">
        <v>551</v>
      </c>
      <c r="D384" s="327">
        <v>87.369782150481583</v>
      </c>
      <c r="E384" s="327">
        <v>0.95000000000009999</v>
      </c>
      <c r="F384" s="327">
        <v>1.425</v>
      </c>
      <c r="G384" s="329">
        <v>3013.6824655534788</v>
      </c>
      <c r="H384" s="329">
        <v>3.2768747635709999E-2</v>
      </c>
      <c r="I384" s="329">
        <v>4.9153121453560003E-2</v>
      </c>
      <c r="J384" s="329" t="s">
        <v>493</v>
      </c>
    </row>
    <row r="385" spans="1:10" x14ac:dyDescent="0.3">
      <c r="A385" s="288" t="s">
        <v>560</v>
      </c>
      <c r="B385" s="329">
        <v>25662.713701520213</v>
      </c>
      <c r="C385" s="327" t="s">
        <v>551</v>
      </c>
      <c r="D385" s="327">
        <v>50.248073994006532</v>
      </c>
      <c r="E385" s="327">
        <v>0.90000000000006997</v>
      </c>
      <c r="F385" s="327">
        <v>9.0000000000119998E-2</v>
      </c>
      <c r="G385" s="329">
        <v>1289.5019369609929</v>
      </c>
      <c r="H385" s="329">
        <v>2.3096442331369999E-2</v>
      </c>
      <c r="I385" s="329">
        <v>2.3096442331399999E-3</v>
      </c>
      <c r="J385" s="329" t="s">
        <v>493</v>
      </c>
    </row>
    <row r="386" spans="1:10" x14ac:dyDescent="0.3">
      <c r="A386" s="288" t="s">
        <v>561</v>
      </c>
      <c r="B386" s="329" t="s">
        <v>522</v>
      </c>
      <c r="C386" s="327" t="s">
        <v>551</v>
      </c>
      <c r="D386" s="327" t="s">
        <v>522</v>
      </c>
      <c r="E386" s="327" t="s">
        <v>522</v>
      </c>
      <c r="F386" s="327" t="s">
        <v>522</v>
      </c>
      <c r="G386" s="329" t="s">
        <v>522</v>
      </c>
      <c r="H386" s="329" t="s">
        <v>522</v>
      </c>
      <c r="I386" s="329" t="s">
        <v>522</v>
      </c>
      <c r="J386" s="329" t="s">
        <v>522</v>
      </c>
    </row>
    <row r="387" spans="1:10" x14ac:dyDescent="0.3">
      <c r="A387" s="288" t="s">
        <v>562</v>
      </c>
      <c r="B387" s="329" t="s">
        <v>522</v>
      </c>
      <c r="C387" s="327" t="s">
        <v>551</v>
      </c>
      <c r="D387" s="327" t="s">
        <v>522</v>
      </c>
      <c r="E387" s="327" t="s">
        <v>522</v>
      </c>
      <c r="F387" s="327" t="s">
        <v>522</v>
      </c>
      <c r="G387" s="329" t="s">
        <v>522</v>
      </c>
      <c r="H387" s="329" t="s">
        <v>522</v>
      </c>
      <c r="I387" s="329" t="s">
        <v>522</v>
      </c>
      <c r="J387" s="329" t="s">
        <v>522</v>
      </c>
    </row>
    <row r="388" spans="1:10" x14ac:dyDescent="0.3">
      <c r="A388" s="288" t="s">
        <v>92</v>
      </c>
      <c r="B388" s="329" t="s">
        <v>520</v>
      </c>
      <c r="C388" s="327" t="s">
        <v>551</v>
      </c>
      <c r="D388" s="327" t="s">
        <v>516</v>
      </c>
      <c r="E388" s="327" t="s">
        <v>520</v>
      </c>
      <c r="F388" s="327" t="s">
        <v>520</v>
      </c>
      <c r="G388" s="329" t="s">
        <v>520</v>
      </c>
      <c r="H388" s="329" t="s">
        <v>520</v>
      </c>
      <c r="I388" s="329" t="s">
        <v>520</v>
      </c>
      <c r="J388" s="329" t="s">
        <v>493</v>
      </c>
    </row>
    <row r="389" spans="1:10" x14ac:dyDescent="0.3">
      <c r="A389" s="287" t="s">
        <v>606</v>
      </c>
      <c r="B389" s="327">
        <v>5677477.8602666184</v>
      </c>
      <c r="C389" s="327" t="s">
        <v>551</v>
      </c>
      <c r="D389" s="328" t="s">
        <v>188</v>
      </c>
      <c r="E389" s="328" t="s">
        <v>188</v>
      </c>
      <c r="F389" s="328" t="s">
        <v>188</v>
      </c>
      <c r="G389" s="327">
        <v>121329.28064552911</v>
      </c>
      <c r="H389" s="327" t="s">
        <v>555</v>
      </c>
      <c r="I389" s="327" t="s">
        <v>555</v>
      </c>
      <c r="J389" s="327" t="s">
        <v>555</v>
      </c>
    </row>
    <row r="390" spans="1:10" x14ac:dyDescent="0.3">
      <c r="A390" s="288" t="s">
        <v>558</v>
      </c>
      <c r="B390" s="329">
        <v>5122279.9912827471</v>
      </c>
      <c r="C390" s="327" t="s">
        <v>551</v>
      </c>
      <c r="D390" s="327">
        <v>19.402931317907768</v>
      </c>
      <c r="E390" s="327" t="s">
        <v>493</v>
      </c>
      <c r="F390" s="327" t="s">
        <v>493</v>
      </c>
      <c r="G390" s="329">
        <v>99387.246861952342</v>
      </c>
      <c r="H390" s="329" t="s">
        <v>493</v>
      </c>
      <c r="I390" s="329" t="s">
        <v>493</v>
      </c>
      <c r="J390" s="329" t="s">
        <v>493</v>
      </c>
    </row>
    <row r="391" spans="1:10" x14ac:dyDescent="0.3">
      <c r="A391" s="288" t="s">
        <v>559</v>
      </c>
      <c r="B391" s="329">
        <v>208587.74337946158</v>
      </c>
      <c r="C391" s="327" t="s">
        <v>551</v>
      </c>
      <c r="D391" s="327">
        <v>70.948187124442754</v>
      </c>
      <c r="E391" s="327" t="s">
        <v>493</v>
      </c>
      <c r="F391" s="327" t="s">
        <v>493</v>
      </c>
      <c r="G391" s="329">
        <v>14798.922249151285</v>
      </c>
      <c r="H391" s="329" t="s">
        <v>493</v>
      </c>
      <c r="I391" s="329" t="s">
        <v>493</v>
      </c>
      <c r="J391" s="329" t="s">
        <v>493</v>
      </c>
    </row>
    <row r="392" spans="1:10" x14ac:dyDescent="0.3">
      <c r="A392" s="288" t="s">
        <v>560</v>
      </c>
      <c r="B392" s="329">
        <v>346610.12560441019</v>
      </c>
      <c r="C392" s="327" t="s">
        <v>551</v>
      </c>
      <c r="D392" s="327">
        <v>20.608490654938318</v>
      </c>
      <c r="E392" s="327" t="s">
        <v>493</v>
      </c>
      <c r="F392" s="327" t="s">
        <v>493</v>
      </c>
      <c r="G392" s="329">
        <v>7143.1115344254831</v>
      </c>
      <c r="H392" s="329" t="s">
        <v>493</v>
      </c>
      <c r="I392" s="329" t="s">
        <v>493</v>
      </c>
      <c r="J392" s="329" t="s">
        <v>493</v>
      </c>
    </row>
    <row r="393" spans="1:10" x14ac:dyDescent="0.3">
      <c r="A393" s="288" t="s">
        <v>561</v>
      </c>
      <c r="B393" s="329" t="s">
        <v>522</v>
      </c>
      <c r="C393" s="327" t="s">
        <v>551</v>
      </c>
      <c r="D393" s="327" t="s">
        <v>522</v>
      </c>
      <c r="E393" s="327" t="s">
        <v>522</v>
      </c>
      <c r="F393" s="327" t="s">
        <v>522</v>
      </c>
      <c r="G393" s="329" t="s">
        <v>522</v>
      </c>
      <c r="H393" s="329" t="s">
        <v>522</v>
      </c>
      <c r="I393" s="329" t="s">
        <v>522</v>
      </c>
      <c r="J393" s="329" t="s">
        <v>522</v>
      </c>
    </row>
    <row r="394" spans="1:10" x14ac:dyDescent="0.3">
      <c r="A394" s="288" t="s">
        <v>562</v>
      </c>
      <c r="B394" s="329" t="s">
        <v>522</v>
      </c>
      <c r="C394" s="327" t="s">
        <v>551</v>
      </c>
      <c r="D394" s="327" t="s">
        <v>522</v>
      </c>
      <c r="E394" s="327" t="s">
        <v>522</v>
      </c>
      <c r="F394" s="327" t="s">
        <v>522</v>
      </c>
      <c r="G394" s="329" t="s">
        <v>522</v>
      </c>
      <c r="H394" s="329" t="s">
        <v>522</v>
      </c>
      <c r="I394" s="329" t="s">
        <v>522</v>
      </c>
      <c r="J394" s="329" t="s">
        <v>522</v>
      </c>
    </row>
    <row r="395" spans="1:10" x14ac:dyDescent="0.3">
      <c r="A395" s="288" t="s">
        <v>92</v>
      </c>
      <c r="B395" s="329" t="s">
        <v>493</v>
      </c>
      <c r="C395" s="327" t="s">
        <v>551</v>
      </c>
      <c r="D395" s="327" t="s">
        <v>493</v>
      </c>
      <c r="E395" s="327" t="s">
        <v>493</v>
      </c>
      <c r="F395" s="327" t="s">
        <v>493</v>
      </c>
      <c r="G395" s="329" t="s">
        <v>493</v>
      </c>
      <c r="H395" s="329" t="s">
        <v>493</v>
      </c>
      <c r="I395" s="329" t="s">
        <v>493</v>
      </c>
      <c r="J395" s="329" t="s">
        <v>493</v>
      </c>
    </row>
    <row r="396" spans="1:10" x14ac:dyDescent="0.3">
      <c r="A396" s="59" t="s">
        <v>607</v>
      </c>
      <c r="B396" s="327">
        <v>388367.15745382814</v>
      </c>
      <c r="C396" s="327" t="s">
        <v>551</v>
      </c>
      <c r="D396" s="328" t="s">
        <v>188</v>
      </c>
      <c r="E396" s="328" t="s">
        <v>188</v>
      </c>
      <c r="F396" s="328" t="s">
        <v>188</v>
      </c>
      <c r="G396" s="327">
        <v>28046.5637376296</v>
      </c>
      <c r="H396" s="327">
        <v>0.48826677857</v>
      </c>
      <c r="I396" s="327">
        <v>0.78160963399831995</v>
      </c>
      <c r="J396" s="328" t="s">
        <v>188</v>
      </c>
    </row>
    <row r="397" spans="1:10" x14ac:dyDescent="0.3">
      <c r="A397" s="287" t="s">
        <v>608</v>
      </c>
      <c r="B397" s="327">
        <v>388367.15745382814</v>
      </c>
      <c r="C397" s="327" t="s">
        <v>551</v>
      </c>
      <c r="D397" s="328" t="s">
        <v>188</v>
      </c>
      <c r="E397" s="328" t="s">
        <v>188</v>
      </c>
      <c r="F397" s="328" t="s">
        <v>188</v>
      </c>
      <c r="G397" s="327">
        <v>28046.5637376296</v>
      </c>
      <c r="H397" s="327">
        <v>0.48826677857</v>
      </c>
      <c r="I397" s="327">
        <v>0.78160963399831995</v>
      </c>
      <c r="J397" s="328" t="s">
        <v>188</v>
      </c>
    </row>
    <row r="398" spans="1:10" x14ac:dyDescent="0.3">
      <c r="A398" s="288" t="s">
        <v>558</v>
      </c>
      <c r="B398" s="329">
        <v>388367.15745382814</v>
      </c>
      <c r="C398" s="327" t="s">
        <v>551</v>
      </c>
      <c r="D398" s="327">
        <v>72.216620791277833</v>
      </c>
      <c r="E398" s="327">
        <v>1.2572298383084799</v>
      </c>
      <c r="F398" s="327">
        <v>2.0125533763529999</v>
      </c>
      <c r="G398" s="329">
        <v>28046.5637376296</v>
      </c>
      <c r="H398" s="329">
        <v>0.48826677857</v>
      </c>
      <c r="I398" s="329">
        <v>0.78160963399831995</v>
      </c>
      <c r="J398" s="328" t="s">
        <v>188</v>
      </c>
    </row>
    <row r="399" spans="1:10" x14ac:dyDescent="0.3">
      <c r="A399" s="288" t="s">
        <v>559</v>
      </c>
      <c r="B399" s="329" t="s">
        <v>522</v>
      </c>
      <c r="C399" s="327" t="s">
        <v>551</v>
      </c>
      <c r="D399" s="327" t="s">
        <v>522</v>
      </c>
      <c r="E399" s="327" t="s">
        <v>522</v>
      </c>
      <c r="F399" s="327" t="s">
        <v>522</v>
      </c>
      <c r="G399" s="329" t="s">
        <v>522</v>
      </c>
      <c r="H399" s="329" t="s">
        <v>522</v>
      </c>
      <c r="I399" s="329" t="s">
        <v>522</v>
      </c>
      <c r="J399" s="328" t="s">
        <v>188</v>
      </c>
    </row>
    <row r="400" spans="1:10" x14ac:dyDescent="0.3">
      <c r="A400" s="288" t="s">
        <v>560</v>
      </c>
      <c r="B400" s="329" t="s">
        <v>522</v>
      </c>
      <c r="C400" s="327" t="s">
        <v>551</v>
      </c>
      <c r="D400" s="327" t="s">
        <v>522</v>
      </c>
      <c r="E400" s="327" t="s">
        <v>522</v>
      </c>
      <c r="F400" s="327" t="s">
        <v>522</v>
      </c>
      <c r="G400" s="329" t="s">
        <v>522</v>
      </c>
      <c r="H400" s="329" t="s">
        <v>522</v>
      </c>
      <c r="I400" s="329" t="s">
        <v>522</v>
      </c>
      <c r="J400" s="328" t="s">
        <v>188</v>
      </c>
    </row>
    <row r="401" spans="1:13" x14ac:dyDescent="0.3">
      <c r="A401" s="288" t="s">
        <v>561</v>
      </c>
      <c r="B401" s="329" t="s">
        <v>522</v>
      </c>
      <c r="C401" s="327" t="s">
        <v>551</v>
      </c>
      <c r="D401" s="327" t="s">
        <v>522</v>
      </c>
      <c r="E401" s="327" t="s">
        <v>522</v>
      </c>
      <c r="F401" s="327" t="s">
        <v>522</v>
      </c>
      <c r="G401" s="329" t="s">
        <v>522</v>
      </c>
      <c r="H401" s="329" t="s">
        <v>522</v>
      </c>
      <c r="I401" s="329" t="s">
        <v>522</v>
      </c>
      <c r="J401" s="328" t="s">
        <v>188</v>
      </c>
    </row>
    <row r="402" spans="1:13" x14ac:dyDescent="0.3">
      <c r="A402" s="288" t="s">
        <v>92</v>
      </c>
      <c r="B402" s="329" t="s">
        <v>522</v>
      </c>
      <c r="C402" s="327" t="s">
        <v>551</v>
      </c>
      <c r="D402" s="327" t="s">
        <v>522</v>
      </c>
      <c r="E402" s="327" t="s">
        <v>522</v>
      </c>
      <c r="F402" s="327" t="s">
        <v>522</v>
      </c>
      <c r="G402" s="329" t="s">
        <v>522</v>
      </c>
      <c r="H402" s="329" t="s">
        <v>522</v>
      </c>
      <c r="I402" s="329" t="s">
        <v>522</v>
      </c>
      <c r="J402" s="328" t="s">
        <v>188</v>
      </c>
    </row>
    <row r="403" spans="1:13" x14ac:dyDescent="0.3">
      <c r="A403" s="60" t="s">
        <v>609</v>
      </c>
      <c r="B403" s="330"/>
      <c r="C403" s="330"/>
      <c r="D403" s="330"/>
      <c r="E403" s="330"/>
      <c r="F403" s="330"/>
      <c r="G403" s="330"/>
      <c r="H403" s="330"/>
      <c r="I403" s="330"/>
      <c r="J403" s="330"/>
    </row>
    <row r="404" spans="1:13" x14ac:dyDescent="0.3">
      <c r="A404" s="61" t="s">
        <v>610</v>
      </c>
      <c r="B404" s="328" t="s">
        <v>188</v>
      </c>
      <c r="C404" s="328" t="s">
        <v>188</v>
      </c>
      <c r="D404" s="328" t="s">
        <v>188</v>
      </c>
      <c r="E404" s="328" t="s">
        <v>188</v>
      </c>
      <c r="F404" s="328" t="s">
        <v>188</v>
      </c>
      <c r="G404" s="328" t="s">
        <v>188</v>
      </c>
      <c r="H404" s="328" t="s">
        <v>188</v>
      </c>
      <c r="I404" s="328" t="s">
        <v>188</v>
      </c>
      <c r="J404" s="328" t="s">
        <v>188</v>
      </c>
    </row>
    <row r="405" spans="1:13" x14ac:dyDescent="0.3">
      <c r="A405" s="290" t="s">
        <v>3235</v>
      </c>
      <c r="B405" s="329" t="s">
        <v>493</v>
      </c>
      <c r="C405" s="327" t="s">
        <v>551</v>
      </c>
      <c r="D405" s="327" t="s">
        <v>493</v>
      </c>
      <c r="E405" s="327" t="s">
        <v>493</v>
      </c>
      <c r="F405" s="327" t="s">
        <v>493</v>
      </c>
      <c r="G405" s="329" t="s">
        <v>493</v>
      </c>
      <c r="H405" s="329" t="s">
        <v>493</v>
      </c>
      <c r="I405" s="329" t="s">
        <v>493</v>
      </c>
      <c r="J405" s="329" t="s">
        <v>493</v>
      </c>
    </row>
    <row r="406" spans="1:13" x14ac:dyDescent="0.3">
      <c r="A406" s="290" t="s">
        <v>3255</v>
      </c>
      <c r="B406" s="329" t="s">
        <v>493</v>
      </c>
      <c r="C406" s="327" t="s">
        <v>551</v>
      </c>
      <c r="D406" s="327" t="s">
        <v>493</v>
      </c>
      <c r="E406" s="327" t="s">
        <v>493</v>
      </c>
      <c r="F406" s="327" t="s">
        <v>493</v>
      </c>
      <c r="G406" s="329" t="s">
        <v>493</v>
      </c>
      <c r="H406" s="329" t="s">
        <v>493</v>
      </c>
      <c r="I406" s="329" t="s">
        <v>493</v>
      </c>
      <c r="J406" s="329" t="s">
        <v>493</v>
      </c>
    </row>
    <row r="408" spans="1:13" x14ac:dyDescent="0.3">
      <c r="A408" s="50" t="s">
        <v>611</v>
      </c>
      <c r="B408" s="62">
        <f>SUM(B216,B402)</f>
        <v>345378.91663054173</v>
      </c>
      <c r="C408" s="62">
        <f t="shared" ref="C408:J408" si="8">SUM(C216,C402)</f>
        <v>0</v>
      </c>
      <c r="D408" s="62">
        <f t="shared" si="8"/>
        <v>65.065035461819363</v>
      </c>
      <c r="E408" s="62">
        <f t="shared" si="8"/>
        <v>1.358677241335E-2</v>
      </c>
      <c r="F408" s="62">
        <f t="shared" si="8"/>
        <v>1.399403229176E-2</v>
      </c>
      <c r="G408" s="62">
        <f t="shared" si="8"/>
        <v>22472.091458330953</v>
      </c>
      <c r="H408" s="62">
        <f t="shared" si="8"/>
        <v>4.6925847366299997E-3</v>
      </c>
      <c r="I408" s="62">
        <f t="shared" si="8"/>
        <v>4.8332437122200001E-3</v>
      </c>
      <c r="J408" s="62">
        <f t="shared" si="8"/>
        <v>0</v>
      </c>
    </row>
    <row r="410" spans="1:13" ht="15.6" x14ac:dyDescent="0.3">
      <c r="A410" s="414" t="s">
        <v>612</v>
      </c>
      <c r="B410" s="414"/>
      <c r="C410" s="414"/>
      <c r="D410" s="414"/>
      <c r="E410" s="414"/>
      <c r="F410" s="414"/>
      <c r="G410" s="414"/>
      <c r="H410" s="217"/>
      <c r="I410" s="217"/>
      <c r="J410" s="217"/>
      <c r="K410" s="217"/>
      <c r="L410" s="217"/>
      <c r="M410" s="49" t="s">
        <v>477</v>
      </c>
    </row>
    <row r="411" spans="1:13" ht="15.6" x14ac:dyDescent="0.3">
      <c r="A411" s="212" t="s">
        <v>722</v>
      </c>
      <c r="B411" s="52"/>
      <c r="C411" s="52"/>
      <c r="D411" s="52"/>
      <c r="E411" s="52"/>
      <c r="F411" s="52"/>
      <c r="G411" s="52"/>
      <c r="H411" s="217"/>
      <c r="I411" s="217"/>
      <c r="J411" s="217"/>
      <c r="K411" s="217"/>
      <c r="L411" s="217"/>
      <c r="M411" s="49" t="s">
        <v>3399</v>
      </c>
    </row>
    <row r="412" spans="1:13" x14ac:dyDescent="0.3">
      <c r="A412" s="219"/>
      <c r="B412" s="217"/>
      <c r="C412" s="217"/>
      <c r="D412" s="217"/>
      <c r="E412" s="217"/>
      <c r="F412" s="217"/>
      <c r="G412" s="217"/>
      <c r="H412" s="217"/>
      <c r="I412" s="217"/>
      <c r="J412" s="217"/>
      <c r="K412" s="217"/>
      <c r="L412" s="218"/>
      <c r="M412" s="49" t="s">
        <v>478</v>
      </c>
    </row>
    <row r="413" spans="1:13" x14ac:dyDescent="0.3">
      <c r="A413" s="217"/>
      <c r="B413" s="217"/>
      <c r="C413" s="217"/>
      <c r="D413" s="217"/>
      <c r="E413" s="217"/>
      <c r="F413" s="217"/>
      <c r="G413" s="217"/>
      <c r="H413" s="217"/>
      <c r="I413" s="217"/>
      <c r="J413" s="217"/>
      <c r="K413" s="217"/>
      <c r="L413" s="217"/>
      <c r="M413" s="220"/>
    </row>
    <row r="414" spans="1:13" ht="36" x14ac:dyDescent="0.3">
      <c r="A414" s="221" t="s">
        <v>479</v>
      </c>
      <c r="B414" s="222" t="s">
        <v>480</v>
      </c>
      <c r="C414" s="223" t="s">
        <v>481</v>
      </c>
      <c r="D414" s="223" t="s">
        <v>482</v>
      </c>
      <c r="E414" s="224" t="s">
        <v>613</v>
      </c>
      <c r="F414" s="224" t="s">
        <v>614</v>
      </c>
      <c r="G414" s="225" t="s">
        <v>615</v>
      </c>
      <c r="H414" s="223" t="s">
        <v>616</v>
      </c>
      <c r="I414" s="63" t="s">
        <v>617</v>
      </c>
      <c r="J414" s="223" t="s">
        <v>618</v>
      </c>
      <c r="K414" s="224" t="s">
        <v>484</v>
      </c>
      <c r="L414" s="224" t="s">
        <v>485</v>
      </c>
      <c r="M414" s="226" t="s">
        <v>619</v>
      </c>
    </row>
    <row r="415" spans="1:13" ht="15" thickBot="1" x14ac:dyDescent="0.35">
      <c r="A415" s="227"/>
      <c r="B415" s="437" t="s">
        <v>487</v>
      </c>
      <c r="C415" s="437"/>
      <c r="D415" s="438"/>
      <c r="E415" s="439" t="s">
        <v>620</v>
      </c>
      <c r="F415" s="437"/>
      <c r="G415" s="438"/>
      <c r="H415" s="439" t="s">
        <v>487</v>
      </c>
      <c r="I415" s="440"/>
      <c r="J415" s="440"/>
      <c r="K415" s="440"/>
      <c r="L415" s="440"/>
      <c r="M415" s="441"/>
    </row>
    <row r="416" spans="1:13" ht="15" thickTop="1" x14ac:dyDescent="0.3">
      <c r="A416" s="228" t="s">
        <v>621</v>
      </c>
      <c r="B416" s="331">
        <v>194388.53120401071</v>
      </c>
      <c r="C416" s="331">
        <v>4.4228396639999996</v>
      </c>
      <c r="D416" s="331">
        <v>83.655309749766346</v>
      </c>
      <c r="E416" s="331">
        <v>120191.11711244726</v>
      </c>
      <c r="F416" s="331">
        <v>6716.3061943704279</v>
      </c>
      <c r="G416" s="331">
        <v>7230.4559117999988</v>
      </c>
      <c r="H416" s="331">
        <v>0.51771056610323996</v>
      </c>
      <c r="I416" s="331">
        <v>2.8530150025699998E-2</v>
      </c>
      <c r="J416" s="331">
        <v>572.16514495327442</v>
      </c>
      <c r="K416" s="331">
        <v>1557.1939910195872</v>
      </c>
      <c r="L416" s="331">
        <v>5849.2197121443369</v>
      </c>
      <c r="M416" s="331">
        <v>830.75987228203655</v>
      </c>
    </row>
    <row r="417" spans="1:13" x14ac:dyDescent="0.3">
      <c r="A417" s="229" t="s">
        <v>622</v>
      </c>
      <c r="B417" s="331">
        <v>70637.721174907623</v>
      </c>
      <c r="C417" s="328" t="s">
        <v>188</v>
      </c>
      <c r="D417" s="328" t="s">
        <v>188</v>
      </c>
      <c r="E417" s="328" t="s">
        <v>188</v>
      </c>
      <c r="F417" s="328" t="s">
        <v>188</v>
      </c>
      <c r="G417" s="328" t="s">
        <v>188</v>
      </c>
      <c r="H417" s="328" t="s">
        <v>188</v>
      </c>
      <c r="I417" s="328" t="s">
        <v>188</v>
      </c>
      <c r="J417" s="331" t="s">
        <v>493</v>
      </c>
      <c r="K417" s="331" t="s">
        <v>493</v>
      </c>
      <c r="L417" s="331" t="s">
        <v>493</v>
      </c>
      <c r="M417" s="331">
        <v>134.03649648504052</v>
      </c>
    </row>
    <row r="418" spans="1:13" x14ac:dyDescent="0.3">
      <c r="A418" s="299" t="s">
        <v>623</v>
      </c>
      <c r="B418" s="331">
        <v>46194.121028708993</v>
      </c>
      <c r="C418" s="328" t="s">
        <v>188</v>
      </c>
      <c r="D418" s="328" t="s">
        <v>188</v>
      </c>
      <c r="E418" s="328" t="s">
        <v>188</v>
      </c>
      <c r="F418" s="328" t="s">
        <v>188</v>
      </c>
      <c r="G418" s="328" t="s">
        <v>188</v>
      </c>
      <c r="H418" s="328" t="s">
        <v>188</v>
      </c>
      <c r="I418" s="328" t="s">
        <v>188</v>
      </c>
      <c r="J418" s="328" t="s">
        <v>188</v>
      </c>
      <c r="K418" s="328" t="s">
        <v>188</v>
      </c>
      <c r="L418" s="328" t="s">
        <v>188</v>
      </c>
      <c r="M418" s="329">
        <v>134.03649648504052</v>
      </c>
    </row>
    <row r="419" spans="1:13" x14ac:dyDescent="0.3">
      <c r="A419" s="299" t="s">
        <v>624</v>
      </c>
      <c r="B419" s="331">
        <v>14551.955897401811</v>
      </c>
      <c r="C419" s="328" t="s">
        <v>188</v>
      </c>
      <c r="D419" s="328" t="s">
        <v>188</v>
      </c>
      <c r="E419" s="328" t="s">
        <v>188</v>
      </c>
      <c r="F419" s="328" t="s">
        <v>188</v>
      </c>
      <c r="G419" s="328" t="s">
        <v>188</v>
      </c>
      <c r="H419" s="328" t="s">
        <v>188</v>
      </c>
      <c r="I419" s="328" t="s">
        <v>188</v>
      </c>
      <c r="J419" s="328" t="s">
        <v>188</v>
      </c>
      <c r="K419" s="328" t="s">
        <v>188</v>
      </c>
      <c r="L419" s="328" t="s">
        <v>188</v>
      </c>
      <c r="M419" s="328" t="s">
        <v>188</v>
      </c>
    </row>
    <row r="420" spans="1:13" x14ac:dyDescent="0.3">
      <c r="A420" s="299" t="s">
        <v>625</v>
      </c>
      <c r="B420" s="331">
        <v>2432.4049712060923</v>
      </c>
      <c r="C420" s="328" t="s">
        <v>188</v>
      </c>
      <c r="D420" s="328" t="s">
        <v>188</v>
      </c>
      <c r="E420" s="328" t="s">
        <v>188</v>
      </c>
      <c r="F420" s="328" t="s">
        <v>188</v>
      </c>
      <c r="G420" s="328" t="s">
        <v>188</v>
      </c>
      <c r="H420" s="328" t="s">
        <v>188</v>
      </c>
      <c r="I420" s="328" t="s">
        <v>188</v>
      </c>
      <c r="J420" s="328" t="s">
        <v>188</v>
      </c>
      <c r="K420" s="328" t="s">
        <v>188</v>
      </c>
      <c r="L420" s="328" t="s">
        <v>188</v>
      </c>
      <c r="M420" s="328" t="s">
        <v>188</v>
      </c>
    </row>
    <row r="421" spans="1:13" x14ac:dyDescent="0.3">
      <c r="A421" s="299" t="s">
        <v>626</v>
      </c>
      <c r="B421" s="331">
        <v>7459.2392775907283</v>
      </c>
      <c r="C421" s="328" t="s">
        <v>188</v>
      </c>
      <c r="D421" s="328" t="s">
        <v>188</v>
      </c>
      <c r="E421" s="328" t="s">
        <v>188</v>
      </c>
      <c r="F421" s="328" t="s">
        <v>188</v>
      </c>
      <c r="G421" s="328" t="s">
        <v>188</v>
      </c>
      <c r="H421" s="328" t="s">
        <v>188</v>
      </c>
      <c r="I421" s="328" t="s">
        <v>188</v>
      </c>
      <c r="J421" s="331" t="s">
        <v>493</v>
      </c>
      <c r="K421" s="331" t="s">
        <v>493</v>
      </c>
      <c r="L421" s="331" t="s">
        <v>493</v>
      </c>
      <c r="M421" s="331" t="s">
        <v>493</v>
      </c>
    </row>
    <row r="422" spans="1:13" x14ac:dyDescent="0.3">
      <c r="A422" s="230" t="s">
        <v>627</v>
      </c>
      <c r="B422" s="331">
        <v>46553.765996456706</v>
      </c>
      <c r="C422" s="331">
        <v>3.4620000000000002</v>
      </c>
      <c r="D422" s="331">
        <v>69.090317678675007</v>
      </c>
      <c r="E422" s="331">
        <v>20040.325102040817</v>
      </c>
      <c r="F422" s="331" t="s">
        <v>493</v>
      </c>
      <c r="G422" s="331" t="s">
        <v>493</v>
      </c>
      <c r="H422" s="331" t="s">
        <v>493</v>
      </c>
      <c r="I422" s="331" t="s">
        <v>493</v>
      </c>
      <c r="J422" s="331">
        <v>55.249069497127223</v>
      </c>
      <c r="K422" s="331">
        <v>188.72091220254887</v>
      </c>
      <c r="L422" s="331">
        <v>213.37603828081271</v>
      </c>
      <c r="M422" s="331">
        <v>228.15769905799976</v>
      </c>
    </row>
    <row r="423" spans="1:13" x14ac:dyDescent="0.3">
      <c r="A423" s="300" t="s">
        <v>628</v>
      </c>
      <c r="B423" s="331">
        <v>9177.0984327999995</v>
      </c>
      <c r="C423" s="331" t="s">
        <v>493</v>
      </c>
      <c r="D423" s="331" t="s">
        <v>493</v>
      </c>
      <c r="E423" s="328" t="s">
        <v>188</v>
      </c>
      <c r="F423" s="328" t="s">
        <v>188</v>
      </c>
      <c r="G423" s="328" t="s">
        <v>188</v>
      </c>
      <c r="H423" s="328" t="s">
        <v>188</v>
      </c>
      <c r="I423" s="328" t="s">
        <v>188</v>
      </c>
      <c r="J423" s="329" t="s">
        <v>495</v>
      </c>
      <c r="K423" s="329" t="s">
        <v>495</v>
      </c>
      <c r="L423" s="329" t="s">
        <v>495</v>
      </c>
      <c r="M423" s="329" t="s">
        <v>495</v>
      </c>
    </row>
    <row r="424" spans="1:13" x14ac:dyDescent="0.3">
      <c r="A424" s="299" t="s">
        <v>629</v>
      </c>
      <c r="B424" s="328" t="s">
        <v>188</v>
      </c>
      <c r="C424" s="328" t="s">
        <v>188</v>
      </c>
      <c r="D424" s="331">
        <v>37.974850892036372</v>
      </c>
      <c r="E424" s="328" t="s">
        <v>188</v>
      </c>
      <c r="F424" s="328" t="s">
        <v>188</v>
      </c>
      <c r="G424" s="328" t="s">
        <v>188</v>
      </c>
      <c r="H424" s="328" t="s">
        <v>188</v>
      </c>
      <c r="I424" s="328" t="s">
        <v>188</v>
      </c>
      <c r="J424" s="329" t="s">
        <v>495</v>
      </c>
      <c r="K424" s="328" t="s">
        <v>188</v>
      </c>
      <c r="L424" s="328" t="s">
        <v>188</v>
      </c>
      <c r="M424" s="328" t="s">
        <v>188</v>
      </c>
    </row>
    <row r="425" spans="1:13" x14ac:dyDescent="0.3">
      <c r="A425" s="299" t="s">
        <v>630</v>
      </c>
      <c r="B425" s="331" t="s">
        <v>493</v>
      </c>
      <c r="C425" s="328" t="s">
        <v>188</v>
      </c>
      <c r="D425" s="331">
        <v>23.960466786638641</v>
      </c>
      <c r="E425" s="328" t="s">
        <v>188</v>
      </c>
      <c r="F425" s="328" t="s">
        <v>188</v>
      </c>
      <c r="G425" s="328" t="s">
        <v>188</v>
      </c>
      <c r="H425" s="328" t="s">
        <v>188</v>
      </c>
      <c r="I425" s="328" t="s">
        <v>188</v>
      </c>
      <c r="J425" s="329" t="s">
        <v>495</v>
      </c>
      <c r="K425" s="329" t="s">
        <v>495</v>
      </c>
      <c r="L425" s="329" t="s">
        <v>495</v>
      </c>
      <c r="M425" s="328" t="s">
        <v>188</v>
      </c>
    </row>
    <row r="426" spans="1:13" x14ac:dyDescent="0.3">
      <c r="A426" s="299" t="s">
        <v>631</v>
      </c>
      <c r="B426" s="331" t="s">
        <v>516</v>
      </c>
      <c r="C426" s="328" t="s">
        <v>188</v>
      </c>
      <c r="D426" s="331">
        <v>7.1550000000000002</v>
      </c>
      <c r="E426" s="328" t="s">
        <v>188</v>
      </c>
      <c r="F426" s="328" t="s">
        <v>188</v>
      </c>
      <c r="G426" s="328" t="s">
        <v>188</v>
      </c>
      <c r="H426" s="328" t="s">
        <v>188</v>
      </c>
      <c r="I426" s="328" t="s">
        <v>188</v>
      </c>
      <c r="J426" s="328" t="s">
        <v>188</v>
      </c>
      <c r="K426" s="328" t="s">
        <v>188</v>
      </c>
      <c r="L426" s="329" t="s">
        <v>495</v>
      </c>
      <c r="M426" s="329" t="s">
        <v>495</v>
      </c>
    </row>
    <row r="427" spans="1:13" x14ac:dyDescent="0.3">
      <c r="A427" s="299" t="s">
        <v>632</v>
      </c>
      <c r="B427" s="331">
        <v>91.7</v>
      </c>
      <c r="C427" s="331">
        <v>0.40600000000000003</v>
      </c>
      <c r="D427" s="328" t="s">
        <v>188</v>
      </c>
      <c r="E427" s="328" t="s">
        <v>188</v>
      </c>
      <c r="F427" s="328" t="s">
        <v>188</v>
      </c>
      <c r="G427" s="328" t="s">
        <v>188</v>
      </c>
      <c r="H427" s="328" t="s">
        <v>188</v>
      </c>
      <c r="I427" s="328" t="s">
        <v>188</v>
      </c>
      <c r="J427" s="329" t="s">
        <v>495</v>
      </c>
      <c r="K427" s="329" t="s">
        <v>495</v>
      </c>
      <c r="L427" s="329" t="s">
        <v>495</v>
      </c>
      <c r="M427" s="329" t="s">
        <v>495</v>
      </c>
    </row>
    <row r="428" spans="1:13" x14ac:dyDescent="0.3">
      <c r="A428" s="299" t="s">
        <v>633</v>
      </c>
      <c r="B428" s="331">
        <v>1755.3999999999999</v>
      </c>
      <c r="C428" s="328" t="s">
        <v>188</v>
      </c>
      <c r="D428" s="328" t="s">
        <v>188</v>
      </c>
      <c r="E428" s="328" t="s">
        <v>188</v>
      </c>
      <c r="F428" s="328" t="s">
        <v>188</v>
      </c>
      <c r="G428" s="328" t="s">
        <v>188</v>
      </c>
      <c r="H428" s="328" t="s">
        <v>188</v>
      </c>
      <c r="I428" s="328" t="s">
        <v>188</v>
      </c>
      <c r="J428" s="328" t="s">
        <v>188</v>
      </c>
      <c r="K428" s="328" t="s">
        <v>188</v>
      </c>
      <c r="L428" s="328" t="s">
        <v>188</v>
      </c>
      <c r="M428" s="328" t="s">
        <v>188</v>
      </c>
    </row>
    <row r="429" spans="1:13" x14ac:dyDescent="0.3">
      <c r="A429" s="299" t="s">
        <v>634</v>
      </c>
      <c r="B429" s="331">
        <v>1655.306718597858</v>
      </c>
      <c r="C429" s="328" t="s">
        <v>188</v>
      </c>
      <c r="D429" s="328" t="s">
        <v>188</v>
      </c>
      <c r="E429" s="328" t="s">
        <v>188</v>
      </c>
      <c r="F429" s="328" t="s">
        <v>188</v>
      </c>
      <c r="G429" s="328" t="s">
        <v>188</v>
      </c>
      <c r="H429" s="328" t="s">
        <v>188</v>
      </c>
      <c r="I429" s="328" t="s">
        <v>188</v>
      </c>
      <c r="J429" s="328" t="s">
        <v>188</v>
      </c>
      <c r="K429" s="328" t="s">
        <v>188</v>
      </c>
      <c r="L429" s="328" t="s">
        <v>188</v>
      </c>
      <c r="M429" s="328" t="s">
        <v>188</v>
      </c>
    </row>
    <row r="430" spans="1:13" x14ac:dyDescent="0.3">
      <c r="A430" s="299" t="s">
        <v>635</v>
      </c>
      <c r="B430" s="331">
        <v>27383.218865213978</v>
      </c>
      <c r="C430" s="331">
        <v>3.056</v>
      </c>
      <c r="D430" s="328" t="s">
        <v>188</v>
      </c>
      <c r="E430" s="328" t="s">
        <v>188</v>
      </c>
      <c r="F430" s="328" t="s">
        <v>188</v>
      </c>
      <c r="G430" s="328" t="s">
        <v>188</v>
      </c>
      <c r="H430" s="328" t="s">
        <v>188</v>
      </c>
      <c r="I430" s="328" t="s">
        <v>188</v>
      </c>
      <c r="J430" s="329" t="s">
        <v>495</v>
      </c>
      <c r="K430" s="329" t="s">
        <v>495</v>
      </c>
      <c r="L430" s="329" t="s">
        <v>495</v>
      </c>
      <c r="M430" s="329" t="s">
        <v>495</v>
      </c>
    </row>
    <row r="431" spans="1:13" x14ac:dyDescent="0.3">
      <c r="A431" s="299" t="s">
        <v>636</v>
      </c>
      <c r="B431" s="328" t="s">
        <v>188</v>
      </c>
      <c r="C431" s="328" t="s">
        <v>188</v>
      </c>
      <c r="D431" s="328" t="s">
        <v>188</v>
      </c>
      <c r="E431" s="331">
        <v>20040.325102040817</v>
      </c>
      <c r="F431" s="331" t="s">
        <v>493</v>
      </c>
      <c r="G431" s="331" t="s">
        <v>493</v>
      </c>
      <c r="H431" s="331" t="s">
        <v>493</v>
      </c>
      <c r="I431" s="331" t="s">
        <v>493</v>
      </c>
      <c r="J431" s="328" t="s">
        <v>188</v>
      </c>
      <c r="K431" s="328" t="s">
        <v>188</v>
      </c>
      <c r="L431" s="328" t="s">
        <v>188</v>
      </c>
      <c r="M431" s="328" t="s">
        <v>188</v>
      </c>
    </row>
    <row r="432" spans="1:13" x14ac:dyDescent="0.3">
      <c r="A432" s="301" t="s">
        <v>3256</v>
      </c>
      <c r="B432" s="331">
        <v>6491.041979844872</v>
      </c>
      <c r="C432" s="331" t="s">
        <v>555</v>
      </c>
      <c r="D432" s="331" t="s">
        <v>493</v>
      </c>
      <c r="E432" s="331" t="s">
        <v>493</v>
      </c>
      <c r="F432" s="331" t="s">
        <v>493</v>
      </c>
      <c r="G432" s="331" t="s">
        <v>493</v>
      </c>
      <c r="H432" s="331" t="s">
        <v>493</v>
      </c>
      <c r="I432" s="331" t="s">
        <v>493</v>
      </c>
      <c r="J432" s="331">
        <v>55.249069497127223</v>
      </c>
      <c r="K432" s="331">
        <v>188.72091220254887</v>
      </c>
      <c r="L432" s="331">
        <v>213.37603828081271</v>
      </c>
      <c r="M432" s="331">
        <v>228.15769905799976</v>
      </c>
    </row>
    <row r="433" spans="1:13" x14ac:dyDescent="0.3">
      <c r="A433" s="229" t="s">
        <v>637</v>
      </c>
      <c r="B433" s="331">
        <v>77197.044032646372</v>
      </c>
      <c r="C433" s="331">
        <v>0.96083966399999998</v>
      </c>
      <c r="D433" s="331" t="s">
        <v>493</v>
      </c>
      <c r="E433" s="331" t="s">
        <v>555</v>
      </c>
      <c r="F433" s="331">
        <v>3439.7541856200496</v>
      </c>
      <c r="G433" s="331" t="s">
        <v>493</v>
      </c>
      <c r="H433" s="331">
        <v>0.12041830440901</v>
      </c>
      <c r="I433" s="331" t="s">
        <v>493</v>
      </c>
      <c r="J433" s="331">
        <v>60.032090854165958</v>
      </c>
      <c r="K433" s="331">
        <v>752.39490757758881</v>
      </c>
      <c r="L433" s="331">
        <v>44.874287061635293</v>
      </c>
      <c r="M433" s="331">
        <v>158.39225986800554</v>
      </c>
    </row>
    <row r="434" spans="1:13" x14ac:dyDescent="0.3">
      <c r="A434" s="299" t="s">
        <v>638</v>
      </c>
      <c r="B434" s="331">
        <v>70076.465574306625</v>
      </c>
      <c r="C434" s="331">
        <v>0.57413966400000005</v>
      </c>
      <c r="D434" s="328" t="s">
        <v>188</v>
      </c>
      <c r="E434" s="328" t="s">
        <v>188</v>
      </c>
      <c r="F434" s="328" t="s">
        <v>188</v>
      </c>
      <c r="G434" s="328" t="s">
        <v>188</v>
      </c>
      <c r="H434" s="328" t="s">
        <v>188</v>
      </c>
      <c r="I434" s="328" t="s">
        <v>188</v>
      </c>
      <c r="J434" s="329" t="s">
        <v>495</v>
      </c>
      <c r="K434" s="329" t="s">
        <v>495</v>
      </c>
      <c r="L434" s="329" t="s">
        <v>495</v>
      </c>
      <c r="M434" s="329" t="s">
        <v>495</v>
      </c>
    </row>
    <row r="435" spans="1:13" x14ac:dyDescent="0.3">
      <c r="A435" s="299" t="s">
        <v>639</v>
      </c>
      <c r="B435" s="331">
        <v>1391.9</v>
      </c>
      <c r="C435" s="331">
        <v>0.38669999999999999</v>
      </c>
      <c r="D435" s="328" t="s">
        <v>188</v>
      </c>
      <c r="E435" s="328" t="s">
        <v>188</v>
      </c>
      <c r="F435" s="328" t="s">
        <v>188</v>
      </c>
      <c r="G435" s="328" t="s">
        <v>188</v>
      </c>
      <c r="H435" s="328" t="s">
        <v>188</v>
      </c>
      <c r="I435" s="328" t="s">
        <v>188</v>
      </c>
      <c r="J435" s="329" t="s">
        <v>495</v>
      </c>
      <c r="K435" s="329" t="s">
        <v>495</v>
      </c>
      <c r="L435" s="329" t="s">
        <v>495</v>
      </c>
      <c r="M435" s="329" t="s">
        <v>495</v>
      </c>
    </row>
    <row r="436" spans="1:13" x14ac:dyDescent="0.3">
      <c r="A436" s="299" t="s">
        <v>640</v>
      </c>
      <c r="B436" s="331">
        <v>4142.0497045616085</v>
      </c>
      <c r="C436" s="328" t="s">
        <v>188</v>
      </c>
      <c r="D436" s="328" t="s">
        <v>188</v>
      </c>
      <c r="E436" s="328" t="s">
        <v>188</v>
      </c>
      <c r="F436" s="331">
        <v>3439.7541856200496</v>
      </c>
      <c r="G436" s="328" t="s">
        <v>188</v>
      </c>
      <c r="H436" s="331" t="s">
        <v>493</v>
      </c>
      <c r="I436" s="328" t="s">
        <v>188</v>
      </c>
      <c r="J436" s="329" t="s">
        <v>495</v>
      </c>
      <c r="K436" s="329" t="s">
        <v>495</v>
      </c>
      <c r="L436" s="329" t="s">
        <v>495</v>
      </c>
      <c r="M436" s="329" t="s">
        <v>495</v>
      </c>
    </row>
    <row r="437" spans="1:13" x14ac:dyDescent="0.3">
      <c r="A437" s="301" t="s">
        <v>641</v>
      </c>
      <c r="B437" s="331">
        <v>3.2962224463777599</v>
      </c>
      <c r="C437" s="328" t="s">
        <v>188</v>
      </c>
      <c r="D437" s="328" t="s">
        <v>188</v>
      </c>
      <c r="E437" s="331" t="s">
        <v>555</v>
      </c>
      <c r="F437" s="331" t="s">
        <v>493</v>
      </c>
      <c r="G437" s="331" t="s">
        <v>493</v>
      </c>
      <c r="H437" s="331">
        <v>0.12041830440901</v>
      </c>
      <c r="I437" s="328" t="s">
        <v>188</v>
      </c>
      <c r="J437" s="329" t="s">
        <v>495</v>
      </c>
      <c r="K437" s="329" t="s">
        <v>495</v>
      </c>
      <c r="L437" s="329" t="s">
        <v>495</v>
      </c>
      <c r="M437" s="329" t="s">
        <v>495</v>
      </c>
    </row>
    <row r="438" spans="1:13" x14ac:dyDescent="0.3">
      <c r="A438" s="302" t="s">
        <v>642</v>
      </c>
      <c r="B438" s="331">
        <v>553.25</v>
      </c>
      <c r="C438" s="328" t="s">
        <v>188</v>
      </c>
      <c r="D438" s="328" t="s">
        <v>188</v>
      </c>
      <c r="E438" s="328" t="s">
        <v>188</v>
      </c>
      <c r="F438" s="328" t="s">
        <v>188</v>
      </c>
      <c r="G438" s="328" t="s">
        <v>188</v>
      </c>
      <c r="H438" s="328" t="s">
        <v>188</v>
      </c>
      <c r="I438" s="328" t="s">
        <v>188</v>
      </c>
      <c r="J438" s="329" t="s">
        <v>495</v>
      </c>
      <c r="K438" s="329" t="s">
        <v>495</v>
      </c>
      <c r="L438" s="329" t="s">
        <v>495</v>
      </c>
      <c r="M438" s="329" t="s">
        <v>495</v>
      </c>
    </row>
    <row r="439" spans="1:13" x14ac:dyDescent="0.3">
      <c r="A439" s="302" t="s">
        <v>643</v>
      </c>
      <c r="B439" s="331">
        <v>1030.0825313317564</v>
      </c>
      <c r="C439" s="328" t="s">
        <v>188</v>
      </c>
      <c r="D439" s="328" t="s">
        <v>188</v>
      </c>
      <c r="E439" s="328" t="s">
        <v>188</v>
      </c>
      <c r="F439" s="328" t="s">
        <v>188</v>
      </c>
      <c r="G439" s="328" t="s">
        <v>188</v>
      </c>
      <c r="H439" s="328" t="s">
        <v>188</v>
      </c>
      <c r="I439" s="328" t="s">
        <v>188</v>
      </c>
      <c r="J439" s="329" t="s">
        <v>495</v>
      </c>
      <c r="K439" s="329" t="s">
        <v>495</v>
      </c>
      <c r="L439" s="329" t="s">
        <v>495</v>
      </c>
      <c r="M439" s="329" t="s">
        <v>495</v>
      </c>
    </row>
    <row r="440" spans="1:13" x14ac:dyDescent="0.3">
      <c r="A440" s="299" t="s">
        <v>3257</v>
      </c>
      <c r="B440" s="331" t="s">
        <v>493</v>
      </c>
      <c r="C440" s="331" t="s">
        <v>493</v>
      </c>
      <c r="D440" s="331" t="s">
        <v>493</v>
      </c>
      <c r="E440" s="331" t="s">
        <v>493</v>
      </c>
      <c r="F440" s="331" t="s">
        <v>493</v>
      </c>
      <c r="G440" s="331" t="s">
        <v>493</v>
      </c>
      <c r="H440" s="331" t="s">
        <v>493</v>
      </c>
      <c r="I440" s="331" t="s">
        <v>493</v>
      </c>
      <c r="J440" s="331">
        <v>60.032090854165958</v>
      </c>
      <c r="K440" s="331">
        <v>752.39490757758881</v>
      </c>
      <c r="L440" s="331">
        <v>44.874287061635293</v>
      </c>
      <c r="M440" s="331">
        <v>158.39225986800554</v>
      </c>
    </row>
    <row r="441" spans="1:13" x14ac:dyDescent="0.3">
      <c r="A441" s="303" t="s">
        <v>644</v>
      </c>
      <c r="B441" s="331" t="s">
        <v>495</v>
      </c>
      <c r="C441" s="331" t="s">
        <v>493</v>
      </c>
      <c r="D441" s="331" t="s">
        <v>493</v>
      </c>
      <c r="E441" s="328" t="s">
        <v>188</v>
      </c>
      <c r="F441" s="328" t="s">
        <v>188</v>
      </c>
      <c r="G441" s="328" t="s">
        <v>188</v>
      </c>
      <c r="H441" s="328" t="s">
        <v>188</v>
      </c>
      <c r="I441" s="328" t="s">
        <v>188</v>
      </c>
      <c r="J441" s="331" t="s">
        <v>493</v>
      </c>
      <c r="K441" s="331" t="s">
        <v>493</v>
      </c>
      <c r="L441" s="331" t="s">
        <v>493</v>
      </c>
      <c r="M441" s="331" t="s">
        <v>493</v>
      </c>
    </row>
    <row r="442" spans="1:13" x14ac:dyDescent="0.3">
      <c r="A442" s="304" t="s">
        <v>645</v>
      </c>
      <c r="B442" s="331" t="s">
        <v>495</v>
      </c>
      <c r="C442" s="331" t="s">
        <v>493</v>
      </c>
      <c r="D442" s="331" t="s">
        <v>493</v>
      </c>
      <c r="E442" s="328" t="s">
        <v>188</v>
      </c>
      <c r="F442" s="328" t="s">
        <v>188</v>
      </c>
      <c r="G442" s="328" t="s">
        <v>188</v>
      </c>
      <c r="H442" s="328" t="s">
        <v>188</v>
      </c>
      <c r="I442" s="328" t="s">
        <v>188</v>
      </c>
      <c r="J442" s="329" t="s">
        <v>493</v>
      </c>
      <c r="K442" s="329" t="s">
        <v>493</v>
      </c>
      <c r="L442" s="329" t="s">
        <v>493</v>
      </c>
      <c r="M442" s="329" t="s">
        <v>493</v>
      </c>
    </row>
    <row r="443" spans="1:13" x14ac:dyDescent="0.3">
      <c r="A443" s="304" t="s">
        <v>646</v>
      </c>
      <c r="B443" s="331" t="s">
        <v>495</v>
      </c>
      <c r="C443" s="331" t="s">
        <v>493</v>
      </c>
      <c r="D443" s="331" t="s">
        <v>493</v>
      </c>
      <c r="E443" s="328" t="s">
        <v>188</v>
      </c>
      <c r="F443" s="328" t="s">
        <v>188</v>
      </c>
      <c r="G443" s="328" t="s">
        <v>188</v>
      </c>
      <c r="H443" s="328" t="s">
        <v>188</v>
      </c>
      <c r="I443" s="328" t="s">
        <v>188</v>
      </c>
      <c r="J443" s="329" t="s">
        <v>493</v>
      </c>
      <c r="K443" s="329" t="s">
        <v>493</v>
      </c>
      <c r="L443" s="329" t="s">
        <v>493</v>
      </c>
      <c r="M443" s="329" t="s">
        <v>493</v>
      </c>
    </row>
    <row r="444" spans="1:13" x14ac:dyDescent="0.3">
      <c r="A444" s="305" t="s">
        <v>647</v>
      </c>
      <c r="B444" s="331" t="s">
        <v>495</v>
      </c>
      <c r="C444" s="331" t="s">
        <v>493</v>
      </c>
      <c r="D444" s="331" t="s">
        <v>493</v>
      </c>
      <c r="E444" s="328" t="s">
        <v>188</v>
      </c>
      <c r="F444" s="328" t="s">
        <v>188</v>
      </c>
      <c r="G444" s="328" t="s">
        <v>188</v>
      </c>
      <c r="H444" s="328" t="s">
        <v>188</v>
      </c>
      <c r="I444" s="328" t="s">
        <v>188</v>
      </c>
      <c r="J444" s="331" t="s">
        <v>493</v>
      </c>
      <c r="K444" s="331" t="s">
        <v>493</v>
      </c>
      <c r="L444" s="331" t="s">
        <v>493</v>
      </c>
      <c r="M444" s="331" t="s">
        <v>493</v>
      </c>
    </row>
    <row r="445" spans="1:13" x14ac:dyDescent="0.3">
      <c r="A445" s="306" t="s">
        <v>648</v>
      </c>
      <c r="B445" s="328" t="s">
        <v>188</v>
      </c>
      <c r="C445" s="328" t="s">
        <v>188</v>
      </c>
      <c r="D445" s="328" t="s">
        <v>188</v>
      </c>
      <c r="E445" s="331">
        <v>205.03642790644966</v>
      </c>
      <c r="F445" s="331">
        <v>3258.5392489035653</v>
      </c>
      <c r="G445" s="331" t="s">
        <v>592</v>
      </c>
      <c r="H445" s="331">
        <v>3.1103247907929999E-2</v>
      </c>
      <c r="I445" s="331">
        <v>2.8530150025699998E-2</v>
      </c>
      <c r="J445" s="328" t="s">
        <v>188</v>
      </c>
      <c r="K445" s="328" t="s">
        <v>188</v>
      </c>
      <c r="L445" s="328" t="s">
        <v>188</v>
      </c>
      <c r="M445" s="328" t="s">
        <v>188</v>
      </c>
    </row>
    <row r="446" spans="1:13" x14ac:dyDescent="0.3">
      <c r="A446" s="304" t="s">
        <v>649</v>
      </c>
      <c r="B446" s="328" t="s">
        <v>188</v>
      </c>
      <c r="C446" s="328" t="s">
        <v>188</v>
      </c>
      <c r="D446" s="328" t="s">
        <v>188</v>
      </c>
      <c r="E446" s="331">
        <v>203.14150729415826</v>
      </c>
      <c r="F446" s="331">
        <v>3249.4595465139037</v>
      </c>
      <c r="G446" s="331" t="s">
        <v>520</v>
      </c>
      <c r="H446" s="331">
        <v>3.0668042743200001E-2</v>
      </c>
      <c r="I446" s="331">
        <v>2.8530150025699998E-2</v>
      </c>
      <c r="J446" s="328" t="s">
        <v>188</v>
      </c>
      <c r="K446" s="328" t="s">
        <v>188</v>
      </c>
      <c r="L446" s="328" t="s">
        <v>188</v>
      </c>
      <c r="M446" s="328" t="s">
        <v>188</v>
      </c>
    </row>
    <row r="447" spans="1:13" x14ac:dyDescent="0.3">
      <c r="A447" s="304" t="s">
        <v>650</v>
      </c>
      <c r="B447" s="328" t="s">
        <v>188</v>
      </c>
      <c r="C447" s="328" t="s">
        <v>188</v>
      </c>
      <c r="D447" s="328" t="s">
        <v>188</v>
      </c>
      <c r="E447" s="331" t="s">
        <v>520</v>
      </c>
      <c r="F447" s="331" t="s">
        <v>520</v>
      </c>
      <c r="G447" s="331" t="s">
        <v>520</v>
      </c>
      <c r="H447" s="331" t="s">
        <v>520</v>
      </c>
      <c r="I447" s="331" t="s">
        <v>520</v>
      </c>
      <c r="J447" s="328" t="s">
        <v>188</v>
      </c>
      <c r="K447" s="328" t="s">
        <v>188</v>
      </c>
      <c r="L447" s="328" t="s">
        <v>188</v>
      </c>
      <c r="M447" s="328" t="s">
        <v>188</v>
      </c>
    </row>
    <row r="448" spans="1:13" x14ac:dyDescent="0.3">
      <c r="A448" s="304" t="s">
        <v>651</v>
      </c>
      <c r="B448" s="328" t="s">
        <v>188</v>
      </c>
      <c r="C448" s="328" t="s">
        <v>188</v>
      </c>
      <c r="D448" s="328" t="s">
        <v>188</v>
      </c>
      <c r="E448" s="331">
        <v>0.10311480095790999</v>
      </c>
      <c r="F448" s="331">
        <v>3.6569522277920501</v>
      </c>
      <c r="G448" s="331" t="s">
        <v>520</v>
      </c>
      <c r="H448" s="331" t="s">
        <v>522</v>
      </c>
      <c r="I448" s="331" t="s">
        <v>522</v>
      </c>
      <c r="J448" s="328" t="s">
        <v>188</v>
      </c>
      <c r="K448" s="328" t="s">
        <v>188</v>
      </c>
      <c r="L448" s="328" t="s">
        <v>188</v>
      </c>
      <c r="M448" s="328" t="s">
        <v>188</v>
      </c>
    </row>
    <row r="449" spans="1:13" x14ac:dyDescent="0.3">
      <c r="A449" s="304" t="s">
        <v>652</v>
      </c>
      <c r="B449" s="328" t="s">
        <v>188</v>
      </c>
      <c r="C449" s="328" t="s">
        <v>188</v>
      </c>
      <c r="D449" s="328" t="s">
        <v>188</v>
      </c>
      <c r="E449" s="331">
        <v>1.6984600970478201</v>
      </c>
      <c r="F449" s="331">
        <v>3.5883231618697602</v>
      </c>
      <c r="G449" s="331" t="s">
        <v>522</v>
      </c>
      <c r="H449" s="331">
        <v>3.4476945044E-4</v>
      </c>
      <c r="I449" s="331" t="s">
        <v>522</v>
      </c>
      <c r="J449" s="328" t="s">
        <v>188</v>
      </c>
      <c r="K449" s="328" t="s">
        <v>188</v>
      </c>
      <c r="L449" s="328" t="s">
        <v>188</v>
      </c>
      <c r="M449" s="328" t="s">
        <v>188</v>
      </c>
    </row>
    <row r="450" spans="1:13" x14ac:dyDescent="0.3">
      <c r="A450" s="304" t="s">
        <v>3258</v>
      </c>
      <c r="B450" s="328" t="s">
        <v>188</v>
      </c>
      <c r="C450" s="328" t="s">
        <v>188</v>
      </c>
      <c r="D450" s="328" t="s">
        <v>188</v>
      </c>
      <c r="E450" s="331">
        <v>9.3345714285669998E-2</v>
      </c>
      <c r="F450" s="331">
        <v>1.83442699999999</v>
      </c>
      <c r="G450" s="331" t="s">
        <v>520</v>
      </c>
      <c r="H450" s="331">
        <v>9.0435714290000002E-5</v>
      </c>
      <c r="I450" s="331" t="s">
        <v>522</v>
      </c>
      <c r="J450" s="328" t="s">
        <v>188</v>
      </c>
      <c r="K450" s="328" t="s">
        <v>188</v>
      </c>
      <c r="L450" s="328" t="s">
        <v>188</v>
      </c>
      <c r="M450" s="328" t="s">
        <v>188</v>
      </c>
    </row>
    <row r="451" spans="1:13" x14ac:dyDescent="0.3">
      <c r="A451" s="307" t="s">
        <v>653</v>
      </c>
      <c r="B451" s="328" t="s">
        <v>188</v>
      </c>
      <c r="C451" s="328" t="s">
        <v>188</v>
      </c>
      <c r="D451" s="328" t="s">
        <v>188</v>
      </c>
      <c r="E451" s="331">
        <v>99945.755582500002</v>
      </c>
      <c r="F451" s="331">
        <v>15.660888</v>
      </c>
      <c r="G451" s="331">
        <v>7230.4559117999988</v>
      </c>
      <c r="H451" s="331" t="s">
        <v>493</v>
      </c>
      <c r="I451" s="331" t="s">
        <v>493</v>
      </c>
      <c r="J451" s="328" t="s">
        <v>188</v>
      </c>
      <c r="K451" s="328" t="s">
        <v>188</v>
      </c>
      <c r="L451" s="328" t="s">
        <v>188</v>
      </c>
      <c r="M451" s="328" t="s">
        <v>188</v>
      </c>
    </row>
    <row r="452" spans="1:13" x14ac:dyDescent="0.3">
      <c r="A452" s="304" t="s">
        <v>654</v>
      </c>
      <c r="B452" s="328" t="s">
        <v>188</v>
      </c>
      <c r="C452" s="328" t="s">
        <v>188</v>
      </c>
      <c r="D452" s="328" t="s">
        <v>188</v>
      </c>
      <c r="E452" s="331">
        <v>89653.230582500008</v>
      </c>
      <c r="F452" s="331" t="s">
        <v>493</v>
      </c>
      <c r="G452" s="331" t="s">
        <v>3126</v>
      </c>
      <c r="H452" s="331" t="s">
        <v>493</v>
      </c>
      <c r="I452" s="331" t="s">
        <v>493</v>
      </c>
      <c r="J452" s="328" t="s">
        <v>188</v>
      </c>
      <c r="K452" s="328" t="s">
        <v>188</v>
      </c>
      <c r="L452" s="328" t="s">
        <v>188</v>
      </c>
      <c r="M452" s="328" t="s">
        <v>188</v>
      </c>
    </row>
    <row r="453" spans="1:13" x14ac:dyDescent="0.3">
      <c r="A453" s="304" t="s">
        <v>655</v>
      </c>
      <c r="B453" s="328" t="s">
        <v>188</v>
      </c>
      <c r="C453" s="328" t="s">
        <v>188</v>
      </c>
      <c r="D453" s="328" t="s">
        <v>188</v>
      </c>
      <c r="E453" s="331">
        <v>1457.742</v>
      </c>
      <c r="F453" s="331" t="s">
        <v>493</v>
      </c>
      <c r="G453" s="331" t="s">
        <v>495</v>
      </c>
      <c r="H453" s="331" t="s">
        <v>493</v>
      </c>
      <c r="I453" s="331" t="s">
        <v>493</v>
      </c>
      <c r="J453" s="328" t="s">
        <v>188</v>
      </c>
      <c r="K453" s="328" t="s">
        <v>188</v>
      </c>
      <c r="L453" s="328" t="s">
        <v>188</v>
      </c>
      <c r="M453" s="328" t="s">
        <v>188</v>
      </c>
    </row>
    <row r="454" spans="1:13" x14ac:dyDescent="0.3">
      <c r="A454" s="304" t="s">
        <v>656</v>
      </c>
      <c r="B454" s="328" t="s">
        <v>188</v>
      </c>
      <c r="C454" s="328" t="s">
        <v>188</v>
      </c>
      <c r="D454" s="328" t="s">
        <v>188</v>
      </c>
      <c r="E454" s="331">
        <v>301.25799999999998</v>
      </c>
      <c r="F454" s="331">
        <v>15.660888</v>
      </c>
      <c r="G454" s="331" t="s">
        <v>495</v>
      </c>
      <c r="H454" s="331" t="s">
        <v>493</v>
      </c>
      <c r="I454" s="331" t="s">
        <v>493</v>
      </c>
      <c r="J454" s="328" t="s">
        <v>188</v>
      </c>
      <c r="K454" s="328" t="s">
        <v>188</v>
      </c>
      <c r="L454" s="328" t="s">
        <v>188</v>
      </c>
      <c r="M454" s="328" t="s">
        <v>188</v>
      </c>
    </row>
    <row r="455" spans="1:13" x14ac:dyDescent="0.3">
      <c r="A455" s="304" t="s">
        <v>657</v>
      </c>
      <c r="B455" s="328" t="s">
        <v>188</v>
      </c>
      <c r="C455" s="328" t="s">
        <v>188</v>
      </c>
      <c r="D455" s="328" t="s">
        <v>188</v>
      </c>
      <c r="E455" s="331">
        <v>8533.5249999999996</v>
      </c>
      <c r="F455" s="331" t="s">
        <v>493</v>
      </c>
      <c r="G455" s="331" t="s">
        <v>567</v>
      </c>
      <c r="H455" s="331" t="s">
        <v>493</v>
      </c>
      <c r="I455" s="331" t="s">
        <v>493</v>
      </c>
      <c r="J455" s="328" t="s">
        <v>188</v>
      </c>
      <c r="K455" s="328" t="s">
        <v>188</v>
      </c>
      <c r="L455" s="328" t="s">
        <v>188</v>
      </c>
      <c r="M455" s="328" t="s">
        <v>188</v>
      </c>
    </row>
    <row r="456" spans="1:13" x14ac:dyDescent="0.3">
      <c r="A456" s="304" t="s">
        <v>658</v>
      </c>
      <c r="B456" s="328" t="s">
        <v>188</v>
      </c>
      <c r="C456" s="328" t="s">
        <v>188</v>
      </c>
      <c r="D456" s="328" t="s">
        <v>188</v>
      </c>
      <c r="E456" s="331" t="s">
        <v>493</v>
      </c>
      <c r="F456" s="331" t="s">
        <v>493</v>
      </c>
      <c r="G456" s="331" t="s">
        <v>495</v>
      </c>
      <c r="H456" s="331" t="s">
        <v>493</v>
      </c>
      <c r="I456" s="331" t="s">
        <v>493</v>
      </c>
      <c r="J456" s="328" t="s">
        <v>188</v>
      </c>
      <c r="K456" s="328" t="s">
        <v>188</v>
      </c>
      <c r="L456" s="328" t="s">
        <v>188</v>
      </c>
      <c r="M456" s="328" t="s">
        <v>188</v>
      </c>
    </row>
    <row r="457" spans="1:13" x14ac:dyDescent="0.3">
      <c r="A457" s="305" t="s">
        <v>659</v>
      </c>
      <c r="B457" s="328" t="s">
        <v>188</v>
      </c>
      <c r="C457" s="328" t="s">
        <v>188</v>
      </c>
      <c r="D457" s="328" t="s">
        <v>188</v>
      </c>
      <c r="E457" s="331" t="s">
        <v>493</v>
      </c>
      <c r="F457" s="331" t="s">
        <v>493</v>
      </c>
      <c r="G457" s="331">
        <v>7230.4559117999988</v>
      </c>
      <c r="H457" s="331" t="s">
        <v>493</v>
      </c>
      <c r="I457" s="331" t="s">
        <v>493</v>
      </c>
      <c r="J457" s="328" t="s">
        <v>188</v>
      </c>
      <c r="K457" s="328" t="s">
        <v>188</v>
      </c>
      <c r="L457" s="328" t="s">
        <v>188</v>
      </c>
      <c r="M457" s="328" t="s">
        <v>188</v>
      </c>
    </row>
    <row r="458" spans="1:13" x14ac:dyDescent="0.3">
      <c r="A458" s="306" t="s">
        <v>660</v>
      </c>
      <c r="B458" s="331" t="s">
        <v>516</v>
      </c>
      <c r="C458" s="331" t="s">
        <v>516</v>
      </c>
      <c r="D458" s="331">
        <v>14.15208194400004</v>
      </c>
      <c r="E458" s="331" t="s">
        <v>493</v>
      </c>
      <c r="F458" s="331">
        <v>2.3518718468133701</v>
      </c>
      <c r="G458" s="331" t="s">
        <v>493</v>
      </c>
      <c r="H458" s="331">
        <v>0.36618901378629998</v>
      </c>
      <c r="I458" s="331" t="s">
        <v>493</v>
      </c>
      <c r="J458" s="331">
        <v>3.0595650574289701</v>
      </c>
      <c r="K458" s="331">
        <v>2.2218459027463999</v>
      </c>
      <c r="L458" s="331">
        <v>3851.2231308671667</v>
      </c>
      <c r="M458" s="331">
        <v>0.17191986356898001</v>
      </c>
    </row>
    <row r="459" spans="1:13" x14ac:dyDescent="0.3">
      <c r="A459" s="304" t="s">
        <v>661</v>
      </c>
      <c r="B459" s="328" t="s">
        <v>188</v>
      </c>
      <c r="C459" s="328" t="s">
        <v>188</v>
      </c>
      <c r="D459" s="328" t="s">
        <v>188</v>
      </c>
      <c r="E459" s="331" t="s">
        <v>493</v>
      </c>
      <c r="F459" s="331">
        <v>2.3518718468133701</v>
      </c>
      <c r="G459" s="331" t="s">
        <v>493</v>
      </c>
      <c r="H459" s="331">
        <v>0.36618901378629998</v>
      </c>
      <c r="I459" s="331" t="s">
        <v>493</v>
      </c>
      <c r="J459" s="328" t="s">
        <v>188</v>
      </c>
      <c r="K459" s="328" t="s">
        <v>188</v>
      </c>
      <c r="L459" s="328" t="s">
        <v>188</v>
      </c>
      <c r="M459" s="328" t="s">
        <v>188</v>
      </c>
    </row>
    <row r="460" spans="1:13" x14ac:dyDescent="0.3">
      <c r="A460" s="304" t="s">
        <v>3259</v>
      </c>
      <c r="B460" s="328" t="s">
        <v>188</v>
      </c>
      <c r="C460" s="328" t="s">
        <v>188</v>
      </c>
      <c r="D460" s="328" t="s">
        <v>188</v>
      </c>
      <c r="E460" s="328" t="s">
        <v>188</v>
      </c>
      <c r="F460" s="331" t="s">
        <v>493</v>
      </c>
      <c r="G460" s="331" t="s">
        <v>188</v>
      </c>
      <c r="H460" s="331" t="s">
        <v>520</v>
      </c>
      <c r="I460" s="328" t="s">
        <v>188</v>
      </c>
      <c r="J460" s="328" t="s">
        <v>188</v>
      </c>
      <c r="K460" s="328" t="s">
        <v>188</v>
      </c>
      <c r="L460" s="328" t="s">
        <v>188</v>
      </c>
      <c r="M460" s="328" t="s">
        <v>188</v>
      </c>
    </row>
    <row r="461" spans="1:13" x14ac:dyDescent="0.3">
      <c r="A461" s="304" t="s">
        <v>3260</v>
      </c>
      <c r="B461" s="328" t="s">
        <v>188</v>
      </c>
      <c r="C461" s="328" t="s">
        <v>188</v>
      </c>
      <c r="D461" s="331">
        <v>14.15208194400004</v>
      </c>
      <c r="E461" s="328" t="s">
        <v>188</v>
      </c>
      <c r="F461" s="328" t="s">
        <v>188</v>
      </c>
      <c r="G461" s="328" t="s">
        <v>188</v>
      </c>
      <c r="H461" s="328" t="s">
        <v>188</v>
      </c>
      <c r="I461" s="328" t="s">
        <v>188</v>
      </c>
      <c r="J461" s="328" t="s">
        <v>188</v>
      </c>
      <c r="K461" s="328" t="s">
        <v>188</v>
      </c>
      <c r="L461" s="328" t="s">
        <v>188</v>
      </c>
      <c r="M461" s="328" t="s">
        <v>188</v>
      </c>
    </row>
    <row r="462" spans="1:13" x14ac:dyDescent="0.3">
      <c r="A462" s="304" t="s">
        <v>662</v>
      </c>
      <c r="B462" s="331" t="s">
        <v>516</v>
      </c>
      <c r="C462" s="331" t="s">
        <v>516</v>
      </c>
      <c r="D462" s="331" t="s">
        <v>516</v>
      </c>
      <c r="E462" s="331" t="s">
        <v>493</v>
      </c>
      <c r="F462" s="331" t="s">
        <v>493</v>
      </c>
      <c r="G462" s="331" t="s">
        <v>493</v>
      </c>
      <c r="H462" s="331" t="s">
        <v>493</v>
      </c>
      <c r="I462" s="331" t="s">
        <v>493</v>
      </c>
      <c r="J462" s="331">
        <v>3.0595650574289701</v>
      </c>
      <c r="K462" s="331">
        <v>2.2218459027463999</v>
      </c>
      <c r="L462" s="331">
        <v>3851.2231308671667</v>
      </c>
      <c r="M462" s="331">
        <v>0.17191986356898001</v>
      </c>
    </row>
    <row r="463" spans="1:13" x14ac:dyDescent="0.3">
      <c r="A463" s="303" t="s">
        <v>663</v>
      </c>
      <c r="B463" s="331" t="s">
        <v>555</v>
      </c>
      <c r="C463" s="331" t="s">
        <v>493</v>
      </c>
      <c r="D463" s="331">
        <v>0.41291012709129998</v>
      </c>
      <c r="E463" s="331" t="s">
        <v>527</v>
      </c>
      <c r="F463" s="331" t="s">
        <v>527</v>
      </c>
      <c r="G463" s="331" t="s">
        <v>493</v>
      </c>
      <c r="H463" s="331" t="s">
        <v>527</v>
      </c>
      <c r="I463" s="331" t="s">
        <v>527</v>
      </c>
      <c r="J463" s="331">
        <v>453.82441954455231</v>
      </c>
      <c r="K463" s="331">
        <v>613.85632533670321</v>
      </c>
      <c r="L463" s="331">
        <v>1739.7462559347221</v>
      </c>
      <c r="M463" s="331">
        <v>310.00149700742173</v>
      </c>
    </row>
    <row r="465" spans="1:36" x14ac:dyDescent="0.3">
      <c r="A465" s="50" t="s">
        <v>664</v>
      </c>
      <c r="B465" s="62">
        <f>B416</f>
        <v>194388.53120401071</v>
      </c>
      <c r="C465" s="62">
        <f t="shared" ref="C465:M465" si="9">C416</f>
        <v>4.4228396639999996</v>
      </c>
      <c r="D465" s="62">
        <f t="shared" si="9"/>
        <v>83.655309749766346</v>
      </c>
      <c r="E465" s="62">
        <f t="shared" si="9"/>
        <v>120191.11711244726</v>
      </c>
      <c r="F465" s="62">
        <f t="shared" si="9"/>
        <v>6716.3061943704279</v>
      </c>
      <c r="G465" s="62">
        <f t="shared" si="9"/>
        <v>7230.4559117999988</v>
      </c>
      <c r="H465" s="62">
        <f t="shared" si="9"/>
        <v>0.51771056610323996</v>
      </c>
      <c r="I465" s="62">
        <f t="shared" si="9"/>
        <v>2.8530150025699998E-2</v>
      </c>
      <c r="J465" s="62">
        <f t="shared" si="9"/>
        <v>572.16514495327442</v>
      </c>
      <c r="K465" s="62">
        <f t="shared" si="9"/>
        <v>1557.1939910195872</v>
      </c>
      <c r="L465" s="62">
        <f t="shared" si="9"/>
        <v>5849.2197121443369</v>
      </c>
      <c r="M465" s="62">
        <f t="shared" si="9"/>
        <v>830.75987228203655</v>
      </c>
    </row>
    <row r="467" spans="1:36" ht="18" x14ac:dyDescent="0.3">
      <c r="A467" s="444" t="s">
        <v>665</v>
      </c>
      <c r="B467" s="444"/>
      <c r="C467" s="444"/>
      <c r="D467" s="444"/>
      <c r="E467" s="444"/>
      <c r="F467" s="444"/>
      <c r="G467" s="444"/>
      <c r="H467" s="444"/>
      <c r="I467" s="444"/>
      <c r="J467" s="444"/>
      <c r="K467" s="444"/>
      <c r="L467" s="444"/>
      <c r="M467" s="444"/>
      <c r="N467" s="444"/>
      <c r="O467" s="444"/>
      <c r="P467" s="444"/>
      <c r="Q467" s="444"/>
      <c r="R467" s="220"/>
      <c r="S467" s="220"/>
      <c r="T467" s="220"/>
      <c r="U467" s="220"/>
      <c r="V467" s="220"/>
      <c r="W467" s="220"/>
      <c r="X467" s="220"/>
      <c r="Y467" s="220"/>
      <c r="Z467" s="220"/>
      <c r="AA467" s="220"/>
      <c r="AB467" s="220"/>
      <c r="AC467" s="220"/>
      <c r="AD467" s="220"/>
      <c r="AE467" s="220"/>
      <c r="AF467" s="231"/>
      <c r="AG467" s="220"/>
      <c r="AH467" s="220"/>
      <c r="AI467" s="49" t="s">
        <v>477</v>
      </c>
      <c r="AJ467" s="218"/>
    </row>
    <row r="468" spans="1:36" ht="15.6" x14ac:dyDescent="0.3">
      <c r="A468" s="232" t="s">
        <v>666</v>
      </c>
      <c r="B468" s="64"/>
      <c r="C468" s="64"/>
      <c r="D468" s="64"/>
      <c r="E468" s="64"/>
      <c r="F468" s="64"/>
      <c r="G468" s="64"/>
      <c r="H468" s="64"/>
      <c r="I468" s="64"/>
      <c r="J468" s="64"/>
      <c r="K468" s="64"/>
      <c r="L468" s="64"/>
      <c r="M468" s="64"/>
      <c r="N468" s="64"/>
      <c r="O468" s="64"/>
      <c r="P468" s="64"/>
      <c r="Q468" s="64"/>
      <c r="R468" s="220"/>
      <c r="S468" s="220"/>
      <c r="T468" s="220"/>
      <c r="U468" s="220"/>
      <c r="V468" s="220"/>
      <c r="W468" s="220"/>
      <c r="X468" s="220"/>
      <c r="Y468" s="220"/>
      <c r="Z468" s="220"/>
      <c r="AA468" s="220"/>
      <c r="AB468" s="220"/>
      <c r="AC468" s="220"/>
      <c r="AD468" s="220"/>
      <c r="AE468" s="220"/>
      <c r="AF468" s="231"/>
      <c r="AG468" s="218"/>
      <c r="AH468" s="218"/>
      <c r="AI468" s="49" t="s">
        <v>3399</v>
      </c>
      <c r="AJ468" s="218"/>
    </row>
    <row r="469" spans="1:36" x14ac:dyDescent="0.3">
      <c r="A469" s="65"/>
      <c r="B469" s="220"/>
      <c r="C469" s="220"/>
      <c r="D469" s="220"/>
      <c r="E469" s="220"/>
      <c r="F469" s="220"/>
      <c r="G469" s="220"/>
      <c r="H469" s="220"/>
      <c r="I469" s="220"/>
      <c r="J469" s="220"/>
      <c r="K469" s="220"/>
      <c r="L469" s="220"/>
      <c r="M469" s="220"/>
      <c r="N469" s="220"/>
      <c r="O469" s="220"/>
      <c r="P469" s="220"/>
      <c r="Q469" s="220"/>
      <c r="R469" s="220"/>
      <c r="S469" s="220"/>
      <c r="T469" s="220"/>
      <c r="U469" s="220"/>
      <c r="V469" s="220"/>
      <c r="W469" s="220"/>
      <c r="X469" s="220"/>
      <c r="Y469" s="220"/>
      <c r="Z469" s="220"/>
      <c r="AA469" s="220"/>
      <c r="AB469" s="220"/>
      <c r="AC469" s="220"/>
      <c r="AD469" s="220"/>
      <c r="AE469" s="220"/>
      <c r="AF469" s="231"/>
      <c r="AG469" s="218"/>
      <c r="AH469" s="218"/>
      <c r="AI469" s="49" t="s">
        <v>478</v>
      </c>
      <c r="AJ469" s="218"/>
    </row>
    <row r="470" spans="1:36" x14ac:dyDescent="0.3">
      <c r="A470" s="233"/>
      <c r="B470" s="220"/>
      <c r="C470" s="220"/>
      <c r="D470" s="220"/>
      <c r="E470" s="220"/>
      <c r="F470" s="220"/>
      <c r="G470" s="220"/>
      <c r="H470" s="220"/>
      <c r="I470" s="220"/>
      <c r="J470" s="220"/>
      <c r="K470" s="220"/>
      <c r="L470" s="220"/>
      <c r="M470" s="220"/>
      <c r="N470" s="220"/>
      <c r="O470" s="220"/>
      <c r="P470" s="220"/>
      <c r="Q470" s="220"/>
      <c r="R470" s="220"/>
      <c r="S470" s="220"/>
      <c r="T470" s="220"/>
      <c r="U470" s="220"/>
      <c r="V470" s="220"/>
      <c r="W470" s="220"/>
      <c r="X470" s="220"/>
      <c r="Y470" s="220"/>
      <c r="Z470" s="220"/>
      <c r="AA470" s="220"/>
      <c r="AB470" s="220"/>
      <c r="AC470" s="220"/>
      <c r="AD470" s="220"/>
      <c r="AE470" s="220"/>
      <c r="AF470" s="220"/>
      <c r="AG470" s="220"/>
      <c r="AH470" s="220"/>
      <c r="AI470" s="220"/>
      <c r="AJ470" s="220"/>
    </row>
    <row r="471" spans="1:36" ht="64.5" customHeight="1" x14ac:dyDescent="0.3">
      <c r="A471" s="459" t="s">
        <v>479</v>
      </c>
      <c r="B471" s="234" t="s">
        <v>667</v>
      </c>
      <c r="C471" s="235" t="s">
        <v>668</v>
      </c>
      <c r="D471" s="235" t="s">
        <v>669</v>
      </c>
      <c r="E471" s="235" t="s">
        <v>670</v>
      </c>
      <c r="F471" s="235" t="s">
        <v>671</v>
      </c>
      <c r="G471" s="235" t="s">
        <v>672</v>
      </c>
      <c r="H471" s="235" t="s">
        <v>673</v>
      </c>
      <c r="I471" s="235" t="s">
        <v>674</v>
      </c>
      <c r="J471" s="235" t="s">
        <v>675</v>
      </c>
      <c r="K471" s="235" t="s">
        <v>676</v>
      </c>
      <c r="L471" s="235" t="s">
        <v>677</v>
      </c>
      <c r="M471" s="235" t="s">
        <v>678</v>
      </c>
      <c r="N471" s="235" t="s">
        <v>679</v>
      </c>
      <c r="O471" s="235" t="s">
        <v>680</v>
      </c>
      <c r="P471" s="235" t="s">
        <v>681</v>
      </c>
      <c r="Q471" s="235" t="s">
        <v>682</v>
      </c>
      <c r="R471" s="235" t="s">
        <v>683</v>
      </c>
      <c r="S471" s="236" t="s">
        <v>684</v>
      </c>
      <c r="T471" s="236" t="s">
        <v>685</v>
      </c>
      <c r="U471" s="237" t="s">
        <v>686</v>
      </c>
      <c r="V471" s="235" t="s">
        <v>687</v>
      </c>
      <c r="W471" s="238" t="s">
        <v>688</v>
      </c>
      <c r="X471" s="238" t="s">
        <v>689</v>
      </c>
      <c r="Y471" s="238" t="s">
        <v>690</v>
      </c>
      <c r="Z471" s="238" t="s">
        <v>691</v>
      </c>
      <c r="AA471" s="238" t="s">
        <v>692</v>
      </c>
      <c r="AB471" s="238" t="s">
        <v>693</v>
      </c>
      <c r="AC471" s="238" t="s">
        <v>694</v>
      </c>
      <c r="AD471" s="239" t="s">
        <v>695</v>
      </c>
      <c r="AE471" s="239" t="s">
        <v>696</v>
      </c>
      <c r="AF471" s="237" t="s">
        <v>697</v>
      </c>
      <c r="AG471" s="235" t="s">
        <v>698</v>
      </c>
      <c r="AH471" s="237" t="s">
        <v>615</v>
      </c>
      <c r="AI471" s="236" t="s">
        <v>616</v>
      </c>
      <c r="AJ471" s="66" t="s">
        <v>699</v>
      </c>
    </row>
    <row r="472" spans="1:36" ht="37.200000000000003" thickBot="1" x14ac:dyDescent="0.35">
      <c r="A472" s="460"/>
      <c r="B472" s="439" t="s">
        <v>3128</v>
      </c>
      <c r="C472" s="437"/>
      <c r="D472" s="437"/>
      <c r="E472" s="437"/>
      <c r="F472" s="437"/>
      <c r="G472" s="437"/>
      <c r="H472" s="437"/>
      <c r="I472" s="437"/>
      <c r="J472" s="437"/>
      <c r="K472" s="437"/>
      <c r="L472" s="437"/>
      <c r="M472" s="437"/>
      <c r="N472" s="437"/>
      <c r="O472" s="437"/>
      <c r="P472" s="437"/>
      <c r="Q472" s="437"/>
      <c r="R472" s="438"/>
      <c r="S472" s="264"/>
      <c r="T472" s="264"/>
      <c r="U472" s="445" t="s">
        <v>700</v>
      </c>
      <c r="V472" s="446"/>
      <c r="W472" s="439" t="s">
        <v>3128</v>
      </c>
      <c r="X472" s="437"/>
      <c r="Y472" s="437"/>
      <c r="Z472" s="437"/>
      <c r="AA472" s="437"/>
      <c r="AB472" s="437"/>
      <c r="AC472" s="438"/>
      <c r="AD472" s="264"/>
      <c r="AE472" s="264"/>
      <c r="AF472" s="445" t="s">
        <v>700</v>
      </c>
      <c r="AG472" s="446"/>
      <c r="AH472" s="240" t="s">
        <v>620</v>
      </c>
      <c r="AI472" s="265" t="s">
        <v>3128</v>
      </c>
      <c r="AJ472" s="241" t="s">
        <v>3128</v>
      </c>
    </row>
    <row r="473" spans="1:36" ht="15" thickTop="1" x14ac:dyDescent="0.3">
      <c r="A473" s="242" t="s">
        <v>701</v>
      </c>
      <c r="B473" s="331">
        <v>1368.6407622854913</v>
      </c>
      <c r="C473" s="331">
        <v>398.21997774743551</v>
      </c>
      <c r="D473" s="331">
        <v>1.9808273483516601</v>
      </c>
      <c r="E473" s="331" t="s">
        <v>798</v>
      </c>
      <c r="F473" s="331">
        <v>2580.4423400000001</v>
      </c>
      <c r="G473" s="331" t="s">
        <v>518</v>
      </c>
      <c r="H473" s="331">
        <v>56029.164606593971</v>
      </c>
      <c r="I473" s="331" t="s">
        <v>518</v>
      </c>
      <c r="J473" s="331">
        <v>2093.1475999999998</v>
      </c>
      <c r="K473" s="331" t="s">
        <v>518</v>
      </c>
      <c r="L473" s="331" t="s">
        <v>798</v>
      </c>
      <c r="M473" s="331" t="s">
        <v>518</v>
      </c>
      <c r="N473" s="331" t="s">
        <v>518</v>
      </c>
      <c r="O473" s="331" t="s">
        <v>518</v>
      </c>
      <c r="P473" s="331" t="s">
        <v>518</v>
      </c>
      <c r="Q473" s="331">
        <v>117.73</v>
      </c>
      <c r="R473" s="331" t="s">
        <v>518</v>
      </c>
      <c r="S473" s="331" t="s">
        <v>798</v>
      </c>
      <c r="T473" s="331" t="s">
        <v>798</v>
      </c>
      <c r="U473" s="331">
        <v>1.6984600970478201</v>
      </c>
      <c r="V473" s="328" t="s">
        <v>188</v>
      </c>
      <c r="W473" s="331">
        <v>540.06916717032652</v>
      </c>
      <c r="X473" s="331">
        <v>206.85707686944318</v>
      </c>
      <c r="Y473" s="331">
        <v>9.0276703162196608</v>
      </c>
      <c r="Z473" s="331" t="s">
        <v>518</v>
      </c>
      <c r="AA473" s="331">
        <v>11.47912170919709</v>
      </c>
      <c r="AB473" s="331" t="s">
        <v>518</v>
      </c>
      <c r="AC473" s="331" t="s">
        <v>798</v>
      </c>
      <c r="AD473" s="331" t="s">
        <v>518</v>
      </c>
      <c r="AE473" s="331" t="s">
        <v>518</v>
      </c>
      <c r="AF473" s="331">
        <v>3.5894286775586801</v>
      </c>
      <c r="AG473" s="328" t="s">
        <v>188</v>
      </c>
      <c r="AH473" s="331">
        <v>7230.4559117999988</v>
      </c>
      <c r="AI473" s="331">
        <v>517.71056610324001</v>
      </c>
      <c r="AJ473" s="331">
        <v>28.530150025699999</v>
      </c>
    </row>
    <row r="474" spans="1:36" x14ac:dyDescent="0.3">
      <c r="A474" s="242" t="s">
        <v>702</v>
      </c>
      <c r="B474" s="331">
        <v>1354.0760204081632</v>
      </c>
      <c r="C474" s="331" t="s">
        <v>493</v>
      </c>
      <c r="D474" s="331" t="s">
        <v>493</v>
      </c>
      <c r="E474" s="331" t="s">
        <v>493</v>
      </c>
      <c r="F474" s="331" t="s">
        <v>493</v>
      </c>
      <c r="G474" s="331" t="s">
        <v>493</v>
      </c>
      <c r="H474" s="331" t="s">
        <v>493</v>
      </c>
      <c r="I474" s="331" t="s">
        <v>493</v>
      </c>
      <c r="J474" s="331" t="s">
        <v>493</v>
      </c>
      <c r="K474" s="331" t="s">
        <v>493</v>
      </c>
      <c r="L474" s="331" t="s">
        <v>493</v>
      </c>
      <c r="M474" s="331" t="s">
        <v>493</v>
      </c>
      <c r="N474" s="331" t="s">
        <v>493</v>
      </c>
      <c r="O474" s="331" t="s">
        <v>493</v>
      </c>
      <c r="P474" s="331" t="s">
        <v>493</v>
      </c>
      <c r="Q474" s="331" t="s">
        <v>493</v>
      </c>
      <c r="R474" s="331" t="s">
        <v>493</v>
      </c>
      <c r="S474" s="331" t="s">
        <v>493</v>
      </c>
      <c r="T474" s="331" t="s">
        <v>493</v>
      </c>
      <c r="U474" s="331" t="s">
        <v>493</v>
      </c>
      <c r="V474" s="328" t="s">
        <v>188</v>
      </c>
      <c r="W474" s="331" t="s">
        <v>493</v>
      </c>
      <c r="X474" s="331" t="s">
        <v>493</v>
      </c>
      <c r="Y474" s="331" t="s">
        <v>493</v>
      </c>
      <c r="Z474" s="331" t="s">
        <v>493</v>
      </c>
      <c r="AA474" s="331" t="s">
        <v>493</v>
      </c>
      <c r="AB474" s="331" t="s">
        <v>493</v>
      </c>
      <c r="AC474" s="331" t="s">
        <v>493</v>
      </c>
      <c r="AD474" s="331" t="s">
        <v>493</v>
      </c>
      <c r="AE474" s="331" t="s">
        <v>493</v>
      </c>
      <c r="AF474" s="331" t="s">
        <v>493</v>
      </c>
      <c r="AG474" s="328" t="s">
        <v>188</v>
      </c>
      <c r="AH474" s="331" t="s">
        <v>493</v>
      </c>
      <c r="AI474" s="331" t="s">
        <v>493</v>
      </c>
      <c r="AJ474" s="331" t="s">
        <v>493</v>
      </c>
    </row>
    <row r="475" spans="1:36" x14ac:dyDescent="0.3">
      <c r="A475" s="332" t="s">
        <v>703</v>
      </c>
      <c r="B475" s="331">
        <v>1354.0760204081632</v>
      </c>
      <c r="C475" s="331" t="s">
        <v>493</v>
      </c>
      <c r="D475" s="331" t="s">
        <v>493</v>
      </c>
      <c r="E475" s="331" t="s">
        <v>493</v>
      </c>
      <c r="F475" s="331" t="s">
        <v>493</v>
      </c>
      <c r="G475" s="331" t="s">
        <v>493</v>
      </c>
      <c r="H475" s="331" t="s">
        <v>493</v>
      </c>
      <c r="I475" s="331" t="s">
        <v>493</v>
      </c>
      <c r="J475" s="331" t="s">
        <v>493</v>
      </c>
      <c r="K475" s="331" t="s">
        <v>493</v>
      </c>
      <c r="L475" s="331" t="s">
        <v>493</v>
      </c>
      <c r="M475" s="331" t="s">
        <v>493</v>
      </c>
      <c r="N475" s="331" t="s">
        <v>493</v>
      </c>
      <c r="O475" s="331" t="s">
        <v>493</v>
      </c>
      <c r="P475" s="331" t="s">
        <v>493</v>
      </c>
      <c r="Q475" s="331" t="s">
        <v>493</v>
      </c>
      <c r="R475" s="331" t="s">
        <v>493</v>
      </c>
      <c r="S475" s="331" t="s">
        <v>493</v>
      </c>
      <c r="T475" s="331" t="s">
        <v>493</v>
      </c>
      <c r="U475" s="331" t="s">
        <v>493</v>
      </c>
      <c r="V475" s="328" t="s">
        <v>188</v>
      </c>
      <c r="W475" s="331" t="s">
        <v>493</v>
      </c>
      <c r="X475" s="331" t="s">
        <v>493</v>
      </c>
      <c r="Y475" s="331" t="s">
        <v>493</v>
      </c>
      <c r="Z475" s="331" t="s">
        <v>493</v>
      </c>
      <c r="AA475" s="331" t="s">
        <v>493</v>
      </c>
      <c r="AB475" s="331" t="s">
        <v>493</v>
      </c>
      <c r="AC475" s="331" t="s">
        <v>493</v>
      </c>
      <c r="AD475" s="331" t="s">
        <v>493</v>
      </c>
      <c r="AE475" s="331" t="s">
        <v>493</v>
      </c>
      <c r="AF475" s="331" t="s">
        <v>493</v>
      </c>
      <c r="AG475" s="328" t="s">
        <v>188</v>
      </c>
      <c r="AH475" s="331" t="s">
        <v>493</v>
      </c>
      <c r="AI475" s="331" t="s">
        <v>493</v>
      </c>
      <c r="AJ475" s="331" t="s">
        <v>493</v>
      </c>
    </row>
    <row r="476" spans="1:36" x14ac:dyDescent="0.3">
      <c r="A476" s="333" t="s">
        <v>704</v>
      </c>
      <c r="B476" s="331">
        <v>1354.0760204081632</v>
      </c>
      <c r="C476" s="331" t="s">
        <v>493</v>
      </c>
      <c r="D476" s="331" t="s">
        <v>493</v>
      </c>
      <c r="E476" s="331" t="s">
        <v>493</v>
      </c>
      <c r="F476" s="331" t="s">
        <v>493</v>
      </c>
      <c r="G476" s="331" t="s">
        <v>493</v>
      </c>
      <c r="H476" s="331" t="s">
        <v>493</v>
      </c>
      <c r="I476" s="331" t="s">
        <v>493</v>
      </c>
      <c r="J476" s="331" t="s">
        <v>493</v>
      </c>
      <c r="K476" s="331" t="s">
        <v>493</v>
      </c>
      <c r="L476" s="331" t="s">
        <v>493</v>
      </c>
      <c r="M476" s="331" t="s">
        <v>493</v>
      </c>
      <c r="N476" s="331" t="s">
        <v>493</v>
      </c>
      <c r="O476" s="331" t="s">
        <v>493</v>
      </c>
      <c r="P476" s="331" t="s">
        <v>493</v>
      </c>
      <c r="Q476" s="331" t="s">
        <v>493</v>
      </c>
      <c r="R476" s="331" t="s">
        <v>493</v>
      </c>
      <c r="S476" s="331" t="s">
        <v>493</v>
      </c>
      <c r="T476" s="331" t="s">
        <v>493</v>
      </c>
      <c r="U476" s="331" t="s">
        <v>493</v>
      </c>
      <c r="V476" s="328" t="s">
        <v>188</v>
      </c>
      <c r="W476" s="331" t="s">
        <v>493</v>
      </c>
      <c r="X476" s="331" t="s">
        <v>493</v>
      </c>
      <c r="Y476" s="331" t="s">
        <v>493</v>
      </c>
      <c r="Z476" s="331" t="s">
        <v>493</v>
      </c>
      <c r="AA476" s="331" t="s">
        <v>493</v>
      </c>
      <c r="AB476" s="331" t="s">
        <v>493</v>
      </c>
      <c r="AC476" s="331" t="s">
        <v>493</v>
      </c>
      <c r="AD476" s="331" t="s">
        <v>493</v>
      </c>
      <c r="AE476" s="331" t="s">
        <v>493</v>
      </c>
      <c r="AF476" s="331" t="s">
        <v>493</v>
      </c>
      <c r="AG476" s="328" t="s">
        <v>188</v>
      </c>
      <c r="AH476" s="331" t="s">
        <v>493</v>
      </c>
      <c r="AI476" s="331" t="s">
        <v>493</v>
      </c>
      <c r="AJ476" s="331" t="s">
        <v>493</v>
      </c>
    </row>
    <row r="477" spans="1:36" x14ac:dyDescent="0.3">
      <c r="A477" s="333" t="s">
        <v>705</v>
      </c>
      <c r="B477" s="331" t="s">
        <v>493</v>
      </c>
      <c r="C477" s="331" t="s">
        <v>493</v>
      </c>
      <c r="D477" s="331" t="s">
        <v>493</v>
      </c>
      <c r="E477" s="331" t="s">
        <v>493</v>
      </c>
      <c r="F477" s="331" t="s">
        <v>493</v>
      </c>
      <c r="G477" s="331" t="s">
        <v>493</v>
      </c>
      <c r="H477" s="331" t="s">
        <v>493</v>
      </c>
      <c r="I477" s="331" t="s">
        <v>493</v>
      </c>
      <c r="J477" s="331" t="s">
        <v>493</v>
      </c>
      <c r="K477" s="331" t="s">
        <v>493</v>
      </c>
      <c r="L477" s="331" t="s">
        <v>493</v>
      </c>
      <c r="M477" s="331" t="s">
        <v>493</v>
      </c>
      <c r="N477" s="331" t="s">
        <v>493</v>
      </c>
      <c r="O477" s="331" t="s">
        <v>493</v>
      </c>
      <c r="P477" s="331" t="s">
        <v>493</v>
      </c>
      <c r="Q477" s="331" t="s">
        <v>493</v>
      </c>
      <c r="R477" s="331" t="s">
        <v>493</v>
      </c>
      <c r="S477" s="331" t="s">
        <v>493</v>
      </c>
      <c r="T477" s="331" t="s">
        <v>493</v>
      </c>
      <c r="U477" s="331" t="s">
        <v>493</v>
      </c>
      <c r="V477" s="328" t="s">
        <v>188</v>
      </c>
      <c r="W477" s="331" t="s">
        <v>493</v>
      </c>
      <c r="X477" s="331" t="s">
        <v>493</v>
      </c>
      <c r="Y477" s="331" t="s">
        <v>493</v>
      </c>
      <c r="Z477" s="331" t="s">
        <v>493</v>
      </c>
      <c r="AA477" s="331" t="s">
        <v>493</v>
      </c>
      <c r="AB477" s="331" t="s">
        <v>493</v>
      </c>
      <c r="AC477" s="331" t="s">
        <v>493</v>
      </c>
      <c r="AD477" s="331" t="s">
        <v>493</v>
      </c>
      <c r="AE477" s="331" t="s">
        <v>493</v>
      </c>
      <c r="AF477" s="331" t="s">
        <v>493</v>
      </c>
      <c r="AG477" s="328" t="s">
        <v>188</v>
      </c>
      <c r="AH477" s="331" t="s">
        <v>493</v>
      </c>
      <c r="AI477" s="331" t="s">
        <v>493</v>
      </c>
      <c r="AJ477" s="331" t="s">
        <v>493</v>
      </c>
    </row>
    <row r="478" spans="1:36" x14ac:dyDescent="0.3">
      <c r="A478" s="332" t="s">
        <v>706</v>
      </c>
      <c r="B478" s="331" t="s">
        <v>493</v>
      </c>
      <c r="C478" s="331" t="s">
        <v>493</v>
      </c>
      <c r="D478" s="331" t="s">
        <v>493</v>
      </c>
      <c r="E478" s="331" t="s">
        <v>493</v>
      </c>
      <c r="F478" s="331" t="s">
        <v>493</v>
      </c>
      <c r="G478" s="331" t="s">
        <v>493</v>
      </c>
      <c r="H478" s="331" t="s">
        <v>493</v>
      </c>
      <c r="I478" s="331" t="s">
        <v>493</v>
      </c>
      <c r="J478" s="331" t="s">
        <v>493</v>
      </c>
      <c r="K478" s="331" t="s">
        <v>493</v>
      </c>
      <c r="L478" s="331" t="s">
        <v>493</v>
      </c>
      <c r="M478" s="331" t="s">
        <v>493</v>
      </c>
      <c r="N478" s="331" t="s">
        <v>493</v>
      </c>
      <c r="O478" s="331" t="s">
        <v>493</v>
      </c>
      <c r="P478" s="331" t="s">
        <v>493</v>
      </c>
      <c r="Q478" s="331" t="s">
        <v>493</v>
      </c>
      <c r="R478" s="331" t="s">
        <v>493</v>
      </c>
      <c r="S478" s="331" t="s">
        <v>493</v>
      </c>
      <c r="T478" s="331" t="s">
        <v>493</v>
      </c>
      <c r="U478" s="331" t="s">
        <v>493</v>
      </c>
      <c r="V478" s="328" t="s">
        <v>188</v>
      </c>
      <c r="W478" s="331" t="s">
        <v>493</v>
      </c>
      <c r="X478" s="331" t="s">
        <v>493</v>
      </c>
      <c r="Y478" s="331" t="s">
        <v>493</v>
      </c>
      <c r="Z478" s="331" t="s">
        <v>493</v>
      </c>
      <c r="AA478" s="331" t="s">
        <v>493</v>
      </c>
      <c r="AB478" s="331" t="s">
        <v>493</v>
      </c>
      <c r="AC478" s="331" t="s">
        <v>493</v>
      </c>
      <c r="AD478" s="331" t="s">
        <v>493</v>
      </c>
      <c r="AE478" s="331" t="s">
        <v>493</v>
      </c>
      <c r="AF478" s="331" t="s">
        <v>493</v>
      </c>
      <c r="AG478" s="328" t="s">
        <v>188</v>
      </c>
      <c r="AH478" s="331" t="s">
        <v>493</v>
      </c>
      <c r="AI478" s="331" t="s">
        <v>493</v>
      </c>
      <c r="AJ478" s="331" t="s">
        <v>493</v>
      </c>
    </row>
    <row r="479" spans="1:36" x14ac:dyDescent="0.3">
      <c r="A479" s="242" t="s">
        <v>707</v>
      </c>
      <c r="B479" s="331" t="s">
        <v>493</v>
      </c>
      <c r="C479" s="331" t="s">
        <v>493</v>
      </c>
      <c r="D479" s="331" t="s">
        <v>493</v>
      </c>
      <c r="E479" s="331" t="s">
        <v>493</v>
      </c>
      <c r="F479" s="331" t="s">
        <v>493</v>
      </c>
      <c r="G479" s="331" t="s">
        <v>493</v>
      </c>
      <c r="H479" s="331" t="s">
        <v>555</v>
      </c>
      <c r="I479" s="331" t="s">
        <v>493</v>
      </c>
      <c r="J479" s="331" t="s">
        <v>493</v>
      </c>
      <c r="K479" s="331" t="s">
        <v>493</v>
      </c>
      <c r="L479" s="331" t="s">
        <v>493</v>
      </c>
      <c r="M479" s="331" t="s">
        <v>493</v>
      </c>
      <c r="N479" s="331" t="s">
        <v>493</v>
      </c>
      <c r="O479" s="331" t="s">
        <v>493</v>
      </c>
      <c r="P479" s="331" t="s">
        <v>493</v>
      </c>
      <c r="Q479" s="331" t="s">
        <v>493</v>
      </c>
      <c r="R479" s="331" t="s">
        <v>493</v>
      </c>
      <c r="S479" s="331" t="s">
        <v>493</v>
      </c>
      <c r="T479" s="331" t="s">
        <v>493</v>
      </c>
      <c r="U479" s="331" t="s">
        <v>493</v>
      </c>
      <c r="V479" s="328" t="s">
        <v>188</v>
      </c>
      <c r="W479" s="331">
        <v>391.00292248704386</v>
      </c>
      <c r="X479" s="331">
        <v>45.101851511540602</v>
      </c>
      <c r="Y479" s="331" t="s">
        <v>493</v>
      </c>
      <c r="Z479" s="331" t="s">
        <v>493</v>
      </c>
      <c r="AA479" s="331" t="s">
        <v>493</v>
      </c>
      <c r="AB479" s="331" t="s">
        <v>493</v>
      </c>
      <c r="AC479" s="331" t="s">
        <v>493</v>
      </c>
      <c r="AD479" s="331" t="s">
        <v>493</v>
      </c>
      <c r="AE479" s="331" t="s">
        <v>493</v>
      </c>
      <c r="AF479" s="331" t="s">
        <v>493</v>
      </c>
      <c r="AG479" s="328" t="s">
        <v>188</v>
      </c>
      <c r="AH479" s="331" t="s">
        <v>493</v>
      </c>
      <c r="AI479" s="331">
        <v>120.41830440901001</v>
      </c>
      <c r="AJ479" s="331" t="s">
        <v>493</v>
      </c>
    </row>
    <row r="480" spans="1:36" x14ac:dyDescent="0.3">
      <c r="A480" s="332" t="s">
        <v>708</v>
      </c>
      <c r="B480" s="328" t="s">
        <v>188</v>
      </c>
      <c r="C480" s="328" t="s">
        <v>188</v>
      </c>
      <c r="D480" s="328" t="s">
        <v>188</v>
      </c>
      <c r="E480" s="328" t="s">
        <v>188</v>
      </c>
      <c r="F480" s="328" t="s">
        <v>188</v>
      </c>
      <c r="G480" s="328" t="s">
        <v>188</v>
      </c>
      <c r="H480" s="328" t="s">
        <v>188</v>
      </c>
      <c r="I480" s="328" t="s">
        <v>188</v>
      </c>
      <c r="J480" s="328" t="s">
        <v>188</v>
      </c>
      <c r="K480" s="328" t="s">
        <v>188</v>
      </c>
      <c r="L480" s="328" t="s">
        <v>188</v>
      </c>
      <c r="M480" s="328" t="s">
        <v>188</v>
      </c>
      <c r="N480" s="328" t="s">
        <v>188</v>
      </c>
      <c r="O480" s="328" t="s">
        <v>188</v>
      </c>
      <c r="P480" s="328" t="s">
        <v>188</v>
      </c>
      <c r="Q480" s="328" t="s">
        <v>188</v>
      </c>
      <c r="R480" s="328" t="s">
        <v>188</v>
      </c>
      <c r="S480" s="328" t="s">
        <v>188</v>
      </c>
      <c r="T480" s="328" t="s">
        <v>188</v>
      </c>
      <c r="U480" s="328" t="s">
        <v>188</v>
      </c>
      <c r="V480" s="328" t="s">
        <v>188</v>
      </c>
      <c r="W480" s="331">
        <v>391.00292248704386</v>
      </c>
      <c r="X480" s="331">
        <v>45.101851511540602</v>
      </c>
      <c r="Y480" s="331" t="s">
        <v>493</v>
      </c>
      <c r="Z480" s="331" t="s">
        <v>493</v>
      </c>
      <c r="AA480" s="331" t="s">
        <v>493</v>
      </c>
      <c r="AB480" s="331" t="s">
        <v>493</v>
      </c>
      <c r="AC480" s="331" t="s">
        <v>493</v>
      </c>
      <c r="AD480" s="331" t="s">
        <v>493</v>
      </c>
      <c r="AE480" s="331" t="s">
        <v>493</v>
      </c>
      <c r="AF480" s="331" t="s">
        <v>493</v>
      </c>
      <c r="AG480" s="328" t="s">
        <v>188</v>
      </c>
      <c r="AH480" s="328" t="s">
        <v>188</v>
      </c>
      <c r="AI480" s="331" t="s">
        <v>493</v>
      </c>
      <c r="AJ480" s="328" t="s">
        <v>188</v>
      </c>
    </row>
    <row r="481" spans="1:36" x14ac:dyDescent="0.3">
      <c r="A481" s="332" t="s">
        <v>709</v>
      </c>
      <c r="B481" s="331" t="s">
        <v>493</v>
      </c>
      <c r="C481" s="331" t="s">
        <v>493</v>
      </c>
      <c r="D481" s="331" t="s">
        <v>493</v>
      </c>
      <c r="E481" s="331" t="s">
        <v>493</v>
      </c>
      <c r="F481" s="331" t="s">
        <v>493</v>
      </c>
      <c r="G481" s="331" t="s">
        <v>493</v>
      </c>
      <c r="H481" s="331" t="s">
        <v>522</v>
      </c>
      <c r="I481" s="331" t="s">
        <v>493</v>
      </c>
      <c r="J481" s="331" t="s">
        <v>493</v>
      </c>
      <c r="K481" s="331" t="s">
        <v>493</v>
      </c>
      <c r="L481" s="331" t="s">
        <v>493</v>
      </c>
      <c r="M481" s="331" t="s">
        <v>493</v>
      </c>
      <c r="N481" s="331" t="s">
        <v>493</v>
      </c>
      <c r="O481" s="331" t="s">
        <v>493</v>
      </c>
      <c r="P481" s="331" t="s">
        <v>493</v>
      </c>
      <c r="Q481" s="331" t="s">
        <v>493</v>
      </c>
      <c r="R481" s="331" t="s">
        <v>493</v>
      </c>
      <c r="S481" s="331" t="s">
        <v>493</v>
      </c>
      <c r="T481" s="331" t="s">
        <v>493</v>
      </c>
      <c r="U481" s="331" t="s">
        <v>493</v>
      </c>
      <c r="V481" s="328" t="s">
        <v>188</v>
      </c>
      <c r="W481" s="331" t="s">
        <v>493</v>
      </c>
      <c r="X481" s="331" t="s">
        <v>493</v>
      </c>
      <c r="Y481" s="331" t="s">
        <v>493</v>
      </c>
      <c r="Z481" s="331" t="s">
        <v>493</v>
      </c>
      <c r="AA481" s="331" t="s">
        <v>493</v>
      </c>
      <c r="AB481" s="331" t="s">
        <v>493</v>
      </c>
      <c r="AC481" s="331" t="s">
        <v>493</v>
      </c>
      <c r="AD481" s="331" t="s">
        <v>493</v>
      </c>
      <c r="AE481" s="331" t="s">
        <v>493</v>
      </c>
      <c r="AF481" s="331" t="s">
        <v>493</v>
      </c>
      <c r="AG481" s="328" t="s">
        <v>188</v>
      </c>
      <c r="AH481" s="331" t="s">
        <v>493</v>
      </c>
      <c r="AI481" s="331">
        <v>120.41830440900908</v>
      </c>
      <c r="AJ481" s="328" t="s">
        <v>188</v>
      </c>
    </row>
    <row r="482" spans="1:36" x14ac:dyDescent="0.3">
      <c r="A482" s="334" t="s">
        <v>710</v>
      </c>
      <c r="B482" s="331" t="s">
        <v>493</v>
      </c>
      <c r="C482" s="331" t="s">
        <v>493</v>
      </c>
      <c r="D482" s="331" t="s">
        <v>493</v>
      </c>
      <c r="E482" s="331" t="s">
        <v>493</v>
      </c>
      <c r="F482" s="331" t="s">
        <v>493</v>
      </c>
      <c r="G482" s="331" t="s">
        <v>493</v>
      </c>
      <c r="H482" s="331" t="s">
        <v>493</v>
      </c>
      <c r="I482" s="331" t="s">
        <v>493</v>
      </c>
      <c r="J482" s="331" t="s">
        <v>493</v>
      </c>
      <c r="K482" s="331" t="s">
        <v>493</v>
      </c>
      <c r="L482" s="331" t="s">
        <v>493</v>
      </c>
      <c r="M482" s="331" t="s">
        <v>493</v>
      </c>
      <c r="N482" s="331" t="s">
        <v>493</v>
      </c>
      <c r="O482" s="331" t="s">
        <v>493</v>
      </c>
      <c r="P482" s="331" t="s">
        <v>493</v>
      </c>
      <c r="Q482" s="331" t="s">
        <v>493</v>
      </c>
      <c r="R482" s="331" t="s">
        <v>493</v>
      </c>
      <c r="S482" s="331" t="s">
        <v>493</v>
      </c>
      <c r="T482" s="331" t="s">
        <v>493</v>
      </c>
      <c r="U482" s="331" t="s">
        <v>493</v>
      </c>
      <c r="V482" s="328" t="s">
        <v>188</v>
      </c>
      <c r="W482" s="331" t="s">
        <v>493</v>
      </c>
      <c r="X482" s="331" t="s">
        <v>493</v>
      </c>
      <c r="Y482" s="331" t="s">
        <v>493</v>
      </c>
      <c r="Z482" s="331" t="s">
        <v>493</v>
      </c>
      <c r="AA482" s="331" t="s">
        <v>493</v>
      </c>
      <c r="AB482" s="331" t="s">
        <v>493</v>
      </c>
      <c r="AC482" s="331" t="s">
        <v>493</v>
      </c>
      <c r="AD482" s="331" t="s">
        <v>493</v>
      </c>
      <c r="AE482" s="331" t="s">
        <v>493</v>
      </c>
      <c r="AF482" s="331" t="s">
        <v>493</v>
      </c>
      <c r="AG482" s="328" t="s">
        <v>188</v>
      </c>
      <c r="AH482" s="331" t="s">
        <v>493</v>
      </c>
      <c r="AI482" s="331" t="s">
        <v>493</v>
      </c>
      <c r="AJ482" s="331" t="s">
        <v>493</v>
      </c>
    </row>
    <row r="483" spans="1:36" x14ac:dyDescent="0.3">
      <c r="A483" s="335" t="s">
        <v>648</v>
      </c>
      <c r="B483" s="331">
        <v>13.68474187732811</v>
      </c>
      <c r="C483" s="331">
        <v>0.90067774743551998</v>
      </c>
      <c r="D483" s="331">
        <v>1.9808273483516601</v>
      </c>
      <c r="E483" s="331" t="s">
        <v>3125</v>
      </c>
      <c r="F483" s="331" t="s">
        <v>3125</v>
      </c>
      <c r="G483" s="331" t="s">
        <v>592</v>
      </c>
      <c r="H483" s="331">
        <v>9.5065939709600006E-3</v>
      </c>
      <c r="I483" s="331" t="s">
        <v>592</v>
      </c>
      <c r="J483" s="331" t="s">
        <v>3125</v>
      </c>
      <c r="K483" s="331" t="s">
        <v>592</v>
      </c>
      <c r="L483" s="331" t="s">
        <v>3125</v>
      </c>
      <c r="M483" s="331" t="s">
        <v>592</v>
      </c>
      <c r="N483" s="331" t="s">
        <v>592</v>
      </c>
      <c r="O483" s="331" t="s">
        <v>592</v>
      </c>
      <c r="P483" s="331" t="s">
        <v>592</v>
      </c>
      <c r="Q483" s="331" t="s">
        <v>3125</v>
      </c>
      <c r="R483" s="331" t="s">
        <v>592</v>
      </c>
      <c r="S483" s="331" t="s">
        <v>3125</v>
      </c>
      <c r="T483" s="331" t="s">
        <v>3125</v>
      </c>
      <c r="U483" s="331">
        <v>1.6984600970478201</v>
      </c>
      <c r="V483" s="328" t="s">
        <v>188</v>
      </c>
      <c r="W483" s="331">
        <v>146.62879409508059</v>
      </c>
      <c r="X483" s="331">
        <v>161.75522535790259</v>
      </c>
      <c r="Y483" s="331">
        <v>9.0276703162196608</v>
      </c>
      <c r="Z483" s="331" t="s">
        <v>592</v>
      </c>
      <c r="AA483" s="331">
        <v>11.47912170919709</v>
      </c>
      <c r="AB483" s="331" t="s">
        <v>592</v>
      </c>
      <c r="AC483" s="331" t="s">
        <v>3125</v>
      </c>
      <c r="AD483" s="331" t="s">
        <v>592</v>
      </c>
      <c r="AE483" s="331" t="s">
        <v>592</v>
      </c>
      <c r="AF483" s="331">
        <v>3.5894286775586801</v>
      </c>
      <c r="AG483" s="328" t="s">
        <v>188</v>
      </c>
      <c r="AH483" s="331" t="s">
        <v>592</v>
      </c>
      <c r="AI483" s="331">
        <v>31.103247907929191</v>
      </c>
      <c r="AJ483" s="331">
        <v>28.530150025703989</v>
      </c>
    </row>
    <row r="484" spans="1:36" x14ac:dyDescent="0.3">
      <c r="A484" s="332" t="s">
        <v>649</v>
      </c>
      <c r="B484" s="331">
        <v>13.671467518190029</v>
      </c>
      <c r="C484" s="331">
        <v>0.90067774743551998</v>
      </c>
      <c r="D484" s="331">
        <v>1.9808273483516601</v>
      </c>
      <c r="E484" s="331" t="s">
        <v>522</v>
      </c>
      <c r="F484" s="331" t="s">
        <v>522</v>
      </c>
      <c r="G484" s="331" t="s">
        <v>522</v>
      </c>
      <c r="H484" s="331">
        <v>9.5065939709600006E-3</v>
      </c>
      <c r="I484" s="331" t="s">
        <v>522</v>
      </c>
      <c r="J484" s="331" t="s">
        <v>522</v>
      </c>
      <c r="K484" s="331" t="s">
        <v>522</v>
      </c>
      <c r="L484" s="331" t="s">
        <v>522</v>
      </c>
      <c r="M484" s="331" t="s">
        <v>522</v>
      </c>
      <c r="N484" s="331" t="s">
        <v>522</v>
      </c>
      <c r="O484" s="331" t="s">
        <v>522</v>
      </c>
      <c r="P484" s="331" t="s">
        <v>522</v>
      </c>
      <c r="Q484" s="331" t="s">
        <v>522</v>
      </c>
      <c r="R484" s="331" t="s">
        <v>522</v>
      </c>
      <c r="S484" s="331" t="s">
        <v>522</v>
      </c>
      <c r="T484" s="331" t="s">
        <v>522</v>
      </c>
      <c r="U484" s="331" t="s">
        <v>520</v>
      </c>
      <c r="V484" s="328" t="s">
        <v>188</v>
      </c>
      <c r="W484" s="331">
        <v>146.16040121254008</v>
      </c>
      <c r="X484" s="331">
        <v>161.67811829648733</v>
      </c>
      <c r="Y484" s="331">
        <v>8.9719417447910903</v>
      </c>
      <c r="Z484" s="331" t="s">
        <v>522</v>
      </c>
      <c r="AA484" s="331">
        <v>11.42114438969833</v>
      </c>
      <c r="AB484" s="331" t="s">
        <v>522</v>
      </c>
      <c r="AC484" s="331" t="s">
        <v>522</v>
      </c>
      <c r="AD484" s="331" t="s">
        <v>522</v>
      </c>
      <c r="AE484" s="331" t="s">
        <v>522</v>
      </c>
      <c r="AF484" s="331">
        <v>1.1055156889200001E-3</v>
      </c>
      <c r="AG484" s="328" t="s">
        <v>188</v>
      </c>
      <c r="AH484" s="331" t="s">
        <v>520</v>
      </c>
      <c r="AI484" s="331">
        <v>30.668042743204541</v>
      </c>
      <c r="AJ484" s="331">
        <v>28.530150025703989</v>
      </c>
    </row>
    <row r="485" spans="1:36" x14ac:dyDescent="0.3">
      <c r="A485" s="332" t="s">
        <v>650</v>
      </c>
      <c r="B485" s="331" t="s">
        <v>520</v>
      </c>
      <c r="C485" s="331" t="s">
        <v>520</v>
      </c>
      <c r="D485" s="331" t="s">
        <v>520</v>
      </c>
      <c r="E485" s="331" t="s">
        <v>520</v>
      </c>
      <c r="F485" s="331" t="s">
        <v>520</v>
      </c>
      <c r="G485" s="331" t="s">
        <v>520</v>
      </c>
      <c r="H485" s="331" t="s">
        <v>520</v>
      </c>
      <c r="I485" s="331" t="s">
        <v>520</v>
      </c>
      <c r="J485" s="331" t="s">
        <v>520</v>
      </c>
      <c r="K485" s="331" t="s">
        <v>520</v>
      </c>
      <c r="L485" s="331" t="s">
        <v>520</v>
      </c>
      <c r="M485" s="331" t="s">
        <v>520</v>
      </c>
      <c r="N485" s="331" t="s">
        <v>520</v>
      </c>
      <c r="O485" s="331" t="s">
        <v>520</v>
      </c>
      <c r="P485" s="331" t="s">
        <v>520</v>
      </c>
      <c r="Q485" s="331" t="s">
        <v>520</v>
      </c>
      <c r="R485" s="331" t="s">
        <v>520</v>
      </c>
      <c r="S485" s="331" t="s">
        <v>520</v>
      </c>
      <c r="T485" s="331" t="s">
        <v>520</v>
      </c>
      <c r="U485" s="331" t="s">
        <v>520</v>
      </c>
      <c r="V485" s="328" t="s">
        <v>188</v>
      </c>
      <c r="W485" s="331" t="s">
        <v>520</v>
      </c>
      <c r="X485" s="331" t="s">
        <v>520</v>
      </c>
      <c r="Y485" s="331" t="s">
        <v>520</v>
      </c>
      <c r="Z485" s="331" t="s">
        <v>520</v>
      </c>
      <c r="AA485" s="331" t="s">
        <v>520</v>
      </c>
      <c r="AB485" s="331" t="s">
        <v>520</v>
      </c>
      <c r="AC485" s="331" t="s">
        <v>520</v>
      </c>
      <c r="AD485" s="331" t="s">
        <v>520</v>
      </c>
      <c r="AE485" s="331" t="s">
        <v>520</v>
      </c>
      <c r="AF485" s="331" t="s">
        <v>520</v>
      </c>
      <c r="AG485" s="328" t="s">
        <v>188</v>
      </c>
      <c r="AH485" s="331" t="s">
        <v>520</v>
      </c>
      <c r="AI485" s="331" t="s">
        <v>520</v>
      </c>
      <c r="AJ485" s="331" t="s">
        <v>520</v>
      </c>
    </row>
    <row r="486" spans="1:36" x14ac:dyDescent="0.3">
      <c r="A486" s="332" t="s">
        <v>651</v>
      </c>
      <c r="B486" s="331">
        <v>6.9672162809399996E-3</v>
      </c>
      <c r="C486" s="331" t="s">
        <v>520</v>
      </c>
      <c r="D486" s="331" t="s">
        <v>520</v>
      </c>
      <c r="E486" s="331" t="s">
        <v>520</v>
      </c>
      <c r="F486" s="331" t="s">
        <v>520</v>
      </c>
      <c r="G486" s="331" t="s">
        <v>520</v>
      </c>
      <c r="H486" s="331" t="s">
        <v>520</v>
      </c>
      <c r="I486" s="331" t="s">
        <v>520</v>
      </c>
      <c r="J486" s="331" t="s">
        <v>520</v>
      </c>
      <c r="K486" s="331" t="s">
        <v>520</v>
      </c>
      <c r="L486" s="331" t="s">
        <v>520</v>
      </c>
      <c r="M486" s="331" t="s">
        <v>520</v>
      </c>
      <c r="N486" s="331" t="s">
        <v>520</v>
      </c>
      <c r="O486" s="331" t="s">
        <v>520</v>
      </c>
      <c r="P486" s="331" t="s">
        <v>520</v>
      </c>
      <c r="Q486" s="331" t="s">
        <v>520</v>
      </c>
      <c r="R486" s="331" t="s">
        <v>520</v>
      </c>
      <c r="S486" s="331" t="s">
        <v>520</v>
      </c>
      <c r="T486" s="331" t="s">
        <v>520</v>
      </c>
      <c r="U486" s="331" t="s">
        <v>520</v>
      </c>
      <c r="V486" s="328" t="s">
        <v>188</v>
      </c>
      <c r="W486" s="331">
        <v>0.41169288254051001</v>
      </c>
      <c r="X486" s="331">
        <v>5.0035632843830002E-2</v>
      </c>
      <c r="Y486" s="331" t="s">
        <v>520</v>
      </c>
      <c r="Z486" s="331" t="s">
        <v>520</v>
      </c>
      <c r="AA486" s="331">
        <v>3.9874807019000001E-4</v>
      </c>
      <c r="AB486" s="331" t="s">
        <v>520</v>
      </c>
      <c r="AC486" s="331" t="s">
        <v>520</v>
      </c>
      <c r="AD486" s="331" t="s">
        <v>520</v>
      </c>
      <c r="AE486" s="331" t="s">
        <v>520</v>
      </c>
      <c r="AF486" s="331" t="s">
        <v>520</v>
      </c>
      <c r="AG486" s="328" t="s">
        <v>188</v>
      </c>
      <c r="AH486" s="331" t="s">
        <v>520</v>
      </c>
      <c r="AI486" s="331" t="s">
        <v>522</v>
      </c>
      <c r="AJ486" s="331" t="s">
        <v>522</v>
      </c>
    </row>
    <row r="487" spans="1:36" x14ac:dyDescent="0.3">
      <c r="A487" s="332" t="s">
        <v>652</v>
      </c>
      <c r="B487" s="331" t="s">
        <v>495</v>
      </c>
      <c r="C487" s="331" t="s">
        <v>495</v>
      </c>
      <c r="D487" s="331" t="s">
        <v>522</v>
      </c>
      <c r="E487" s="331" t="s">
        <v>495</v>
      </c>
      <c r="F487" s="331" t="s">
        <v>495</v>
      </c>
      <c r="G487" s="331" t="s">
        <v>522</v>
      </c>
      <c r="H487" s="331" t="s">
        <v>495</v>
      </c>
      <c r="I487" s="331" t="s">
        <v>522</v>
      </c>
      <c r="J487" s="331" t="s">
        <v>495</v>
      </c>
      <c r="K487" s="331" t="s">
        <v>522</v>
      </c>
      <c r="L487" s="331" t="s">
        <v>495</v>
      </c>
      <c r="M487" s="331" t="s">
        <v>522</v>
      </c>
      <c r="N487" s="331" t="s">
        <v>522</v>
      </c>
      <c r="O487" s="331" t="s">
        <v>522</v>
      </c>
      <c r="P487" s="331" t="s">
        <v>522</v>
      </c>
      <c r="Q487" s="331" t="s">
        <v>495</v>
      </c>
      <c r="R487" s="331" t="s">
        <v>522</v>
      </c>
      <c r="S487" s="331" t="s">
        <v>495</v>
      </c>
      <c r="T487" s="331" t="s">
        <v>495</v>
      </c>
      <c r="U487" s="331">
        <v>1.6984600970478201</v>
      </c>
      <c r="V487" s="328" t="s">
        <v>188</v>
      </c>
      <c r="W487" s="331" t="s">
        <v>495</v>
      </c>
      <c r="X487" s="331" t="s">
        <v>495</v>
      </c>
      <c r="Y487" s="331" t="s">
        <v>522</v>
      </c>
      <c r="Z487" s="331" t="s">
        <v>522</v>
      </c>
      <c r="AA487" s="331" t="s">
        <v>522</v>
      </c>
      <c r="AB487" s="331" t="s">
        <v>522</v>
      </c>
      <c r="AC487" s="331" t="s">
        <v>495</v>
      </c>
      <c r="AD487" s="331" t="s">
        <v>522</v>
      </c>
      <c r="AE487" s="331" t="s">
        <v>522</v>
      </c>
      <c r="AF487" s="331">
        <v>3.5883231618697602</v>
      </c>
      <c r="AG487" s="328" t="s">
        <v>188</v>
      </c>
      <c r="AH487" s="331" t="s">
        <v>522</v>
      </c>
      <c r="AI487" s="331">
        <v>0.34476945043893997</v>
      </c>
      <c r="AJ487" s="331" t="s">
        <v>522</v>
      </c>
    </row>
    <row r="488" spans="1:36" x14ac:dyDescent="0.3">
      <c r="A488" s="332" t="s">
        <v>3400</v>
      </c>
      <c r="B488" s="331">
        <v>6.3071428571400004E-3</v>
      </c>
      <c r="C488" s="331" t="s">
        <v>520</v>
      </c>
      <c r="D488" s="331" t="s">
        <v>520</v>
      </c>
      <c r="E488" s="331" t="s">
        <v>520</v>
      </c>
      <c r="F488" s="331" t="s">
        <v>520</v>
      </c>
      <c r="G488" s="331" t="s">
        <v>520</v>
      </c>
      <c r="H488" s="331" t="s">
        <v>520</v>
      </c>
      <c r="I488" s="331" t="s">
        <v>520</v>
      </c>
      <c r="J488" s="331" t="s">
        <v>520</v>
      </c>
      <c r="K488" s="331" t="s">
        <v>520</v>
      </c>
      <c r="L488" s="331" t="s">
        <v>520</v>
      </c>
      <c r="M488" s="331" t="s">
        <v>520</v>
      </c>
      <c r="N488" s="331" t="s">
        <v>520</v>
      </c>
      <c r="O488" s="331" t="s">
        <v>520</v>
      </c>
      <c r="P488" s="331" t="s">
        <v>520</v>
      </c>
      <c r="Q488" s="331" t="s">
        <v>520</v>
      </c>
      <c r="R488" s="331" t="s">
        <v>520</v>
      </c>
      <c r="S488" s="331" t="s">
        <v>520</v>
      </c>
      <c r="T488" s="331" t="s">
        <v>520</v>
      </c>
      <c r="U488" s="331" t="s">
        <v>520</v>
      </c>
      <c r="V488" s="328" t="s">
        <v>188</v>
      </c>
      <c r="W488" s="331">
        <v>5.67E-2</v>
      </c>
      <c r="X488" s="331">
        <v>2.7071428571429999E-2</v>
      </c>
      <c r="Y488" s="331">
        <v>5.5728571428570003E-2</v>
      </c>
      <c r="Z488" s="331" t="s">
        <v>520</v>
      </c>
      <c r="AA488" s="331">
        <v>5.7578571428570001E-2</v>
      </c>
      <c r="AB488" s="331" t="s">
        <v>520</v>
      </c>
      <c r="AC488" s="331" t="s">
        <v>520</v>
      </c>
      <c r="AD488" s="331" t="s">
        <v>520</v>
      </c>
      <c r="AE488" s="331" t="s">
        <v>520</v>
      </c>
      <c r="AF488" s="331" t="s">
        <v>520</v>
      </c>
      <c r="AG488" s="328" t="s">
        <v>188</v>
      </c>
      <c r="AH488" s="331" t="s">
        <v>520</v>
      </c>
      <c r="AI488" s="331">
        <v>9.0435714285709998E-2</v>
      </c>
      <c r="AJ488" s="331" t="s">
        <v>522</v>
      </c>
    </row>
    <row r="489" spans="1:36" x14ac:dyDescent="0.3">
      <c r="A489" s="307" t="s">
        <v>653</v>
      </c>
      <c r="B489" s="331">
        <v>0.88</v>
      </c>
      <c r="C489" s="331">
        <v>397.31929999999994</v>
      </c>
      <c r="D489" s="331" t="s">
        <v>493</v>
      </c>
      <c r="E489" s="331" t="s">
        <v>493</v>
      </c>
      <c r="F489" s="331">
        <v>2580.4423400000001</v>
      </c>
      <c r="G489" s="331" t="s">
        <v>493</v>
      </c>
      <c r="H489" s="331">
        <v>56029.155100000004</v>
      </c>
      <c r="I489" s="331" t="s">
        <v>493</v>
      </c>
      <c r="J489" s="331">
        <v>2093.1475999999998</v>
      </c>
      <c r="K489" s="331" t="s">
        <v>493</v>
      </c>
      <c r="L489" s="331" t="s">
        <v>493</v>
      </c>
      <c r="M489" s="331" t="s">
        <v>493</v>
      </c>
      <c r="N489" s="331" t="s">
        <v>493</v>
      </c>
      <c r="O489" s="331" t="s">
        <v>493</v>
      </c>
      <c r="P489" s="331" t="s">
        <v>493</v>
      </c>
      <c r="Q489" s="331">
        <v>117.73</v>
      </c>
      <c r="R489" s="331" t="s">
        <v>493</v>
      </c>
      <c r="S489" s="331" t="s">
        <v>493</v>
      </c>
      <c r="T489" s="331" t="s">
        <v>493</v>
      </c>
      <c r="U489" s="331" t="s">
        <v>493</v>
      </c>
      <c r="V489" s="328" t="s">
        <v>188</v>
      </c>
      <c r="W489" s="331">
        <v>2.1192000000000002</v>
      </c>
      <c r="X489" s="331" t="s">
        <v>493</v>
      </c>
      <c r="Y489" s="331" t="s">
        <v>493</v>
      </c>
      <c r="Z489" s="331" t="s">
        <v>493</v>
      </c>
      <c r="AA489" s="331" t="s">
        <v>493</v>
      </c>
      <c r="AB489" s="331" t="s">
        <v>493</v>
      </c>
      <c r="AC489" s="331" t="s">
        <v>493</v>
      </c>
      <c r="AD489" s="331" t="s">
        <v>493</v>
      </c>
      <c r="AE489" s="331" t="s">
        <v>493</v>
      </c>
      <c r="AF489" s="331" t="s">
        <v>493</v>
      </c>
      <c r="AG489" s="328" t="s">
        <v>188</v>
      </c>
      <c r="AH489" s="331">
        <v>7230.4559117999988</v>
      </c>
      <c r="AI489" s="331" t="s">
        <v>493</v>
      </c>
      <c r="AJ489" s="331" t="s">
        <v>493</v>
      </c>
    </row>
    <row r="490" spans="1:36" x14ac:dyDescent="0.3">
      <c r="A490" s="332" t="s">
        <v>654</v>
      </c>
      <c r="B490" s="331" t="s">
        <v>493</v>
      </c>
      <c r="C490" s="331">
        <v>397.31929999999994</v>
      </c>
      <c r="D490" s="331" t="s">
        <v>493</v>
      </c>
      <c r="E490" s="331" t="s">
        <v>493</v>
      </c>
      <c r="F490" s="331">
        <v>2549.6623400000003</v>
      </c>
      <c r="G490" s="331" t="s">
        <v>493</v>
      </c>
      <c r="H490" s="331">
        <v>49042.255100000002</v>
      </c>
      <c r="I490" s="331" t="s">
        <v>493</v>
      </c>
      <c r="J490" s="331">
        <v>2093.1475999999998</v>
      </c>
      <c r="K490" s="331" t="s">
        <v>493</v>
      </c>
      <c r="L490" s="331" t="s">
        <v>493</v>
      </c>
      <c r="M490" s="331" t="s">
        <v>493</v>
      </c>
      <c r="N490" s="331" t="s">
        <v>493</v>
      </c>
      <c r="O490" s="331" t="s">
        <v>493</v>
      </c>
      <c r="P490" s="331" t="s">
        <v>493</v>
      </c>
      <c r="Q490" s="331">
        <v>99.33</v>
      </c>
      <c r="R490" s="331" t="s">
        <v>493</v>
      </c>
      <c r="S490" s="331" t="s">
        <v>493</v>
      </c>
      <c r="T490" s="331" t="s">
        <v>493</v>
      </c>
      <c r="U490" s="331" t="s">
        <v>493</v>
      </c>
      <c r="V490" s="328" t="s">
        <v>188</v>
      </c>
      <c r="W490" s="331" t="s">
        <v>493</v>
      </c>
      <c r="X490" s="331" t="s">
        <v>493</v>
      </c>
      <c r="Y490" s="331" t="s">
        <v>493</v>
      </c>
      <c r="Z490" s="331" t="s">
        <v>493</v>
      </c>
      <c r="AA490" s="331" t="s">
        <v>493</v>
      </c>
      <c r="AB490" s="331" t="s">
        <v>493</v>
      </c>
      <c r="AC490" s="331" t="s">
        <v>493</v>
      </c>
      <c r="AD490" s="331" t="s">
        <v>493</v>
      </c>
      <c r="AE490" s="331" t="s">
        <v>493</v>
      </c>
      <c r="AF490" s="331" t="s">
        <v>493</v>
      </c>
      <c r="AG490" s="328" t="s">
        <v>188</v>
      </c>
      <c r="AH490" s="331" t="s">
        <v>3126</v>
      </c>
      <c r="AI490" s="331" t="s">
        <v>493</v>
      </c>
      <c r="AJ490" s="331" t="s">
        <v>493</v>
      </c>
    </row>
    <row r="491" spans="1:36" x14ac:dyDescent="0.3">
      <c r="A491" s="332" t="s">
        <v>655</v>
      </c>
      <c r="B491" s="331" t="s">
        <v>493</v>
      </c>
      <c r="C491" s="331" t="s">
        <v>493</v>
      </c>
      <c r="D491" s="331" t="s">
        <v>493</v>
      </c>
      <c r="E491" s="331" t="s">
        <v>493</v>
      </c>
      <c r="F491" s="331" t="s">
        <v>493</v>
      </c>
      <c r="G491" s="331" t="s">
        <v>493</v>
      </c>
      <c r="H491" s="331">
        <v>1019.4</v>
      </c>
      <c r="I491" s="331" t="s">
        <v>493</v>
      </c>
      <c r="J491" s="331" t="s">
        <v>493</v>
      </c>
      <c r="K491" s="331" t="s">
        <v>493</v>
      </c>
      <c r="L491" s="331" t="s">
        <v>493</v>
      </c>
      <c r="M491" s="331" t="s">
        <v>493</v>
      </c>
      <c r="N491" s="331" t="s">
        <v>493</v>
      </c>
      <c r="O491" s="331" t="s">
        <v>493</v>
      </c>
      <c r="P491" s="331" t="s">
        <v>493</v>
      </c>
      <c r="Q491" s="331" t="s">
        <v>493</v>
      </c>
      <c r="R491" s="331" t="s">
        <v>493</v>
      </c>
      <c r="S491" s="331" t="s">
        <v>493</v>
      </c>
      <c r="T491" s="331" t="s">
        <v>493</v>
      </c>
      <c r="U491" s="331" t="s">
        <v>493</v>
      </c>
      <c r="V491" s="328" t="s">
        <v>188</v>
      </c>
      <c r="W491" s="331" t="s">
        <v>493</v>
      </c>
      <c r="X491" s="331" t="s">
        <v>493</v>
      </c>
      <c r="Y491" s="331" t="s">
        <v>493</v>
      </c>
      <c r="Z491" s="331" t="s">
        <v>493</v>
      </c>
      <c r="AA491" s="331" t="s">
        <v>493</v>
      </c>
      <c r="AB491" s="331" t="s">
        <v>493</v>
      </c>
      <c r="AC491" s="331" t="s">
        <v>493</v>
      </c>
      <c r="AD491" s="331" t="s">
        <v>493</v>
      </c>
      <c r="AE491" s="331" t="s">
        <v>493</v>
      </c>
      <c r="AF491" s="331" t="s">
        <v>493</v>
      </c>
      <c r="AG491" s="328" t="s">
        <v>188</v>
      </c>
      <c r="AH491" s="331" t="s">
        <v>495</v>
      </c>
      <c r="AI491" s="331" t="s">
        <v>493</v>
      </c>
      <c r="AJ491" s="331" t="s">
        <v>493</v>
      </c>
    </row>
    <row r="492" spans="1:36" x14ac:dyDescent="0.3">
      <c r="A492" s="332" t="s">
        <v>656</v>
      </c>
      <c r="B492" s="331">
        <v>0.88</v>
      </c>
      <c r="C492" s="331" t="s">
        <v>493</v>
      </c>
      <c r="D492" s="331" t="s">
        <v>493</v>
      </c>
      <c r="E492" s="331" t="s">
        <v>493</v>
      </c>
      <c r="F492" s="331">
        <v>30.78</v>
      </c>
      <c r="G492" s="331" t="s">
        <v>493</v>
      </c>
      <c r="H492" s="331" t="s">
        <v>493</v>
      </c>
      <c r="I492" s="331" t="s">
        <v>493</v>
      </c>
      <c r="J492" s="331" t="s">
        <v>493</v>
      </c>
      <c r="K492" s="331" t="s">
        <v>493</v>
      </c>
      <c r="L492" s="331" t="s">
        <v>493</v>
      </c>
      <c r="M492" s="331" t="s">
        <v>493</v>
      </c>
      <c r="N492" s="331" t="s">
        <v>493</v>
      </c>
      <c r="O492" s="331" t="s">
        <v>493</v>
      </c>
      <c r="P492" s="331" t="s">
        <v>493</v>
      </c>
      <c r="Q492" s="331">
        <v>18.399999999999999</v>
      </c>
      <c r="R492" s="331" t="s">
        <v>493</v>
      </c>
      <c r="S492" s="331" t="s">
        <v>493</v>
      </c>
      <c r="T492" s="331" t="s">
        <v>493</v>
      </c>
      <c r="U492" s="331" t="s">
        <v>493</v>
      </c>
      <c r="V492" s="328" t="s">
        <v>188</v>
      </c>
      <c r="W492" s="331">
        <v>2.1192000000000002</v>
      </c>
      <c r="X492" s="331" t="s">
        <v>493</v>
      </c>
      <c r="Y492" s="331" t="s">
        <v>493</v>
      </c>
      <c r="Z492" s="331" t="s">
        <v>493</v>
      </c>
      <c r="AA492" s="331" t="s">
        <v>493</v>
      </c>
      <c r="AB492" s="331" t="s">
        <v>493</v>
      </c>
      <c r="AC492" s="331" t="s">
        <v>493</v>
      </c>
      <c r="AD492" s="331" t="s">
        <v>493</v>
      </c>
      <c r="AE492" s="331" t="s">
        <v>493</v>
      </c>
      <c r="AF492" s="331" t="s">
        <v>493</v>
      </c>
      <c r="AG492" s="328" t="s">
        <v>188</v>
      </c>
      <c r="AH492" s="331" t="s">
        <v>495</v>
      </c>
      <c r="AI492" s="331" t="s">
        <v>493</v>
      </c>
      <c r="AJ492" s="331" t="s">
        <v>493</v>
      </c>
    </row>
    <row r="493" spans="1:36" x14ac:dyDescent="0.3">
      <c r="A493" s="332" t="s">
        <v>657</v>
      </c>
      <c r="B493" s="331" t="s">
        <v>493</v>
      </c>
      <c r="C493" s="331" t="s">
        <v>493</v>
      </c>
      <c r="D493" s="331" t="s">
        <v>493</v>
      </c>
      <c r="E493" s="331" t="s">
        <v>493</v>
      </c>
      <c r="F493" s="331" t="s">
        <v>493</v>
      </c>
      <c r="G493" s="331" t="s">
        <v>493</v>
      </c>
      <c r="H493" s="331">
        <v>5967.5</v>
      </c>
      <c r="I493" s="331" t="s">
        <v>493</v>
      </c>
      <c r="J493" s="331" t="s">
        <v>493</v>
      </c>
      <c r="K493" s="331" t="s">
        <v>493</v>
      </c>
      <c r="L493" s="331" t="s">
        <v>493</v>
      </c>
      <c r="M493" s="331" t="s">
        <v>493</v>
      </c>
      <c r="N493" s="331" t="s">
        <v>493</v>
      </c>
      <c r="O493" s="331" t="s">
        <v>493</v>
      </c>
      <c r="P493" s="331" t="s">
        <v>493</v>
      </c>
      <c r="Q493" s="331" t="s">
        <v>493</v>
      </c>
      <c r="R493" s="331" t="s">
        <v>493</v>
      </c>
      <c r="S493" s="331" t="s">
        <v>493</v>
      </c>
      <c r="T493" s="331" t="s">
        <v>493</v>
      </c>
      <c r="U493" s="331" t="s">
        <v>493</v>
      </c>
      <c r="V493" s="328" t="s">
        <v>188</v>
      </c>
      <c r="W493" s="331" t="s">
        <v>493</v>
      </c>
      <c r="X493" s="331" t="s">
        <v>493</v>
      </c>
      <c r="Y493" s="331" t="s">
        <v>493</v>
      </c>
      <c r="Z493" s="331" t="s">
        <v>493</v>
      </c>
      <c r="AA493" s="331" t="s">
        <v>493</v>
      </c>
      <c r="AB493" s="331" t="s">
        <v>493</v>
      </c>
      <c r="AC493" s="331" t="s">
        <v>493</v>
      </c>
      <c r="AD493" s="331" t="s">
        <v>493</v>
      </c>
      <c r="AE493" s="331" t="s">
        <v>493</v>
      </c>
      <c r="AF493" s="331" t="s">
        <v>493</v>
      </c>
      <c r="AG493" s="328" t="s">
        <v>188</v>
      </c>
      <c r="AH493" s="331" t="s">
        <v>567</v>
      </c>
      <c r="AI493" s="331" t="s">
        <v>493</v>
      </c>
      <c r="AJ493" s="331" t="s">
        <v>493</v>
      </c>
    </row>
    <row r="494" spans="1:36" x14ac:dyDescent="0.3">
      <c r="A494" s="332" t="s">
        <v>658</v>
      </c>
      <c r="B494" s="331" t="s">
        <v>493</v>
      </c>
      <c r="C494" s="331" t="s">
        <v>493</v>
      </c>
      <c r="D494" s="331" t="s">
        <v>493</v>
      </c>
      <c r="E494" s="331" t="s">
        <v>493</v>
      </c>
      <c r="F494" s="331" t="s">
        <v>493</v>
      </c>
      <c r="G494" s="331" t="s">
        <v>493</v>
      </c>
      <c r="H494" s="331" t="s">
        <v>493</v>
      </c>
      <c r="I494" s="331" t="s">
        <v>493</v>
      </c>
      <c r="J494" s="331" t="s">
        <v>493</v>
      </c>
      <c r="K494" s="331" t="s">
        <v>493</v>
      </c>
      <c r="L494" s="331" t="s">
        <v>493</v>
      </c>
      <c r="M494" s="331" t="s">
        <v>493</v>
      </c>
      <c r="N494" s="331" t="s">
        <v>493</v>
      </c>
      <c r="O494" s="331" t="s">
        <v>493</v>
      </c>
      <c r="P494" s="331" t="s">
        <v>493</v>
      </c>
      <c r="Q494" s="331" t="s">
        <v>493</v>
      </c>
      <c r="R494" s="331" t="s">
        <v>493</v>
      </c>
      <c r="S494" s="331" t="s">
        <v>493</v>
      </c>
      <c r="T494" s="331" t="s">
        <v>493</v>
      </c>
      <c r="U494" s="331" t="s">
        <v>493</v>
      </c>
      <c r="V494" s="328" t="s">
        <v>188</v>
      </c>
      <c r="W494" s="331" t="s">
        <v>493</v>
      </c>
      <c r="X494" s="331" t="s">
        <v>493</v>
      </c>
      <c r="Y494" s="331" t="s">
        <v>493</v>
      </c>
      <c r="Z494" s="331" t="s">
        <v>493</v>
      </c>
      <c r="AA494" s="331" t="s">
        <v>493</v>
      </c>
      <c r="AB494" s="331" t="s">
        <v>493</v>
      </c>
      <c r="AC494" s="331" t="s">
        <v>493</v>
      </c>
      <c r="AD494" s="331" t="s">
        <v>493</v>
      </c>
      <c r="AE494" s="331" t="s">
        <v>493</v>
      </c>
      <c r="AF494" s="331" t="s">
        <v>493</v>
      </c>
      <c r="AG494" s="328" t="s">
        <v>188</v>
      </c>
      <c r="AH494" s="331" t="s">
        <v>495</v>
      </c>
      <c r="AI494" s="331" t="s">
        <v>493</v>
      </c>
      <c r="AJ494" s="331" t="s">
        <v>493</v>
      </c>
    </row>
    <row r="495" spans="1:36" x14ac:dyDescent="0.3">
      <c r="A495" s="334" t="s">
        <v>659</v>
      </c>
      <c r="B495" s="331" t="s">
        <v>493</v>
      </c>
      <c r="C495" s="331" t="s">
        <v>493</v>
      </c>
      <c r="D495" s="331" t="s">
        <v>493</v>
      </c>
      <c r="E495" s="331" t="s">
        <v>493</v>
      </c>
      <c r="F495" s="331" t="s">
        <v>493</v>
      </c>
      <c r="G495" s="331" t="s">
        <v>493</v>
      </c>
      <c r="H495" s="331" t="s">
        <v>493</v>
      </c>
      <c r="I495" s="331" t="s">
        <v>493</v>
      </c>
      <c r="J495" s="331" t="s">
        <v>493</v>
      </c>
      <c r="K495" s="331" t="s">
        <v>493</v>
      </c>
      <c r="L495" s="331" t="s">
        <v>493</v>
      </c>
      <c r="M495" s="331" t="s">
        <v>493</v>
      </c>
      <c r="N495" s="331" t="s">
        <v>493</v>
      </c>
      <c r="O495" s="331" t="s">
        <v>493</v>
      </c>
      <c r="P495" s="331" t="s">
        <v>493</v>
      </c>
      <c r="Q495" s="331" t="s">
        <v>493</v>
      </c>
      <c r="R495" s="331" t="s">
        <v>493</v>
      </c>
      <c r="S495" s="331" t="s">
        <v>493</v>
      </c>
      <c r="T495" s="331" t="s">
        <v>493</v>
      </c>
      <c r="U495" s="331" t="s">
        <v>493</v>
      </c>
      <c r="V495" s="328" t="s">
        <v>188</v>
      </c>
      <c r="W495" s="331" t="s">
        <v>493</v>
      </c>
      <c r="X495" s="331" t="s">
        <v>493</v>
      </c>
      <c r="Y495" s="331" t="s">
        <v>493</v>
      </c>
      <c r="Z495" s="331" t="s">
        <v>493</v>
      </c>
      <c r="AA495" s="331" t="s">
        <v>493</v>
      </c>
      <c r="AB495" s="331" t="s">
        <v>493</v>
      </c>
      <c r="AC495" s="331" t="s">
        <v>493</v>
      </c>
      <c r="AD495" s="331" t="s">
        <v>493</v>
      </c>
      <c r="AE495" s="331" t="s">
        <v>493</v>
      </c>
      <c r="AF495" s="331" t="s">
        <v>493</v>
      </c>
      <c r="AG495" s="328" t="s">
        <v>188</v>
      </c>
      <c r="AH495" s="331">
        <v>7230.4559117999988</v>
      </c>
      <c r="AI495" s="331" t="s">
        <v>493</v>
      </c>
      <c r="AJ495" s="331" t="s">
        <v>493</v>
      </c>
    </row>
    <row r="496" spans="1:36" x14ac:dyDescent="0.3">
      <c r="A496" s="336" t="s">
        <v>660</v>
      </c>
      <c r="B496" s="331" t="s">
        <v>493</v>
      </c>
      <c r="C496" s="331" t="s">
        <v>493</v>
      </c>
      <c r="D496" s="331" t="s">
        <v>493</v>
      </c>
      <c r="E496" s="331" t="s">
        <v>493</v>
      </c>
      <c r="F496" s="331" t="s">
        <v>493</v>
      </c>
      <c r="G496" s="331" t="s">
        <v>493</v>
      </c>
      <c r="H496" s="331" t="s">
        <v>493</v>
      </c>
      <c r="I496" s="331" t="s">
        <v>493</v>
      </c>
      <c r="J496" s="331" t="s">
        <v>493</v>
      </c>
      <c r="K496" s="331" t="s">
        <v>493</v>
      </c>
      <c r="L496" s="331" t="s">
        <v>493</v>
      </c>
      <c r="M496" s="331" t="s">
        <v>493</v>
      </c>
      <c r="N496" s="331" t="s">
        <v>493</v>
      </c>
      <c r="O496" s="331" t="s">
        <v>493</v>
      </c>
      <c r="P496" s="331" t="s">
        <v>493</v>
      </c>
      <c r="Q496" s="331" t="s">
        <v>493</v>
      </c>
      <c r="R496" s="331" t="s">
        <v>493</v>
      </c>
      <c r="S496" s="331" t="s">
        <v>493</v>
      </c>
      <c r="T496" s="331" t="s">
        <v>493</v>
      </c>
      <c r="U496" s="331" t="s">
        <v>493</v>
      </c>
      <c r="V496" s="328" t="s">
        <v>188</v>
      </c>
      <c r="W496" s="331">
        <v>0.31825058820208002</v>
      </c>
      <c r="X496" s="331" t="s">
        <v>493</v>
      </c>
      <c r="Y496" s="331" t="s">
        <v>493</v>
      </c>
      <c r="Z496" s="331" t="s">
        <v>493</v>
      </c>
      <c r="AA496" s="331" t="s">
        <v>493</v>
      </c>
      <c r="AB496" s="331" t="s">
        <v>493</v>
      </c>
      <c r="AC496" s="331" t="s">
        <v>493</v>
      </c>
      <c r="AD496" s="331" t="s">
        <v>493</v>
      </c>
      <c r="AE496" s="331" t="s">
        <v>493</v>
      </c>
      <c r="AF496" s="331" t="s">
        <v>493</v>
      </c>
      <c r="AG496" s="328" t="s">
        <v>188</v>
      </c>
      <c r="AH496" s="331" t="s">
        <v>493</v>
      </c>
      <c r="AI496" s="331">
        <v>366.18901378629999</v>
      </c>
      <c r="AJ496" s="331" t="s">
        <v>493</v>
      </c>
    </row>
    <row r="497" spans="1:36" x14ac:dyDescent="0.3">
      <c r="A497" s="332" t="s">
        <v>661</v>
      </c>
      <c r="B497" s="331" t="s">
        <v>493</v>
      </c>
      <c r="C497" s="331" t="s">
        <v>493</v>
      </c>
      <c r="D497" s="331" t="s">
        <v>493</v>
      </c>
      <c r="E497" s="331" t="s">
        <v>493</v>
      </c>
      <c r="F497" s="331" t="s">
        <v>493</v>
      </c>
      <c r="G497" s="331" t="s">
        <v>493</v>
      </c>
      <c r="H497" s="331" t="s">
        <v>493</v>
      </c>
      <c r="I497" s="331" t="s">
        <v>493</v>
      </c>
      <c r="J497" s="331" t="s">
        <v>493</v>
      </c>
      <c r="K497" s="331" t="s">
        <v>493</v>
      </c>
      <c r="L497" s="331" t="s">
        <v>493</v>
      </c>
      <c r="M497" s="331" t="s">
        <v>493</v>
      </c>
      <c r="N497" s="331" t="s">
        <v>493</v>
      </c>
      <c r="O497" s="331" t="s">
        <v>493</v>
      </c>
      <c r="P497" s="331" t="s">
        <v>493</v>
      </c>
      <c r="Q497" s="331" t="s">
        <v>493</v>
      </c>
      <c r="R497" s="331" t="s">
        <v>493</v>
      </c>
      <c r="S497" s="331" t="s">
        <v>493</v>
      </c>
      <c r="T497" s="331" t="s">
        <v>493</v>
      </c>
      <c r="U497" s="331" t="s">
        <v>493</v>
      </c>
      <c r="V497" s="328" t="s">
        <v>188</v>
      </c>
      <c r="W497" s="331">
        <v>0.31825058820208002</v>
      </c>
      <c r="X497" s="331" t="s">
        <v>493</v>
      </c>
      <c r="Y497" s="331" t="s">
        <v>493</v>
      </c>
      <c r="Z497" s="331" t="s">
        <v>493</v>
      </c>
      <c r="AA497" s="331" t="s">
        <v>493</v>
      </c>
      <c r="AB497" s="331" t="s">
        <v>493</v>
      </c>
      <c r="AC497" s="331" t="s">
        <v>493</v>
      </c>
      <c r="AD497" s="331" t="s">
        <v>493</v>
      </c>
      <c r="AE497" s="331" t="s">
        <v>493</v>
      </c>
      <c r="AF497" s="331" t="s">
        <v>493</v>
      </c>
      <c r="AG497" s="328" t="s">
        <v>188</v>
      </c>
      <c r="AH497" s="331" t="s">
        <v>493</v>
      </c>
      <c r="AI497" s="331">
        <v>366.18901378630005</v>
      </c>
      <c r="AJ497" s="331" t="s">
        <v>493</v>
      </c>
    </row>
    <row r="498" spans="1:36" x14ac:dyDescent="0.3">
      <c r="A498" s="332" t="s">
        <v>3401</v>
      </c>
      <c r="B498" s="328" t="s">
        <v>188</v>
      </c>
      <c r="C498" s="328" t="s">
        <v>188</v>
      </c>
      <c r="D498" s="328" t="s">
        <v>188</v>
      </c>
      <c r="E498" s="328" t="s">
        <v>188</v>
      </c>
      <c r="F498" s="328" t="s">
        <v>188</v>
      </c>
      <c r="G498" s="328" t="s">
        <v>188</v>
      </c>
      <c r="H498" s="328" t="s">
        <v>188</v>
      </c>
      <c r="I498" s="328" t="s">
        <v>188</v>
      </c>
      <c r="J498" s="328" t="s">
        <v>188</v>
      </c>
      <c r="K498" s="328" t="s">
        <v>188</v>
      </c>
      <c r="L498" s="328" t="s">
        <v>188</v>
      </c>
      <c r="M498" s="328" t="s">
        <v>188</v>
      </c>
      <c r="N498" s="328" t="s">
        <v>188</v>
      </c>
      <c r="O498" s="328" t="s">
        <v>188</v>
      </c>
      <c r="P498" s="328" t="s">
        <v>188</v>
      </c>
      <c r="Q498" s="328" t="s">
        <v>188</v>
      </c>
      <c r="R498" s="328" t="s">
        <v>188</v>
      </c>
      <c r="S498" s="328" t="s">
        <v>188</v>
      </c>
      <c r="T498" s="328" t="s">
        <v>188</v>
      </c>
      <c r="U498" s="328" t="s">
        <v>188</v>
      </c>
      <c r="V498" s="328" t="s">
        <v>188</v>
      </c>
      <c r="W498" s="331" t="s">
        <v>493</v>
      </c>
      <c r="X498" s="331" t="s">
        <v>493</v>
      </c>
      <c r="Y498" s="331" t="s">
        <v>493</v>
      </c>
      <c r="Z498" s="331" t="s">
        <v>493</v>
      </c>
      <c r="AA498" s="331" t="s">
        <v>493</v>
      </c>
      <c r="AB498" s="331" t="s">
        <v>493</v>
      </c>
      <c r="AC498" s="331" t="s">
        <v>493</v>
      </c>
      <c r="AD498" s="331" t="s">
        <v>493</v>
      </c>
      <c r="AE498" s="331" t="s">
        <v>493</v>
      </c>
      <c r="AF498" s="331" t="s">
        <v>493</v>
      </c>
      <c r="AG498" s="328" t="s">
        <v>188</v>
      </c>
      <c r="AH498" s="328" t="s">
        <v>188</v>
      </c>
      <c r="AI498" s="331" t="s">
        <v>520</v>
      </c>
      <c r="AJ498" s="328" t="s">
        <v>188</v>
      </c>
    </row>
    <row r="499" spans="1:36" x14ac:dyDescent="0.3">
      <c r="A499" s="332" t="s">
        <v>662</v>
      </c>
      <c r="B499" s="331" t="s">
        <v>493</v>
      </c>
      <c r="C499" s="331" t="s">
        <v>493</v>
      </c>
      <c r="D499" s="331" t="s">
        <v>493</v>
      </c>
      <c r="E499" s="331" t="s">
        <v>493</v>
      </c>
      <c r="F499" s="331" t="s">
        <v>493</v>
      </c>
      <c r="G499" s="331" t="s">
        <v>493</v>
      </c>
      <c r="H499" s="331" t="s">
        <v>493</v>
      </c>
      <c r="I499" s="331" t="s">
        <v>493</v>
      </c>
      <c r="J499" s="331" t="s">
        <v>493</v>
      </c>
      <c r="K499" s="331" t="s">
        <v>493</v>
      </c>
      <c r="L499" s="331" t="s">
        <v>493</v>
      </c>
      <c r="M499" s="331" t="s">
        <v>493</v>
      </c>
      <c r="N499" s="331" t="s">
        <v>493</v>
      </c>
      <c r="O499" s="331" t="s">
        <v>493</v>
      </c>
      <c r="P499" s="331" t="s">
        <v>493</v>
      </c>
      <c r="Q499" s="331" t="s">
        <v>493</v>
      </c>
      <c r="R499" s="331" t="s">
        <v>493</v>
      </c>
      <c r="S499" s="331" t="s">
        <v>493</v>
      </c>
      <c r="T499" s="331" t="s">
        <v>493</v>
      </c>
      <c r="U499" s="331" t="s">
        <v>493</v>
      </c>
      <c r="V499" s="328" t="s">
        <v>188</v>
      </c>
      <c r="W499" s="331" t="s">
        <v>493</v>
      </c>
      <c r="X499" s="331" t="s">
        <v>493</v>
      </c>
      <c r="Y499" s="331" t="s">
        <v>493</v>
      </c>
      <c r="Z499" s="331" t="s">
        <v>493</v>
      </c>
      <c r="AA499" s="331" t="s">
        <v>493</v>
      </c>
      <c r="AB499" s="331" t="s">
        <v>493</v>
      </c>
      <c r="AC499" s="331" t="s">
        <v>493</v>
      </c>
      <c r="AD499" s="331" t="s">
        <v>493</v>
      </c>
      <c r="AE499" s="331" t="s">
        <v>493</v>
      </c>
      <c r="AF499" s="331" t="s">
        <v>493</v>
      </c>
      <c r="AG499" s="328" t="s">
        <v>188</v>
      </c>
      <c r="AH499" s="331" t="s">
        <v>493</v>
      </c>
      <c r="AI499" s="331" t="s">
        <v>493</v>
      </c>
      <c r="AJ499" s="331" t="s">
        <v>493</v>
      </c>
    </row>
    <row r="500" spans="1:36" x14ac:dyDescent="0.3">
      <c r="A500" s="243" t="s">
        <v>711</v>
      </c>
      <c r="B500" s="331" t="s">
        <v>527</v>
      </c>
      <c r="C500" s="331" t="s">
        <v>493</v>
      </c>
      <c r="D500" s="331" t="s">
        <v>493</v>
      </c>
      <c r="E500" s="331" t="s">
        <v>493</v>
      </c>
      <c r="F500" s="331" t="s">
        <v>493</v>
      </c>
      <c r="G500" s="331" t="s">
        <v>493</v>
      </c>
      <c r="H500" s="331" t="s">
        <v>493</v>
      </c>
      <c r="I500" s="331" t="s">
        <v>493</v>
      </c>
      <c r="J500" s="331" t="s">
        <v>493</v>
      </c>
      <c r="K500" s="331" t="s">
        <v>493</v>
      </c>
      <c r="L500" s="331" t="s">
        <v>493</v>
      </c>
      <c r="M500" s="331" t="s">
        <v>493</v>
      </c>
      <c r="N500" s="331" t="s">
        <v>493</v>
      </c>
      <c r="O500" s="331" t="s">
        <v>493</v>
      </c>
      <c r="P500" s="331" t="s">
        <v>493</v>
      </c>
      <c r="Q500" s="331" t="s">
        <v>493</v>
      </c>
      <c r="R500" s="331" t="s">
        <v>493</v>
      </c>
      <c r="S500" s="331" t="s">
        <v>493</v>
      </c>
      <c r="T500" s="331" t="s">
        <v>493</v>
      </c>
      <c r="U500" s="331" t="s">
        <v>493</v>
      </c>
      <c r="V500" s="328" t="s">
        <v>188</v>
      </c>
      <c r="W500" s="331" t="s">
        <v>527</v>
      </c>
      <c r="X500" s="331" t="s">
        <v>527</v>
      </c>
      <c r="Y500" s="331" t="s">
        <v>527</v>
      </c>
      <c r="Z500" s="331" t="s">
        <v>493</v>
      </c>
      <c r="AA500" s="331" t="s">
        <v>527</v>
      </c>
      <c r="AB500" s="331" t="s">
        <v>493</v>
      </c>
      <c r="AC500" s="331" t="s">
        <v>493</v>
      </c>
      <c r="AD500" s="331" t="s">
        <v>493</v>
      </c>
      <c r="AE500" s="331" t="s">
        <v>493</v>
      </c>
      <c r="AF500" s="331" t="s">
        <v>493</v>
      </c>
      <c r="AG500" s="328" t="s">
        <v>188</v>
      </c>
      <c r="AH500" s="331" t="s">
        <v>493</v>
      </c>
      <c r="AI500" s="331" t="s">
        <v>527</v>
      </c>
      <c r="AJ500" s="331" t="s">
        <v>527</v>
      </c>
    </row>
    <row r="501" spans="1:36" x14ac:dyDescent="0.3">
      <c r="A501" s="337" t="s">
        <v>712</v>
      </c>
      <c r="B501" s="331" t="s">
        <v>527</v>
      </c>
      <c r="C501" s="331" t="s">
        <v>493</v>
      </c>
      <c r="D501" s="331" t="s">
        <v>493</v>
      </c>
      <c r="E501" s="331" t="s">
        <v>493</v>
      </c>
      <c r="F501" s="331" t="s">
        <v>493</v>
      </c>
      <c r="G501" s="331" t="s">
        <v>493</v>
      </c>
      <c r="H501" s="331" t="s">
        <v>493</v>
      </c>
      <c r="I501" s="331" t="s">
        <v>493</v>
      </c>
      <c r="J501" s="331" t="s">
        <v>493</v>
      </c>
      <c r="K501" s="331" t="s">
        <v>493</v>
      </c>
      <c r="L501" s="331" t="s">
        <v>493</v>
      </c>
      <c r="M501" s="331" t="s">
        <v>493</v>
      </c>
      <c r="N501" s="331" t="s">
        <v>493</v>
      </c>
      <c r="O501" s="331" t="s">
        <v>493</v>
      </c>
      <c r="P501" s="331" t="s">
        <v>493</v>
      </c>
      <c r="Q501" s="331" t="s">
        <v>493</v>
      </c>
      <c r="R501" s="331" t="s">
        <v>493</v>
      </c>
      <c r="S501" s="331" t="s">
        <v>493</v>
      </c>
      <c r="T501" s="331" t="s">
        <v>493</v>
      </c>
      <c r="U501" s="331" t="s">
        <v>493</v>
      </c>
      <c r="V501" s="328" t="s">
        <v>188</v>
      </c>
      <c r="W501" s="331" t="s">
        <v>527</v>
      </c>
      <c r="X501" s="331" t="s">
        <v>527</v>
      </c>
      <c r="Y501" s="331" t="s">
        <v>527</v>
      </c>
      <c r="Z501" s="331" t="s">
        <v>493</v>
      </c>
      <c r="AA501" s="331" t="s">
        <v>527</v>
      </c>
      <c r="AB501" s="331" t="s">
        <v>493</v>
      </c>
      <c r="AC501" s="331" t="s">
        <v>493</v>
      </c>
      <c r="AD501" s="331" t="s">
        <v>493</v>
      </c>
      <c r="AE501" s="331" t="s">
        <v>493</v>
      </c>
      <c r="AF501" s="331" t="s">
        <v>493</v>
      </c>
      <c r="AG501" s="328" t="s">
        <v>188</v>
      </c>
      <c r="AH501" s="331" t="s">
        <v>493</v>
      </c>
      <c r="AI501" s="331" t="s">
        <v>527</v>
      </c>
      <c r="AJ501" s="331" t="s">
        <v>527</v>
      </c>
    </row>
    <row r="502" spans="1:36" ht="15.75" customHeight="1" thickBot="1" x14ac:dyDescent="0.35">
      <c r="A502" s="244" t="s">
        <v>713</v>
      </c>
      <c r="B502" s="445" t="s">
        <v>700</v>
      </c>
      <c r="C502" s="447"/>
      <c r="D502" s="447"/>
      <c r="E502" s="447"/>
      <c r="F502" s="447"/>
      <c r="G502" s="447"/>
      <c r="H502" s="447"/>
      <c r="I502" s="447"/>
      <c r="J502" s="447"/>
      <c r="K502" s="447"/>
      <c r="L502" s="447"/>
      <c r="M502" s="447"/>
      <c r="N502" s="447"/>
      <c r="O502" s="447"/>
      <c r="P502" s="447"/>
      <c r="Q502" s="447"/>
      <c r="R502" s="447"/>
      <c r="S502" s="447"/>
      <c r="T502" s="447"/>
      <c r="U502" s="447"/>
      <c r="V502" s="447"/>
      <c r="W502" s="447"/>
      <c r="X502" s="447"/>
      <c r="Y502" s="447"/>
      <c r="Z502" s="447"/>
      <c r="AA502" s="447"/>
      <c r="AB502" s="447"/>
      <c r="AC502" s="447"/>
      <c r="AD502" s="447"/>
      <c r="AE502" s="447"/>
      <c r="AF502" s="447"/>
      <c r="AG502" s="447"/>
      <c r="AH502" s="447"/>
      <c r="AI502" s="447"/>
      <c r="AJ502" s="448"/>
    </row>
    <row r="503" spans="1:36" ht="15" thickTop="1" x14ac:dyDescent="0.3">
      <c r="A503" s="242" t="s">
        <v>714</v>
      </c>
      <c r="B503" s="331">
        <v>20255.88328182527</v>
      </c>
      <c r="C503" s="331">
        <v>268.79848497951895</v>
      </c>
      <c r="D503" s="331">
        <v>0.18223611604834999</v>
      </c>
      <c r="E503" s="331" t="s">
        <v>798</v>
      </c>
      <c r="F503" s="331">
        <v>9031.5481900000013</v>
      </c>
      <c r="G503" s="331" t="s">
        <v>518</v>
      </c>
      <c r="H503" s="331">
        <v>80121.705387429378</v>
      </c>
      <c r="I503" s="331" t="s">
        <v>518</v>
      </c>
      <c r="J503" s="331">
        <v>9356.369772</v>
      </c>
      <c r="K503" s="331" t="s">
        <v>518</v>
      </c>
      <c r="L503" s="331" t="s">
        <v>798</v>
      </c>
      <c r="M503" s="331" t="s">
        <v>518</v>
      </c>
      <c r="N503" s="331" t="s">
        <v>518</v>
      </c>
      <c r="O503" s="331" t="s">
        <v>518</v>
      </c>
      <c r="P503" s="331" t="s">
        <v>518</v>
      </c>
      <c r="Q503" s="331">
        <v>1154.9313</v>
      </c>
      <c r="R503" s="331" t="s">
        <v>518</v>
      </c>
      <c r="S503" s="331" t="s">
        <v>798</v>
      </c>
      <c r="T503" s="331" t="s">
        <v>798</v>
      </c>
      <c r="U503" s="331">
        <v>1.6984600970478201</v>
      </c>
      <c r="V503" s="328" t="s">
        <v>188</v>
      </c>
      <c r="W503" s="331">
        <v>3991.1111453887138</v>
      </c>
      <c r="X503" s="331">
        <v>2523.6563378072069</v>
      </c>
      <c r="Y503" s="331">
        <v>79.714328892219598</v>
      </c>
      <c r="Z503" s="331" t="s">
        <v>518</v>
      </c>
      <c r="AA503" s="331">
        <v>118.23495360473002</v>
      </c>
      <c r="AB503" s="331" t="s">
        <v>518</v>
      </c>
      <c r="AC503" s="331" t="s">
        <v>798</v>
      </c>
      <c r="AD503" s="331" t="s">
        <v>518</v>
      </c>
      <c r="AE503" s="331" t="s">
        <v>518</v>
      </c>
      <c r="AF503" s="331">
        <v>3.5894286775586801</v>
      </c>
      <c r="AG503" s="328" t="s">
        <v>188</v>
      </c>
      <c r="AH503" s="331">
        <v>7230.4559117999988</v>
      </c>
      <c r="AI503" s="331">
        <v>11803.800907153873</v>
      </c>
      <c r="AJ503" s="331">
        <v>490.71858044203998</v>
      </c>
    </row>
    <row r="504" spans="1:36" x14ac:dyDescent="0.3">
      <c r="A504" s="338" t="s">
        <v>715</v>
      </c>
      <c r="B504" s="331">
        <v>20040.325102040817</v>
      </c>
      <c r="C504" s="331" t="s">
        <v>493</v>
      </c>
      <c r="D504" s="331" t="s">
        <v>493</v>
      </c>
      <c r="E504" s="331" t="s">
        <v>493</v>
      </c>
      <c r="F504" s="331" t="s">
        <v>493</v>
      </c>
      <c r="G504" s="331" t="s">
        <v>493</v>
      </c>
      <c r="H504" s="331" t="s">
        <v>493</v>
      </c>
      <c r="I504" s="331" t="s">
        <v>493</v>
      </c>
      <c r="J504" s="331" t="s">
        <v>493</v>
      </c>
      <c r="K504" s="331" t="s">
        <v>493</v>
      </c>
      <c r="L504" s="331" t="s">
        <v>493</v>
      </c>
      <c r="M504" s="331" t="s">
        <v>493</v>
      </c>
      <c r="N504" s="331" t="s">
        <v>493</v>
      </c>
      <c r="O504" s="331" t="s">
        <v>493</v>
      </c>
      <c r="P504" s="331" t="s">
        <v>493</v>
      </c>
      <c r="Q504" s="331" t="s">
        <v>493</v>
      </c>
      <c r="R504" s="331" t="s">
        <v>493</v>
      </c>
      <c r="S504" s="331" t="s">
        <v>493</v>
      </c>
      <c r="T504" s="331" t="s">
        <v>493</v>
      </c>
      <c r="U504" s="331" t="s">
        <v>493</v>
      </c>
      <c r="V504" s="328" t="s">
        <v>188</v>
      </c>
      <c r="W504" s="331" t="s">
        <v>493</v>
      </c>
      <c r="X504" s="331" t="s">
        <v>493</v>
      </c>
      <c r="Y504" s="331" t="s">
        <v>493</v>
      </c>
      <c r="Z504" s="331" t="s">
        <v>493</v>
      </c>
      <c r="AA504" s="331" t="s">
        <v>493</v>
      </c>
      <c r="AB504" s="331" t="s">
        <v>493</v>
      </c>
      <c r="AC504" s="331" t="s">
        <v>493</v>
      </c>
      <c r="AD504" s="331" t="s">
        <v>493</v>
      </c>
      <c r="AE504" s="331" t="s">
        <v>493</v>
      </c>
      <c r="AF504" s="331" t="s">
        <v>493</v>
      </c>
      <c r="AG504" s="328" t="s">
        <v>188</v>
      </c>
      <c r="AH504" s="331" t="s">
        <v>493</v>
      </c>
      <c r="AI504" s="331" t="s">
        <v>493</v>
      </c>
      <c r="AJ504" s="331" t="s">
        <v>493</v>
      </c>
    </row>
    <row r="505" spans="1:36" x14ac:dyDescent="0.3">
      <c r="A505" s="339" t="s">
        <v>716</v>
      </c>
      <c r="B505" s="331" t="s">
        <v>493</v>
      </c>
      <c r="C505" s="331" t="s">
        <v>493</v>
      </c>
      <c r="D505" s="331" t="s">
        <v>493</v>
      </c>
      <c r="E505" s="331" t="s">
        <v>493</v>
      </c>
      <c r="F505" s="331" t="s">
        <v>493</v>
      </c>
      <c r="G505" s="331" t="s">
        <v>493</v>
      </c>
      <c r="H505" s="331" t="s">
        <v>555</v>
      </c>
      <c r="I505" s="331" t="s">
        <v>493</v>
      </c>
      <c r="J505" s="331" t="s">
        <v>493</v>
      </c>
      <c r="K505" s="331" t="s">
        <v>493</v>
      </c>
      <c r="L505" s="331" t="s">
        <v>493</v>
      </c>
      <c r="M505" s="331" t="s">
        <v>493</v>
      </c>
      <c r="N505" s="331" t="s">
        <v>493</v>
      </c>
      <c r="O505" s="331" t="s">
        <v>493</v>
      </c>
      <c r="P505" s="331" t="s">
        <v>493</v>
      </c>
      <c r="Q505" s="331" t="s">
        <v>493</v>
      </c>
      <c r="R505" s="331" t="s">
        <v>493</v>
      </c>
      <c r="S505" s="331" t="s">
        <v>493</v>
      </c>
      <c r="T505" s="331" t="s">
        <v>493</v>
      </c>
      <c r="U505" s="331" t="s">
        <v>493</v>
      </c>
      <c r="V505" s="328" t="s">
        <v>188</v>
      </c>
      <c r="W505" s="331">
        <v>2889.5115971792543</v>
      </c>
      <c r="X505" s="331">
        <v>550.24258844079532</v>
      </c>
      <c r="Y505" s="331" t="s">
        <v>493</v>
      </c>
      <c r="Z505" s="331" t="s">
        <v>493</v>
      </c>
      <c r="AA505" s="331" t="s">
        <v>493</v>
      </c>
      <c r="AB505" s="331" t="s">
        <v>493</v>
      </c>
      <c r="AC505" s="331" t="s">
        <v>493</v>
      </c>
      <c r="AD505" s="331" t="s">
        <v>493</v>
      </c>
      <c r="AE505" s="331" t="s">
        <v>493</v>
      </c>
      <c r="AF505" s="331" t="s">
        <v>493</v>
      </c>
      <c r="AG505" s="328" t="s">
        <v>188</v>
      </c>
      <c r="AH505" s="331" t="s">
        <v>493</v>
      </c>
      <c r="AI505" s="331">
        <v>2745.5373405254281</v>
      </c>
      <c r="AJ505" s="331" t="s">
        <v>493</v>
      </c>
    </row>
    <row r="506" spans="1:36" x14ac:dyDescent="0.3">
      <c r="A506" s="340" t="s">
        <v>717</v>
      </c>
      <c r="B506" s="331">
        <v>202.53417978445603</v>
      </c>
      <c r="C506" s="331">
        <v>0.60795747951898005</v>
      </c>
      <c r="D506" s="331">
        <v>0.18223611604834999</v>
      </c>
      <c r="E506" s="331" t="s">
        <v>3125</v>
      </c>
      <c r="F506" s="331" t="s">
        <v>3125</v>
      </c>
      <c r="G506" s="331" t="s">
        <v>592</v>
      </c>
      <c r="H506" s="331">
        <v>1.359442937847E-2</v>
      </c>
      <c r="I506" s="331" t="s">
        <v>592</v>
      </c>
      <c r="J506" s="331" t="s">
        <v>3125</v>
      </c>
      <c r="K506" s="331" t="s">
        <v>592</v>
      </c>
      <c r="L506" s="331" t="s">
        <v>3125</v>
      </c>
      <c r="M506" s="331" t="s">
        <v>592</v>
      </c>
      <c r="N506" s="331" t="s">
        <v>592</v>
      </c>
      <c r="O506" s="331" t="s">
        <v>592</v>
      </c>
      <c r="P506" s="331" t="s">
        <v>592</v>
      </c>
      <c r="Q506" s="331" t="s">
        <v>3125</v>
      </c>
      <c r="R506" s="331" t="s">
        <v>592</v>
      </c>
      <c r="S506" s="331" t="s">
        <v>3125</v>
      </c>
      <c r="T506" s="331" t="s">
        <v>3125</v>
      </c>
      <c r="U506" s="331">
        <v>1.6984600970478201</v>
      </c>
      <c r="V506" s="328" t="s">
        <v>188</v>
      </c>
      <c r="W506" s="331">
        <v>1083.5867883626456</v>
      </c>
      <c r="X506" s="331">
        <v>1973.4137493664118</v>
      </c>
      <c r="Y506" s="331">
        <v>79.714328892219598</v>
      </c>
      <c r="Z506" s="331" t="s">
        <v>592</v>
      </c>
      <c r="AA506" s="331">
        <v>118.23495360473002</v>
      </c>
      <c r="AB506" s="331" t="s">
        <v>592</v>
      </c>
      <c r="AC506" s="331" t="s">
        <v>3125</v>
      </c>
      <c r="AD506" s="331" t="s">
        <v>592</v>
      </c>
      <c r="AE506" s="331" t="s">
        <v>592</v>
      </c>
      <c r="AF506" s="331">
        <v>3.5894286775586801</v>
      </c>
      <c r="AG506" s="328" t="s">
        <v>188</v>
      </c>
      <c r="AH506" s="331" t="s">
        <v>592</v>
      </c>
      <c r="AI506" s="331">
        <v>709.15405230078557</v>
      </c>
      <c r="AJ506" s="331">
        <v>490.71858044210865</v>
      </c>
    </row>
    <row r="507" spans="1:36" x14ac:dyDescent="0.3">
      <c r="A507" s="341" t="s">
        <v>3402</v>
      </c>
      <c r="B507" s="331">
        <v>13.023999999999999</v>
      </c>
      <c r="C507" s="331">
        <v>268.19052749999997</v>
      </c>
      <c r="D507" s="331" t="s">
        <v>493</v>
      </c>
      <c r="E507" s="331" t="s">
        <v>493</v>
      </c>
      <c r="F507" s="331">
        <v>9031.5481900000013</v>
      </c>
      <c r="G507" s="331" t="s">
        <v>493</v>
      </c>
      <c r="H507" s="331">
        <v>80121.691793000005</v>
      </c>
      <c r="I507" s="331" t="s">
        <v>493</v>
      </c>
      <c r="J507" s="331">
        <v>9356.369772</v>
      </c>
      <c r="K507" s="331" t="s">
        <v>493</v>
      </c>
      <c r="L507" s="331" t="s">
        <v>493</v>
      </c>
      <c r="M507" s="331" t="s">
        <v>493</v>
      </c>
      <c r="N507" s="331" t="s">
        <v>493</v>
      </c>
      <c r="O507" s="331" t="s">
        <v>493</v>
      </c>
      <c r="P507" s="331" t="s">
        <v>493</v>
      </c>
      <c r="Q507" s="331">
        <v>1154.9313</v>
      </c>
      <c r="R507" s="331" t="s">
        <v>493</v>
      </c>
      <c r="S507" s="331" t="s">
        <v>493</v>
      </c>
      <c r="T507" s="331" t="s">
        <v>493</v>
      </c>
      <c r="U507" s="331" t="s">
        <v>493</v>
      </c>
      <c r="V507" s="328" t="s">
        <v>188</v>
      </c>
      <c r="W507" s="331">
        <v>15.660888</v>
      </c>
      <c r="X507" s="331" t="s">
        <v>493</v>
      </c>
      <c r="Y507" s="331" t="s">
        <v>493</v>
      </c>
      <c r="Z507" s="331" t="s">
        <v>493</v>
      </c>
      <c r="AA507" s="331" t="s">
        <v>493</v>
      </c>
      <c r="AB507" s="331" t="s">
        <v>493</v>
      </c>
      <c r="AC507" s="331" t="s">
        <v>493</v>
      </c>
      <c r="AD507" s="331" t="s">
        <v>493</v>
      </c>
      <c r="AE507" s="331" t="s">
        <v>493</v>
      </c>
      <c r="AF507" s="331" t="s">
        <v>493</v>
      </c>
      <c r="AG507" s="328" t="s">
        <v>188</v>
      </c>
      <c r="AH507" s="331">
        <v>7230.4559117999988</v>
      </c>
      <c r="AI507" s="331" t="s">
        <v>493</v>
      </c>
      <c r="AJ507" s="331" t="s">
        <v>493</v>
      </c>
    </row>
    <row r="508" spans="1:36" x14ac:dyDescent="0.3">
      <c r="A508" s="340" t="s">
        <v>718</v>
      </c>
      <c r="B508" s="331" t="s">
        <v>493</v>
      </c>
      <c r="C508" s="331" t="s">
        <v>493</v>
      </c>
      <c r="D508" s="331" t="s">
        <v>493</v>
      </c>
      <c r="E508" s="331" t="s">
        <v>493</v>
      </c>
      <c r="F508" s="331" t="s">
        <v>493</v>
      </c>
      <c r="G508" s="331" t="s">
        <v>493</v>
      </c>
      <c r="H508" s="331" t="s">
        <v>493</v>
      </c>
      <c r="I508" s="331" t="s">
        <v>493</v>
      </c>
      <c r="J508" s="331" t="s">
        <v>493</v>
      </c>
      <c r="K508" s="331" t="s">
        <v>493</v>
      </c>
      <c r="L508" s="331" t="s">
        <v>493</v>
      </c>
      <c r="M508" s="331" t="s">
        <v>493</v>
      </c>
      <c r="N508" s="331" t="s">
        <v>493</v>
      </c>
      <c r="O508" s="331" t="s">
        <v>493</v>
      </c>
      <c r="P508" s="331" t="s">
        <v>493</v>
      </c>
      <c r="Q508" s="331" t="s">
        <v>493</v>
      </c>
      <c r="R508" s="331" t="s">
        <v>493</v>
      </c>
      <c r="S508" s="331" t="s">
        <v>493</v>
      </c>
      <c r="T508" s="331" t="s">
        <v>493</v>
      </c>
      <c r="U508" s="331" t="s">
        <v>493</v>
      </c>
      <c r="V508" s="328" t="s">
        <v>188</v>
      </c>
      <c r="W508" s="331">
        <v>2.3518718468133701</v>
      </c>
      <c r="X508" s="331" t="s">
        <v>493</v>
      </c>
      <c r="Y508" s="331" t="s">
        <v>493</v>
      </c>
      <c r="Z508" s="331" t="s">
        <v>493</v>
      </c>
      <c r="AA508" s="331" t="s">
        <v>493</v>
      </c>
      <c r="AB508" s="331" t="s">
        <v>493</v>
      </c>
      <c r="AC508" s="331" t="s">
        <v>493</v>
      </c>
      <c r="AD508" s="331" t="s">
        <v>493</v>
      </c>
      <c r="AE508" s="331" t="s">
        <v>493</v>
      </c>
      <c r="AF508" s="331" t="s">
        <v>493</v>
      </c>
      <c r="AG508" s="328" t="s">
        <v>188</v>
      </c>
      <c r="AH508" s="331" t="s">
        <v>493</v>
      </c>
      <c r="AI508" s="331">
        <v>8349.1095143276398</v>
      </c>
      <c r="AJ508" s="331" t="s">
        <v>493</v>
      </c>
    </row>
    <row r="509" spans="1:36" x14ac:dyDescent="0.3">
      <c r="A509" s="342" t="s">
        <v>719</v>
      </c>
      <c r="B509" s="331" t="s">
        <v>527</v>
      </c>
      <c r="C509" s="331" t="s">
        <v>493</v>
      </c>
      <c r="D509" s="331" t="s">
        <v>493</v>
      </c>
      <c r="E509" s="331" t="s">
        <v>493</v>
      </c>
      <c r="F509" s="331" t="s">
        <v>493</v>
      </c>
      <c r="G509" s="331" t="s">
        <v>493</v>
      </c>
      <c r="H509" s="331" t="s">
        <v>493</v>
      </c>
      <c r="I509" s="331" t="s">
        <v>493</v>
      </c>
      <c r="J509" s="331" t="s">
        <v>493</v>
      </c>
      <c r="K509" s="331" t="s">
        <v>493</v>
      </c>
      <c r="L509" s="331" t="s">
        <v>493</v>
      </c>
      <c r="M509" s="331" t="s">
        <v>493</v>
      </c>
      <c r="N509" s="331" t="s">
        <v>493</v>
      </c>
      <c r="O509" s="331" t="s">
        <v>493</v>
      </c>
      <c r="P509" s="331" t="s">
        <v>493</v>
      </c>
      <c r="Q509" s="331" t="s">
        <v>493</v>
      </c>
      <c r="R509" s="331" t="s">
        <v>493</v>
      </c>
      <c r="S509" s="331" t="s">
        <v>493</v>
      </c>
      <c r="T509" s="331" t="s">
        <v>493</v>
      </c>
      <c r="U509" s="331" t="s">
        <v>493</v>
      </c>
      <c r="V509" s="328" t="s">
        <v>188</v>
      </c>
      <c r="W509" s="331" t="s">
        <v>527</v>
      </c>
      <c r="X509" s="331" t="s">
        <v>527</v>
      </c>
      <c r="Y509" s="331" t="s">
        <v>527</v>
      </c>
      <c r="Z509" s="331" t="s">
        <v>493</v>
      </c>
      <c r="AA509" s="331" t="s">
        <v>527</v>
      </c>
      <c r="AB509" s="331" t="s">
        <v>493</v>
      </c>
      <c r="AC509" s="331" t="s">
        <v>493</v>
      </c>
      <c r="AD509" s="331" t="s">
        <v>493</v>
      </c>
      <c r="AE509" s="331" t="s">
        <v>493</v>
      </c>
      <c r="AF509" s="331" t="s">
        <v>493</v>
      </c>
      <c r="AG509" s="328" t="s">
        <v>188</v>
      </c>
      <c r="AH509" s="331" t="s">
        <v>493</v>
      </c>
      <c r="AI509" s="331" t="s">
        <v>527</v>
      </c>
      <c r="AJ509" s="331" t="s">
        <v>527</v>
      </c>
    </row>
    <row r="511" spans="1:36" ht="28.8" x14ac:dyDescent="0.3">
      <c r="A511" s="50" t="s">
        <v>720</v>
      </c>
      <c r="B511" s="62">
        <f>B473</f>
        <v>1368.6407622854913</v>
      </c>
      <c r="C511" s="62">
        <f t="shared" ref="C511:AJ511" si="10">C473</f>
        <v>398.21997774743551</v>
      </c>
      <c r="D511" s="62">
        <f t="shared" si="10"/>
        <v>1.9808273483516601</v>
      </c>
      <c r="E511" s="62" t="str">
        <f t="shared" si="10"/>
        <v>NO,NE,IE,NA</v>
      </c>
      <c r="F511" s="62">
        <f t="shared" si="10"/>
        <v>2580.4423400000001</v>
      </c>
      <c r="G511" s="62" t="str">
        <f t="shared" si="10"/>
        <v>NO,NE,NA</v>
      </c>
      <c r="H511" s="62">
        <f t="shared" si="10"/>
        <v>56029.164606593971</v>
      </c>
      <c r="I511" s="62" t="str">
        <f t="shared" si="10"/>
        <v>NO,NE,NA</v>
      </c>
      <c r="J511" s="62">
        <f t="shared" si="10"/>
        <v>2093.1475999999998</v>
      </c>
      <c r="K511" s="62" t="str">
        <f t="shared" si="10"/>
        <v>NO,NE,NA</v>
      </c>
      <c r="L511" s="62" t="str">
        <f t="shared" si="10"/>
        <v>NO,NE,IE,NA</v>
      </c>
      <c r="M511" s="62" t="str">
        <f t="shared" si="10"/>
        <v>NO,NE,NA</v>
      </c>
      <c r="N511" s="62" t="str">
        <f t="shared" si="10"/>
        <v>NO,NE,NA</v>
      </c>
      <c r="O511" s="62" t="str">
        <f t="shared" si="10"/>
        <v>NO,NE,NA</v>
      </c>
      <c r="P511" s="62" t="str">
        <f t="shared" si="10"/>
        <v>NO,NE,NA</v>
      </c>
      <c r="Q511" s="62">
        <f t="shared" si="10"/>
        <v>117.73</v>
      </c>
      <c r="R511" s="62" t="str">
        <f t="shared" si="10"/>
        <v>NO,NE,NA</v>
      </c>
      <c r="S511" s="62" t="str">
        <f t="shared" si="10"/>
        <v>NO,NE,IE,NA</v>
      </c>
      <c r="T511" s="62" t="str">
        <f t="shared" si="10"/>
        <v>NO,NE,IE,NA</v>
      </c>
      <c r="U511" s="62">
        <f t="shared" si="10"/>
        <v>1.6984600970478201</v>
      </c>
      <c r="V511" s="62" t="str">
        <f t="shared" si="10"/>
        <v/>
      </c>
      <c r="W511" s="62">
        <f t="shared" si="10"/>
        <v>540.06916717032652</v>
      </c>
      <c r="X511" s="62">
        <f t="shared" si="10"/>
        <v>206.85707686944318</v>
      </c>
      <c r="Y511" s="62">
        <f t="shared" si="10"/>
        <v>9.0276703162196608</v>
      </c>
      <c r="Z511" s="62" t="str">
        <f t="shared" si="10"/>
        <v>NO,NE,NA</v>
      </c>
      <c r="AA511" s="62">
        <f t="shared" si="10"/>
        <v>11.47912170919709</v>
      </c>
      <c r="AB511" s="62" t="str">
        <f t="shared" si="10"/>
        <v>NO,NE,NA</v>
      </c>
      <c r="AC511" s="62" t="str">
        <f t="shared" si="10"/>
        <v>NO,NE,IE,NA</v>
      </c>
      <c r="AD511" s="62" t="str">
        <f t="shared" si="10"/>
        <v>NO,NE,NA</v>
      </c>
      <c r="AE511" s="62" t="str">
        <f t="shared" si="10"/>
        <v>NO,NE,NA</v>
      </c>
      <c r="AF511" s="62">
        <f t="shared" si="10"/>
        <v>3.5894286775586801</v>
      </c>
      <c r="AG511" s="62" t="str">
        <f t="shared" si="10"/>
        <v/>
      </c>
      <c r="AH511" s="62">
        <f t="shared" si="10"/>
        <v>7230.4559117999988</v>
      </c>
      <c r="AI511" s="62">
        <f t="shared" si="10"/>
        <v>517.71056610324001</v>
      </c>
      <c r="AJ511" s="62">
        <f t="shared" si="10"/>
        <v>28.530150025699999</v>
      </c>
    </row>
    <row r="514" spans="1:7" ht="15.6" x14ac:dyDescent="0.3">
      <c r="A514" s="232" t="s">
        <v>721</v>
      </c>
      <c r="B514" s="217"/>
      <c r="C514" s="217"/>
      <c r="D514" s="217"/>
      <c r="E514" s="217"/>
      <c r="F514" s="218"/>
      <c r="G514" s="49" t="s">
        <v>477</v>
      </c>
    </row>
    <row r="515" spans="1:7" ht="15.6" x14ac:dyDescent="0.3">
      <c r="A515" s="232" t="s">
        <v>722</v>
      </c>
      <c r="B515" s="217"/>
      <c r="C515" s="217"/>
      <c r="D515" s="217"/>
      <c r="E515" s="217"/>
      <c r="F515" s="218"/>
      <c r="G515" s="49" t="s">
        <v>3399</v>
      </c>
    </row>
    <row r="516" spans="1:7" x14ac:dyDescent="0.3">
      <c r="A516" s="217"/>
      <c r="B516" s="217"/>
      <c r="C516" s="217"/>
      <c r="D516" s="217"/>
      <c r="E516" s="217"/>
      <c r="F516" s="218"/>
      <c r="G516" s="49" t="s">
        <v>478</v>
      </c>
    </row>
    <row r="517" spans="1:7" x14ac:dyDescent="0.3">
      <c r="A517" s="217"/>
      <c r="B517" s="217"/>
      <c r="C517" s="217"/>
      <c r="D517" s="217"/>
      <c r="E517" s="217"/>
      <c r="F517" s="231"/>
      <c r="G517" s="217"/>
    </row>
    <row r="518" spans="1:7" x14ac:dyDescent="0.3">
      <c r="A518" s="308" t="s">
        <v>723</v>
      </c>
      <c r="B518" s="309" t="s">
        <v>480</v>
      </c>
      <c r="C518" s="226" t="s">
        <v>481</v>
      </c>
      <c r="D518" s="226" t="s">
        <v>482</v>
      </c>
      <c r="E518" s="226" t="s">
        <v>618</v>
      </c>
      <c r="F518" s="245" t="s">
        <v>484</v>
      </c>
      <c r="G518" s="245" t="s">
        <v>485</v>
      </c>
    </row>
    <row r="519" spans="1:7" ht="15" thickBot="1" x14ac:dyDescent="0.35">
      <c r="A519" s="310" t="s">
        <v>724</v>
      </c>
      <c r="B519" s="437" t="s">
        <v>487</v>
      </c>
      <c r="C519" s="437"/>
      <c r="D519" s="437"/>
      <c r="E519" s="437"/>
      <c r="F519" s="437"/>
      <c r="G519" s="438"/>
    </row>
    <row r="520" spans="1:7" ht="15" thickTop="1" x14ac:dyDescent="0.3">
      <c r="A520" s="311" t="s">
        <v>725</v>
      </c>
      <c r="B520" s="331">
        <v>7853.7090592547993</v>
      </c>
      <c r="C520" s="331">
        <v>9418.7606550076798</v>
      </c>
      <c r="D520" s="331">
        <v>1108.4205949512345</v>
      </c>
      <c r="E520" s="331">
        <v>14.91067980114685</v>
      </c>
      <c r="F520" s="331">
        <v>363.40666610922074</v>
      </c>
      <c r="G520" s="331" t="s">
        <v>493</v>
      </c>
    </row>
    <row r="521" spans="1:7" x14ac:dyDescent="0.3">
      <c r="A521" s="336" t="s">
        <v>726</v>
      </c>
      <c r="B521" s="328" t="s">
        <v>188</v>
      </c>
      <c r="C521" s="331">
        <v>8681.5577516158737</v>
      </c>
      <c r="D521" s="331">
        <v>54.694930480826123</v>
      </c>
      <c r="E521" s="328" t="s">
        <v>188</v>
      </c>
      <c r="F521" s="328" t="s">
        <v>188</v>
      </c>
      <c r="G521" s="331" t="s">
        <v>493</v>
      </c>
    </row>
    <row r="522" spans="1:7" x14ac:dyDescent="0.3">
      <c r="A522" s="336" t="s">
        <v>727</v>
      </c>
      <c r="B522" s="328" t="s">
        <v>188</v>
      </c>
      <c r="C522" s="331">
        <v>6721.72746699257</v>
      </c>
      <c r="D522" s="328" t="s">
        <v>188</v>
      </c>
      <c r="E522" s="328" t="s">
        <v>188</v>
      </c>
      <c r="F522" s="328" t="s">
        <v>188</v>
      </c>
      <c r="G522" s="328" t="s">
        <v>188</v>
      </c>
    </row>
    <row r="523" spans="1:7" x14ac:dyDescent="0.3">
      <c r="A523" s="343" t="s">
        <v>3403</v>
      </c>
      <c r="B523" s="328" t="s">
        <v>188</v>
      </c>
      <c r="C523" s="331">
        <v>6459.5584610062451</v>
      </c>
      <c r="D523" s="328" t="s">
        <v>188</v>
      </c>
      <c r="E523" s="328" t="s">
        <v>188</v>
      </c>
      <c r="F523" s="328" t="s">
        <v>188</v>
      </c>
      <c r="G523" s="328" t="s">
        <v>188</v>
      </c>
    </row>
    <row r="524" spans="1:7" x14ac:dyDescent="0.3">
      <c r="A524" s="344" t="s">
        <v>728</v>
      </c>
      <c r="B524" s="328" t="s">
        <v>188</v>
      </c>
      <c r="C524" s="328" t="s">
        <v>188</v>
      </c>
      <c r="D524" s="328" t="s">
        <v>188</v>
      </c>
      <c r="E524" s="328" t="s">
        <v>188</v>
      </c>
      <c r="F524" s="328" t="s">
        <v>188</v>
      </c>
      <c r="G524" s="328" t="s">
        <v>188</v>
      </c>
    </row>
    <row r="525" spans="1:7" x14ac:dyDescent="0.3">
      <c r="A525" s="345" t="s">
        <v>729</v>
      </c>
      <c r="B525" s="328" t="s">
        <v>188</v>
      </c>
      <c r="C525" s="331" t="s">
        <v>188</v>
      </c>
      <c r="D525" s="328" t="s">
        <v>188</v>
      </c>
      <c r="E525" s="328" t="s">
        <v>188</v>
      </c>
      <c r="F525" s="328" t="s">
        <v>188</v>
      </c>
      <c r="G525" s="328" t="s">
        <v>188</v>
      </c>
    </row>
    <row r="526" spans="1:7" x14ac:dyDescent="0.3">
      <c r="A526" s="345" t="s">
        <v>730</v>
      </c>
      <c r="B526" s="328" t="s">
        <v>188</v>
      </c>
      <c r="C526" s="331" t="s">
        <v>188</v>
      </c>
      <c r="D526" s="328" t="s">
        <v>188</v>
      </c>
      <c r="E526" s="328" t="s">
        <v>188</v>
      </c>
      <c r="F526" s="328" t="s">
        <v>188</v>
      </c>
      <c r="G526" s="328" t="s">
        <v>188</v>
      </c>
    </row>
    <row r="527" spans="1:7" x14ac:dyDescent="0.3">
      <c r="A527" s="344" t="s">
        <v>731</v>
      </c>
      <c r="B527" s="328" t="s">
        <v>188</v>
      </c>
      <c r="C527" s="328" t="s">
        <v>188</v>
      </c>
      <c r="D527" s="328" t="s">
        <v>188</v>
      </c>
      <c r="E527" s="328" t="s">
        <v>188</v>
      </c>
      <c r="F527" s="328" t="s">
        <v>188</v>
      </c>
      <c r="G527" s="328" t="s">
        <v>188</v>
      </c>
    </row>
    <row r="528" spans="1:7" x14ac:dyDescent="0.3">
      <c r="A528" s="345" t="s">
        <v>732</v>
      </c>
      <c r="B528" s="328" t="s">
        <v>188</v>
      </c>
      <c r="C528" s="331" t="s">
        <v>188</v>
      </c>
      <c r="D528" s="328" t="s">
        <v>188</v>
      </c>
      <c r="E528" s="328" t="s">
        <v>188</v>
      </c>
      <c r="F528" s="328" t="s">
        <v>188</v>
      </c>
      <c r="G528" s="328" t="s">
        <v>188</v>
      </c>
    </row>
    <row r="529" spans="1:7" x14ac:dyDescent="0.3">
      <c r="A529" s="345" t="s">
        <v>733</v>
      </c>
      <c r="B529" s="328" t="s">
        <v>188</v>
      </c>
      <c r="C529" s="331" t="s">
        <v>188</v>
      </c>
      <c r="D529" s="328" t="s">
        <v>188</v>
      </c>
      <c r="E529" s="328" t="s">
        <v>188</v>
      </c>
      <c r="F529" s="328" t="s">
        <v>188</v>
      </c>
      <c r="G529" s="328" t="s">
        <v>188</v>
      </c>
    </row>
    <row r="530" spans="1:7" x14ac:dyDescent="0.3">
      <c r="A530" s="345" t="s">
        <v>734</v>
      </c>
      <c r="B530" s="328" t="s">
        <v>188</v>
      </c>
      <c r="C530" s="331" t="s">
        <v>188</v>
      </c>
      <c r="D530" s="328" t="s">
        <v>188</v>
      </c>
      <c r="E530" s="328" t="s">
        <v>188</v>
      </c>
      <c r="F530" s="328" t="s">
        <v>188</v>
      </c>
      <c r="G530" s="328" t="s">
        <v>188</v>
      </c>
    </row>
    <row r="531" spans="1:7" x14ac:dyDescent="0.3">
      <c r="A531" s="344" t="s">
        <v>735</v>
      </c>
      <c r="B531" s="328" t="s">
        <v>188</v>
      </c>
      <c r="C531" s="328" t="s">
        <v>188</v>
      </c>
      <c r="D531" s="328" t="s">
        <v>188</v>
      </c>
      <c r="E531" s="328" t="s">
        <v>188</v>
      </c>
      <c r="F531" s="328" t="s">
        <v>188</v>
      </c>
      <c r="G531" s="328" t="s">
        <v>188</v>
      </c>
    </row>
    <row r="532" spans="1:7" x14ac:dyDescent="0.3">
      <c r="A532" s="345" t="s">
        <v>3404</v>
      </c>
      <c r="B532" s="328" t="s">
        <v>188</v>
      </c>
      <c r="C532" s="331">
        <v>6459.5584610062451</v>
      </c>
      <c r="D532" s="328" t="s">
        <v>188</v>
      </c>
      <c r="E532" s="328" t="s">
        <v>188</v>
      </c>
      <c r="F532" s="328" t="s">
        <v>188</v>
      </c>
      <c r="G532" s="328" t="s">
        <v>188</v>
      </c>
    </row>
    <row r="533" spans="1:7" x14ac:dyDescent="0.3">
      <c r="A533" s="346" t="s">
        <v>738</v>
      </c>
      <c r="B533" s="328" t="s">
        <v>188</v>
      </c>
      <c r="C533" s="331">
        <v>473.19623090020355</v>
      </c>
      <c r="D533" s="328"/>
      <c r="E533" s="328" t="s">
        <v>188</v>
      </c>
      <c r="F533" s="328" t="s">
        <v>188</v>
      </c>
      <c r="G533" s="328"/>
    </row>
    <row r="534" spans="1:7" x14ac:dyDescent="0.3">
      <c r="A534" s="346" t="s">
        <v>739</v>
      </c>
      <c r="B534" s="328" t="s">
        <v>188</v>
      </c>
      <c r="C534" s="331">
        <v>299.39799460361405</v>
      </c>
      <c r="D534" s="328"/>
      <c r="E534" s="328" t="s">
        <v>188</v>
      </c>
      <c r="F534" s="328" t="s">
        <v>188</v>
      </c>
      <c r="G534" s="328"/>
    </row>
    <row r="535" spans="1:7" x14ac:dyDescent="0.3">
      <c r="A535" s="346" t="s">
        <v>740</v>
      </c>
      <c r="B535" s="328" t="s">
        <v>188</v>
      </c>
      <c r="C535" s="331">
        <v>3035.0507480212009</v>
      </c>
      <c r="D535" s="328"/>
      <c r="E535" s="328" t="s">
        <v>188</v>
      </c>
      <c r="F535" s="328" t="s">
        <v>188</v>
      </c>
      <c r="G535" s="328"/>
    </row>
    <row r="536" spans="1:7" x14ac:dyDescent="0.3">
      <c r="A536" s="346" t="s">
        <v>741</v>
      </c>
      <c r="B536" s="328" t="s">
        <v>188</v>
      </c>
      <c r="C536" s="331">
        <v>251.93525163617798</v>
      </c>
      <c r="D536" s="328"/>
      <c r="E536" s="328" t="s">
        <v>188</v>
      </c>
      <c r="F536" s="328" t="s">
        <v>188</v>
      </c>
      <c r="G536" s="328"/>
    </row>
    <row r="537" spans="1:7" x14ac:dyDescent="0.3">
      <c r="A537" s="346" t="s">
        <v>742</v>
      </c>
      <c r="B537" s="328" t="s">
        <v>188</v>
      </c>
      <c r="C537" s="331">
        <v>297.36246326322032</v>
      </c>
      <c r="D537" s="328"/>
      <c r="E537" s="328" t="s">
        <v>188</v>
      </c>
      <c r="F537" s="328" t="s">
        <v>188</v>
      </c>
      <c r="G537" s="328"/>
    </row>
    <row r="538" spans="1:7" x14ac:dyDescent="0.3">
      <c r="A538" s="346" t="s">
        <v>743</v>
      </c>
      <c r="B538" s="328" t="s">
        <v>188</v>
      </c>
      <c r="C538" s="331">
        <v>309.95636595734669</v>
      </c>
      <c r="D538" s="328"/>
      <c r="E538" s="328" t="s">
        <v>188</v>
      </c>
      <c r="F538" s="328" t="s">
        <v>188</v>
      </c>
      <c r="G538" s="328"/>
    </row>
    <row r="539" spans="1:7" x14ac:dyDescent="0.3">
      <c r="A539" s="346" t="s">
        <v>744</v>
      </c>
      <c r="B539" s="328" t="s">
        <v>188</v>
      </c>
      <c r="C539" s="331">
        <v>178.40438707912745</v>
      </c>
      <c r="D539" s="328"/>
      <c r="E539" s="328" t="s">
        <v>188</v>
      </c>
      <c r="F539" s="328" t="s">
        <v>188</v>
      </c>
      <c r="G539" s="328"/>
    </row>
    <row r="540" spans="1:7" x14ac:dyDescent="0.3">
      <c r="A540" s="346" t="s">
        <v>745</v>
      </c>
      <c r="B540" s="328" t="s">
        <v>188</v>
      </c>
      <c r="C540" s="331">
        <v>214.11005793654462</v>
      </c>
      <c r="D540" s="328"/>
      <c r="E540" s="328" t="s">
        <v>188</v>
      </c>
      <c r="F540" s="328" t="s">
        <v>188</v>
      </c>
      <c r="G540" s="328"/>
    </row>
    <row r="541" spans="1:7" x14ac:dyDescent="0.3">
      <c r="A541" s="346" t="s">
        <v>746</v>
      </c>
      <c r="B541" s="328" t="s">
        <v>188</v>
      </c>
      <c r="C541" s="331">
        <v>1167.114207479091</v>
      </c>
      <c r="D541" s="328"/>
      <c r="E541" s="328" t="s">
        <v>188</v>
      </c>
      <c r="F541" s="328" t="s">
        <v>188</v>
      </c>
      <c r="G541" s="328"/>
    </row>
    <row r="542" spans="1:7" x14ac:dyDescent="0.3">
      <c r="A542" s="346" t="s">
        <v>3129</v>
      </c>
      <c r="B542" s="328" t="s">
        <v>188</v>
      </c>
      <c r="C542" s="331">
        <v>178.70274178817721</v>
      </c>
      <c r="D542" s="328"/>
      <c r="E542" s="328" t="s">
        <v>188</v>
      </c>
      <c r="F542" s="328" t="s">
        <v>188</v>
      </c>
      <c r="G542" s="328"/>
    </row>
    <row r="543" spans="1:7" x14ac:dyDescent="0.3">
      <c r="A543" s="346" t="s">
        <v>3130</v>
      </c>
      <c r="B543" s="328" t="s">
        <v>188</v>
      </c>
      <c r="C543" s="331">
        <v>54.328012341541672</v>
      </c>
      <c r="D543" s="328"/>
      <c r="E543" s="328" t="s">
        <v>188</v>
      </c>
      <c r="F543" s="328" t="s">
        <v>188</v>
      </c>
      <c r="G543" s="328"/>
    </row>
    <row r="544" spans="1:7" x14ac:dyDescent="0.3">
      <c r="A544" s="343" t="s">
        <v>747</v>
      </c>
      <c r="B544" s="328" t="s">
        <v>188</v>
      </c>
      <c r="C544" s="331">
        <v>55.215000000000003</v>
      </c>
      <c r="D544" s="328" t="s">
        <v>188</v>
      </c>
      <c r="E544" s="328" t="s">
        <v>188</v>
      </c>
      <c r="F544" s="328" t="s">
        <v>188</v>
      </c>
      <c r="G544" s="328" t="s">
        <v>188</v>
      </c>
    </row>
    <row r="545" spans="1:7" x14ac:dyDescent="0.3">
      <c r="A545" s="343" t="s">
        <v>748</v>
      </c>
      <c r="B545" s="328" t="s">
        <v>188</v>
      </c>
      <c r="C545" s="331">
        <v>91.609200000000001</v>
      </c>
      <c r="D545" s="328" t="s">
        <v>188</v>
      </c>
      <c r="E545" s="328" t="s">
        <v>188</v>
      </c>
      <c r="F545" s="328" t="s">
        <v>188</v>
      </c>
      <c r="G545" s="328" t="s">
        <v>188</v>
      </c>
    </row>
    <row r="546" spans="1:7" x14ac:dyDescent="0.3">
      <c r="A546" s="343" t="s">
        <v>749</v>
      </c>
      <c r="B546" s="328" t="s">
        <v>188</v>
      </c>
      <c r="C546" s="331">
        <v>115.34480598632427</v>
      </c>
      <c r="D546" s="328" t="s">
        <v>188</v>
      </c>
      <c r="E546" s="328" t="s">
        <v>188</v>
      </c>
      <c r="F546" s="328" t="s">
        <v>188</v>
      </c>
      <c r="G546" s="328" t="s">
        <v>188</v>
      </c>
    </row>
    <row r="547" spans="1:7" x14ac:dyDescent="0.3">
      <c r="A547" s="347" t="s">
        <v>750</v>
      </c>
      <c r="B547" s="328" t="s">
        <v>188</v>
      </c>
      <c r="C547" s="331" t="s">
        <v>520</v>
      </c>
      <c r="D547" s="328"/>
      <c r="E547" s="328" t="s">
        <v>188</v>
      </c>
      <c r="F547" s="328" t="s">
        <v>188</v>
      </c>
      <c r="G547" s="328"/>
    </row>
    <row r="548" spans="1:7" x14ac:dyDescent="0.3">
      <c r="A548" s="347" t="s">
        <v>751</v>
      </c>
      <c r="B548" s="328" t="s">
        <v>188</v>
      </c>
      <c r="C548" s="331">
        <v>26.068534199999998</v>
      </c>
      <c r="D548" s="328"/>
      <c r="E548" s="328" t="s">
        <v>188</v>
      </c>
      <c r="F548" s="328" t="s">
        <v>188</v>
      </c>
      <c r="G548" s="328"/>
    </row>
    <row r="549" spans="1:7" x14ac:dyDescent="0.3">
      <c r="A549" s="347" t="s">
        <v>752</v>
      </c>
      <c r="B549" s="328" t="s">
        <v>188</v>
      </c>
      <c r="C549" s="331">
        <v>69.750133199999993</v>
      </c>
      <c r="D549" s="328"/>
      <c r="E549" s="328" t="s">
        <v>188</v>
      </c>
      <c r="F549" s="328" t="s">
        <v>188</v>
      </c>
      <c r="G549" s="328"/>
    </row>
    <row r="550" spans="1:7" x14ac:dyDescent="0.3">
      <c r="A550" s="347" t="s">
        <v>753</v>
      </c>
      <c r="B550" s="328" t="s">
        <v>188</v>
      </c>
      <c r="C550" s="331">
        <v>2.1242679999999998</v>
      </c>
      <c r="D550" s="328"/>
      <c r="E550" s="328" t="s">
        <v>188</v>
      </c>
      <c r="F550" s="328" t="s">
        <v>188</v>
      </c>
      <c r="G550" s="328"/>
    </row>
    <row r="551" spans="1:7" x14ac:dyDescent="0.3">
      <c r="A551" s="347" t="s">
        <v>754</v>
      </c>
      <c r="B551" s="328" t="s">
        <v>188</v>
      </c>
      <c r="C551" s="331" t="s">
        <v>520</v>
      </c>
      <c r="D551" s="328"/>
      <c r="E551" s="328" t="s">
        <v>188</v>
      </c>
      <c r="F551" s="328" t="s">
        <v>188</v>
      </c>
      <c r="G551" s="328"/>
    </row>
    <row r="552" spans="1:7" x14ac:dyDescent="0.3">
      <c r="A552" s="348" t="s">
        <v>755</v>
      </c>
      <c r="B552" s="328" t="s">
        <v>188</v>
      </c>
      <c r="C552" s="331">
        <v>17.401870586324279</v>
      </c>
      <c r="D552" s="328" t="s">
        <v>188</v>
      </c>
      <c r="E552" s="328" t="s">
        <v>188</v>
      </c>
      <c r="F552" s="328" t="s">
        <v>188</v>
      </c>
      <c r="G552" s="328" t="s">
        <v>188</v>
      </c>
    </row>
    <row r="553" spans="1:7" x14ac:dyDescent="0.3">
      <c r="A553" s="349" t="s">
        <v>756</v>
      </c>
      <c r="B553" s="328" t="s">
        <v>188</v>
      </c>
      <c r="C553" s="331">
        <v>17.401870586324279</v>
      </c>
      <c r="D553" s="328"/>
      <c r="E553" s="328" t="s">
        <v>188</v>
      </c>
      <c r="F553" s="328" t="s">
        <v>188</v>
      </c>
      <c r="G553" s="328"/>
    </row>
    <row r="554" spans="1:7" x14ac:dyDescent="0.3">
      <c r="A554" s="336" t="s">
        <v>757</v>
      </c>
      <c r="B554" s="328" t="s">
        <v>188</v>
      </c>
      <c r="C554" s="331">
        <v>1959.8302846233032</v>
      </c>
      <c r="D554" s="331">
        <v>54.694930480826123</v>
      </c>
      <c r="E554" s="328" t="s">
        <v>188</v>
      </c>
      <c r="F554" s="328" t="s">
        <v>188</v>
      </c>
      <c r="G554" s="331" t="s">
        <v>493</v>
      </c>
    </row>
    <row r="555" spans="1:7" x14ac:dyDescent="0.3">
      <c r="A555" s="350" t="s">
        <v>3405</v>
      </c>
      <c r="B555" s="328" t="s">
        <v>188</v>
      </c>
      <c r="C555" s="331">
        <v>1009.8520195503449</v>
      </c>
      <c r="D555" s="331">
        <v>42.152764039128421</v>
      </c>
      <c r="E555" s="328" t="s">
        <v>188</v>
      </c>
      <c r="F555" s="328" t="s">
        <v>188</v>
      </c>
      <c r="G555" s="331" t="s">
        <v>493</v>
      </c>
    </row>
    <row r="556" spans="1:7" x14ac:dyDescent="0.3">
      <c r="A556" s="344" t="s">
        <v>728</v>
      </c>
      <c r="B556" s="328" t="s">
        <v>188</v>
      </c>
      <c r="C556" s="328" t="s">
        <v>188</v>
      </c>
      <c r="D556" s="328" t="s">
        <v>188</v>
      </c>
      <c r="E556" s="328" t="s">
        <v>188</v>
      </c>
      <c r="F556" s="328" t="s">
        <v>188</v>
      </c>
      <c r="G556" s="328" t="s">
        <v>188</v>
      </c>
    </row>
    <row r="557" spans="1:7" x14ac:dyDescent="0.3">
      <c r="A557" s="345" t="s">
        <v>729</v>
      </c>
      <c r="B557" s="328" t="s">
        <v>188</v>
      </c>
      <c r="C557" s="331" t="s">
        <v>188</v>
      </c>
      <c r="D557" s="331" t="s">
        <v>188</v>
      </c>
      <c r="E557" s="328" t="s">
        <v>188</v>
      </c>
      <c r="F557" s="328" t="s">
        <v>188</v>
      </c>
      <c r="G557" s="329" t="s">
        <v>188</v>
      </c>
    </row>
    <row r="558" spans="1:7" x14ac:dyDescent="0.3">
      <c r="A558" s="345" t="s">
        <v>730</v>
      </c>
      <c r="B558" s="328" t="s">
        <v>188</v>
      </c>
      <c r="C558" s="331" t="s">
        <v>188</v>
      </c>
      <c r="D558" s="331" t="s">
        <v>188</v>
      </c>
      <c r="E558" s="328" t="s">
        <v>188</v>
      </c>
      <c r="F558" s="328" t="s">
        <v>188</v>
      </c>
      <c r="G558" s="329" t="s">
        <v>188</v>
      </c>
    </row>
    <row r="559" spans="1:7" x14ac:dyDescent="0.3">
      <c r="A559" s="344" t="s">
        <v>731</v>
      </c>
      <c r="B559" s="328" t="s">
        <v>188</v>
      </c>
      <c r="C559" s="328" t="s">
        <v>188</v>
      </c>
      <c r="D559" s="328" t="s">
        <v>188</v>
      </c>
      <c r="E559" s="328" t="s">
        <v>188</v>
      </c>
      <c r="F559" s="328" t="s">
        <v>188</v>
      </c>
      <c r="G559" s="328" t="s">
        <v>188</v>
      </c>
    </row>
    <row r="560" spans="1:7" x14ac:dyDescent="0.3">
      <c r="A560" s="345" t="s">
        <v>732</v>
      </c>
      <c r="B560" s="328" t="s">
        <v>188</v>
      </c>
      <c r="C560" s="331" t="s">
        <v>188</v>
      </c>
      <c r="D560" s="331" t="s">
        <v>188</v>
      </c>
      <c r="E560" s="328" t="s">
        <v>188</v>
      </c>
      <c r="F560" s="328" t="s">
        <v>188</v>
      </c>
      <c r="G560" s="329" t="s">
        <v>188</v>
      </c>
    </row>
    <row r="561" spans="1:7" x14ac:dyDescent="0.3">
      <c r="A561" s="345" t="s">
        <v>733</v>
      </c>
      <c r="B561" s="328" t="s">
        <v>188</v>
      </c>
      <c r="C561" s="331" t="s">
        <v>188</v>
      </c>
      <c r="D561" s="331" t="s">
        <v>188</v>
      </c>
      <c r="E561" s="328" t="s">
        <v>188</v>
      </c>
      <c r="F561" s="328" t="s">
        <v>188</v>
      </c>
      <c r="G561" s="329" t="s">
        <v>188</v>
      </c>
    </row>
    <row r="562" spans="1:7" x14ac:dyDescent="0.3">
      <c r="A562" s="345" t="s">
        <v>734</v>
      </c>
      <c r="B562" s="328" t="s">
        <v>188</v>
      </c>
      <c r="C562" s="331" t="s">
        <v>188</v>
      </c>
      <c r="D562" s="331" t="s">
        <v>188</v>
      </c>
      <c r="E562" s="328" t="s">
        <v>188</v>
      </c>
      <c r="F562" s="328" t="s">
        <v>188</v>
      </c>
      <c r="G562" s="329" t="s">
        <v>188</v>
      </c>
    </row>
    <row r="563" spans="1:7" x14ac:dyDescent="0.3">
      <c r="A563" s="344" t="s">
        <v>735</v>
      </c>
      <c r="B563" s="328" t="s">
        <v>188</v>
      </c>
      <c r="C563" s="328" t="s">
        <v>188</v>
      </c>
      <c r="D563" s="328" t="s">
        <v>188</v>
      </c>
      <c r="E563" s="328" t="s">
        <v>188</v>
      </c>
      <c r="F563" s="328" t="s">
        <v>188</v>
      </c>
      <c r="G563" s="328" t="s">
        <v>188</v>
      </c>
    </row>
    <row r="564" spans="1:7" x14ac:dyDescent="0.3">
      <c r="A564" s="345" t="s">
        <v>3406</v>
      </c>
      <c r="B564" s="328" t="s">
        <v>188</v>
      </c>
      <c r="C564" s="331">
        <v>1009.8520195503449</v>
      </c>
      <c r="D564" s="331">
        <v>42.152764039128421</v>
      </c>
      <c r="E564" s="328" t="s">
        <v>188</v>
      </c>
      <c r="F564" s="328" t="s">
        <v>188</v>
      </c>
      <c r="G564" s="329" t="s">
        <v>493</v>
      </c>
    </row>
    <row r="565" spans="1:7" x14ac:dyDescent="0.3">
      <c r="A565" s="346" t="s">
        <v>736</v>
      </c>
      <c r="B565" s="328" t="s">
        <v>188</v>
      </c>
      <c r="C565" s="331" t="s">
        <v>495</v>
      </c>
      <c r="D565" s="331" t="s">
        <v>495</v>
      </c>
      <c r="E565" s="328" t="s">
        <v>188</v>
      </c>
      <c r="F565" s="328" t="s">
        <v>188</v>
      </c>
      <c r="G565" s="329" t="s">
        <v>493</v>
      </c>
    </row>
    <row r="566" spans="1:7" x14ac:dyDescent="0.3">
      <c r="A566" s="346" t="s">
        <v>737</v>
      </c>
      <c r="B566" s="328" t="s">
        <v>188</v>
      </c>
      <c r="C566" s="331" t="s">
        <v>495</v>
      </c>
      <c r="D566" s="331" t="s">
        <v>495</v>
      </c>
      <c r="E566" s="328" t="s">
        <v>188</v>
      </c>
      <c r="F566" s="328" t="s">
        <v>188</v>
      </c>
      <c r="G566" s="329" t="s">
        <v>493</v>
      </c>
    </row>
    <row r="567" spans="1:7" x14ac:dyDescent="0.3">
      <c r="A567" s="346" t="s">
        <v>738</v>
      </c>
      <c r="B567" s="328" t="s">
        <v>188</v>
      </c>
      <c r="C567" s="331">
        <v>4.2126418231888598</v>
      </c>
      <c r="D567" s="331" t="s">
        <v>495</v>
      </c>
      <c r="E567" s="328" t="s">
        <v>188</v>
      </c>
      <c r="F567" s="328" t="s">
        <v>188</v>
      </c>
      <c r="G567" s="329" t="s">
        <v>493</v>
      </c>
    </row>
    <row r="568" spans="1:7" x14ac:dyDescent="0.3">
      <c r="A568" s="346" t="s">
        <v>739</v>
      </c>
      <c r="B568" s="328" t="s">
        <v>188</v>
      </c>
      <c r="C568" s="331">
        <v>2.7902546389271099</v>
      </c>
      <c r="D568" s="331" t="s">
        <v>495</v>
      </c>
      <c r="E568" s="328" t="s">
        <v>188</v>
      </c>
      <c r="F568" s="328" t="s">
        <v>188</v>
      </c>
      <c r="G568" s="329" t="s">
        <v>493</v>
      </c>
    </row>
    <row r="569" spans="1:7" x14ac:dyDescent="0.3">
      <c r="A569" s="346" t="s">
        <v>740</v>
      </c>
      <c r="B569" s="328" t="s">
        <v>188</v>
      </c>
      <c r="C569" s="331">
        <v>28.497717298240602</v>
      </c>
      <c r="D569" s="331" t="s">
        <v>495</v>
      </c>
      <c r="E569" s="328" t="s">
        <v>188</v>
      </c>
      <c r="F569" s="328" t="s">
        <v>188</v>
      </c>
      <c r="G569" s="329" t="s">
        <v>493</v>
      </c>
    </row>
    <row r="570" spans="1:7" x14ac:dyDescent="0.3">
      <c r="A570" s="346" t="s">
        <v>741</v>
      </c>
      <c r="B570" s="328" t="s">
        <v>188</v>
      </c>
      <c r="C570" s="331">
        <v>6.66034512616306</v>
      </c>
      <c r="D570" s="331">
        <v>7.8425112598720697</v>
      </c>
      <c r="E570" s="328" t="s">
        <v>188</v>
      </c>
      <c r="F570" s="328" t="s">
        <v>188</v>
      </c>
      <c r="G570" s="329" t="s">
        <v>493</v>
      </c>
    </row>
    <row r="571" spans="1:7" x14ac:dyDescent="0.3">
      <c r="A571" s="346" t="s">
        <v>742</v>
      </c>
      <c r="B571" s="328" t="s">
        <v>188</v>
      </c>
      <c r="C571" s="331">
        <v>2.52263043402202</v>
      </c>
      <c r="D571" s="331" t="s">
        <v>495</v>
      </c>
      <c r="E571" s="328" t="s">
        <v>188</v>
      </c>
      <c r="F571" s="328" t="s">
        <v>188</v>
      </c>
      <c r="G571" s="329" t="s">
        <v>493</v>
      </c>
    </row>
    <row r="572" spans="1:7" x14ac:dyDescent="0.3">
      <c r="A572" s="346" t="s">
        <v>743</v>
      </c>
      <c r="B572" s="328" t="s">
        <v>188</v>
      </c>
      <c r="C572" s="331">
        <v>15.278275422757799</v>
      </c>
      <c r="D572" s="331">
        <v>15.52463493848146</v>
      </c>
      <c r="E572" s="328" t="s">
        <v>188</v>
      </c>
      <c r="F572" s="328" t="s">
        <v>188</v>
      </c>
      <c r="G572" s="329" t="s">
        <v>493</v>
      </c>
    </row>
    <row r="573" spans="1:7" x14ac:dyDescent="0.3">
      <c r="A573" s="346" t="s">
        <v>744</v>
      </c>
      <c r="B573" s="328" t="s">
        <v>188</v>
      </c>
      <c r="C573" s="331">
        <v>8.8016924452317706</v>
      </c>
      <c r="D573" s="331">
        <v>8.4893956827476593</v>
      </c>
      <c r="E573" s="328" t="s">
        <v>188</v>
      </c>
      <c r="F573" s="328" t="s">
        <v>188</v>
      </c>
      <c r="G573" s="329" t="s">
        <v>493</v>
      </c>
    </row>
    <row r="574" spans="1:7" x14ac:dyDescent="0.3">
      <c r="A574" s="346" t="s">
        <v>745</v>
      </c>
      <c r="B574" s="328" t="s">
        <v>188</v>
      </c>
      <c r="C574" s="331">
        <v>2.0137792152480598</v>
      </c>
      <c r="D574" s="331" t="s">
        <v>495</v>
      </c>
      <c r="E574" s="328" t="s">
        <v>188</v>
      </c>
      <c r="F574" s="328" t="s">
        <v>188</v>
      </c>
      <c r="G574" s="329" t="s">
        <v>493</v>
      </c>
    </row>
    <row r="575" spans="1:7" x14ac:dyDescent="0.3">
      <c r="A575" s="346" t="s">
        <v>746</v>
      </c>
      <c r="B575" s="328" t="s">
        <v>188</v>
      </c>
      <c r="C575" s="331">
        <v>935.45098734337898</v>
      </c>
      <c r="D575" s="331">
        <v>10.296222158027231</v>
      </c>
      <c r="E575" s="328" t="s">
        <v>188</v>
      </c>
      <c r="F575" s="328" t="s">
        <v>188</v>
      </c>
      <c r="G575" s="329" t="s">
        <v>493</v>
      </c>
    </row>
    <row r="576" spans="1:7" x14ac:dyDescent="0.3">
      <c r="A576" s="346" t="s">
        <v>3129</v>
      </c>
      <c r="B576" s="328" t="s">
        <v>188</v>
      </c>
      <c r="C576" s="331">
        <v>2.84526374758499</v>
      </c>
      <c r="D576" s="331" t="s">
        <v>495</v>
      </c>
      <c r="E576" s="328" t="s">
        <v>188</v>
      </c>
      <c r="F576" s="328" t="s">
        <v>188</v>
      </c>
      <c r="G576" s="329" t="s">
        <v>493</v>
      </c>
    </row>
    <row r="577" spans="1:7" x14ac:dyDescent="0.3">
      <c r="A577" s="346" t="s">
        <v>3130</v>
      </c>
      <c r="B577" s="328" t="s">
        <v>188</v>
      </c>
      <c r="C577" s="331">
        <v>0.77843205560164996</v>
      </c>
      <c r="D577" s="331" t="s">
        <v>495</v>
      </c>
      <c r="E577" s="328" t="s">
        <v>188</v>
      </c>
      <c r="F577" s="328" t="s">
        <v>188</v>
      </c>
      <c r="G577" s="329" t="s">
        <v>493</v>
      </c>
    </row>
    <row r="578" spans="1:7" x14ac:dyDescent="0.3">
      <c r="A578" s="343" t="s">
        <v>747</v>
      </c>
      <c r="B578" s="328" t="s">
        <v>188</v>
      </c>
      <c r="C578" s="331">
        <v>2.33929947528482</v>
      </c>
      <c r="D578" s="331">
        <v>1.16065025717818</v>
      </c>
      <c r="E578" s="328" t="s">
        <v>188</v>
      </c>
      <c r="F578" s="328" t="s">
        <v>188</v>
      </c>
      <c r="G578" s="329" t="s">
        <v>493</v>
      </c>
    </row>
    <row r="579" spans="1:7" x14ac:dyDescent="0.3">
      <c r="A579" s="343" t="s">
        <v>748</v>
      </c>
      <c r="B579" s="328" t="s">
        <v>188</v>
      </c>
      <c r="C579" s="331">
        <v>811.93514606186397</v>
      </c>
      <c r="D579" s="331">
        <v>5.4580785736261301</v>
      </c>
      <c r="E579" s="328" t="s">
        <v>188</v>
      </c>
      <c r="F579" s="328" t="s">
        <v>188</v>
      </c>
      <c r="G579" s="329" t="s">
        <v>493</v>
      </c>
    </row>
    <row r="580" spans="1:7" x14ac:dyDescent="0.3">
      <c r="A580" s="343" t="s">
        <v>749</v>
      </c>
      <c r="B580" s="328" t="s">
        <v>188</v>
      </c>
      <c r="C580" s="331">
        <v>135.7038195358096</v>
      </c>
      <c r="D580" s="331">
        <v>5.9234376108933899</v>
      </c>
      <c r="E580" s="328" t="s">
        <v>188</v>
      </c>
      <c r="F580" s="328" t="s">
        <v>188</v>
      </c>
      <c r="G580" s="331" t="s">
        <v>493</v>
      </c>
    </row>
    <row r="581" spans="1:7" x14ac:dyDescent="0.3">
      <c r="A581" s="347" t="s">
        <v>750</v>
      </c>
      <c r="B581" s="328" t="s">
        <v>188</v>
      </c>
      <c r="C581" s="331" t="s">
        <v>520</v>
      </c>
      <c r="D581" s="331" t="s">
        <v>520</v>
      </c>
      <c r="E581" s="328" t="s">
        <v>188</v>
      </c>
      <c r="F581" s="328" t="s">
        <v>188</v>
      </c>
      <c r="G581" s="329" t="s">
        <v>493</v>
      </c>
    </row>
    <row r="582" spans="1:7" x14ac:dyDescent="0.3">
      <c r="A582" s="347" t="s">
        <v>751</v>
      </c>
      <c r="B582" s="328" t="s">
        <v>188</v>
      </c>
      <c r="C582" s="331">
        <v>0.39070037091767001</v>
      </c>
      <c r="D582" s="331">
        <v>8.605344306328E-2</v>
      </c>
      <c r="E582" s="328" t="s">
        <v>188</v>
      </c>
      <c r="F582" s="328" t="s">
        <v>188</v>
      </c>
      <c r="G582" s="329" t="s">
        <v>493</v>
      </c>
    </row>
    <row r="583" spans="1:7" x14ac:dyDescent="0.3">
      <c r="A583" s="347" t="s">
        <v>752</v>
      </c>
      <c r="B583" s="328" t="s">
        <v>188</v>
      </c>
      <c r="C583" s="331">
        <v>5.3420648053523196</v>
      </c>
      <c r="D583" s="331">
        <v>0.46691353425823001</v>
      </c>
      <c r="E583" s="328" t="s">
        <v>188</v>
      </c>
      <c r="F583" s="328" t="s">
        <v>188</v>
      </c>
      <c r="G583" s="329" t="s">
        <v>493</v>
      </c>
    </row>
    <row r="584" spans="1:7" x14ac:dyDescent="0.3">
      <c r="A584" s="347" t="s">
        <v>753</v>
      </c>
      <c r="B584" s="328" t="s">
        <v>188</v>
      </c>
      <c r="C584" s="331">
        <v>8.5169405120220004E-2</v>
      </c>
      <c r="D584" s="331">
        <v>8.4830813865599992E-3</v>
      </c>
      <c r="E584" s="328" t="s">
        <v>188</v>
      </c>
      <c r="F584" s="328" t="s">
        <v>188</v>
      </c>
      <c r="G584" s="329" t="s">
        <v>493</v>
      </c>
    </row>
    <row r="585" spans="1:7" x14ac:dyDescent="0.3">
      <c r="A585" s="347" t="s">
        <v>754</v>
      </c>
      <c r="B585" s="328" t="s">
        <v>188</v>
      </c>
      <c r="C585" s="331">
        <v>129.698664250798</v>
      </c>
      <c r="D585" s="331">
        <v>5.3619875521853197</v>
      </c>
      <c r="E585" s="328" t="s">
        <v>188</v>
      </c>
      <c r="F585" s="328" t="s">
        <v>188</v>
      </c>
      <c r="G585" s="329" t="s">
        <v>493</v>
      </c>
    </row>
    <row r="586" spans="1:7" x14ac:dyDescent="0.3">
      <c r="A586" s="348" t="s">
        <v>755</v>
      </c>
      <c r="B586" s="328" t="s">
        <v>188</v>
      </c>
      <c r="C586" s="331">
        <v>0.18722070362137999</v>
      </c>
      <c r="D586" s="331" t="s">
        <v>495</v>
      </c>
      <c r="E586" s="328" t="s">
        <v>188</v>
      </c>
      <c r="F586" s="328" t="s">
        <v>188</v>
      </c>
      <c r="G586" s="331" t="s">
        <v>493</v>
      </c>
    </row>
    <row r="587" spans="1:7" x14ac:dyDescent="0.3">
      <c r="A587" s="349" t="s">
        <v>756</v>
      </c>
      <c r="B587" s="328" t="s">
        <v>188</v>
      </c>
      <c r="C587" s="331">
        <v>0.18722070362137999</v>
      </c>
      <c r="D587" s="331" t="s">
        <v>495</v>
      </c>
      <c r="E587" s="328" t="s">
        <v>188</v>
      </c>
      <c r="F587" s="328" t="s">
        <v>188</v>
      </c>
      <c r="G587" s="329" t="s">
        <v>493</v>
      </c>
    </row>
    <row r="588" spans="1:7" ht="15" thickBot="1" x14ac:dyDescent="0.35">
      <c r="A588" s="343" t="s">
        <v>3407</v>
      </c>
      <c r="B588" s="328" t="s">
        <v>188</v>
      </c>
      <c r="C588" s="328" t="s">
        <v>188</v>
      </c>
      <c r="D588" s="331" t="s">
        <v>495</v>
      </c>
      <c r="E588" s="328" t="s">
        <v>188</v>
      </c>
      <c r="F588" s="328" t="s">
        <v>188</v>
      </c>
      <c r="G588" s="328" t="s">
        <v>188</v>
      </c>
    </row>
    <row r="589" spans="1:7" s="246" customFormat="1" ht="12.75" customHeight="1" thickTop="1" x14ac:dyDescent="0.25">
      <c r="A589" s="67" t="s">
        <v>758</v>
      </c>
      <c r="B589" s="328" t="s">
        <v>188</v>
      </c>
      <c r="C589" s="331">
        <v>719.88457694084161</v>
      </c>
      <c r="D589" s="328" t="s">
        <v>188</v>
      </c>
      <c r="E589" s="328" t="s">
        <v>188</v>
      </c>
      <c r="F589" s="328" t="s">
        <v>188</v>
      </c>
      <c r="G589" s="331" t="s">
        <v>493</v>
      </c>
    </row>
    <row r="590" spans="1:7" s="246" customFormat="1" ht="12.75" customHeight="1" x14ac:dyDescent="0.25">
      <c r="A590" s="68" t="s">
        <v>759</v>
      </c>
      <c r="B590" s="328" t="s">
        <v>188</v>
      </c>
      <c r="C590" s="329" t="s">
        <v>493</v>
      </c>
      <c r="D590" s="331">
        <v>1053.0935979415153</v>
      </c>
      <c r="E590" s="329" t="s">
        <v>493</v>
      </c>
      <c r="F590" s="329" t="s">
        <v>493</v>
      </c>
      <c r="G590" s="329" t="s">
        <v>493</v>
      </c>
    </row>
    <row r="591" spans="1:7" s="246" customFormat="1" ht="12.75" customHeight="1" x14ac:dyDescent="0.25">
      <c r="A591" s="68" t="s">
        <v>760</v>
      </c>
      <c r="B591" s="328" t="s">
        <v>188</v>
      </c>
      <c r="C591" s="331" t="s">
        <v>495</v>
      </c>
      <c r="D591" s="331" t="s">
        <v>495</v>
      </c>
      <c r="E591" s="329" t="s">
        <v>495</v>
      </c>
      <c r="F591" s="329" t="s">
        <v>495</v>
      </c>
      <c r="G591" s="329" t="s">
        <v>493</v>
      </c>
    </row>
    <row r="592" spans="1:7" s="246" customFormat="1" ht="12.75" customHeight="1" x14ac:dyDescent="0.25">
      <c r="A592" s="68" t="s">
        <v>761</v>
      </c>
      <c r="B592" s="328" t="s">
        <v>188</v>
      </c>
      <c r="C592" s="331">
        <v>17.318326450965749</v>
      </c>
      <c r="D592" s="331">
        <v>0.63206652889299997</v>
      </c>
      <c r="E592" s="329">
        <v>14.91067980114685</v>
      </c>
      <c r="F592" s="329">
        <v>363.40666610922074</v>
      </c>
      <c r="G592" s="329" t="s">
        <v>493</v>
      </c>
    </row>
    <row r="593" spans="1:7" s="246" customFormat="1" ht="14.25" customHeight="1" x14ac:dyDescent="0.25">
      <c r="A593" s="306" t="s">
        <v>762</v>
      </c>
      <c r="B593" s="331">
        <v>4349.248664685867</v>
      </c>
      <c r="C593" s="328" t="s">
        <v>188</v>
      </c>
      <c r="D593" s="328" t="s">
        <v>188</v>
      </c>
      <c r="E593" s="328" t="s">
        <v>188</v>
      </c>
      <c r="F593" s="328" t="s">
        <v>188</v>
      </c>
      <c r="G593" s="328" t="s">
        <v>188</v>
      </c>
    </row>
    <row r="594" spans="1:7" s="246" customFormat="1" ht="12" customHeight="1" x14ac:dyDescent="0.25">
      <c r="A594" s="306" t="s">
        <v>763</v>
      </c>
      <c r="B594" s="331">
        <v>3504.4603945689328</v>
      </c>
      <c r="C594" s="328" t="s">
        <v>188</v>
      </c>
      <c r="D594" s="328" t="s">
        <v>188</v>
      </c>
      <c r="E594" s="328" t="s">
        <v>188</v>
      </c>
      <c r="F594" s="328" t="s">
        <v>188</v>
      </c>
      <c r="G594" s="328" t="s">
        <v>188</v>
      </c>
    </row>
    <row r="595" spans="1:7" s="246" customFormat="1" ht="12" customHeight="1" x14ac:dyDescent="0.25">
      <c r="A595" s="303" t="s">
        <v>764</v>
      </c>
      <c r="B595" s="331" t="s">
        <v>493</v>
      </c>
      <c r="C595" s="328" t="s">
        <v>188</v>
      </c>
      <c r="D595" s="328" t="s">
        <v>188</v>
      </c>
      <c r="E595" s="328" t="s">
        <v>188</v>
      </c>
      <c r="F595" s="328" t="s">
        <v>188</v>
      </c>
      <c r="G595" s="328" t="s">
        <v>188</v>
      </c>
    </row>
    <row r="596" spans="1:7" s="246" customFormat="1" ht="13.5" customHeight="1" x14ac:dyDescent="0.25">
      <c r="A596" s="69" t="s">
        <v>765</v>
      </c>
      <c r="B596" s="331" t="s">
        <v>493</v>
      </c>
      <c r="C596" s="331" t="s">
        <v>493</v>
      </c>
      <c r="D596" s="331" t="s">
        <v>493</v>
      </c>
      <c r="E596" s="331" t="s">
        <v>493</v>
      </c>
      <c r="F596" s="331" t="s">
        <v>493</v>
      </c>
      <c r="G596" s="331" t="s">
        <v>493</v>
      </c>
    </row>
    <row r="597" spans="1:7" x14ac:dyDescent="0.3">
      <c r="A597"/>
      <c r="B597"/>
      <c r="C597"/>
      <c r="D597"/>
      <c r="E597"/>
    </row>
    <row r="598" spans="1:7" x14ac:dyDescent="0.3">
      <c r="A598" s="70" t="s">
        <v>766</v>
      </c>
      <c r="B598" s="71">
        <f>B520</f>
        <v>7853.7090592547993</v>
      </c>
      <c r="C598" s="71">
        <f t="shared" ref="C598:G598" si="11">C520</f>
        <v>9418.7606550076798</v>
      </c>
      <c r="D598" s="71">
        <f t="shared" si="11"/>
        <v>1108.4205949512345</v>
      </c>
      <c r="E598" s="71">
        <f t="shared" si="11"/>
        <v>14.91067980114685</v>
      </c>
      <c r="F598" s="71">
        <f t="shared" si="11"/>
        <v>363.40666610922074</v>
      </c>
      <c r="G598" s="71" t="str">
        <f t="shared" si="11"/>
        <v>NA</v>
      </c>
    </row>
    <row r="599" spans="1:7" x14ac:dyDescent="0.3">
      <c r="A599"/>
      <c r="B599"/>
      <c r="C599"/>
      <c r="D599"/>
      <c r="E599"/>
    </row>
    <row r="601" spans="1:7" ht="15.6" x14ac:dyDescent="0.3">
      <c r="A601" s="212" t="s">
        <v>767</v>
      </c>
      <c r="B601" s="217"/>
      <c r="C601" s="217"/>
      <c r="D601" s="217"/>
      <c r="E601" s="217"/>
      <c r="F601" s="217"/>
      <c r="G601" s="49" t="s">
        <v>477</v>
      </c>
    </row>
    <row r="602" spans="1:7" ht="15.6" x14ac:dyDescent="0.3">
      <c r="A602" s="212" t="s">
        <v>666</v>
      </c>
      <c r="B602" s="217"/>
      <c r="C602" s="217"/>
      <c r="D602" s="217"/>
      <c r="E602" s="217"/>
      <c r="F602" s="217"/>
      <c r="G602" s="49" t="s">
        <v>3399</v>
      </c>
    </row>
    <row r="603" spans="1:7" x14ac:dyDescent="0.3">
      <c r="A603" s="217"/>
      <c r="B603" s="217"/>
      <c r="C603" s="217"/>
      <c r="D603" s="217"/>
      <c r="E603" s="217"/>
      <c r="F603" s="217"/>
      <c r="G603" s="49" t="s">
        <v>478</v>
      </c>
    </row>
    <row r="604" spans="1:7" x14ac:dyDescent="0.3">
      <c r="A604" s="217"/>
      <c r="B604" s="217"/>
      <c r="C604" s="217"/>
      <c r="D604" s="217"/>
      <c r="E604" s="217"/>
      <c r="F604" s="217"/>
      <c r="G604" s="247"/>
    </row>
    <row r="605" spans="1:7" ht="54" customHeight="1" x14ac:dyDescent="0.3">
      <c r="A605" s="454" t="s">
        <v>479</v>
      </c>
      <c r="B605" s="72" t="s">
        <v>768</v>
      </c>
      <c r="C605" s="72" t="s">
        <v>769</v>
      </c>
      <c r="D605" s="72" t="s">
        <v>770</v>
      </c>
      <c r="E605" s="72" t="s">
        <v>618</v>
      </c>
      <c r="F605" s="72" t="s">
        <v>484</v>
      </c>
      <c r="G605" s="72" t="s">
        <v>485</v>
      </c>
    </row>
    <row r="606" spans="1:7" ht="15" thickBot="1" x14ac:dyDescent="0.35">
      <c r="A606" s="455"/>
      <c r="B606" s="456" t="s">
        <v>487</v>
      </c>
      <c r="C606" s="457"/>
      <c r="D606" s="457"/>
      <c r="E606" s="457"/>
      <c r="F606" s="457"/>
      <c r="G606" s="458"/>
    </row>
    <row r="607" spans="1:7" ht="15" thickTop="1" x14ac:dyDescent="0.3">
      <c r="A607" s="73" t="s">
        <v>771</v>
      </c>
      <c r="B607" s="331">
        <v>-831125.53638504399</v>
      </c>
      <c r="C607" s="331">
        <v>1234.7394602571119</v>
      </c>
      <c r="D607" s="331">
        <v>35.11369899647039</v>
      </c>
      <c r="E607" s="331">
        <v>141.59499629999999</v>
      </c>
      <c r="F607" s="331">
        <v>7641.6606409999995</v>
      </c>
      <c r="G607" s="331" t="s">
        <v>516</v>
      </c>
    </row>
    <row r="608" spans="1:7" x14ac:dyDescent="0.3">
      <c r="A608" s="74" t="s">
        <v>772</v>
      </c>
      <c r="B608" s="331">
        <v>-680293.34243705962</v>
      </c>
      <c r="C608" s="331">
        <v>260.14196732065915</v>
      </c>
      <c r="D608" s="331">
        <v>22.501521677555012</v>
      </c>
      <c r="E608" s="331">
        <v>120.1226453</v>
      </c>
      <c r="F608" s="331">
        <v>7283.7881829999997</v>
      </c>
      <c r="G608" s="331" t="s">
        <v>516</v>
      </c>
    </row>
    <row r="609" spans="1:7" x14ac:dyDescent="0.3">
      <c r="A609" s="351" t="s">
        <v>773</v>
      </c>
      <c r="B609" s="331">
        <v>-581225.21712432243</v>
      </c>
      <c r="C609" s="331">
        <v>259.58656569999999</v>
      </c>
      <c r="D609" s="331">
        <v>22.303775677555009</v>
      </c>
      <c r="E609" s="329">
        <v>120.1226453</v>
      </c>
      <c r="F609" s="329">
        <v>7283.7881829999997</v>
      </c>
      <c r="G609" s="329" t="s">
        <v>520</v>
      </c>
    </row>
    <row r="610" spans="1:7" x14ac:dyDescent="0.3">
      <c r="A610" s="352" t="s">
        <v>774</v>
      </c>
      <c r="B610" s="331">
        <v>-99068.125312737131</v>
      </c>
      <c r="C610" s="331" t="s">
        <v>495</v>
      </c>
      <c r="D610" s="331" t="s">
        <v>3125</v>
      </c>
      <c r="E610" s="329" t="s">
        <v>493</v>
      </c>
      <c r="F610" s="329" t="s">
        <v>493</v>
      </c>
      <c r="G610" s="329" t="s">
        <v>493</v>
      </c>
    </row>
    <row r="611" spans="1:7" x14ac:dyDescent="0.3">
      <c r="A611" s="353" t="s">
        <v>775</v>
      </c>
      <c r="B611" s="331">
        <v>23030.524805171535</v>
      </c>
      <c r="C611" s="331" t="s">
        <v>3131</v>
      </c>
      <c r="D611" s="331" t="s">
        <v>3131</v>
      </c>
      <c r="E611" s="331" t="s">
        <v>493</v>
      </c>
      <c r="F611" s="331" t="s">
        <v>493</v>
      </c>
      <c r="G611" s="331" t="s">
        <v>493</v>
      </c>
    </row>
    <row r="612" spans="1:7" x14ac:dyDescent="0.3">
      <c r="A612" s="351" t="s">
        <v>776</v>
      </c>
      <c r="B612" s="331">
        <v>-29001.50383515003</v>
      </c>
      <c r="C612" s="331" t="s">
        <v>591</v>
      </c>
      <c r="D612" s="331" t="s">
        <v>591</v>
      </c>
      <c r="E612" s="329" t="s">
        <v>493</v>
      </c>
      <c r="F612" s="329" t="s">
        <v>493</v>
      </c>
      <c r="G612" s="329" t="s">
        <v>493</v>
      </c>
    </row>
    <row r="613" spans="1:7" x14ac:dyDescent="0.3">
      <c r="A613" s="351" t="s">
        <v>777</v>
      </c>
      <c r="B613" s="331">
        <v>52032.028640321565</v>
      </c>
      <c r="C613" s="331" t="s">
        <v>591</v>
      </c>
      <c r="D613" s="331" t="s">
        <v>591</v>
      </c>
      <c r="E613" s="329" t="s">
        <v>493</v>
      </c>
      <c r="F613" s="329" t="s">
        <v>493</v>
      </c>
      <c r="G613" s="329" t="s">
        <v>493</v>
      </c>
    </row>
    <row r="614" spans="1:7" x14ac:dyDescent="0.3">
      <c r="A614" s="74" t="s">
        <v>778</v>
      </c>
      <c r="B614" s="331">
        <v>-28216.102686357408</v>
      </c>
      <c r="C614" s="331">
        <v>12.663181</v>
      </c>
      <c r="D614" s="331">
        <v>1.1562030000000001</v>
      </c>
      <c r="E614" s="331">
        <v>21.472351</v>
      </c>
      <c r="F614" s="331">
        <v>357.87245800000005</v>
      </c>
      <c r="G614" s="331" t="s">
        <v>493</v>
      </c>
    </row>
    <row r="615" spans="1:7" x14ac:dyDescent="0.3">
      <c r="A615" s="351" t="s">
        <v>779</v>
      </c>
      <c r="B615" s="331">
        <v>8734.4840051914307</v>
      </c>
      <c r="C615" s="331">
        <v>12.663181</v>
      </c>
      <c r="D615" s="331">
        <v>1.1562030000000001</v>
      </c>
      <c r="E615" s="329">
        <v>21.472351</v>
      </c>
      <c r="F615" s="329">
        <v>357.87245800000005</v>
      </c>
      <c r="G615" s="329" t="s">
        <v>493</v>
      </c>
    </row>
    <row r="616" spans="1:7" x14ac:dyDescent="0.3">
      <c r="A616" s="352" t="s">
        <v>780</v>
      </c>
      <c r="B616" s="331">
        <v>-36950.586691548837</v>
      </c>
      <c r="C616" s="331" t="s">
        <v>520</v>
      </c>
      <c r="D616" s="331" t="s">
        <v>591</v>
      </c>
      <c r="E616" s="329" t="s">
        <v>493</v>
      </c>
      <c r="F616" s="329" t="s">
        <v>493</v>
      </c>
      <c r="G616" s="329" t="s">
        <v>493</v>
      </c>
    </row>
    <row r="617" spans="1:7" x14ac:dyDescent="0.3">
      <c r="A617" s="353" t="s">
        <v>781</v>
      </c>
      <c r="B617" s="331">
        <v>-5742.2251556353804</v>
      </c>
      <c r="C617" s="331">
        <v>961.93431193645267</v>
      </c>
      <c r="D617" s="331">
        <v>0.59525414428571</v>
      </c>
      <c r="E617" s="331" t="s">
        <v>493</v>
      </c>
      <c r="F617" s="331" t="s">
        <v>493</v>
      </c>
      <c r="G617" s="331" t="s">
        <v>493</v>
      </c>
    </row>
    <row r="618" spans="1:7" x14ac:dyDescent="0.3">
      <c r="A618" s="351" t="s">
        <v>782</v>
      </c>
      <c r="B618" s="331">
        <v>-10133.615543726639</v>
      </c>
      <c r="C618" s="331" t="s">
        <v>520</v>
      </c>
      <c r="D618" s="331">
        <v>0.59215403</v>
      </c>
      <c r="E618" s="329" t="s">
        <v>493</v>
      </c>
      <c r="F618" s="329" t="s">
        <v>493</v>
      </c>
      <c r="G618" s="329" t="s">
        <v>493</v>
      </c>
    </row>
    <row r="619" spans="1:7" x14ac:dyDescent="0.3">
      <c r="A619" s="351" t="s">
        <v>783</v>
      </c>
      <c r="B619" s="331">
        <v>469.44060909762544</v>
      </c>
      <c r="C619" s="331" t="s">
        <v>520</v>
      </c>
      <c r="D619" s="331" t="s">
        <v>516</v>
      </c>
      <c r="E619" s="329" t="s">
        <v>493</v>
      </c>
      <c r="F619" s="329" t="s">
        <v>493</v>
      </c>
      <c r="G619" s="329" t="s">
        <v>493</v>
      </c>
    </row>
    <row r="620" spans="1:7" x14ac:dyDescent="0.3">
      <c r="A620" s="74" t="s">
        <v>784</v>
      </c>
      <c r="B620" s="331">
        <v>-33858.519844496128</v>
      </c>
      <c r="C620" s="331" t="s">
        <v>520</v>
      </c>
      <c r="D620" s="331">
        <v>6.0475778530394004</v>
      </c>
      <c r="E620" s="331" t="s">
        <v>520</v>
      </c>
      <c r="F620" s="331" t="s">
        <v>520</v>
      </c>
      <c r="G620" s="331" t="s">
        <v>493</v>
      </c>
    </row>
    <row r="621" spans="1:7" x14ac:dyDescent="0.3">
      <c r="A621" s="351" t="s">
        <v>785</v>
      </c>
      <c r="B621" s="331">
        <v>-116642.3750794526</v>
      </c>
      <c r="C621" s="331" t="s">
        <v>520</v>
      </c>
      <c r="D621" s="331">
        <v>6.0475778530394004</v>
      </c>
      <c r="E621" s="329" t="s">
        <v>520</v>
      </c>
      <c r="F621" s="329" t="s">
        <v>520</v>
      </c>
      <c r="G621" s="329" t="s">
        <v>493</v>
      </c>
    </row>
    <row r="622" spans="1:7" x14ac:dyDescent="0.3">
      <c r="A622" s="352" t="s">
        <v>786</v>
      </c>
      <c r="B622" s="331">
        <v>82783.855234956471</v>
      </c>
      <c r="C622" s="331" t="s">
        <v>520</v>
      </c>
      <c r="D622" s="331" t="s">
        <v>591</v>
      </c>
      <c r="E622" s="329" t="s">
        <v>520</v>
      </c>
      <c r="F622" s="329" t="s">
        <v>520</v>
      </c>
      <c r="G622" s="329" t="s">
        <v>493</v>
      </c>
    </row>
    <row r="623" spans="1:7" x14ac:dyDescent="0.3">
      <c r="A623" s="353" t="s">
        <v>787</v>
      </c>
      <c r="B623" s="331" t="s">
        <v>520</v>
      </c>
      <c r="C623" s="331" t="s">
        <v>520</v>
      </c>
      <c r="D623" s="331" t="s">
        <v>520</v>
      </c>
      <c r="E623" s="331" t="s">
        <v>493</v>
      </c>
      <c r="F623" s="331" t="s">
        <v>493</v>
      </c>
      <c r="G623" s="331" t="s">
        <v>493</v>
      </c>
    </row>
    <row r="624" spans="1:7" x14ac:dyDescent="0.3">
      <c r="A624" s="351" t="s">
        <v>788</v>
      </c>
      <c r="B624" s="328" t="s">
        <v>188</v>
      </c>
      <c r="C624" s="328" t="s">
        <v>188</v>
      </c>
      <c r="D624" s="328" t="s">
        <v>188</v>
      </c>
      <c r="E624" s="328" t="s">
        <v>188</v>
      </c>
      <c r="F624" s="328" t="s">
        <v>188</v>
      </c>
      <c r="G624" s="328" t="s">
        <v>188</v>
      </c>
    </row>
    <row r="625" spans="1:8" x14ac:dyDescent="0.3">
      <c r="A625" s="351" t="s">
        <v>789</v>
      </c>
      <c r="B625" s="331" t="s">
        <v>520</v>
      </c>
      <c r="C625" s="331" t="s">
        <v>520</v>
      </c>
      <c r="D625" s="331" t="s">
        <v>520</v>
      </c>
      <c r="E625" s="329" t="s">
        <v>493</v>
      </c>
      <c r="F625" s="329" t="s">
        <v>493</v>
      </c>
      <c r="G625" s="329" t="s">
        <v>493</v>
      </c>
    </row>
    <row r="626" spans="1:8" x14ac:dyDescent="0.3">
      <c r="A626" s="74" t="s">
        <v>790</v>
      </c>
      <c r="B626" s="331">
        <v>-106045.87106666707</v>
      </c>
      <c r="C626" s="328" t="s">
        <v>188</v>
      </c>
      <c r="D626" s="328" t="s">
        <v>188</v>
      </c>
      <c r="E626" s="328" t="s">
        <v>188</v>
      </c>
      <c r="F626" s="328" t="s">
        <v>188</v>
      </c>
      <c r="G626" s="328" t="s">
        <v>188</v>
      </c>
    </row>
    <row r="627" spans="1:8" x14ac:dyDescent="0.3">
      <c r="A627" s="354" t="s">
        <v>791</v>
      </c>
      <c r="B627" s="331" t="s">
        <v>3131</v>
      </c>
      <c r="C627" s="331" t="s">
        <v>516</v>
      </c>
      <c r="D627" s="331">
        <v>2.41583792</v>
      </c>
      <c r="E627" s="331" t="s">
        <v>493</v>
      </c>
      <c r="F627" s="331" t="s">
        <v>493</v>
      </c>
      <c r="G627" s="331" t="s">
        <v>493</v>
      </c>
    </row>
    <row r="628" spans="1:8" x14ac:dyDescent="0.3">
      <c r="A628" s="337" t="s">
        <v>792</v>
      </c>
      <c r="B628" s="331" t="s">
        <v>3131</v>
      </c>
      <c r="C628" s="331" t="s">
        <v>516</v>
      </c>
      <c r="D628" s="331">
        <v>2.41583792</v>
      </c>
      <c r="E628" s="331" t="s">
        <v>493</v>
      </c>
      <c r="F628" s="331" t="s">
        <v>493</v>
      </c>
      <c r="G628" s="331" t="s">
        <v>493</v>
      </c>
    </row>
    <row r="630" spans="1:8" x14ac:dyDescent="0.3">
      <c r="A630" s="50" t="s">
        <v>793</v>
      </c>
      <c r="B630" s="51">
        <f>B607</f>
        <v>-831125.53638504399</v>
      </c>
      <c r="C630" s="62">
        <f t="shared" ref="C630:G630" si="12">C607</f>
        <v>1234.7394602571119</v>
      </c>
      <c r="D630" s="62">
        <f t="shared" si="12"/>
        <v>35.11369899647039</v>
      </c>
      <c r="E630" s="62">
        <f t="shared" si="12"/>
        <v>141.59499629999999</v>
      </c>
      <c r="F630" s="62">
        <f t="shared" si="12"/>
        <v>7641.6606409999995</v>
      </c>
      <c r="G630" s="62" t="str">
        <f t="shared" si="12"/>
        <v>NE,NA</v>
      </c>
    </row>
    <row r="633" spans="1:8" ht="15.6" x14ac:dyDescent="0.3">
      <c r="A633" s="461" t="s">
        <v>794</v>
      </c>
      <c r="B633" s="461"/>
      <c r="C633" s="217"/>
      <c r="D633" s="217"/>
      <c r="E633" s="217"/>
      <c r="F633" s="217"/>
      <c r="G633" s="217"/>
      <c r="H633" s="49" t="s">
        <v>477</v>
      </c>
    </row>
    <row r="634" spans="1:8" ht="15.6" x14ac:dyDescent="0.3">
      <c r="A634" s="232" t="s">
        <v>666</v>
      </c>
      <c r="B634" s="52"/>
      <c r="C634" s="217"/>
      <c r="D634" s="217"/>
      <c r="E634" s="217"/>
      <c r="F634" s="217"/>
      <c r="G634" s="217"/>
      <c r="H634" s="49" t="s">
        <v>3399</v>
      </c>
    </row>
    <row r="635" spans="1:8" x14ac:dyDescent="0.3">
      <c r="A635" s="217"/>
      <c r="B635" s="217"/>
      <c r="C635" s="217"/>
      <c r="D635" s="217"/>
      <c r="E635" s="217"/>
      <c r="F635" s="217"/>
      <c r="G635" s="217"/>
      <c r="H635" s="49" t="s">
        <v>478</v>
      </c>
    </row>
    <row r="636" spans="1:8" x14ac:dyDescent="0.3">
      <c r="A636" s="217"/>
      <c r="B636" s="217"/>
      <c r="C636" s="217"/>
      <c r="D636" s="217"/>
      <c r="E636" s="217"/>
      <c r="F636" s="217"/>
      <c r="G636" s="217"/>
      <c r="H636" s="248"/>
    </row>
    <row r="637" spans="1:8" x14ac:dyDescent="0.3">
      <c r="A637" s="449" t="s">
        <v>795</v>
      </c>
      <c r="B637" s="249" t="s">
        <v>796</v>
      </c>
      <c r="C637" s="250" t="s">
        <v>481</v>
      </c>
      <c r="D637" s="250" t="s">
        <v>482</v>
      </c>
      <c r="E637" s="250" t="s">
        <v>618</v>
      </c>
      <c r="F637" s="251" t="s">
        <v>484</v>
      </c>
      <c r="G637" s="252" t="s">
        <v>485</v>
      </c>
      <c r="H637" s="251" t="s">
        <v>619</v>
      </c>
    </row>
    <row r="638" spans="1:8" ht="15" thickBot="1" x14ac:dyDescent="0.35">
      <c r="A638" s="450"/>
      <c r="B638" s="451" t="s">
        <v>487</v>
      </c>
      <c r="C638" s="452"/>
      <c r="D638" s="452"/>
      <c r="E638" s="452"/>
      <c r="F638" s="452"/>
      <c r="G638" s="452"/>
      <c r="H638" s="453"/>
    </row>
    <row r="639" spans="1:8" ht="15" thickTop="1" x14ac:dyDescent="0.3">
      <c r="A639" s="253" t="s">
        <v>797</v>
      </c>
      <c r="B639" s="331" t="s">
        <v>3126</v>
      </c>
      <c r="C639" s="331">
        <v>6143.8266127488378</v>
      </c>
      <c r="D639" s="331">
        <v>73.757520658580603</v>
      </c>
      <c r="E639" s="331">
        <v>2.3460190219567099</v>
      </c>
      <c r="F639" s="331">
        <v>6.5483463597946603</v>
      </c>
      <c r="G639" s="331">
        <v>114.39560414851302</v>
      </c>
      <c r="H639" s="331">
        <v>0.74349333311907995</v>
      </c>
    </row>
    <row r="640" spans="1:8" x14ac:dyDescent="0.3">
      <c r="A640" s="355" t="s">
        <v>799</v>
      </c>
      <c r="B640" s="331" t="s">
        <v>555</v>
      </c>
      <c r="C640" s="331">
        <v>5261.8993888836258</v>
      </c>
      <c r="D640" s="328" t="s">
        <v>188</v>
      </c>
      <c r="E640" s="331">
        <v>2.3460190219567099</v>
      </c>
      <c r="F640" s="331">
        <v>6.1117899358083498</v>
      </c>
      <c r="G640" s="331">
        <v>21.695718028166269</v>
      </c>
      <c r="H640" s="328" t="s">
        <v>188</v>
      </c>
    </row>
    <row r="641" spans="1:8" x14ac:dyDescent="0.3">
      <c r="A641" s="332" t="s">
        <v>800</v>
      </c>
      <c r="B641" s="331" t="s">
        <v>555</v>
      </c>
      <c r="C641" s="331">
        <v>5261.8993888836258</v>
      </c>
      <c r="D641" s="328" t="s">
        <v>188</v>
      </c>
      <c r="E641" s="329">
        <v>2.3460190219567099</v>
      </c>
      <c r="F641" s="329">
        <v>6.1117899358083498</v>
      </c>
      <c r="G641" s="329">
        <v>21.695718028166269</v>
      </c>
      <c r="H641" s="328" t="s">
        <v>188</v>
      </c>
    </row>
    <row r="642" spans="1:8" x14ac:dyDescent="0.3">
      <c r="A642" s="332" t="s">
        <v>801</v>
      </c>
      <c r="B642" s="331" t="s">
        <v>522</v>
      </c>
      <c r="C642" s="331" t="s">
        <v>522</v>
      </c>
      <c r="D642" s="328" t="s">
        <v>188</v>
      </c>
      <c r="E642" s="329" t="s">
        <v>522</v>
      </c>
      <c r="F642" s="329" t="s">
        <v>522</v>
      </c>
      <c r="G642" s="329" t="s">
        <v>522</v>
      </c>
      <c r="H642" s="328" t="s">
        <v>188</v>
      </c>
    </row>
    <row r="643" spans="1:8" x14ac:dyDescent="0.3">
      <c r="A643" s="356" t="s">
        <v>802</v>
      </c>
      <c r="B643" s="331" t="s">
        <v>522</v>
      </c>
      <c r="C643" s="331" t="s">
        <v>522</v>
      </c>
      <c r="D643" s="328" t="s">
        <v>188</v>
      </c>
      <c r="E643" s="331" t="s">
        <v>522</v>
      </c>
      <c r="F643" s="331" t="s">
        <v>522</v>
      </c>
      <c r="G643" s="331" t="s">
        <v>522</v>
      </c>
      <c r="H643" s="328" t="s">
        <v>188</v>
      </c>
    </row>
    <row r="644" spans="1:8" x14ac:dyDescent="0.3">
      <c r="A644" s="355" t="s">
        <v>803</v>
      </c>
      <c r="B644" s="328" t="s">
        <v>188</v>
      </c>
      <c r="C644" s="331">
        <v>76.365222930707887</v>
      </c>
      <c r="D644" s="331">
        <v>5.5964614607999996</v>
      </c>
      <c r="E644" s="331" t="s">
        <v>520</v>
      </c>
      <c r="F644" s="331" t="s">
        <v>520</v>
      </c>
      <c r="G644" s="331" t="s">
        <v>520</v>
      </c>
      <c r="H644" s="328" t="s">
        <v>188</v>
      </c>
    </row>
    <row r="645" spans="1:8" x14ac:dyDescent="0.3">
      <c r="A645" s="357" t="s">
        <v>804</v>
      </c>
      <c r="B645" s="328" t="s">
        <v>188</v>
      </c>
      <c r="C645" s="331">
        <v>74.619486144000007</v>
      </c>
      <c r="D645" s="331">
        <v>5.5964614607999996</v>
      </c>
      <c r="E645" s="329" t="s">
        <v>520</v>
      </c>
      <c r="F645" s="329" t="s">
        <v>520</v>
      </c>
      <c r="G645" s="329" t="s">
        <v>520</v>
      </c>
      <c r="H645" s="328" t="s">
        <v>188</v>
      </c>
    </row>
    <row r="646" spans="1:8" x14ac:dyDescent="0.3">
      <c r="A646" s="357" t="s">
        <v>805</v>
      </c>
      <c r="B646" s="328" t="s">
        <v>188</v>
      </c>
      <c r="C646" s="331">
        <v>1.7457367867078699</v>
      </c>
      <c r="D646" s="331" t="s">
        <v>567</v>
      </c>
      <c r="E646" s="329" t="s">
        <v>520</v>
      </c>
      <c r="F646" s="329" t="s">
        <v>520</v>
      </c>
      <c r="G646" s="329" t="s">
        <v>520</v>
      </c>
      <c r="H646" s="328" t="s">
        <v>188</v>
      </c>
    </row>
    <row r="647" spans="1:8" x14ac:dyDescent="0.3">
      <c r="A647" s="355" t="s">
        <v>806</v>
      </c>
      <c r="B647" s="331" t="s">
        <v>527</v>
      </c>
      <c r="C647" s="331" t="s">
        <v>527</v>
      </c>
      <c r="D647" s="331" t="s">
        <v>527</v>
      </c>
      <c r="E647" s="331" t="s">
        <v>527</v>
      </c>
      <c r="F647" s="331" t="s">
        <v>527</v>
      </c>
      <c r="G647" s="331" t="s">
        <v>527</v>
      </c>
      <c r="H647" s="331" t="s">
        <v>527</v>
      </c>
    </row>
    <row r="648" spans="1:8" x14ac:dyDescent="0.3">
      <c r="A648" s="332" t="s">
        <v>807</v>
      </c>
      <c r="B648" s="331" t="s">
        <v>495</v>
      </c>
      <c r="C648" s="331" t="s">
        <v>527</v>
      </c>
      <c r="D648" s="331" t="s">
        <v>527</v>
      </c>
      <c r="E648" s="329" t="s">
        <v>495</v>
      </c>
      <c r="F648" s="329" t="s">
        <v>495</v>
      </c>
      <c r="G648" s="329" t="s">
        <v>495</v>
      </c>
      <c r="H648" s="329" t="s">
        <v>495</v>
      </c>
    </row>
    <row r="649" spans="1:8" x14ac:dyDescent="0.3">
      <c r="A649" s="332" t="s">
        <v>808</v>
      </c>
      <c r="B649" s="331" t="s">
        <v>493</v>
      </c>
      <c r="C649" s="331" t="s">
        <v>493</v>
      </c>
      <c r="D649" s="331" t="s">
        <v>493</v>
      </c>
      <c r="E649" s="329" t="s">
        <v>493</v>
      </c>
      <c r="F649" s="329" t="s">
        <v>493</v>
      </c>
      <c r="G649" s="329" t="s">
        <v>493</v>
      </c>
      <c r="H649" s="329" t="s">
        <v>493</v>
      </c>
    </row>
    <row r="650" spans="1:8" x14ac:dyDescent="0.3">
      <c r="A650" s="355" t="s">
        <v>809</v>
      </c>
      <c r="B650" s="328" t="s">
        <v>188</v>
      </c>
      <c r="C650" s="331">
        <v>805.56200093450445</v>
      </c>
      <c r="D650" s="331">
        <v>68.161059197780617</v>
      </c>
      <c r="E650" s="331" t="s">
        <v>567</v>
      </c>
      <c r="F650" s="331">
        <v>0.43655642398631</v>
      </c>
      <c r="G650" s="331">
        <v>49.308450064014231</v>
      </c>
      <c r="H650" s="328" t="s">
        <v>188</v>
      </c>
    </row>
    <row r="651" spans="1:8" x14ac:dyDescent="0.3">
      <c r="A651" s="332" t="s">
        <v>810</v>
      </c>
      <c r="B651" s="328" t="s">
        <v>188</v>
      </c>
      <c r="C651" s="331">
        <v>566.94660201297143</v>
      </c>
      <c r="D651" s="331">
        <v>66.504112399504038</v>
      </c>
      <c r="E651" s="329" t="s">
        <v>522</v>
      </c>
      <c r="F651" s="329">
        <v>0.43655642398631</v>
      </c>
      <c r="G651" s="329">
        <v>33.529746043529677</v>
      </c>
      <c r="H651" s="328" t="s">
        <v>188</v>
      </c>
    </row>
    <row r="652" spans="1:8" x14ac:dyDescent="0.3">
      <c r="A652" s="332" t="s">
        <v>811</v>
      </c>
      <c r="B652" s="328" t="s">
        <v>188</v>
      </c>
      <c r="C652" s="331">
        <v>238.61539892153306</v>
      </c>
      <c r="D652" s="331">
        <v>1.65694679827657</v>
      </c>
      <c r="E652" s="329" t="s">
        <v>522</v>
      </c>
      <c r="F652" s="329" t="s">
        <v>522</v>
      </c>
      <c r="G652" s="329">
        <v>15.77870402048455</v>
      </c>
      <c r="H652" s="328" t="s">
        <v>188</v>
      </c>
    </row>
    <row r="653" spans="1:8" x14ac:dyDescent="0.3">
      <c r="A653" s="332" t="s">
        <v>3408</v>
      </c>
      <c r="B653" s="328" t="s">
        <v>188</v>
      </c>
      <c r="C653" s="331" t="s">
        <v>495</v>
      </c>
      <c r="D653" s="331" t="s">
        <v>495</v>
      </c>
      <c r="E653" s="331" t="s">
        <v>495</v>
      </c>
      <c r="F653" s="331" t="s">
        <v>495</v>
      </c>
      <c r="G653" s="331" t="s">
        <v>495</v>
      </c>
      <c r="H653" s="328" t="s">
        <v>188</v>
      </c>
    </row>
    <row r="654" spans="1:8" x14ac:dyDescent="0.3">
      <c r="A654" s="355" t="s">
        <v>3409</v>
      </c>
      <c r="B654" s="331" t="s">
        <v>493</v>
      </c>
      <c r="C654" s="331" t="s">
        <v>493</v>
      </c>
      <c r="D654" s="331" t="s">
        <v>493</v>
      </c>
      <c r="E654" s="331" t="s">
        <v>522</v>
      </c>
      <c r="F654" s="331" t="s">
        <v>522</v>
      </c>
      <c r="G654" s="331">
        <v>43.391436056332523</v>
      </c>
      <c r="H654" s="331">
        <v>0.74349333311907995</v>
      </c>
    </row>
    <row r="655" spans="1:8" x14ac:dyDescent="0.3">
      <c r="A655" s="337" t="s">
        <v>571</v>
      </c>
      <c r="B655" s="329" t="s">
        <v>493</v>
      </c>
      <c r="C655" s="329" t="s">
        <v>493</v>
      </c>
      <c r="D655" s="329" t="s">
        <v>493</v>
      </c>
      <c r="E655" s="329" t="s">
        <v>522</v>
      </c>
      <c r="F655" s="329" t="s">
        <v>522</v>
      </c>
      <c r="G655" s="329">
        <v>43.391436056332523</v>
      </c>
      <c r="H655" s="329">
        <v>0.74349333311907995</v>
      </c>
    </row>
    <row r="656" spans="1:8" x14ac:dyDescent="0.3">
      <c r="A656" s="355" t="s">
        <v>812</v>
      </c>
      <c r="B656" s="328" t="s">
        <v>188</v>
      </c>
      <c r="C656" s="328" t="s">
        <v>188</v>
      </c>
      <c r="D656" s="328" t="s">
        <v>188</v>
      </c>
      <c r="E656" s="328" t="s">
        <v>188</v>
      </c>
      <c r="F656" s="328" t="s">
        <v>188</v>
      </c>
      <c r="G656" s="328" t="s">
        <v>188</v>
      </c>
      <c r="H656" s="328" t="s">
        <v>188</v>
      </c>
    </row>
    <row r="657" spans="1:8" x14ac:dyDescent="0.3">
      <c r="A657" s="357" t="s">
        <v>813</v>
      </c>
      <c r="B657" s="329">
        <v>11397.929630279281</v>
      </c>
      <c r="C657" s="328" t="s">
        <v>188</v>
      </c>
      <c r="D657" s="328" t="s">
        <v>188</v>
      </c>
      <c r="E657" s="328" t="s">
        <v>188</v>
      </c>
      <c r="F657" s="328" t="s">
        <v>188</v>
      </c>
      <c r="G657" s="328" t="s">
        <v>188</v>
      </c>
      <c r="H657" s="328" t="s">
        <v>188</v>
      </c>
    </row>
    <row r="658" spans="1:8" x14ac:dyDescent="0.3">
      <c r="A658" s="357" t="s">
        <v>814</v>
      </c>
      <c r="B658" s="329" t="s">
        <v>493</v>
      </c>
      <c r="C658" s="328" t="s">
        <v>188</v>
      </c>
      <c r="D658" s="328" t="s">
        <v>188</v>
      </c>
      <c r="E658" s="328" t="s">
        <v>188</v>
      </c>
      <c r="F658" s="328" t="s">
        <v>188</v>
      </c>
      <c r="G658" s="328" t="s">
        <v>188</v>
      </c>
      <c r="H658" s="328" t="s">
        <v>188</v>
      </c>
    </row>
    <row r="659" spans="1:8" x14ac:dyDescent="0.3">
      <c r="A659" s="358" t="s">
        <v>3410</v>
      </c>
      <c r="B659" s="329" t="s">
        <v>493</v>
      </c>
      <c r="C659" s="328" t="s">
        <v>188</v>
      </c>
      <c r="D659" s="328" t="s">
        <v>188</v>
      </c>
      <c r="E659" s="328" t="s">
        <v>188</v>
      </c>
      <c r="F659" s="328" t="s">
        <v>188</v>
      </c>
      <c r="G659" s="328" t="s">
        <v>188</v>
      </c>
      <c r="H659" s="328" t="s">
        <v>188</v>
      </c>
    </row>
    <row r="661" spans="1:8" x14ac:dyDescent="0.3">
      <c r="A661" s="50" t="s">
        <v>815</v>
      </c>
      <c r="B661" s="62" t="str">
        <f>B639</f>
        <v>NO,IE,NA</v>
      </c>
      <c r="C661" s="62">
        <f t="shared" ref="C661:H661" si="13">C639</f>
        <v>6143.8266127488378</v>
      </c>
      <c r="D661" s="62">
        <f t="shared" si="13"/>
        <v>73.757520658580603</v>
      </c>
      <c r="E661" s="62">
        <f t="shared" si="13"/>
        <v>2.3460190219567099</v>
      </c>
      <c r="F661" s="62">
        <f t="shared" si="13"/>
        <v>6.5483463597946603</v>
      </c>
      <c r="G661" s="62">
        <f t="shared" si="13"/>
        <v>114.39560414851302</v>
      </c>
      <c r="H661" s="62">
        <f t="shared" si="13"/>
        <v>0.74349333311907995</v>
      </c>
    </row>
    <row r="664" spans="1:8" ht="15.6" x14ac:dyDescent="0.3">
      <c r="A664" s="50" t="s">
        <v>816</v>
      </c>
      <c r="B664" s="75" t="s">
        <v>817</v>
      </c>
      <c r="C664" s="75" t="s">
        <v>818</v>
      </c>
      <c r="D664" s="75" t="s">
        <v>819</v>
      </c>
      <c r="E664" s="75" t="s">
        <v>820</v>
      </c>
      <c r="F664" s="75" t="s">
        <v>484</v>
      </c>
      <c r="G664" s="75" t="s">
        <v>485</v>
      </c>
      <c r="H664" s="75" t="s">
        <v>821</v>
      </c>
    </row>
    <row r="665" spans="1:8" x14ac:dyDescent="0.3">
      <c r="A665" s="210" t="s">
        <v>3665</v>
      </c>
      <c r="B665" s="211">
        <f t="shared" ref="B665:B672" si="14">B59</f>
        <v>5935361.2048846316</v>
      </c>
      <c r="C665" s="211">
        <f t="shared" ref="C665:H665" si="15">C59</f>
        <v>12331.35516763239</v>
      </c>
      <c r="D665" s="211">
        <f t="shared" si="15"/>
        <v>255.41813011993699</v>
      </c>
      <c r="E665" s="211">
        <f t="shared" si="15"/>
        <v>16601.736021301014</v>
      </c>
      <c r="F665" s="211">
        <f t="shared" si="15"/>
        <v>64984.511311122282</v>
      </c>
      <c r="G665" s="211">
        <f t="shared" si="15"/>
        <v>7345.4310275876951</v>
      </c>
      <c r="H665" s="211">
        <f t="shared" si="15"/>
        <v>12364.091048770906</v>
      </c>
    </row>
    <row r="666" spans="1:8" s="9" customFormat="1" x14ac:dyDescent="0.3">
      <c r="A666" s="210" t="s">
        <v>822</v>
      </c>
      <c r="B666" s="211">
        <f t="shared" si="14"/>
        <v>6048689.0414711749</v>
      </c>
      <c r="C666" s="211">
        <f t="shared" ref="C666:H672" si="16">C60</f>
        <v>12336.648060651123</v>
      </c>
      <c r="D666" s="211">
        <f t="shared" si="16"/>
        <v>258.66228519992751</v>
      </c>
      <c r="E666" s="211">
        <f t="shared" si="16"/>
        <v>18301.073699767901</v>
      </c>
      <c r="F666" s="211">
        <f t="shared" si="16"/>
        <v>65115.232968226752</v>
      </c>
      <c r="G666" s="211">
        <f t="shared" si="16"/>
        <v>7399.0875263533071</v>
      </c>
      <c r="H666" s="211">
        <f t="shared" si="16"/>
        <v>12364.091048770906</v>
      </c>
    </row>
    <row r="667" spans="1:8" s="3" customFormat="1" x14ac:dyDescent="0.3">
      <c r="A667" s="209" t="s">
        <v>93</v>
      </c>
      <c r="B667" s="76">
        <f t="shared" si="14"/>
        <v>2400057.4856406469</v>
      </c>
      <c r="C667" s="76">
        <f t="shared" si="16"/>
        <v>34.823479419570468</v>
      </c>
      <c r="D667" s="76">
        <f t="shared" si="16"/>
        <v>100.86538569159121</v>
      </c>
      <c r="E667" s="76">
        <f t="shared" si="16"/>
        <v>3434.4290996747714</v>
      </c>
      <c r="F667" s="76">
        <f t="shared" si="16"/>
        <v>581.83867235005948</v>
      </c>
      <c r="G667" s="76">
        <f t="shared" si="16"/>
        <v>43.701395420034459</v>
      </c>
      <c r="H667" s="76">
        <f t="shared" si="16"/>
        <v>9439.0432746602182</v>
      </c>
    </row>
    <row r="668" spans="1:8" s="3" customFormat="1" x14ac:dyDescent="0.3">
      <c r="A668" s="209" t="s">
        <v>4</v>
      </c>
      <c r="B668" s="76">
        <f t="shared" si="14"/>
        <v>1911442.8105552257</v>
      </c>
      <c r="C668" s="76">
        <f t="shared" si="16"/>
        <v>165.57291285866268</v>
      </c>
      <c r="D668" s="76">
        <f t="shared" si="16"/>
        <v>141.22138300660743</v>
      </c>
      <c r="E668" s="76">
        <f t="shared" si="16"/>
        <v>11993.96820796089</v>
      </c>
      <c r="F668" s="76">
        <f t="shared" si="16"/>
        <v>58745.519506243923</v>
      </c>
      <c r="G668" s="76">
        <f t="shared" si="16"/>
        <v>5777.2545334153529</v>
      </c>
      <c r="H668" s="76">
        <f t="shared" si="16"/>
        <v>618.63077203361581</v>
      </c>
    </row>
    <row r="669" spans="1:8" s="3" customFormat="1" x14ac:dyDescent="0.3">
      <c r="A669" s="209" t="s">
        <v>2427</v>
      </c>
      <c r="B669" s="76">
        <f t="shared" si="14"/>
        <v>586027.53370179143</v>
      </c>
      <c r="C669" s="76">
        <f t="shared" si="16"/>
        <v>205.33512877805845</v>
      </c>
      <c r="D669" s="76">
        <f t="shared" si="16"/>
        <v>4.0983274771096498</v>
      </c>
      <c r="E669" s="76">
        <f t="shared" si="16"/>
        <v>908.26373148672474</v>
      </c>
      <c r="F669" s="76">
        <f t="shared" si="16"/>
        <v>3021.64543736223</v>
      </c>
      <c r="G669" s="76">
        <f t="shared" si="16"/>
        <v>706.60096524296171</v>
      </c>
      <c r="H669" s="76">
        <f t="shared" si="16"/>
        <v>527.57585355553215</v>
      </c>
    </row>
    <row r="670" spans="1:8" s="3" customFormat="1" x14ac:dyDescent="0.3">
      <c r="A670" s="209" t="s">
        <v>9</v>
      </c>
      <c r="B670" s="76">
        <f t="shared" si="14"/>
        <v>1137620.3858851495</v>
      </c>
      <c r="C670" s="76">
        <f t="shared" si="16"/>
        <v>11930.898339782843</v>
      </c>
      <c r="D670" s="76">
        <f t="shared" si="16"/>
        <v>11.176634590788881</v>
      </c>
      <c r="E670" s="76">
        <f t="shared" si="16"/>
        <v>1964.4126606455166</v>
      </c>
      <c r="F670" s="76">
        <f t="shared" si="16"/>
        <v>2766.2293522705422</v>
      </c>
      <c r="G670" s="76">
        <f t="shared" si="16"/>
        <v>871.53063227495795</v>
      </c>
      <c r="H670" s="76">
        <f t="shared" si="16"/>
        <v>1778.8411485215402</v>
      </c>
    </row>
    <row r="671" spans="1:8" s="3" customFormat="1" x14ac:dyDescent="0.3">
      <c r="A671" s="209" t="s">
        <v>132</v>
      </c>
      <c r="B671" s="76">
        <f t="shared" si="14"/>
        <v>257.90976890459297</v>
      </c>
      <c r="C671" s="76">
        <f t="shared" si="16"/>
        <v>1.300499353749E-2</v>
      </c>
      <c r="D671" s="76">
        <f t="shared" si="16"/>
        <v>1.87845249299E-3</v>
      </c>
      <c r="E671" s="76" t="str">
        <f t="shared" si="16"/>
        <v>IE</v>
      </c>
      <c r="F671" s="76" t="str">
        <f t="shared" si="16"/>
        <v>IE</v>
      </c>
      <c r="G671" s="76" t="str">
        <f t="shared" si="16"/>
        <v>IE</v>
      </c>
      <c r="H671" s="76" t="str">
        <f t="shared" si="16"/>
        <v>IE</v>
      </c>
    </row>
    <row r="672" spans="1:8" s="3" customFormat="1" x14ac:dyDescent="0.3">
      <c r="A672" s="209" t="s">
        <v>3120</v>
      </c>
      <c r="B672" s="76">
        <f t="shared" si="14"/>
        <v>13282.915919456782</v>
      </c>
      <c r="C672" s="76">
        <f t="shared" si="16"/>
        <v>5.1948184495699996E-3</v>
      </c>
      <c r="D672" s="76">
        <f t="shared" si="16"/>
        <v>1.29867598133739</v>
      </c>
      <c r="E672" s="76">
        <f t="shared" si="16"/>
        <v>0</v>
      </c>
      <c r="F672" s="76">
        <f t="shared" si="16"/>
        <v>0</v>
      </c>
      <c r="G672" s="76">
        <f t="shared" si="16"/>
        <v>0</v>
      </c>
      <c r="H672" s="76">
        <f t="shared" si="16"/>
        <v>0</v>
      </c>
    </row>
    <row r="673" spans="1:36" x14ac:dyDescent="0.3">
      <c r="A673" s="210" t="s">
        <v>823</v>
      </c>
      <c r="B673" s="76">
        <f>G408</f>
        <v>22472.091458330953</v>
      </c>
      <c r="C673" s="76">
        <f>H408</f>
        <v>4.6925847366299997E-3</v>
      </c>
      <c r="D673" s="76">
        <f>I408</f>
        <v>4.8332437122200001E-3</v>
      </c>
      <c r="E673" s="76"/>
      <c r="F673" s="77"/>
      <c r="G673" s="77"/>
      <c r="H673" s="77"/>
    </row>
    <row r="674" spans="1:36" x14ac:dyDescent="0.3">
      <c r="A674" s="210" t="s">
        <v>824</v>
      </c>
      <c r="B674" s="76">
        <f>B465</f>
        <v>194388.53120401071</v>
      </c>
      <c r="C674" s="76">
        <f>C465</f>
        <v>4.4228396639999996</v>
      </c>
      <c r="D674" s="76">
        <f>D465</f>
        <v>83.655309749766346</v>
      </c>
      <c r="E674" s="76">
        <f>J465</f>
        <v>572.16514495327442</v>
      </c>
      <c r="F674" s="76">
        <f>K465</f>
        <v>1557.1939910195872</v>
      </c>
      <c r="G674" s="76">
        <f>L465</f>
        <v>5849.2197121443369</v>
      </c>
      <c r="H674" s="76">
        <f>M465</f>
        <v>830.75987228203655</v>
      </c>
    </row>
    <row r="675" spans="1:36" x14ac:dyDescent="0.3">
      <c r="A675" s="210" t="s">
        <v>825</v>
      </c>
      <c r="B675" s="76">
        <f t="shared" ref="B675:H675" si="17">B598</f>
        <v>7853.7090592547993</v>
      </c>
      <c r="C675" s="76">
        <f t="shared" si="17"/>
        <v>9418.7606550076798</v>
      </c>
      <c r="D675" s="76">
        <f t="shared" si="17"/>
        <v>1108.4205949512345</v>
      </c>
      <c r="E675" s="76">
        <f t="shared" si="17"/>
        <v>14.91067980114685</v>
      </c>
      <c r="F675" s="76">
        <f t="shared" si="17"/>
        <v>363.40666610922074</v>
      </c>
      <c r="G675" s="76" t="str">
        <f t="shared" si="17"/>
        <v>NA</v>
      </c>
      <c r="H675" s="76">
        <f t="shared" si="17"/>
        <v>0</v>
      </c>
    </row>
    <row r="676" spans="1:36" x14ac:dyDescent="0.3">
      <c r="A676" s="210" t="s">
        <v>826</v>
      </c>
      <c r="B676" s="76">
        <f>B630</f>
        <v>-831125.53638504399</v>
      </c>
      <c r="C676" s="76">
        <f t="shared" ref="C676:H676" si="18">C630</f>
        <v>1234.7394602571119</v>
      </c>
      <c r="D676" s="76">
        <f t="shared" si="18"/>
        <v>35.11369899647039</v>
      </c>
      <c r="E676" s="76">
        <f t="shared" si="18"/>
        <v>141.59499629999999</v>
      </c>
      <c r="F676" s="76">
        <f t="shared" si="18"/>
        <v>7641.6606409999995</v>
      </c>
      <c r="G676" s="76" t="str">
        <f t="shared" si="18"/>
        <v>NE,NA</v>
      </c>
      <c r="H676" s="76">
        <f t="shared" si="18"/>
        <v>0</v>
      </c>
    </row>
    <row r="677" spans="1:36" x14ac:dyDescent="0.3">
      <c r="A677" s="210" t="s">
        <v>827</v>
      </c>
      <c r="B677" s="78" t="str">
        <f>B661</f>
        <v>NO,IE,NA</v>
      </c>
      <c r="C677" s="78">
        <f t="shared" ref="C677:H677" si="19">C661</f>
        <v>6143.8266127488378</v>
      </c>
      <c r="D677" s="78">
        <f t="shared" si="19"/>
        <v>73.757520658580603</v>
      </c>
      <c r="E677" s="78">
        <f t="shared" si="19"/>
        <v>2.3460190219567099</v>
      </c>
      <c r="F677" s="78">
        <f t="shared" si="19"/>
        <v>6.5483463597946603</v>
      </c>
      <c r="G677" s="78">
        <f t="shared" si="19"/>
        <v>114.39560414851302</v>
      </c>
      <c r="H677" s="78">
        <f t="shared" si="19"/>
        <v>0.74349333311907995</v>
      </c>
    </row>
    <row r="678" spans="1:36" x14ac:dyDescent="0.3">
      <c r="A678" s="210" t="s">
        <v>3668</v>
      </c>
      <c r="B678" s="79">
        <f>B679-(B666-B665)</f>
        <v>5306477.9087628527</v>
      </c>
      <c r="C678" s="79">
        <f t="shared" ref="C678:H678" si="20">C679-(C666-C665)</f>
        <v>29133.104735310018</v>
      </c>
      <c r="D678" s="79">
        <f t="shared" si="20"/>
        <v>1556.3652544759889</v>
      </c>
      <c r="E678" s="79">
        <f t="shared" si="20"/>
        <v>17332.752861377387</v>
      </c>
      <c r="F678" s="79">
        <f t="shared" si="20"/>
        <v>74553.320955610878</v>
      </c>
      <c r="G678" s="79">
        <f t="shared" si="20"/>
        <v>13309.046343880545</v>
      </c>
      <c r="H678" s="79">
        <f t="shared" si="20"/>
        <v>13195.594414386062</v>
      </c>
    </row>
    <row r="679" spans="1:36" x14ac:dyDescent="0.3">
      <c r="A679" s="3" t="s">
        <v>828</v>
      </c>
      <c r="B679" s="79">
        <f>SUM(B666,B674:B677)</f>
        <v>5419805.745349396</v>
      </c>
      <c r="C679" s="79">
        <f t="shared" ref="C679:H679" si="21">SUM(C666,C674:C677)</f>
        <v>29138.397628328752</v>
      </c>
      <c r="D679" s="79">
        <f t="shared" si="21"/>
        <v>1559.6094095559795</v>
      </c>
      <c r="E679" s="79">
        <f t="shared" si="21"/>
        <v>19032.090539844274</v>
      </c>
      <c r="F679" s="79">
        <f t="shared" si="21"/>
        <v>74684.042612715348</v>
      </c>
      <c r="G679" s="79">
        <f t="shared" si="21"/>
        <v>13362.702842646157</v>
      </c>
      <c r="H679" s="79">
        <f t="shared" si="21"/>
        <v>13195.594414386062</v>
      </c>
    </row>
    <row r="681" spans="1:36" x14ac:dyDescent="0.3">
      <c r="A681" s="50" t="s">
        <v>829</v>
      </c>
      <c r="B681" s="50" t="s">
        <v>667</v>
      </c>
      <c r="C681" s="50" t="s">
        <v>668</v>
      </c>
      <c r="D681" s="50" t="s">
        <v>669</v>
      </c>
      <c r="E681" s="50" t="s">
        <v>670</v>
      </c>
      <c r="F681" s="80" t="s">
        <v>671</v>
      </c>
      <c r="G681" s="80" t="s">
        <v>672</v>
      </c>
      <c r="H681" s="80" t="s">
        <v>673</v>
      </c>
      <c r="I681" s="80" t="s">
        <v>674</v>
      </c>
      <c r="J681" s="80" t="s">
        <v>675</v>
      </c>
      <c r="K681" s="80" t="s">
        <v>676</v>
      </c>
      <c r="L681" s="80" t="s">
        <v>677</v>
      </c>
      <c r="M681" s="80" t="s">
        <v>678</v>
      </c>
      <c r="N681" s="80" t="s">
        <v>679</v>
      </c>
      <c r="O681" s="80" t="s">
        <v>680</v>
      </c>
      <c r="P681" s="80" t="s">
        <v>681</v>
      </c>
      <c r="Q681" s="80" t="s">
        <v>682</v>
      </c>
      <c r="R681" s="80" t="s">
        <v>683</v>
      </c>
      <c r="S681" s="80" t="s">
        <v>684</v>
      </c>
      <c r="T681" s="80" t="s">
        <v>685</v>
      </c>
      <c r="U681" s="80" t="s">
        <v>830</v>
      </c>
      <c r="V681" s="80" t="s">
        <v>687</v>
      </c>
      <c r="W681" s="80" t="s">
        <v>831</v>
      </c>
      <c r="X681" s="80" t="s">
        <v>832</v>
      </c>
      <c r="Y681" s="80" t="s">
        <v>833</v>
      </c>
      <c r="Z681" s="80" t="s">
        <v>834</v>
      </c>
      <c r="AA681" s="80" t="s">
        <v>835</v>
      </c>
      <c r="AB681" s="80" t="s">
        <v>836</v>
      </c>
      <c r="AC681" s="80" t="s">
        <v>837</v>
      </c>
      <c r="AD681" s="80" t="s">
        <v>838</v>
      </c>
      <c r="AE681" s="80" t="s">
        <v>839</v>
      </c>
      <c r="AF681" s="80" t="s">
        <v>840</v>
      </c>
      <c r="AG681" s="80" t="s">
        <v>698</v>
      </c>
      <c r="AH681" s="80" t="s">
        <v>841</v>
      </c>
      <c r="AI681" s="80" t="s">
        <v>842</v>
      </c>
      <c r="AJ681" s="80" t="s">
        <v>843</v>
      </c>
    </row>
    <row r="682" spans="1:36" x14ac:dyDescent="0.3">
      <c r="A682" s="1" t="s">
        <v>844</v>
      </c>
      <c r="B682" s="81">
        <f>B473</f>
        <v>1368.6407622854913</v>
      </c>
      <c r="C682" s="81">
        <f>C473</f>
        <v>398.21997774743551</v>
      </c>
      <c r="D682" s="81">
        <v>0</v>
      </c>
      <c r="E682" s="81">
        <v>0</v>
      </c>
      <c r="F682" s="81">
        <f>F473</f>
        <v>2580.4423400000001</v>
      </c>
      <c r="G682" s="81">
        <v>0</v>
      </c>
      <c r="H682" s="81">
        <f>H473</f>
        <v>56029.164606593971</v>
      </c>
      <c r="I682" s="81">
        <v>0</v>
      </c>
      <c r="J682" s="81">
        <f>J473</f>
        <v>2093.1475999999998</v>
      </c>
      <c r="K682" s="81">
        <v>0</v>
      </c>
      <c r="L682" s="81">
        <v>0</v>
      </c>
      <c r="M682" s="81">
        <v>0</v>
      </c>
      <c r="N682" s="81">
        <v>0</v>
      </c>
      <c r="O682" s="81">
        <v>0</v>
      </c>
      <c r="P682" s="81">
        <v>0</v>
      </c>
      <c r="Q682" s="81">
        <f>Q473</f>
        <v>117.73</v>
      </c>
      <c r="R682" s="81">
        <v>0</v>
      </c>
      <c r="S682" s="81">
        <v>0</v>
      </c>
      <c r="T682" s="81">
        <v>0</v>
      </c>
      <c r="U682" s="81">
        <v>0</v>
      </c>
      <c r="V682" s="81" t="str">
        <f>V473</f>
        <v/>
      </c>
      <c r="W682" s="81">
        <f>W473</f>
        <v>540.06916717032652</v>
      </c>
      <c r="X682" s="81">
        <f>X473</f>
        <v>206.85707686944318</v>
      </c>
      <c r="Y682" s="81">
        <f>Y473</f>
        <v>9.0276703162196608</v>
      </c>
      <c r="Z682" s="81">
        <v>0</v>
      </c>
      <c r="AA682" s="81">
        <f>AA473</f>
        <v>11.47912170919709</v>
      </c>
      <c r="AB682" s="81">
        <v>0</v>
      </c>
      <c r="AC682" s="81">
        <v>0</v>
      </c>
      <c r="AD682" s="81">
        <v>0</v>
      </c>
      <c r="AE682" s="81">
        <v>0</v>
      </c>
      <c r="AF682" s="81">
        <v>0</v>
      </c>
      <c r="AG682" s="81" t="str">
        <f>AG473</f>
        <v/>
      </c>
      <c r="AH682" s="81">
        <f>AH473</f>
        <v>7230.4559117999988</v>
      </c>
      <c r="AI682" s="81">
        <f>AI473</f>
        <v>517.71056610324001</v>
      </c>
      <c r="AJ682" s="81">
        <f>AJ473</f>
        <v>28.530150025699999</v>
      </c>
    </row>
    <row r="683" spans="1:36" x14ac:dyDescent="0.3">
      <c r="A683" s="1" t="s">
        <v>845</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81">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3">
      <c r="A685" s="3" t="s">
        <v>828</v>
      </c>
      <c r="B685" s="3">
        <f>SUM(B683:AJ683)</f>
        <v>135177.28771279738</v>
      </c>
    </row>
    <row r="686" spans="1:36" x14ac:dyDescent="0.3">
      <c r="K686" s="1"/>
      <c r="L686" s="1"/>
      <c r="M686" s="1"/>
      <c r="N686" s="1"/>
      <c r="O686" s="1"/>
      <c r="P686" s="1"/>
      <c r="Q686" s="1"/>
      <c r="R686" s="1"/>
      <c r="S686" s="1"/>
      <c r="T686" s="1"/>
      <c r="U686" s="1"/>
      <c r="V686" s="1"/>
      <c r="W686" s="1"/>
      <c r="X686" s="1"/>
      <c r="Y686" s="1"/>
      <c r="Z686" s="1"/>
      <c r="AA686" s="1"/>
      <c r="AB686" s="1"/>
    </row>
    <row r="687" spans="1:36" ht="15.6" x14ac:dyDescent="0.3">
      <c r="A687" s="50" t="s">
        <v>3261</v>
      </c>
      <c r="B687" s="75" t="s">
        <v>817</v>
      </c>
      <c r="C687" s="75" t="s">
        <v>818</v>
      </c>
      <c r="D687" s="75" t="s">
        <v>819</v>
      </c>
      <c r="E687" s="75" t="s">
        <v>820</v>
      </c>
      <c r="F687" s="75" t="s">
        <v>484</v>
      </c>
      <c r="G687" s="75" t="s">
        <v>485</v>
      </c>
      <c r="H687" s="75" t="s">
        <v>821</v>
      </c>
      <c r="I687" s="75" t="s">
        <v>846</v>
      </c>
      <c r="J687" s="75" t="s">
        <v>2567</v>
      </c>
      <c r="K687" s="1"/>
      <c r="L687" s="1"/>
      <c r="M687" s="1"/>
      <c r="N687" s="1"/>
      <c r="O687" s="1"/>
      <c r="P687" s="1"/>
      <c r="Q687" s="1"/>
      <c r="R687" s="1"/>
      <c r="S687" s="1"/>
      <c r="T687" s="1"/>
      <c r="U687" s="1"/>
      <c r="V687" s="1"/>
      <c r="W687" s="1"/>
      <c r="X687" s="1"/>
      <c r="Y687" s="1"/>
      <c r="Z687" s="1"/>
      <c r="AA687" s="1"/>
      <c r="AB687" s="1"/>
    </row>
    <row r="688" spans="1:36" x14ac:dyDescent="0.3">
      <c r="A688" s="1" t="s">
        <v>3667</v>
      </c>
      <c r="B688" s="5">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13">
        <f>SUM(B688:I688)</f>
        <v>6728.4315574766761</v>
      </c>
      <c r="K688" s="1"/>
      <c r="L688" s="1"/>
      <c r="M688" s="1"/>
      <c r="N688" s="1"/>
      <c r="O688" s="1"/>
      <c r="P688" s="1"/>
      <c r="Q688" s="1"/>
      <c r="R688" s="1"/>
      <c r="S688" s="1"/>
      <c r="T688" s="1"/>
      <c r="U688" s="1"/>
      <c r="V688" s="1"/>
      <c r="W688" s="1"/>
      <c r="X688" s="1"/>
      <c r="Y688" s="1"/>
      <c r="Z688" s="1"/>
      <c r="AA688" s="1"/>
      <c r="AB688" s="1"/>
    </row>
    <row r="689" spans="1:28" x14ac:dyDescent="0.3">
      <c r="A689" s="1" t="s">
        <v>847</v>
      </c>
      <c r="B689" s="5">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13">
        <f>SUM(B689:I689)</f>
        <v>6829.3363086771278</v>
      </c>
      <c r="K689" s="1"/>
      <c r="L689" s="1"/>
      <c r="M689" s="1"/>
      <c r="N689" s="1"/>
      <c r="O689" s="1"/>
      <c r="P689" s="1"/>
      <c r="Q689" s="1"/>
      <c r="R689" s="1"/>
      <c r="S689" s="1"/>
      <c r="T689" s="1"/>
      <c r="U689" s="1"/>
      <c r="V689" s="1"/>
      <c r="W689" s="1"/>
      <c r="X689" s="1"/>
      <c r="Y689" s="1"/>
      <c r="Z689" s="1"/>
      <c r="AA689" s="1"/>
      <c r="AB689" s="1"/>
    </row>
    <row r="690" spans="1:28" x14ac:dyDescent="0.3">
      <c r="A690" s="1" t="s">
        <v>93</v>
      </c>
      <c r="B690" s="5">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1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3">
      <c r="A691" s="1" t="s">
        <v>4</v>
      </c>
      <c r="B691" s="5">
        <f>B668/1000</f>
        <v>1911.4428105552256</v>
      </c>
      <c r="C691" s="5">
        <f t="shared" ref="C691:I691" si="24">C668/1000</f>
        <v>0.16557291285866269</v>
      </c>
      <c r="D691" s="5">
        <f t="shared" si="24"/>
        <v>0.14122138300660741</v>
      </c>
      <c r="E691" s="5">
        <f t="shared" si="24"/>
        <v>11.99396820796089</v>
      </c>
      <c r="F691" s="5">
        <f t="shared" si="24"/>
        <v>58.745519506243923</v>
      </c>
      <c r="G691" s="5">
        <f t="shared" si="24"/>
        <v>5.7772545334153529</v>
      </c>
      <c r="H691" s="5">
        <f t="shared" si="24"/>
        <v>0.61863077203361583</v>
      </c>
      <c r="I691" s="5">
        <f t="shared" si="24"/>
        <v>0</v>
      </c>
      <c r="J691" s="313">
        <f t="shared" si="23"/>
        <v>1988.8849778707445</v>
      </c>
      <c r="K691" s="1"/>
      <c r="L691" s="1"/>
      <c r="M691" s="1"/>
      <c r="N691" s="1"/>
      <c r="O691" s="1"/>
      <c r="P691" s="1"/>
      <c r="Q691" s="1"/>
      <c r="R691" s="1"/>
      <c r="S691" s="1"/>
      <c r="T691" s="1"/>
      <c r="U691" s="1"/>
      <c r="V691" s="1"/>
      <c r="W691" s="1"/>
      <c r="X691" s="1"/>
      <c r="Y691" s="1"/>
      <c r="Z691" s="1"/>
      <c r="AA691" s="1"/>
      <c r="AB691" s="1"/>
    </row>
    <row r="692" spans="1:28" x14ac:dyDescent="0.3">
      <c r="A692" s="1" t="s">
        <v>2427</v>
      </c>
      <c r="B692" s="5">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13">
        <f t="shared" si="23"/>
        <v>594.3871781042867</v>
      </c>
      <c r="K692" s="1"/>
      <c r="L692" s="1"/>
      <c r="M692" s="1"/>
      <c r="N692" s="1"/>
      <c r="O692" s="1"/>
      <c r="P692" s="1"/>
      <c r="Q692" s="1"/>
      <c r="R692" s="1"/>
      <c r="S692" s="1"/>
      <c r="T692" s="1"/>
      <c r="U692" s="1"/>
      <c r="V692" s="1"/>
      <c r="W692" s="1"/>
      <c r="X692" s="1"/>
      <c r="Y692" s="1"/>
      <c r="Z692" s="1"/>
      <c r="AA692" s="1"/>
      <c r="AB692" s="1"/>
    </row>
    <row r="693" spans="1:28" x14ac:dyDescent="0.3">
      <c r="A693" s="1" t="s">
        <v>9</v>
      </c>
      <c r="B693" s="5">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13">
        <f t="shared" si="23"/>
        <v>1847.0916388108249</v>
      </c>
      <c r="K693" s="1"/>
      <c r="L693" s="1"/>
      <c r="M693" s="1"/>
      <c r="N693" s="1"/>
      <c r="O693" s="1"/>
      <c r="P693" s="1"/>
      <c r="Q693" s="1"/>
      <c r="R693" s="1"/>
      <c r="S693" s="1"/>
      <c r="T693" s="1"/>
      <c r="U693" s="1"/>
      <c r="V693" s="1"/>
      <c r="W693" s="1"/>
      <c r="X693" s="1"/>
      <c r="Y693" s="1"/>
      <c r="Z693" s="1"/>
      <c r="AA693" s="1"/>
      <c r="AB693" s="1"/>
    </row>
    <row r="694" spans="1:28" x14ac:dyDescent="0.3">
      <c r="A694" s="1" t="s">
        <v>132</v>
      </c>
      <c r="B694" s="5">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13">
        <f t="shared" si="23"/>
        <v>566.1011011848085</v>
      </c>
      <c r="K694" s="1"/>
      <c r="L694" s="1"/>
      <c r="M694" s="1"/>
      <c r="N694" s="1"/>
      <c r="O694" s="1"/>
      <c r="P694" s="1"/>
      <c r="Q694" s="1"/>
      <c r="R694" s="1"/>
      <c r="S694" s="1"/>
      <c r="T694" s="1"/>
      <c r="U694" s="1"/>
      <c r="V694" s="1"/>
      <c r="W694" s="1"/>
      <c r="X694" s="1"/>
      <c r="Y694" s="1"/>
      <c r="Z694" s="1"/>
      <c r="AA694" s="1"/>
      <c r="AB694" s="1"/>
    </row>
    <row r="695" spans="1:28" x14ac:dyDescent="0.3">
      <c r="A695" s="1" t="s">
        <v>2437</v>
      </c>
      <c r="B695" s="5">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13">
        <f t="shared" si="23"/>
        <v>205.76462632912921</v>
      </c>
      <c r="K695" s="1"/>
      <c r="L695" s="1"/>
      <c r="M695" s="1"/>
      <c r="N695" s="1"/>
      <c r="O695" s="1"/>
      <c r="P695" s="1"/>
      <c r="Q695" s="1"/>
      <c r="R695" s="1"/>
      <c r="S695" s="1"/>
      <c r="T695" s="1"/>
      <c r="U695" s="1"/>
      <c r="V695" s="1"/>
      <c r="W695" s="1"/>
      <c r="X695" s="1"/>
      <c r="Y695" s="1"/>
      <c r="Z695" s="1"/>
      <c r="AA695" s="1"/>
      <c r="AB695" s="1"/>
    </row>
    <row r="696" spans="1:28" x14ac:dyDescent="0.3">
      <c r="A696" s="1" t="s">
        <v>3119</v>
      </c>
      <c r="B696" s="5">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13">
        <f t="shared" si="23"/>
        <v>-773.96549280953138</v>
      </c>
      <c r="K696" s="1"/>
      <c r="L696" s="1"/>
      <c r="M696" s="1"/>
      <c r="N696" s="1"/>
      <c r="O696" s="1"/>
      <c r="P696" s="1"/>
      <c r="Q696" s="1"/>
      <c r="R696" s="1"/>
      <c r="S696" s="1"/>
      <c r="T696" s="1"/>
      <c r="U696" s="1"/>
      <c r="V696" s="1"/>
      <c r="W696" s="1"/>
      <c r="X696" s="1"/>
      <c r="Y696" s="1"/>
      <c r="Z696" s="1"/>
      <c r="AA696" s="1"/>
      <c r="AB696" s="1"/>
    </row>
    <row r="697" spans="1:28" x14ac:dyDescent="0.3">
      <c r="B697" s="5"/>
      <c r="C697" s="5"/>
      <c r="D697" s="5"/>
      <c r="E697" s="5"/>
      <c r="F697" s="5"/>
      <c r="G697" s="5"/>
      <c r="H697" s="5"/>
      <c r="I697" s="5"/>
      <c r="K697" s="1"/>
      <c r="L697" s="1"/>
      <c r="M697" s="1"/>
      <c r="N697" s="1"/>
      <c r="O697" s="1"/>
      <c r="P697" s="1"/>
      <c r="Q697" s="1"/>
      <c r="R697" s="1"/>
      <c r="S697" s="1"/>
      <c r="T697" s="1"/>
      <c r="U697" s="1"/>
      <c r="V697" s="1"/>
      <c r="W697" s="1"/>
      <c r="X697" s="1"/>
      <c r="Y697" s="1"/>
      <c r="Z697" s="1"/>
      <c r="AA697" s="1"/>
      <c r="AB697" s="1"/>
    </row>
    <row r="698" spans="1:28" ht="15" thickBot="1" x14ac:dyDescent="0.35">
      <c r="A698" s="1" t="s">
        <v>3669</v>
      </c>
      <c r="B698" s="5"/>
      <c r="C698" s="5"/>
      <c r="D698" s="5"/>
      <c r="E698" s="5"/>
      <c r="F698" s="5"/>
      <c r="G698" s="5"/>
      <c r="H698" s="5"/>
      <c r="I698" s="5"/>
      <c r="K698" s="1"/>
      <c r="L698" s="1"/>
      <c r="M698" s="1"/>
      <c r="N698" s="1"/>
    </row>
    <row r="699" spans="1:28" ht="15" thickBot="1" x14ac:dyDescent="0.35">
      <c r="A699" s="82" t="s">
        <v>848</v>
      </c>
      <c r="B699" s="83">
        <f>SUM(B689:D689,I689)</f>
        <v>6784.1546601877326</v>
      </c>
      <c r="C699" s="5"/>
      <c r="D699" s="5"/>
      <c r="E699" s="312"/>
      <c r="F699" s="5"/>
      <c r="G699" s="5"/>
      <c r="H699" s="5"/>
      <c r="I699" s="5"/>
      <c r="K699" s="1"/>
      <c r="L699" s="1"/>
      <c r="M699" s="1"/>
      <c r="N699" s="1"/>
      <c r="O699" s="1"/>
      <c r="P699" s="1"/>
      <c r="Q699" s="1"/>
      <c r="R699" s="1"/>
      <c r="S699" s="1"/>
      <c r="T699" s="1"/>
      <c r="U699" s="1"/>
      <c r="V699" s="1"/>
      <c r="W699" s="1"/>
      <c r="X699" s="1"/>
      <c r="Y699" s="1"/>
      <c r="Z699" s="1"/>
      <c r="AA699" s="1"/>
      <c r="AB699" s="1"/>
    </row>
    <row r="700" spans="1:28" ht="29.4" thickBot="1" x14ac:dyDescent="0.35">
      <c r="A700" s="82" t="s">
        <v>3666</v>
      </c>
      <c r="B700" s="83">
        <f>SUM(B688:D688,I688)</f>
        <v>6669.8189215004677</v>
      </c>
      <c r="C700" s="5"/>
      <c r="D700" s="5"/>
      <c r="E700" s="5"/>
      <c r="F700" s="5"/>
      <c r="G700" s="5"/>
      <c r="H700" s="5"/>
      <c r="I700" s="5"/>
      <c r="K700" s="1"/>
      <c r="L700" s="1"/>
      <c r="M700" s="1"/>
      <c r="N700" s="1"/>
      <c r="O700" s="1"/>
      <c r="P700" s="1"/>
      <c r="Q700" s="1"/>
      <c r="R700" s="1"/>
      <c r="S700" s="1"/>
      <c r="T700" s="1"/>
      <c r="U700" s="1"/>
      <c r="V700" s="1"/>
      <c r="W700" s="1"/>
      <c r="X700" s="1"/>
      <c r="Y700" s="1"/>
      <c r="Z700" s="1"/>
      <c r="AA700" s="1"/>
      <c r="AB700" s="1"/>
    </row>
    <row r="701" spans="1:28" x14ac:dyDescent="0.3">
      <c r="B701" s="5"/>
      <c r="C701" s="5"/>
      <c r="D701" s="5"/>
      <c r="E701" s="5"/>
      <c r="F701" s="5"/>
      <c r="G701" s="5"/>
      <c r="H701" s="5"/>
      <c r="I701" s="312"/>
      <c r="K701" s="1"/>
      <c r="L701" s="1"/>
      <c r="M701" s="1"/>
      <c r="N701" s="1"/>
      <c r="O701" s="1"/>
      <c r="P701" s="1"/>
      <c r="Q701" s="1"/>
      <c r="R701" s="1"/>
      <c r="S701" s="1"/>
      <c r="T701" s="1"/>
      <c r="U701" s="1"/>
      <c r="V701" s="1"/>
      <c r="W701" s="1"/>
      <c r="X701" s="1"/>
      <c r="Y701" s="1"/>
      <c r="Z701" s="1"/>
      <c r="AA701" s="1"/>
      <c r="AB701" s="1"/>
    </row>
    <row r="702" spans="1:28" ht="15" thickBot="1" x14ac:dyDescent="0.35">
      <c r="A702" s="1" t="s">
        <v>3670</v>
      </c>
      <c r="B702" s="5"/>
      <c r="C702" s="5"/>
      <c r="D702" s="5"/>
      <c r="E702" s="5"/>
      <c r="F702" s="5"/>
      <c r="G702" s="5"/>
      <c r="H702" s="5"/>
      <c r="I702" s="5"/>
      <c r="K702" s="1"/>
      <c r="L702" s="1"/>
      <c r="M702" s="1"/>
      <c r="N702" s="1"/>
      <c r="O702" s="1"/>
      <c r="P702" s="1"/>
      <c r="Q702" s="1"/>
      <c r="R702" s="1"/>
      <c r="S702" s="1"/>
      <c r="T702" s="1"/>
      <c r="U702" s="1"/>
      <c r="V702" s="1"/>
      <c r="W702" s="1"/>
      <c r="X702" s="1"/>
      <c r="Y702" s="1"/>
      <c r="Z702" s="1"/>
      <c r="AA702" s="1"/>
      <c r="AB702" s="1"/>
    </row>
    <row r="703" spans="1:28" ht="15" thickBot="1" x14ac:dyDescent="0.35">
      <c r="A703" s="82" t="s">
        <v>848</v>
      </c>
      <c r="B703" s="83">
        <f>SUM(B689:I689)</f>
        <v>6829.3363086771278</v>
      </c>
      <c r="D703" s="312"/>
      <c r="K703" s="1"/>
      <c r="L703" s="1"/>
      <c r="M703" s="1"/>
      <c r="N703" s="1"/>
      <c r="O703" s="1"/>
      <c r="P703" s="1"/>
      <c r="Q703" s="1"/>
      <c r="R703" s="1"/>
      <c r="S703" s="1"/>
      <c r="T703" s="1"/>
      <c r="U703" s="1"/>
      <c r="V703" s="1"/>
      <c r="W703" s="1"/>
      <c r="X703" s="1"/>
      <c r="Y703" s="1"/>
      <c r="Z703" s="1"/>
      <c r="AA703" s="1"/>
      <c r="AB703" s="1"/>
    </row>
    <row r="704" spans="1:28" ht="29.4" thickBot="1" x14ac:dyDescent="0.35">
      <c r="A704" s="82" t="s">
        <v>3666</v>
      </c>
      <c r="B704" s="83">
        <f>SUM(B688:I688)</f>
        <v>6728.4315574766761</v>
      </c>
      <c r="D704" s="312"/>
      <c r="K704" s="1"/>
      <c r="L704" s="1"/>
      <c r="M704" s="1"/>
      <c r="N704" s="1"/>
      <c r="O704" s="1"/>
      <c r="P704" s="1"/>
      <c r="Q704" s="1"/>
      <c r="R704" s="1"/>
      <c r="S704" s="1"/>
      <c r="T704" s="1"/>
      <c r="U704" s="1"/>
      <c r="V704" s="1"/>
      <c r="W704" s="1"/>
      <c r="X704" s="1"/>
      <c r="Y704" s="1"/>
      <c r="Z704" s="1"/>
      <c r="AA704" s="1"/>
      <c r="AB704" s="1"/>
    </row>
    <row r="705" spans="1:28" x14ac:dyDescent="0.3">
      <c r="A705" s="3"/>
      <c r="B705" s="5"/>
      <c r="K705" s="1"/>
      <c r="L705" s="1"/>
      <c r="M705" s="1"/>
      <c r="N705" s="1"/>
      <c r="O705" s="1"/>
      <c r="P705" s="1"/>
      <c r="Q705" s="1"/>
      <c r="R705" s="1"/>
      <c r="S705" s="1"/>
      <c r="T705" s="1"/>
      <c r="U705" s="1"/>
      <c r="V705" s="1"/>
      <c r="W705" s="1"/>
      <c r="X705" s="1"/>
      <c r="Y705" s="1"/>
      <c r="Z705" s="1"/>
      <c r="AA705" s="1"/>
      <c r="AB705" s="1"/>
    </row>
    <row r="706" spans="1:28" x14ac:dyDescent="0.3">
      <c r="A706" s="1" t="s">
        <v>93</v>
      </c>
      <c r="B706" s="5">
        <f>SUM(B690:I690)</f>
        <v>2400.8653682426634</v>
      </c>
      <c r="K706" s="1"/>
      <c r="L706" s="1"/>
      <c r="M706" s="1"/>
      <c r="N706" s="1"/>
      <c r="O706" s="1"/>
      <c r="P706" s="1"/>
      <c r="Q706" s="1"/>
      <c r="R706" s="1"/>
      <c r="S706" s="1"/>
      <c r="T706" s="1"/>
      <c r="U706" s="1"/>
      <c r="V706" s="1"/>
      <c r="W706" s="1"/>
      <c r="X706" s="1"/>
      <c r="Y706" s="1"/>
      <c r="Z706" s="1"/>
      <c r="AA706" s="1"/>
      <c r="AB706" s="1"/>
    </row>
    <row r="707" spans="1:28" x14ac:dyDescent="0.3">
      <c r="A707" s="1" t="s">
        <v>4</v>
      </c>
      <c r="B707" s="5">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3">
      <c r="A708" s="1" t="s">
        <v>2427</v>
      </c>
      <c r="B708" s="5">
        <f t="shared" si="25"/>
        <v>594.3871781042867</v>
      </c>
      <c r="K708" s="1"/>
      <c r="L708" s="1"/>
      <c r="M708" s="1"/>
      <c r="N708" s="1"/>
      <c r="O708" s="1"/>
      <c r="P708" s="1"/>
      <c r="Q708" s="1"/>
      <c r="R708" s="1"/>
      <c r="S708" s="1"/>
      <c r="T708" s="1"/>
      <c r="U708" s="1"/>
      <c r="V708" s="1"/>
      <c r="W708" s="1"/>
      <c r="X708" s="1"/>
      <c r="Y708" s="1"/>
      <c r="Z708" s="1"/>
      <c r="AA708" s="1"/>
      <c r="AB708" s="1"/>
    </row>
    <row r="709" spans="1:28" x14ac:dyDescent="0.3">
      <c r="A709" s="1" t="s">
        <v>9</v>
      </c>
      <c r="B709" s="5">
        <f t="shared" si="25"/>
        <v>1847.0916388108249</v>
      </c>
      <c r="K709" s="1"/>
      <c r="L709" s="1"/>
      <c r="M709" s="1"/>
      <c r="N709" s="1"/>
      <c r="O709" s="1"/>
      <c r="P709" s="1"/>
      <c r="Q709" s="1"/>
      <c r="R709" s="1"/>
      <c r="S709" s="1"/>
      <c r="T709" s="1"/>
      <c r="U709" s="1"/>
      <c r="V709" s="1"/>
      <c r="W709" s="1"/>
      <c r="X709" s="1"/>
      <c r="Y709" s="1"/>
      <c r="Z709" s="1"/>
      <c r="AA709" s="1"/>
      <c r="AB709" s="1"/>
    </row>
    <row r="710" spans="1:28" x14ac:dyDescent="0.3">
      <c r="A710" s="1" t="s">
        <v>132</v>
      </c>
      <c r="B710" s="5">
        <f t="shared" si="25"/>
        <v>566.1011011848085</v>
      </c>
      <c r="K710" s="1"/>
      <c r="L710" s="1"/>
      <c r="M710" s="1"/>
      <c r="N710" s="1"/>
      <c r="O710" s="1"/>
      <c r="P710" s="1"/>
      <c r="Q710" s="1"/>
      <c r="R710" s="1"/>
      <c r="S710" s="1"/>
      <c r="T710" s="1"/>
      <c r="U710" s="1"/>
      <c r="V710" s="1"/>
      <c r="W710" s="1"/>
      <c r="X710" s="1"/>
      <c r="Y710" s="1"/>
      <c r="Z710" s="1"/>
      <c r="AA710" s="1"/>
      <c r="AB710" s="1"/>
    </row>
    <row r="711" spans="1:28" x14ac:dyDescent="0.3">
      <c r="A711" s="1" t="s">
        <v>2437</v>
      </c>
      <c r="B711" s="5">
        <f t="shared" si="25"/>
        <v>205.76462632912921</v>
      </c>
      <c r="K711" s="1"/>
      <c r="L711" s="1"/>
      <c r="M711" s="1"/>
      <c r="N711" s="1"/>
      <c r="O711" s="1"/>
      <c r="P711" s="1"/>
      <c r="Q711" s="1"/>
      <c r="R711" s="1"/>
      <c r="S711" s="1"/>
      <c r="T711" s="1"/>
      <c r="U711" s="1"/>
      <c r="V711" s="1"/>
      <c r="W711" s="1"/>
      <c r="X711" s="1"/>
      <c r="Y711" s="1"/>
      <c r="Z711" s="1"/>
      <c r="AA711" s="1"/>
      <c r="AB711" s="1"/>
    </row>
    <row r="712" spans="1:28" x14ac:dyDescent="0.3">
      <c r="A712" s="1" t="s">
        <v>3119</v>
      </c>
      <c r="B712" s="5">
        <f t="shared" si="25"/>
        <v>-773.96549280953138</v>
      </c>
      <c r="C712" s="5"/>
      <c r="D712" s="5"/>
      <c r="K712" s="1"/>
      <c r="L712" s="1"/>
      <c r="M712" s="1"/>
      <c r="N712" s="1"/>
      <c r="O712" s="1"/>
      <c r="P712" s="1"/>
      <c r="Q712" s="1"/>
      <c r="R712" s="1"/>
      <c r="S712" s="1"/>
      <c r="T712" s="1"/>
      <c r="U712" s="1"/>
      <c r="V712" s="1"/>
      <c r="W712" s="1"/>
      <c r="X712" s="1"/>
      <c r="Y712" s="1"/>
      <c r="Z712" s="1"/>
      <c r="AA712" s="1"/>
      <c r="AB712" s="1"/>
    </row>
    <row r="713" spans="1:28" x14ac:dyDescent="0.3">
      <c r="A713" s="3"/>
      <c r="B713" s="5"/>
      <c r="C713" s="5"/>
      <c r="K713" s="1"/>
      <c r="L713" s="1"/>
      <c r="M713" s="1"/>
      <c r="N713" s="1"/>
      <c r="O713" s="1"/>
      <c r="P713" s="1"/>
      <c r="Q713" s="1"/>
      <c r="R713" s="1"/>
      <c r="S713" s="1"/>
      <c r="T713" s="1"/>
      <c r="U713" s="1"/>
      <c r="V713" s="1"/>
      <c r="W713" s="1"/>
      <c r="X713" s="1"/>
      <c r="Y713" s="1"/>
      <c r="Z713" s="1"/>
      <c r="AA713" s="1"/>
      <c r="AB713" s="1"/>
    </row>
    <row r="714" spans="1:28" x14ac:dyDescent="0.3">
      <c r="A714" s="3"/>
      <c r="B714" s="5"/>
      <c r="K714" s="1"/>
      <c r="L714" s="1"/>
      <c r="M714" s="1"/>
      <c r="N714" s="1"/>
      <c r="O714" s="1"/>
      <c r="P714" s="1"/>
      <c r="Q714" s="1"/>
      <c r="R714" s="1"/>
      <c r="S714" s="1"/>
      <c r="T714" s="1"/>
      <c r="U714" s="1"/>
      <c r="V714" s="1"/>
      <c r="W714" s="1"/>
      <c r="X714" s="1"/>
      <c r="Y714" s="1"/>
      <c r="Z714" s="1"/>
      <c r="AA714" s="1"/>
      <c r="AB714" s="1"/>
    </row>
    <row r="715" spans="1:28" x14ac:dyDescent="0.3">
      <c r="A715" s="3"/>
      <c r="B715" s="5"/>
      <c r="K715" s="1"/>
      <c r="L715" s="1"/>
      <c r="M715" s="1"/>
      <c r="N715" s="1"/>
      <c r="O715" s="1"/>
      <c r="P715" s="1"/>
      <c r="Q715" s="1"/>
      <c r="R715" s="1"/>
      <c r="S715" s="1"/>
      <c r="T715" s="1"/>
      <c r="U715" s="1"/>
      <c r="V715" s="1"/>
      <c r="W715" s="1"/>
      <c r="X715" s="1"/>
      <c r="Y715" s="1"/>
      <c r="Z715" s="1"/>
      <c r="AA715" s="1"/>
      <c r="AB715" s="1"/>
    </row>
    <row r="716" spans="1:28" ht="15.6" x14ac:dyDescent="0.3">
      <c r="A716" s="84" t="s">
        <v>849</v>
      </c>
      <c r="B716" s="85"/>
      <c r="C716" s="85"/>
      <c r="D716" s="85"/>
      <c r="E716" s="85"/>
      <c r="F716" s="85"/>
      <c r="G716" s="85"/>
      <c r="H716" s="85"/>
      <c r="I716" s="85"/>
      <c r="J716" s="85"/>
      <c r="K716" s="85"/>
      <c r="L716" s="85"/>
      <c r="M716" s="85"/>
      <c r="N716" s="85"/>
    </row>
    <row r="717" spans="1:28" x14ac:dyDescent="0.3">
      <c r="A717" s="85" t="s">
        <v>850</v>
      </c>
      <c r="B717" s="85"/>
      <c r="C717" s="85"/>
      <c r="D717" s="85"/>
      <c r="E717" s="85"/>
      <c r="F717" s="85"/>
      <c r="G717" s="85"/>
      <c r="H717" s="85"/>
      <c r="I717" s="85"/>
      <c r="J717" s="85"/>
      <c r="K717" s="85"/>
      <c r="L717" s="85"/>
      <c r="M717" s="85"/>
      <c r="N717" s="85"/>
    </row>
    <row r="718" spans="1:28" x14ac:dyDescent="0.3">
      <c r="A718" s="85" t="s">
        <v>851</v>
      </c>
      <c r="B718" s="85"/>
      <c r="C718" s="85"/>
      <c r="D718" s="85"/>
      <c r="E718" s="85"/>
      <c r="F718" s="85"/>
      <c r="G718" s="85"/>
      <c r="H718" s="85"/>
      <c r="I718" s="85"/>
      <c r="J718" s="85"/>
      <c r="K718" s="85"/>
      <c r="L718" s="85"/>
      <c r="M718" s="85"/>
      <c r="N718" s="85"/>
    </row>
    <row r="719" spans="1:28" ht="30.6" x14ac:dyDescent="0.3">
      <c r="A719" s="86" t="s">
        <v>852</v>
      </c>
      <c r="B719" s="87" t="s">
        <v>853</v>
      </c>
      <c r="C719" s="88" t="s">
        <v>854</v>
      </c>
      <c r="D719" s="89" t="s">
        <v>855</v>
      </c>
      <c r="E719" s="89" t="s">
        <v>856</v>
      </c>
      <c r="F719" s="90" t="s">
        <v>857</v>
      </c>
      <c r="G719" s="89" t="s">
        <v>858</v>
      </c>
      <c r="H719" s="90" t="s">
        <v>859</v>
      </c>
      <c r="I719" s="89" t="s">
        <v>860</v>
      </c>
      <c r="J719" s="90" t="s">
        <v>861</v>
      </c>
      <c r="K719" s="89" t="s">
        <v>862</v>
      </c>
      <c r="L719" s="90" t="s">
        <v>863</v>
      </c>
      <c r="M719" s="90" t="s">
        <v>864</v>
      </c>
      <c r="N719" s="90" t="s">
        <v>865</v>
      </c>
    </row>
    <row r="720" spans="1:28" x14ac:dyDescent="0.3">
      <c r="A720" s="91" t="s">
        <v>866</v>
      </c>
      <c r="B720" s="92" t="s">
        <v>867</v>
      </c>
      <c r="C720" s="93" t="s">
        <v>868</v>
      </c>
      <c r="D720" s="91" t="s">
        <v>869</v>
      </c>
      <c r="E720" s="91" t="s">
        <v>870</v>
      </c>
      <c r="F720" s="94">
        <v>1</v>
      </c>
      <c r="G720" s="91" t="s">
        <v>871</v>
      </c>
      <c r="H720" s="94">
        <v>1</v>
      </c>
      <c r="I720" s="91" t="s">
        <v>872</v>
      </c>
      <c r="J720" s="94">
        <v>1</v>
      </c>
      <c r="K720" s="91" t="s">
        <v>873</v>
      </c>
      <c r="L720" s="94">
        <v>1</v>
      </c>
      <c r="M720" s="91" t="s">
        <v>874</v>
      </c>
      <c r="N720" s="94">
        <v>1</v>
      </c>
    </row>
    <row r="721" spans="1:14" x14ac:dyDescent="0.3">
      <c r="A721" s="95" t="s">
        <v>875</v>
      </c>
      <c r="B721" s="96" t="s">
        <v>876</v>
      </c>
      <c r="C721" s="96" t="s">
        <v>877</v>
      </c>
      <c r="D721" s="95" t="s">
        <v>878</v>
      </c>
      <c r="E721" s="95" t="s">
        <v>879</v>
      </c>
      <c r="F721" s="97">
        <v>84</v>
      </c>
      <c r="G721" s="95" t="s">
        <v>880</v>
      </c>
      <c r="H721" s="97">
        <v>28</v>
      </c>
      <c r="I721" s="95" t="s">
        <v>881</v>
      </c>
      <c r="J721" s="97">
        <v>67</v>
      </c>
      <c r="K721" s="95" t="s">
        <v>882</v>
      </c>
      <c r="L721" s="97">
        <v>14</v>
      </c>
      <c r="M721" s="95" t="s">
        <v>883</v>
      </c>
      <c r="N721" s="97">
        <v>4</v>
      </c>
    </row>
    <row r="722" spans="1:14" x14ac:dyDescent="0.3">
      <c r="A722" s="98" t="s">
        <v>884</v>
      </c>
      <c r="B722" s="99" t="s">
        <v>876</v>
      </c>
      <c r="C722" s="99" t="s">
        <v>877</v>
      </c>
      <c r="D722" s="98" t="s">
        <v>878</v>
      </c>
      <c r="E722" s="98" t="s">
        <v>885</v>
      </c>
      <c r="F722" s="100">
        <v>85</v>
      </c>
      <c r="G722" s="98" t="s">
        <v>886</v>
      </c>
      <c r="H722" s="100">
        <v>30</v>
      </c>
      <c r="I722" s="98" t="s">
        <v>887</v>
      </c>
      <c r="J722" s="100">
        <v>68</v>
      </c>
      <c r="K722" s="98" t="s">
        <v>888</v>
      </c>
      <c r="L722" s="100">
        <v>15</v>
      </c>
      <c r="M722" s="98" t="s">
        <v>889</v>
      </c>
      <c r="N722" s="100">
        <v>6</v>
      </c>
    </row>
    <row r="723" spans="1:14" x14ac:dyDescent="0.3">
      <c r="A723" s="101" t="s">
        <v>890</v>
      </c>
      <c r="B723" s="102" t="s">
        <v>891</v>
      </c>
      <c r="C723" s="102" t="s">
        <v>892</v>
      </c>
      <c r="D723" s="101" t="s">
        <v>893</v>
      </c>
      <c r="E723" s="101" t="s">
        <v>894</v>
      </c>
      <c r="F723" s="103">
        <v>264</v>
      </c>
      <c r="G723" s="101" t="s">
        <v>895</v>
      </c>
      <c r="H723" s="103">
        <v>265</v>
      </c>
      <c r="I723" s="101" t="s">
        <v>896</v>
      </c>
      <c r="J723" s="103">
        <v>277</v>
      </c>
      <c r="K723" s="101" t="s">
        <v>897</v>
      </c>
      <c r="L723" s="103">
        <v>282</v>
      </c>
      <c r="M723" s="101" t="s">
        <v>898</v>
      </c>
      <c r="N723" s="103">
        <v>234</v>
      </c>
    </row>
    <row r="724" spans="1:14" x14ac:dyDescent="0.3">
      <c r="A724" s="91" t="s">
        <v>899</v>
      </c>
      <c r="B724" s="92" t="s">
        <v>900</v>
      </c>
      <c r="C724" s="104">
        <v>45</v>
      </c>
      <c r="D724" s="105">
        <v>0.26</v>
      </c>
      <c r="E724" s="91" t="s">
        <v>901</v>
      </c>
      <c r="F724" s="94">
        <v>6900</v>
      </c>
      <c r="G724" s="91" t="s">
        <v>902</v>
      </c>
      <c r="H724" s="94">
        <v>4660</v>
      </c>
      <c r="I724" s="91" t="s">
        <v>903</v>
      </c>
      <c r="J724" s="94">
        <v>6890</v>
      </c>
      <c r="K724" s="91" t="s">
        <v>904</v>
      </c>
      <c r="L724" s="94">
        <v>4890</v>
      </c>
      <c r="M724" s="91" t="s">
        <v>905</v>
      </c>
      <c r="N724" s="94">
        <v>2340</v>
      </c>
    </row>
    <row r="725" spans="1:14" x14ac:dyDescent="0.3">
      <c r="A725" s="95" t="s">
        <v>906</v>
      </c>
      <c r="B725" s="96" t="s">
        <v>907</v>
      </c>
      <c r="C725" s="106">
        <v>100</v>
      </c>
      <c r="D725" s="107">
        <v>0.32</v>
      </c>
      <c r="E725" s="95" t="s">
        <v>908</v>
      </c>
      <c r="F725" s="108">
        <v>10800</v>
      </c>
      <c r="G725" s="95" t="s">
        <v>909</v>
      </c>
      <c r="H725" s="108">
        <v>10200</v>
      </c>
      <c r="I725" s="95" t="s">
        <v>910</v>
      </c>
      <c r="J725" s="108">
        <v>11300</v>
      </c>
      <c r="K725" s="95" t="s">
        <v>911</v>
      </c>
      <c r="L725" s="108">
        <v>11000</v>
      </c>
      <c r="M725" s="95" t="s">
        <v>912</v>
      </c>
      <c r="N725" s="97">
        <v>8450</v>
      </c>
    </row>
    <row r="726" spans="1:14" x14ac:dyDescent="0.3">
      <c r="A726" s="98" t="s">
        <v>913</v>
      </c>
      <c r="B726" s="99" t="s">
        <v>914</v>
      </c>
      <c r="C726" s="109">
        <v>640</v>
      </c>
      <c r="D726" s="110">
        <v>0.25</v>
      </c>
      <c r="E726" s="98" t="s">
        <v>915</v>
      </c>
      <c r="F726" s="111">
        <v>10900</v>
      </c>
      <c r="G726" s="98" t="s">
        <v>916</v>
      </c>
      <c r="H726" s="111">
        <v>13900</v>
      </c>
      <c r="I726" s="98" t="s">
        <v>917</v>
      </c>
      <c r="J726" s="111">
        <v>11700</v>
      </c>
      <c r="K726" s="98" t="s">
        <v>918</v>
      </c>
      <c r="L726" s="111">
        <v>14200</v>
      </c>
      <c r="M726" s="98" t="s">
        <v>919</v>
      </c>
      <c r="N726" s="111">
        <v>15900</v>
      </c>
    </row>
    <row r="727" spans="1:14" x14ac:dyDescent="0.3">
      <c r="A727" s="95" t="s">
        <v>920</v>
      </c>
      <c r="B727" s="112" t="s">
        <v>921</v>
      </c>
      <c r="C727" s="113">
        <v>85</v>
      </c>
      <c r="D727" s="107">
        <v>0.3</v>
      </c>
      <c r="E727" s="95" t="s">
        <v>922</v>
      </c>
      <c r="F727" s="97">
        <v>6490</v>
      </c>
      <c r="G727" s="95" t="s">
        <v>923</v>
      </c>
      <c r="H727" s="97">
        <v>5820</v>
      </c>
      <c r="I727" s="95" t="s">
        <v>924</v>
      </c>
      <c r="J727" s="97">
        <v>6730</v>
      </c>
      <c r="K727" s="95" t="s">
        <v>925</v>
      </c>
      <c r="L727" s="97">
        <v>6250</v>
      </c>
      <c r="M727" s="95" t="s">
        <v>926</v>
      </c>
      <c r="N727" s="97">
        <v>4470</v>
      </c>
    </row>
    <row r="728" spans="1:14" x14ac:dyDescent="0.3">
      <c r="A728" s="98" t="s">
        <v>927</v>
      </c>
      <c r="B728" s="114" t="s">
        <v>928</v>
      </c>
      <c r="C728" s="109">
        <v>190</v>
      </c>
      <c r="D728" s="110">
        <v>0.31</v>
      </c>
      <c r="E728" s="98" t="s">
        <v>929</v>
      </c>
      <c r="F728" s="100">
        <v>7710</v>
      </c>
      <c r="G728" s="98" t="s">
        <v>930</v>
      </c>
      <c r="H728" s="100">
        <v>8590</v>
      </c>
      <c r="I728" s="98" t="s">
        <v>931</v>
      </c>
      <c r="J728" s="100">
        <v>8190</v>
      </c>
      <c r="K728" s="98" t="s">
        <v>932</v>
      </c>
      <c r="L728" s="100">
        <v>9020</v>
      </c>
      <c r="M728" s="98" t="s">
        <v>933</v>
      </c>
      <c r="N728" s="100">
        <v>8550</v>
      </c>
    </row>
    <row r="729" spans="1:14" x14ac:dyDescent="0.3">
      <c r="A729" s="101" t="s">
        <v>934</v>
      </c>
      <c r="B729" s="115" t="s">
        <v>935</v>
      </c>
      <c r="C729" s="116">
        <v>1020</v>
      </c>
      <c r="D729" s="117">
        <v>0.2</v>
      </c>
      <c r="E729" s="101" t="s">
        <v>936</v>
      </c>
      <c r="F729" s="103">
        <v>5860</v>
      </c>
      <c r="G729" s="101" t="s">
        <v>937</v>
      </c>
      <c r="H729" s="103">
        <v>7670</v>
      </c>
      <c r="I729" s="101" t="s">
        <v>938</v>
      </c>
      <c r="J729" s="103">
        <v>6310</v>
      </c>
      <c r="K729" s="101" t="s">
        <v>939</v>
      </c>
      <c r="L729" s="103">
        <v>7810</v>
      </c>
      <c r="M729" s="101" t="s">
        <v>940</v>
      </c>
      <c r="N729" s="103">
        <v>8980</v>
      </c>
    </row>
    <row r="730" spans="1:14" x14ac:dyDescent="0.3">
      <c r="A730" s="91" t="s">
        <v>941</v>
      </c>
      <c r="B730" s="92" t="s">
        <v>942</v>
      </c>
      <c r="C730" s="104">
        <v>1.7</v>
      </c>
      <c r="D730" s="105">
        <v>0.15</v>
      </c>
      <c r="E730" s="91" t="s">
        <v>943</v>
      </c>
      <c r="F730" s="94">
        <v>543</v>
      </c>
      <c r="G730" s="91" t="s">
        <v>943</v>
      </c>
      <c r="H730" s="94">
        <v>148</v>
      </c>
      <c r="I730" s="91" t="s">
        <v>944</v>
      </c>
      <c r="J730" s="94">
        <v>192</v>
      </c>
      <c r="K730" s="91" t="s">
        <v>945</v>
      </c>
      <c r="L730" s="94">
        <v>26</v>
      </c>
      <c r="M730" s="91" t="s">
        <v>946</v>
      </c>
      <c r="N730" s="94">
        <v>20</v>
      </c>
    </row>
    <row r="731" spans="1:14" x14ac:dyDescent="0.3">
      <c r="A731" s="95" t="s">
        <v>947</v>
      </c>
      <c r="B731" s="96" t="s">
        <v>948</v>
      </c>
      <c r="C731" s="113">
        <v>11.9</v>
      </c>
      <c r="D731" s="107">
        <v>0.21</v>
      </c>
      <c r="E731" s="95" t="s">
        <v>949</v>
      </c>
      <c r="F731" s="97">
        <v>5280</v>
      </c>
      <c r="G731" s="95" t="s">
        <v>922</v>
      </c>
      <c r="H731" s="97">
        <v>1760</v>
      </c>
      <c r="I731" s="95" t="s">
        <v>950</v>
      </c>
      <c r="J731" s="97">
        <v>4200</v>
      </c>
      <c r="K731" s="95" t="s">
        <v>951</v>
      </c>
      <c r="L731" s="97">
        <v>832</v>
      </c>
      <c r="M731" s="95" t="s">
        <v>952</v>
      </c>
      <c r="N731" s="97">
        <v>262</v>
      </c>
    </row>
    <row r="732" spans="1:14" x14ac:dyDescent="0.3">
      <c r="A732" s="98" t="s">
        <v>953</v>
      </c>
      <c r="B732" s="114" t="s">
        <v>954</v>
      </c>
      <c r="C732" s="118">
        <v>1</v>
      </c>
      <c r="D732" s="110">
        <v>0.17</v>
      </c>
      <c r="E732" s="98" t="s">
        <v>955</v>
      </c>
      <c r="F732" s="100">
        <v>218</v>
      </c>
      <c r="G732" s="98" t="s">
        <v>955</v>
      </c>
      <c r="H732" s="100">
        <v>59</v>
      </c>
      <c r="I732" s="98" t="s">
        <v>956</v>
      </c>
      <c r="J732" s="100">
        <v>70</v>
      </c>
      <c r="K732" s="98" t="s">
        <v>957</v>
      </c>
      <c r="L732" s="100">
        <v>10</v>
      </c>
      <c r="M732" s="98" t="s">
        <v>958</v>
      </c>
      <c r="N732" s="100">
        <v>8</v>
      </c>
    </row>
    <row r="733" spans="1:14" x14ac:dyDescent="0.3">
      <c r="A733" s="95" t="s">
        <v>959</v>
      </c>
      <c r="B733" s="112" t="s">
        <v>960</v>
      </c>
      <c r="C733" s="113">
        <v>3.4</v>
      </c>
      <c r="D733" s="107">
        <v>0.21</v>
      </c>
      <c r="E733" s="95" t="s">
        <v>961</v>
      </c>
      <c r="F733" s="97">
        <v>945</v>
      </c>
      <c r="G733" s="95" t="s">
        <v>962</v>
      </c>
      <c r="H733" s="97">
        <v>258</v>
      </c>
      <c r="I733" s="95" t="s">
        <v>963</v>
      </c>
      <c r="J733" s="97">
        <v>426</v>
      </c>
      <c r="K733" s="95" t="s">
        <v>964</v>
      </c>
      <c r="L733" s="97">
        <v>48</v>
      </c>
      <c r="M733" s="95" t="s">
        <v>965</v>
      </c>
      <c r="N733" s="97">
        <v>36</v>
      </c>
    </row>
    <row r="734" spans="1:14" x14ac:dyDescent="0.3">
      <c r="A734" s="98" t="s">
        <v>966</v>
      </c>
      <c r="B734" s="114" t="s">
        <v>967</v>
      </c>
      <c r="C734" s="118">
        <v>1.3</v>
      </c>
      <c r="D734" s="110">
        <v>0.15</v>
      </c>
      <c r="E734" s="98" t="s">
        <v>968</v>
      </c>
      <c r="F734" s="100">
        <v>292</v>
      </c>
      <c r="G734" s="98" t="s">
        <v>968</v>
      </c>
      <c r="H734" s="100">
        <v>79</v>
      </c>
      <c r="I734" s="98" t="s">
        <v>969</v>
      </c>
      <c r="J734" s="100">
        <v>98</v>
      </c>
      <c r="K734" s="98" t="s">
        <v>970</v>
      </c>
      <c r="L734" s="100">
        <v>14</v>
      </c>
      <c r="M734" s="98" t="s">
        <v>971</v>
      </c>
      <c r="N734" s="100">
        <v>11</v>
      </c>
    </row>
    <row r="735" spans="1:14" x14ac:dyDescent="0.3">
      <c r="A735" s="95" t="s">
        <v>972</v>
      </c>
      <c r="B735" s="112" t="s">
        <v>973</v>
      </c>
      <c r="C735" s="113">
        <v>4</v>
      </c>
      <c r="D735" s="107">
        <v>0.23</v>
      </c>
      <c r="E735" s="95" t="s">
        <v>974</v>
      </c>
      <c r="F735" s="97">
        <v>1350</v>
      </c>
      <c r="G735" s="95" t="s">
        <v>975</v>
      </c>
      <c r="H735" s="97">
        <v>370</v>
      </c>
      <c r="I735" s="95" t="s">
        <v>976</v>
      </c>
      <c r="J735" s="97">
        <v>659</v>
      </c>
      <c r="K735" s="95" t="s">
        <v>977</v>
      </c>
      <c r="L735" s="97">
        <v>72</v>
      </c>
      <c r="M735" s="95" t="s">
        <v>978</v>
      </c>
      <c r="N735" s="97">
        <v>51</v>
      </c>
    </row>
    <row r="736" spans="1:14" x14ac:dyDescent="0.3">
      <c r="A736" s="98" t="s">
        <v>979</v>
      </c>
      <c r="B736" s="114" t="s">
        <v>980</v>
      </c>
      <c r="C736" s="118">
        <v>5.9</v>
      </c>
      <c r="D736" s="110">
        <v>0.2</v>
      </c>
      <c r="E736" s="98" t="s">
        <v>981</v>
      </c>
      <c r="F736" s="100">
        <v>1870</v>
      </c>
      <c r="G736" s="98" t="s">
        <v>982</v>
      </c>
      <c r="H736" s="100">
        <v>527</v>
      </c>
      <c r="I736" s="98" t="s">
        <v>983</v>
      </c>
      <c r="J736" s="100">
        <v>1120</v>
      </c>
      <c r="K736" s="98" t="s">
        <v>984</v>
      </c>
      <c r="L736" s="100">
        <v>121</v>
      </c>
      <c r="M736" s="98" t="s">
        <v>985</v>
      </c>
      <c r="N736" s="100">
        <v>74</v>
      </c>
    </row>
    <row r="737" spans="1:14" x14ac:dyDescent="0.3">
      <c r="A737" s="95" t="s">
        <v>986</v>
      </c>
      <c r="B737" s="112" t="s">
        <v>987</v>
      </c>
      <c r="C737" s="113">
        <v>4.3</v>
      </c>
      <c r="D737" s="107">
        <v>0.17</v>
      </c>
      <c r="E737" s="95" t="s">
        <v>988</v>
      </c>
      <c r="F737" s="97">
        <v>1230</v>
      </c>
      <c r="G737" s="95" t="s">
        <v>989</v>
      </c>
      <c r="H737" s="97">
        <v>338</v>
      </c>
      <c r="I737" s="95" t="s">
        <v>990</v>
      </c>
      <c r="J737" s="97">
        <v>624</v>
      </c>
      <c r="K737" s="95" t="s">
        <v>991</v>
      </c>
      <c r="L737" s="97">
        <v>67</v>
      </c>
      <c r="M737" s="95" t="s">
        <v>992</v>
      </c>
      <c r="N737" s="97">
        <v>47</v>
      </c>
    </row>
    <row r="738" spans="1:14" x14ac:dyDescent="0.3">
      <c r="A738" s="98" t="s">
        <v>993</v>
      </c>
      <c r="B738" s="114" t="s">
        <v>994</v>
      </c>
      <c r="C738" s="118">
        <v>9.1999999999999993</v>
      </c>
      <c r="D738" s="110">
        <v>0.16</v>
      </c>
      <c r="E738" s="98" t="s">
        <v>995</v>
      </c>
      <c r="F738" s="100">
        <v>2550</v>
      </c>
      <c r="G738" s="98" t="s">
        <v>996</v>
      </c>
      <c r="H738" s="100">
        <v>782</v>
      </c>
      <c r="I738" s="98" t="s">
        <v>997</v>
      </c>
      <c r="J738" s="100">
        <v>1850</v>
      </c>
      <c r="K738" s="98" t="s">
        <v>998</v>
      </c>
      <c r="L738" s="100">
        <v>271</v>
      </c>
      <c r="M738" s="98" t="s">
        <v>999</v>
      </c>
      <c r="N738" s="100">
        <v>111</v>
      </c>
    </row>
    <row r="739" spans="1:14" x14ac:dyDescent="0.3">
      <c r="A739" s="95" t="s">
        <v>1000</v>
      </c>
      <c r="B739" s="112" t="s">
        <v>1001</v>
      </c>
      <c r="C739" s="113">
        <v>17.2</v>
      </c>
      <c r="D739" s="107">
        <v>0.19</v>
      </c>
      <c r="E739" s="95" t="s">
        <v>1002</v>
      </c>
      <c r="F739" s="97">
        <v>5020</v>
      </c>
      <c r="G739" s="95" t="s">
        <v>1003</v>
      </c>
      <c r="H739" s="97">
        <v>1980</v>
      </c>
      <c r="I739" s="95" t="s">
        <v>904</v>
      </c>
      <c r="J739" s="97">
        <v>4390</v>
      </c>
      <c r="K739" s="95" t="s">
        <v>1004</v>
      </c>
      <c r="L739" s="97">
        <v>1370</v>
      </c>
      <c r="M739" s="95" t="s">
        <v>1005</v>
      </c>
      <c r="N739" s="97">
        <v>356</v>
      </c>
    </row>
    <row r="740" spans="1:14" x14ac:dyDescent="0.3">
      <c r="A740" s="98" t="s">
        <v>1006</v>
      </c>
      <c r="B740" s="114" t="s">
        <v>1007</v>
      </c>
      <c r="C740" s="118">
        <v>1.9</v>
      </c>
      <c r="D740" s="110">
        <v>0.22</v>
      </c>
      <c r="E740" s="98" t="s">
        <v>1008</v>
      </c>
      <c r="F740" s="100">
        <v>469</v>
      </c>
      <c r="G740" s="98" t="s">
        <v>1008</v>
      </c>
      <c r="H740" s="100">
        <v>127</v>
      </c>
      <c r="I740" s="98" t="s">
        <v>1009</v>
      </c>
      <c r="J740" s="100">
        <v>170</v>
      </c>
      <c r="K740" s="98" t="s">
        <v>1010</v>
      </c>
      <c r="L740" s="100">
        <v>22</v>
      </c>
      <c r="M740" s="98" t="s">
        <v>1011</v>
      </c>
      <c r="N740" s="100">
        <v>18</v>
      </c>
    </row>
    <row r="741" spans="1:14" x14ac:dyDescent="0.3">
      <c r="A741" s="95" t="s">
        <v>1012</v>
      </c>
      <c r="B741" s="112" t="s">
        <v>1013</v>
      </c>
      <c r="C741" s="113">
        <v>5.9</v>
      </c>
      <c r="D741" s="107">
        <v>0.28999999999999998</v>
      </c>
      <c r="E741" s="95" t="s">
        <v>1014</v>
      </c>
      <c r="F741" s="97">
        <v>1860</v>
      </c>
      <c r="G741" s="95" t="s">
        <v>1015</v>
      </c>
      <c r="H741" s="97">
        <v>525</v>
      </c>
      <c r="I741" s="95" t="s">
        <v>1016</v>
      </c>
      <c r="J741" s="97">
        <v>1110</v>
      </c>
      <c r="K741" s="95" t="s">
        <v>1017</v>
      </c>
      <c r="L741" s="97">
        <v>120</v>
      </c>
      <c r="M741" s="95" t="s">
        <v>1018</v>
      </c>
      <c r="N741" s="97">
        <v>73</v>
      </c>
    </row>
    <row r="742" spans="1:14" ht="19.2" x14ac:dyDescent="0.3">
      <c r="A742" s="119" t="s">
        <v>1019</v>
      </c>
      <c r="B742" s="119" t="s">
        <v>1020</v>
      </c>
      <c r="C742" s="120" t="s">
        <v>1021</v>
      </c>
      <c r="D742" s="121">
        <v>0.04</v>
      </c>
      <c r="E742" s="120" t="s">
        <v>1022</v>
      </c>
      <c r="F742" s="122">
        <v>5</v>
      </c>
      <c r="G742" s="120" t="s">
        <v>1022</v>
      </c>
      <c r="H742" s="122">
        <v>1</v>
      </c>
      <c r="I742" s="120" t="s">
        <v>1023</v>
      </c>
      <c r="J742" s="122">
        <v>2</v>
      </c>
      <c r="K742" s="120" t="s">
        <v>1024</v>
      </c>
      <c r="L742" s="123" t="s">
        <v>1025</v>
      </c>
      <c r="M742" s="120" t="s">
        <v>1026</v>
      </c>
      <c r="N742" s="123" t="s">
        <v>1025</v>
      </c>
    </row>
    <row r="743" spans="1:14" x14ac:dyDescent="0.3">
      <c r="A743" s="91" t="s">
        <v>1027</v>
      </c>
      <c r="B743" s="92" t="s">
        <v>1028</v>
      </c>
      <c r="C743" s="124">
        <v>222</v>
      </c>
      <c r="D743" s="105">
        <v>0.18</v>
      </c>
      <c r="E743" s="91" t="s">
        <v>1029</v>
      </c>
      <c r="F743" s="125">
        <v>10800</v>
      </c>
      <c r="G743" s="91" t="s">
        <v>1030</v>
      </c>
      <c r="H743" s="125">
        <v>12400</v>
      </c>
      <c r="I743" s="91" t="s">
        <v>1031</v>
      </c>
      <c r="J743" s="125">
        <v>11500</v>
      </c>
      <c r="K743" s="91" t="s">
        <v>917</v>
      </c>
      <c r="L743" s="125">
        <v>13000</v>
      </c>
      <c r="M743" s="91" t="s">
        <v>1032</v>
      </c>
      <c r="N743" s="125">
        <v>12700</v>
      </c>
    </row>
    <row r="744" spans="1:14" x14ac:dyDescent="0.3">
      <c r="A744" s="95" t="s">
        <v>1033</v>
      </c>
      <c r="B744" s="96" t="s">
        <v>1034</v>
      </c>
      <c r="C744" s="113">
        <v>5.2</v>
      </c>
      <c r="D744" s="107">
        <v>0.11</v>
      </c>
      <c r="E744" s="95" t="s">
        <v>1035</v>
      </c>
      <c r="F744" s="126">
        <v>2430</v>
      </c>
      <c r="G744" s="95" t="s">
        <v>1036</v>
      </c>
      <c r="H744" s="126">
        <v>677</v>
      </c>
      <c r="I744" s="95" t="s">
        <v>1037</v>
      </c>
      <c r="J744" s="127">
        <v>1360</v>
      </c>
      <c r="K744" s="95" t="s">
        <v>1038</v>
      </c>
      <c r="L744" s="126">
        <v>145</v>
      </c>
      <c r="M744" s="95" t="s">
        <v>1039</v>
      </c>
      <c r="N744" s="126">
        <v>94</v>
      </c>
    </row>
    <row r="745" spans="1:14" x14ac:dyDescent="0.3">
      <c r="A745" s="98" t="s">
        <v>1040</v>
      </c>
      <c r="B745" s="99" t="s">
        <v>1041</v>
      </c>
      <c r="C745" s="118">
        <v>2.8</v>
      </c>
      <c r="D745" s="110">
        <v>0.02</v>
      </c>
      <c r="E745" s="98" t="s">
        <v>1042</v>
      </c>
      <c r="F745" s="128">
        <v>427</v>
      </c>
      <c r="G745" s="98" t="s">
        <v>1042</v>
      </c>
      <c r="H745" s="128">
        <v>116</v>
      </c>
      <c r="I745" s="98" t="s">
        <v>1043</v>
      </c>
      <c r="J745" s="128">
        <v>177</v>
      </c>
      <c r="K745" s="98" t="s">
        <v>1044</v>
      </c>
      <c r="L745" s="128">
        <v>21</v>
      </c>
      <c r="M745" s="98" t="s">
        <v>1045</v>
      </c>
      <c r="N745" s="128">
        <v>16</v>
      </c>
    </row>
    <row r="746" spans="1:14" x14ac:dyDescent="0.3">
      <c r="A746" s="95" t="s">
        <v>1046</v>
      </c>
      <c r="B746" s="112" t="s">
        <v>1047</v>
      </c>
      <c r="C746" s="113">
        <v>28.2</v>
      </c>
      <c r="D746" s="107">
        <v>0.23</v>
      </c>
      <c r="E746" s="95" t="s">
        <v>1048</v>
      </c>
      <c r="F746" s="126">
        <v>6090</v>
      </c>
      <c r="G746" s="95" t="s">
        <v>1049</v>
      </c>
      <c r="H746" s="127">
        <v>3170</v>
      </c>
      <c r="I746" s="95" t="s">
        <v>1050</v>
      </c>
      <c r="J746" s="127">
        <v>5800</v>
      </c>
      <c r="K746" s="95" t="s">
        <v>1051</v>
      </c>
      <c r="L746" s="126">
        <v>2980</v>
      </c>
      <c r="M746" s="95" t="s">
        <v>1052</v>
      </c>
      <c r="N746" s="126">
        <v>967</v>
      </c>
    </row>
    <row r="747" spans="1:14" x14ac:dyDescent="0.3">
      <c r="A747" s="98" t="s">
        <v>1053</v>
      </c>
      <c r="B747" s="114" t="s">
        <v>1054</v>
      </c>
      <c r="C747" s="118">
        <v>9.6999999999999993</v>
      </c>
      <c r="D747" s="110">
        <v>0.19</v>
      </c>
      <c r="E747" s="98" t="s">
        <v>1055</v>
      </c>
      <c r="F747" s="128">
        <v>3580</v>
      </c>
      <c r="G747" s="98" t="s">
        <v>1056</v>
      </c>
      <c r="H747" s="129">
        <v>1120</v>
      </c>
      <c r="I747" s="98" t="s">
        <v>1057</v>
      </c>
      <c r="J747" s="129">
        <v>2660</v>
      </c>
      <c r="K747" s="98" t="s">
        <v>1058</v>
      </c>
      <c r="L747" s="128">
        <v>412</v>
      </c>
      <c r="M747" s="98" t="s">
        <v>1059</v>
      </c>
      <c r="N747" s="128">
        <v>160</v>
      </c>
    </row>
    <row r="748" spans="1:14" x14ac:dyDescent="0.3">
      <c r="A748" s="95" t="s">
        <v>1060</v>
      </c>
      <c r="B748" s="112" t="s">
        <v>1061</v>
      </c>
      <c r="C748" s="113">
        <v>13.4</v>
      </c>
      <c r="D748" s="107">
        <v>0.16</v>
      </c>
      <c r="E748" s="95" t="s">
        <v>1062</v>
      </c>
      <c r="F748" s="126">
        <v>3710</v>
      </c>
      <c r="G748" s="95" t="s">
        <v>1063</v>
      </c>
      <c r="H748" s="127">
        <v>1300</v>
      </c>
      <c r="I748" s="95" t="s">
        <v>879</v>
      </c>
      <c r="J748" s="127">
        <v>3050</v>
      </c>
      <c r="K748" s="95" t="s">
        <v>1064</v>
      </c>
      <c r="L748" s="126">
        <v>703</v>
      </c>
      <c r="M748" s="95" t="s">
        <v>1065</v>
      </c>
      <c r="N748" s="126">
        <v>201</v>
      </c>
    </row>
    <row r="749" spans="1:14" x14ac:dyDescent="0.3">
      <c r="A749" s="98" t="s">
        <v>1066</v>
      </c>
      <c r="B749" s="114" t="s">
        <v>1067</v>
      </c>
      <c r="C749" s="118">
        <v>3.5</v>
      </c>
      <c r="D749" s="110">
        <v>0.13</v>
      </c>
      <c r="E749" s="98" t="s">
        <v>1068</v>
      </c>
      <c r="F749" s="128">
        <v>1200</v>
      </c>
      <c r="G749" s="98" t="s">
        <v>1069</v>
      </c>
      <c r="H749" s="128">
        <v>328</v>
      </c>
      <c r="I749" s="98" t="s">
        <v>1070</v>
      </c>
      <c r="J749" s="128">
        <v>549</v>
      </c>
      <c r="K749" s="98" t="s">
        <v>1071</v>
      </c>
      <c r="L749" s="128">
        <v>62</v>
      </c>
      <c r="M749" s="98" t="s">
        <v>870</v>
      </c>
      <c r="N749" s="128">
        <v>46</v>
      </c>
    </row>
    <row r="750" spans="1:14" x14ac:dyDescent="0.3">
      <c r="A750" s="95" t="s">
        <v>1072</v>
      </c>
      <c r="B750" s="96" t="s">
        <v>1073</v>
      </c>
      <c r="C750" s="113">
        <v>47.1</v>
      </c>
      <c r="D750" s="107">
        <v>0.16</v>
      </c>
      <c r="E750" s="95" t="s">
        <v>1074</v>
      </c>
      <c r="F750" s="126">
        <v>6940</v>
      </c>
      <c r="G750" s="95" t="s">
        <v>1075</v>
      </c>
      <c r="H750" s="127">
        <v>4800</v>
      </c>
      <c r="I750" s="95" t="s">
        <v>1076</v>
      </c>
      <c r="J750" s="127">
        <v>6960</v>
      </c>
      <c r="K750" s="95" t="s">
        <v>1077</v>
      </c>
      <c r="L750" s="126">
        <v>5060</v>
      </c>
      <c r="M750" s="95" t="s">
        <v>1078</v>
      </c>
      <c r="N750" s="127">
        <v>2500</v>
      </c>
    </row>
    <row r="751" spans="1:14" x14ac:dyDescent="0.3">
      <c r="A751" s="98" t="s">
        <v>1079</v>
      </c>
      <c r="B751" s="114" t="s">
        <v>1080</v>
      </c>
      <c r="C751" s="118">
        <v>0.4</v>
      </c>
      <c r="D751" s="110">
        <v>0.04</v>
      </c>
      <c r="E751" s="98" t="s">
        <v>1081</v>
      </c>
      <c r="F751" s="128">
        <v>60</v>
      </c>
      <c r="G751" s="98" t="s">
        <v>1081</v>
      </c>
      <c r="H751" s="128">
        <v>16</v>
      </c>
      <c r="I751" s="98" t="s">
        <v>1082</v>
      </c>
      <c r="J751" s="128">
        <v>18</v>
      </c>
      <c r="K751" s="98" t="s">
        <v>1083</v>
      </c>
      <c r="L751" s="128">
        <v>3</v>
      </c>
      <c r="M751" s="98" t="s">
        <v>1084</v>
      </c>
      <c r="N751" s="128">
        <v>2</v>
      </c>
    </row>
    <row r="752" spans="1:14" x14ac:dyDescent="0.3">
      <c r="A752" s="95" t="s">
        <v>1085</v>
      </c>
      <c r="B752" s="112" t="s">
        <v>1086</v>
      </c>
      <c r="C752" s="113">
        <v>1.5</v>
      </c>
      <c r="D752" s="107">
        <v>0.1</v>
      </c>
      <c r="E752" s="95" t="s">
        <v>1087</v>
      </c>
      <c r="F752" s="126">
        <v>506</v>
      </c>
      <c r="G752" s="95" t="s">
        <v>1087</v>
      </c>
      <c r="H752" s="126">
        <v>138</v>
      </c>
      <c r="I752" s="95" t="s">
        <v>1088</v>
      </c>
      <c r="J752" s="126">
        <v>174</v>
      </c>
      <c r="K752" s="95" t="s">
        <v>1089</v>
      </c>
      <c r="L752" s="126">
        <v>24</v>
      </c>
      <c r="M752" s="95" t="s">
        <v>1090</v>
      </c>
      <c r="N752" s="126">
        <v>19</v>
      </c>
    </row>
    <row r="753" spans="1:14" x14ac:dyDescent="0.3">
      <c r="A753" s="98" t="s">
        <v>1091</v>
      </c>
      <c r="B753" s="114" t="s">
        <v>1092</v>
      </c>
      <c r="C753" s="98" t="s">
        <v>1093</v>
      </c>
      <c r="D753" s="110">
        <v>0.02</v>
      </c>
      <c r="E753" s="98" t="s">
        <v>1094</v>
      </c>
      <c r="F753" s="128">
        <v>13</v>
      </c>
      <c r="G753" s="98" t="s">
        <v>1094</v>
      </c>
      <c r="H753" s="128">
        <v>4</v>
      </c>
      <c r="I753" s="98" t="s">
        <v>1095</v>
      </c>
      <c r="J753" s="128">
        <v>4</v>
      </c>
      <c r="K753" s="98" t="s">
        <v>1096</v>
      </c>
      <c r="L753" s="130" t="s">
        <v>1097</v>
      </c>
      <c r="M753" s="98" t="s">
        <v>1098</v>
      </c>
      <c r="N753" s="130" t="s">
        <v>1097</v>
      </c>
    </row>
    <row r="754" spans="1:14" x14ac:dyDescent="0.3">
      <c r="A754" s="95" t="s">
        <v>1099</v>
      </c>
      <c r="B754" s="112" t="s">
        <v>1100</v>
      </c>
      <c r="C754" s="113">
        <v>28.2</v>
      </c>
      <c r="D754" s="107">
        <v>0.27</v>
      </c>
      <c r="E754" s="95" t="s">
        <v>1101</v>
      </c>
      <c r="F754" s="126">
        <v>5080</v>
      </c>
      <c r="G754" s="95" t="s">
        <v>1102</v>
      </c>
      <c r="H754" s="127">
        <v>2640</v>
      </c>
      <c r="I754" s="95" t="s">
        <v>1103</v>
      </c>
      <c r="J754" s="127">
        <v>4830</v>
      </c>
      <c r="K754" s="95" t="s">
        <v>1104</v>
      </c>
      <c r="L754" s="126">
        <v>2480</v>
      </c>
      <c r="M754" s="95" t="s">
        <v>1105</v>
      </c>
      <c r="N754" s="126">
        <v>806</v>
      </c>
    </row>
    <row r="755" spans="1:14" x14ac:dyDescent="0.3">
      <c r="A755" s="98" t="s">
        <v>1106</v>
      </c>
      <c r="B755" s="114" t="s">
        <v>1107</v>
      </c>
      <c r="C755" s="118">
        <v>38.9</v>
      </c>
      <c r="D755" s="110">
        <v>0.26</v>
      </c>
      <c r="E755" s="98" t="s">
        <v>1108</v>
      </c>
      <c r="F755" s="128">
        <v>5360</v>
      </c>
      <c r="G755" s="98" t="s">
        <v>1109</v>
      </c>
      <c r="H755" s="129">
        <v>3350</v>
      </c>
      <c r="I755" s="98" t="s">
        <v>1110</v>
      </c>
      <c r="J755" s="129">
        <v>5280</v>
      </c>
      <c r="K755" s="98" t="s">
        <v>1111</v>
      </c>
      <c r="L755" s="128">
        <v>3440</v>
      </c>
      <c r="M755" s="98" t="s">
        <v>1112</v>
      </c>
      <c r="N755" s="129">
        <v>1460</v>
      </c>
    </row>
    <row r="756" spans="1:14" x14ac:dyDescent="0.3">
      <c r="A756" s="95" t="s">
        <v>1113</v>
      </c>
      <c r="B756" s="112" t="s">
        <v>1114</v>
      </c>
      <c r="C756" s="113">
        <v>13.1</v>
      </c>
      <c r="D756" s="107">
        <v>0.23</v>
      </c>
      <c r="E756" s="95" t="s">
        <v>1115</v>
      </c>
      <c r="F756" s="126">
        <v>3480</v>
      </c>
      <c r="G756" s="95" t="s">
        <v>1116</v>
      </c>
      <c r="H756" s="127">
        <v>1210</v>
      </c>
      <c r="I756" s="95" t="s">
        <v>1117</v>
      </c>
      <c r="J756" s="127">
        <v>2840</v>
      </c>
      <c r="K756" s="95" t="s">
        <v>1118</v>
      </c>
      <c r="L756" s="126">
        <v>636</v>
      </c>
      <c r="M756" s="95" t="s">
        <v>1119</v>
      </c>
      <c r="N756" s="126">
        <v>185</v>
      </c>
    </row>
    <row r="757" spans="1:14" x14ac:dyDescent="0.3">
      <c r="A757" s="98" t="s">
        <v>1120</v>
      </c>
      <c r="B757" s="114" t="s">
        <v>1121</v>
      </c>
      <c r="C757" s="118">
        <v>11</v>
      </c>
      <c r="D757" s="99" t="s">
        <v>1122</v>
      </c>
      <c r="E757" s="98" t="s">
        <v>1123</v>
      </c>
      <c r="F757" s="128">
        <v>4110</v>
      </c>
      <c r="G757" s="98" t="s">
        <v>1124</v>
      </c>
      <c r="H757" s="129">
        <v>1330</v>
      </c>
      <c r="I757" s="98" t="s">
        <v>1125</v>
      </c>
      <c r="J757" s="129">
        <v>3190</v>
      </c>
      <c r="K757" s="98" t="s">
        <v>1126</v>
      </c>
      <c r="L757" s="128">
        <v>573</v>
      </c>
      <c r="M757" s="98" t="s">
        <v>1127</v>
      </c>
      <c r="N757" s="128">
        <v>195</v>
      </c>
    </row>
    <row r="758" spans="1:14" x14ac:dyDescent="0.3">
      <c r="A758" s="95" t="s">
        <v>1128</v>
      </c>
      <c r="B758" s="112" t="s">
        <v>1129</v>
      </c>
      <c r="C758" s="106">
        <v>242</v>
      </c>
      <c r="D758" s="107">
        <v>0.24</v>
      </c>
      <c r="E758" s="95" t="s">
        <v>1074</v>
      </c>
      <c r="F758" s="126">
        <v>6940</v>
      </c>
      <c r="G758" s="95" t="s">
        <v>1130</v>
      </c>
      <c r="H758" s="127">
        <v>8060</v>
      </c>
      <c r="I758" s="95" t="s">
        <v>1131</v>
      </c>
      <c r="J758" s="127">
        <v>7400</v>
      </c>
      <c r="K758" s="95" t="s">
        <v>1132</v>
      </c>
      <c r="L758" s="126">
        <v>8400</v>
      </c>
      <c r="M758" s="95" t="s">
        <v>1133</v>
      </c>
      <c r="N758" s="127">
        <v>8380</v>
      </c>
    </row>
    <row r="759" spans="1:14" x14ac:dyDescent="0.3">
      <c r="A759" s="98" t="s">
        <v>1134</v>
      </c>
      <c r="B759" s="114" t="s">
        <v>1135</v>
      </c>
      <c r="C759" s="118">
        <v>6.5</v>
      </c>
      <c r="D759" s="99" t="s">
        <v>1136</v>
      </c>
      <c r="E759" s="98" t="s">
        <v>1137</v>
      </c>
      <c r="F759" s="128">
        <v>2510</v>
      </c>
      <c r="G759" s="98" t="s">
        <v>1138</v>
      </c>
      <c r="H759" s="128">
        <v>716</v>
      </c>
      <c r="I759" s="98" t="s">
        <v>1139</v>
      </c>
      <c r="J759" s="129">
        <v>1570</v>
      </c>
      <c r="K759" s="98" t="s">
        <v>1140</v>
      </c>
      <c r="L759" s="128">
        <v>176</v>
      </c>
      <c r="M759" s="98" t="s">
        <v>1141</v>
      </c>
      <c r="N759" s="128">
        <v>100</v>
      </c>
    </row>
    <row r="760" spans="1:14" x14ac:dyDescent="0.3">
      <c r="A760" s="95" t="s">
        <v>1142</v>
      </c>
      <c r="B760" s="112" t="s">
        <v>1143</v>
      </c>
      <c r="C760" s="113">
        <v>47.1</v>
      </c>
      <c r="D760" s="107">
        <v>0.24</v>
      </c>
      <c r="E760" s="95" t="s">
        <v>1144</v>
      </c>
      <c r="F760" s="126">
        <v>6680</v>
      </c>
      <c r="G760" s="95" t="s">
        <v>1145</v>
      </c>
      <c r="H760" s="127">
        <v>4620</v>
      </c>
      <c r="I760" s="95" t="s">
        <v>1133</v>
      </c>
      <c r="J760" s="127">
        <v>6690</v>
      </c>
      <c r="K760" s="95" t="s">
        <v>1146</v>
      </c>
      <c r="L760" s="126">
        <v>4870</v>
      </c>
      <c r="M760" s="95" t="s">
        <v>1147</v>
      </c>
      <c r="N760" s="127">
        <v>2410</v>
      </c>
    </row>
    <row r="761" spans="1:14" x14ac:dyDescent="0.3">
      <c r="A761" s="98" t="s">
        <v>1148</v>
      </c>
      <c r="B761" s="114" t="s">
        <v>1149</v>
      </c>
      <c r="C761" s="118">
        <v>3.2</v>
      </c>
      <c r="D761" s="99" t="s">
        <v>1150</v>
      </c>
      <c r="E761" s="98" t="s">
        <v>1151</v>
      </c>
      <c r="F761" s="128">
        <v>863</v>
      </c>
      <c r="G761" s="98" t="s">
        <v>1152</v>
      </c>
      <c r="H761" s="128">
        <v>235</v>
      </c>
      <c r="I761" s="98" t="s">
        <v>1153</v>
      </c>
      <c r="J761" s="128">
        <v>378</v>
      </c>
      <c r="K761" s="98" t="s">
        <v>1154</v>
      </c>
      <c r="L761" s="128">
        <v>44</v>
      </c>
      <c r="M761" s="98" t="s">
        <v>1155</v>
      </c>
      <c r="N761" s="128">
        <v>33</v>
      </c>
    </row>
    <row r="762" spans="1:14" x14ac:dyDescent="0.3">
      <c r="A762" s="95" t="s">
        <v>1156</v>
      </c>
      <c r="B762" s="112" t="s">
        <v>1157</v>
      </c>
      <c r="C762" s="113">
        <v>3.1</v>
      </c>
      <c r="D762" s="96" t="s">
        <v>1158</v>
      </c>
      <c r="E762" s="95" t="s">
        <v>1159</v>
      </c>
      <c r="F762" s="126">
        <v>1070</v>
      </c>
      <c r="G762" s="95" t="s">
        <v>1159</v>
      </c>
      <c r="H762" s="126">
        <v>290</v>
      </c>
      <c r="I762" s="95" t="s">
        <v>1160</v>
      </c>
      <c r="J762" s="126">
        <v>460</v>
      </c>
      <c r="K762" s="95" t="s">
        <v>1161</v>
      </c>
      <c r="L762" s="126">
        <v>54</v>
      </c>
      <c r="M762" s="95" t="s">
        <v>1162</v>
      </c>
      <c r="N762" s="126">
        <v>40</v>
      </c>
    </row>
    <row r="763" spans="1:14" x14ac:dyDescent="0.3">
      <c r="A763" s="98" t="s">
        <v>1163</v>
      </c>
      <c r="B763" s="114" t="s">
        <v>1164</v>
      </c>
      <c r="C763" s="118">
        <v>7.7</v>
      </c>
      <c r="D763" s="110">
        <v>0.24</v>
      </c>
      <c r="E763" s="98" t="s">
        <v>1165</v>
      </c>
      <c r="F763" s="128">
        <v>2920</v>
      </c>
      <c r="G763" s="98" t="s">
        <v>1166</v>
      </c>
      <c r="H763" s="128">
        <v>858</v>
      </c>
      <c r="I763" s="98" t="s">
        <v>1167</v>
      </c>
      <c r="J763" s="129">
        <v>1970</v>
      </c>
      <c r="K763" s="98" t="s">
        <v>1168</v>
      </c>
      <c r="L763" s="128">
        <v>245</v>
      </c>
      <c r="M763" s="98" t="s">
        <v>1169</v>
      </c>
      <c r="N763" s="128">
        <v>121</v>
      </c>
    </row>
    <row r="764" spans="1:14" x14ac:dyDescent="0.3">
      <c r="A764" s="95" t="s">
        <v>1170</v>
      </c>
      <c r="B764" s="112" t="s">
        <v>1171</v>
      </c>
      <c r="C764" s="113">
        <v>1.2</v>
      </c>
      <c r="D764" s="96" t="s">
        <v>1172</v>
      </c>
      <c r="E764" s="95" t="s">
        <v>1173</v>
      </c>
      <c r="F764" s="126">
        <v>278</v>
      </c>
      <c r="G764" s="95" t="s">
        <v>1173</v>
      </c>
      <c r="H764" s="126">
        <v>76</v>
      </c>
      <c r="I764" s="95" t="s">
        <v>1174</v>
      </c>
      <c r="J764" s="126">
        <v>92</v>
      </c>
      <c r="K764" s="95" t="s">
        <v>1175</v>
      </c>
      <c r="L764" s="126">
        <v>13</v>
      </c>
      <c r="M764" s="95" t="s">
        <v>1176</v>
      </c>
      <c r="N764" s="126">
        <v>10</v>
      </c>
    </row>
    <row r="765" spans="1:14" x14ac:dyDescent="0.3">
      <c r="A765" s="98" t="s">
        <v>1177</v>
      </c>
      <c r="B765" s="114" t="s">
        <v>1178</v>
      </c>
      <c r="C765" s="118">
        <v>2.6</v>
      </c>
      <c r="D765" s="110">
        <v>7.0000000000000007E-2</v>
      </c>
      <c r="E765" s="98" t="s">
        <v>1179</v>
      </c>
      <c r="F765" s="128">
        <v>530</v>
      </c>
      <c r="G765" s="98" t="s">
        <v>1179</v>
      </c>
      <c r="H765" s="128">
        <v>144</v>
      </c>
      <c r="I765" s="98" t="s">
        <v>1180</v>
      </c>
      <c r="J765" s="128">
        <v>213</v>
      </c>
      <c r="K765" s="98" t="s">
        <v>1181</v>
      </c>
      <c r="L765" s="128">
        <v>26</v>
      </c>
      <c r="M765" s="98" t="s">
        <v>1182</v>
      </c>
      <c r="N765" s="128">
        <v>20</v>
      </c>
    </row>
    <row r="766" spans="1:14" x14ac:dyDescent="0.3">
      <c r="A766" s="95" t="s">
        <v>1183</v>
      </c>
      <c r="B766" s="112" t="s">
        <v>1184</v>
      </c>
      <c r="C766" s="113">
        <v>28.4</v>
      </c>
      <c r="D766" s="107">
        <v>0.31</v>
      </c>
      <c r="E766" s="95" t="s">
        <v>1185</v>
      </c>
      <c r="F766" s="126">
        <v>4510</v>
      </c>
      <c r="G766" s="95" t="s">
        <v>1186</v>
      </c>
      <c r="H766" s="127">
        <v>2360</v>
      </c>
      <c r="I766" s="95" t="s">
        <v>1187</v>
      </c>
      <c r="J766" s="127">
        <v>4290</v>
      </c>
      <c r="K766" s="95" t="s">
        <v>1078</v>
      </c>
      <c r="L766" s="126">
        <v>2220</v>
      </c>
      <c r="M766" s="95" t="s">
        <v>1188</v>
      </c>
      <c r="N766" s="126">
        <v>725</v>
      </c>
    </row>
    <row r="767" spans="1:14" x14ac:dyDescent="0.3">
      <c r="A767" s="98" t="s">
        <v>1189</v>
      </c>
      <c r="B767" s="114" t="s">
        <v>1190</v>
      </c>
      <c r="C767" s="118">
        <v>8.6999999999999993</v>
      </c>
      <c r="D767" s="110">
        <v>0.22</v>
      </c>
      <c r="E767" s="98" t="s">
        <v>1191</v>
      </c>
      <c r="F767" s="128">
        <v>2660</v>
      </c>
      <c r="G767" s="98" t="s">
        <v>1192</v>
      </c>
      <c r="H767" s="128">
        <v>804</v>
      </c>
      <c r="I767" s="98" t="s">
        <v>1193</v>
      </c>
      <c r="J767" s="129">
        <v>1890</v>
      </c>
      <c r="K767" s="98" t="s">
        <v>1194</v>
      </c>
      <c r="L767" s="128">
        <v>262</v>
      </c>
      <c r="M767" s="98" t="s">
        <v>1195</v>
      </c>
      <c r="N767" s="128">
        <v>114</v>
      </c>
    </row>
    <row r="768" spans="1:14" x14ac:dyDescent="0.3">
      <c r="A768" s="95" t="s">
        <v>1196</v>
      </c>
      <c r="B768" s="112" t="s">
        <v>1197</v>
      </c>
      <c r="C768" s="113">
        <v>16.100000000000001</v>
      </c>
      <c r="D768" s="96" t="s">
        <v>1198</v>
      </c>
      <c r="E768" s="95" t="s">
        <v>1199</v>
      </c>
      <c r="F768" s="126">
        <v>4310</v>
      </c>
      <c r="G768" s="95" t="s">
        <v>1200</v>
      </c>
      <c r="H768" s="127">
        <v>1650</v>
      </c>
      <c r="I768" s="95" t="s">
        <v>1201</v>
      </c>
      <c r="J768" s="127">
        <v>3720</v>
      </c>
      <c r="K768" s="95" t="s">
        <v>1202</v>
      </c>
      <c r="L768" s="126">
        <v>1070</v>
      </c>
      <c r="M768" s="95" t="s">
        <v>1203</v>
      </c>
      <c r="N768" s="126">
        <v>281</v>
      </c>
    </row>
    <row r="769" spans="1:14" x14ac:dyDescent="0.3">
      <c r="A769" s="98" t="s">
        <v>1204</v>
      </c>
      <c r="B769" s="114" t="s">
        <v>1205</v>
      </c>
      <c r="C769" s="98" t="s">
        <v>1206</v>
      </c>
      <c r="D769" s="114" t="s">
        <v>1207</v>
      </c>
      <c r="E769" s="98" t="s">
        <v>1208</v>
      </c>
      <c r="F769" s="130" t="s">
        <v>1097</v>
      </c>
      <c r="G769" s="98" t="s">
        <v>1208</v>
      </c>
      <c r="H769" s="130" t="s">
        <v>1097</v>
      </c>
      <c r="I769" s="98" t="s">
        <v>1209</v>
      </c>
      <c r="J769" s="130" t="s">
        <v>1097</v>
      </c>
      <c r="K769" s="98" t="s">
        <v>1210</v>
      </c>
      <c r="L769" s="130" t="s">
        <v>1097</v>
      </c>
      <c r="M769" s="98" t="s">
        <v>1211</v>
      </c>
      <c r="N769" s="130" t="s">
        <v>1097</v>
      </c>
    </row>
    <row r="770" spans="1:14" x14ac:dyDescent="0.3">
      <c r="A770" s="95" t="s">
        <v>1212</v>
      </c>
      <c r="B770" s="112" t="s">
        <v>1213</v>
      </c>
      <c r="C770" s="95" t="s">
        <v>1214</v>
      </c>
      <c r="D770" s="112" t="s">
        <v>1215</v>
      </c>
      <c r="E770" s="95" t="s">
        <v>1216</v>
      </c>
      <c r="F770" s="131" t="s">
        <v>1097</v>
      </c>
      <c r="G770" s="95" t="s">
        <v>1216</v>
      </c>
      <c r="H770" s="131" t="s">
        <v>1097</v>
      </c>
      <c r="I770" s="95" t="s">
        <v>1217</v>
      </c>
      <c r="J770" s="131" t="s">
        <v>1097</v>
      </c>
      <c r="K770" s="95" t="s">
        <v>1218</v>
      </c>
      <c r="L770" s="131" t="s">
        <v>1097</v>
      </c>
      <c r="M770" s="95" t="s">
        <v>1219</v>
      </c>
      <c r="N770" s="131" t="s">
        <v>1097</v>
      </c>
    </row>
    <row r="771" spans="1:14" x14ac:dyDescent="0.3">
      <c r="A771" s="98" t="s">
        <v>1220</v>
      </c>
      <c r="B771" s="114" t="s">
        <v>1221</v>
      </c>
      <c r="C771" s="98" t="s">
        <v>1222</v>
      </c>
      <c r="D771" s="110">
        <v>0.02</v>
      </c>
      <c r="E771" s="98" t="s">
        <v>1223</v>
      </c>
      <c r="F771" s="130" t="s">
        <v>1097</v>
      </c>
      <c r="G771" s="98" t="s">
        <v>1223</v>
      </c>
      <c r="H771" s="130" t="s">
        <v>1097</v>
      </c>
      <c r="I771" s="98" t="s">
        <v>1224</v>
      </c>
      <c r="J771" s="130" t="s">
        <v>1097</v>
      </c>
      <c r="K771" s="98" t="s">
        <v>1225</v>
      </c>
      <c r="L771" s="130" t="s">
        <v>1097</v>
      </c>
      <c r="M771" s="98" t="s">
        <v>1226</v>
      </c>
      <c r="N771" s="130" t="s">
        <v>1097</v>
      </c>
    </row>
    <row r="772" spans="1:14" x14ac:dyDescent="0.3">
      <c r="A772" s="95" t="s">
        <v>1227</v>
      </c>
      <c r="B772" s="112" t="s">
        <v>1228</v>
      </c>
      <c r="C772" s="95" t="s">
        <v>1229</v>
      </c>
      <c r="D772" s="107">
        <v>0.01</v>
      </c>
      <c r="E772" s="95" t="s">
        <v>1230</v>
      </c>
      <c r="F772" s="131" t="s">
        <v>1097</v>
      </c>
      <c r="G772" s="95" t="s">
        <v>1230</v>
      </c>
      <c r="H772" s="131" t="s">
        <v>1097</v>
      </c>
      <c r="I772" s="95" t="s">
        <v>1231</v>
      </c>
      <c r="J772" s="131" t="s">
        <v>1097</v>
      </c>
      <c r="K772" s="95" t="s">
        <v>1232</v>
      </c>
      <c r="L772" s="131" t="s">
        <v>1097</v>
      </c>
      <c r="M772" s="95" t="s">
        <v>1233</v>
      </c>
      <c r="N772" s="131" t="s">
        <v>1097</v>
      </c>
    </row>
    <row r="773" spans="1:14" x14ac:dyDescent="0.3">
      <c r="A773" s="98" t="s">
        <v>1234</v>
      </c>
      <c r="B773" s="114" t="s">
        <v>1235</v>
      </c>
      <c r="C773" s="98" t="s">
        <v>1236</v>
      </c>
      <c r="D773" s="110">
        <v>0.02</v>
      </c>
      <c r="E773" s="98" t="s">
        <v>1237</v>
      </c>
      <c r="F773" s="128">
        <v>1</v>
      </c>
      <c r="G773" s="98" t="s">
        <v>1237</v>
      </c>
      <c r="H773" s="130" t="s">
        <v>1097</v>
      </c>
      <c r="I773" s="98" t="s">
        <v>1238</v>
      </c>
      <c r="J773" s="130" t="s">
        <v>1097</v>
      </c>
      <c r="K773" s="98" t="s">
        <v>1239</v>
      </c>
      <c r="L773" s="130" t="s">
        <v>1097</v>
      </c>
      <c r="M773" s="98" t="s">
        <v>1240</v>
      </c>
      <c r="N773" s="130" t="s">
        <v>1097</v>
      </c>
    </row>
    <row r="774" spans="1:14" x14ac:dyDescent="0.3">
      <c r="A774" s="95" t="s">
        <v>1241</v>
      </c>
      <c r="B774" s="112" t="s">
        <v>1242</v>
      </c>
      <c r="C774" s="95" t="s">
        <v>1243</v>
      </c>
      <c r="D774" s="107">
        <v>0.02</v>
      </c>
      <c r="E774" s="95" t="s">
        <v>1244</v>
      </c>
      <c r="F774" s="126">
        <v>1</v>
      </c>
      <c r="G774" s="95" t="s">
        <v>1244</v>
      </c>
      <c r="H774" s="131" t="s">
        <v>1097</v>
      </c>
      <c r="I774" s="95" t="s">
        <v>1245</v>
      </c>
      <c r="J774" s="131" t="s">
        <v>1097</v>
      </c>
      <c r="K774" s="95" t="s">
        <v>1246</v>
      </c>
      <c r="L774" s="131" t="s">
        <v>1097</v>
      </c>
      <c r="M774" s="95" t="s">
        <v>1247</v>
      </c>
      <c r="N774" s="131" t="s">
        <v>1097</v>
      </c>
    </row>
    <row r="775" spans="1:14" x14ac:dyDescent="0.3">
      <c r="A775" s="98" t="s">
        <v>1248</v>
      </c>
      <c r="B775" s="114" t="s">
        <v>1249</v>
      </c>
      <c r="C775" s="98" t="s">
        <v>1250</v>
      </c>
      <c r="D775" s="110">
        <v>0.04</v>
      </c>
      <c r="E775" s="98" t="s">
        <v>1251</v>
      </c>
      <c r="F775" s="128">
        <v>4</v>
      </c>
      <c r="G775" s="98" t="s">
        <v>1251</v>
      </c>
      <c r="H775" s="130" t="s">
        <v>1097</v>
      </c>
      <c r="I775" s="98" t="s">
        <v>1252</v>
      </c>
      <c r="J775" s="130" t="s">
        <v>1097</v>
      </c>
      <c r="K775" s="98" t="s">
        <v>1253</v>
      </c>
      <c r="L775" s="130" t="s">
        <v>1097</v>
      </c>
      <c r="M775" s="98" t="s">
        <v>1254</v>
      </c>
      <c r="N775" s="130" t="s">
        <v>1097</v>
      </c>
    </row>
    <row r="776" spans="1:14" x14ac:dyDescent="0.3">
      <c r="A776" s="101" t="s">
        <v>1255</v>
      </c>
      <c r="B776" s="115" t="s">
        <v>1256</v>
      </c>
      <c r="C776" s="101" t="s">
        <v>1257</v>
      </c>
      <c r="D776" s="102" t="s">
        <v>1258</v>
      </c>
      <c r="E776" s="101" t="s">
        <v>1203</v>
      </c>
      <c r="F776" s="132">
        <v>6</v>
      </c>
      <c r="G776" s="101" t="s">
        <v>1203</v>
      </c>
      <c r="H776" s="132">
        <v>2</v>
      </c>
      <c r="I776" s="101" t="s">
        <v>1259</v>
      </c>
      <c r="J776" s="132">
        <v>2</v>
      </c>
      <c r="K776" s="101" t="s">
        <v>1260</v>
      </c>
      <c r="L776" s="133" t="s">
        <v>1097</v>
      </c>
      <c r="M776" s="101" t="s">
        <v>1261</v>
      </c>
      <c r="N776" s="133" t="s">
        <v>1097</v>
      </c>
    </row>
    <row r="777" spans="1:14" x14ac:dyDescent="0.3">
      <c r="A777" s="91" t="s">
        <v>1262</v>
      </c>
      <c r="B777" s="134" t="s">
        <v>1263</v>
      </c>
      <c r="C777" s="91" t="s">
        <v>1264</v>
      </c>
      <c r="D777" s="135">
        <v>0.01</v>
      </c>
      <c r="E777" s="91" t="s">
        <v>1265</v>
      </c>
      <c r="F777" s="136">
        <v>1</v>
      </c>
      <c r="G777" s="91" t="s">
        <v>1265</v>
      </c>
      <c r="H777" s="137" t="s">
        <v>1097</v>
      </c>
      <c r="I777" s="91" t="s">
        <v>1266</v>
      </c>
      <c r="J777" s="137" t="s">
        <v>1097</v>
      </c>
      <c r="K777" s="91" t="s">
        <v>1267</v>
      </c>
      <c r="L777" s="137" t="s">
        <v>1097</v>
      </c>
      <c r="M777" s="91" t="s">
        <v>1268</v>
      </c>
      <c r="N777" s="137" t="s">
        <v>1097</v>
      </c>
    </row>
    <row r="778" spans="1:14" x14ac:dyDescent="0.3">
      <c r="A778" s="95" t="s">
        <v>1269</v>
      </c>
      <c r="B778" s="112" t="s">
        <v>1270</v>
      </c>
      <c r="C778" s="95" t="s">
        <v>1271</v>
      </c>
      <c r="D778" s="138">
        <v>0.01</v>
      </c>
      <c r="E778" s="95" t="s">
        <v>1272</v>
      </c>
      <c r="F778" s="131" t="s">
        <v>1097</v>
      </c>
      <c r="G778" s="95" t="s">
        <v>1272</v>
      </c>
      <c r="H778" s="131" t="s">
        <v>1097</v>
      </c>
      <c r="I778" s="95" t="s">
        <v>1273</v>
      </c>
      <c r="J778" s="131" t="s">
        <v>1097</v>
      </c>
      <c r="K778" s="95" t="s">
        <v>1274</v>
      </c>
      <c r="L778" s="131" t="s">
        <v>1097</v>
      </c>
      <c r="M778" s="95" t="s">
        <v>1275</v>
      </c>
      <c r="N778" s="131" t="s">
        <v>1097</v>
      </c>
    </row>
    <row r="779" spans="1:14" x14ac:dyDescent="0.3">
      <c r="A779" s="98" t="s">
        <v>1276</v>
      </c>
      <c r="B779" s="114" t="s">
        <v>1277</v>
      </c>
      <c r="C779" s="98" t="s">
        <v>1271</v>
      </c>
      <c r="D779" s="139">
        <v>0.03</v>
      </c>
      <c r="E779" s="98" t="s">
        <v>1082</v>
      </c>
      <c r="F779" s="130" t="s">
        <v>1097</v>
      </c>
      <c r="G779" s="98" t="s">
        <v>1082</v>
      </c>
      <c r="H779" s="130" t="s">
        <v>1097</v>
      </c>
      <c r="I779" s="98" t="s">
        <v>1278</v>
      </c>
      <c r="J779" s="130" t="s">
        <v>1097</v>
      </c>
      <c r="K779" s="98" t="s">
        <v>1279</v>
      </c>
      <c r="L779" s="130" t="s">
        <v>1097</v>
      </c>
      <c r="M779" s="98" t="s">
        <v>1280</v>
      </c>
      <c r="N779" s="130" t="s">
        <v>1097</v>
      </c>
    </row>
    <row r="780" spans="1:14" x14ac:dyDescent="0.3">
      <c r="A780" s="95" t="s">
        <v>1281</v>
      </c>
      <c r="B780" s="112" t="s">
        <v>1282</v>
      </c>
      <c r="C780" s="95" t="s">
        <v>1271</v>
      </c>
      <c r="D780" s="138">
        <v>0.03</v>
      </c>
      <c r="E780" s="95" t="s">
        <v>1283</v>
      </c>
      <c r="F780" s="131" t="s">
        <v>1097</v>
      </c>
      <c r="G780" s="95" t="s">
        <v>1283</v>
      </c>
      <c r="H780" s="131" t="s">
        <v>1097</v>
      </c>
      <c r="I780" s="95" t="s">
        <v>1284</v>
      </c>
      <c r="J780" s="131" t="s">
        <v>1097</v>
      </c>
      <c r="K780" s="95" t="s">
        <v>1285</v>
      </c>
      <c r="L780" s="131" t="s">
        <v>1097</v>
      </c>
      <c r="M780" s="95" t="s">
        <v>1286</v>
      </c>
      <c r="N780" s="131" t="s">
        <v>1097</v>
      </c>
    </row>
    <row r="781" spans="1:14" ht="19.2" x14ac:dyDescent="0.3">
      <c r="A781" s="119" t="s">
        <v>1287</v>
      </c>
      <c r="B781" s="119" t="s">
        <v>1288</v>
      </c>
      <c r="C781" s="120" t="s">
        <v>1271</v>
      </c>
      <c r="D781" s="140">
        <v>0.03</v>
      </c>
      <c r="E781" s="120" t="s">
        <v>1289</v>
      </c>
      <c r="F781" s="141" t="s">
        <v>1097</v>
      </c>
      <c r="G781" s="120" t="s">
        <v>1289</v>
      </c>
      <c r="H781" s="141" t="s">
        <v>1097</v>
      </c>
      <c r="I781" s="120" t="s">
        <v>1290</v>
      </c>
      <c r="J781" s="141" t="s">
        <v>1097</v>
      </c>
      <c r="K781" s="120" t="s">
        <v>1291</v>
      </c>
      <c r="L781" s="141" t="s">
        <v>1097</v>
      </c>
      <c r="M781" s="120" t="s">
        <v>1292</v>
      </c>
      <c r="N781" s="141" t="s">
        <v>1097</v>
      </c>
    </row>
    <row r="782" spans="1:14" x14ac:dyDescent="0.3">
      <c r="A782" s="91" t="s">
        <v>1293</v>
      </c>
      <c r="B782" s="92" t="s">
        <v>1294</v>
      </c>
      <c r="C782" s="104">
        <v>5</v>
      </c>
      <c r="D782" s="135">
        <v>7.0000000000000007E-2</v>
      </c>
      <c r="E782" s="91" t="s">
        <v>1295</v>
      </c>
      <c r="F782" s="136">
        <v>578</v>
      </c>
      <c r="G782" s="91" t="s">
        <v>1296</v>
      </c>
      <c r="H782" s="136">
        <v>160</v>
      </c>
      <c r="I782" s="91" t="s">
        <v>1297</v>
      </c>
      <c r="J782" s="136">
        <v>317</v>
      </c>
      <c r="K782" s="91" t="s">
        <v>1298</v>
      </c>
      <c r="L782" s="136">
        <v>34</v>
      </c>
      <c r="M782" s="91" t="s">
        <v>1299</v>
      </c>
      <c r="N782" s="136">
        <v>22</v>
      </c>
    </row>
    <row r="783" spans="1:14" x14ac:dyDescent="0.3">
      <c r="A783" s="95" t="s">
        <v>1300</v>
      </c>
      <c r="B783" s="96" t="s">
        <v>1301</v>
      </c>
      <c r="C783" s="106">
        <v>26</v>
      </c>
      <c r="D783" s="138">
        <v>0.17</v>
      </c>
      <c r="E783" s="95" t="s">
        <v>1302</v>
      </c>
      <c r="F783" s="127">
        <v>3480</v>
      </c>
      <c r="G783" s="95" t="s">
        <v>1303</v>
      </c>
      <c r="H783" s="127">
        <v>1730</v>
      </c>
      <c r="I783" s="95" t="s">
        <v>1304</v>
      </c>
      <c r="J783" s="127">
        <v>3280</v>
      </c>
      <c r="K783" s="95" t="s">
        <v>1305</v>
      </c>
      <c r="L783" s="127">
        <v>1570</v>
      </c>
      <c r="M783" s="95" t="s">
        <v>1306</v>
      </c>
      <c r="N783" s="126">
        <v>479</v>
      </c>
    </row>
    <row r="784" spans="1:14" x14ac:dyDescent="0.3">
      <c r="A784" s="98" t="s">
        <v>1307</v>
      </c>
      <c r="B784" s="99" t="s">
        <v>1308</v>
      </c>
      <c r="C784" s="118">
        <v>1</v>
      </c>
      <c r="D784" s="114" t="s">
        <v>1309</v>
      </c>
      <c r="E784" s="98" t="s">
        <v>1310</v>
      </c>
      <c r="F784" s="128">
        <v>45</v>
      </c>
      <c r="G784" s="98" t="s">
        <v>1310</v>
      </c>
      <c r="H784" s="128">
        <v>12</v>
      </c>
      <c r="I784" s="98" t="s">
        <v>1311</v>
      </c>
      <c r="J784" s="128">
        <v>15</v>
      </c>
      <c r="K784" s="98" t="s">
        <v>1312</v>
      </c>
      <c r="L784" s="128">
        <v>2</v>
      </c>
      <c r="M784" s="98" t="s">
        <v>1313</v>
      </c>
      <c r="N784" s="128">
        <v>2</v>
      </c>
    </row>
    <row r="785" spans="1:14" x14ac:dyDescent="0.3">
      <c r="A785" s="95" t="s">
        <v>1314</v>
      </c>
      <c r="B785" s="96" t="s">
        <v>1315</v>
      </c>
      <c r="C785" s="113">
        <v>0.4</v>
      </c>
      <c r="D785" s="112" t="s">
        <v>1316</v>
      </c>
      <c r="E785" s="95" t="s">
        <v>1317</v>
      </c>
      <c r="F785" s="126">
        <v>33</v>
      </c>
      <c r="G785" s="95" t="s">
        <v>1317</v>
      </c>
      <c r="H785" s="126">
        <v>9</v>
      </c>
      <c r="I785" s="95" t="s">
        <v>1318</v>
      </c>
      <c r="J785" s="126">
        <v>10</v>
      </c>
      <c r="K785" s="95" t="s">
        <v>1319</v>
      </c>
      <c r="L785" s="126">
        <v>2</v>
      </c>
      <c r="M785" s="95" t="s">
        <v>1320</v>
      </c>
      <c r="N785" s="126">
        <v>1</v>
      </c>
    </row>
    <row r="786" spans="1:14" x14ac:dyDescent="0.3">
      <c r="A786" s="98" t="s">
        <v>1321</v>
      </c>
      <c r="B786" s="99" t="s">
        <v>1322</v>
      </c>
      <c r="C786" s="118">
        <v>0.4</v>
      </c>
      <c r="D786" s="139">
        <v>0.08</v>
      </c>
      <c r="E786" s="98" t="s">
        <v>1323</v>
      </c>
      <c r="F786" s="128">
        <v>60</v>
      </c>
      <c r="G786" s="98" t="s">
        <v>1323</v>
      </c>
      <c r="H786" s="128">
        <v>16</v>
      </c>
      <c r="I786" s="98" t="s">
        <v>1082</v>
      </c>
      <c r="J786" s="128">
        <v>18</v>
      </c>
      <c r="K786" s="98" t="s">
        <v>1324</v>
      </c>
      <c r="L786" s="128">
        <v>3</v>
      </c>
      <c r="M786" s="98" t="s">
        <v>1084</v>
      </c>
      <c r="N786" s="128">
        <v>2</v>
      </c>
    </row>
    <row r="787" spans="1:14" x14ac:dyDescent="0.3">
      <c r="A787" s="101" t="s">
        <v>1325</v>
      </c>
      <c r="B787" s="115" t="s">
        <v>1326</v>
      </c>
      <c r="C787" s="101" t="s">
        <v>1327</v>
      </c>
      <c r="D787" s="142">
        <v>0.01</v>
      </c>
      <c r="E787" s="101" t="s">
        <v>1328</v>
      </c>
      <c r="F787" s="132">
        <v>3</v>
      </c>
      <c r="G787" s="101" t="s">
        <v>1328</v>
      </c>
      <c r="H787" s="133" t="s">
        <v>1097</v>
      </c>
      <c r="I787" s="101" t="s">
        <v>1329</v>
      </c>
      <c r="J787" s="133" t="s">
        <v>1097</v>
      </c>
      <c r="K787" s="101" t="s">
        <v>1330</v>
      </c>
      <c r="L787" s="133" t="s">
        <v>1097</v>
      </c>
      <c r="M787" s="101" t="s">
        <v>1331</v>
      </c>
      <c r="N787" s="133" t="s">
        <v>1097</v>
      </c>
    </row>
    <row r="788" spans="1:14" x14ac:dyDescent="0.3">
      <c r="A788" s="91" t="s">
        <v>1332</v>
      </c>
      <c r="B788" s="92" t="s">
        <v>1333</v>
      </c>
      <c r="C788" s="104">
        <v>0.8</v>
      </c>
      <c r="D788" s="143">
        <v>4.0000000000000001E-3</v>
      </c>
      <c r="E788" s="91" t="s">
        <v>1334</v>
      </c>
      <c r="F788" s="136">
        <v>9</v>
      </c>
      <c r="G788" s="91" t="s">
        <v>1334</v>
      </c>
      <c r="H788" s="136">
        <v>2</v>
      </c>
      <c r="I788" s="91" t="s">
        <v>1335</v>
      </c>
      <c r="J788" s="136">
        <v>3</v>
      </c>
      <c r="K788" s="91" t="s">
        <v>1336</v>
      </c>
      <c r="L788" s="137" t="s">
        <v>1097</v>
      </c>
      <c r="M788" s="91" t="s">
        <v>1337</v>
      </c>
      <c r="N788" s="137" t="s">
        <v>1097</v>
      </c>
    </row>
    <row r="789" spans="1:14" x14ac:dyDescent="0.3">
      <c r="A789" s="95" t="s">
        <v>1338</v>
      </c>
      <c r="B789" s="96" t="s">
        <v>1339</v>
      </c>
      <c r="C789" s="113">
        <v>0.3</v>
      </c>
      <c r="D789" s="138">
        <v>0.01</v>
      </c>
      <c r="E789" s="95" t="s">
        <v>1340</v>
      </c>
      <c r="F789" s="126">
        <v>4</v>
      </c>
      <c r="G789" s="95" t="s">
        <v>1340</v>
      </c>
      <c r="H789" s="126">
        <v>1</v>
      </c>
      <c r="I789" s="95" t="s">
        <v>1341</v>
      </c>
      <c r="J789" s="126">
        <v>1</v>
      </c>
      <c r="K789" s="95" t="s">
        <v>1342</v>
      </c>
      <c r="L789" s="131" t="s">
        <v>1097</v>
      </c>
      <c r="M789" s="95" t="s">
        <v>1343</v>
      </c>
      <c r="N789" s="131" t="s">
        <v>1097</v>
      </c>
    </row>
    <row r="790" spans="1:14" x14ac:dyDescent="0.3">
      <c r="A790" s="98" t="s">
        <v>1344</v>
      </c>
      <c r="B790" s="99" t="s">
        <v>1345</v>
      </c>
      <c r="C790" s="118">
        <v>5.2</v>
      </c>
      <c r="D790" s="139">
        <v>0.15</v>
      </c>
      <c r="E790" s="98" t="s">
        <v>974</v>
      </c>
      <c r="F790" s="129">
        <v>1350</v>
      </c>
      <c r="G790" s="98" t="s">
        <v>1346</v>
      </c>
      <c r="H790" s="128">
        <v>376</v>
      </c>
      <c r="I790" s="98" t="s">
        <v>1347</v>
      </c>
      <c r="J790" s="128">
        <v>756</v>
      </c>
      <c r="K790" s="98" t="s">
        <v>1348</v>
      </c>
      <c r="L790" s="128">
        <v>80</v>
      </c>
      <c r="M790" s="98" t="s">
        <v>1349</v>
      </c>
      <c r="N790" s="128">
        <v>52</v>
      </c>
    </row>
    <row r="791" spans="1:14" x14ac:dyDescent="0.3">
      <c r="A791" s="95" t="s">
        <v>1350</v>
      </c>
      <c r="B791" s="96" t="s">
        <v>1351</v>
      </c>
      <c r="C791" s="113">
        <v>2.9</v>
      </c>
      <c r="D791" s="138">
        <v>0.27</v>
      </c>
      <c r="E791" s="95" t="s">
        <v>1352</v>
      </c>
      <c r="F791" s="126">
        <v>848</v>
      </c>
      <c r="G791" s="95" t="s">
        <v>1352</v>
      </c>
      <c r="H791" s="126">
        <v>231</v>
      </c>
      <c r="I791" s="95" t="s">
        <v>1353</v>
      </c>
      <c r="J791" s="126">
        <v>356</v>
      </c>
      <c r="K791" s="95" t="s">
        <v>1237</v>
      </c>
      <c r="L791" s="126">
        <v>42</v>
      </c>
      <c r="M791" s="95" t="s">
        <v>1354</v>
      </c>
      <c r="N791" s="126">
        <v>32</v>
      </c>
    </row>
    <row r="792" spans="1:14" x14ac:dyDescent="0.3">
      <c r="A792" s="98" t="s">
        <v>1355</v>
      </c>
      <c r="B792" s="99" t="s">
        <v>1356</v>
      </c>
      <c r="C792" s="109">
        <v>16</v>
      </c>
      <c r="D792" s="139">
        <v>0.28999999999999998</v>
      </c>
      <c r="E792" s="98" t="s">
        <v>1357</v>
      </c>
      <c r="F792" s="129">
        <v>4590</v>
      </c>
      <c r="G792" s="98" t="s">
        <v>1358</v>
      </c>
      <c r="H792" s="129">
        <v>1750</v>
      </c>
      <c r="I792" s="98" t="s">
        <v>1359</v>
      </c>
      <c r="J792" s="129">
        <v>3950</v>
      </c>
      <c r="K792" s="98" t="s">
        <v>1360</v>
      </c>
      <c r="L792" s="129">
        <v>1130</v>
      </c>
      <c r="M792" s="98" t="s">
        <v>1194</v>
      </c>
      <c r="N792" s="128">
        <v>297</v>
      </c>
    </row>
    <row r="793" spans="1:14" x14ac:dyDescent="0.3">
      <c r="A793" s="95" t="s">
        <v>1361</v>
      </c>
      <c r="B793" s="96" t="s">
        <v>1362</v>
      </c>
      <c r="C793" s="106">
        <v>65</v>
      </c>
      <c r="D793" s="138">
        <v>0.3</v>
      </c>
      <c r="E793" s="95" t="s">
        <v>1363</v>
      </c>
      <c r="F793" s="127">
        <v>7800</v>
      </c>
      <c r="G793" s="95" t="s">
        <v>1364</v>
      </c>
      <c r="H793" s="127">
        <v>6290</v>
      </c>
      <c r="I793" s="95" t="s">
        <v>1365</v>
      </c>
      <c r="J793" s="127">
        <v>7990</v>
      </c>
      <c r="K793" s="95" t="s">
        <v>1366</v>
      </c>
      <c r="L793" s="127">
        <v>6750</v>
      </c>
      <c r="M793" s="95" t="s">
        <v>1367</v>
      </c>
      <c r="N793" s="126">
        <v>4170</v>
      </c>
    </row>
    <row r="794" spans="1:14" x14ac:dyDescent="0.3">
      <c r="A794" s="98" t="s">
        <v>1368</v>
      </c>
      <c r="B794" s="114" t="s">
        <v>1369</v>
      </c>
      <c r="C794" s="118">
        <v>3.4</v>
      </c>
      <c r="D794" s="139">
        <v>0.14000000000000001</v>
      </c>
      <c r="E794" s="98" t="s">
        <v>1370</v>
      </c>
      <c r="F794" s="128">
        <v>635</v>
      </c>
      <c r="G794" s="98" t="s">
        <v>1370</v>
      </c>
      <c r="H794" s="128">
        <v>173</v>
      </c>
      <c r="I794" s="98" t="s">
        <v>1371</v>
      </c>
      <c r="J794" s="128">
        <v>286</v>
      </c>
      <c r="K794" s="98" t="s">
        <v>1372</v>
      </c>
      <c r="L794" s="128">
        <v>33</v>
      </c>
      <c r="M794" s="98" t="s">
        <v>1373</v>
      </c>
      <c r="N794" s="128">
        <v>24</v>
      </c>
    </row>
    <row r="795" spans="1:14" x14ac:dyDescent="0.3">
      <c r="A795" s="95" t="s">
        <v>1374</v>
      </c>
      <c r="B795" s="112" t="s">
        <v>1375</v>
      </c>
      <c r="C795" s="113">
        <v>1</v>
      </c>
      <c r="D795" s="138">
        <v>0.13</v>
      </c>
      <c r="E795" s="95" t="s">
        <v>1376</v>
      </c>
      <c r="F795" s="126">
        <v>151</v>
      </c>
      <c r="G795" s="95" t="s">
        <v>1376</v>
      </c>
      <c r="H795" s="126">
        <v>41</v>
      </c>
      <c r="I795" s="95" t="s">
        <v>1377</v>
      </c>
      <c r="J795" s="126">
        <v>49</v>
      </c>
      <c r="K795" s="95" t="s">
        <v>1378</v>
      </c>
      <c r="L795" s="126">
        <v>7</v>
      </c>
      <c r="M795" s="95" t="s">
        <v>1379</v>
      </c>
      <c r="N795" s="126">
        <v>6</v>
      </c>
    </row>
    <row r="796" spans="1:14" x14ac:dyDescent="0.3">
      <c r="A796" s="98" t="s">
        <v>1380</v>
      </c>
      <c r="B796" s="114" t="s">
        <v>1381</v>
      </c>
      <c r="C796" s="118">
        <v>2.9</v>
      </c>
      <c r="D796" s="139">
        <v>0.19</v>
      </c>
      <c r="E796" s="98" t="s">
        <v>1382</v>
      </c>
      <c r="F796" s="128">
        <v>674</v>
      </c>
      <c r="G796" s="98" t="s">
        <v>1382</v>
      </c>
      <c r="H796" s="128">
        <v>184</v>
      </c>
      <c r="I796" s="98" t="s">
        <v>1383</v>
      </c>
      <c r="J796" s="128">
        <v>283</v>
      </c>
      <c r="K796" s="98" t="s">
        <v>1298</v>
      </c>
      <c r="L796" s="128">
        <v>34</v>
      </c>
      <c r="M796" s="98" t="s">
        <v>1384</v>
      </c>
      <c r="N796" s="128">
        <v>25</v>
      </c>
    </row>
    <row r="797" spans="1:14" x14ac:dyDescent="0.3">
      <c r="A797" s="101" t="s">
        <v>1385</v>
      </c>
      <c r="B797" s="115" t="s">
        <v>1386</v>
      </c>
      <c r="C797" s="144">
        <v>20</v>
      </c>
      <c r="D797" s="142">
        <v>0.31</v>
      </c>
      <c r="E797" s="101" t="s">
        <v>1387</v>
      </c>
      <c r="F797" s="145">
        <v>3440</v>
      </c>
      <c r="G797" s="101" t="s">
        <v>1388</v>
      </c>
      <c r="H797" s="145">
        <v>1470</v>
      </c>
      <c r="I797" s="101" t="s">
        <v>1111</v>
      </c>
      <c r="J797" s="145">
        <v>3100</v>
      </c>
      <c r="K797" s="101" t="s">
        <v>1389</v>
      </c>
      <c r="L797" s="145">
        <v>1150</v>
      </c>
      <c r="M797" s="101" t="s">
        <v>1390</v>
      </c>
      <c r="N797" s="132">
        <v>304</v>
      </c>
    </row>
    <row r="798" spans="1:14" x14ac:dyDescent="0.3">
      <c r="A798" s="91" t="s">
        <v>1391</v>
      </c>
      <c r="B798" s="92" t="s">
        <v>1392</v>
      </c>
      <c r="C798" s="124">
        <v>500</v>
      </c>
      <c r="D798" s="135">
        <v>0.2</v>
      </c>
      <c r="E798" s="91" t="s">
        <v>1393</v>
      </c>
      <c r="F798" s="125">
        <v>12800</v>
      </c>
      <c r="G798" s="91" t="s">
        <v>1394</v>
      </c>
      <c r="H798" s="125">
        <v>16100</v>
      </c>
      <c r="I798" s="91" t="s">
        <v>1395</v>
      </c>
      <c r="J798" s="125">
        <v>13700</v>
      </c>
      <c r="K798" s="91" t="s">
        <v>1396</v>
      </c>
      <c r="L798" s="125">
        <v>16500</v>
      </c>
      <c r="M798" s="91" t="s">
        <v>1397</v>
      </c>
      <c r="N798" s="125">
        <v>18100</v>
      </c>
    </row>
    <row r="799" spans="1:14" x14ac:dyDescent="0.3">
      <c r="A799" s="95" t="s">
        <v>1398</v>
      </c>
      <c r="B799" s="96" t="s">
        <v>1399</v>
      </c>
      <c r="C799" s="146">
        <v>3200</v>
      </c>
      <c r="D799" s="138">
        <v>0.56999999999999995</v>
      </c>
      <c r="E799" s="95" t="s">
        <v>1400</v>
      </c>
      <c r="F799" s="147">
        <v>17500</v>
      </c>
      <c r="G799" s="95" t="s">
        <v>1401</v>
      </c>
      <c r="H799" s="147">
        <v>23500</v>
      </c>
      <c r="I799" s="95" t="s">
        <v>1402</v>
      </c>
      <c r="J799" s="147">
        <v>18900</v>
      </c>
      <c r="K799" s="95" t="s">
        <v>1296</v>
      </c>
      <c r="L799" s="147">
        <v>23800</v>
      </c>
      <c r="M799" s="95" t="s">
        <v>1403</v>
      </c>
      <c r="N799" s="147">
        <v>28200</v>
      </c>
    </row>
    <row r="800" spans="1:14" x14ac:dyDescent="0.3">
      <c r="A800" s="98" t="s">
        <v>1404</v>
      </c>
      <c r="B800" s="99" t="s">
        <v>1405</v>
      </c>
      <c r="C800" s="109">
        <v>800</v>
      </c>
      <c r="D800" s="139">
        <v>0.59</v>
      </c>
      <c r="E800" s="98" t="s">
        <v>1406</v>
      </c>
      <c r="F800" s="148">
        <v>13500</v>
      </c>
      <c r="G800" s="98" t="s">
        <v>1407</v>
      </c>
      <c r="H800" s="148">
        <v>17400</v>
      </c>
      <c r="I800" s="98" t="s">
        <v>1408</v>
      </c>
      <c r="J800" s="148">
        <v>14500</v>
      </c>
      <c r="K800" s="98" t="s">
        <v>1409</v>
      </c>
      <c r="L800" s="148">
        <v>17800</v>
      </c>
      <c r="M800" s="98" t="s">
        <v>1410</v>
      </c>
      <c r="N800" s="148">
        <v>20200</v>
      </c>
    </row>
    <row r="801" spans="1:14" x14ac:dyDescent="0.3">
      <c r="A801" s="95" t="s">
        <v>1411</v>
      </c>
      <c r="B801" s="96" t="s">
        <v>1412</v>
      </c>
      <c r="C801" s="106">
        <v>36</v>
      </c>
      <c r="D801" s="138">
        <v>0.2</v>
      </c>
      <c r="E801" s="95" t="s">
        <v>1413</v>
      </c>
      <c r="F801" s="127">
        <v>6840</v>
      </c>
      <c r="G801" s="95" t="s">
        <v>1414</v>
      </c>
      <c r="H801" s="127">
        <v>4090</v>
      </c>
      <c r="I801" s="95" t="s">
        <v>1133</v>
      </c>
      <c r="J801" s="127">
        <v>6690</v>
      </c>
      <c r="K801" s="95" t="s">
        <v>1415</v>
      </c>
      <c r="L801" s="127">
        <v>4140</v>
      </c>
      <c r="M801" s="95" t="s">
        <v>1416</v>
      </c>
      <c r="N801" s="126">
        <v>1650</v>
      </c>
    </row>
    <row r="802" spans="1:14" x14ac:dyDescent="0.3">
      <c r="A802" s="98" t="s">
        <v>1417</v>
      </c>
      <c r="B802" s="99" t="s">
        <v>1418</v>
      </c>
      <c r="C802" s="149">
        <v>50000</v>
      </c>
      <c r="D802" s="139">
        <v>0.09</v>
      </c>
      <c r="E802" s="98" t="s">
        <v>1124</v>
      </c>
      <c r="F802" s="129">
        <v>4880</v>
      </c>
      <c r="G802" s="98" t="s">
        <v>1419</v>
      </c>
      <c r="H802" s="129">
        <v>6630</v>
      </c>
      <c r="I802" s="98" t="s">
        <v>1110</v>
      </c>
      <c r="J802" s="129">
        <v>5270</v>
      </c>
      <c r="K802" s="98" t="s">
        <v>1420</v>
      </c>
      <c r="L802" s="129">
        <v>6690</v>
      </c>
      <c r="M802" s="98" t="s">
        <v>1421</v>
      </c>
      <c r="N802" s="128">
        <v>8040</v>
      </c>
    </row>
    <row r="803" spans="1:14" x14ac:dyDescent="0.3">
      <c r="A803" s="95" t="s">
        <v>1422</v>
      </c>
      <c r="B803" s="96" t="s">
        <v>1423</v>
      </c>
      <c r="C803" s="146">
        <v>10000</v>
      </c>
      <c r="D803" s="138">
        <v>0.25</v>
      </c>
      <c r="E803" s="95" t="s">
        <v>1424</v>
      </c>
      <c r="F803" s="127">
        <v>8210</v>
      </c>
      <c r="G803" s="95" t="s">
        <v>1425</v>
      </c>
      <c r="H803" s="147">
        <v>11100</v>
      </c>
      <c r="I803" s="95" t="s">
        <v>1426</v>
      </c>
      <c r="J803" s="127">
        <v>8880</v>
      </c>
      <c r="K803" s="95" t="s">
        <v>1173</v>
      </c>
      <c r="L803" s="147">
        <v>11200</v>
      </c>
      <c r="M803" s="95" t="s">
        <v>1427</v>
      </c>
      <c r="N803" s="147">
        <v>13500</v>
      </c>
    </row>
    <row r="804" spans="1:14" x14ac:dyDescent="0.3">
      <c r="A804" s="98" t="s">
        <v>1428</v>
      </c>
      <c r="B804" s="99" t="s">
        <v>1429</v>
      </c>
      <c r="C804" s="149">
        <v>3000</v>
      </c>
      <c r="D804" s="114" t="s">
        <v>1430</v>
      </c>
      <c r="E804" s="98" t="s">
        <v>1413</v>
      </c>
      <c r="F804" s="129">
        <v>6850</v>
      </c>
      <c r="G804" s="98" t="s">
        <v>1431</v>
      </c>
      <c r="H804" s="129">
        <v>9200</v>
      </c>
      <c r="I804" s="98" t="s">
        <v>1131</v>
      </c>
      <c r="J804" s="129">
        <v>7400</v>
      </c>
      <c r="K804" s="98" t="s">
        <v>1432</v>
      </c>
      <c r="L804" s="129">
        <v>9310</v>
      </c>
      <c r="M804" s="98" t="s">
        <v>1433</v>
      </c>
      <c r="N804" s="148">
        <v>11000</v>
      </c>
    </row>
    <row r="805" spans="1:14" x14ac:dyDescent="0.3">
      <c r="A805" s="95" t="s">
        <v>1434</v>
      </c>
      <c r="B805" s="96" t="s">
        <v>1435</v>
      </c>
      <c r="C805" s="146">
        <v>2600</v>
      </c>
      <c r="D805" s="138">
        <v>0.28000000000000003</v>
      </c>
      <c r="E805" s="95" t="s">
        <v>1436</v>
      </c>
      <c r="F805" s="127">
        <v>6640</v>
      </c>
      <c r="G805" s="95" t="s">
        <v>1437</v>
      </c>
      <c r="H805" s="127">
        <v>8900</v>
      </c>
      <c r="I805" s="95" t="s">
        <v>940</v>
      </c>
      <c r="J805" s="127">
        <v>7180</v>
      </c>
      <c r="K805" s="95" t="s">
        <v>932</v>
      </c>
      <c r="L805" s="127">
        <v>9010</v>
      </c>
      <c r="M805" s="95" t="s">
        <v>1438</v>
      </c>
      <c r="N805" s="147">
        <v>10700</v>
      </c>
    </row>
    <row r="806" spans="1:14" x14ac:dyDescent="0.3">
      <c r="A806" s="120" t="s">
        <v>1439</v>
      </c>
      <c r="B806" s="150" t="s">
        <v>1440</v>
      </c>
      <c r="C806" s="151">
        <v>3200</v>
      </c>
      <c r="D806" s="140">
        <v>0.32</v>
      </c>
      <c r="E806" s="120" t="s">
        <v>1441</v>
      </c>
      <c r="F806" s="152">
        <v>7110</v>
      </c>
      <c r="G806" s="120" t="s">
        <v>1442</v>
      </c>
      <c r="H806" s="152">
        <v>9540</v>
      </c>
      <c r="I806" s="120" t="s">
        <v>1443</v>
      </c>
      <c r="J806" s="152">
        <v>7680</v>
      </c>
      <c r="K806" s="120" t="s">
        <v>1444</v>
      </c>
      <c r="L806" s="152">
        <v>9660</v>
      </c>
      <c r="M806" s="120" t="s">
        <v>1445</v>
      </c>
      <c r="N806" s="153">
        <v>11500</v>
      </c>
    </row>
    <row r="807" spans="1:14" x14ac:dyDescent="0.3">
      <c r="A807" s="91" t="s">
        <v>1446</v>
      </c>
      <c r="B807" s="92" t="s">
        <v>1447</v>
      </c>
      <c r="C807" s="154">
        <v>2600</v>
      </c>
      <c r="D807" s="135">
        <v>0.36</v>
      </c>
      <c r="E807" s="91" t="s">
        <v>1413</v>
      </c>
      <c r="F807" s="155">
        <v>6870</v>
      </c>
      <c r="G807" s="91" t="s">
        <v>1431</v>
      </c>
      <c r="H807" s="155">
        <v>9200</v>
      </c>
      <c r="I807" s="91" t="s">
        <v>1448</v>
      </c>
      <c r="J807" s="155">
        <v>7420</v>
      </c>
      <c r="K807" s="91" t="s">
        <v>1449</v>
      </c>
      <c r="L807" s="155">
        <v>9320</v>
      </c>
      <c r="M807" s="91" t="s">
        <v>1450</v>
      </c>
      <c r="N807" s="125">
        <v>11000</v>
      </c>
    </row>
    <row r="808" spans="1:14" x14ac:dyDescent="0.3">
      <c r="A808" s="95" t="s">
        <v>1451</v>
      </c>
      <c r="B808" s="96" t="s">
        <v>1452</v>
      </c>
      <c r="C808" s="95" t="s">
        <v>1453</v>
      </c>
      <c r="D808" s="112" t="s">
        <v>1454</v>
      </c>
      <c r="E808" s="95" t="s">
        <v>1455</v>
      </c>
      <c r="F808" s="126">
        <v>7</v>
      </c>
      <c r="G808" s="95" t="s">
        <v>1455</v>
      </c>
      <c r="H808" s="126">
        <v>2</v>
      </c>
      <c r="I808" s="95" t="s">
        <v>1456</v>
      </c>
      <c r="J808" s="126">
        <v>2</v>
      </c>
      <c r="K808" s="95" t="s">
        <v>1457</v>
      </c>
      <c r="L808" s="131" t="s">
        <v>1097</v>
      </c>
      <c r="M808" s="95" t="s">
        <v>1458</v>
      </c>
      <c r="N808" s="131" t="s">
        <v>1097</v>
      </c>
    </row>
    <row r="809" spans="1:14" x14ac:dyDescent="0.3">
      <c r="A809" s="98" t="s">
        <v>1459</v>
      </c>
      <c r="B809" s="99" t="s">
        <v>1460</v>
      </c>
      <c r="C809" s="149">
        <v>4100</v>
      </c>
      <c r="D809" s="139">
        <v>0.41</v>
      </c>
      <c r="E809" s="98" t="s">
        <v>1461</v>
      </c>
      <c r="F809" s="129">
        <v>6350</v>
      </c>
      <c r="G809" s="98" t="s">
        <v>1462</v>
      </c>
      <c r="H809" s="129">
        <v>8550</v>
      </c>
      <c r="I809" s="98" t="s">
        <v>1463</v>
      </c>
      <c r="J809" s="129">
        <v>6860</v>
      </c>
      <c r="K809" s="98" t="s">
        <v>1464</v>
      </c>
      <c r="L809" s="129">
        <v>8650</v>
      </c>
      <c r="M809" s="98" t="s">
        <v>1465</v>
      </c>
      <c r="N809" s="148">
        <v>10300</v>
      </c>
    </row>
    <row r="810" spans="1:14" x14ac:dyDescent="0.3">
      <c r="A810" s="95" t="s">
        <v>1466</v>
      </c>
      <c r="B810" s="96" t="s">
        <v>1467</v>
      </c>
      <c r="C810" s="146">
        <v>3100</v>
      </c>
      <c r="D810" s="138">
        <v>0.44</v>
      </c>
      <c r="E810" s="95" t="s">
        <v>1468</v>
      </c>
      <c r="F810" s="127">
        <v>5890</v>
      </c>
      <c r="G810" s="95" t="s">
        <v>1469</v>
      </c>
      <c r="H810" s="127">
        <v>7910</v>
      </c>
      <c r="I810" s="95" t="s">
        <v>1470</v>
      </c>
      <c r="J810" s="127">
        <v>6370</v>
      </c>
      <c r="K810" s="95" t="s">
        <v>1471</v>
      </c>
      <c r="L810" s="127">
        <v>8010</v>
      </c>
      <c r="M810" s="95" t="s">
        <v>1472</v>
      </c>
      <c r="N810" s="126">
        <v>9490</v>
      </c>
    </row>
    <row r="811" spans="1:14" x14ac:dyDescent="0.3">
      <c r="A811" s="98" t="s">
        <v>1473</v>
      </c>
      <c r="B811" s="99" t="s">
        <v>1474</v>
      </c>
      <c r="C811" s="149">
        <v>3000</v>
      </c>
      <c r="D811" s="139">
        <v>0.5</v>
      </c>
      <c r="E811" s="98" t="s">
        <v>1475</v>
      </c>
      <c r="F811" s="129">
        <v>5830</v>
      </c>
      <c r="G811" s="98" t="s">
        <v>1476</v>
      </c>
      <c r="H811" s="129">
        <v>7820</v>
      </c>
      <c r="I811" s="98" t="s">
        <v>1477</v>
      </c>
      <c r="J811" s="129">
        <v>6290</v>
      </c>
      <c r="K811" s="98" t="s">
        <v>1478</v>
      </c>
      <c r="L811" s="129">
        <v>7920</v>
      </c>
      <c r="M811" s="98" t="s">
        <v>1479</v>
      </c>
      <c r="N811" s="128">
        <v>9380</v>
      </c>
    </row>
    <row r="812" spans="1:14" x14ac:dyDescent="0.3">
      <c r="A812" s="95" t="s">
        <v>1480</v>
      </c>
      <c r="B812" s="96" t="s">
        <v>1481</v>
      </c>
      <c r="C812" s="146">
        <v>3000</v>
      </c>
      <c r="D812" s="138">
        <v>0.55000000000000004</v>
      </c>
      <c r="E812" s="95" t="s">
        <v>1482</v>
      </c>
      <c r="F812" s="127">
        <v>5680</v>
      </c>
      <c r="G812" s="95" t="s">
        <v>1483</v>
      </c>
      <c r="H812" s="127">
        <v>7620</v>
      </c>
      <c r="I812" s="95" t="s">
        <v>1484</v>
      </c>
      <c r="J812" s="127">
        <v>6130</v>
      </c>
      <c r="K812" s="95" t="s">
        <v>1076</v>
      </c>
      <c r="L812" s="127">
        <v>7710</v>
      </c>
      <c r="M812" s="95" t="s">
        <v>1485</v>
      </c>
      <c r="N812" s="126">
        <v>9140</v>
      </c>
    </row>
    <row r="813" spans="1:14" x14ac:dyDescent="0.3">
      <c r="A813" s="98" t="s">
        <v>1486</v>
      </c>
      <c r="B813" s="99" t="s">
        <v>1487</v>
      </c>
      <c r="C813" s="149">
        <v>2000</v>
      </c>
      <c r="D813" s="139">
        <v>0.55000000000000004</v>
      </c>
      <c r="E813" s="98" t="s">
        <v>1108</v>
      </c>
      <c r="F813" s="129">
        <v>5390</v>
      </c>
      <c r="G813" s="98" t="s">
        <v>1488</v>
      </c>
      <c r="H813" s="129">
        <v>7190</v>
      </c>
      <c r="I813" s="98" t="s">
        <v>1489</v>
      </c>
      <c r="J813" s="129">
        <v>5820</v>
      </c>
      <c r="K813" s="98" t="s">
        <v>1490</v>
      </c>
      <c r="L813" s="129">
        <v>7290</v>
      </c>
      <c r="M813" s="98" t="s">
        <v>933</v>
      </c>
      <c r="N813" s="128">
        <v>8570</v>
      </c>
    </row>
    <row r="814" spans="1:14" x14ac:dyDescent="0.3">
      <c r="A814" s="95" t="s">
        <v>1491</v>
      </c>
      <c r="B814" s="96" t="s">
        <v>1492</v>
      </c>
      <c r="C814" s="146">
        <v>2000</v>
      </c>
      <c r="D814" s="138">
        <v>0.56000000000000005</v>
      </c>
      <c r="E814" s="95" t="s">
        <v>1388</v>
      </c>
      <c r="F814" s="127">
        <v>5430</v>
      </c>
      <c r="G814" s="95" t="s">
        <v>1493</v>
      </c>
      <c r="H814" s="127">
        <v>7240</v>
      </c>
      <c r="I814" s="95" t="s">
        <v>1494</v>
      </c>
      <c r="J814" s="127">
        <v>5860</v>
      </c>
      <c r="K814" s="95" t="s">
        <v>1495</v>
      </c>
      <c r="L814" s="127">
        <v>7340</v>
      </c>
      <c r="M814" s="95" t="s">
        <v>1496</v>
      </c>
      <c r="N814" s="126">
        <v>8630</v>
      </c>
    </row>
    <row r="815" spans="1:14" x14ac:dyDescent="0.3">
      <c r="A815" s="98" t="s">
        <v>1497</v>
      </c>
      <c r="B815" s="99" t="s">
        <v>1498</v>
      </c>
      <c r="C815" s="149">
        <v>2000</v>
      </c>
      <c r="D815" s="139">
        <v>0.48</v>
      </c>
      <c r="E815" s="98" t="s">
        <v>1499</v>
      </c>
      <c r="F815" s="129">
        <v>4720</v>
      </c>
      <c r="G815" s="98" t="s">
        <v>1364</v>
      </c>
      <c r="H815" s="129">
        <v>6290</v>
      </c>
      <c r="I815" s="98" t="s">
        <v>1500</v>
      </c>
      <c r="J815" s="129">
        <v>5090</v>
      </c>
      <c r="K815" s="98" t="s">
        <v>1501</v>
      </c>
      <c r="L815" s="129">
        <v>6380</v>
      </c>
      <c r="M815" s="98" t="s">
        <v>1502</v>
      </c>
      <c r="N815" s="128">
        <v>7500</v>
      </c>
    </row>
    <row r="816" spans="1:14" x14ac:dyDescent="0.3">
      <c r="A816" s="95" t="s">
        <v>1503</v>
      </c>
      <c r="B816" s="96" t="s">
        <v>1504</v>
      </c>
      <c r="C816" s="95" t="s">
        <v>1505</v>
      </c>
      <c r="D816" s="156">
        <v>2E-3</v>
      </c>
      <c r="E816" s="95" t="s">
        <v>1506</v>
      </c>
      <c r="F816" s="131" t="s">
        <v>1097</v>
      </c>
      <c r="G816" s="95" t="s">
        <v>1506</v>
      </c>
      <c r="H816" s="131" t="s">
        <v>1097</v>
      </c>
      <c r="I816" s="95" t="s">
        <v>1507</v>
      </c>
      <c r="J816" s="131" t="s">
        <v>1097</v>
      </c>
      <c r="K816" s="95" t="s">
        <v>1508</v>
      </c>
      <c r="L816" s="131" t="s">
        <v>1097</v>
      </c>
      <c r="M816" s="95" t="s">
        <v>1509</v>
      </c>
      <c r="N816" s="131" t="s">
        <v>1097</v>
      </c>
    </row>
    <row r="817" spans="1:14" x14ac:dyDescent="0.3">
      <c r="A817" s="98" t="s">
        <v>1510</v>
      </c>
      <c r="B817" s="114" t="s">
        <v>1511</v>
      </c>
      <c r="C817" s="98" t="s">
        <v>1229</v>
      </c>
      <c r="D817" s="139">
        <v>0.01</v>
      </c>
      <c r="E817" s="98" t="s">
        <v>1512</v>
      </c>
      <c r="F817" s="130" t="s">
        <v>1097</v>
      </c>
      <c r="G817" s="98" t="s">
        <v>1512</v>
      </c>
      <c r="H817" s="130" t="s">
        <v>1097</v>
      </c>
      <c r="I817" s="98" t="s">
        <v>1513</v>
      </c>
      <c r="J817" s="130" t="s">
        <v>1097</v>
      </c>
      <c r="K817" s="98" t="s">
        <v>1514</v>
      </c>
      <c r="L817" s="130" t="s">
        <v>1097</v>
      </c>
      <c r="M817" s="98" t="s">
        <v>1515</v>
      </c>
      <c r="N817" s="130" t="s">
        <v>1097</v>
      </c>
    </row>
    <row r="818" spans="1:14" x14ac:dyDescent="0.3">
      <c r="A818" s="95" t="s">
        <v>1516</v>
      </c>
      <c r="B818" s="112" t="s">
        <v>1517</v>
      </c>
      <c r="C818" s="95" t="s">
        <v>1505</v>
      </c>
      <c r="D818" s="156">
        <v>3.0000000000000001E-3</v>
      </c>
      <c r="E818" s="95" t="s">
        <v>1518</v>
      </c>
      <c r="F818" s="131" t="s">
        <v>1097</v>
      </c>
      <c r="G818" s="95" t="s">
        <v>1518</v>
      </c>
      <c r="H818" s="131" t="s">
        <v>1097</v>
      </c>
      <c r="I818" s="95" t="s">
        <v>1519</v>
      </c>
      <c r="J818" s="131" t="s">
        <v>1097</v>
      </c>
      <c r="K818" s="95" t="s">
        <v>1520</v>
      </c>
      <c r="L818" s="131" t="s">
        <v>1097</v>
      </c>
      <c r="M818" s="95" t="s">
        <v>1521</v>
      </c>
      <c r="N818" s="131" t="s">
        <v>1097</v>
      </c>
    </row>
    <row r="819" spans="1:14" x14ac:dyDescent="0.3">
      <c r="A819" s="98" t="s">
        <v>1522</v>
      </c>
      <c r="B819" s="114" t="s">
        <v>1523</v>
      </c>
      <c r="C819" s="98" t="s">
        <v>1524</v>
      </c>
      <c r="D819" s="139">
        <v>0.02</v>
      </c>
      <c r="E819" s="98" t="s">
        <v>1525</v>
      </c>
      <c r="F819" s="130" t="s">
        <v>1097</v>
      </c>
      <c r="G819" s="98" t="s">
        <v>1525</v>
      </c>
      <c r="H819" s="130" t="s">
        <v>1097</v>
      </c>
      <c r="I819" s="98" t="s">
        <v>1526</v>
      </c>
      <c r="J819" s="130" t="s">
        <v>1097</v>
      </c>
      <c r="K819" s="98" t="s">
        <v>1527</v>
      </c>
      <c r="L819" s="130" t="s">
        <v>1097</v>
      </c>
      <c r="M819" s="98" t="s">
        <v>1528</v>
      </c>
      <c r="N819" s="130" t="s">
        <v>1097</v>
      </c>
    </row>
    <row r="820" spans="1:14" x14ac:dyDescent="0.3">
      <c r="A820" s="101" t="s">
        <v>1529</v>
      </c>
      <c r="B820" s="115" t="s">
        <v>1530</v>
      </c>
      <c r="C820" s="101" t="s">
        <v>1453</v>
      </c>
      <c r="D820" s="142">
        <v>7.0000000000000007E-2</v>
      </c>
      <c r="E820" s="101" t="s">
        <v>1194</v>
      </c>
      <c r="F820" s="132">
        <v>6</v>
      </c>
      <c r="G820" s="101" t="s">
        <v>1194</v>
      </c>
      <c r="H820" s="132">
        <v>2</v>
      </c>
      <c r="I820" s="101" t="s">
        <v>1531</v>
      </c>
      <c r="J820" s="132">
        <v>2</v>
      </c>
      <c r="K820" s="101" t="s">
        <v>1532</v>
      </c>
      <c r="L820" s="133" t="s">
        <v>1097</v>
      </c>
      <c r="M820" s="101" t="s">
        <v>1533</v>
      </c>
      <c r="N820" s="133" t="s">
        <v>1097</v>
      </c>
    </row>
    <row r="821" spans="1:14" x14ac:dyDescent="0.3">
      <c r="A821" s="91" t="s">
        <v>1534</v>
      </c>
      <c r="B821" s="134" t="s">
        <v>1535</v>
      </c>
      <c r="C821" s="124">
        <v>119</v>
      </c>
      <c r="D821" s="135">
        <v>0.41</v>
      </c>
      <c r="E821" s="91" t="s">
        <v>1536</v>
      </c>
      <c r="F821" s="125">
        <v>12400</v>
      </c>
      <c r="G821" s="91" t="s">
        <v>1030</v>
      </c>
      <c r="H821" s="125">
        <v>12400</v>
      </c>
      <c r="I821" s="91" t="s">
        <v>1537</v>
      </c>
      <c r="J821" s="125">
        <v>13000</v>
      </c>
      <c r="K821" s="91" t="s">
        <v>1538</v>
      </c>
      <c r="L821" s="125">
        <v>13200</v>
      </c>
      <c r="M821" s="91" t="s">
        <v>1539</v>
      </c>
      <c r="N821" s="125">
        <v>10900</v>
      </c>
    </row>
    <row r="822" spans="1:14" x14ac:dyDescent="0.3">
      <c r="A822" s="95" t="s">
        <v>1540</v>
      </c>
      <c r="B822" s="112" t="s">
        <v>1541</v>
      </c>
      <c r="C822" s="106">
        <v>24.4</v>
      </c>
      <c r="D822" s="138">
        <v>0.44</v>
      </c>
      <c r="E822" s="95" t="s">
        <v>1542</v>
      </c>
      <c r="F822" s="147">
        <v>11600</v>
      </c>
      <c r="G822" s="95" t="s">
        <v>1543</v>
      </c>
      <c r="H822" s="127">
        <v>5560</v>
      </c>
      <c r="I822" s="95" t="s">
        <v>1544</v>
      </c>
      <c r="J822" s="147">
        <v>10800</v>
      </c>
      <c r="K822" s="95" t="s">
        <v>1545</v>
      </c>
      <c r="L822" s="127">
        <v>4900</v>
      </c>
      <c r="M822" s="95" t="s">
        <v>1546</v>
      </c>
      <c r="N822" s="126">
        <v>1430</v>
      </c>
    </row>
    <row r="823" spans="1:14" x14ac:dyDescent="0.3">
      <c r="A823" s="98" t="s">
        <v>1547</v>
      </c>
      <c r="B823" s="99" t="s">
        <v>1548</v>
      </c>
      <c r="C823" s="118">
        <v>4.8</v>
      </c>
      <c r="D823" s="139">
        <v>0.18</v>
      </c>
      <c r="E823" s="98" t="s">
        <v>1549</v>
      </c>
      <c r="F823" s="129">
        <v>1890</v>
      </c>
      <c r="G823" s="98" t="s">
        <v>1550</v>
      </c>
      <c r="H823" s="128">
        <v>523</v>
      </c>
      <c r="I823" s="98" t="s">
        <v>1551</v>
      </c>
      <c r="J823" s="129">
        <v>1020</v>
      </c>
      <c r="K823" s="98" t="s">
        <v>1552</v>
      </c>
      <c r="L823" s="128">
        <v>108</v>
      </c>
      <c r="M823" s="98" t="s">
        <v>1553</v>
      </c>
      <c r="N823" s="128">
        <v>73</v>
      </c>
    </row>
    <row r="824" spans="1:14" x14ac:dyDescent="0.3">
      <c r="A824" s="95" t="s">
        <v>1554</v>
      </c>
      <c r="B824" s="112" t="s">
        <v>1555</v>
      </c>
      <c r="C824" s="106">
        <v>51.6</v>
      </c>
      <c r="D824" s="138">
        <v>0.44</v>
      </c>
      <c r="E824" s="95" t="s">
        <v>1556</v>
      </c>
      <c r="F824" s="127">
        <v>8900</v>
      </c>
      <c r="G824" s="95" t="s">
        <v>1557</v>
      </c>
      <c r="H824" s="127">
        <v>6450</v>
      </c>
      <c r="I824" s="95" t="s">
        <v>1558</v>
      </c>
      <c r="J824" s="127">
        <v>8980</v>
      </c>
      <c r="K824" s="95" t="s">
        <v>1559</v>
      </c>
      <c r="L824" s="127">
        <v>6850</v>
      </c>
      <c r="M824" s="95" t="s">
        <v>1560</v>
      </c>
      <c r="N824" s="126">
        <v>3630</v>
      </c>
    </row>
    <row r="825" spans="1:14" x14ac:dyDescent="0.3">
      <c r="A825" s="98" t="s">
        <v>1561</v>
      </c>
      <c r="B825" s="114" t="s">
        <v>1562</v>
      </c>
      <c r="C825" s="118">
        <v>4.3</v>
      </c>
      <c r="D825" s="139">
        <v>0.41</v>
      </c>
      <c r="E825" s="98" t="s">
        <v>1563</v>
      </c>
      <c r="F825" s="129">
        <v>2120</v>
      </c>
      <c r="G825" s="98" t="s">
        <v>1564</v>
      </c>
      <c r="H825" s="128">
        <v>583</v>
      </c>
      <c r="I825" s="98" t="s">
        <v>1565</v>
      </c>
      <c r="J825" s="129">
        <v>1080</v>
      </c>
      <c r="K825" s="98" t="s">
        <v>1566</v>
      </c>
      <c r="L825" s="128">
        <v>116</v>
      </c>
      <c r="M825" s="98" t="s">
        <v>977</v>
      </c>
      <c r="N825" s="128">
        <v>81</v>
      </c>
    </row>
    <row r="826" spans="1:14" x14ac:dyDescent="0.3">
      <c r="A826" s="95" t="s">
        <v>1567</v>
      </c>
      <c r="B826" s="112" t="s">
        <v>1568</v>
      </c>
      <c r="C826" s="113">
        <v>3.5</v>
      </c>
      <c r="D826" s="138">
        <v>0.42</v>
      </c>
      <c r="E826" s="95" t="s">
        <v>1569</v>
      </c>
      <c r="F826" s="127">
        <v>1800</v>
      </c>
      <c r="G826" s="95" t="s">
        <v>1570</v>
      </c>
      <c r="H826" s="126">
        <v>491</v>
      </c>
      <c r="I826" s="95" t="s">
        <v>1571</v>
      </c>
      <c r="J826" s="126">
        <v>822</v>
      </c>
      <c r="K826" s="95" t="s">
        <v>1572</v>
      </c>
      <c r="L826" s="126">
        <v>93</v>
      </c>
      <c r="M826" s="95" t="s">
        <v>1573</v>
      </c>
      <c r="N826" s="126">
        <v>68</v>
      </c>
    </row>
    <row r="827" spans="1:14" x14ac:dyDescent="0.3">
      <c r="A827" s="98" t="s">
        <v>1574</v>
      </c>
      <c r="B827" s="114" t="s">
        <v>1575</v>
      </c>
      <c r="C827" s="109">
        <v>20.8</v>
      </c>
      <c r="D827" s="114" t="s">
        <v>1576</v>
      </c>
      <c r="E827" s="98" t="s">
        <v>1102</v>
      </c>
      <c r="F827" s="129">
        <v>9710</v>
      </c>
      <c r="G827" s="98" t="s">
        <v>1577</v>
      </c>
      <c r="H827" s="129">
        <v>4240</v>
      </c>
      <c r="I827" s="98" t="s">
        <v>1433</v>
      </c>
      <c r="J827" s="129">
        <v>8820</v>
      </c>
      <c r="K827" s="98" t="s">
        <v>1578</v>
      </c>
      <c r="L827" s="129">
        <v>3400</v>
      </c>
      <c r="M827" s="98" t="s">
        <v>1579</v>
      </c>
      <c r="N827" s="128">
        <v>912</v>
      </c>
    </row>
    <row r="828" spans="1:14" x14ac:dyDescent="0.3">
      <c r="A828" s="95" t="s">
        <v>1580</v>
      </c>
      <c r="B828" s="112" t="s">
        <v>1581</v>
      </c>
      <c r="C828" s="106">
        <v>10.8</v>
      </c>
      <c r="D828" s="138">
        <v>0.45</v>
      </c>
      <c r="E828" s="95" t="s">
        <v>1582</v>
      </c>
      <c r="F828" s="127">
        <v>5550</v>
      </c>
      <c r="G828" s="95" t="s">
        <v>1583</v>
      </c>
      <c r="H828" s="127">
        <v>1790</v>
      </c>
      <c r="I828" s="95" t="s">
        <v>1584</v>
      </c>
      <c r="J828" s="127">
        <v>4280</v>
      </c>
      <c r="K828" s="95" t="s">
        <v>1585</v>
      </c>
      <c r="L828" s="126">
        <v>753</v>
      </c>
      <c r="M828" s="95" t="s">
        <v>1586</v>
      </c>
      <c r="N828" s="126">
        <v>260</v>
      </c>
    </row>
    <row r="829" spans="1:14" x14ac:dyDescent="0.3">
      <c r="A829" s="98" t="s">
        <v>1587</v>
      </c>
      <c r="B829" s="114" t="s">
        <v>1588</v>
      </c>
      <c r="C829" s="118">
        <v>7.5</v>
      </c>
      <c r="D829" s="139">
        <v>0.36</v>
      </c>
      <c r="E829" s="98" t="s">
        <v>1589</v>
      </c>
      <c r="F829" s="129">
        <v>3350</v>
      </c>
      <c r="G829" s="98" t="s">
        <v>1590</v>
      </c>
      <c r="H829" s="128">
        <v>979</v>
      </c>
      <c r="I829" s="98" t="s">
        <v>1104</v>
      </c>
      <c r="J829" s="129">
        <v>2240</v>
      </c>
      <c r="K829" s="98" t="s">
        <v>1591</v>
      </c>
      <c r="L829" s="128">
        <v>273</v>
      </c>
      <c r="M829" s="98" t="s">
        <v>1592</v>
      </c>
      <c r="N829" s="128">
        <v>138</v>
      </c>
    </row>
    <row r="830" spans="1:14" x14ac:dyDescent="0.3">
      <c r="A830" s="95" t="s">
        <v>1593</v>
      </c>
      <c r="B830" s="112" t="s">
        <v>1594</v>
      </c>
      <c r="C830" s="113">
        <v>4.9000000000000004</v>
      </c>
      <c r="D830" s="138">
        <v>0.33</v>
      </c>
      <c r="E830" s="95" t="s">
        <v>1595</v>
      </c>
      <c r="F830" s="127">
        <v>2360</v>
      </c>
      <c r="G830" s="95" t="s">
        <v>1596</v>
      </c>
      <c r="H830" s="126">
        <v>654</v>
      </c>
      <c r="I830" s="95" t="s">
        <v>1597</v>
      </c>
      <c r="J830" s="127">
        <v>1280</v>
      </c>
      <c r="K830" s="95" t="s">
        <v>1598</v>
      </c>
      <c r="L830" s="126">
        <v>136</v>
      </c>
      <c r="M830" s="95" t="s">
        <v>1599</v>
      </c>
      <c r="N830" s="126">
        <v>91</v>
      </c>
    </row>
    <row r="831" spans="1:14" x14ac:dyDescent="0.3">
      <c r="A831" s="98" t="s">
        <v>1600</v>
      </c>
      <c r="B831" s="114" t="s">
        <v>1601</v>
      </c>
      <c r="C831" s="118">
        <v>6.6</v>
      </c>
      <c r="D831" s="139">
        <v>0.31</v>
      </c>
      <c r="E831" s="98" t="s">
        <v>1602</v>
      </c>
      <c r="F831" s="129">
        <v>2900</v>
      </c>
      <c r="G831" s="98" t="s">
        <v>1603</v>
      </c>
      <c r="H831" s="128">
        <v>828</v>
      </c>
      <c r="I831" s="98" t="s">
        <v>1604</v>
      </c>
      <c r="J831" s="129">
        <v>1820</v>
      </c>
      <c r="K831" s="98" t="s">
        <v>1605</v>
      </c>
      <c r="L831" s="128">
        <v>206</v>
      </c>
      <c r="M831" s="98" t="s">
        <v>1606</v>
      </c>
      <c r="N831" s="128">
        <v>116</v>
      </c>
    </row>
    <row r="832" spans="1:14" x14ac:dyDescent="0.3">
      <c r="A832" s="95" t="s">
        <v>1607</v>
      </c>
      <c r="B832" s="112" t="s">
        <v>1608</v>
      </c>
      <c r="C832" s="113">
        <v>5.5</v>
      </c>
      <c r="D832" s="138">
        <v>0.36</v>
      </c>
      <c r="E832" s="95" t="s">
        <v>1609</v>
      </c>
      <c r="F832" s="127">
        <v>2910</v>
      </c>
      <c r="G832" s="95" t="s">
        <v>1610</v>
      </c>
      <c r="H832" s="126">
        <v>812</v>
      </c>
      <c r="I832" s="95" t="s">
        <v>1611</v>
      </c>
      <c r="J832" s="127">
        <v>1670</v>
      </c>
      <c r="K832" s="95" t="s">
        <v>1065</v>
      </c>
      <c r="L832" s="126">
        <v>179</v>
      </c>
      <c r="M832" s="95" t="s">
        <v>1612</v>
      </c>
      <c r="N832" s="126">
        <v>114</v>
      </c>
    </row>
    <row r="833" spans="1:14" x14ac:dyDescent="0.3">
      <c r="A833" s="98" t="s">
        <v>1613</v>
      </c>
      <c r="B833" s="114" t="s">
        <v>1614</v>
      </c>
      <c r="C833" s="118">
        <v>0.3</v>
      </c>
      <c r="D833" s="139">
        <v>0.14000000000000001</v>
      </c>
      <c r="E833" s="98" t="s">
        <v>1615</v>
      </c>
      <c r="F833" s="128">
        <v>69</v>
      </c>
      <c r="G833" s="98" t="s">
        <v>1615</v>
      </c>
      <c r="H833" s="128">
        <v>19</v>
      </c>
      <c r="I833" s="98" t="s">
        <v>1616</v>
      </c>
      <c r="J833" s="128">
        <v>21</v>
      </c>
      <c r="K833" s="98" t="s">
        <v>1617</v>
      </c>
      <c r="L833" s="128">
        <v>3</v>
      </c>
      <c r="M833" s="98" t="s">
        <v>1618</v>
      </c>
      <c r="N833" s="128">
        <v>3</v>
      </c>
    </row>
    <row r="834" spans="1:14" x14ac:dyDescent="0.3">
      <c r="A834" s="95" t="s">
        <v>1619</v>
      </c>
      <c r="B834" s="112" t="s">
        <v>1620</v>
      </c>
      <c r="C834" s="113">
        <v>2.5</v>
      </c>
      <c r="D834" s="138">
        <v>0.26</v>
      </c>
      <c r="E834" s="95" t="s">
        <v>1621</v>
      </c>
      <c r="F834" s="127">
        <v>1110</v>
      </c>
      <c r="G834" s="95" t="s">
        <v>1621</v>
      </c>
      <c r="H834" s="126">
        <v>301</v>
      </c>
      <c r="I834" s="95" t="s">
        <v>1622</v>
      </c>
      <c r="J834" s="126">
        <v>438</v>
      </c>
      <c r="K834" s="95" t="s">
        <v>1623</v>
      </c>
      <c r="L834" s="126">
        <v>54</v>
      </c>
      <c r="M834" s="95" t="s">
        <v>1624</v>
      </c>
      <c r="N834" s="126">
        <v>42</v>
      </c>
    </row>
    <row r="835" spans="1:14" x14ac:dyDescent="0.3">
      <c r="A835" s="98" t="s">
        <v>1625</v>
      </c>
      <c r="B835" s="114" t="s">
        <v>1626</v>
      </c>
      <c r="C835" s="98" t="s">
        <v>1627</v>
      </c>
      <c r="D835" s="139">
        <v>0.04</v>
      </c>
      <c r="E835" s="98" t="s">
        <v>1628</v>
      </c>
      <c r="F835" s="128">
        <v>5</v>
      </c>
      <c r="G835" s="98" t="s">
        <v>1628</v>
      </c>
      <c r="H835" s="128">
        <v>1</v>
      </c>
      <c r="I835" s="98" t="s">
        <v>1629</v>
      </c>
      <c r="J835" s="128">
        <v>1</v>
      </c>
      <c r="K835" s="98" t="s">
        <v>1630</v>
      </c>
      <c r="L835" s="130" t="s">
        <v>1097</v>
      </c>
      <c r="M835" s="98" t="s">
        <v>1631</v>
      </c>
      <c r="N835" s="130" t="s">
        <v>1097</v>
      </c>
    </row>
    <row r="836" spans="1:14" x14ac:dyDescent="0.3">
      <c r="A836" s="95" t="s">
        <v>1632</v>
      </c>
      <c r="B836" s="112" t="s">
        <v>1633</v>
      </c>
      <c r="C836" s="113">
        <v>0.4</v>
      </c>
      <c r="D836" s="138">
        <v>0.13</v>
      </c>
      <c r="E836" s="95" t="s">
        <v>1359</v>
      </c>
      <c r="F836" s="126">
        <v>108</v>
      </c>
      <c r="G836" s="95" t="s">
        <v>1359</v>
      </c>
      <c r="H836" s="126">
        <v>29</v>
      </c>
      <c r="I836" s="95" t="s">
        <v>1634</v>
      </c>
      <c r="J836" s="126">
        <v>33</v>
      </c>
      <c r="K836" s="95" t="s">
        <v>1635</v>
      </c>
      <c r="L836" s="126">
        <v>5</v>
      </c>
      <c r="M836" s="95" t="s">
        <v>1636</v>
      </c>
      <c r="N836" s="126">
        <v>4</v>
      </c>
    </row>
    <row r="837" spans="1:14" x14ac:dyDescent="0.3">
      <c r="A837" s="98" t="s">
        <v>1637</v>
      </c>
      <c r="B837" s="114" t="s">
        <v>1638</v>
      </c>
      <c r="C837" s="98" t="s">
        <v>1639</v>
      </c>
      <c r="D837" s="139">
        <v>0.02</v>
      </c>
      <c r="E837" s="98" t="s">
        <v>1640</v>
      </c>
      <c r="F837" s="128">
        <v>1</v>
      </c>
      <c r="G837" s="98" t="s">
        <v>1640</v>
      </c>
      <c r="H837" s="130" t="s">
        <v>1097</v>
      </c>
      <c r="I837" s="98" t="s">
        <v>1641</v>
      </c>
      <c r="J837" s="130" t="s">
        <v>1097</v>
      </c>
      <c r="K837" s="98" t="s">
        <v>1642</v>
      </c>
      <c r="L837" s="130" t="s">
        <v>1097</v>
      </c>
      <c r="M837" s="98" t="s">
        <v>1239</v>
      </c>
      <c r="N837" s="130" t="s">
        <v>1097</v>
      </c>
    </row>
    <row r="838" spans="1:14" x14ac:dyDescent="0.3">
      <c r="A838" s="95" t="s">
        <v>1643</v>
      </c>
      <c r="B838" s="112" t="s">
        <v>1644</v>
      </c>
      <c r="C838" s="106">
        <v>22.5</v>
      </c>
      <c r="D838" s="138">
        <v>0.53</v>
      </c>
      <c r="E838" s="95" t="s">
        <v>1645</v>
      </c>
      <c r="F838" s="127">
        <v>6720</v>
      </c>
      <c r="G838" s="95" t="s">
        <v>1646</v>
      </c>
      <c r="H838" s="127">
        <v>3070</v>
      </c>
      <c r="I838" s="95" t="s">
        <v>1647</v>
      </c>
      <c r="J838" s="127">
        <v>6180</v>
      </c>
      <c r="K838" s="95" t="s">
        <v>1648</v>
      </c>
      <c r="L838" s="127">
        <v>2580</v>
      </c>
      <c r="M838" s="95" t="s">
        <v>1649</v>
      </c>
      <c r="N838" s="126">
        <v>718</v>
      </c>
    </row>
    <row r="839" spans="1:14" x14ac:dyDescent="0.3">
      <c r="A839" s="120" t="s">
        <v>1650</v>
      </c>
      <c r="B839" s="119" t="s">
        <v>1651</v>
      </c>
      <c r="C839" s="157">
        <v>21.2</v>
      </c>
      <c r="D839" s="140">
        <v>0.44</v>
      </c>
      <c r="E839" s="120" t="s">
        <v>1652</v>
      </c>
      <c r="F839" s="152">
        <v>5940</v>
      </c>
      <c r="G839" s="120" t="s">
        <v>1653</v>
      </c>
      <c r="H839" s="152">
        <v>2620</v>
      </c>
      <c r="I839" s="120" t="s">
        <v>1654</v>
      </c>
      <c r="J839" s="152">
        <v>5410</v>
      </c>
      <c r="K839" s="120" t="s">
        <v>1655</v>
      </c>
      <c r="L839" s="152">
        <v>2130</v>
      </c>
      <c r="M839" s="120" t="s">
        <v>1656</v>
      </c>
      <c r="N839" s="158">
        <v>575</v>
      </c>
    </row>
    <row r="840" spans="1:14" x14ac:dyDescent="0.3">
      <c r="A840" s="91" t="s">
        <v>1657</v>
      </c>
      <c r="B840" s="134" t="s">
        <v>1658</v>
      </c>
      <c r="C840" s="104">
        <v>7.5</v>
      </c>
      <c r="D840" s="135">
        <v>0.44</v>
      </c>
      <c r="E840" s="91" t="s">
        <v>1659</v>
      </c>
      <c r="F840" s="155">
        <v>3180</v>
      </c>
      <c r="G840" s="91" t="s">
        <v>1660</v>
      </c>
      <c r="H840" s="136">
        <v>929</v>
      </c>
      <c r="I840" s="91" t="s">
        <v>1661</v>
      </c>
      <c r="J840" s="155">
        <v>2120</v>
      </c>
      <c r="K840" s="91" t="s">
        <v>1662</v>
      </c>
      <c r="L840" s="136">
        <v>259</v>
      </c>
      <c r="M840" s="91" t="s">
        <v>1663</v>
      </c>
      <c r="N840" s="136">
        <v>131</v>
      </c>
    </row>
    <row r="841" spans="1:14" x14ac:dyDescent="0.3">
      <c r="A841" s="95" t="s">
        <v>1664</v>
      </c>
      <c r="B841" s="112" t="s">
        <v>1665</v>
      </c>
      <c r="C841" s="113">
        <v>2.2000000000000002</v>
      </c>
      <c r="D841" s="138">
        <v>0.32</v>
      </c>
      <c r="E841" s="95" t="s">
        <v>1666</v>
      </c>
      <c r="F841" s="126">
        <v>795</v>
      </c>
      <c r="G841" s="95" t="s">
        <v>1666</v>
      </c>
      <c r="H841" s="126">
        <v>216</v>
      </c>
      <c r="I841" s="95" t="s">
        <v>1667</v>
      </c>
      <c r="J841" s="126">
        <v>302</v>
      </c>
      <c r="K841" s="95" t="s">
        <v>1668</v>
      </c>
      <c r="L841" s="126">
        <v>38</v>
      </c>
      <c r="M841" s="95" t="s">
        <v>1669</v>
      </c>
      <c r="N841" s="126">
        <v>30</v>
      </c>
    </row>
    <row r="842" spans="1:14" x14ac:dyDescent="0.3">
      <c r="A842" s="98" t="s">
        <v>1670</v>
      </c>
      <c r="B842" s="114" t="s">
        <v>1671</v>
      </c>
      <c r="C842" s="118">
        <v>5</v>
      </c>
      <c r="D842" s="139">
        <v>0.35</v>
      </c>
      <c r="E842" s="98" t="s">
        <v>1672</v>
      </c>
      <c r="F842" s="129">
        <v>1910</v>
      </c>
      <c r="G842" s="98" t="s">
        <v>1673</v>
      </c>
      <c r="H842" s="128">
        <v>530</v>
      </c>
      <c r="I842" s="98" t="s">
        <v>1674</v>
      </c>
      <c r="J842" s="129">
        <v>1050</v>
      </c>
      <c r="K842" s="98" t="s">
        <v>1675</v>
      </c>
      <c r="L842" s="128">
        <v>111</v>
      </c>
      <c r="M842" s="98" t="s">
        <v>1676</v>
      </c>
      <c r="N842" s="128">
        <v>74</v>
      </c>
    </row>
    <row r="843" spans="1:14" x14ac:dyDescent="0.3">
      <c r="A843" s="95" t="s">
        <v>1677</v>
      </c>
      <c r="B843" s="112" t="s">
        <v>1678</v>
      </c>
      <c r="C843" s="113">
        <v>6.6</v>
      </c>
      <c r="D843" s="138">
        <v>0.42</v>
      </c>
      <c r="E843" s="95" t="s">
        <v>1610</v>
      </c>
      <c r="F843" s="127">
        <v>2990</v>
      </c>
      <c r="G843" s="95" t="s">
        <v>1679</v>
      </c>
      <c r="H843" s="126">
        <v>854</v>
      </c>
      <c r="I843" s="95" t="s">
        <v>1680</v>
      </c>
      <c r="J843" s="127">
        <v>1880</v>
      </c>
      <c r="K843" s="95" t="s">
        <v>944</v>
      </c>
      <c r="L843" s="126">
        <v>212</v>
      </c>
      <c r="M843" s="95" t="s">
        <v>1681</v>
      </c>
      <c r="N843" s="126">
        <v>120</v>
      </c>
    </row>
    <row r="844" spans="1:14" x14ac:dyDescent="0.3">
      <c r="A844" s="98" t="s">
        <v>1682</v>
      </c>
      <c r="B844" s="114" t="s">
        <v>1683</v>
      </c>
      <c r="C844" s="118">
        <v>6</v>
      </c>
      <c r="D844" s="114" t="s">
        <v>1684</v>
      </c>
      <c r="E844" s="98" t="s">
        <v>1685</v>
      </c>
      <c r="F844" s="129">
        <v>3150</v>
      </c>
      <c r="G844" s="98" t="s">
        <v>1686</v>
      </c>
      <c r="H844" s="128">
        <v>889</v>
      </c>
      <c r="I844" s="98" t="s">
        <v>1193</v>
      </c>
      <c r="J844" s="129">
        <v>1900</v>
      </c>
      <c r="K844" s="98" t="s">
        <v>1605</v>
      </c>
      <c r="L844" s="128">
        <v>206</v>
      </c>
      <c r="M844" s="98" t="s">
        <v>1687</v>
      </c>
      <c r="N844" s="128">
        <v>124</v>
      </c>
    </row>
    <row r="845" spans="1:14" x14ac:dyDescent="0.3">
      <c r="A845" s="95" t="s">
        <v>1688</v>
      </c>
      <c r="B845" s="112" t="s">
        <v>1689</v>
      </c>
      <c r="C845" s="113">
        <v>3.7</v>
      </c>
      <c r="D845" s="138">
        <v>0.32</v>
      </c>
      <c r="E845" s="95" t="s">
        <v>1690</v>
      </c>
      <c r="F845" s="127">
        <v>1330</v>
      </c>
      <c r="G845" s="95" t="s">
        <v>1691</v>
      </c>
      <c r="H845" s="126">
        <v>363</v>
      </c>
      <c r="I845" s="95" t="s">
        <v>990</v>
      </c>
      <c r="J845" s="126">
        <v>624</v>
      </c>
      <c r="K845" s="95" t="s">
        <v>1692</v>
      </c>
      <c r="L845" s="126">
        <v>69</v>
      </c>
      <c r="M845" s="95" t="s">
        <v>1693</v>
      </c>
      <c r="N845" s="126">
        <v>51</v>
      </c>
    </row>
    <row r="846" spans="1:14" x14ac:dyDescent="0.3">
      <c r="A846" s="98" t="s">
        <v>1694</v>
      </c>
      <c r="B846" s="114" t="s">
        <v>1695</v>
      </c>
      <c r="C846" s="118">
        <v>3.8</v>
      </c>
      <c r="D846" s="139">
        <v>0.3</v>
      </c>
      <c r="E846" s="98" t="s">
        <v>1696</v>
      </c>
      <c r="F846" s="129">
        <v>1410</v>
      </c>
      <c r="G846" s="98" t="s">
        <v>1697</v>
      </c>
      <c r="H846" s="128">
        <v>387</v>
      </c>
      <c r="I846" s="98" t="s">
        <v>1698</v>
      </c>
      <c r="J846" s="128">
        <v>673</v>
      </c>
      <c r="K846" s="98" t="s">
        <v>1699</v>
      </c>
      <c r="L846" s="128">
        <v>74</v>
      </c>
      <c r="M846" s="98" t="s">
        <v>1700</v>
      </c>
      <c r="N846" s="128">
        <v>54</v>
      </c>
    </row>
    <row r="847" spans="1:14" ht="19.2" x14ac:dyDescent="0.3">
      <c r="A847" s="95" t="s">
        <v>1701</v>
      </c>
      <c r="B847" s="112" t="s">
        <v>1702</v>
      </c>
      <c r="C847" s="112" t="s">
        <v>1703</v>
      </c>
      <c r="D847" s="138">
        <v>0.17</v>
      </c>
      <c r="E847" s="95" t="s">
        <v>1704</v>
      </c>
      <c r="F847" s="126">
        <v>62</v>
      </c>
      <c r="G847" s="95" t="s">
        <v>1704</v>
      </c>
      <c r="H847" s="126">
        <v>17</v>
      </c>
      <c r="I847" s="95" t="s">
        <v>1705</v>
      </c>
      <c r="J847" s="126">
        <v>18</v>
      </c>
      <c r="K847" s="95" t="s">
        <v>1706</v>
      </c>
      <c r="L847" s="126">
        <v>3</v>
      </c>
      <c r="M847" s="95" t="s">
        <v>1707</v>
      </c>
      <c r="N847" s="126">
        <v>2</v>
      </c>
    </row>
    <row r="848" spans="1:14" x14ac:dyDescent="0.3">
      <c r="A848" s="98" t="s">
        <v>1708</v>
      </c>
      <c r="B848" s="114" t="s">
        <v>1709</v>
      </c>
      <c r="C848" s="118">
        <v>5.7</v>
      </c>
      <c r="D848" s="139">
        <v>0.37</v>
      </c>
      <c r="E848" s="98" t="s">
        <v>1710</v>
      </c>
      <c r="F848" s="129">
        <v>2560</v>
      </c>
      <c r="G848" s="98" t="s">
        <v>1711</v>
      </c>
      <c r="H848" s="128">
        <v>719</v>
      </c>
      <c r="I848" s="98" t="s">
        <v>1712</v>
      </c>
      <c r="J848" s="129">
        <v>1500</v>
      </c>
      <c r="K848" s="98" t="s">
        <v>1713</v>
      </c>
      <c r="L848" s="128">
        <v>162</v>
      </c>
      <c r="M848" s="98" t="s">
        <v>1714</v>
      </c>
      <c r="N848" s="128">
        <v>101</v>
      </c>
    </row>
    <row r="849" spans="1:14" x14ac:dyDescent="0.3">
      <c r="A849" s="95" t="s">
        <v>1715</v>
      </c>
      <c r="B849" s="112" t="s">
        <v>1716</v>
      </c>
      <c r="C849" s="113">
        <v>3.5</v>
      </c>
      <c r="D849" s="138">
        <v>0.38</v>
      </c>
      <c r="E849" s="95" t="s">
        <v>1717</v>
      </c>
      <c r="F849" s="127">
        <v>1640</v>
      </c>
      <c r="G849" s="95" t="s">
        <v>1718</v>
      </c>
      <c r="H849" s="126">
        <v>446</v>
      </c>
      <c r="I849" s="95" t="s">
        <v>1719</v>
      </c>
      <c r="J849" s="126">
        <v>747</v>
      </c>
      <c r="K849" s="95" t="s">
        <v>1720</v>
      </c>
      <c r="L849" s="126">
        <v>84</v>
      </c>
      <c r="M849" s="95" t="s">
        <v>1721</v>
      </c>
      <c r="N849" s="126">
        <v>62</v>
      </c>
    </row>
    <row r="850" spans="1:14" x14ac:dyDescent="0.3">
      <c r="A850" s="98" t="s">
        <v>1722</v>
      </c>
      <c r="B850" s="114" t="s">
        <v>1723</v>
      </c>
      <c r="C850" s="118">
        <v>3.8</v>
      </c>
      <c r="D850" s="139">
        <v>0.32</v>
      </c>
      <c r="E850" s="98" t="s">
        <v>1724</v>
      </c>
      <c r="F850" s="129">
        <v>1510</v>
      </c>
      <c r="G850" s="98" t="s">
        <v>1725</v>
      </c>
      <c r="H850" s="128">
        <v>413</v>
      </c>
      <c r="I850" s="98" t="s">
        <v>1726</v>
      </c>
      <c r="J850" s="128">
        <v>718</v>
      </c>
      <c r="K850" s="98" t="s">
        <v>1727</v>
      </c>
      <c r="L850" s="128">
        <v>79</v>
      </c>
      <c r="M850" s="98" t="s">
        <v>1728</v>
      </c>
      <c r="N850" s="128">
        <v>57</v>
      </c>
    </row>
    <row r="851" spans="1:14" x14ac:dyDescent="0.3">
      <c r="A851" s="95" t="s">
        <v>1729</v>
      </c>
      <c r="B851" s="112" t="s">
        <v>1730</v>
      </c>
      <c r="C851" s="95" t="s">
        <v>1731</v>
      </c>
      <c r="D851" s="138">
        <v>0.15</v>
      </c>
      <c r="E851" s="95" t="s">
        <v>1604</v>
      </c>
      <c r="F851" s="126">
        <v>50</v>
      </c>
      <c r="G851" s="95" t="s">
        <v>1604</v>
      </c>
      <c r="H851" s="126">
        <v>14</v>
      </c>
      <c r="I851" s="95" t="s">
        <v>1732</v>
      </c>
      <c r="J851" s="126">
        <v>15</v>
      </c>
      <c r="K851" s="95" t="s">
        <v>1733</v>
      </c>
      <c r="L851" s="126">
        <v>2</v>
      </c>
      <c r="M851" s="95" t="s">
        <v>1734</v>
      </c>
      <c r="N851" s="126">
        <v>2</v>
      </c>
    </row>
    <row r="852" spans="1:14" x14ac:dyDescent="0.3">
      <c r="A852" s="98" t="s">
        <v>1735</v>
      </c>
      <c r="B852" s="114" t="s">
        <v>1736</v>
      </c>
      <c r="C852" s="98" t="s">
        <v>1737</v>
      </c>
      <c r="D852" s="139">
        <v>0.05</v>
      </c>
      <c r="E852" s="98" t="s">
        <v>1738</v>
      </c>
      <c r="F852" s="128">
        <v>3</v>
      </c>
      <c r="G852" s="98" t="s">
        <v>1738</v>
      </c>
      <c r="H852" s="130" t="s">
        <v>1097</v>
      </c>
      <c r="I852" s="98" t="s">
        <v>1739</v>
      </c>
      <c r="J852" s="130" t="s">
        <v>1097</v>
      </c>
      <c r="K852" s="98" t="s">
        <v>1740</v>
      </c>
      <c r="L852" s="130" t="s">
        <v>1097</v>
      </c>
      <c r="M852" s="98" t="s">
        <v>1741</v>
      </c>
      <c r="N852" s="130" t="s">
        <v>1097</v>
      </c>
    </row>
    <row r="853" spans="1:14" x14ac:dyDescent="0.3">
      <c r="A853" s="95" t="s">
        <v>1742</v>
      </c>
      <c r="B853" s="112" t="s">
        <v>1743</v>
      </c>
      <c r="C853" s="113">
        <v>0.6</v>
      </c>
      <c r="D853" s="112" t="s">
        <v>1744</v>
      </c>
      <c r="E853" s="95" t="s">
        <v>1745</v>
      </c>
      <c r="F853" s="126">
        <v>215</v>
      </c>
      <c r="G853" s="95" t="s">
        <v>1745</v>
      </c>
      <c r="H853" s="126">
        <v>58</v>
      </c>
      <c r="I853" s="95" t="s">
        <v>1746</v>
      </c>
      <c r="J853" s="126">
        <v>66</v>
      </c>
      <c r="K853" s="95" t="s">
        <v>1747</v>
      </c>
      <c r="L853" s="126">
        <v>10</v>
      </c>
      <c r="M853" s="95" t="s">
        <v>1748</v>
      </c>
      <c r="N853" s="126">
        <v>8</v>
      </c>
    </row>
    <row r="854" spans="1:14" x14ac:dyDescent="0.3">
      <c r="A854" s="98" t="s">
        <v>1749</v>
      </c>
      <c r="B854" s="114" t="s">
        <v>1750</v>
      </c>
      <c r="C854" s="118">
        <v>5</v>
      </c>
      <c r="D854" s="139">
        <v>0.3</v>
      </c>
      <c r="E854" s="98" t="s">
        <v>1751</v>
      </c>
      <c r="F854" s="129">
        <v>2260</v>
      </c>
      <c r="G854" s="98" t="s">
        <v>1752</v>
      </c>
      <c r="H854" s="128">
        <v>627</v>
      </c>
      <c r="I854" s="98" t="s">
        <v>1753</v>
      </c>
      <c r="J854" s="129">
        <v>1240</v>
      </c>
      <c r="K854" s="98" t="s">
        <v>1754</v>
      </c>
      <c r="L854" s="128">
        <v>132</v>
      </c>
      <c r="M854" s="98" t="s">
        <v>1755</v>
      </c>
      <c r="N854" s="128">
        <v>88</v>
      </c>
    </row>
    <row r="855" spans="1:14" x14ac:dyDescent="0.3">
      <c r="A855" s="95" t="s">
        <v>1756</v>
      </c>
      <c r="B855" s="112" t="s">
        <v>1757</v>
      </c>
      <c r="C855" s="95" t="s">
        <v>1206</v>
      </c>
      <c r="D855" s="138">
        <v>0.01</v>
      </c>
      <c r="E855" s="95" t="s">
        <v>1758</v>
      </c>
      <c r="F855" s="131" t="s">
        <v>1097</v>
      </c>
      <c r="G855" s="95" t="s">
        <v>1758</v>
      </c>
      <c r="H855" s="131" t="s">
        <v>1097</v>
      </c>
      <c r="I855" s="95" t="s">
        <v>1759</v>
      </c>
      <c r="J855" s="131" t="s">
        <v>1097</v>
      </c>
      <c r="K855" s="95" t="s">
        <v>1760</v>
      </c>
      <c r="L855" s="131" t="s">
        <v>1097</v>
      </c>
      <c r="M855" s="95" t="s">
        <v>1761</v>
      </c>
      <c r="N855" s="131" t="s">
        <v>1097</v>
      </c>
    </row>
    <row r="856" spans="1:14" x14ac:dyDescent="0.3">
      <c r="A856" s="98" t="s">
        <v>1762</v>
      </c>
      <c r="B856" s="114" t="s">
        <v>1763</v>
      </c>
      <c r="C856" s="118">
        <v>0.3</v>
      </c>
      <c r="D856" s="139">
        <v>0.16</v>
      </c>
      <c r="E856" s="98" t="s">
        <v>1764</v>
      </c>
      <c r="F856" s="128">
        <v>47</v>
      </c>
      <c r="G856" s="98" t="s">
        <v>1764</v>
      </c>
      <c r="H856" s="128">
        <v>13</v>
      </c>
      <c r="I856" s="98" t="s">
        <v>1765</v>
      </c>
      <c r="J856" s="128">
        <v>14</v>
      </c>
      <c r="K856" s="98" t="s">
        <v>1766</v>
      </c>
      <c r="L856" s="128">
        <v>2</v>
      </c>
      <c r="M856" s="98" t="s">
        <v>1767</v>
      </c>
      <c r="N856" s="128">
        <v>2</v>
      </c>
    </row>
    <row r="857" spans="1:14" ht="16.2" x14ac:dyDescent="0.3">
      <c r="A857" s="95" t="s">
        <v>1768</v>
      </c>
      <c r="B857" s="112" t="s">
        <v>1769</v>
      </c>
      <c r="C857" s="106">
        <v>13.5</v>
      </c>
      <c r="D857" s="138">
        <v>1.02</v>
      </c>
      <c r="E857" s="95" t="s">
        <v>1770</v>
      </c>
      <c r="F857" s="127">
        <v>8010</v>
      </c>
      <c r="G857" s="95" t="s">
        <v>1771</v>
      </c>
      <c r="H857" s="127">
        <v>2820</v>
      </c>
      <c r="I857" s="95" t="s">
        <v>1495</v>
      </c>
      <c r="J857" s="127">
        <v>6600</v>
      </c>
      <c r="K857" s="95" t="s">
        <v>1772</v>
      </c>
      <c r="L857" s="127">
        <v>1530</v>
      </c>
      <c r="M857" s="95" t="s">
        <v>1773</v>
      </c>
      <c r="N857" s="126">
        <v>436</v>
      </c>
    </row>
    <row r="858" spans="1:14" x14ac:dyDescent="0.3">
      <c r="A858" s="98" t="s">
        <v>1774</v>
      </c>
      <c r="B858" s="114" t="s">
        <v>1775</v>
      </c>
      <c r="C858" s="118">
        <v>4.7</v>
      </c>
      <c r="D858" s="139">
        <v>0.36</v>
      </c>
      <c r="E858" s="98" t="s">
        <v>1776</v>
      </c>
      <c r="F858" s="129">
        <v>1530</v>
      </c>
      <c r="G858" s="98" t="s">
        <v>1777</v>
      </c>
      <c r="H858" s="128">
        <v>421</v>
      </c>
      <c r="I858" s="98" t="s">
        <v>1778</v>
      </c>
      <c r="J858" s="128">
        <v>809</v>
      </c>
      <c r="K858" s="98" t="s">
        <v>1779</v>
      </c>
      <c r="L858" s="128">
        <v>86</v>
      </c>
      <c r="M858" s="98" t="s">
        <v>1780</v>
      </c>
      <c r="N858" s="128">
        <v>59</v>
      </c>
    </row>
    <row r="859" spans="1:14" x14ac:dyDescent="0.3">
      <c r="A859" s="95" t="s">
        <v>1781</v>
      </c>
      <c r="B859" s="112" t="s">
        <v>1782</v>
      </c>
      <c r="C859" s="113">
        <v>4.7</v>
      </c>
      <c r="D859" s="138">
        <v>0.42</v>
      </c>
      <c r="E859" s="95" t="s">
        <v>1783</v>
      </c>
      <c r="F859" s="127">
        <v>1760</v>
      </c>
      <c r="G859" s="95" t="s">
        <v>1784</v>
      </c>
      <c r="H859" s="126">
        <v>486</v>
      </c>
      <c r="I859" s="95" t="s">
        <v>1785</v>
      </c>
      <c r="J859" s="126">
        <v>934</v>
      </c>
      <c r="K859" s="95" t="s">
        <v>1786</v>
      </c>
      <c r="L859" s="126">
        <v>99</v>
      </c>
      <c r="M859" s="95" t="s">
        <v>1787</v>
      </c>
      <c r="N859" s="126">
        <v>68</v>
      </c>
    </row>
    <row r="860" spans="1:14" x14ac:dyDescent="0.3">
      <c r="A860" s="98" t="s">
        <v>1788</v>
      </c>
      <c r="B860" s="114" t="s">
        <v>1789</v>
      </c>
      <c r="C860" s="118">
        <v>4.7</v>
      </c>
      <c r="D860" s="139">
        <v>0.35</v>
      </c>
      <c r="E860" s="98" t="s">
        <v>1790</v>
      </c>
      <c r="F860" s="129">
        <v>1480</v>
      </c>
      <c r="G860" s="98" t="s">
        <v>1791</v>
      </c>
      <c r="H860" s="128">
        <v>407</v>
      </c>
      <c r="I860" s="98" t="s">
        <v>1792</v>
      </c>
      <c r="J860" s="128">
        <v>783</v>
      </c>
      <c r="K860" s="98" t="s">
        <v>1793</v>
      </c>
      <c r="L860" s="128">
        <v>83</v>
      </c>
      <c r="M860" s="98" t="s">
        <v>1794</v>
      </c>
      <c r="N860" s="128">
        <v>57</v>
      </c>
    </row>
    <row r="861" spans="1:14" x14ac:dyDescent="0.3">
      <c r="A861" s="95" t="s">
        <v>1795</v>
      </c>
      <c r="B861" s="112" t="s">
        <v>1796</v>
      </c>
      <c r="C861" s="113">
        <v>0.8</v>
      </c>
      <c r="D861" s="138">
        <v>0.3</v>
      </c>
      <c r="E861" s="95" t="s">
        <v>1797</v>
      </c>
      <c r="F861" s="126">
        <v>209</v>
      </c>
      <c r="G861" s="95" t="s">
        <v>1797</v>
      </c>
      <c r="H861" s="126">
        <v>57</v>
      </c>
      <c r="I861" s="95" t="s">
        <v>1798</v>
      </c>
      <c r="J861" s="126">
        <v>66</v>
      </c>
      <c r="K861" s="95" t="s">
        <v>1799</v>
      </c>
      <c r="L861" s="126">
        <v>10</v>
      </c>
      <c r="M861" s="95" t="s">
        <v>1800</v>
      </c>
      <c r="N861" s="126">
        <v>8</v>
      </c>
    </row>
    <row r="862" spans="1:14" x14ac:dyDescent="0.3">
      <c r="A862" s="98" t="s">
        <v>1801</v>
      </c>
      <c r="B862" s="114" t="s">
        <v>1802</v>
      </c>
      <c r="C862" s="118">
        <v>0.8</v>
      </c>
      <c r="D862" s="114" t="s">
        <v>1803</v>
      </c>
      <c r="E862" s="98" t="s">
        <v>1804</v>
      </c>
      <c r="F862" s="128">
        <v>237</v>
      </c>
      <c r="G862" s="98" t="s">
        <v>1804</v>
      </c>
      <c r="H862" s="128">
        <v>65</v>
      </c>
      <c r="I862" s="98" t="s">
        <v>1793</v>
      </c>
      <c r="J862" s="128">
        <v>75</v>
      </c>
      <c r="K862" s="98" t="s">
        <v>1318</v>
      </c>
      <c r="L862" s="128">
        <v>11</v>
      </c>
      <c r="M862" s="98" t="s">
        <v>1805</v>
      </c>
      <c r="N862" s="128">
        <v>9</v>
      </c>
    </row>
    <row r="863" spans="1:14" x14ac:dyDescent="0.3">
      <c r="A863" s="95" t="s">
        <v>1806</v>
      </c>
      <c r="B863" s="112" t="s">
        <v>1807</v>
      </c>
      <c r="C863" s="113">
        <v>0.8</v>
      </c>
      <c r="D863" s="138">
        <v>0.24</v>
      </c>
      <c r="E863" s="95" t="s">
        <v>1808</v>
      </c>
      <c r="F863" s="126">
        <v>163</v>
      </c>
      <c r="G863" s="95" t="s">
        <v>1808</v>
      </c>
      <c r="H863" s="126">
        <v>44</v>
      </c>
      <c r="I863" s="95" t="s">
        <v>1809</v>
      </c>
      <c r="J863" s="126">
        <v>52</v>
      </c>
      <c r="K863" s="95" t="s">
        <v>1810</v>
      </c>
      <c r="L863" s="126">
        <v>8</v>
      </c>
      <c r="M863" s="95" t="s">
        <v>1811</v>
      </c>
      <c r="N863" s="126">
        <v>6</v>
      </c>
    </row>
    <row r="864" spans="1:14" x14ac:dyDescent="0.3">
      <c r="A864" s="98" t="s">
        <v>1812</v>
      </c>
      <c r="B864" s="114" t="s">
        <v>1813</v>
      </c>
      <c r="C864" s="109">
        <v>25</v>
      </c>
      <c r="D864" s="139">
        <v>0.65</v>
      </c>
      <c r="E864" s="98" t="s">
        <v>1814</v>
      </c>
      <c r="F864" s="148">
        <v>11000</v>
      </c>
      <c r="G864" s="98" t="s">
        <v>1815</v>
      </c>
      <c r="H864" s="129">
        <v>5350</v>
      </c>
      <c r="I864" s="98" t="s">
        <v>1816</v>
      </c>
      <c r="J864" s="148">
        <v>10300</v>
      </c>
      <c r="K864" s="98" t="s">
        <v>1187</v>
      </c>
      <c r="L864" s="129">
        <v>4770</v>
      </c>
      <c r="M864" s="98" t="s">
        <v>1817</v>
      </c>
      <c r="N864" s="128">
        <v>1420</v>
      </c>
    </row>
    <row r="865" spans="1:14" x14ac:dyDescent="0.3">
      <c r="A865" s="95" t="s">
        <v>1818</v>
      </c>
      <c r="B865" s="112" t="s">
        <v>1819</v>
      </c>
      <c r="C865" s="106">
        <v>12.9</v>
      </c>
      <c r="D865" s="138">
        <v>0.86</v>
      </c>
      <c r="E865" s="95" t="s">
        <v>1820</v>
      </c>
      <c r="F865" s="127">
        <v>8430</v>
      </c>
      <c r="G865" s="95" t="s">
        <v>1821</v>
      </c>
      <c r="H865" s="127">
        <v>2910</v>
      </c>
      <c r="I865" s="95" t="s">
        <v>1463</v>
      </c>
      <c r="J865" s="127">
        <v>6860</v>
      </c>
      <c r="K865" s="95" t="s">
        <v>1822</v>
      </c>
      <c r="L865" s="127">
        <v>1500</v>
      </c>
      <c r="M865" s="95" t="s">
        <v>1823</v>
      </c>
      <c r="N865" s="126">
        <v>442</v>
      </c>
    </row>
    <row r="866" spans="1:14" x14ac:dyDescent="0.3">
      <c r="A866" s="98" t="s">
        <v>1824</v>
      </c>
      <c r="B866" s="114" t="s">
        <v>1825</v>
      </c>
      <c r="C866" s="118">
        <v>1.9</v>
      </c>
      <c r="D866" s="139">
        <v>0.26</v>
      </c>
      <c r="E866" s="98" t="s">
        <v>1826</v>
      </c>
      <c r="F866" s="128">
        <v>668</v>
      </c>
      <c r="G866" s="98" t="s">
        <v>1826</v>
      </c>
      <c r="H866" s="128">
        <v>182</v>
      </c>
      <c r="I866" s="98" t="s">
        <v>1390</v>
      </c>
      <c r="J866" s="128">
        <v>243</v>
      </c>
      <c r="K866" s="98" t="s">
        <v>1827</v>
      </c>
      <c r="L866" s="128">
        <v>32</v>
      </c>
      <c r="M866" s="98" t="s">
        <v>1010</v>
      </c>
      <c r="N866" s="128">
        <v>25</v>
      </c>
    </row>
    <row r="867" spans="1:14" ht="19.2" x14ac:dyDescent="0.3">
      <c r="A867" s="95" t="s">
        <v>1828</v>
      </c>
      <c r="B867" s="112" t="s">
        <v>1829</v>
      </c>
      <c r="C867" s="106">
        <v>12.9</v>
      </c>
      <c r="D867" s="112" t="s">
        <v>1830</v>
      </c>
      <c r="E867" s="95" t="s">
        <v>1831</v>
      </c>
      <c r="F867" s="127">
        <v>7900</v>
      </c>
      <c r="G867" s="95" t="s">
        <v>1832</v>
      </c>
      <c r="H867" s="127">
        <v>2730</v>
      </c>
      <c r="I867" s="95" t="s">
        <v>1421</v>
      </c>
      <c r="J867" s="127">
        <v>6430</v>
      </c>
      <c r="K867" s="95" t="s">
        <v>1833</v>
      </c>
      <c r="L867" s="127">
        <v>1410</v>
      </c>
      <c r="M867" s="95" t="s">
        <v>1834</v>
      </c>
      <c r="N867" s="126">
        <v>415</v>
      </c>
    </row>
    <row r="868" spans="1:14" ht="19.2" x14ac:dyDescent="0.3">
      <c r="A868" s="98" t="s">
        <v>1835</v>
      </c>
      <c r="B868" s="114" t="s">
        <v>1836</v>
      </c>
      <c r="C868" s="109">
        <v>12.9</v>
      </c>
      <c r="D868" s="114" t="s">
        <v>1837</v>
      </c>
      <c r="E868" s="98" t="s">
        <v>1838</v>
      </c>
      <c r="F868" s="129">
        <v>8270</v>
      </c>
      <c r="G868" s="98" t="s">
        <v>1839</v>
      </c>
      <c r="H868" s="129">
        <v>2850</v>
      </c>
      <c r="I868" s="98" t="s">
        <v>924</v>
      </c>
      <c r="J868" s="129">
        <v>6730</v>
      </c>
      <c r="K868" s="98" t="s">
        <v>1840</v>
      </c>
      <c r="L868" s="129">
        <v>1480</v>
      </c>
      <c r="M868" s="98" t="s">
        <v>1841</v>
      </c>
      <c r="N868" s="128">
        <v>434</v>
      </c>
    </row>
    <row r="869" spans="1:14" x14ac:dyDescent="0.3">
      <c r="A869" s="95" t="s">
        <v>1842</v>
      </c>
      <c r="B869" s="112" t="s">
        <v>1843</v>
      </c>
      <c r="C869" s="106">
        <v>25</v>
      </c>
      <c r="D869" s="112" t="s">
        <v>1844</v>
      </c>
      <c r="E869" s="95" t="s">
        <v>1845</v>
      </c>
      <c r="F869" s="147">
        <v>10900</v>
      </c>
      <c r="G869" s="95" t="s">
        <v>1846</v>
      </c>
      <c r="H869" s="127">
        <v>5300</v>
      </c>
      <c r="I869" s="95" t="s">
        <v>1847</v>
      </c>
      <c r="J869" s="147">
        <v>10200</v>
      </c>
      <c r="K869" s="95" t="s">
        <v>1848</v>
      </c>
      <c r="L869" s="127">
        <v>4730</v>
      </c>
      <c r="M869" s="95" t="s">
        <v>1849</v>
      </c>
      <c r="N869" s="126">
        <v>1400</v>
      </c>
    </row>
    <row r="870" spans="1:14" ht="19.2" x14ac:dyDescent="0.3">
      <c r="A870" s="120" t="s">
        <v>1850</v>
      </c>
      <c r="B870" s="119" t="s">
        <v>1851</v>
      </c>
      <c r="C870" s="157">
        <v>13.5</v>
      </c>
      <c r="D870" s="119" t="s">
        <v>1852</v>
      </c>
      <c r="E870" s="120" t="s">
        <v>1853</v>
      </c>
      <c r="F870" s="153">
        <v>11100</v>
      </c>
      <c r="G870" s="120" t="s">
        <v>1854</v>
      </c>
      <c r="H870" s="152">
        <v>3890</v>
      </c>
      <c r="I870" s="120" t="s">
        <v>1855</v>
      </c>
      <c r="J870" s="152">
        <v>9110</v>
      </c>
      <c r="K870" s="120" t="s">
        <v>1655</v>
      </c>
      <c r="L870" s="152">
        <v>2120</v>
      </c>
      <c r="M870" s="120" t="s">
        <v>1856</v>
      </c>
      <c r="N870" s="158">
        <v>602</v>
      </c>
    </row>
    <row r="871" spans="1:14" x14ac:dyDescent="0.3">
      <c r="A871" s="91" t="s">
        <v>1857</v>
      </c>
      <c r="B871" s="134" t="s">
        <v>1858</v>
      </c>
      <c r="C871" s="124">
        <v>25</v>
      </c>
      <c r="D871" s="134" t="s">
        <v>1859</v>
      </c>
      <c r="E871" s="91" t="s">
        <v>1860</v>
      </c>
      <c r="F871" s="125">
        <v>15100</v>
      </c>
      <c r="G871" s="91" t="s">
        <v>1861</v>
      </c>
      <c r="H871" s="155">
        <v>7330</v>
      </c>
      <c r="I871" s="91" t="s">
        <v>1862</v>
      </c>
      <c r="J871" s="125">
        <v>14100</v>
      </c>
      <c r="K871" s="91" t="s">
        <v>1863</v>
      </c>
      <c r="L871" s="155">
        <v>6530</v>
      </c>
      <c r="M871" s="91" t="s">
        <v>1864</v>
      </c>
      <c r="N871" s="136">
        <v>1940</v>
      </c>
    </row>
    <row r="872" spans="1:14" x14ac:dyDescent="0.3">
      <c r="A872" s="95" t="s">
        <v>1865</v>
      </c>
      <c r="B872" s="112" t="s">
        <v>1866</v>
      </c>
      <c r="C872" s="113">
        <v>0.8</v>
      </c>
      <c r="D872" s="112" t="s">
        <v>1867</v>
      </c>
      <c r="E872" s="95" t="s">
        <v>932</v>
      </c>
      <c r="F872" s="126">
        <v>223</v>
      </c>
      <c r="G872" s="95" t="s">
        <v>932</v>
      </c>
      <c r="H872" s="126">
        <v>61</v>
      </c>
      <c r="I872" s="95" t="s">
        <v>1868</v>
      </c>
      <c r="J872" s="126">
        <v>70</v>
      </c>
      <c r="K872" s="95" t="s">
        <v>1869</v>
      </c>
      <c r="L872" s="126">
        <v>10</v>
      </c>
      <c r="M872" s="95" t="s">
        <v>1870</v>
      </c>
      <c r="N872" s="126">
        <v>8</v>
      </c>
    </row>
    <row r="873" spans="1:14" x14ac:dyDescent="0.3">
      <c r="A873" s="98" t="s">
        <v>1871</v>
      </c>
      <c r="B873" s="114" t="s">
        <v>1872</v>
      </c>
      <c r="C873" s="98" t="s">
        <v>1873</v>
      </c>
      <c r="D873" s="114" t="s">
        <v>1874</v>
      </c>
      <c r="E873" s="98" t="s">
        <v>1875</v>
      </c>
      <c r="F873" s="130" t="s">
        <v>1097</v>
      </c>
      <c r="G873" s="98" t="s">
        <v>1875</v>
      </c>
      <c r="H873" s="130" t="s">
        <v>1097</v>
      </c>
      <c r="I873" s="98" t="s">
        <v>1876</v>
      </c>
      <c r="J873" s="130" t="s">
        <v>1097</v>
      </c>
      <c r="K873" s="98" t="s">
        <v>1877</v>
      </c>
      <c r="L873" s="130" t="s">
        <v>1097</v>
      </c>
      <c r="M873" s="98" t="s">
        <v>1878</v>
      </c>
      <c r="N873" s="130" t="s">
        <v>1097</v>
      </c>
    </row>
    <row r="874" spans="1:14" x14ac:dyDescent="0.3">
      <c r="A874" s="95" t="s">
        <v>1879</v>
      </c>
      <c r="B874" s="112" t="s">
        <v>1880</v>
      </c>
      <c r="C874" s="113">
        <v>6.2</v>
      </c>
      <c r="D874" s="112" t="s">
        <v>1881</v>
      </c>
      <c r="E874" s="95" t="s">
        <v>1882</v>
      </c>
      <c r="F874" s="127">
        <v>3080</v>
      </c>
      <c r="G874" s="95" t="s">
        <v>1883</v>
      </c>
      <c r="H874" s="126">
        <v>871</v>
      </c>
      <c r="I874" s="95" t="s">
        <v>1680</v>
      </c>
      <c r="J874" s="127">
        <v>1880</v>
      </c>
      <c r="K874" s="95" t="s">
        <v>898</v>
      </c>
      <c r="L874" s="126">
        <v>207</v>
      </c>
      <c r="M874" s="95" t="s">
        <v>1884</v>
      </c>
      <c r="N874" s="126">
        <v>122</v>
      </c>
    </row>
    <row r="875" spans="1:14" ht="19.2" x14ac:dyDescent="0.3">
      <c r="A875" s="98" t="s">
        <v>1885</v>
      </c>
      <c r="B875" s="114" t="s">
        <v>1886</v>
      </c>
      <c r="C875" s="118">
        <v>1</v>
      </c>
      <c r="D875" s="114" t="s">
        <v>1887</v>
      </c>
      <c r="E875" s="98" t="s">
        <v>1888</v>
      </c>
      <c r="F875" s="128">
        <v>204</v>
      </c>
      <c r="G875" s="98" t="s">
        <v>1888</v>
      </c>
      <c r="H875" s="128">
        <v>56</v>
      </c>
      <c r="I875" s="98" t="s">
        <v>1746</v>
      </c>
      <c r="J875" s="128">
        <v>66</v>
      </c>
      <c r="K875" s="98" t="s">
        <v>1889</v>
      </c>
      <c r="L875" s="128">
        <v>10</v>
      </c>
      <c r="M875" s="98" t="s">
        <v>1890</v>
      </c>
      <c r="N875" s="128">
        <v>8</v>
      </c>
    </row>
    <row r="876" spans="1:14" x14ac:dyDescent="0.3">
      <c r="A876" s="95" t="s">
        <v>1891</v>
      </c>
      <c r="B876" s="112" t="s">
        <v>1892</v>
      </c>
      <c r="C876" s="95" t="s">
        <v>1893</v>
      </c>
      <c r="D876" s="112" t="s">
        <v>1894</v>
      </c>
      <c r="E876" s="95" t="s">
        <v>1611</v>
      </c>
      <c r="F876" s="126">
        <v>46</v>
      </c>
      <c r="G876" s="95" t="s">
        <v>1611</v>
      </c>
      <c r="H876" s="126">
        <v>13</v>
      </c>
      <c r="I876" s="95" t="s">
        <v>1895</v>
      </c>
      <c r="J876" s="126">
        <v>14</v>
      </c>
      <c r="K876" s="95" t="s">
        <v>1531</v>
      </c>
      <c r="L876" s="126">
        <v>2</v>
      </c>
      <c r="M876" s="95" t="s">
        <v>1896</v>
      </c>
      <c r="N876" s="126">
        <v>2</v>
      </c>
    </row>
    <row r="877" spans="1:14" x14ac:dyDescent="0.3">
      <c r="A877" s="98" t="s">
        <v>1897</v>
      </c>
      <c r="B877" s="114" t="s">
        <v>1898</v>
      </c>
      <c r="C877" s="118">
        <v>1.1000000000000001</v>
      </c>
      <c r="D877" s="114" t="s">
        <v>1899</v>
      </c>
      <c r="E877" s="98" t="s">
        <v>1179</v>
      </c>
      <c r="F877" s="128">
        <v>528</v>
      </c>
      <c r="G877" s="98" t="s">
        <v>1179</v>
      </c>
      <c r="H877" s="128">
        <v>144</v>
      </c>
      <c r="I877" s="98" t="s">
        <v>1900</v>
      </c>
      <c r="J877" s="128">
        <v>173</v>
      </c>
      <c r="K877" s="98" t="s">
        <v>1901</v>
      </c>
      <c r="L877" s="128">
        <v>25</v>
      </c>
      <c r="M877" s="98" t="s">
        <v>1902</v>
      </c>
      <c r="N877" s="128">
        <v>20</v>
      </c>
    </row>
    <row r="878" spans="1:14" x14ac:dyDescent="0.3">
      <c r="A878" s="95" t="s">
        <v>1903</v>
      </c>
      <c r="B878" s="112" t="s">
        <v>1904</v>
      </c>
      <c r="C878" s="113">
        <v>0.9</v>
      </c>
      <c r="D878" s="112" t="s">
        <v>1905</v>
      </c>
      <c r="E878" s="95" t="s">
        <v>1906</v>
      </c>
      <c r="F878" s="126">
        <v>479</v>
      </c>
      <c r="G878" s="95" t="s">
        <v>1906</v>
      </c>
      <c r="H878" s="126">
        <v>130</v>
      </c>
      <c r="I878" s="95" t="s">
        <v>1907</v>
      </c>
      <c r="J878" s="126">
        <v>153</v>
      </c>
      <c r="K878" s="95" t="s">
        <v>1265</v>
      </c>
      <c r="L878" s="126">
        <v>22</v>
      </c>
      <c r="M878" s="95" t="s">
        <v>1908</v>
      </c>
      <c r="N878" s="126">
        <v>18</v>
      </c>
    </row>
    <row r="879" spans="1:14" x14ac:dyDescent="0.3">
      <c r="A879" s="98" t="s">
        <v>1909</v>
      </c>
      <c r="B879" s="114" t="s">
        <v>1910</v>
      </c>
      <c r="C879" s="118">
        <v>3.3</v>
      </c>
      <c r="D879" s="114" t="s">
        <v>1911</v>
      </c>
      <c r="E879" s="98" t="s">
        <v>1751</v>
      </c>
      <c r="F879" s="129">
        <v>2260</v>
      </c>
      <c r="G879" s="98" t="s">
        <v>1912</v>
      </c>
      <c r="H879" s="128">
        <v>617</v>
      </c>
      <c r="I879" s="98" t="s">
        <v>1913</v>
      </c>
      <c r="J879" s="129">
        <v>1010</v>
      </c>
      <c r="K879" s="98" t="s">
        <v>1914</v>
      </c>
      <c r="L879" s="128">
        <v>115</v>
      </c>
      <c r="M879" s="98" t="s">
        <v>1915</v>
      </c>
      <c r="N879" s="128">
        <v>86</v>
      </c>
    </row>
    <row r="880" spans="1:14" x14ac:dyDescent="0.3">
      <c r="A880" s="95" t="s">
        <v>1916</v>
      </c>
      <c r="B880" s="112" t="s">
        <v>1917</v>
      </c>
      <c r="C880" s="113">
        <v>4.4000000000000004</v>
      </c>
      <c r="D880" s="112" t="s">
        <v>1918</v>
      </c>
      <c r="E880" s="95" t="s">
        <v>1919</v>
      </c>
      <c r="F880" s="127">
        <v>2730</v>
      </c>
      <c r="G880" s="95" t="s">
        <v>1920</v>
      </c>
      <c r="H880" s="126">
        <v>751</v>
      </c>
      <c r="I880" s="95" t="s">
        <v>1921</v>
      </c>
      <c r="J880" s="127">
        <v>1400</v>
      </c>
      <c r="K880" s="95" t="s">
        <v>1922</v>
      </c>
      <c r="L880" s="126">
        <v>150</v>
      </c>
      <c r="M880" s="95" t="s">
        <v>1572</v>
      </c>
      <c r="N880" s="126">
        <v>105</v>
      </c>
    </row>
    <row r="881" spans="1:14" x14ac:dyDescent="0.3">
      <c r="A881" s="98" t="s">
        <v>1923</v>
      </c>
      <c r="B881" s="114" t="s">
        <v>1924</v>
      </c>
      <c r="C881" s="118">
        <v>2</v>
      </c>
      <c r="D881" s="139">
        <v>0.28999999999999998</v>
      </c>
      <c r="E881" s="98" t="s">
        <v>1925</v>
      </c>
      <c r="F881" s="128">
        <v>815</v>
      </c>
      <c r="G881" s="98" t="s">
        <v>1925</v>
      </c>
      <c r="H881" s="128">
        <v>222</v>
      </c>
      <c r="I881" s="98" t="s">
        <v>1667</v>
      </c>
      <c r="J881" s="128">
        <v>301</v>
      </c>
      <c r="K881" s="98" t="s">
        <v>1926</v>
      </c>
      <c r="L881" s="128">
        <v>39</v>
      </c>
      <c r="M881" s="98" t="s">
        <v>1927</v>
      </c>
      <c r="N881" s="128">
        <v>31</v>
      </c>
    </row>
    <row r="882" spans="1:14" x14ac:dyDescent="0.3">
      <c r="A882" s="95" t="s">
        <v>1928</v>
      </c>
      <c r="B882" s="112" t="s">
        <v>1929</v>
      </c>
      <c r="C882" s="113">
        <v>2</v>
      </c>
      <c r="D882" s="138">
        <v>0.56000000000000005</v>
      </c>
      <c r="E882" s="95" t="s">
        <v>1152</v>
      </c>
      <c r="F882" s="126">
        <v>868</v>
      </c>
      <c r="G882" s="95" t="s">
        <v>1152</v>
      </c>
      <c r="H882" s="126">
        <v>236</v>
      </c>
      <c r="I882" s="95" t="s">
        <v>1930</v>
      </c>
      <c r="J882" s="126">
        <v>320</v>
      </c>
      <c r="K882" s="95" t="s">
        <v>1931</v>
      </c>
      <c r="L882" s="126">
        <v>42</v>
      </c>
      <c r="M882" s="95" t="s">
        <v>1155</v>
      </c>
      <c r="N882" s="126">
        <v>33</v>
      </c>
    </row>
    <row r="883" spans="1:14" x14ac:dyDescent="0.3">
      <c r="A883" s="98" t="s">
        <v>1932</v>
      </c>
      <c r="B883" s="114" t="s">
        <v>1933</v>
      </c>
      <c r="C883" s="118">
        <v>2</v>
      </c>
      <c r="D883" s="139">
        <v>0.76</v>
      </c>
      <c r="E883" s="98" t="s">
        <v>1925</v>
      </c>
      <c r="F883" s="128">
        <v>812</v>
      </c>
      <c r="G883" s="98" t="s">
        <v>1925</v>
      </c>
      <c r="H883" s="128">
        <v>221</v>
      </c>
      <c r="I883" s="98" t="s">
        <v>1934</v>
      </c>
      <c r="J883" s="128">
        <v>299</v>
      </c>
      <c r="K883" s="98" t="s">
        <v>1935</v>
      </c>
      <c r="L883" s="128">
        <v>39</v>
      </c>
      <c r="M883" s="98" t="s">
        <v>1936</v>
      </c>
      <c r="N883" s="128">
        <v>31</v>
      </c>
    </row>
    <row r="884" spans="1:14" x14ac:dyDescent="0.3">
      <c r="A884" s="95" t="s">
        <v>1937</v>
      </c>
      <c r="B884" s="112" t="s">
        <v>1938</v>
      </c>
      <c r="C884" s="106">
        <v>40</v>
      </c>
      <c r="D884" s="138">
        <v>0.48</v>
      </c>
      <c r="E884" s="95" t="s">
        <v>1939</v>
      </c>
      <c r="F884" s="127">
        <v>7170</v>
      </c>
      <c r="G884" s="95" t="s">
        <v>1940</v>
      </c>
      <c r="H884" s="127">
        <v>4550</v>
      </c>
      <c r="I884" s="95" t="s">
        <v>1941</v>
      </c>
      <c r="J884" s="127">
        <v>7090</v>
      </c>
      <c r="K884" s="95" t="s">
        <v>1942</v>
      </c>
      <c r="L884" s="127">
        <v>4690</v>
      </c>
      <c r="M884" s="95" t="s">
        <v>1310</v>
      </c>
      <c r="N884" s="126">
        <v>2040</v>
      </c>
    </row>
    <row r="885" spans="1:14" x14ac:dyDescent="0.3">
      <c r="A885" s="98" t="s">
        <v>1943</v>
      </c>
      <c r="B885" s="114" t="s">
        <v>1944</v>
      </c>
      <c r="C885" s="98" t="s">
        <v>1945</v>
      </c>
      <c r="D885" s="139">
        <v>0.06</v>
      </c>
      <c r="E885" s="98" t="s">
        <v>1946</v>
      </c>
      <c r="F885" s="128">
        <v>2</v>
      </c>
      <c r="G885" s="98" t="s">
        <v>1946</v>
      </c>
      <c r="H885" s="130" t="s">
        <v>1097</v>
      </c>
      <c r="I885" s="98" t="s">
        <v>1947</v>
      </c>
      <c r="J885" s="130" t="s">
        <v>1097</v>
      </c>
      <c r="K885" s="98" t="s">
        <v>1948</v>
      </c>
      <c r="L885" s="130" t="s">
        <v>1097</v>
      </c>
      <c r="M885" s="98" t="s">
        <v>1949</v>
      </c>
      <c r="N885" s="130" t="s">
        <v>1097</v>
      </c>
    </row>
    <row r="886" spans="1:14" x14ac:dyDescent="0.3">
      <c r="A886" s="95" t="s">
        <v>1950</v>
      </c>
      <c r="B886" s="112" t="s">
        <v>1951</v>
      </c>
      <c r="C886" s="95" t="s">
        <v>1945</v>
      </c>
      <c r="D886" s="138">
        <v>7.0000000000000007E-2</v>
      </c>
      <c r="E886" s="95" t="s">
        <v>1952</v>
      </c>
      <c r="F886" s="126">
        <v>1</v>
      </c>
      <c r="G886" s="95" t="s">
        <v>1952</v>
      </c>
      <c r="H886" s="131" t="s">
        <v>1097</v>
      </c>
      <c r="I886" s="95" t="s">
        <v>1953</v>
      </c>
      <c r="J886" s="131" t="s">
        <v>1097</v>
      </c>
      <c r="K886" s="95" t="s">
        <v>1954</v>
      </c>
      <c r="L886" s="131" t="s">
        <v>1097</v>
      </c>
      <c r="M886" s="95" t="s">
        <v>1955</v>
      </c>
      <c r="N886" s="131" t="s">
        <v>1097</v>
      </c>
    </row>
    <row r="887" spans="1:14" ht="19.2" x14ac:dyDescent="0.3">
      <c r="A887" s="114" t="s">
        <v>1956</v>
      </c>
      <c r="B887" s="114" t="s">
        <v>1957</v>
      </c>
      <c r="C887" s="98" t="s">
        <v>1945</v>
      </c>
      <c r="D887" s="139">
        <v>0.05</v>
      </c>
      <c r="E887" s="98" t="s">
        <v>1958</v>
      </c>
      <c r="F887" s="130" t="s">
        <v>1097</v>
      </c>
      <c r="G887" s="98" t="s">
        <v>1958</v>
      </c>
      <c r="H887" s="130" t="s">
        <v>1097</v>
      </c>
      <c r="I887" s="98" t="s">
        <v>1630</v>
      </c>
      <c r="J887" s="130" t="s">
        <v>1097</v>
      </c>
      <c r="K887" s="98" t="s">
        <v>1959</v>
      </c>
      <c r="L887" s="130" t="s">
        <v>1097</v>
      </c>
      <c r="M887" s="98" t="s">
        <v>1960</v>
      </c>
      <c r="N887" s="130" t="s">
        <v>1097</v>
      </c>
    </row>
    <row r="888" spans="1:14" x14ac:dyDescent="0.3">
      <c r="A888" s="95" t="s">
        <v>1961</v>
      </c>
      <c r="B888" s="112" t="s">
        <v>1962</v>
      </c>
      <c r="C888" s="113">
        <v>1.4</v>
      </c>
      <c r="D888" s="138">
        <v>0.21</v>
      </c>
      <c r="E888" s="95" t="s">
        <v>1963</v>
      </c>
      <c r="F888" s="126">
        <v>449</v>
      </c>
      <c r="G888" s="95" t="s">
        <v>1963</v>
      </c>
      <c r="H888" s="126">
        <v>122</v>
      </c>
      <c r="I888" s="95" t="s">
        <v>1907</v>
      </c>
      <c r="J888" s="126">
        <v>153</v>
      </c>
      <c r="K888" s="95" t="s">
        <v>1044</v>
      </c>
      <c r="L888" s="126">
        <v>21</v>
      </c>
      <c r="M888" s="95" t="s">
        <v>1964</v>
      </c>
      <c r="N888" s="126">
        <v>17</v>
      </c>
    </row>
    <row r="889" spans="1:14" ht="19.2" x14ac:dyDescent="0.3">
      <c r="A889" s="98" t="s">
        <v>1965</v>
      </c>
      <c r="B889" s="114" t="s">
        <v>1966</v>
      </c>
      <c r="C889" s="109">
        <v>800</v>
      </c>
      <c r="D889" s="139">
        <v>0.65</v>
      </c>
      <c r="E889" s="98" t="s">
        <v>1967</v>
      </c>
      <c r="F889" s="129">
        <v>7500</v>
      </c>
      <c r="G889" s="98" t="s">
        <v>1968</v>
      </c>
      <c r="H889" s="129">
        <v>9710</v>
      </c>
      <c r="I889" s="98" t="s">
        <v>1969</v>
      </c>
      <c r="J889" s="129">
        <v>8070</v>
      </c>
      <c r="K889" s="98" t="s">
        <v>1970</v>
      </c>
      <c r="L889" s="129">
        <v>9910</v>
      </c>
      <c r="M889" s="98" t="s">
        <v>1558</v>
      </c>
      <c r="N889" s="148">
        <v>11300</v>
      </c>
    </row>
    <row r="890" spans="1:14" x14ac:dyDescent="0.3">
      <c r="A890" s="95" t="s">
        <v>1971</v>
      </c>
      <c r="B890" s="112" t="s">
        <v>1972</v>
      </c>
      <c r="C890" s="95" t="s">
        <v>1973</v>
      </c>
      <c r="D890" s="138">
        <v>0.02</v>
      </c>
      <c r="E890" s="95" t="s">
        <v>1974</v>
      </c>
      <c r="F890" s="131" t="s">
        <v>1097</v>
      </c>
      <c r="G890" s="95" t="s">
        <v>1974</v>
      </c>
      <c r="H890" s="131" t="s">
        <v>1097</v>
      </c>
      <c r="I890" s="95" t="s">
        <v>1975</v>
      </c>
      <c r="J890" s="131" t="s">
        <v>1097</v>
      </c>
      <c r="K890" s="95" t="s">
        <v>1976</v>
      </c>
      <c r="L890" s="131" t="s">
        <v>1097</v>
      </c>
      <c r="M890" s="95" t="s">
        <v>1977</v>
      </c>
      <c r="N890" s="131" t="s">
        <v>1097</v>
      </c>
    </row>
    <row r="891" spans="1:14" x14ac:dyDescent="0.3">
      <c r="A891" s="98" t="s">
        <v>1978</v>
      </c>
      <c r="B891" s="114" t="s">
        <v>1979</v>
      </c>
      <c r="C891" s="118">
        <v>3.5</v>
      </c>
      <c r="D891" s="114" t="s">
        <v>1980</v>
      </c>
      <c r="E891" s="98" t="s">
        <v>1981</v>
      </c>
      <c r="F891" s="129">
        <v>2150</v>
      </c>
      <c r="G891" s="98" t="s">
        <v>1982</v>
      </c>
      <c r="H891" s="128">
        <v>588</v>
      </c>
      <c r="I891" s="98" t="s">
        <v>1983</v>
      </c>
      <c r="J891" s="128">
        <v>984</v>
      </c>
      <c r="K891" s="98" t="s">
        <v>1984</v>
      </c>
      <c r="L891" s="128">
        <v>111</v>
      </c>
      <c r="M891" s="98" t="s">
        <v>1985</v>
      </c>
      <c r="N891" s="128">
        <v>82</v>
      </c>
    </row>
    <row r="892" spans="1:14" x14ac:dyDescent="0.3">
      <c r="A892" s="95" t="s">
        <v>1986</v>
      </c>
      <c r="B892" s="112" t="s">
        <v>1987</v>
      </c>
      <c r="C892" s="113">
        <v>3.5</v>
      </c>
      <c r="D892" s="112" t="s">
        <v>1988</v>
      </c>
      <c r="E892" s="95" t="s">
        <v>1563</v>
      </c>
      <c r="F892" s="127">
        <v>2130</v>
      </c>
      <c r="G892" s="95" t="s">
        <v>1989</v>
      </c>
      <c r="H892" s="126">
        <v>580</v>
      </c>
      <c r="I892" s="95" t="s">
        <v>1990</v>
      </c>
      <c r="J892" s="126">
        <v>971</v>
      </c>
      <c r="K892" s="95" t="s">
        <v>1991</v>
      </c>
      <c r="L892" s="126">
        <v>110</v>
      </c>
      <c r="M892" s="95" t="s">
        <v>1992</v>
      </c>
      <c r="N892" s="126">
        <v>81</v>
      </c>
    </row>
    <row r="893" spans="1:14" x14ac:dyDescent="0.3">
      <c r="A893" s="98" t="s">
        <v>1993</v>
      </c>
      <c r="B893" s="114" t="s">
        <v>1994</v>
      </c>
      <c r="C893" s="118">
        <v>2.6</v>
      </c>
      <c r="D893" s="114" t="s">
        <v>1995</v>
      </c>
      <c r="E893" s="98" t="s">
        <v>1346</v>
      </c>
      <c r="F893" s="129">
        <v>1380</v>
      </c>
      <c r="G893" s="98" t="s">
        <v>1346</v>
      </c>
      <c r="H893" s="128">
        <v>376</v>
      </c>
      <c r="I893" s="98" t="s">
        <v>1996</v>
      </c>
      <c r="J893" s="128">
        <v>555</v>
      </c>
      <c r="K893" s="98" t="s">
        <v>1997</v>
      </c>
      <c r="L893" s="128">
        <v>68</v>
      </c>
      <c r="M893" s="98" t="s">
        <v>1998</v>
      </c>
      <c r="N893" s="128">
        <v>52</v>
      </c>
    </row>
    <row r="894" spans="1:14" x14ac:dyDescent="0.3">
      <c r="A894" s="95" t="s">
        <v>1999</v>
      </c>
      <c r="B894" s="112" t="s">
        <v>2000</v>
      </c>
      <c r="C894" s="113">
        <v>3</v>
      </c>
      <c r="D894" s="112" t="s">
        <v>2001</v>
      </c>
      <c r="E894" s="95" t="s">
        <v>2002</v>
      </c>
      <c r="F894" s="127">
        <v>1440</v>
      </c>
      <c r="G894" s="95" t="s">
        <v>2002</v>
      </c>
      <c r="H894" s="126">
        <v>392</v>
      </c>
      <c r="I894" s="95" t="s">
        <v>2003</v>
      </c>
      <c r="J894" s="126">
        <v>613</v>
      </c>
      <c r="K894" s="95" t="s">
        <v>2004</v>
      </c>
      <c r="L894" s="126">
        <v>72</v>
      </c>
      <c r="M894" s="95" t="s">
        <v>2005</v>
      </c>
      <c r="N894" s="126">
        <v>54</v>
      </c>
    </row>
    <row r="895" spans="1:14" x14ac:dyDescent="0.3">
      <c r="A895" s="98" t="s">
        <v>2006</v>
      </c>
      <c r="B895" s="114" t="s">
        <v>2007</v>
      </c>
      <c r="C895" s="118">
        <v>0.4</v>
      </c>
      <c r="D895" s="114" t="s">
        <v>2008</v>
      </c>
      <c r="E895" s="98" t="s">
        <v>2009</v>
      </c>
      <c r="F895" s="128">
        <v>123</v>
      </c>
      <c r="G895" s="98" t="s">
        <v>2009</v>
      </c>
      <c r="H895" s="128">
        <v>33</v>
      </c>
      <c r="I895" s="98" t="s">
        <v>2010</v>
      </c>
      <c r="J895" s="128">
        <v>37</v>
      </c>
      <c r="K895" s="98" t="s">
        <v>2011</v>
      </c>
      <c r="L895" s="128">
        <v>6</v>
      </c>
      <c r="M895" s="98" t="s">
        <v>2012</v>
      </c>
      <c r="N895" s="128">
        <v>5</v>
      </c>
    </row>
    <row r="896" spans="1:14" x14ac:dyDescent="0.3">
      <c r="A896" s="95" t="s">
        <v>2013</v>
      </c>
      <c r="B896" s="112" t="s">
        <v>2014</v>
      </c>
      <c r="C896" s="113">
        <v>0.3</v>
      </c>
      <c r="D896" s="112" t="s">
        <v>2015</v>
      </c>
      <c r="E896" s="95" t="s">
        <v>2016</v>
      </c>
      <c r="F896" s="126">
        <v>64</v>
      </c>
      <c r="G896" s="95" t="s">
        <v>2016</v>
      </c>
      <c r="H896" s="126">
        <v>17</v>
      </c>
      <c r="I896" s="95" t="s">
        <v>1044</v>
      </c>
      <c r="J896" s="126">
        <v>19</v>
      </c>
      <c r="K896" s="95" t="s">
        <v>2017</v>
      </c>
      <c r="L896" s="126">
        <v>3</v>
      </c>
      <c r="M896" s="95" t="s">
        <v>2018</v>
      </c>
      <c r="N896" s="126">
        <v>2</v>
      </c>
    </row>
    <row r="897" spans="1:14" x14ac:dyDescent="0.3">
      <c r="A897" s="98" t="s">
        <v>2019</v>
      </c>
      <c r="B897" s="114" t="s">
        <v>2020</v>
      </c>
      <c r="C897" s="118">
        <v>3.2</v>
      </c>
      <c r="D897" s="114" t="s">
        <v>1803</v>
      </c>
      <c r="E897" s="98" t="s">
        <v>2021</v>
      </c>
      <c r="F897" s="129">
        <v>1720</v>
      </c>
      <c r="G897" s="98" t="s">
        <v>2022</v>
      </c>
      <c r="H897" s="128">
        <v>470</v>
      </c>
      <c r="I897" s="98" t="s">
        <v>1347</v>
      </c>
      <c r="J897" s="128">
        <v>755</v>
      </c>
      <c r="K897" s="98" t="s">
        <v>2023</v>
      </c>
      <c r="L897" s="128">
        <v>87</v>
      </c>
      <c r="M897" s="98" t="s">
        <v>1640</v>
      </c>
      <c r="N897" s="128">
        <v>65</v>
      </c>
    </row>
    <row r="898" spans="1:14" x14ac:dyDescent="0.3">
      <c r="A898" s="95" t="s">
        <v>2024</v>
      </c>
      <c r="B898" s="112" t="s">
        <v>2025</v>
      </c>
      <c r="C898" s="113">
        <v>3.2</v>
      </c>
      <c r="D898" s="112" t="s">
        <v>2026</v>
      </c>
      <c r="E898" s="95" t="s">
        <v>2027</v>
      </c>
      <c r="F898" s="127">
        <v>1220</v>
      </c>
      <c r="G898" s="95" t="s">
        <v>2027</v>
      </c>
      <c r="H898" s="126">
        <v>333</v>
      </c>
      <c r="I898" s="95" t="s">
        <v>2028</v>
      </c>
      <c r="J898" s="126">
        <v>535</v>
      </c>
      <c r="K898" s="95" t="s">
        <v>2029</v>
      </c>
      <c r="L898" s="126">
        <v>62</v>
      </c>
      <c r="M898" s="95" t="s">
        <v>2030</v>
      </c>
      <c r="N898" s="126">
        <v>46</v>
      </c>
    </row>
    <row r="899" spans="1:14" x14ac:dyDescent="0.3">
      <c r="A899" s="98" t="s">
        <v>2031</v>
      </c>
      <c r="B899" s="114" t="s">
        <v>2032</v>
      </c>
      <c r="C899" s="98" t="s">
        <v>2033</v>
      </c>
      <c r="D899" s="114" t="s">
        <v>2034</v>
      </c>
      <c r="E899" s="98" t="s">
        <v>2035</v>
      </c>
      <c r="F899" s="128">
        <v>6</v>
      </c>
      <c r="G899" s="98" t="s">
        <v>2035</v>
      </c>
      <c r="H899" s="128">
        <v>2</v>
      </c>
      <c r="I899" s="98" t="s">
        <v>2036</v>
      </c>
      <c r="J899" s="128">
        <v>2</v>
      </c>
      <c r="K899" s="98" t="s">
        <v>2037</v>
      </c>
      <c r="L899" s="130" t="s">
        <v>1097</v>
      </c>
      <c r="M899" s="98" t="s">
        <v>2038</v>
      </c>
      <c r="N899" s="130" t="s">
        <v>1097</v>
      </c>
    </row>
    <row r="900" spans="1:14" x14ac:dyDescent="0.3">
      <c r="A900" s="95" t="s">
        <v>2039</v>
      </c>
      <c r="B900" s="112" t="s">
        <v>2040</v>
      </c>
      <c r="C900" s="95" t="s">
        <v>2033</v>
      </c>
      <c r="D900" s="112" t="s">
        <v>2041</v>
      </c>
      <c r="E900" s="95" t="s">
        <v>2042</v>
      </c>
      <c r="F900" s="126">
        <v>6</v>
      </c>
      <c r="G900" s="95" t="s">
        <v>2042</v>
      </c>
      <c r="H900" s="126">
        <v>2</v>
      </c>
      <c r="I900" s="95" t="s">
        <v>2043</v>
      </c>
      <c r="J900" s="126">
        <v>2</v>
      </c>
      <c r="K900" s="95" t="s">
        <v>1337</v>
      </c>
      <c r="L900" s="131" t="s">
        <v>1097</v>
      </c>
      <c r="M900" s="95" t="s">
        <v>2044</v>
      </c>
      <c r="N900" s="131" t="s">
        <v>1097</v>
      </c>
    </row>
    <row r="901" spans="1:14" x14ac:dyDescent="0.3">
      <c r="A901" s="98" t="s">
        <v>2045</v>
      </c>
      <c r="B901" s="114" t="s">
        <v>2046</v>
      </c>
      <c r="C901" s="98" t="s">
        <v>2033</v>
      </c>
      <c r="D901" s="114" t="s">
        <v>2047</v>
      </c>
      <c r="E901" s="98" t="s">
        <v>896</v>
      </c>
      <c r="F901" s="128">
        <v>8</v>
      </c>
      <c r="G901" s="98" t="s">
        <v>896</v>
      </c>
      <c r="H901" s="128">
        <v>2</v>
      </c>
      <c r="I901" s="98" t="s">
        <v>2048</v>
      </c>
      <c r="J901" s="128">
        <v>2</v>
      </c>
      <c r="K901" s="98" t="s">
        <v>2049</v>
      </c>
      <c r="L901" s="130" t="s">
        <v>1097</v>
      </c>
      <c r="M901" s="98" t="s">
        <v>2050</v>
      </c>
      <c r="N901" s="130" t="s">
        <v>1097</v>
      </c>
    </row>
    <row r="902" spans="1:14" x14ac:dyDescent="0.3">
      <c r="A902" s="101" t="s">
        <v>2051</v>
      </c>
      <c r="B902" s="115" t="s">
        <v>2052</v>
      </c>
      <c r="C902" s="101" t="s">
        <v>2033</v>
      </c>
      <c r="D902" s="115" t="s">
        <v>2053</v>
      </c>
      <c r="E902" s="101" t="s">
        <v>2054</v>
      </c>
      <c r="F902" s="132">
        <v>8</v>
      </c>
      <c r="G902" s="101" t="s">
        <v>2054</v>
      </c>
      <c r="H902" s="132">
        <v>2</v>
      </c>
      <c r="I902" s="101" t="s">
        <v>2055</v>
      </c>
      <c r="J902" s="132">
        <v>2</v>
      </c>
      <c r="K902" s="101" t="s">
        <v>2056</v>
      </c>
      <c r="L902" s="133" t="s">
        <v>1097</v>
      </c>
      <c r="M902" s="101" t="s">
        <v>2057</v>
      </c>
      <c r="N902" s="133" t="s">
        <v>1097</v>
      </c>
    </row>
    <row r="903" spans="1:14" x14ac:dyDescent="0.3">
      <c r="A903" s="91" t="s">
        <v>2058</v>
      </c>
      <c r="B903" s="134" t="s">
        <v>2059</v>
      </c>
      <c r="C903" s="104">
        <v>1.8</v>
      </c>
      <c r="D903" s="134" t="s">
        <v>2053</v>
      </c>
      <c r="E903" s="91" t="s">
        <v>2060</v>
      </c>
      <c r="F903" s="136">
        <v>350</v>
      </c>
      <c r="G903" s="91" t="s">
        <v>2060</v>
      </c>
      <c r="H903" s="136">
        <v>95</v>
      </c>
      <c r="I903" s="91" t="s">
        <v>2061</v>
      </c>
      <c r="J903" s="136">
        <v>126</v>
      </c>
      <c r="K903" s="91" t="s">
        <v>2062</v>
      </c>
      <c r="L903" s="136">
        <v>17</v>
      </c>
      <c r="M903" s="91" t="s">
        <v>2063</v>
      </c>
      <c r="N903" s="136">
        <v>13</v>
      </c>
    </row>
    <row r="904" spans="1:14" x14ac:dyDescent="0.3">
      <c r="A904" s="95" t="s">
        <v>2064</v>
      </c>
      <c r="B904" s="112" t="s">
        <v>2065</v>
      </c>
      <c r="C904" s="113">
        <v>0.3</v>
      </c>
      <c r="D904" s="112" t="s">
        <v>2066</v>
      </c>
      <c r="E904" s="95" t="s">
        <v>2067</v>
      </c>
      <c r="F904" s="126">
        <v>99</v>
      </c>
      <c r="G904" s="95" t="s">
        <v>2067</v>
      </c>
      <c r="H904" s="126">
        <v>27</v>
      </c>
      <c r="I904" s="95" t="s">
        <v>2068</v>
      </c>
      <c r="J904" s="126">
        <v>30</v>
      </c>
      <c r="K904" s="95" t="s">
        <v>2069</v>
      </c>
      <c r="L904" s="126">
        <v>5</v>
      </c>
      <c r="M904" s="95" t="s">
        <v>2070</v>
      </c>
      <c r="N904" s="126">
        <v>4</v>
      </c>
    </row>
    <row r="905" spans="1:14" x14ac:dyDescent="0.3">
      <c r="A905" s="98" t="s">
        <v>2071</v>
      </c>
      <c r="B905" s="114" t="s">
        <v>2072</v>
      </c>
      <c r="C905" s="118">
        <v>0.3</v>
      </c>
      <c r="D905" s="114" t="s">
        <v>2073</v>
      </c>
      <c r="E905" s="98" t="s">
        <v>2074</v>
      </c>
      <c r="F905" s="128">
        <v>113</v>
      </c>
      <c r="G905" s="98" t="s">
        <v>2074</v>
      </c>
      <c r="H905" s="128">
        <v>31</v>
      </c>
      <c r="I905" s="98" t="s">
        <v>2075</v>
      </c>
      <c r="J905" s="128">
        <v>34</v>
      </c>
      <c r="K905" s="98" t="s">
        <v>2076</v>
      </c>
      <c r="L905" s="128">
        <v>5</v>
      </c>
      <c r="M905" s="98" t="s">
        <v>2077</v>
      </c>
      <c r="N905" s="128">
        <v>4</v>
      </c>
    </row>
    <row r="906" spans="1:14" x14ac:dyDescent="0.3">
      <c r="A906" s="95" t="s">
        <v>2078</v>
      </c>
      <c r="B906" s="112" t="s">
        <v>2079</v>
      </c>
      <c r="C906" s="95" t="s">
        <v>2033</v>
      </c>
      <c r="D906" s="112" t="s">
        <v>2080</v>
      </c>
      <c r="E906" s="95" t="s">
        <v>2081</v>
      </c>
      <c r="F906" s="126">
        <v>5</v>
      </c>
      <c r="G906" s="95" t="s">
        <v>2081</v>
      </c>
      <c r="H906" s="126">
        <v>1</v>
      </c>
      <c r="I906" s="95" t="s">
        <v>2082</v>
      </c>
      <c r="J906" s="126">
        <v>1</v>
      </c>
      <c r="K906" s="95" t="s">
        <v>2083</v>
      </c>
      <c r="L906" s="131" t="s">
        <v>1097</v>
      </c>
      <c r="M906" s="95" t="s">
        <v>2084</v>
      </c>
      <c r="N906" s="131" t="s">
        <v>1097</v>
      </c>
    </row>
    <row r="907" spans="1:14" x14ac:dyDescent="0.3">
      <c r="A907" s="98" t="s">
        <v>2085</v>
      </c>
      <c r="B907" s="114" t="s">
        <v>2086</v>
      </c>
      <c r="C907" s="98" t="s">
        <v>2087</v>
      </c>
      <c r="D907" s="114" t="s">
        <v>2088</v>
      </c>
      <c r="E907" s="98" t="s">
        <v>2089</v>
      </c>
      <c r="F907" s="128">
        <v>25</v>
      </c>
      <c r="G907" s="98" t="s">
        <v>2089</v>
      </c>
      <c r="H907" s="128">
        <v>7</v>
      </c>
      <c r="I907" s="98" t="s">
        <v>2090</v>
      </c>
      <c r="J907" s="128">
        <v>7</v>
      </c>
      <c r="K907" s="98" t="s">
        <v>2091</v>
      </c>
      <c r="L907" s="128">
        <v>1</v>
      </c>
      <c r="M907" s="98" t="s">
        <v>2092</v>
      </c>
      <c r="N907" s="130" t="s">
        <v>1097</v>
      </c>
    </row>
    <row r="908" spans="1:14" x14ac:dyDescent="0.3">
      <c r="A908" s="95" t="s">
        <v>2093</v>
      </c>
      <c r="B908" s="112" t="s">
        <v>2094</v>
      </c>
      <c r="C908" s="113">
        <v>0.6</v>
      </c>
      <c r="D908" s="112" t="s">
        <v>2095</v>
      </c>
      <c r="E908" s="95" t="s">
        <v>2096</v>
      </c>
      <c r="F908" s="126">
        <v>192</v>
      </c>
      <c r="G908" s="95" t="s">
        <v>2096</v>
      </c>
      <c r="H908" s="126">
        <v>52</v>
      </c>
      <c r="I908" s="95" t="s">
        <v>2097</v>
      </c>
      <c r="J908" s="126">
        <v>60</v>
      </c>
      <c r="K908" s="95" t="s">
        <v>2098</v>
      </c>
      <c r="L908" s="126">
        <v>9</v>
      </c>
      <c r="M908" s="95" t="s">
        <v>2099</v>
      </c>
      <c r="N908" s="126">
        <v>7</v>
      </c>
    </row>
    <row r="909" spans="1:14" x14ac:dyDescent="0.3">
      <c r="A909" s="98" t="s">
        <v>2100</v>
      </c>
      <c r="B909" s="114" t="s">
        <v>2101</v>
      </c>
      <c r="C909" s="98" t="s">
        <v>2102</v>
      </c>
      <c r="D909" s="114" t="s">
        <v>2080</v>
      </c>
      <c r="E909" s="98" t="s">
        <v>2103</v>
      </c>
      <c r="F909" s="128">
        <v>12</v>
      </c>
      <c r="G909" s="98" t="s">
        <v>2103</v>
      </c>
      <c r="H909" s="128">
        <v>3</v>
      </c>
      <c r="I909" s="98" t="s">
        <v>2104</v>
      </c>
      <c r="J909" s="128">
        <v>4</v>
      </c>
      <c r="K909" s="98" t="s">
        <v>2105</v>
      </c>
      <c r="L909" s="130" t="s">
        <v>1097</v>
      </c>
      <c r="M909" s="98" t="s">
        <v>1336</v>
      </c>
      <c r="N909" s="130" t="s">
        <v>1097</v>
      </c>
    </row>
    <row r="910" spans="1:14" x14ac:dyDescent="0.3">
      <c r="A910" s="95" t="s">
        <v>2106</v>
      </c>
      <c r="B910" s="112" t="s">
        <v>2107</v>
      </c>
      <c r="C910" s="113">
        <v>0.3</v>
      </c>
      <c r="D910" s="112" t="s">
        <v>2108</v>
      </c>
      <c r="E910" s="95" t="s">
        <v>2109</v>
      </c>
      <c r="F910" s="126">
        <v>99</v>
      </c>
      <c r="G910" s="95" t="s">
        <v>2109</v>
      </c>
      <c r="H910" s="126">
        <v>27</v>
      </c>
      <c r="I910" s="95" t="s">
        <v>2110</v>
      </c>
      <c r="J910" s="126">
        <v>30</v>
      </c>
      <c r="K910" s="95" t="s">
        <v>2111</v>
      </c>
      <c r="L910" s="126">
        <v>5</v>
      </c>
      <c r="M910" s="95" t="s">
        <v>2112</v>
      </c>
      <c r="N910" s="126">
        <v>4</v>
      </c>
    </row>
    <row r="911" spans="1:14" x14ac:dyDescent="0.3">
      <c r="A911" s="98" t="s">
        <v>2113</v>
      </c>
      <c r="B911" s="114" t="s">
        <v>2114</v>
      </c>
      <c r="C911" s="118">
        <v>0.6</v>
      </c>
      <c r="D911" s="139">
        <v>0.2</v>
      </c>
      <c r="E911" s="98" t="s">
        <v>2115</v>
      </c>
      <c r="F911" s="128">
        <v>124</v>
      </c>
      <c r="G911" s="98" t="s">
        <v>2115</v>
      </c>
      <c r="H911" s="128">
        <v>34</v>
      </c>
      <c r="I911" s="98" t="s">
        <v>1237</v>
      </c>
      <c r="J911" s="128">
        <v>38</v>
      </c>
      <c r="K911" s="98" t="s">
        <v>2116</v>
      </c>
      <c r="L911" s="128">
        <v>6</v>
      </c>
      <c r="M911" s="98" t="s">
        <v>2117</v>
      </c>
      <c r="N911" s="128">
        <v>5</v>
      </c>
    </row>
    <row r="912" spans="1:14" x14ac:dyDescent="0.3">
      <c r="A912" s="95" t="s">
        <v>2118</v>
      </c>
      <c r="B912" s="112" t="s">
        <v>2119</v>
      </c>
      <c r="C912" s="113">
        <v>9.8000000000000007</v>
      </c>
      <c r="D912" s="138">
        <v>0.35</v>
      </c>
      <c r="E912" s="95" t="s">
        <v>2120</v>
      </c>
      <c r="F912" s="127">
        <v>3970</v>
      </c>
      <c r="G912" s="95" t="s">
        <v>2121</v>
      </c>
      <c r="H912" s="127">
        <v>1240</v>
      </c>
      <c r="I912" s="95" t="s">
        <v>2122</v>
      </c>
      <c r="J912" s="127">
        <v>2960</v>
      </c>
      <c r="K912" s="95" t="s">
        <v>2123</v>
      </c>
      <c r="L912" s="126">
        <v>467</v>
      </c>
      <c r="M912" s="95" t="s">
        <v>2124</v>
      </c>
      <c r="N912" s="126">
        <v>178</v>
      </c>
    </row>
    <row r="913" spans="1:14" x14ac:dyDescent="0.3">
      <c r="A913" s="98" t="s">
        <v>2125</v>
      </c>
      <c r="B913" s="114" t="s">
        <v>2126</v>
      </c>
      <c r="C913" s="118">
        <v>0.4</v>
      </c>
      <c r="D913" s="139">
        <v>0.19</v>
      </c>
      <c r="E913" s="98" t="s">
        <v>2127</v>
      </c>
      <c r="F913" s="128">
        <v>86</v>
      </c>
      <c r="G913" s="98" t="s">
        <v>2127</v>
      </c>
      <c r="H913" s="128">
        <v>23</v>
      </c>
      <c r="I913" s="98" t="s">
        <v>2128</v>
      </c>
      <c r="J913" s="128">
        <v>26</v>
      </c>
      <c r="K913" s="98" t="s">
        <v>2129</v>
      </c>
      <c r="L913" s="128">
        <v>4</v>
      </c>
      <c r="M913" s="98" t="s">
        <v>2130</v>
      </c>
      <c r="N913" s="128">
        <v>3</v>
      </c>
    </row>
    <row r="914" spans="1:14" ht="19.2" x14ac:dyDescent="0.3">
      <c r="A914" s="112" t="s">
        <v>2131</v>
      </c>
      <c r="B914" s="112" t="s">
        <v>2132</v>
      </c>
      <c r="C914" s="106">
        <v>67</v>
      </c>
      <c r="D914" s="138">
        <v>0.57999999999999996</v>
      </c>
      <c r="E914" s="95" t="s">
        <v>2133</v>
      </c>
      <c r="F914" s="127">
        <v>7940</v>
      </c>
      <c r="G914" s="95" t="s">
        <v>2134</v>
      </c>
      <c r="H914" s="127">
        <v>6490</v>
      </c>
      <c r="I914" s="95" t="s">
        <v>2135</v>
      </c>
      <c r="J914" s="127">
        <v>8140</v>
      </c>
      <c r="K914" s="95" t="s">
        <v>2136</v>
      </c>
      <c r="L914" s="127">
        <v>6960</v>
      </c>
      <c r="M914" s="95" t="s">
        <v>2137</v>
      </c>
      <c r="N914" s="126">
        <v>4380</v>
      </c>
    </row>
    <row r="915" spans="1:14" x14ac:dyDescent="0.3">
      <c r="A915" s="98" t="s">
        <v>2138</v>
      </c>
      <c r="B915" s="114" t="s">
        <v>2139</v>
      </c>
      <c r="C915" s="98" t="s">
        <v>2140</v>
      </c>
      <c r="D915" s="139">
        <v>0.11</v>
      </c>
      <c r="E915" s="98" t="s">
        <v>2141</v>
      </c>
      <c r="F915" s="128">
        <v>48</v>
      </c>
      <c r="G915" s="98" t="s">
        <v>2141</v>
      </c>
      <c r="H915" s="128">
        <v>13</v>
      </c>
      <c r="I915" s="98" t="s">
        <v>2142</v>
      </c>
      <c r="J915" s="128">
        <v>14</v>
      </c>
      <c r="K915" s="98" t="s">
        <v>2143</v>
      </c>
      <c r="L915" s="128">
        <v>2</v>
      </c>
      <c r="M915" s="98" t="s">
        <v>2144</v>
      </c>
      <c r="N915" s="128">
        <v>2</v>
      </c>
    </row>
    <row r="916" spans="1:14" x14ac:dyDescent="0.3">
      <c r="A916" s="95" t="s">
        <v>2145</v>
      </c>
      <c r="B916" s="112" t="s">
        <v>2146</v>
      </c>
      <c r="C916" s="95" t="s">
        <v>2147</v>
      </c>
      <c r="D916" s="138">
        <v>0.19</v>
      </c>
      <c r="E916" s="95" t="s">
        <v>2148</v>
      </c>
      <c r="F916" s="126">
        <v>63</v>
      </c>
      <c r="G916" s="95" t="s">
        <v>2148</v>
      </c>
      <c r="H916" s="126">
        <v>17</v>
      </c>
      <c r="I916" s="95" t="s">
        <v>2149</v>
      </c>
      <c r="J916" s="126">
        <v>19</v>
      </c>
      <c r="K916" s="95" t="s">
        <v>2130</v>
      </c>
      <c r="L916" s="126">
        <v>3</v>
      </c>
      <c r="M916" s="95" t="s">
        <v>2150</v>
      </c>
      <c r="N916" s="126">
        <v>2</v>
      </c>
    </row>
    <row r="917" spans="1:14" x14ac:dyDescent="0.3">
      <c r="A917" s="98" t="s">
        <v>2151</v>
      </c>
      <c r="B917" s="114" t="s">
        <v>2152</v>
      </c>
      <c r="C917" s="118">
        <v>0.3</v>
      </c>
      <c r="D917" s="139">
        <v>0.16</v>
      </c>
      <c r="E917" s="98" t="s">
        <v>2153</v>
      </c>
      <c r="F917" s="128">
        <v>60</v>
      </c>
      <c r="G917" s="98" t="s">
        <v>2153</v>
      </c>
      <c r="H917" s="128">
        <v>16</v>
      </c>
      <c r="I917" s="98" t="s">
        <v>2154</v>
      </c>
      <c r="J917" s="128">
        <v>18</v>
      </c>
      <c r="K917" s="98" t="s">
        <v>2155</v>
      </c>
      <c r="L917" s="128">
        <v>3</v>
      </c>
      <c r="M917" s="98" t="s">
        <v>1259</v>
      </c>
      <c r="N917" s="128">
        <v>2</v>
      </c>
    </row>
    <row r="918" spans="1:14" x14ac:dyDescent="0.3">
      <c r="A918" s="95" t="s">
        <v>2156</v>
      </c>
      <c r="B918" s="112" t="s">
        <v>2157</v>
      </c>
      <c r="C918" s="95" t="s">
        <v>2158</v>
      </c>
      <c r="D918" s="138">
        <v>0.03</v>
      </c>
      <c r="E918" s="95" t="s">
        <v>2159</v>
      </c>
      <c r="F918" s="126">
        <v>2</v>
      </c>
      <c r="G918" s="95" t="s">
        <v>2159</v>
      </c>
      <c r="H918" s="131" t="s">
        <v>1097</v>
      </c>
      <c r="I918" s="95" t="s">
        <v>2160</v>
      </c>
      <c r="J918" s="131" t="s">
        <v>1097</v>
      </c>
      <c r="K918" s="95" t="s">
        <v>2161</v>
      </c>
      <c r="L918" s="131" t="s">
        <v>1097</v>
      </c>
      <c r="M918" s="95" t="s">
        <v>2162</v>
      </c>
      <c r="N918" s="131" t="s">
        <v>1097</v>
      </c>
    </row>
    <row r="919" spans="1:14" x14ac:dyDescent="0.3">
      <c r="A919" s="98" t="s">
        <v>2163</v>
      </c>
      <c r="B919" s="114" t="s">
        <v>2164</v>
      </c>
      <c r="C919" s="98" t="s">
        <v>1264</v>
      </c>
      <c r="D919" s="139">
        <v>0.03</v>
      </c>
      <c r="E919" s="98" t="s">
        <v>2165</v>
      </c>
      <c r="F919" s="130" t="s">
        <v>1097</v>
      </c>
      <c r="G919" s="98" t="s">
        <v>2165</v>
      </c>
      <c r="H919" s="130" t="s">
        <v>1097</v>
      </c>
      <c r="I919" s="98" t="s">
        <v>2166</v>
      </c>
      <c r="J919" s="130" t="s">
        <v>1097</v>
      </c>
      <c r="K919" s="98" t="s">
        <v>2167</v>
      </c>
      <c r="L919" s="130" t="s">
        <v>1097</v>
      </c>
      <c r="M919" s="98" t="s">
        <v>2168</v>
      </c>
      <c r="N919" s="130" t="s">
        <v>1097</v>
      </c>
    </row>
    <row r="920" spans="1:14" x14ac:dyDescent="0.3">
      <c r="A920" s="95" t="s">
        <v>2169</v>
      </c>
      <c r="B920" s="112" t="s">
        <v>2170</v>
      </c>
      <c r="C920" s="95" t="s">
        <v>2171</v>
      </c>
      <c r="D920" s="156">
        <v>4.0000000000000001E-3</v>
      </c>
      <c r="E920" s="95" t="s">
        <v>2172</v>
      </c>
      <c r="F920" s="131" t="s">
        <v>1097</v>
      </c>
      <c r="G920" s="95" t="s">
        <v>2172</v>
      </c>
      <c r="H920" s="131" t="s">
        <v>1097</v>
      </c>
      <c r="I920" s="95" t="s">
        <v>2173</v>
      </c>
      <c r="J920" s="131" t="s">
        <v>1097</v>
      </c>
      <c r="K920" s="95" t="s">
        <v>2174</v>
      </c>
      <c r="L920" s="131" t="s">
        <v>1097</v>
      </c>
      <c r="M920" s="95" t="s">
        <v>2175</v>
      </c>
      <c r="N920" s="131" t="s">
        <v>1097</v>
      </c>
    </row>
    <row r="921" spans="1:14" x14ac:dyDescent="0.3">
      <c r="A921" s="98" t="s">
        <v>2176</v>
      </c>
      <c r="B921" s="114" t="s">
        <v>2177</v>
      </c>
      <c r="C921" s="98" t="s">
        <v>2178</v>
      </c>
      <c r="D921" s="139">
        <v>0.02</v>
      </c>
      <c r="E921" s="98" t="s">
        <v>2179</v>
      </c>
      <c r="F921" s="128">
        <v>3</v>
      </c>
      <c r="G921" s="98" t="s">
        <v>2179</v>
      </c>
      <c r="H921" s="130" t="s">
        <v>1097</v>
      </c>
      <c r="I921" s="98" t="s">
        <v>2180</v>
      </c>
      <c r="J921" s="130" t="s">
        <v>1097</v>
      </c>
      <c r="K921" s="98" t="s">
        <v>2181</v>
      </c>
      <c r="L921" s="130" t="s">
        <v>1097</v>
      </c>
      <c r="M921" s="98" t="s">
        <v>2182</v>
      </c>
      <c r="N921" s="130" t="s">
        <v>1097</v>
      </c>
    </row>
    <row r="922" spans="1:14" x14ac:dyDescent="0.3">
      <c r="A922" s="95" t="s">
        <v>2183</v>
      </c>
      <c r="B922" s="112" t="s">
        <v>2184</v>
      </c>
      <c r="C922" s="95" t="s">
        <v>2185</v>
      </c>
      <c r="D922" s="138">
        <v>0.04</v>
      </c>
      <c r="E922" s="95" t="s">
        <v>2186</v>
      </c>
      <c r="F922" s="126">
        <v>11</v>
      </c>
      <c r="G922" s="95" t="s">
        <v>2186</v>
      </c>
      <c r="H922" s="126">
        <v>3</v>
      </c>
      <c r="I922" s="95" t="s">
        <v>2187</v>
      </c>
      <c r="J922" s="126">
        <v>3</v>
      </c>
      <c r="K922" s="95" t="s">
        <v>1947</v>
      </c>
      <c r="L922" s="131" t="s">
        <v>1097</v>
      </c>
      <c r="M922" s="95" t="s">
        <v>2188</v>
      </c>
      <c r="N922" s="131" t="s">
        <v>1097</v>
      </c>
    </row>
    <row r="923" spans="1:14" x14ac:dyDescent="0.3">
      <c r="A923" s="98" t="s">
        <v>2189</v>
      </c>
      <c r="B923" s="114" t="s">
        <v>2190</v>
      </c>
      <c r="C923" s="118">
        <v>0.3</v>
      </c>
      <c r="D923" s="139">
        <v>0.1</v>
      </c>
      <c r="E923" s="98" t="s">
        <v>2191</v>
      </c>
      <c r="F923" s="128">
        <v>73</v>
      </c>
      <c r="G923" s="98" t="s">
        <v>2191</v>
      </c>
      <c r="H923" s="128">
        <v>20</v>
      </c>
      <c r="I923" s="98" t="s">
        <v>2192</v>
      </c>
      <c r="J923" s="128">
        <v>22</v>
      </c>
      <c r="K923" s="98" t="s">
        <v>2193</v>
      </c>
      <c r="L923" s="128">
        <v>3</v>
      </c>
      <c r="M923" s="98" t="s">
        <v>2194</v>
      </c>
      <c r="N923" s="128">
        <v>3</v>
      </c>
    </row>
    <row r="924" spans="1:14" ht="19.2" x14ac:dyDescent="0.3">
      <c r="A924" s="95" t="s">
        <v>2195</v>
      </c>
      <c r="B924" s="112" t="s">
        <v>2196</v>
      </c>
      <c r="C924" s="106">
        <v>26</v>
      </c>
      <c r="D924" s="112" t="s">
        <v>2197</v>
      </c>
      <c r="E924" s="95" t="s">
        <v>2198</v>
      </c>
      <c r="F924" s="127">
        <v>9910</v>
      </c>
      <c r="G924" s="95" t="s">
        <v>2199</v>
      </c>
      <c r="H924" s="127">
        <v>4920</v>
      </c>
      <c r="I924" s="95" t="s">
        <v>2200</v>
      </c>
      <c r="J924" s="127">
        <v>9320</v>
      </c>
      <c r="K924" s="95" t="s">
        <v>2201</v>
      </c>
      <c r="L924" s="127">
        <v>4460</v>
      </c>
      <c r="M924" s="95" t="s">
        <v>2202</v>
      </c>
      <c r="N924" s="126">
        <v>1360</v>
      </c>
    </row>
    <row r="925" spans="1:14" ht="19.2" x14ac:dyDescent="0.3">
      <c r="A925" s="114" t="s">
        <v>2203</v>
      </c>
      <c r="B925" s="114" t="s">
        <v>2204</v>
      </c>
      <c r="C925" s="109">
        <v>26</v>
      </c>
      <c r="D925" s="114" t="s">
        <v>2205</v>
      </c>
      <c r="E925" s="98" t="s">
        <v>2206</v>
      </c>
      <c r="F925" s="129">
        <v>9050</v>
      </c>
      <c r="G925" s="98" t="s">
        <v>2207</v>
      </c>
      <c r="H925" s="129">
        <v>4490</v>
      </c>
      <c r="I925" s="98" t="s">
        <v>1438</v>
      </c>
      <c r="J925" s="129">
        <v>8520</v>
      </c>
      <c r="K925" s="98" t="s">
        <v>2208</v>
      </c>
      <c r="L925" s="129">
        <v>4080</v>
      </c>
      <c r="M925" s="98" t="s">
        <v>2209</v>
      </c>
      <c r="N925" s="128">
        <v>1250</v>
      </c>
    </row>
    <row r="926" spans="1:14" ht="19.2" x14ac:dyDescent="0.3">
      <c r="A926" s="115" t="s">
        <v>2210</v>
      </c>
      <c r="B926" s="115" t="s">
        <v>2211</v>
      </c>
      <c r="C926" s="144">
        <v>26</v>
      </c>
      <c r="D926" s="115" t="s">
        <v>2212</v>
      </c>
      <c r="E926" s="101" t="s">
        <v>2213</v>
      </c>
      <c r="F926" s="145">
        <v>7320</v>
      </c>
      <c r="G926" s="101" t="s">
        <v>2214</v>
      </c>
      <c r="H926" s="145">
        <v>3630</v>
      </c>
      <c r="I926" s="101" t="s">
        <v>903</v>
      </c>
      <c r="J926" s="145">
        <v>6880</v>
      </c>
      <c r="K926" s="101" t="s">
        <v>2122</v>
      </c>
      <c r="L926" s="145">
        <v>3300</v>
      </c>
      <c r="M926" s="101" t="s">
        <v>2215</v>
      </c>
      <c r="N926" s="132">
        <v>1010</v>
      </c>
    </row>
    <row r="927" spans="1:14" x14ac:dyDescent="0.3">
      <c r="A927"/>
      <c r="B927"/>
      <c r="C927"/>
      <c r="D927"/>
      <c r="E927"/>
    </row>
    <row r="928" spans="1:14" x14ac:dyDescent="0.3">
      <c r="A928" s="159"/>
      <c r="B928" s="160" t="s">
        <v>2216</v>
      </c>
      <c r="C928" s="160" t="s">
        <v>2217</v>
      </c>
      <c r="D928" s="42" t="s">
        <v>2218</v>
      </c>
      <c r="E928"/>
    </row>
    <row r="929" spans="1:5" x14ac:dyDescent="0.3">
      <c r="A929" t="s">
        <v>2219</v>
      </c>
      <c r="B929" s="161">
        <v>1</v>
      </c>
      <c r="C929" s="161">
        <v>1</v>
      </c>
      <c r="D929" t="s">
        <v>2220</v>
      </c>
      <c r="E929"/>
    </row>
    <row r="930" spans="1:5" x14ac:dyDescent="0.3">
      <c r="A930" t="s">
        <v>2221</v>
      </c>
      <c r="B930" s="161">
        <v>16.2</v>
      </c>
      <c r="C930" s="161">
        <v>5</v>
      </c>
      <c r="D930" t="s">
        <v>2222</v>
      </c>
      <c r="E930"/>
    </row>
    <row r="931" spans="1:5" x14ac:dyDescent="0.3">
      <c r="A931" t="s">
        <v>484</v>
      </c>
      <c r="B931" s="161">
        <v>5.6</v>
      </c>
      <c r="C931" s="161">
        <v>1.8</v>
      </c>
      <c r="D931" t="s">
        <v>2223</v>
      </c>
      <c r="E931"/>
    </row>
    <row r="932" spans="1:5" x14ac:dyDescent="0.3">
      <c r="A932" t="s">
        <v>2224</v>
      </c>
      <c r="B932" s="161">
        <v>-2.4</v>
      </c>
      <c r="C932" s="161">
        <v>-8.1999999999999993</v>
      </c>
      <c r="D932" t="s">
        <v>2225</v>
      </c>
      <c r="E932"/>
    </row>
    <row r="933" spans="1:5" x14ac:dyDescent="0.3">
      <c r="A933" t="s">
        <v>2226</v>
      </c>
      <c r="B933" s="161">
        <v>0</v>
      </c>
      <c r="C933" s="161">
        <v>0</v>
      </c>
      <c r="D933" t="s">
        <v>2227</v>
      </c>
      <c r="E933"/>
    </row>
    <row r="934" spans="1:5" x14ac:dyDescent="0.3">
      <c r="A934" t="s">
        <v>2228</v>
      </c>
      <c r="B934" s="161">
        <v>0</v>
      </c>
      <c r="C934" s="161">
        <v>0</v>
      </c>
      <c r="D934" t="s">
        <v>2227</v>
      </c>
      <c r="E934"/>
    </row>
    <row r="935" spans="1:5" x14ac:dyDescent="0.3">
      <c r="A935" t="s">
        <v>2229</v>
      </c>
      <c r="B935" s="161">
        <v>0</v>
      </c>
      <c r="C935" s="161">
        <v>0</v>
      </c>
      <c r="D935" t="s">
        <v>2230</v>
      </c>
      <c r="E935"/>
    </row>
    <row r="936" spans="1:5" x14ac:dyDescent="0.3">
      <c r="A936" t="s">
        <v>2231</v>
      </c>
      <c r="B936" s="161">
        <v>1200</v>
      </c>
      <c r="C936" s="161">
        <v>345</v>
      </c>
      <c r="D936" t="s">
        <v>2232</v>
      </c>
      <c r="E936"/>
    </row>
    <row r="937" spans="1:5" x14ac:dyDescent="0.3">
      <c r="A937" t="s">
        <v>2233</v>
      </c>
      <c r="B937" s="161">
        <v>-160</v>
      </c>
      <c r="C937" s="161">
        <v>-46</v>
      </c>
      <c r="D937" t="s">
        <v>2234</v>
      </c>
      <c r="E937"/>
    </row>
    <row r="938" spans="1:5" x14ac:dyDescent="0.3">
      <c r="A938" t="s">
        <v>2235</v>
      </c>
      <c r="B938" s="161">
        <v>84</v>
      </c>
      <c r="C938" s="161">
        <v>28</v>
      </c>
      <c r="D938" t="s">
        <v>2236</v>
      </c>
      <c r="E938"/>
    </row>
    <row r="939" spans="1:5" x14ac:dyDescent="0.3">
      <c r="A939" t="s">
        <v>2237</v>
      </c>
      <c r="B939" s="161">
        <v>264</v>
      </c>
      <c r="C939" s="161">
        <v>265</v>
      </c>
      <c r="D939" t="s">
        <v>2238</v>
      </c>
      <c r="E939"/>
    </row>
    <row r="940" spans="1:5" x14ac:dyDescent="0.3">
      <c r="A940" t="s">
        <v>2239</v>
      </c>
      <c r="B940" s="161">
        <v>1</v>
      </c>
      <c r="C940" s="161">
        <v>1</v>
      </c>
      <c r="D940" t="s">
        <v>2240</v>
      </c>
      <c r="E940"/>
    </row>
    <row r="941" spans="1:5" x14ac:dyDescent="0.3">
      <c r="A941"/>
      <c r="B941"/>
      <c r="C941"/>
      <c r="D941" t="s">
        <v>2241</v>
      </c>
      <c r="E941"/>
    </row>
    <row r="942" spans="1:5" x14ac:dyDescent="0.3">
      <c r="A942"/>
      <c r="B942"/>
      <c r="C942"/>
      <c r="D942" t="s">
        <v>2242</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activeCell="A196" sqref="A196"/>
    </sheetView>
  </sheetViews>
  <sheetFormatPr defaultColWidth="9.109375" defaultRowHeight="14.4" x14ac:dyDescent="0.3"/>
  <cols>
    <col min="1" max="1" width="79.44140625" customWidth="1"/>
    <col min="2" max="2" width="12.44140625" customWidth="1"/>
    <col min="3" max="3" width="17.44140625" customWidth="1"/>
    <col min="4" max="4" width="22" customWidth="1"/>
    <col min="5" max="5" width="19.44140625" customWidth="1"/>
    <col min="6" max="6" width="14.44140625" customWidth="1"/>
    <col min="7" max="7" width="26.109375" customWidth="1"/>
    <col min="8" max="8" width="26.44140625" customWidth="1"/>
    <col min="9" max="9" width="17.88671875" customWidth="1"/>
    <col min="15" max="15" width="25.88671875" customWidth="1"/>
    <col min="16" max="16" width="12.44140625" customWidth="1"/>
    <col min="17" max="17" width="19.88671875" customWidth="1"/>
    <col min="18" max="19" width="12.44140625" customWidth="1"/>
    <col min="20" max="21" width="16.44140625" customWidth="1"/>
    <col min="22" max="22" width="10.88671875" customWidth="1"/>
  </cols>
  <sheetData>
    <row r="1" spans="1:5" x14ac:dyDescent="0.3">
      <c r="A1" s="462" t="s">
        <v>11</v>
      </c>
      <c r="B1" s="462"/>
      <c r="C1" s="462"/>
      <c r="D1" s="462"/>
      <c r="E1" s="462"/>
    </row>
    <row r="2" spans="1:5" x14ac:dyDescent="0.3">
      <c r="A2" s="463" t="s">
        <v>153</v>
      </c>
      <c r="B2" s="463"/>
      <c r="C2" s="463"/>
      <c r="D2" s="463"/>
      <c r="E2" s="463"/>
    </row>
    <row r="19" spans="1:5" x14ac:dyDescent="0.3">
      <c r="A19" t="s">
        <v>154</v>
      </c>
    </row>
    <row r="20" spans="1:5" x14ac:dyDescent="0.3">
      <c r="A20">
        <v>155400</v>
      </c>
      <c r="B20" t="s">
        <v>155</v>
      </c>
    </row>
    <row r="21" spans="1:5" x14ac:dyDescent="0.3">
      <c r="A21" s="463" t="s">
        <v>156</v>
      </c>
      <c r="B21" s="463"/>
      <c r="C21" s="463"/>
      <c r="D21" s="463"/>
      <c r="E21" s="463"/>
    </row>
    <row r="38" spans="1:5" x14ac:dyDescent="0.3">
      <c r="A38" t="s">
        <v>154</v>
      </c>
    </row>
    <row r="39" spans="1:5" x14ac:dyDescent="0.3">
      <c r="A39">
        <v>100800</v>
      </c>
      <c r="B39" t="s">
        <v>155</v>
      </c>
    </row>
    <row r="40" spans="1:5" x14ac:dyDescent="0.3">
      <c r="A40" s="463" t="s">
        <v>157</v>
      </c>
      <c r="B40" s="463"/>
      <c r="C40" s="463"/>
      <c r="D40" s="463"/>
      <c r="E40" s="463"/>
    </row>
    <row r="57" spans="1:5" ht="15" thickBot="1" x14ac:dyDescent="0.35">
      <c r="A57" t="s">
        <v>154</v>
      </c>
    </row>
    <row r="58" spans="1:5" ht="15" thickBot="1" x14ac:dyDescent="0.35">
      <c r="A58" s="7">
        <v>194000</v>
      </c>
      <c r="B58" t="s">
        <v>158</v>
      </c>
    </row>
    <row r="60" spans="1:5" x14ac:dyDescent="0.3">
      <c r="A60" s="462" t="s">
        <v>159</v>
      </c>
      <c r="B60" s="462"/>
      <c r="C60" s="462"/>
      <c r="D60" s="462"/>
      <c r="E60" s="462"/>
    </row>
    <row r="85" spans="1:37" s="8" customFormat="1" x14ac:dyDescent="0.3">
      <c r="A85" t="s">
        <v>359</v>
      </c>
      <c r="B85">
        <v>55.1</v>
      </c>
      <c r="C85" t="s">
        <v>360</v>
      </c>
      <c r="D85"/>
      <c r="E85"/>
      <c r="F85"/>
      <c r="G85"/>
      <c r="H85"/>
      <c r="I85"/>
      <c r="J85"/>
      <c r="K85"/>
      <c r="L85"/>
      <c r="M85"/>
      <c r="N85"/>
      <c r="O85"/>
      <c r="P85"/>
      <c r="Q85"/>
      <c r="R85"/>
      <c r="S85"/>
      <c r="T85"/>
      <c r="U85"/>
      <c r="V85"/>
      <c r="W85"/>
      <c r="X85"/>
      <c r="Y85"/>
      <c r="Z85"/>
      <c r="AA85"/>
      <c r="AB85"/>
      <c r="AC85"/>
      <c r="AD85"/>
      <c r="AE85"/>
      <c r="AF85"/>
      <c r="AG85"/>
      <c r="AH85"/>
      <c r="AI85"/>
      <c r="AJ85"/>
      <c r="AK85"/>
    </row>
    <row r="86" spans="1:37" s="8" customFormat="1" x14ac:dyDescent="0.3">
      <c r="A86" t="s">
        <v>361</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 thickBot="1" x14ac:dyDescent="0.35"/>
    <row r="88" spans="1:37" ht="15" thickBot="1" x14ac:dyDescent="0.35">
      <c r="A88" s="9" t="s">
        <v>362</v>
      </c>
      <c r="B88" s="10">
        <f>(B86-B85)/B85</f>
        <v>1.0254083484573502</v>
      </c>
    </row>
    <row r="89" spans="1:37" x14ac:dyDescent="0.3">
      <c r="A89" s="462" t="s">
        <v>160</v>
      </c>
      <c r="B89" s="462"/>
      <c r="C89" s="462"/>
      <c r="D89" s="462"/>
      <c r="E89" s="462"/>
    </row>
    <row r="90" spans="1:37" x14ac:dyDescent="0.3">
      <c r="A90">
        <v>6.6290250000000004</v>
      </c>
      <c r="B90" t="s">
        <v>365</v>
      </c>
      <c r="E90" t="s">
        <v>370</v>
      </c>
    </row>
    <row r="91" spans="1:37" x14ac:dyDescent="0.3">
      <c r="A91">
        <f>1/A90</f>
        <v>0.15085174667466181</v>
      </c>
      <c r="B91" t="s">
        <v>366</v>
      </c>
      <c r="E91" t="s">
        <v>165</v>
      </c>
    </row>
    <row r="92" spans="1:37" x14ac:dyDescent="0.3">
      <c r="A92" s="11">
        <v>0.5</v>
      </c>
      <c r="B92" t="s">
        <v>367</v>
      </c>
      <c r="E92" t="s">
        <v>371</v>
      </c>
    </row>
    <row r="93" spans="1:37" x14ac:dyDescent="0.3">
      <c r="A93">
        <f>A92*A91</f>
        <v>7.5425873337330904E-2</v>
      </c>
      <c r="B93" t="s">
        <v>368</v>
      </c>
      <c r="E93" t="s">
        <v>165</v>
      </c>
    </row>
    <row r="94" spans="1:37" x14ac:dyDescent="0.3">
      <c r="A94">
        <f>1/A93</f>
        <v>13.258050000000001</v>
      </c>
      <c r="B94" t="s">
        <v>369</v>
      </c>
      <c r="E94" t="s">
        <v>165</v>
      </c>
      <c r="J94" s="11"/>
    </row>
    <row r="95" spans="1:37" ht="15" thickBot="1" x14ac:dyDescent="0.35">
      <c r="A95">
        <v>8.0274920000000005</v>
      </c>
      <c r="B95" t="s">
        <v>363</v>
      </c>
      <c r="E95" t="s">
        <v>372</v>
      </c>
      <c r="J95" s="11"/>
    </row>
    <row r="96" spans="1:37" ht="15" thickBot="1" x14ac:dyDescent="0.35">
      <c r="A96" s="12">
        <f>(A94-A95)/A95</f>
        <v>0.65158059329115492</v>
      </c>
      <c r="B96" t="s">
        <v>364</v>
      </c>
      <c r="C96" s="13"/>
      <c r="E96" t="s">
        <v>165</v>
      </c>
    </row>
    <row r="98" spans="1:5" x14ac:dyDescent="0.3">
      <c r="A98" s="462" t="s">
        <v>161</v>
      </c>
      <c r="B98" s="462"/>
      <c r="C98" s="462"/>
      <c r="D98" s="462"/>
      <c r="E98" s="462"/>
    </row>
    <row r="99" spans="1:5" x14ac:dyDescent="0.3">
      <c r="A99" s="13">
        <v>0.3</v>
      </c>
      <c r="B99" s="11" t="s">
        <v>374</v>
      </c>
    </row>
    <row r="100" spans="1:5" x14ac:dyDescent="0.3">
      <c r="A100">
        <v>63.5</v>
      </c>
      <c r="B100" t="s">
        <v>375</v>
      </c>
    </row>
    <row r="101" spans="1:5" x14ac:dyDescent="0.3">
      <c r="A101">
        <f>1/A100</f>
        <v>1.5748031496062992E-2</v>
      </c>
      <c r="B101" t="s">
        <v>373</v>
      </c>
    </row>
    <row r="102" spans="1:5" x14ac:dyDescent="0.3">
      <c r="A102" s="14">
        <f>A101*(1-A99)</f>
        <v>1.1023622047244094E-2</v>
      </c>
      <c r="B102" t="s">
        <v>376</v>
      </c>
    </row>
    <row r="103" spans="1:5" x14ac:dyDescent="0.3">
      <c r="A103" s="14">
        <f>1/A102</f>
        <v>90.714285714285722</v>
      </c>
      <c r="B103" t="s">
        <v>380</v>
      </c>
    </row>
    <row r="104" spans="1:5" x14ac:dyDescent="0.3">
      <c r="A104" s="13">
        <v>0.35</v>
      </c>
      <c r="B104" t="s">
        <v>377</v>
      </c>
    </row>
    <row r="105" spans="1:5" x14ac:dyDescent="0.3">
      <c r="A105">
        <f>A102*(1-A104)</f>
        <v>7.1653543307086615E-3</v>
      </c>
      <c r="B105" t="s">
        <v>378</v>
      </c>
    </row>
    <row r="106" spans="1:5" ht="15" thickBot="1" x14ac:dyDescent="0.35">
      <c r="A106">
        <f>1/A105</f>
        <v>139.56043956043956</v>
      </c>
      <c r="B106" t="s">
        <v>379</v>
      </c>
    </row>
    <row r="107" spans="1:5" ht="15" thickBot="1" x14ac:dyDescent="0.35">
      <c r="A107" s="12">
        <f>(A106-A103)/A103</f>
        <v>0.53846153846153832</v>
      </c>
      <c r="B107" t="s">
        <v>381</v>
      </c>
    </row>
    <row r="108" spans="1:5" x14ac:dyDescent="0.3">
      <c r="A108" s="15"/>
    </row>
    <row r="109" spans="1:5" x14ac:dyDescent="0.3">
      <c r="A109" s="462" t="s">
        <v>163</v>
      </c>
      <c r="B109" s="462"/>
      <c r="C109" s="462"/>
      <c r="D109" s="462"/>
      <c r="E109" s="462"/>
    </row>
    <row r="110" spans="1:5" ht="15" thickBot="1" x14ac:dyDescent="0.35"/>
    <row r="111" spans="1:5" ht="15" thickBot="1" x14ac:dyDescent="0.35">
      <c r="A111" s="12">
        <f>A122</f>
        <v>0.20481927710843381</v>
      </c>
      <c r="B111" t="s">
        <v>383</v>
      </c>
    </row>
    <row r="113" spans="1:12" x14ac:dyDescent="0.3">
      <c r="A113" s="462" t="s">
        <v>162</v>
      </c>
      <c r="B113" s="462"/>
      <c r="C113" s="462"/>
      <c r="D113" s="462"/>
      <c r="E113" s="462"/>
    </row>
    <row r="114" spans="1:12" x14ac:dyDescent="0.3">
      <c r="A114" s="13">
        <v>0.2</v>
      </c>
      <c r="B114" s="11" t="s">
        <v>374</v>
      </c>
    </row>
    <row r="115" spans="1:12" x14ac:dyDescent="0.3">
      <c r="A115">
        <v>1.95</v>
      </c>
      <c r="B115" t="s">
        <v>382</v>
      </c>
    </row>
    <row r="116" spans="1:12" x14ac:dyDescent="0.3">
      <c r="A116">
        <f>1/A115</f>
        <v>0.51282051282051289</v>
      </c>
      <c r="B116" t="s">
        <v>373</v>
      </c>
    </row>
    <row r="117" spans="1:12" x14ac:dyDescent="0.3">
      <c r="A117" s="14">
        <f>A116*(1-A114)</f>
        <v>0.41025641025641035</v>
      </c>
      <c r="B117" t="s">
        <v>376</v>
      </c>
    </row>
    <row r="118" spans="1:12" x14ac:dyDescent="0.3">
      <c r="A118" s="14">
        <f>1/A117</f>
        <v>2.4374999999999996</v>
      </c>
      <c r="B118" t="s">
        <v>380</v>
      </c>
    </row>
    <row r="119" spans="1:12" x14ac:dyDescent="0.3">
      <c r="A119" s="13">
        <v>0.17</v>
      </c>
      <c r="B119" t="s">
        <v>377</v>
      </c>
    </row>
    <row r="120" spans="1:12" x14ac:dyDescent="0.3">
      <c r="A120">
        <f>A117*(1-A119)</f>
        <v>0.34051282051282056</v>
      </c>
      <c r="B120" t="s">
        <v>378</v>
      </c>
    </row>
    <row r="121" spans="1:12" ht="15" thickBot="1" x14ac:dyDescent="0.35">
      <c r="A121">
        <f>1/A120</f>
        <v>2.9367469879518069</v>
      </c>
      <c r="B121" t="s">
        <v>379</v>
      </c>
    </row>
    <row r="122" spans="1:12" ht="15" thickBot="1" x14ac:dyDescent="0.35">
      <c r="A122" s="12">
        <f>(A121-A118)/A118</f>
        <v>0.20481927710843381</v>
      </c>
      <c r="B122" t="s">
        <v>381</v>
      </c>
    </row>
    <row r="124" spans="1:12" x14ac:dyDescent="0.3">
      <c r="A124" s="462" t="s">
        <v>384</v>
      </c>
      <c r="B124" s="462"/>
      <c r="C124" s="462"/>
      <c r="D124" s="462"/>
      <c r="E124" s="462"/>
      <c r="J124" s="16"/>
    </row>
    <row r="125" spans="1:12" x14ac:dyDescent="0.3">
      <c r="A125" s="17">
        <v>4.4824543659231753E-4</v>
      </c>
      <c r="B125" t="s">
        <v>386</v>
      </c>
      <c r="K125" s="11"/>
      <c r="L125" s="11"/>
    </row>
    <row r="126" spans="1:12" x14ac:dyDescent="0.3">
      <c r="A126">
        <v>1.27</v>
      </c>
      <c r="B126" t="s">
        <v>390</v>
      </c>
      <c r="F126" s="18"/>
      <c r="J126" s="1"/>
      <c r="K126" s="17"/>
      <c r="L126" s="17"/>
    </row>
    <row r="127" spans="1:12" x14ac:dyDescent="0.3">
      <c r="A127">
        <f>(1/CONVERT(A125/A126,"mi","km")*0.00105505585)</f>
        <v>1.857438352962903</v>
      </c>
      <c r="B127" t="s">
        <v>387</v>
      </c>
      <c r="K127" s="17"/>
      <c r="L127" s="17"/>
    </row>
    <row r="128" spans="1:12" x14ac:dyDescent="0.3">
      <c r="A128">
        <f>1/A127</f>
        <v>0.53837587578874124</v>
      </c>
      <c r="B128" t="s">
        <v>388</v>
      </c>
      <c r="F128" s="18"/>
      <c r="K128" s="13"/>
      <c r="L128" s="11"/>
    </row>
    <row r="129" spans="1:12" x14ac:dyDescent="0.3">
      <c r="A129">
        <v>1.07</v>
      </c>
      <c r="B129" t="s">
        <v>385</v>
      </c>
      <c r="F129" s="18"/>
      <c r="K129" s="13"/>
      <c r="L129" s="11"/>
    </row>
    <row r="130" spans="1:12" ht="15" thickBot="1" x14ac:dyDescent="0.35">
      <c r="A130">
        <f>1/A129</f>
        <v>0.93457943925233644</v>
      </c>
      <c r="B130" t="s">
        <v>389</v>
      </c>
      <c r="F130" s="18"/>
      <c r="K130" s="11"/>
      <c r="L130" s="11"/>
    </row>
    <row r="131" spans="1:12" ht="15" thickBot="1" x14ac:dyDescent="0.35">
      <c r="A131" s="12">
        <f>(A130-A128)/A128</f>
        <v>0.73592369435785332</v>
      </c>
      <c r="B131" t="s">
        <v>381</v>
      </c>
      <c r="F131" s="18"/>
    </row>
    <row r="133" spans="1:12" x14ac:dyDescent="0.3">
      <c r="A133" s="16"/>
      <c r="B133" s="11"/>
      <c r="C133" s="11"/>
    </row>
    <row r="134" spans="1:12" x14ac:dyDescent="0.3">
      <c r="A134" s="462" t="s">
        <v>100</v>
      </c>
      <c r="B134" s="462"/>
      <c r="C134" s="462"/>
      <c r="D134" s="462"/>
      <c r="E134" s="462"/>
    </row>
    <row r="135" spans="1:12" x14ac:dyDescent="0.3">
      <c r="A135" s="19" t="s">
        <v>401</v>
      </c>
      <c r="B135" s="20"/>
      <c r="C135" s="20"/>
      <c r="D135" s="20"/>
      <c r="E135" s="20"/>
      <c r="F135" s="20"/>
      <c r="G135" s="20"/>
    </row>
    <row r="136" spans="1:12" x14ac:dyDescent="0.3">
      <c r="A136" s="21"/>
      <c r="B136" s="465" t="s">
        <v>402</v>
      </c>
      <c r="C136" s="466"/>
      <c r="D136" s="466"/>
      <c r="E136" s="467"/>
      <c r="F136" s="20"/>
      <c r="G136" s="20"/>
    </row>
    <row r="137" spans="1:12" x14ac:dyDescent="0.3">
      <c r="A137" s="22"/>
      <c r="B137" s="465" t="s">
        <v>403</v>
      </c>
      <c r="C137" s="467"/>
      <c r="D137" s="465" t="s">
        <v>404</v>
      </c>
      <c r="E137" s="467"/>
      <c r="F137" s="20"/>
      <c r="G137" s="20"/>
    </row>
    <row r="138" spans="1:12" x14ac:dyDescent="0.3">
      <c r="A138" s="23" t="s">
        <v>405</v>
      </c>
      <c r="B138" s="24" t="s">
        <v>406</v>
      </c>
      <c r="C138" s="24" t="s">
        <v>407</v>
      </c>
      <c r="D138" s="24" t="s">
        <v>406</v>
      </c>
      <c r="E138" s="24" t="s">
        <v>407</v>
      </c>
      <c r="F138" s="20"/>
      <c r="G138" s="25" t="s">
        <v>408</v>
      </c>
    </row>
    <row r="139" spans="1:12" x14ac:dyDescent="0.3">
      <c r="A139" s="26" t="s">
        <v>409</v>
      </c>
      <c r="B139" s="27">
        <v>95</v>
      </c>
      <c r="C139" s="28">
        <v>95</v>
      </c>
      <c r="D139" s="27">
        <v>50</v>
      </c>
      <c r="E139" s="28">
        <v>50</v>
      </c>
      <c r="F139" s="25" t="s">
        <v>125</v>
      </c>
      <c r="G139" s="20">
        <f>(C139-E139)/C139</f>
        <v>0.47368421052631576</v>
      </c>
    </row>
    <row r="140" spans="1:12" x14ac:dyDescent="0.3">
      <c r="A140" s="29" t="s">
        <v>410</v>
      </c>
      <c r="B140" s="30">
        <v>100</v>
      </c>
      <c r="C140" s="31">
        <v>100</v>
      </c>
      <c r="D140" s="30">
        <v>70</v>
      </c>
      <c r="E140" s="31">
        <v>70</v>
      </c>
      <c r="F140" s="25" t="s">
        <v>125</v>
      </c>
      <c r="G140" s="20">
        <f t="shared" ref="G140:G156" si="0">(C140-E140)/C140</f>
        <v>0.3</v>
      </c>
    </row>
    <row r="141" spans="1:12" x14ac:dyDescent="0.3">
      <c r="A141" s="29" t="s">
        <v>411</v>
      </c>
      <c r="B141" s="30">
        <v>95</v>
      </c>
      <c r="C141" s="31">
        <v>95</v>
      </c>
      <c r="D141" s="30">
        <v>50</v>
      </c>
      <c r="E141" s="31">
        <v>50</v>
      </c>
      <c r="F141" s="25" t="s">
        <v>125</v>
      </c>
      <c r="G141" s="20">
        <f t="shared" si="0"/>
        <v>0.47368421052631576</v>
      </c>
    </row>
    <row r="142" spans="1:12" x14ac:dyDescent="0.3">
      <c r="A142" s="29" t="s">
        <v>412</v>
      </c>
      <c r="B142" s="30">
        <v>105</v>
      </c>
      <c r="C142" s="31">
        <v>105</v>
      </c>
      <c r="D142" s="30">
        <v>110</v>
      </c>
      <c r="E142" s="31">
        <v>110</v>
      </c>
      <c r="F142" s="32" t="s">
        <v>428</v>
      </c>
      <c r="G142" s="20">
        <f t="shared" si="0"/>
        <v>-4.7619047619047616E-2</v>
      </c>
    </row>
    <row r="143" spans="1:12" x14ac:dyDescent="0.3">
      <c r="A143" s="29" t="s">
        <v>413</v>
      </c>
      <c r="B143" s="30">
        <v>80</v>
      </c>
      <c r="C143" s="31">
        <v>80</v>
      </c>
      <c r="D143" s="30">
        <v>35</v>
      </c>
      <c r="E143" s="31">
        <v>35</v>
      </c>
      <c r="F143" s="25" t="s">
        <v>125</v>
      </c>
      <c r="G143" s="20">
        <f t="shared" si="0"/>
        <v>0.5625</v>
      </c>
    </row>
    <row r="144" spans="1:12" x14ac:dyDescent="0.3">
      <c r="A144" s="29" t="s">
        <v>414</v>
      </c>
      <c r="B144" s="30">
        <v>70</v>
      </c>
      <c r="C144" s="31">
        <v>70</v>
      </c>
      <c r="D144" s="30">
        <v>50</v>
      </c>
      <c r="E144" s="31">
        <v>50</v>
      </c>
      <c r="F144" s="25" t="s">
        <v>125</v>
      </c>
      <c r="G144" s="20">
        <f t="shared" si="0"/>
        <v>0.2857142857142857</v>
      </c>
    </row>
    <row r="145" spans="1:9" x14ac:dyDescent="0.3">
      <c r="A145" s="29" t="s">
        <v>415</v>
      </c>
      <c r="B145" s="30">
        <v>90</v>
      </c>
      <c r="C145" s="31">
        <v>90</v>
      </c>
      <c r="D145" s="30">
        <v>80</v>
      </c>
      <c r="E145" s="31">
        <v>80</v>
      </c>
      <c r="F145" s="25" t="s">
        <v>416</v>
      </c>
      <c r="G145" s="20">
        <f t="shared" si="0"/>
        <v>0.1111111111111111</v>
      </c>
    </row>
    <row r="146" spans="1:9" x14ac:dyDescent="0.3">
      <c r="A146" s="29" t="s">
        <v>417</v>
      </c>
      <c r="B146" s="30">
        <v>100</v>
      </c>
      <c r="C146" s="31">
        <v>100</v>
      </c>
      <c r="D146" s="30">
        <v>90</v>
      </c>
      <c r="E146" s="31">
        <v>90</v>
      </c>
      <c r="F146" s="25" t="s">
        <v>125</v>
      </c>
      <c r="G146" s="20">
        <f t="shared" si="0"/>
        <v>0.1</v>
      </c>
    </row>
    <row r="147" spans="1:9" x14ac:dyDescent="0.3">
      <c r="A147" s="29" t="s">
        <v>418</v>
      </c>
      <c r="B147" s="30">
        <v>80</v>
      </c>
      <c r="C147" s="31">
        <v>80</v>
      </c>
      <c r="D147" s="30">
        <v>40</v>
      </c>
      <c r="E147" s="31">
        <v>40</v>
      </c>
      <c r="F147" s="25" t="s">
        <v>125</v>
      </c>
      <c r="G147" s="20">
        <f t="shared" si="0"/>
        <v>0.5</v>
      </c>
    </row>
    <row r="148" spans="1:9" x14ac:dyDescent="0.3">
      <c r="A148" s="29" t="s">
        <v>419</v>
      </c>
      <c r="B148" s="30">
        <v>80</v>
      </c>
      <c r="C148" s="31">
        <v>80</v>
      </c>
      <c r="D148" s="30">
        <v>50</v>
      </c>
      <c r="E148" s="31">
        <v>50</v>
      </c>
      <c r="F148" s="25" t="s">
        <v>125</v>
      </c>
      <c r="G148" s="20">
        <f t="shared" si="0"/>
        <v>0.375</v>
      </c>
    </row>
    <row r="149" spans="1:9" x14ac:dyDescent="0.3">
      <c r="A149" s="29" t="s">
        <v>420</v>
      </c>
      <c r="B149" s="30">
        <v>90</v>
      </c>
      <c r="C149" s="31">
        <v>90</v>
      </c>
      <c r="D149" s="30">
        <v>80</v>
      </c>
      <c r="E149" s="31">
        <v>80</v>
      </c>
      <c r="F149" s="25" t="s">
        <v>416</v>
      </c>
      <c r="G149" s="20">
        <f t="shared" si="0"/>
        <v>0.1111111111111111</v>
      </c>
    </row>
    <row r="150" spans="1:9" x14ac:dyDescent="0.3">
      <c r="A150" s="29" t="s">
        <v>421</v>
      </c>
      <c r="B150" s="30">
        <v>95</v>
      </c>
      <c r="C150" s="31">
        <v>95</v>
      </c>
      <c r="D150" s="30">
        <v>90</v>
      </c>
      <c r="E150" s="31">
        <v>90</v>
      </c>
      <c r="F150" s="32" t="s">
        <v>428</v>
      </c>
      <c r="G150" s="20">
        <f t="shared" si="0"/>
        <v>5.2631578947368418E-2</v>
      </c>
    </row>
    <row r="151" spans="1:9" x14ac:dyDescent="0.3">
      <c r="A151" s="29" t="s">
        <v>422</v>
      </c>
      <c r="B151" s="30">
        <v>95</v>
      </c>
      <c r="C151" s="31">
        <v>95</v>
      </c>
      <c r="D151" s="30">
        <v>90</v>
      </c>
      <c r="E151" s="31">
        <v>90</v>
      </c>
      <c r="F151" s="32" t="s">
        <v>428</v>
      </c>
      <c r="G151" s="20">
        <f t="shared" si="0"/>
        <v>5.2631578947368418E-2</v>
      </c>
    </row>
    <row r="152" spans="1:9" x14ac:dyDescent="0.3">
      <c r="A152" s="29" t="s">
        <v>423</v>
      </c>
      <c r="B152" s="30">
        <v>80</v>
      </c>
      <c r="C152" s="31">
        <v>50</v>
      </c>
      <c r="D152" s="30">
        <v>30</v>
      </c>
      <c r="E152" s="31">
        <v>30</v>
      </c>
      <c r="F152" s="25" t="s">
        <v>124</v>
      </c>
      <c r="G152" s="20">
        <f>(C152-E152)/C152</f>
        <v>0.4</v>
      </c>
    </row>
    <row r="153" spans="1:9" x14ac:dyDescent="0.3">
      <c r="A153" s="29" t="s">
        <v>424</v>
      </c>
      <c r="B153" s="30">
        <v>90</v>
      </c>
      <c r="C153" s="31">
        <v>90</v>
      </c>
      <c r="D153" s="30">
        <v>70</v>
      </c>
      <c r="E153" s="31">
        <v>70</v>
      </c>
      <c r="F153" s="25" t="s">
        <v>121</v>
      </c>
      <c r="G153" s="20">
        <f t="shared" si="0"/>
        <v>0.22222222222222221</v>
      </c>
    </row>
    <row r="154" spans="1:9" x14ac:dyDescent="0.3">
      <c r="A154" s="29" t="s">
        <v>425</v>
      </c>
      <c r="B154" s="30">
        <v>95</v>
      </c>
      <c r="C154" s="31">
        <v>90</v>
      </c>
      <c r="D154" s="30">
        <v>80</v>
      </c>
      <c r="E154" s="31">
        <v>80</v>
      </c>
      <c r="F154" s="32" t="s">
        <v>428</v>
      </c>
      <c r="G154" s="20">
        <f t="shared" si="0"/>
        <v>0.1111111111111111</v>
      </c>
      <c r="I154" s="33"/>
    </row>
    <row r="155" spans="1:9" x14ac:dyDescent="0.3">
      <c r="A155" s="29" t="s">
        <v>426</v>
      </c>
      <c r="B155" s="30">
        <v>80</v>
      </c>
      <c r="C155" s="31">
        <v>65</v>
      </c>
      <c r="D155" s="30">
        <v>60</v>
      </c>
      <c r="E155" s="31">
        <v>30</v>
      </c>
      <c r="F155" s="25" t="s">
        <v>122</v>
      </c>
      <c r="G155" s="20">
        <f t="shared" si="0"/>
        <v>0.53846153846153844</v>
      </c>
    </row>
    <row r="156" spans="1:9" x14ac:dyDescent="0.3">
      <c r="A156" s="34" t="s">
        <v>427</v>
      </c>
      <c r="B156" s="35">
        <v>90</v>
      </c>
      <c r="C156" s="36">
        <v>90</v>
      </c>
      <c r="D156" s="35">
        <v>70</v>
      </c>
      <c r="E156" s="36">
        <v>70</v>
      </c>
      <c r="F156" s="25" t="s">
        <v>122</v>
      </c>
      <c r="G156" s="20">
        <f t="shared" si="0"/>
        <v>0.22222222222222221</v>
      </c>
    </row>
    <row r="157" spans="1:9" x14ac:dyDescent="0.3">
      <c r="A157" s="20"/>
      <c r="B157" s="20"/>
      <c r="C157" s="20"/>
      <c r="D157" s="20"/>
      <c r="E157" s="20"/>
      <c r="F157" s="20"/>
      <c r="G157" s="20"/>
    </row>
    <row r="158" spans="1:9" x14ac:dyDescent="0.3">
      <c r="A158" s="20"/>
      <c r="B158" s="20"/>
      <c r="C158" s="20"/>
      <c r="D158" s="20"/>
      <c r="E158" s="20"/>
      <c r="F158" s="20"/>
      <c r="G158" s="20"/>
    </row>
    <row r="159" spans="1:9" x14ac:dyDescent="0.3">
      <c r="A159" s="20" t="s">
        <v>125</v>
      </c>
      <c r="B159" s="20">
        <f>AVERAGEIF(F139:F156,A159,G139:G156)</f>
        <v>0.38382283834586467</v>
      </c>
      <c r="C159" s="20"/>
      <c r="D159" s="20"/>
      <c r="E159" s="20"/>
      <c r="F159" s="20"/>
      <c r="G159" s="20"/>
    </row>
    <row r="160" spans="1:9" x14ac:dyDescent="0.3">
      <c r="A160" s="20" t="s">
        <v>416</v>
      </c>
      <c r="B160" s="20">
        <f>AVERAGEIF(F139:F156,A160,G139:G156)</f>
        <v>0.1111111111111111</v>
      </c>
      <c r="C160" s="20"/>
      <c r="D160" s="20"/>
      <c r="E160" s="20"/>
      <c r="F160" s="20"/>
      <c r="G160" s="20"/>
    </row>
    <row r="161" spans="1:7" x14ac:dyDescent="0.3">
      <c r="A161" s="20" t="s">
        <v>124</v>
      </c>
      <c r="B161" s="20">
        <f>AVERAGEIF(F139:F156,A161,G139:G156)</f>
        <v>0.4</v>
      </c>
      <c r="C161" s="20"/>
      <c r="D161" s="20"/>
      <c r="E161" s="20"/>
      <c r="F161" s="20"/>
      <c r="G161" s="20"/>
    </row>
    <row r="162" spans="1:7" x14ac:dyDescent="0.3">
      <c r="A162" s="20" t="s">
        <v>121</v>
      </c>
      <c r="B162" s="20">
        <f>AVERAGEIF(F139:F156,A162,G139:G156)</f>
        <v>0.22222222222222221</v>
      </c>
      <c r="C162" s="20"/>
      <c r="D162" s="20"/>
      <c r="E162" s="20"/>
      <c r="F162" s="20"/>
      <c r="G162" s="20"/>
    </row>
    <row r="163" spans="1:7" x14ac:dyDescent="0.3">
      <c r="A163" s="20" t="s">
        <v>122</v>
      </c>
      <c r="B163" s="20">
        <f>AVERAGEIF(F139:F156,A163,G139:G156)</f>
        <v>0.38034188034188032</v>
      </c>
      <c r="C163" s="20"/>
      <c r="D163" s="20"/>
      <c r="E163" s="20"/>
      <c r="F163" s="20"/>
      <c r="G163" s="20"/>
    </row>
    <row r="165" spans="1:7" x14ac:dyDescent="0.3">
      <c r="A165" s="462" t="s">
        <v>166</v>
      </c>
      <c r="B165" s="462"/>
      <c r="C165" s="462"/>
      <c r="D165" s="462"/>
      <c r="E165" s="462"/>
    </row>
    <row r="166" spans="1:7" ht="15" thickBot="1" x14ac:dyDescent="0.35">
      <c r="A166" t="s">
        <v>167</v>
      </c>
      <c r="B166" s="13">
        <v>0.4</v>
      </c>
    </row>
    <row r="167" spans="1:7" ht="15" thickBot="1" x14ac:dyDescent="0.35">
      <c r="A167" t="s">
        <v>168</v>
      </c>
      <c r="B167" s="37">
        <f>(1+B166)^(1/(2020-2010))-1</f>
        <v>3.4219694129380196E-2</v>
      </c>
    </row>
    <row r="168" spans="1:7" x14ac:dyDescent="0.3">
      <c r="B168" s="38"/>
    </row>
    <row r="169" spans="1:7" x14ac:dyDescent="0.3">
      <c r="A169" s="462" t="s">
        <v>391</v>
      </c>
      <c r="B169" s="462"/>
    </row>
    <row r="170" spans="1:7" x14ac:dyDescent="0.3">
      <c r="A170" t="s">
        <v>392</v>
      </c>
      <c r="B170" s="39">
        <v>972.7</v>
      </c>
    </row>
    <row r="171" spans="1:7" ht="15" thickBot="1" x14ac:dyDescent="0.35">
      <c r="A171" t="s">
        <v>393</v>
      </c>
      <c r="B171" s="40">
        <f>400.9+53.5+276.5+255.7+63.5+462.5+B170+975.4+227.6+436.5</f>
        <v>4124.8</v>
      </c>
    </row>
    <row r="172" spans="1:7" ht="15" thickBot="1" x14ac:dyDescent="0.35">
      <c r="A172" t="s">
        <v>394</v>
      </c>
      <c r="B172" s="37">
        <f>B170/B171</f>
        <v>0.23581749418153608</v>
      </c>
    </row>
    <row r="173" spans="1:7" x14ac:dyDescent="0.3">
      <c r="B173" s="38"/>
    </row>
    <row r="174" spans="1:7" x14ac:dyDescent="0.3">
      <c r="A174" s="462" t="s">
        <v>173</v>
      </c>
      <c r="B174" s="462"/>
      <c r="C174" s="462"/>
      <c r="D174" s="462"/>
      <c r="E174" s="462"/>
    </row>
    <row r="175" spans="1:7" ht="15" thickBot="1" x14ac:dyDescent="0.35">
      <c r="A175" t="s">
        <v>400</v>
      </c>
      <c r="B175" s="38">
        <v>0.1246</v>
      </c>
    </row>
    <row r="176" spans="1:7" ht="15" thickBot="1" x14ac:dyDescent="0.35">
      <c r="A176" t="s">
        <v>396</v>
      </c>
      <c r="B176" s="37">
        <f>1-B175</f>
        <v>0.87539999999999996</v>
      </c>
    </row>
    <row r="178" spans="1:5" x14ac:dyDescent="0.3">
      <c r="A178" s="462" t="s">
        <v>169</v>
      </c>
      <c r="B178" s="462"/>
      <c r="C178" s="462"/>
      <c r="D178" s="462"/>
      <c r="E178" s="462"/>
    </row>
    <row r="179" spans="1:5" x14ac:dyDescent="0.3">
      <c r="A179" t="s">
        <v>398</v>
      </c>
      <c r="B179">
        <v>197000</v>
      </c>
    </row>
    <row r="180" spans="1:5" ht="15" thickBot="1" x14ac:dyDescent="0.35">
      <c r="A180" t="s">
        <v>399</v>
      </c>
      <c r="B180">
        <v>175000</v>
      </c>
    </row>
    <row r="181" spans="1:5" ht="15" thickBot="1" x14ac:dyDescent="0.35">
      <c r="A181" t="s">
        <v>170</v>
      </c>
      <c r="B181" s="12">
        <f>B179/B180</f>
        <v>1.1257142857142857</v>
      </c>
    </row>
    <row r="183" spans="1:5" x14ac:dyDescent="0.3">
      <c r="A183" s="462" t="s">
        <v>171</v>
      </c>
      <c r="B183" s="462"/>
      <c r="C183" s="462"/>
      <c r="D183" s="462"/>
      <c r="E183" s="462"/>
    </row>
    <row r="184" spans="1:5" x14ac:dyDescent="0.3">
      <c r="A184" t="s">
        <v>2250</v>
      </c>
      <c r="B184" s="162">
        <v>1.2E-2</v>
      </c>
    </row>
    <row r="185" spans="1:5" x14ac:dyDescent="0.3">
      <c r="A185" t="s">
        <v>2251</v>
      </c>
      <c r="B185" s="162">
        <v>2.4E-2</v>
      </c>
    </row>
    <row r="186" spans="1:5" x14ac:dyDescent="0.3">
      <c r="A186" t="s">
        <v>2252</v>
      </c>
      <c r="B186">
        <f>2050-2018+1</f>
        <v>33</v>
      </c>
    </row>
    <row r="187" spans="1:5" x14ac:dyDescent="0.3">
      <c r="A187" t="s">
        <v>2253</v>
      </c>
      <c r="B187" s="11">
        <f>(1-B184)^B186</f>
        <v>0.67139665221009714</v>
      </c>
    </row>
    <row r="188" spans="1:5" ht="15" thickBot="1" x14ac:dyDescent="0.35">
      <c r="A188" t="s">
        <v>2254</v>
      </c>
      <c r="B188" s="11">
        <f>(1-B185)^B186</f>
        <v>0.44858421050781644</v>
      </c>
    </row>
    <row r="189" spans="1:5" ht="15" thickBot="1" x14ac:dyDescent="0.35">
      <c r="A189" t="s">
        <v>2255</v>
      </c>
      <c r="B189" s="12">
        <f>(B187-B188)/B187</f>
        <v>0.33186409400289502</v>
      </c>
    </row>
    <row r="191" spans="1:5" x14ac:dyDescent="0.3">
      <c r="A191" s="462" t="s">
        <v>183</v>
      </c>
      <c r="B191" s="462"/>
      <c r="C191" s="462"/>
      <c r="D191" s="462"/>
      <c r="E191" s="462"/>
    </row>
    <row r="192" spans="1:5" x14ac:dyDescent="0.3">
      <c r="A192" s="16" t="s">
        <v>175</v>
      </c>
      <c r="B192" s="16" t="s">
        <v>176</v>
      </c>
      <c r="C192" s="16"/>
    </row>
    <row r="193" spans="1:9" x14ac:dyDescent="0.3">
      <c r="A193" t="s">
        <v>177</v>
      </c>
      <c r="B193" s="17">
        <v>15277777.777777778</v>
      </c>
      <c r="C193" t="s">
        <v>178</v>
      </c>
    </row>
    <row r="194" spans="1:9" x14ac:dyDescent="0.3">
      <c r="A194" t="s">
        <v>179</v>
      </c>
      <c r="B194" s="17">
        <f>3.4*10^6</f>
        <v>3400000</v>
      </c>
      <c r="C194" s="41"/>
    </row>
    <row r="195" spans="1:9" x14ac:dyDescent="0.3">
      <c r="A195" t="s">
        <v>180</v>
      </c>
      <c r="B195">
        <v>2</v>
      </c>
    </row>
    <row r="196" spans="1:9" ht="15" thickBot="1" x14ac:dyDescent="0.35">
      <c r="A196" t="s">
        <v>181</v>
      </c>
      <c r="B196" s="17">
        <f>B195*B194</f>
        <v>6800000</v>
      </c>
    </row>
    <row r="197" spans="1:9" ht="15" thickBot="1" x14ac:dyDescent="0.35">
      <c r="A197" t="s">
        <v>182</v>
      </c>
      <c r="B197" s="12">
        <f>B196/B193</f>
        <v>0.44509090909090909</v>
      </c>
    </row>
    <row r="199" spans="1:9" x14ac:dyDescent="0.3">
      <c r="A199" s="201" t="s">
        <v>2985</v>
      </c>
    </row>
    <row r="201" spans="1:9" x14ac:dyDescent="0.3">
      <c r="A201" s="202" t="s">
        <v>3006</v>
      </c>
      <c r="B201" s="464" t="s">
        <v>2989</v>
      </c>
      <c r="C201" s="464"/>
      <c r="D201" s="464"/>
      <c r="E201" s="464"/>
      <c r="F201" s="464"/>
      <c r="G201" s="464"/>
      <c r="H201" s="464"/>
      <c r="I201" s="464"/>
    </row>
    <row r="202" spans="1:9" x14ac:dyDescent="0.3">
      <c r="A202" s="42" t="s">
        <v>2990</v>
      </c>
      <c r="B202" s="42" t="s">
        <v>2991</v>
      </c>
      <c r="C202" s="42" t="s">
        <v>2992</v>
      </c>
      <c r="D202" s="42" t="s">
        <v>2993</v>
      </c>
      <c r="E202" s="42" t="s">
        <v>2344</v>
      </c>
      <c r="F202" s="42" t="s">
        <v>86</v>
      </c>
      <c r="G202" s="42" t="s">
        <v>2994</v>
      </c>
      <c r="H202" s="42" t="s">
        <v>2995</v>
      </c>
      <c r="I202" s="42" t="s">
        <v>2996</v>
      </c>
    </row>
    <row r="203" spans="1:9" x14ac:dyDescent="0.3">
      <c r="A203" s="42" t="s">
        <v>2997</v>
      </c>
      <c r="B203">
        <v>0</v>
      </c>
      <c r="C203">
        <v>6</v>
      </c>
      <c r="D203">
        <v>9</v>
      </c>
      <c r="E203">
        <v>25</v>
      </c>
      <c r="F203">
        <v>21</v>
      </c>
      <c r="G203">
        <v>215</v>
      </c>
      <c r="H203">
        <v>81</v>
      </c>
      <c r="I203">
        <v>134</v>
      </c>
    </row>
    <row r="204" spans="1:9" x14ac:dyDescent="0.3">
      <c r="A204" s="42" t="s">
        <v>2998</v>
      </c>
      <c r="B204">
        <v>4</v>
      </c>
      <c r="C204">
        <v>3</v>
      </c>
      <c r="D204">
        <v>15</v>
      </c>
      <c r="E204">
        <v>40</v>
      </c>
      <c r="F204">
        <v>43</v>
      </c>
      <c r="G204">
        <v>163</v>
      </c>
      <c r="H204">
        <v>56</v>
      </c>
      <c r="I204">
        <v>94</v>
      </c>
    </row>
    <row r="205" spans="1:9" ht="15" thickBot="1" x14ac:dyDescent="0.35">
      <c r="A205" s="42" t="s">
        <v>2999</v>
      </c>
      <c r="B205">
        <f>B204-B203</f>
        <v>4</v>
      </c>
      <c r="C205">
        <f t="shared" ref="C205:I205" si="1">C204-C203</f>
        <v>-3</v>
      </c>
      <c r="D205">
        <f t="shared" si="1"/>
        <v>6</v>
      </c>
      <c r="E205">
        <f t="shared" si="1"/>
        <v>15</v>
      </c>
      <c r="F205">
        <f t="shared" si="1"/>
        <v>22</v>
      </c>
      <c r="G205">
        <f t="shared" si="1"/>
        <v>-52</v>
      </c>
      <c r="H205">
        <f t="shared" si="1"/>
        <v>-25</v>
      </c>
      <c r="I205">
        <f t="shared" si="1"/>
        <v>-40</v>
      </c>
    </row>
    <row r="206" spans="1:9" ht="15" thickBot="1" x14ac:dyDescent="0.35">
      <c r="A206" t="s">
        <v>3000</v>
      </c>
      <c r="B206" s="12">
        <v>-0.33</v>
      </c>
    </row>
    <row r="207" spans="1:9" ht="15" thickBot="1" x14ac:dyDescent="0.35">
      <c r="A207" t="s">
        <v>3001</v>
      </c>
      <c r="B207" s="12">
        <f>I205/I203</f>
        <v>-0.29850746268656714</v>
      </c>
    </row>
    <row r="209" spans="1:9" x14ac:dyDescent="0.3">
      <c r="A209" s="202" t="s">
        <v>3007</v>
      </c>
      <c r="B209" s="464" t="s">
        <v>2989</v>
      </c>
      <c r="C209" s="464"/>
      <c r="D209" s="464"/>
      <c r="E209" s="464"/>
      <c r="F209" s="464"/>
      <c r="G209" s="464"/>
      <c r="H209" s="464"/>
      <c r="I209" s="464"/>
    </row>
    <row r="210" spans="1:9" x14ac:dyDescent="0.3">
      <c r="A210" s="42" t="s">
        <v>2990</v>
      </c>
      <c r="B210" s="42" t="s">
        <v>2991</v>
      </c>
      <c r="C210" s="42" t="s">
        <v>2992</v>
      </c>
      <c r="D210" s="42" t="s">
        <v>2993</v>
      </c>
      <c r="E210" s="42" t="s">
        <v>2344</v>
      </c>
      <c r="F210" s="42" t="s">
        <v>86</v>
      </c>
      <c r="G210" s="42" t="s">
        <v>2994</v>
      </c>
      <c r="H210" s="42" t="s">
        <v>2995</v>
      </c>
      <c r="I210" s="42" t="s">
        <v>2996</v>
      </c>
    </row>
    <row r="211" spans="1:9" x14ac:dyDescent="0.3">
      <c r="A211" s="42" t="s">
        <v>2997</v>
      </c>
      <c r="B211">
        <v>0</v>
      </c>
      <c r="C211">
        <v>17</v>
      </c>
      <c r="D211">
        <v>18</v>
      </c>
      <c r="E211">
        <v>22</v>
      </c>
      <c r="F211">
        <v>12</v>
      </c>
      <c r="G211">
        <v>73</v>
      </c>
      <c r="H211">
        <v>21</v>
      </c>
      <c r="I211">
        <v>21</v>
      </c>
    </row>
    <row r="212" spans="1:9" x14ac:dyDescent="0.3">
      <c r="A212" s="42" t="s">
        <v>2998</v>
      </c>
      <c r="B212">
        <v>0</v>
      </c>
      <c r="C212">
        <v>15</v>
      </c>
      <c r="D212">
        <v>22</v>
      </c>
      <c r="E212">
        <v>39</v>
      </c>
      <c r="F212">
        <v>23</v>
      </c>
      <c r="G212">
        <v>51</v>
      </c>
      <c r="H212">
        <v>17</v>
      </c>
      <c r="I212">
        <v>19</v>
      </c>
    </row>
    <row r="213" spans="1:9" ht="15" thickBot="1" x14ac:dyDescent="0.35">
      <c r="A213" s="42" t="s">
        <v>2999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 thickBot="1" x14ac:dyDescent="0.35">
      <c r="A214" t="s">
        <v>3000</v>
      </c>
      <c r="B214" s="12">
        <f>SUM(G213:H213)/SUM(G211:H211)</f>
        <v>-0.27659574468085107</v>
      </c>
    </row>
    <row r="215" spans="1:9" ht="15" thickBot="1" x14ac:dyDescent="0.35">
      <c r="A215" t="s">
        <v>3001</v>
      </c>
      <c r="B215" s="12">
        <f>I213/I211</f>
        <v>-9.5238095238095233E-2</v>
      </c>
    </row>
    <row r="217" spans="1:9" x14ac:dyDescent="0.3">
      <c r="A217" s="202" t="s">
        <v>3008</v>
      </c>
      <c r="B217" s="464" t="s">
        <v>2989</v>
      </c>
      <c r="C217" s="464"/>
      <c r="D217" s="464"/>
      <c r="E217" s="464"/>
    </row>
    <row r="218" spans="1:9" x14ac:dyDescent="0.3">
      <c r="A218" s="42" t="s">
        <v>2990</v>
      </c>
      <c r="B218" s="42" t="s">
        <v>3002</v>
      </c>
      <c r="C218" s="42" t="s">
        <v>3003</v>
      </c>
      <c r="D218" s="42" t="s">
        <v>3004</v>
      </c>
      <c r="E218" s="42" t="s">
        <v>86</v>
      </c>
    </row>
    <row r="219" spans="1:9" x14ac:dyDescent="0.3">
      <c r="A219" s="42" t="s">
        <v>2997</v>
      </c>
      <c r="B219">
        <v>112</v>
      </c>
      <c r="C219">
        <v>16</v>
      </c>
      <c r="D219">
        <v>9</v>
      </c>
      <c r="E219">
        <v>134</v>
      </c>
    </row>
    <row r="220" spans="1:9" x14ac:dyDescent="0.3">
      <c r="A220" s="42" t="s">
        <v>2998</v>
      </c>
      <c r="B220">
        <v>87</v>
      </c>
      <c r="C220">
        <v>17</v>
      </c>
      <c r="D220">
        <v>9</v>
      </c>
      <c r="E220">
        <v>151</v>
      </c>
    </row>
    <row r="221" spans="1:9" ht="15" thickBot="1" x14ac:dyDescent="0.35">
      <c r="A221" s="42" t="s">
        <v>2999</v>
      </c>
      <c r="B221">
        <f>B220-B219</f>
        <v>-25</v>
      </c>
      <c r="C221">
        <f t="shared" ref="C221:E221" si="9">C220-C219</f>
        <v>1</v>
      </c>
      <c r="D221">
        <f t="shared" si="9"/>
        <v>0</v>
      </c>
      <c r="E221">
        <f t="shared" si="9"/>
        <v>17</v>
      </c>
    </row>
    <row r="222" spans="1:9" ht="15" thickBot="1" x14ac:dyDescent="0.35">
      <c r="A222" t="s">
        <v>3005</v>
      </c>
      <c r="B222" s="12">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Rachel Goldstein</cp:lastModifiedBy>
  <dcterms:created xsi:type="dcterms:W3CDTF">2014-07-10T20:44:47Z</dcterms:created>
  <dcterms:modified xsi:type="dcterms:W3CDTF">2025-10-24T16:34:01Z</dcterms:modified>
</cp:coreProperties>
</file>